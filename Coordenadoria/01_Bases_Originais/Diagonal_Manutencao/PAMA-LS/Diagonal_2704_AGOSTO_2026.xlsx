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ÇÃO DE VENCIMENTOS INSPEÇÕ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<sst xmlns="http://schemas.openxmlformats.org/spreadsheetml/2006/main" count="96" uniqueCount="57">
  <si>
    <t xml:space="preserve">PAMALS – 2026</t>
  </si>
  <si>
    <t xml:space="preserve">PLANEJADO / EXECUTADO</t>
  </si>
  <si>
    <t xml:space="preserve">ANV</t>
  </si>
  <si>
    <t xml:space="preserve">MOTOR</t>
  </si>
  <si>
    <t xml:space="preserve">CÉLULA</t>
  </si>
  <si>
    <t xml:space="preserve">INFORMAÇÃO</t>
  </si>
  <si>
    <t xml:space="preserve">TOTAL</t>
  </si>
  <si>
    <t xml:space="preserve">ABR – 21</t>
  </si>
  <si>
    <t xml:space="preserve">MAI– 21</t>
  </si>
  <si>
    <t xml:space="preserve">JUN– 21</t>
  </si>
  <si>
    <t xml:space="preserve">JUL – 21</t>
  </si>
  <si>
    <t xml:space="preserve">AGO – 21</t>
  </si>
  <si>
    <t xml:space="preserve">SET – 21</t>
  </si>
  <si>
    <t xml:space="preserve">OUT – 21</t>
  </si>
  <si>
    <t xml:space="preserve">NOV – 21</t>
  </si>
  <si>
    <t xml:space="preserve">DEZ – 21</t>
  </si>
  <si>
    <t xml:space="preserve">JAN</t>
  </si>
  <si>
    <t xml:space="preserve">FEV</t>
  </si>
  <si>
    <t xml:space="preserve">MAR</t>
  </si>
  <si>
    <t xml:space="preserve">ABR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</si>
  <si>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</si>
  <si>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</si>
  <si>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</si>
  <si>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</si>
  <si>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</si>
  <si>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</si>
  <si>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</si>
  <si>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</si>
  <si>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2704</t>
  </si>
  <si>
    <t xml:space="preserve">4759:35</t>
  </si>
  <si>
    <t xml:space="preserve">11365:40</t>
  </si>
  <si>
    <t xml:space="preserve">INSP. P</t>
  </si>
  <si>
    <r>
      <rPr>
        <b val="true"/>
        <sz val="12"/>
        <color rgb="FFFFFFFF"/>
        <rFont val="Calibri"/>
        <family val="2"/>
        <charset val="1"/>
      </rPr>
      <t xml:space="preserve">ID5-15-03              ID5-15-06             ID5-15-08             ID5-15-20                                                            </t>
    </r>
    <r>
      <rPr>
        <b val="true"/>
        <sz val="10"/>
        <color rgb="FFFFFFFF"/>
        <rFont val="Calibri"/>
        <family val="2"/>
        <charset val="1"/>
      </rPr>
      <t xml:space="preserve">TR DE MOTOR 2706         </t>
    </r>
    <r>
      <rPr>
        <b val="true"/>
        <sz val="12"/>
        <color rgb="FFFFFFFF"/>
        <rFont val="Calibri"/>
        <family val="2"/>
        <charset val="1"/>
      </rPr>
      <t xml:space="preserve">           
INSP 1 COR</t>
    </r>
  </si>
  <si>
    <r>
      <rPr>
        <b val="true"/>
        <sz val="12"/>
        <color rgb="FFFFFFFF"/>
        <rFont val="Calibri"/>
        <family val="2"/>
        <charset val="1"/>
      </rPr>
      <t xml:space="preserve">ID5-15-03          ID5-15-06          ID5-15-08          ID5-15-20                                                     </t>
    </r>
    <r>
      <rPr>
        <b val="true"/>
        <sz val="10"/>
        <color rgb="FFFFFFFF"/>
        <rFont val="Calibri"/>
        <family val="2"/>
        <charset val="1"/>
      </rPr>
      <t xml:space="preserve">TR DE MOTOR 2706         </t>
    </r>
    <r>
      <rPr>
        <b val="true"/>
        <sz val="12"/>
        <color rgb="FFFFFFFF"/>
        <rFont val="Calibri"/>
        <family val="2"/>
        <charset val="1"/>
      </rPr>
      <t xml:space="preserve">           
INSP 1 COR</t>
    </r>
  </si>
  <si>
    <r>
      <rPr>
        <b val="true"/>
        <sz val="12"/>
        <color rgb="FFFFFFFF"/>
        <rFont val="Calibri"/>
        <family val="2"/>
        <charset val="1"/>
      </rPr>
      <t xml:space="preserve">ID5-15-03          ID5-15-06          ID5-15-08            ID5-15-20                                                     </t>
    </r>
    <r>
      <rPr>
        <b val="true"/>
        <sz val="10"/>
        <color rgb="FFFFFFFF"/>
        <rFont val="Calibri"/>
        <family val="2"/>
        <charset val="1"/>
      </rPr>
      <t xml:space="preserve">TR DE MOTOR 2706         </t>
    </r>
    <r>
      <rPr>
        <b val="true"/>
        <sz val="12"/>
        <color rgb="FFFFFFFF"/>
        <rFont val="Calibri"/>
        <family val="2"/>
        <charset val="1"/>
      </rPr>
      <t xml:space="preserve">           
INSP 1 COR</t>
    </r>
  </si>
  <si>
    <t xml:space="preserve">IS</t>
  </si>
  <si>
    <t xml:space="preserve">ID5-15-0A           ID5-15-01          ID5-15-02          ID5-15-07           ID5-15-09          ID5-15-11          ID5-15-21                      
IM1800 (1800)</t>
  </si>
  <si>
    <t xml:space="preserve">ID5-15-06          ID5-15-15                                         BM100 (1900)        
</t>
  </si>
  <si>
    <t xml:space="preserve">ID5-15-0A                  ID5-15-12          ID5-15-MG                                      IM2000 (2000)      
INSP 2                   MOLAS TPP          LPS3</t>
  </si>
  <si>
    <t xml:space="preserve">
ID5-15-06
</t>
  </si>
  <si>
    <t xml:space="preserve">ID5-15-0A
</t>
  </si>
  <si>
    <t xml:space="preserve">
ID5-15-03
</t>
  </si>
  <si>
    <t xml:space="preserve">
ID5-15-02
ID5-15-08
ID5-15-10
ID5-15-11
ID5-15-21
ID5-15-22</t>
  </si>
  <si>
    <t xml:space="preserve">IMPACTO DIAG.</t>
  </si>
  <si>
    <t xml:space="preserve">ID5-15-01</t>
  </si>
  <si>
    <t xml:space="preserve">ESFORÇO C-98 2704</t>
  </si>
  <si>
    <t xml:space="preserve">SILOMS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</si>
  <si>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</si>
  <si>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</si>
  <si>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</si>
  <si>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</si>
  <si>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</si>
  <si>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</si>
  <si>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</si>
  <si>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EXECUTADO</t>
  </si>
  <si>
    <t xml:space="preserve">SALDO</t>
  </si>
  <si>
    <t xml:space="preserve">ARA VISUALIZAR, ROLAR PARA A DIREITA ATÉ CHEGAR NO MÊS DE OUTUBRO!!!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</si>
</sst>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[hh]:mm"/>
    <numFmt numFmtId="168" formatCode="hh:mm"/>
  </numFmts>
  <fonts count="2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2"/>
      <charset val="1"/>
    </font>
    <font>
      <b val="true"/>
      <sz val="16"/>
      <color rgb="FF000000"/>
      <name val="Calibri"/>
      <family val="2"/>
      <charset val="1"/>
    </font>
    <font>
      <b val="true"/>
      <sz val="17"/>
      <color rgb="FF000000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12"/>
      <color rgb="FF000000"/>
      <name val="Calibri"/>
      <family val="2"/>
      <charset val="1"/>
    </font>
    <font>
      <sz val="14"/>
      <color rgb="FF1A1A1A"/>
      <name val="Calibri"/>
      <family val="2"/>
      <charset val="1"/>
    </font>
    <font>
      <sz val="14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sz val="11"/>
      <color rgb="FF000000"/>
      <name val="Liberation sans1"/>
      <family val="0"/>
      <charset val="1"/>
    </font>
    <font>
      <b val="true"/>
      <sz val="11"/>
      <color rgb="FF000000"/>
      <name val="Arial"/>
      <family val="2"/>
      <charset val="1"/>
    </font>
    <font>
      <b val="true"/>
      <sz val="12"/>
      <color rgb="FF000000"/>
      <name val="Calibri"/>
      <family val="0"/>
      <charset val="1"/>
    </font>
    <font>
      <b val="true"/>
      <sz val="15"/>
      <color rgb="FF00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CCCCC"/>
      </patternFill>
    </fill>
    <fill>
      <patternFill patternType="solid">
        <fgColor rgb="FFB2B2B2"/>
        <bgColor rgb="FFC0C0C0"/>
      </patternFill>
    </fill>
    <fill>
      <patternFill patternType="solid">
        <fgColor rgb="FF00800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CCCCCC"/>
        <bgColor rgb="FFC0C0C0"/>
      </patternFill>
    </fill>
    <fill>
      <patternFill patternType="solid">
        <fgColor rgb="FF3FAF46"/>
        <bgColor rgb="FF33CC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ck"/>
      <bottom style="thick"/>
      <diagonal/>
    </border>
    <border diagonalUp="false" diagonalDown="false">
      <left/>
      <right style="medium"/>
      <top style="thick"/>
      <bottom style="thick"/>
      <diagonal/>
    </border>
    <border diagonalUp="false" diagonalDown="false">
      <left style="medium"/>
      <right style="medium"/>
      <top style="thick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 style="thick"/>
      <top/>
      <bottom style="thick"/>
      <diagonal/>
    </border>
    <border diagonalUp="false" diagonalDown="false">
      <left style="thick"/>
      <right style="thick"/>
      <top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medium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  <border diagonalUp="false" diagonalDown="false">
      <left style="thin"/>
      <right/>
      <top style="thin"/>
      <bottom style="thick"/>
      <diagonal/>
    </border>
    <border diagonalUp="false" diagonalDown="false">
      <left style="medium"/>
      <right style="thin"/>
      <top style="thin"/>
      <bottom style="thick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15" fillId="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3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9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6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FAF4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W18" activeCellId="0" sqref="AW18"/>
    </sheetView>
  </sheetViews>
  <sheetFormatPr defaultColWidth="14.66015625" defaultRowHeight="15" zeroHeight="false" outlineLevelRow="0" outlineLevelCol="0"/>
  <cols>
    <col collapsed="false" customWidth="true" hidden="false" outlineLevel="0" max="1" min="1" style="1" width="12.29"/>
    <col collapsed="false" customWidth="true" hidden="false" outlineLevel="0" max="4" min="2" style="1" width="20.14"/>
    <col collapsed="false" customWidth="true" hidden="true" outlineLevel="0" max="12" min="5" style="1" width="15.29"/>
    <col collapsed="false" customWidth="true" hidden="true" outlineLevel="0" max="13" min="13" style="1" width="17.4"/>
    <col collapsed="false" customWidth="true" hidden="true" outlineLevel="0" max="43" min="14" style="1" width="15.29"/>
    <col collapsed="false" customWidth="true" hidden="false" outlineLevel="0" max="44" min="44" style="1" width="16.29"/>
    <col collapsed="false" customWidth="true" hidden="false" outlineLevel="0" max="45" min="45" style="1" width="16.14"/>
    <col collapsed="false" customWidth="true" hidden="false" outlineLevel="0" max="82" min="46" style="1" width="15.29"/>
    <col collapsed="false" customWidth="true" hidden="false" outlineLevel="0" max="83" min="83" style="1" width="18.71"/>
    <col collapsed="false" customWidth="true" hidden="false" outlineLevel="0" max="84" min="84" style="1" width="18.29"/>
    <col collapsed="false" customWidth="true" hidden="false" outlineLevel="0" max="85" min="85" style="1" width="18.12"/>
    <col collapsed="false" customWidth="true" hidden="false" outlineLevel="0" max="86" min="86" style="1" width="16.71"/>
    <col collapsed="false" customWidth="true" hidden="false" outlineLevel="0" max="88" min="87" style="1" width="17"/>
    <col collapsed="false" customWidth="true" hidden="false" outlineLevel="0" max="91" min="89" style="1" width="17.59"/>
    <col collapsed="false" customWidth="true" hidden="false" outlineLevel="0" max="92" min="92" style="1" width="17.29"/>
    <col collapsed="false" customWidth="true" hidden="false" outlineLevel="0" max="93" min="93" style="1" width="17"/>
    <col collapsed="false" customWidth="true" hidden="false" outlineLevel="0" max="94" min="94" style="1" width="17.59"/>
    <col collapsed="false" customWidth="true" hidden="false" outlineLevel="0" max="95" min="95" style="1" width="15.29"/>
    <col collapsed="false" customWidth="true" hidden="false" outlineLevel="0" max="96" min="96" style="1" width="17.29"/>
    <col collapsed="false" customWidth="true" hidden="false" outlineLevel="0" max="97" min="97" style="1" width="17"/>
    <col collapsed="false" customWidth="true" hidden="false" outlineLevel="0" max="98" min="98" style="1" width="17.71"/>
    <col collapsed="false" customWidth="true" hidden="false" outlineLevel="0" max="151" min="99" style="1" width="15.29"/>
  </cols>
  <sheetData>
    <row r="1" customFormat="false" ht="4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</row>
    <row r="2" customFormat="false" ht="30.5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</row>
    <row r="3" customFormat="false" ht="21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5" t="n">
        <v>2021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6" t="n">
        <v>2024</v>
      </c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7" t="s">
        <v>6</v>
      </c>
      <c r="CS3" s="7" t="s">
        <v>3</v>
      </c>
      <c r="CT3" s="7" t="s">
        <v>4</v>
      </c>
      <c r="CU3" s="6" t="n">
        <v>2025</v>
      </c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8"/>
    </row>
    <row r="4" customFormat="false" ht="21" hidden="false" customHeight="true" outlineLevel="0" collapsed="false">
      <c r="A4" s="4"/>
      <c r="B4" s="4"/>
      <c r="C4" s="4"/>
      <c r="D4" s="4"/>
      <c r="E4" s="9" t="s">
        <v>7</v>
      </c>
      <c r="F4" s="9"/>
      <c r="G4" s="9"/>
      <c r="H4" s="9"/>
      <c r="I4" s="10" t="s">
        <v>8</v>
      </c>
      <c r="J4" s="10"/>
      <c r="K4" s="10"/>
      <c r="L4" s="10"/>
      <c r="M4" s="11" t="s">
        <v>9</v>
      </c>
      <c r="N4" s="11"/>
      <c r="O4" s="11"/>
      <c r="P4" s="11"/>
      <c r="Q4" s="10" t="s">
        <v>10</v>
      </c>
      <c r="R4" s="10"/>
      <c r="S4" s="10"/>
      <c r="T4" s="10"/>
      <c r="U4" s="12" t="s">
        <v>11</v>
      </c>
      <c r="V4" s="12"/>
      <c r="W4" s="12"/>
      <c r="X4" s="12"/>
      <c r="Y4" s="12"/>
      <c r="Z4" s="10" t="s">
        <v>12</v>
      </c>
      <c r="AA4" s="10"/>
      <c r="AB4" s="10"/>
      <c r="AC4" s="10"/>
      <c r="AD4" s="10"/>
      <c r="AE4" s="9" t="s">
        <v>13</v>
      </c>
      <c r="AF4" s="9"/>
      <c r="AG4" s="9"/>
      <c r="AH4" s="9"/>
      <c r="AI4" s="10" t="s">
        <v>14</v>
      </c>
      <c r="AJ4" s="10"/>
      <c r="AK4" s="10"/>
      <c r="AL4" s="10"/>
      <c r="AM4" s="9" t="s">
        <v>15</v>
      </c>
      <c r="AN4" s="9"/>
      <c r="AO4" s="9"/>
      <c r="AP4" s="9"/>
      <c r="AQ4" s="9"/>
      <c r="AR4" s="13" t="s">
        <v>16</v>
      </c>
      <c r="AS4" s="13"/>
      <c r="AT4" s="13"/>
      <c r="AU4" s="13"/>
      <c r="AV4" s="13" t="s">
        <v>17</v>
      </c>
      <c r="AW4" s="13"/>
      <c r="AX4" s="13"/>
      <c r="AY4" s="13"/>
      <c r="AZ4" s="13" t="s">
        <v>18</v>
      </c>
      <c r="BA4" s="13"/>
      <c r="BB4" s="13"/>
      <c r="BC4" s="13"/>
      <c r="BD4" s="13"/>
      <c r="BE4" s="14" t="s">
        <v>19</v>
      </c>
      <c r="BF4" s="14"/>
      <c r="BG4" s="14"/>
      <c r="BH4" s="14"/>
      <c r="BI4" s="14" t="s">
        <v>20</v>
      </c>
      <c r="BJ4" s="14"/>
      <c r="BK4" s="14"/>
      <c r="BL4" s="14"/>
      <c r="BM4" s="14"/>
      <c r="BN4" s="14" t="s">
        <v>21</v>
      </c>
      <c r="BO4" s="14"/>
      <c r="BP4" s="14"/>
      <c r="BQ4" s="14"/>
      <c r="BR4" s="14" t="s">
        <v>22</v>
      </c>
      <c r="BS4" s="14"/>
      <c r="BT4" s="14"/>
      <c r="BU4" s="14"/>
      <c r="BV4" s="14" t="s">
        <v>23</v>
      </c>
      <c r="BW4" s="14"/>
      <c r="BX4" s="14"/>
      <c r="BY4" s="14"/>
      <c r="BZ4" s="14"/>
      <c r="CA4" s="14" t="s">
        <v>24</v>
      </c>
      <c r="CB4" s="14"/>
      <c r="CC4" s="14"/>
      <c r="CD4" s="14"/>
      <c r="CE4" s="14" t="s">
        <v>25</v>
      </c>
      <c r="CF4" s="14"/>
      <c r="CG4" s="14"/>
      <c r="CH4" s="14"/>
      <c r="CI4" s="14" t="s">
        <v>26</v>
      </c>
      <c r="CJ4" s="14"/>
      <c r="CK4" s="14"/>
      <c r="CL4" s="14"/>
      <c r="CM4" s="14"/>
      <c r="CN4" s="14" t="s">
        <v>27</v>
      </c>
      <c r="CO4" s="14"/>
      <c r="CP4" s="14"/>
      <c r="CQ4" s="14"/>
      <c r="CR4" s="7"/>
      <c r="CS4" s="7"/>
      <c r="CT4" s="7"/>
      <c r="CU4" s="13" t="s">
        <v>16</v>
      </c>
      <c r="CV4" s="13"/>
      <c r="CW4" s="13"/>
      <c r="CX4" s="13"/>
      <c r="CY4" s="13" t="s">
        <v>17</v>
      </c>
      <c r="CZ4" s="13"/>
      <c r="DA4" s="13"/>
      <c r="DB4" s="13"/>
      <c r="DC4" s="13" t="s">
        <v>18</v>
      </c>
      <c r="DD4" s="13"/>
      <c r="DE4" s="13"/>
      <c r="DF4" s="13"/>
      <c r="DG4" s="13"/>
      <c r="DH4" s="14" t="s">
        <v>19</v>
      </c>
      <c r="DI4" s="14"/>
      <c r="DJ4" s="14"/>
      <c r="DK4" s="14"/>
      <c r="DL4" s="14" t="s">
        <v>20</v>
      </c>
      <c r="DM4" s="14"/>
      <c r="DN4" s="14"/>
      <c r="DO4" s="14"/>
      <c r="DP4" s="14"/>
      <c r="DQ4" s="14" t="s">
        <v>21</v>
      </c>
      <c r="DR4" s="14"/>
      <c r="DS4" s="14"/>
      <c r="DT4" s="14"/>
      <c r="DU4" s="14" t="s">
        <v>22</v>
      </c>
      <c r="DV4" s="14"/>
      <c r="DW4" s="14"/>
      <c r="DX4" s="14"/>
      <c r="DY4" s="14" t="s">
        <v>23</v>
      </c>
      <c r="DZ4" s="14"/>
      <c r="EA4" s="14"/>
      <c r="EB4" s="14"/>
      <c r="EC4" s="14"/>
      <c r="ED4" s="14" t="s">
        <v>24</v>
      </c>
      <c r="EE4" s="14"/>
      <c r="EF4" s="14"/>
      <c r="EG4" s="14"/>
      <c r="EH4" s="14" t="s">
        <v>25</v>
      </c>
      <c r="EI4" s="14"/>
      <c r="EJ4" s="14"/>
      <c r="EK4" s="14"/>
      <c r="EL4" s="14" t="s">
        <v>26</v>
      </c>
      <c r="EM4" s="14"/>
      <c r="EN4" s="14"/>
      <c r="EO4" s="14"/>
      <c r="EP4" s="14"/>
      <c r="EQ4" s="14" t="s">
        <v>27</v>
      </c>
      <c r="ER4" s="14"/>
      <c r="ES4" s="14"/>
      <c r="ET4" s="14"/>
      <c r="EU4" s="15" t="s">
        <v>6</v>
      </c>
    </row>
    <row r="5" customFormat="false" ht="108.95" hidden="false" customHeight="false" outlineLevel="0" collapsed="false">
      <c r="A5" s="16" t="s">
        <v>28</v>
      </c>
      <c r="B5" s="16" t="s">
        <v>29</v>
      </c>
      <c r="C5" s="16" t="s">
        <v>30</v>
      </c>
      <c r="D5" s="16" t="s">
        <v>31</v>
      </c>
      <c r="E5" s="17" t="n">
        <v>0</v>
      </c>
      <c r="F5" s="17" t="n">
        <v>6.6</v>
      </c>
      <c r="G5" s="17" t="n">
        <v>5.6</v>
      </c>
      <c r="H5" s="17" t="n">
        <v>24.1</v>
      </c>
      <c r="I5" s="17" t="n">
        <v>0</v>
      </c>
      <c r="J5" s="17" t="n">
        <v>0</v>
      </c>
      <c r="K5" s="17" t="n">
        <v>0</v>
      </c>
      <c r="L5" s="17" t="n">
        <v>0</v>
      </c>
      <c r="M5" s="18" t="s">
        <v>32</v>
      </c>
      <c r="N5" s="18" t="s">
        <v>33</v>
      </c>
      <c r="O5" s="18" t="s">
        <v>34</v>
      </c>
      <c r="P5" s="19" t="s">
        <v>35</v>
      </c>
      <c r="Q5" s="17" t="n">
        <v>0</v>
      </c>
      <c r="R5" s="17" t="n">
        <v>0</v>
      </c>
      <c r="S5" s="17" t="n">
        <v>0</v>
      </c>
      <c r="T5" s="17" t="n">
        <v>0</v>
      </c>
      <c r="U5" s="17" t="n">
        <v>10</v>
      </c>
      <c r="V5" s="19" t="n">
        <v>10</v>
      </c>
      <c r="W5" s="18" t="s">
        <v>36</v>
      </c>
      <c r="X5" s="18" t="s">
        <v>36</v>
      </c>
      <c r="Y5" s="18" t="s">
        <v>36</v>
      </c>
      <c r="Z5" s="17" t="n">
        <v>1.25</v>
      </c>
      <c r="AA5" s="17" t="n">
        <v>26.6</v>
      </c>
      <c r="AB5" s="17" t="n">
        <v>26.1</v>
      </c>
      <c r="AC5" s="17" t="n">
        <v>24.35</v>
      </c>
      <c r="AD5" s="17" t="n">
        <v>22.25</v>
      </c>
      <c r="AE5" s="17" t="n">
        <v>0.75</v>
      </c>
      <c r="AF5" s="18" t="s">
        <v>37</v>
      </c>
      <c r="AG5" s="20" t="n">
        <v>16.1</v>
      </c>
      <c r="AH5" s="17" t="n">
        <v>32.9</v>
      </c>
      <c r="AI5" s="21" t="n">
        <v>20</v>
      </c>
      <c r="AJ5" s="17" t="n">
        <v>15</v>
      </c>
      <c r="AK5" s="17" t="n">
        <v>16</v>
      </c>
      <c r="AL5" s="18" t="s">
        <v>38</v>
      </c>
      <c r="AM5" s="18" t="s">
        <v>38</v>
      </c>
      <c r="AN5" s="18" t="s">
        <v>38</v>
      </c>
      <c r="AO5" s="18" t="s">
        <v>38</v>
      </c>
      <c r="AP5" s="18" t="s">
        <v>38</v>
      </c>
      <c r="AQ5" s="22" t="n">
        <v>5</v>
      </c>
      <c r="AR5" s="23" t="n">
        <v>0</v>
      </c>
      <c r="AS5" s="23" t="n">
        <v>0</v>
      </c>
      <c r="AT5" s="23" t="n">
        <v>0</v>
      </c>
      <c r="AU5" s="23" t="n">
        <v>0</v>
      </c>
      <c r="AV5" s="24" t="n">
        <v>0</v>
      </c>
      <c r="AW5" s="24" t="n">
        <v>0</v>
      </c>
      <c r="AX5" s="24" t="n">
        <v>0.416666666666667</v>
      </c>
      <c r="AY5" s="24" t="n">
        <v>0.208333333333333</v>
      </c>
      <c r="AZ5" s="23" t="n">
        <v>0</v>
      </c>
      <c r="BA5" s="23" t="n">
        <v>0</v>
      </c>
      <c r="BB5" s="23" t="n">
        <v>0</v>
      </c>
      <c r="BC5" s="23" t="n">
        <v>0.208333333333333</v>
      </c>
      <c r="BD5" s="23" t="n">
        <v>0</v>
      </c>
      <c r="BE5" s="25" t="n">
        <v>0.208333333333333</v>
      </c>
      <c r="BF5" s="25" t="n">
        <v>0.208333333333333</v>
      </c>
      <c r="BG5" s="25" t="n">
        <v>0.208333333333333</v>
      </c>
      <c r="BH5" s="25" t="n">
        <v>0.208333333333333</v>
      </c>
      <c r="BI5" s="23" t="n">
        <v>0.208333333333333</v>
      </c>
      <c r="BJ5" s="23" t="n">
        <v>0.208333333333333</v>
      </c>
      <c r="BK5" s="23" t="n">
        <v>0.208333333333333</v>
      </c>
      <c r="BL5" s="23" t="n">
        <v>0.208333333333333</v>
      </c>
      <c r="BM5" s="23" t="n">
        <v>0.208333333333333</v>
      </c>
      <c r="BN5" s="24" t="n">
        <v>0.208333333333333</v>
      </c>
      <c r="BO5" s="24" t="n">
        <v>0.208333333333333</v>
      </c>
      <c r="BP5" s="24" t="n">
        <v>0.208333333333333</v>
      </c>
      <c r="BQ5" s="24" t="n">
        <v>0.208333333333333</v>
      </c>
      <c r="BR5" s="23" t="n">
        <v>0.208333333333333</v>
      </c>
      <c r="BS5" s="23" t="n">
        <v>0.208333333333333</v>
      </c>
      <c r="BT5" s="23" t="n">
        <v>0.208333333333333</v>
      </c>
      <c r="BU5" s="23" t="n">
        <v>0.208333333333333</v>
      </c>
      <c r="BV5" s="26" t="s">
        <v>39</v>
      </c>
      <c r="BW5" s="25" t="n">
        <v>0.208333333333333</v>
      </c>
      <c r="BX5" s="25" t="n">
        <v>0.208333333333333</v>
      </c>
      <c r="BY5" s="25" t="n">
        <v>0.208333333333333</v>
      </c>
      <c r="BZ5" s="25" t="n">
        <v>0.208333333333333</v>
      </c>
      <c r="CA5" s="23" t="n">
        <v>0.208333333333333</v>
      </c>
      <c r="CB5" s="23" t="n">
        <v>0.416666666666667</v>
      </c>
      <c r="CC5" s="26" t="s">
        <v>40</v>
      </c>
      <c r="CD5" s="23" t="n">
        <v>0.208333333333333</v>
      </c>
      <c r="CE5" s="25" t="n">
        <v>0.208333333333333</v>
      </c>
      <c r="CF5" s="25" t="n">
        <v>0.208333333333333</v>
      </c>
      <c r="CG5" s="25" t="n">
        <v>0</v>
      </c>
      <c r="CH5" s="26" t="s">
        <v>41</v>
      </c>
      <c r="CI5" s="23" t="n">
        <v>0</v>
      </c>
      <c r="CJ5" s="23" t="n">
        <v>0.208333333333333</v>
      </c>
      <c r="CK5" s="23" t="n">
        <v>0.208333333333333</v>
      </c>
      <c r="CL5" s="26" t="s">
        <v>42</v>
      </c>
      <c r="CM5" s="24" t="n">
        <v>0.208333333333333</v>
      </c>
      <c r="CN5" s="24" t="n">
        <v>0</v>
      </c>
      <c r="CO5" s="24" t="n">
        <v>0</v>
      </c>
      <c r="CP5" s="24" t="n">
        <v>0</v>
      </c>
      <c r="CQ5" s="24" t="n">
        <v>0</v>
      </c>
      <c r="CR5" s="27"/>
      <c r="CS5" s="28"/>
      <c r="CT5" s="29"/>
      <c r="CU5" s="30"/>
      <c r="CV5" s="30"/>
      <c r="CW5" s="30"/>
      <c r="CX5" s="30"/>
      <c r="CY5" s="30"/>
      <c r="CZ5" s="31"/>
      <c r="DA5" s="30"/>
      <c r="DB5" s="30"/>
      <c r="DC5" s="30"/>
      <c r="DD5" s="30"/>
      <c r="DE5" s="30"/>
      <c r="DF5" s="30"/>
      <c r="DG5" s="30"/>
      <c r="DH5" s="30"/>
      <c r="DI5" s="31"/>
      <c r="DJ5" s="30"/>
      <c r="DK5" s="30"/>
      <c r="DL5" s="30"/>
      <c r="DM5" s="30"/>
      <c r="DN5" s="30"/>
      <c r="DO5" s="30"/>
      <c r="DP5" s="30"/>
      <c r="DQ5" s="31"/>
      <c r="DR5" s="30"/>
      <c r="DS5" s="30"/>
      <c r="DT5" s="30"/>
      <c r="DU5" s="30"/>
      <c r="DV5" s="30"/>
      <c r="DW5" s="30"/>
      <c r="DX5" s="30"/>
      <c r="DY5" s="31"/>
      <c r="DZ5" s="31"/>
      <c r="EA5" s="30"/>
      <c r="EB5" s="30"/>
      <c r="EC5" s="30"/>
      <c r="ED5" s="30"/>
      <c r="EE5" s="30"/>
      <c r="EF5" s="31"/>
      <c r="EG5" s="30"/>
      <c r="EH5" s="30"/>
      <c r="EI5" s="32"/>
      <c r="EJ5" s="30"/>
      <c r="EK5" s="30"/>
      <c r="EL5" s="31"/>
      <c r="EM5" s="31"/>
      <c r="EN5" s="31"/>
      <c r="EO5" s="31"/>
      <c r="EP5" s="31"/>
      <c r="EQ5" s="31"/>
      <c r="ER5" s="31"/>
      <c r="ES5" s="31"/>
      <c r="ET5" s="31"/>
      <c r="EU5" s="30" t="n">
        <f aca="false">SUM(CU5:ET5)</f>
        <v>0</v>
      </c>
    </row>
    <row r="6" customFormat="false" ht="15" hidden="false" customHeight="false" outlineLevel="0" collapsed="false">
      <c r="A6" s="33" t="s">
        <v>43</v>
      </c>
      <c r="B6" s="33"/>
      <c r="C6" s="33"/>
      <c r="D6" s="33"/>
      <c r="E6" s="34"/>
      <c r="F6" s="35"/>
      <c r="G6" s="35"/>
      <c r="H6" s="36"/>
      <c r="I6" s="34"/>
      <c r="J6" s="35"/>
      <c r="K6" s="35"/>
      <c r="L6" s="37"/>
      <c r="M6" s="34"/>
      <c r="N6" s="38"/>
      <c r="O6" s="35"/>
      <c r="P6" s="35"/>
      <c r="Q6" s="34"/>
      <c r="R6" s="35"/>
      <c r="S6" s="35"/>
      <c r="T6" s="37"/>
      <c r="U6" s="34"/>
      <c r="V6" s="34"/>
      <c r="W6" s="35"/>
      <c r="X6" s="35"/>
      <c r="Y6" s="36"/>
      <c r="Z6" s="34"/>
      <c r="AA6" s="35"/>
      <c r="AB6" s="35"/>
      <c r="AC6" s="35"/>
      <c r="AD6" s="39"/>
      <c r="AE6" s="40"/>
      <c r="AF6" s="35"/>
      <c r="AG6" s="35"/>
      <c r="AH6" s="41"/>
      <c r="AI6" s="42"/>
      <c r="AJ6" s="35"/>
      <c r="AK6" s="35"/>
      <c r="AL6" s="43"/>
      <c r="AM6" s="40"/>
      <c r="AN6" s="35"/>
      <c r="AO6" s="35"/>
      <c r="AP6" s="43"/>
      <c r="AQ6" s="44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7" t="s">
        <v>44</v>
      </c>
      <c r="CI6" s="46"/>
      <c r="CJ6" s="46"/>
      <c r="CK6" s="46"/>
      <c r="CL6" s="46"/>
      <c r="CM6" s="46"/>
      <c r="CN6" s="48"/>
      <c r="CO6" s="48"/>
      <c r="CP6" s="48"/>
      <c r="CQ6" s="48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46"/>
      <c r="EJ6" s="46"/>
      <c r="EK6" s="46"/>
      <c r="EL6" s="46"/>
      <c r="EM6" s="46"/>
      <c r="EN6" s="46"/>
      <c r="EO6" s="46"/>
      <c r="EP6" s="46"/>
      <c r="ES6" s="49"/>
    </row>
    <row r="7" customFormat="false" ht="13.5" hidden="false" customHeight="true" outlineLevel="0" collapsed="false"/>
    <row r="8" customFormat="false" ht="13.5" hidden="false" customHeight="true" outlineLevel="0" collapsed="false">
      <c r="A8" s="50" t="s">
        <v>45</v>
      </c>
      <c r="B8" s="50"/>
      <c r="C8" s="50"/>
      <c r="D8" s="50"/>
    </row>
    <row r="9" customFormat="false" ht="15" hidden="false" customHeight="false" outlineLevel="0" collapsed="false">
      <c r="A9" s="50" t="s">
        <v>46</v>
      </c>
      <c r="B9" s="50"/>
      <c r="C9" s="50"/>
      <c r="D9" s="51" t="n">
        <v>6.875</v>
      </c>
      <c r="AR9" s="52" t="s">
        <v>16</v>
      </c>
      <c r="AS9" s="52"/>
      <c r="AT9" s="52"/>
      <c r="AU9" s="52"/>
      <c r="AV9" s="53" t="s">
        <v>17</v>
      </c>
      <c r="AW9" s="53"/>
      <c r="AX9" s="53"/>
      <c r="AY9" s="53"/>
      <c r="AZ9" s="52" t="s">
        <v>18</v>
      </c>
      <c r="BA9" s="52"/>
      <c r="BB9" s="52"/>
      <c r="BC9" s="52"/>
      <c r="BD9" s="52"/>
      <c r="BE9" s="54" t="s">
        <v>19</v>
      </c>
      <c r="BF9" s="54"/>
      <c r="BG9" s="54"/>
      <c r="BH9" s="54"/>
      <c r="BI9" s="55" t="s">
        <v>20</v>
      </c>
      <c r="BJ9" s="55"/>
      <c r="BK9" s="55"/>
      <c r="BL9" s="55"/>
      <c r="BM9" s="55"/>
      <c r="BN9" s="54" t="s">
        <v>47</v>
      </c>
      <c r="BO9" s="54"/>
      <c r="BP9" s="54"/>
      <c r="BQ9" s="54"/>
      <c r="BR9" s="55" t="s">
        <v>48</v>
      </c>
      <c r="BS9" s="55"/>
      <c r="BT9" s="55"/>
      <c r="BU9" s="55"/>
      <c r="BV9" s="54" t="s">
        <v>49</v>
      </c>
      <c r="BW9" s="54"/>
      <c r="BX9" s="54"/>
      <c r="BY9" s="54"/>
      <c r="BZ9" s="54"/>
      <c r="CA9" s="55" t="s">
        <v>50</v>
      </c>
      <c r="CB9" s="55"/>
      <c r="CC9" s="55"/>
      <c r="CD9" s="55"/>
      <c r="CE9" s="54" t="s">
        <v>51</v>
      </c>
      <c r="CF9" s="54"/>
      <c r="CG9" s="54"/>
      <c r="CH9" s="54"/>
      <c r="CI9" s="55" t="s">
        <v>52</v>
      </c>
      <c r="CJ9" s="55"/>
      <c r="CK9" s="55"/>
      <c r="CL9" s="55"/>
      <c r="CM9" s="55"/>
      <c r="CN9" s="54" t="s">
        <v>53</v>
      </c>
      <c r="CO9" s="54"/>
      <c r="CP9" s="54"/>
      <c r="CQ9" s="54"/>
      <c r="CU9" s="52" t="s">
        <v>16</v>
      </c>
      <c r="CV9" s="52"/>
      <c r="CW9" s="52"/>
      <c r="CX9" s="52"/>
      <c r="CY9" s="52" t="s">
        <v>17</v>
      </c>
      <c r="CZ9" s="52"/>
      <c r="DA9" s="52"/>
      <c r="DB9" s="52"/>
      <c r="DC9" s="52" t="s">
        <v>18</v>
      </c>
      <c r="DD9" s="52"/>
      <c r="DE9" s="52"/>
      <c r="DF9" s="52"/>
      <c r="DG9" s="52"/>
      <c r="DH9" s="55" t="s">
        <v>19</v>
      </c>
      <c r="DI9" s="55"/>
      <c r="DJ9" s="55"/>
      <c r="DK9" s="55"/>
      <c r="DL9" s="55" t="s">
        <v>20</v>
      </c>
      <c r="DM9" s="55"/>
      <c r="DN9" s="55"/>
      <c r="DO9" s="55"/>
      <c r="DP9" s="55"/>
      <c r="DQ9" s="55" t="s">
        <v>47</v>
      </c>
      <c r="DR9" s="55"/>
      <c r="DS9" s="55"/>
      <c r="DT9" s="55"/>
      <c r="DU9" s="55" t="s">
        <v>48</v>
      </c>
      <c r="DV9" s="55"/>
      <c r="DW9" s="55"/>
      <c r="DX9" s="55"/>
      <c r="DY9" s="55" t="s">
        <v>49</v>
      </c>
      <c r="DZ9" s="55"/>
      <c r="EA9" s="55"/>
      <c r="EB9" s="55"/>
      <c r="EC9" s="55"/>
      <c r="ED9" s="55" t="s">
        <v>50</v>
      </c>
      <c r="EE9" s="55"/>
      <c r="EF9" s="55"/>
      <c r="EG9" s="55"/>
      <c r="EH9" s="55" t="s">
        <v>51</v>
      </c>
      <c r="EI9" s="55"/>
      <c r="EJ9" s="55"/>
      <c r="EK9" s="55"/>
      <c r="EL9" s="55" t="s">
        <v>52</v>
      </c>
      <c r="EM9" s="55"/>
      <c r="EN9" s="55"/>
      <c r="EO9" s="55"/>
      <c r="EP9" s="55"/>
      <c r="EQ9" s="55" t="s">
        <v>53</v>
      </c>
      <c r="ER9" s="55"/>
      <c r="ES9" s="55"/>
      <c r="ET9" s="55"/>
      <c r="EU9" s="55" t="s">
        <v>6</v>
      </c>
    </row>
    <row r="10" customFormat="false" ht="13.5" hidden="false" customHeight="true" outlineLevel="0" collapsed="false">
      <c r="A10" s="50" t="s">
        <v>54</v>
      </c>
      <c r="B10" s="50"/>
      <c r="C10" s="50"/>
      <c r="D10" s="51" t="n">
        <v>0.625</v>
      </c>
      <c r="AR10" s="56" t="n">
        <v>0</v>
      </c>
      <c r="AS10" s="56"/>
      <c r="AT10" s="56"/>
      <c r="AU10" s="56"/>
      <c r="AV10" s="57" t="n">
        <v>0.625</v>
      </c>
      <c r="AW10" s="57"/>
      <c r="AX10" s="57"/>
      <c r="AY10" s="57"/>
      <c r="AZ10" s="56" t="n">
        <v>0.208333333333333</v>
      </c>
      <c r="BA10" s="56"/>
      <c r="BB10" s="56"/>
      <c r="BC10" s="56"/>
      <c r="BD10" s="56"/>
      <c r="BE10" s="58" t="n">
        <v>0.833333333333333</v>
      </c>
      <c r="BF10" s="58"/>
      <c r="BG10" s="58"/>
      <c r="BH10" s="58"/>
      <c r="BI10" s="56" t="n">
        <v>0.833333333333333</v>
      </c>
      <c r="BJ10" s="56"/>
      <c r="BK10" s="56"/>
      <c r="BL10" s="56"/>
      <c r="BM10" s="56"/>
      <c r="BN10" s="59" t="n">
        <v>0.833333333333333</v>
      </c>
      <c r="BO10" s="59"/>
      <c r="BP10" s="59"/>
      <c r="BQ10" s="59"/>
      <c r="BR10" s="60" t="n">
        <v>0.833333333333333</v>
      </c>
      <c r="BS10" s="60"/>
      <c r="BT10" s="60"/>
      <c r="BU10" s="60"/>
      <c r="BV10" s="59" t="n">
        <v>0.833333333333333</v>
      </c>
      <c r="BW10" s="59"/>
      <c r="BX10" s="59"/>
      <c r="BY10" s="59"/>
      <c r="BZ10" s="59"/>
      <c r="CA10" s="60" t="n">
        <v>0.833333333333333</v>
      </c>
      <c r="CB10" s="60"/>
      <c r="CC10" s="60"/>
      <c r="CD10" s="60"/>
      <c r="CE10" s="59" t="n">
        <v>0.416666666666667</v>
      </c>
      <c r="CF10" s="59"/>
      <c r="CG10" s="59"/>
      <c r="CH10" s="59"/>
      <c r="CI10" s="60" t="n">
        <v>0.416666666666667</v>
      </c>
      <c r="CJ10" s="60"/>
      <c r="CK10" s="60"/>
      <c r="CL10" s="60"/>
      <c r="CM10" s="60"/>
      <c r="CN10" s="59" t="n">
        <v>0.208333333333333</v>
      </c>
      <c r="CO10" s="59"/>
      <c r="CP10" s="59"/>
      <c r="CQ10" s="59"/>
      <c r="CU10" s="52" t="e">
        <f aca="false">SUM(CU5,CV5,CW5,CX5,#REF!,#REF!,#REF!,#REF!)</f>
        <v>#REF!</v>
      </c>
      <c r="CV10" s="52"/>
      <c r="CW10" s="52"/>
      <c r="CX10" s="52"/>
      <c r="CY10" s="52" t="e">
        <f aca="false">SUM(CY5,CZ5,DA5,DB5,#REF!,#REF!,#REF!,#REF!)</f>
        <v>#REF!</v>
      </c>
      <c r="CZ10" s="52"/>
      <c r="DA10" s="52"/>
      <c r="DB10" s="52"/>
      <c r="DC10" s="52" t="e">
        <f aca="false">SUM(DC5:DG5,#REF!,#REF!,#REF!,#REF!,#REF!)</f>
        <v>#REF!</v>
      </c>
      <c r="DD10" s="52"/>
      <c r="DE10" s="52"/>
      <c r="DF10" s="52"/>
      <c r="DG10" s="52"/>
      <c r="DH10" s="55" t="e">
        <f aca="false">SUM(DH5:DK5,#REF!,#REF!,#REF!,#REF!)</f>
        <v>#REF!</v>
      </c>
      <c r="DI10" s="55"/>
      <c r="DJ10" s="55"/>
      <c r="DK10" s="55"/>
      <c r="DL10" s="55" t="e">
        <f aca="false">SUM(DL5:DP5,#REF!,#REF!,#REF!,#REF!,#REF!)</f>
        <v>#REF!</v>
      </c>
      <c r="DM10" s="55"/>
      <c r="DN10" s="55"/>
      <c r="DO10" s="55"/>
      <c r="DP10" s="55"/>
      <c r="DQ10" s="55" t="e">
        <f aca="false">SUM(DR5:DT5,#REF!,#REF!,#REF!,#REF!)</f>
        <v>#REF!</v>
      </c>
      <c r="DR10" s="55"/>
      <c r="DS10" s="55"/>
      <c r="DT10" s="55"/>
      <c r="DU10" s="55" t="e">
        <f aca="false">SUM(DU5:DY5,#REF!,#REF!,#REF!,#REF!)</f>
        <v>#REF!</v>
      </c>
      <c r="DV10" s="55"/>
      <c r="DW10" s="55"/>
      <c r="DX10" s="55"/>
      <c r="DY10" s="55" t="e">
        <f aca="false">SUM(EA5,EB5,EC5,#REF!,#REF!,#REF!,#REF!)</f>
        <v>#REF!</v>
      </c>
      <c r="DZ10" s="55"/>
      <c r="EA10" s="55"/>
      <c r="EB10" s="55"/>
      <c r="EC10" s="55"/>
      <c r="ED10" s="55" t="e">
        <f aca="false">SUM(ED5:EG5,#REF!,#REF!,#REF!,#REF!)</f>
        <v>#REF!</v>
      </c>
      <c r="EE10" s="55"/>
      <c r="EF10" s="55"/>
      <c r="EG10" s="55"/>
      <c r="EH10" s="55" t="e">
        <f aca="false">SUM(EH5:EK5,#REF!,#REF!,#REF!,#REF!)</f>
        <v>#REF!</v>
      </c>
      <c r="EI10" s="55"/>
      <c r="EJ10" s="55"/>
      <c r="EK10" s="55"/>
      <c r="EL10" s="55" t="e">
        <f aca="false">SUM(EL5:EP5,#REF!,#REF!,#REF!,#REF!,#REF!)</f>
        <v>#REF!</v>
      </c>
      <c r="EM10" s="55"/>
      <c r="EN10" s="55"/>
      <c r="EO10" s="55"/>
      <c r="EP10" s="55"/>
      <c r="EQ10" s="55" t="e">
        <f aca="false">SUM(EQ5:ET5,#REF!,#REF!,#REF!,#REF!)</f>
        <v>#REF!</v>
      </c>
      <c r="ER10" s="55"/>
      <c r="ES10" s="55"/>
      <c r="ET10" s="55"/>
      <c r="EU10" s="55" t="e">
        <f aca="false">SUM(CU10:ET10)</f>
        <v>#REF!</v>
      </c>
    </row>
    <row r="11" customFormat="false" ht="13.5" hidden="false" customHeight="true" outlineLevel="0" collapsed="false">
      <c r="A11" s="61" t="s">
        <v>55</v>
      </c>
      <c r="B11" s="61"/>
      <c r="C11" s="61"/>
      <c r="D11" s="51" t="n">
        <f aca="false">D9-D10</f>
        <v>6.25</v>
      </c>
    </row>
    <row r="12" customFormat="false" ht="13.5" hidden="false" customHeight="true" outlineLevel="0" collapsed="false">
      <c r="AR12" s="62"/>
      <c r="AS12" s="62"/>
      <c r="AT12" s="62"/>
      <c r="AU12" s="62"/>
      <c r="AV12" s="62"/>
      <c r="AW12" s="62"/>
      <c r="AX12" s="62"/>
      <c r="AY12" s="62"/>
    </row>
    <row r="13" customFormat="false" ht="13.5" hidden="false" customHeight="true" outlineLevel="0" collapsed="false">
      <c r="D13" s="63"/>
      <c r="AR13" s="62"/>
      <c r="AS13" s="62"/>
      <c r="AT13" s="62"/>
      <c r="AU13" s="62"/>
    </row>
    <row r="14" customFormat="false" ht="13.5" hidden="false" customHeight="true" outlineLevel="0" collapsed="false">
      <c r="AR14" s="64"/>
    </row>
    <row r="15" customFormat="false" ht="13.5" hidden="false" customHeight="true" outlineLevel="0" collapsed="false">
      <c r="B15" s="65" t="s">
        <v>56</v>
      </c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</row>
    <row r="16" customFormat="false" ht="13.5" hidden="false" customHeight="true" outlineLevel="0" collapsed="false"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</row>
    <row r="17" customFormat="false" ht="13.5" hidden="false" customHeight="true" outlineLevel="0" collapsed="false"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CH17" s="66"/>
    </row>
    <row r="18" customFormat="false" ht="13.5" hidden="false" customHeight="true" outlineLevel="0" collapsed="false"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</row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99">
    <mergeCell ref="A1:FN1"/>
    <mergeCell ref="A2:DR2"/>
    <mergeCell ref="A3:A4"/>
    <mergeCell ref="B3:B4"/>
    <mergeCell ref="C3:C4"/>
    <mergeCell ref="D3:D4"/>
    <mergeCell ref="E3:AQ3"/>
    <mergeCell ref="AR3:CQ3"/>
    <mergeCell ref="CR3:CR4"/>
    <mergeCell ref="CS3:CS4"/>
    <mergeCell ref="CT3:CT4"/>
    <mergeCell ref="CU3:ET3"/>
    <mergeCell ref="E4:H4"/>
    <mergeCell ref="I4:L4"/>
    <mergeCell ref="M4:P4"/>
    <mergeCell ref="Q4:T4"/>
    <mergeCell ref="U4:Y4"/>
    <mergeCell ref="Z4:AD4"/>
    <mergeCell ref="AE4:AH4"/>
    <mergeCell ref="AI4:AL4"/>
    <mergeCell ref="AM4:AQ4"/>
    <mergeCell ref="AR4:AU4"/>
    <mergeCell ref="AV4:AY4"/>
    <mergeCell ref="AZ4:BD4"/>
    <mergeCell ref="BE4:BH4"/>
    <mergeCell ref="BI4:BM4"/>
    <mergeCell ref="BN4:BQ4"/>
    <mergeCell ref="BR4:BU4"/>
    <mergeCell ref="BV4:BZ4"/>
    <mergeCell ref="CA4:CD4"/>
    <mergeCell ref="CE4:CH4"/>
    <mergeCell ref="CI4:CM4"/>
    <mergeCell ref="CN4:CQ4"/>
    <mergeCell ref="CU4:CX4"/>
    <mergeCell ref="CY4:DB4"/>
    <mergeCell ref="DC4:DG4"/>
    <mergeCell ref="DH4:DK4"/>
    <mergeCell ref="DL4:DP4"/>
    <mergeCell ref="DQ4:DT4"/>
    <mergeCell ref="DU4:DX4"/>
    <mergeCell ref="DY4:EC4"/>
    <mergeCell ref="ED4:EG4"/>
    <mergeCell ref="EH4:EK4"/>
    <mergeCell ref="EL4:EP4"/>
    <mergeCell ref="EQ4:ET4"/>
    <mergeCell ref="A6:D6"/>
    <mergeCell ref="A8:D8"/>
    <mergeCell ref="A9:C9"/>
    <mergeCell ref="AR9:AU9"/>
    <mergeCell ref="AV9:AY9"/>
    <mergeCell ref="AZ9:BD9"/>
    <mergeCell ref="BE9:BH9"/>
    <mergeCell ref="BI9:BM9"/>
    <mergeCell ref="BN9:BQ9"/>
    <mergeCell ref="BR9:BU9"/>
    <mergeCell ref="BV9:BZ9"/>
    <mergeCell ref="CA9:CD9"/>
    <mergeCell ref="CE9:CH9"/>
    <mergeCell ref="CI9:CM9"/>
    <mergeCell ref="CN9:CQ9"/>
    <mergeCell ref="CU9:CX9"/>
    <mergeCell ref="CY9:DB9"/>
    <mergeCell ref="DC9:DG9"/>
    <mergeCell ref="DH9:DK9"/>
    <mergeCell ref="DL9:DP9"/>
    <mergeCell ref="DQ9:DT9"/>
    <mergeCell ref="DU9:DX9"/>
    <mergeCell ref="DY9:EC9"/>
    <mergeCell ref="ED9:EG9"/>
    <mergeCell ref="EH9:EK9"/>
    <mergeCell ref="EL9:EP9"/>
    <mergeCell ref="EQ9:ET9"/>
    <mergeCell ref="A10:C10"/>
    <mergeCell ref="AR10:AU10"/>
    <mergeCell ref="AV10:AY10"/>
    <mergeCell ref="AZ10:BD10"/>
    <mergeCell ref="BE10:BH10"/>
    <mergeCell ref="BI10:BM10"/>
    <mergeCell ref="BN10:BQ10"/>
    <mergeCell ref="BR10:BU10"/>
    <mergeCell ref="BV10:BZ10"/>
    <mergeCell ref="CA10:CD10"/>
    <mergeCell ref="CE10:CH10"/>
    <mergeCell ref="CI10:CM10"/>
    <mergeCell ref="CN10:CQ10"/>
    <mergeCell ref="CU10:CX10"/>
    <mergeCell ref="CY10:DB10"/>
    <mergeCell ref="DC10:DG10"/>
    <mergeCell ref="DH10:DK10"/>
    <mergeCell ref="DL10:DP10"/>
    <mergeCell ref="DQ10:DT10"/>
    <mergeCell ref="DU10:DX10"/>
    <mergeCell ref="DY10:EC10"/>
    <mergeCell ref="ED10:EG10"/>
    <mergeCell ref="EH10:EK10"/>
    <mergeCell ref="EL10:EP10"/>
    <mergeCell ref="EQ10:ET10"/>
    <mergeCell ref="A11:C11"/>
    <mergeCell ref="B15:AU18"/>
  </mergeCells>
  <printOptions headings="false" gridLines="false" gridLinesSet="true" horizontalCentered="false" verticalCentered="false"/>
  <pageMargins left="0" right="0" top="0.39375" bottom="0.39375" header="0" footer="0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LibreOffice/24.2.6.2$Windows_x86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2021-03-29T09:56:17Z</dcterms:created>
  <dc:creator>COMANDANTE DO ELOG</dc:creator>
  <dc:description/>
  <dc:language>pt-BR</dc:language>
  <cp:lastModifiedBy/>
  <dcterms:modified xsi:type="dcterms:W3CDTF">2026-08-12T15:00:42Z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
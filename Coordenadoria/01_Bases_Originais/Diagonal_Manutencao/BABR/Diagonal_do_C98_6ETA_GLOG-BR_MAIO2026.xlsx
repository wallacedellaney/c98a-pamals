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IAGONAL 2026" sheetId="1" r:id="rId4"/>
  </sheets>
  <definedNames/>
  <calcPr/>
  <extLst>
    <ext uri="GoogleSheetsCustomDataVersion2">
      <go:sheetsCustomData xmlns:go="http://customooxmlschemas.google.com/" r:id="rId5" roundtripDataChecksum="GG2CG2POgxlR5ATSR61c6u3mEETjwu3vy7IZShTD0uo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H3">
      <text>
        <t xml:space="preserve">======
ID#AAAB57hFX-o
tc={1a1de94e-f71c-42bb-b410-66346b3e20a2}    (2026-05-08 13:42:03)
[Threaded comment]
 Your version of Excel allows you to read this threaded comment; however, any edits to it will get removed if the file is opened in a newer version of Excel. Learn more: https://go.microsoft.com/fwlink/?linkid=870924
Comment:
	Coluna para registrar dados de FEVEREIRO.</t>
      </text>
    </comment>
    <comment authorId="0" ref="CV4">
      <text>
        <t xml:space="preserve">======
ID#AAAB57hFX-k
tc={ab9519f6-2576-4ad1-9a54-4cc55afed152}    (2026-05-08 13:42:03)
[Threaded comment]
 Your version of Excel allows you to read this threaded comment; however, any edits to it will get removed if the file is opened in a newer version of Excel. Learn more: https://go.microsoft.com/fwlink/?linkid=870924
Comment:
	Dados da semana 1 do mês.</t>
      </text>
    </comment>
    <comment authorId="0" ref="T4">
      <text>
        <t xml:space="preserve">======
ID#AAAB57hFX-g
tc={292e0940-fb40-42a5-9f2d-348d99c11e57}    (2026-05-08 13:42:03)
[Threaded comment]
 Your version of Excel allows you to read this threaded comment; however, any edits to it will get removed if the file is opened in a newer version of Excel. Learn more: https://go.microsoft.com/fwlink/?linkid=870924
Comment:
	Dados da semana 3 do mês.</t>
      </text>
    </comment>
    <comment authorId="0" ref="CJ4">
      <text>
        <t xml:space="preserve">======
ID#AAAB57hFX-c
tc={47e149f4-e028-45f2-8fc8-f7f736c200e0}    (2026-05-08 13:42:03)
[Threaded comment]
 Your version of Excel allows you to read this threaded comment; however, any edits to it will get removed if the file is opened in a newer version of Excel. Learn more: https://go.microsoft.com/fwlink/?linkid=870924
Comment:
	Dados da semana 1 do mês.</t>
      </text>
    </comment>
    <comment authorId="0" ref="BV4">
      <text>
        <t xml:space="preserve">======
ID#AAAB57hFX-Y
tc={faea3e8d-7b5c-4f85-b497-693dd04504e3}    (2026-05-08 13:42:03)
[Threaded comment]
 Your version of Excel allows you to read this threaded comment; however, any edits to it will get removed if the file is opened in a newer version of Excel. Learn more: https://go.microsoft.com/fwlink/?linkid=870924
Comment:
	Dados da semana 3 do mês.</t>
      </text>
    </comment>
    <comment authorId="0" ref="AT4">
      <text>
        <t xml:space="preserve">======
ID#AAAB57hFX-U
tc={1ea68766-c162-4a43-a19d-c2031da4eb98}    (2026-05-08 13:42:03)
[Threaded comment]
 Your version of Excel allows you to read this threaded comment; however, any edits to it will get removed if the file is opened in a newer version of Excel. Learn more: https://go.microsoft.com/fwlink/?linkid=870924
Comment:
	Dados da semana 1 do mês.</t>
      </text>
    </comment>
    <comment authorId="0" ref="F2">
      <text>
        <t xml:space="preserve">======
ID#AAAB57hFX-Q
tc={515b94d5-af40-4620-9833-0bfdd79bff5f}    (2026-05-08 13:42:03)
[Threaded comment]
 Your version of Excel allows you to read this threaded comment; however, any edits to it will get removed if the file is opened in a newer version of Excel. Learn more: https://go.microsoft.com/fwlink/?linkid=870924
Comment:
	Seção para registrar as inspeções e horas de voo para o ano de 2025.</t>
      </text>
    </comment>
    <comment authorId="0" ref="AF4">
      <text>
        <t xml:space="preserve">======
ID#AAAB57hFX-M
tc={6af841e5-a3f6-4361-bbfd-0f859f8b4874}    (2026-05-08 13:42:03)
[Threaded comment]
 Your version of Excel allows you to read this threaded comment; however, any edits to it will get removed if the file is opened in a newer version of Excel. Learn more: https://go.microsoft.com/fwlink/?linkid=870924
Comment:
	Dados da semana 3 do mês.</t>
      </text>
    </comment>
    <comment authorId="0" ref="G4">
      <text>
        <t xml:space="preserve">======
ID#AAAB57hFX-I
tc={df177e93-18ba-4cf5-bd9b-4c852b978736}    (2026-05-08 13:42:03)
[Threaded comment]
 Your version of Excel allows you to read this threaded comment; however, any edits to it will get removed if the file is opened in a newer version of Excel. Learn more: https://go.microsoft.com/fwlink/?linkid=870924
Comment:
	Dados da semana 2 do mês.</t>
      </text>
    </comment>
    <comment authorId="0" ref="R3">
      <text>
        <t xml:space="preserve">======
ID#AAAB57hFX-E
tc={cebbdab7-b9ed-466c-bd82-8a7531a26a10}    (2026-05-08 13:42:03)
[Threaded comment]
 Your version of Excel allows you to read this threaded comment; however, any edits to it will get removed if the file is opened in a newer version of Excel. Learn more: https://go.microsoft.com/fwlink/?linkid=870924
Comment:
	Coluna para registrar dados de ABRIL.</t>
      </text>
    </comment>
    <comment authorId="0" ref="AX3">
      <text>
        <t xml:space="preserve">======
ID#AAAB57hFX-A
tc={8cdaddb5-8e4d-4844-b89b-fcf85eeb8b2b}    (2026-05-08 13:42:03)
[Threaded comment]
 Your version of Excel allows you to read this threaded comment; however, any edits to it will get removed if the file is opened in a newer version of Excel. Learn more: https://go.microsoft.com/fwlink/?linkid=870924
Comment:
	Coluna para registrar dados de DEZEMBRO.</t>
      </text>
    </comment>
    <comment authorId="0" ref="BL3">
      <text>
        <t xml:space="preserve">======
ID#AAAB57hFX98
tc={773e9706-35b1-40df-9a3f-96879e20d3ed}    (2026-05-08 13:42:03)
[Threaded comment]
 Your version of Excel allows you to read this threaded comment; however, any edits to it will get removed if the file is opened in a newer version of Excel. Learn more: https://go.microsoft.com/fwlink/?linkid=870924
Comment:
	Coluna para registrar dados de MARÇO.</t>
      </text>
    </comment>
    <comment authorId="0" ref="CZ7">
      <text>
        <t xml:space="preserve">======
ID#AAAB57hFX94
    (2026-05-08 13:42:03)
* 02:15 H VOADAS PELO ESFORÇO DO 1º/15º GAV NA ANV 2720 EM 06 e 07/03/26.</t>
      </text>
    </comment>
    <comment authorId="0" ref="AI4">
      <text>
        <t xml:space="preserve">======
ID#AAAB57hFX90
tc={3b72b5d2-137f-4d6b-8873-165b72a3879e}    (2026-05-08 13:42:03)
[Threaded comment]
 Your version of Excel allows you to read this threaded comment; however, any edits to it will get removed if the file is opened in a newer version of Excel. Learn more: https://go.microsoft.com/fwlink/?linkid=870924
Comment:
	Dados da semana 2 do mês.</t>
      </text>
    </comment>
    <comment authorId="0" ref="AR4">
      <text>
        <t xml:space="preserve">======
ID#AAAB57hFX9w
tc={fb9769e6-6b03-4544-acf8-94722ce2802e}    (2026-05-08 13:42:03)
[Threaded comment]
 Your version of Excel allows you to read this threaded comment; however, any edits to it will get removed if the file is opened in a newer version of Excel. Learn more: https://go.microsoft.com/fwlink/?linkid=870924
Comment:
	Dados da semana 3 do mês.</t>
      </text>
    </comment>
    <comment authorId="0" ref="CM4">
      <text>
        <t xml:space="preserve">======
ID#AAAB57hFX9s
tc={91d3ea1a-6424-420a-9621-4d01ad5381a3}    (2026-05-08 13:42:03)
[Threaded comment]
 Your version of Excel allows you to read this threaded comment; however, any edits to it will get removed if the file is opened in a newer version of Excel. Learn more: https://go.microsoft.com/fwlink/?linkid=870924
Comment:
	Dados da semana 4 do mês.</t>
      </text>
    </comment>
    <comment authorId="0" ref="CG4">
      <text>
        <t xml:space="preserve">======
ID#AAAB57hFX9o
tc={8d47934b-6b8f-4390-9809-cad1c7a204c3}    (2026-05-08 13:42:03)
[Threaded comment]
 Your version of Excel allows you to read this threaded comment; however, any edits to it will get removed if the file is opened in a newer version of Excel. Learn more: https://go.microsoft.com/fwlink/?linkid=870924
Comment:
	Dados da semana 2 do mês.</t>
      </text>
    </comment>
    <comment authorId="0" ref="CR4">
      <text>
        <t xml:space="preserve">======
ID#AAAB57hFX9k
tc={0cca3a19-84bb-4866-8021-581b246e18cc}    (2026-05-08 13:42:03)
[Threaded comment]
 Your version of Excel allows you to read this threaded comment; however, any edits to it will get removed if the file is opened in a newer version of Excel. Learn more: https://go.microsoft.com/fwlink/?linkid=870924
Comment:
	Dados da semana 1 do mês.</t>
      </text>
    </comment>
    <comment authorId="0" ref="AC4">
      <text>
        <t xml:space="preserve">======
ID#AAAB57hFX9g
tc={7313bb4c-de46-4cd0-a947-c2c14633a98d}    (2026-05-08 13:42:03)
[Threaded comment]
 Your version of Excel allows you to read this threaded comment; however, any edits to it will get removed if the file is opened in a newer version of Excel. Learn more: https://go.microsoft.com/fwlink/?linkid=870924
Comment:
	Dados da semana 4 do mês.</t>
      </text>
    </comment>
    <comment authorId="0" ref="CH4">
      <text>
        <t xml:space="preserve">======
ID#AAAB57hFX9c
tc={1993849e-cf5d-4cfa-8234-b4266b50901a}    (2026-05-08 13:42:03)
[Threaded comment]
 Your version of Excel allows you to read this threaded comment; however, any edits to it will get removed if the file is opened in a newer version of Excel. Learn more: https://go.microsoft.com/fwlink/?linkid=870924
Comment:
	Dados da semana 3 do mês.</t>
      </text>
    </comment>
    <comment authorId="0" ref="BN4">
      <text>
        <t xml:space="preserve">======
ID#AAAB57hFX9Y
tc={b7b40df4-1a5e-4b8e-ba97-8923dee220c5}    (2026-05-08 13:42:03)
[Threaded comment]
 Your version of Excel allows you to read this threaded comment; however, any edits to it will get removed if the file is opened in a newer version of Excel. Learn more: https://go.microsoft.com/fwlink/?linkid=870924
Comment:
	Dados da semana 3 do mês.</t>
      </text>
    </comment>
    <comment authorId="0" ref="J4">
      <text>
        <t xml:space="preserve">======
ID#AAAB57hFX9U
tc={61c3c6b3-fc44-487e-9b2c-7581e37e5d23}    (2026-05-08 13:42:03)
[Threaded comment]
 Your version of Excel allows you to read this threaded comment; however, any edits to it will get removed if the file is opened in a newer version of Excel. Learn more: https://go.microsoft.com/fwlink/?linkid=870924
Comment:
	Dados da semana 1 do mês.</t>
      </text>
    </comment>
    <comment authorId="0" ref="CK4">
      <text>
        <t xml:space="preserve">======
ID#AAAB57hFX9Q
tc={2262164e-edc1-4e41-8b0e-bb493460b7c4}    (2026-05-08 13:42:03)
[Threaded comment]
 Your version of Excel allows you to read this threaded comment; however, any edits to it will get removed if the file is opened in a newer version of Excel. Learn more: https://go.microsoft.com/fwlink/?linkid=870924
Comment:
	Dados da semana 2 do mês.</t>
      </text>
    </comment>
    <comment authorId="0" ref="CB3">
      <text>
        <t xml:space="preserve">======
ID#AAAB57hFX9M
tc={baa0b744-d9d3-48c8-83c0-42231d8d6d84}    (2026-05-08 13:42:03)
[Threaded comment]
 Your version of Excel allows you to read this threaded comment; however, any edits to it will get removed if the file is opened in a newer version of Excel. Learn more: https://go.microsoft.com/fwlink/?linkid=870924
Comment:
	Coluna para registrar dados de JULHO.</t>
      </text>
    </comment>
    <comment authorId="0" ref="CR3">
      <text>
        <t xml:space="preserve">======
ID#AAAB57hFX9I
tc={2a4e2026-8963-4f8e-8bbb-6198b9bd48ec}    (2026-05-08 13:42:03)
[Threaded comment]
 Your version of Excel allows you to read this threaded comment; however, any edits to it will get removed if the file is opened in a newer version of Excel. Learn more: https://go.microsoft.com/fwlink/?linkid=870924
Comment:
	Coluna para registrar dados de NOVEMBRO.</t>
      </text>
    </comment>
    <comment authorId="0" ref="AK4">
      <text>
        <t xml:space="preserve">======
ID#AAAB57hFX9E
tc={a4132a3a-df71-450d-bebf-11fef8b4400e}    (2026-05-08 13:42:03)
[Threaded comment]
 Your version of Excel allows you to read this threaded comment; however, any edits to it will get removed if the file is opened in a newer version of Excel. Learn more: https://go.microsoft.com/fwlink/?linkid=870924
Comment:
	Dados da semana 4 do mês.</t>
      </text>
    </comment>
    <comment authorId="0" ref="BM4">
      <text>
        <t xml:space="preserve">======
ID#AAAB57hFX9A
tc={014915b9-74ea-4980-b0f6-2c45ea36074f}    (2026-05-08 13:42:03)
[Threaded comment]
 Your version of Excel allows you to read this threaded comment; however, any edits to it will get removed if the file is opened in a newer version of Excel. Learn more: https://go.microsoft.com/fwlink/?linkid=870924
Comment:
	Dados da semana 2 do mês.</t>
      </text>
    </comment>
    <comment authorId="0" ref="W4">
      <text>
        <t xml:space="preserve">======
ID#AAAB57hFX88
tc={a7f23411-7619-40c7-b134-dcea026255b1}    (2026-05-08 13:42:03)
[Threaded comment]
 Your version of Excel allows you to read this threaded comment; however, any edits to it will get removed if the file is opened in a newer version of Excel. Learn more: https://go.microsoft.com/fwlink/?linkid=870924
Comment:
	Dados da semana 2 do mês.</t>
      </text>
    </comment>
    <comment authorId="0" ref="BX4">
      <text>
        <t xml:space="preserve">======
ID#AAAB57hFX84
tc={e679324d-07d4-4991-a0b4-f5f367a530bc}    (2026-05-08 13:42:03)
[Threaded comment]
 Your version of Excel allows you to read this threaded comment; however, any edits to it will get removed if the file is opened in a newer version of Excel. Learn more: https://go.microsoft.com/fwlink/?linkid=870924
Comment:
	Dados da semana 1 do mês.</t>
      </text>
    </comment>
    <comment authorId="0" ref="Z3">
      <text>
        <t xml:space="preserve">======
ID#AAAB57hFX80
tc={de3cbd67-6397-4554-bd2f-99e99477a960}    (2026-05-08 13:42:03)
[Threaded comment]
 Your version of Excel allows you to read this threaded comment; however, any edits to it will get removed if the file is opened in a newer version of Excel. Learn more: https://go.microsoft.com/fwlink/?linkid=870924
Comment:
	Coluna para registrar dados de JUNHO.</t>
      </text>
    </comment>
    <comment authorId="0" ref="AV4">
      <text>
        <t xml:space="preserve">======
ID#AAAB57hFX8w
tc={a365c9d6-8106-4679-8bb4-dbe35d272452}    (2026-05-08 13:42:03)
[Threaded comment]
 Your version of Excel allows you to read this threaded comment; however, any edits to it will get removed if the file is opened in a newer version of Excel. Learn more: https://go.microsoft.com/fwlink/?linkid=870924
Comment:
	Dados da semana 3 do mês.</t>
      </text>
    </comment>
    <comment authorId="0" ref="BK4">
      <text>
        <t xml:space="preserve">======
ID#AAAB57hFX8s
tc={17f33201-4587-45ed-bf82-2a10e74f1225}    (2026-05-08 13:42:03)
[Threaded comment]
 Your version of Excel allows you to read this threaded comment; however, any edits to it will get removed if the file is opened in a newer version of Excel. Learn more: https://go.microsoft.com/fwlink/?linkid=870924
Comment:
	Dados da semana 4 do mês.</t>
      </text>
    </comment>
    <comment authorId="0" ref="N3">
      <text>
        <t xml:space="preserve">======
ID#AAAB57hFX8o
tc={6654c731-1bef-4286-8a10-6bd4fd0babd4}    (2026-05-08 13:42:03)
[Threaded comment]
 Your version of Excel allows you to read this threaded comment; however, any edits to it will get removed if the file is opened in a newer version of Excel. Learn more: https://go.microsoft.com/fwlink/?linkid=870924
Comment:
	Coluna para registrar dados de MARÇO.</t>
      </text>
    </comment>
    <comment authorId="0" ref="AY4">
      <text>
        <t xml:space="preserve">======
ID#AAAB57hFX8k
tc={804406dc-cd2e-43f0-9fa0-d7a99fa5ee53}    (2026-05-08 13:42:03)
[Threaded comment]
 Your version of Excel allows you to read this threaded comment; however, any edits to it will get removed if the file is opened in a newer version of Excel. Learn more: https://go.microsoft.com/fwlink/?linkid=870924
Comment:
	Dados da semana 2 do mês.</t>
      </text>
    </comment>
    <comment authorId="0" ref="CZ9">
      <text>
        <t xml:space="preserve">======
ID#AAAB57hFX8g
    (2026-05-08 13:42:03)
* 43:05 H VOADAS PELO ESFORÇO DO 2º ETA NA ANV 2721 ATÉ 24/03/26.
* 16:45 H VOADAS PELO ESFORÇO DO 1º/5º GAV NA ANV 2721 ATÉ 06/04/26.</t>
      </text>
    </comment>
    <comment authorId="0" ref="BF4">
      <text>
        <t xml:space="preserve">======
ID#AAAB57hFX8c
tc={7e9dee00-5ae0-41c9-ad6a-e340a0051d61}    (2026-05-08 13:42:03)
[Threaded comment]
 Your version of Excel allows you to read this threaded comment; however, any edits to it will get removed if the file is opened in a newer version of Excel. Learn more: https://go.microsoft.com/fwlink/?linkid=870924
Comment:
	Dados da semana 3 do mês.</t>
      </text>
    </comment>
    <comment authorId="0" ref="BH4">
      <text>
        <t xml:space="preserve">======
ID#AAAB57hFX8Y
tc={3c638f12-973e-4186-8cc7-be5dfc6ba8d1}    (2026-05-08 13:42:03)
[Threaded comment]
 Your version of Excel allows you to read this threaded comment; however, any edits to it will get removed if the file is opened in a newer version of Excel. Learn more: https://go.microsoft.com/fwlink/?linkid=870924
Comment:
	Dados da semana 1 do mês.</t>
      </text>
    </comment>
    <comment authorId="0" ref="L4">
      <text>
        <t xml:space="preserve">======
ID#AAAB57hFX8U
tc={11faa200-a3ed-4344-9073-7dfbe2587282}    (2026-05-08 13:42:03)
[Threaded comment]
 Your version of Excel allows you to read this threaded comment; however, any edits to it will get removed if the file is opened in a newer version of Excel. Learn more: https://go.microsoft.com/fwlink/?linkid=870924
Comment:
	Dados da semana 3 do mês.</t>
      </text>
    </comment>
    <comment authorId="0" ref="D2">
      <text>
        <t xml:space="preserve">======
ID#AAAB57hFX8Q
tc={af803bcf-d5f9-49ad-8c8f-b189c6d15c22}    (2026-05-08 13:42:03)
[Threaded comment]
 Your version of Excel allows you to read this threaded comment; however, any edits to it will get removed if the file is opened in a newer version of Excel. Learn more: https://go.microsoft.com/fwlink/?linkid=870924
Comment:
	Horas totais da célula.</t>
      </text>
    </comment>
    <comment authorId="0" ref="AX4">
      <text>
        <t xml:space="preserve">======
ID#AAAB57hFX8M
tc={3b4601d6-050c-4218-b620-2e6f9c794b1d}    (2026-05-08 13:42:03)
[Threaded comment]
 Your version of Excel allows you to read this threaded comment; however, any edits to it will get removed if the file is opened in a newer version of Excel. Learn more: https://go.microsoft.com/fwlink/?linkid=870924
Comment:
	Dados da semana 1 do mês.</t>
      </text>
    </comment>
    <comment authorId="0" ref="E2">
      <text>
        <t xml:space="preserve">======
ID#AAAB57hFX8I
tc={bac26f41-f23b-4576-b317-aa468e6d13e6}    (2026-05-08 13:42:03)
[Threaded comment]
 Your version of Excel allows you to read this threaded comment; however, any edits to it will get removed if the file is opened in a newer version of Excel. Learn more: https://go.microsoft.com/fwlink/?linkid=870924
Comment:
	Tipo de informação na linha (ex: HORAS VOO, INSP. PROG., IMPACTO DIAG.).</t>
      </text>
    </comment>
    <comment authorId="0" ref="BR4">
      <text>
        <t xml:space="preserve">======
ID#AAAB57hFX8E
tc={06ca1d75-5809-4f2f-a4df-7aa13afb8c3c}    (2026-05-08 13:42:03)
[Threaded comment]
 Your version of Excel allows you to read this threaded comment; however, any edits to it will get removed if the file is opened in a newer version of Excel. Learn more: https://go.microsoft.com/fwlink/?linkid=870924
Comment:
	Dados da semana 3 do mês.</t>
      </text>
    </comment>
    <comment authorId="0" ref="BH2">
      <text>
        <t xml:space="preserve">======
ID#AAAB57hFX8A
tc={ef05b37d-98f4-4876-a362-ca7c7ecbc9f5}    (2026-05-08 13:42:03)
[Threaded comment]
 Your version of Excel allows you to read this threaded comment; however, any edits to it will get removed if the file is opened in a newer version of Excel. Learn more: https://go.microsoft.com/fwlink/?linkid=870924
Comment:
	Seção para registrar as inspeções e horas de voo para o ano de 2026.</t>
      </text>
    </comment>
    <comment authorId="0" ref="Q4">
      <text>
        <t xml:space="preserve">======
ID#AAAB57hFX74
tc={3bb4f0ea-cc0d-44a6-b175-e3a76c52dbb3}    (2026-05-08 13:42:03)
[Threaded comment]
 Your version of Excel allows you to read this threaded comment; however, any edits to it will get removed if the file is opened in a newer version of Excel. Learn more: https://go.microsoft.com/fwlink/?linkid=870924
Comment:
	Dados da semana 4 do mês.</t>
      </text>
    </comment>
    <comment authorId="0" ref="AA4">
      <text>
        <t xml:space="preserve">======
ID#AAAB57hFX78
tc={8baf3438-ff5a-4726-adf4-d4a80319d6b1}    (2026-05-08 13:42:03)
[Threaded comment]
 Your version of Excel allows you to read this threaded comment; however, any edits to it will get removed if the file is opened in a newer version of Excel. Learn more: https://go.microsoft.com/fwlink/?linkid=870924
Comment:
	Dados da semana 2 do mês.</t>
      </text>
    </comment>
    <comment authorId="0" ref="BG4">
      <text>
        <t xml:space="preserve">======
ID#AAAB57hFX70
tc={798ebf68-f5ae-4b6c-96bf-c9cbec79e886}    (2026-05-08 13:42:03)
[Threaded comment]
 Your version of Excel allows you to read this threaded comment; however, any edits to it will get removed if the file is opened in a newer version of Excel. Learn more: https://go.microsoft.com/fwlink/?linkid=870924
Comment:
	Dados da semana 4 do mês.</t>
      </text>
    </comment>
    <comment authorId="0" ref="AU4">
      <text>
        <t xml:space="preserve">======
ID#AAAB57hFX7w
tc={e96420e3-60e2-40ec-9176-eff162fe6d91}    (2026-05-08 13:42:03)
[Threaded comment]
 Your version of Excel allows you to read this threaded comment; however, any edits to it will get removed if the file is opened in a newer version of Excel. Learn more: https://go.microsoft.com/fwlink/?linkid=870924
Comment:
	Dados da semana 2 do mês.</t>
      </text>
    </comment>
    <comment authorId="0" ref="B2">
      <text>
        <t xml:space="preserve">======
ID#AAAB57hFX7s
tc={fd936edd-69bc-47b8-8fff-5150d6db058b}    (2026-05-08 13:42:03)
[Threaded comment]
 Your version of Excel allows you to read this threaded comment; however, any edits to it will get removed if the file is opened in a newer version of Excel. Learn more: https://go.microsoft.com/fwlink/?linkid=870924
Comment:
	Disponibilidade para HSI (Hot Section Inspection) em horas.</t>
      </text>
    </comment>
    <comment authorId="0" ref="AZ4">
      <text>
        <t xml:space="preserve">======
ID#AAAB57hFX7o
tc={a4ac7c99-430c-47a5-b2a9-5f615b15d054}    (2026-05-08 13:42:03)
[Threaded comment]
 Your version of Excel allows you to read this threaded comment; however, any edits to it will get removed if the file is opened in a newer version of Excel. Learn more: https://go.microsoft.com/fwlink/?linkid=870924
Comment:
	Dados da semana 3 do mês.</t>
      </text>
    </comment>
    <comment authorId="0" ref="S4">
      <text>
        <t xml:space="preserve">======
ID#AAAB57hFX7k
tc={7a74d22c-8b8e-4f19-82a9-fb97727b8966}    (2026-05-08 13:42:03)
[Threaded comment]
 Your version of Excel allows you to read this threaded comment; however, any edits to it will get removed if the file is opened in a newer version of Excel. Learn more: https://go.microsoft.com/fwlink/?linkid=870924
Comment:
	Dados da semana 2 do mês.</t>
      </text>
    </comment>
    <comment authorId="0" ref="AE4">
      <text>
        <t xml:space="preserve">======
ID#AAAB57hFX7g
tc={8e2fce25-74ca-45b8-8dc7-d2c80b393bbd}    (2026-05-08 13:42:03)
[Threaded comment]
 Your version of Excel allows you to read this threaded comment; however, any edits to it will get removed if the file is opened in a newer version of Excel. Learn more: https://go.microsoft.com/fwlink/?linkid=870924
Comment:
	Dados da semana 2 do mês.</t>
      </text>
    </comment>
    <comment authorId="0" ref="F3">
      <text>
        <t xml:space="preserve">======
ID#AAAB57hFX7c
tc={750128b1-1efc-46cf-a997-9c3feb417d16}    (2026-05-08 13:42:03)
[Threaded comment]
 Your version of Excel allows you to read this threaded comment; however, any edits to it will get removed if the file is opened in a newer version of Excel. Learn more: https://go.microsoft.com/fwlink/?linkid=870924
Comment:
	Coluna para registrar dados de JANEIRO.</t>
      </text>
    </comment>
    <comment authorId="0" ref="CF4">
      <text>
        <t xml:space="preserve">======
ID#AAAB57hFX7U
tc={19d30354-1420-4b68-9462-f6160d12b66c}    (2026-05-08 13:42:03)
[Threaded comment]
 Your version of Excel allows you to read this threaded comment; however, any edits to it will get removed if the file is opened in a newer version of Excel. Learn more: https://go.microsoft.com/fwlink/?linkid=870924
Comment:
	Dados da semana 1 do mês.</t>
      </text>
    </comment>
    <comment authorId="0" ref="AL4">
      <text>
        <t xml:space="preserve">======
ID#AAAB57hFX7Y
tc={705a5f91-4245-4884-b571-ce5d6f2e5c62}    (2026-05-08 13:42:03)
[Threaded comment]
 Your version of Excel allows you to read this threaded comment; however, any edits to it will get removed if the file is opened in a newer version of Excel. Learn more: https://go.microsoft.com/fwlink/?linkid=870924
Comment:
	Dados da semana 1 do mês.</t>
      </text>
    </comment>
    <comment authorId="0" ref="M4">
      <text>
        <t xml:space="preserve">======
ID#AAAB57hFX7Q
tc={4a364ba0-230e-49da-943f-1392fd25c26a}    (2026-05-08 13:42:03)
[Threaded comment]
 Your version of Excel allows you to read this threaded comment; however, any edits to it will get removed if the file is opened in a newer version of Excel. Learn more: https://go.microsoft.com/fwlink/?linkid=870924
Comment:
	Dados da semana 4 do mês.</t>
      </text>
    </comment>
    <comment authorId="0" ref="CY4">
      <text>
        <t xml:space="preserve">======
ID#AAAB57hFX7M
tc={90c1a2d7-1c6d-4582-ad2f-27feb60d9ae8}    (2026-05-08 13:42:03)
[Threaded comment]
 Your version of Excel allows you to read this threaded comment; however, any edits to it will get removed if the file is opened in a newer version of Excel. Learn more: https://go.microsoft.com/fwlink/?linkid=870924
Comment:
	Dados da semana 4 do mês.</t>
      </text>
    </comment>
    <comment authorId="0" ref="BB3">
      <text>
        <t xml:space="preserve">======
ID#AAAB57hFX7I
tc={dd25848e-d9b1-47c6-9600-5c97498dc270}    (2026-05-08 13:42:03)
[Threaded comment]
 Your version of Excel allows you to read this threaded comment; however, any edits to it will get removed if the file is opened in a newer version of Excel. Learn more: https://go.microsoft.com/fwlink/?linkid=870924
Comment:
	Soma total das horas/inspeções para o ano.</t>
      </text>
    </comment>
    <comment authorId="0" ref="AH4">
      <text>
        <t xml:space="preserve">======
ID#AAAB57hFX7E
tc={d5b3f920-82e3-4b1a-b429-85a1e9ce02bd}    (2026-05-08 13:42:03)
[Threaded comment]
 Your version of Excel allows you to read this threaded comment; however, any edits to it will get removed if the file is opened in a newer version of Excel. Learn more: https://go.microsoft.com/fwlink/?linkid=870924
Comment:
	Dados da semana 1 do mês.</t>
      </text>
    </comment>
    <comment authorId="0" ref="AH3">
      <text>
        <t xml:space="preserve">======
ID#AAAB57hFX7A
tc={696f78f6-2b3c-47ec-832c-b7b5ba2e1aad}    (2026-05-08 13:42:03)
[Threaded comment]
 Your version of Excel allows you to read this threaded comment; however, any edits to it will get removed if the file is opened in a newer version of Excel. Learn more: https://go.microsoft.com/fwlink/?linkid=870924
Comment:
	Coluna para registrar dados de AGOSTO.</t>
      </text>
    </comment>
    <comment authorId="0" ref="P4">
      <text>
        <t xml:space="preserve">======
ID#AAAB57hFX68
tc={804be46d-8380-4082-bf97-6f105a054740}    (2026-05-08 13:42:03)
[Threaded comment]
 Your version of Excel allows you to read this threaded comment; however, any edits to it will get removed if the file is opened in a newer version of Excel. Learn more: https://go.microsoft.com/fwlink/?linkid=870924
Comment:
	Dados da semana 3 do mês.</t>
      </text>
    </comment>
    <comment authorId="0" ref="AG4">
      <text>
        <t xml:space="preserve">======
ID#AAAB57hFX64
tc={93d21fbb-2e60-4c15-810d-6b958b57b68e}    (2026-05-08 13:42:03)
[Threaded comment]
 Your version of Excel allows you to read this threaded comment; however, any edits to it will get removed if the file is opened in a newer version of Excel. Learn more: https://go.microsoft.com/fwlink/?linkid=870924
Comment:
	Dados da semana 4 do mês.</t>
      </text>
    </comment>
    <comment authorId="0" ref="AD4">
      <text>
        <t xml:space="preserve">======
ID#AAAB57hFX60
tc={bb683c89-7c4a-41c0-8705-1335eacf6437}    (2026-05-08 13:42:03)
[Threaded comment]
 Your version of Excel allows you to read this threaded comment; however, any edits to it will get removed if the file is opened in a newer version of Excel. Learn more: https://go.microsoft.com/fwlink/?linkid=870924
Comment:
	Dados da semana 1 do mês.</t>
      </text>
    </comment>
    <comment authorId="0" ref="BL4">
      <text>
        <t xml:space="preserve">======
ID#AAAB57hFX6w
tc={4ad249f5-a48c-4437-bc3b-e4ba2e00e4f3}    (2026-05-08 13:42:03)
[Threaded comment]
 Your version of Excel allows you to read this threaded comment; however, any edits to it will get removed if the file is opened in a newer version of Excel. Learn more: https://go.microsoft.com/fwlink/?linkid=870924
Comment:
	Dados da semana 1 do mês.</t>
      </text>
    </comment>
    <comment authorId="0" ref="U4">
      <text>
        <t xml:space="preserve">======
ID#AAAB57hFX6s
tc={6f19c2b0-059e-4f7a-9879-89303cac0cbd}    (2026-05-08 13:42:03)
[Threaded comment]
 Your version of Excel allows you to read this threaded comment; however, any edits to it will get removed if the file is opened in a newer version of Excel. Learn more: https://go.microsoft.com/fwlink/?linkid=870924
Comment:
	Dados da semana 4 do mês.</t>
      </text>
    </comment>
    <comment authorId="0" ref="AL3">
      <text>
        <t xml:space="preserve">======
ID#AAAB57hFX6o
tc={08bf39bd-049c-4e0c-8a6a-f9c28124b702}    (2026-05-08 13:42:03)
[Threaded comment]
 Your version of Excel allows you to read this threaded comment; however, any edits to it will get removed if the file is opened in a newer version of Excel. Learn more: https://go.microsoft.com/fwlink/?linkid=870924
Comment:
	Coluna para registrar dados de SETEMBRO.</t>
      </text>
    </comment>
    <comment authorId="0" ref="BT3">
      <text>
        <t xml:space="preserve">======
ID#AAAB57hFX6k
tc={7ff52a2e-3192-4b98-b528-bedaa71d2569}    (2026-05-08 13:42:03)
[Threaded comment]
 Your version of Excel allows you to read this threaded comment; however, any edits to it will get removed if the file is opened in a newer version of Excel. Learn more: https://go.microsoft.com/fwlink/?linkid=870924
Comment:
	Coluna para registrar dados de MAIO.</t>
      </text>
    </comment>
    <comment authorId="0" ref="AJ4">
      <text>
        <t xml:space="preserve">======
ID#AAAB57hFX6g
tc={3f541c67-1eb4-4e9b-9e5b-0d0f22b5edc3}    (2026-05-08 13:42:03)
[Threaded comment]
 Your version of Excel allows you to read this threaded comment; however, any edits to it will get removed if the file is opened in a newer version of Excel. Learn more: https://go.microsoft.com/fwlink/?linkid=870924
Comment:
	Dados da semana 3 do mês.</t>
      </text>
    </comment>
    <comment authorId="0" ref="N4">
      <text>
        <t xml:space="preserve">======
ID#AAAB57hFX6c
tc={a1932867-9986-4793-9ac9-290097eaf0e0}    (2026-05-08 13:42:03)
[Threaded comment]
 Your version of Excel allows you to read this threaded comment; however, any edits to it will get removed if the file is opened in a newer version of Excel. Learn more: https://go.microsoft.com/fwlink/?linkid=870924
Comment:
	Dados da semana 1 do mês.</t>
      </text>
    </comment>
    <comment authorId="0" ref="V3">
      <text>
        <t xml:space="preserve">======
ID#AAAB57hFX6Y
tc={7f2818e4-82c6-4b82-9cd9-12784a4138fc}    (2026-05-08 13:42:03)
[Threaded comment]
 Your version of Excel allows you to read this threaded comment; however, any edits to it will get removed if the file is opened in a newer version of Excel. Learn more: https://go.microsoft.com/fwlink/?linkid=870924
Comment:
	Coluna para registrar dados de MAIO.</t>
      </text>
    </comment>
    <comment authorId="0" ref="V4">
      <text>
        <t xml:space="preserve">======
ID#AAAB57hFX6U
tc={e428cb19-fd43-437e-ab35-ad851ae069c3}    (2026-05-08 13:42:03)
[Threaded comment]
 Your version of Excel allows you to read this threaded comment; however, any edits to it will get removed if the file is opened in a newer version of Excel. Learn more: https://go.microsoft.com/fwlink/?linkid=870924
Comment:
	Dados da semana 1 do mês.</t>
      </text>
    </comment>
    <comment authorId="0" ref="F4">
      <text>
        <t xml:space="preserve">======
ID#AAAB57hFX6Q
tc={04cfbb79-5ae5-48c2-bd5e-aa681f794359}    (2026-05-08 13:42:03)
[Threaded comment]
 Your version of Excel allows you to read this threaded comment; however, any edits to it will get removed if the file is opened in a newer version of Excel. Learn more: https://go.microsoft.com/fwlink/?linkid=870924
Comment:
	Dados da semana 1 do mês.</t>
      </text>
    </comment>
    <comment authorId="0" ref="AP3">
      <text>
        <t xml:space="preserve">======
ID#AAAB57hFX6M
tc={0884d657-db18-4e91-84c7-f8d524543f01}    (2026-05-08 13:42:03)
[Threaded comment]
 Your version of Excel allows you to read this threaded comment; however, any edits to it will get removed if the file is opened in a newer version of Excel. Learn more: https://go.microsoft.com/fwlink/?linkid=870924
Comment:
	Coluna para registrar dados de OUTUBRO.</t>
      </text>
    </comment>
    <comment authorId="0" ref="AS4">
      <text>
        <t xml:space="preserve">======
ID#AAAB57hFX6I
tc={95d5d097-c38f-442e-a900-422d4433fae6}    (2026-05-08 13:42:03)
[Threaded comment]
 Your version of Excel allows you to read this threaded comment; however, any edits to it will get removed if the file is opened in a newer version of Excel. Learn more: https://go.microsoft.com/fwlink/?linkid=870924
Comment:
	Dados da semana 4 do mês.</t>
      </text>
    </comment>
    <comment authorId="0" ref="BA4">
      <text>
        <t xml:space="preserve">======
ID#AAAB57hFX6E
tc={3221d6ff-f16e-4ba7-8cea-76a53245b488}    (2026-05-08 13:42:03)
[Threaded comment]
 Your version of Excel allows you to read this threaded comment; however, any edits to it will get removed if the file is opened in a newer version of Excel. Learn more: https://go.microsoft.com/fwlink/?linkid=870924
Comment:
	Dados da semana 4 do mês.</t>
      </text>
    </comment>
    <comment authorId="0" ref="AM4">
      <text>
        <t xml:space="preserve">======
ID#AAAB57hFX6A
tc={9362ba0d-f591-430b-ac83-afe475a7c217}    (2026-05-08 13:42:03)
[Threaded comment]
 Your version of Excel allows you to read this threaded comment; however, any edits to it will get removed if the file is opened in a newer version of Excel. Learn more: https://go.microsoft.com/fwlink/?linkid=870924
Comment:
	Dados da semana 2 do mês.</t>
      </text>
    </comment>
    <comment authorId="0" ref="CN3">
      <text>
        <t xml:space="preserve">======
ID#AAAB57hFX58
tc={384ee7fd-2e00-4640-91df-edce9d352bbd}    (2026-05-08 13:42:03)
[Threaded comment]
 Your version of Excel allows you to read this threaded comment; however, any edits to it will get removed if the file is opened in a newer version of Excel. Learn more: https://go.microsoft.com/fwlink/?linkid=870924
Comment:
	Coluna para registrar dados de OUTUBRO.</t>
      </text>
    </comment>
    <comment authorId="0" ref="CJ3">
      <text>
        <t xml:space="preserve">======
ID#AAAB57hFX54
tc={5a3486b1-2047-47f9-b3a6-1508e3b54ff9}    (2026-05-08 13:42:03)
[Threaded comment]
 Your version of Excel allows you to read this threaded comment; however, any edits to it will get removed if the file is opened in a newer version of Excel. Learn more: https://go.microsoft.com/fwlink/?linkid=870924
Comment:
	Coluna para registrar dados de SETEMBRO.</t>
      </text>
    </comment>
    <comment authorId="0" ref="CW4">
      <text>
        <t xml:space="preserve">======
ID#AAAB57hFX50
tc={67f86d4a-0091-4d8f-a3e0-d09908e1bcd6}    (2026-05-08 13:42:03)
[Threaded comment]
 Your version of Excel allows you to read this threaded comment; however, any edits to it will get removed if the file is opened in a newer version of Excel. Learn more: https://go.microsoft.com/fwlink/?linkid=870924
Comment:
	Dados da semana 2 do mês.</t>
      </text>
    </comment>
    <comment authorId="0" ref="BU4">
      <text>
        <t xml:space="preserve">======
ID#AAAB57hFX5w
tc={6b0dc7c5-b745-433a-b687-2763b536853c}    (2026-05-08 13:42:03)
[Threaded comment]
 Your version of Excel allows you to read this threaded comment; however, any edits to it will get removed if the file is opened in a newer version of Excel. Learn more: https://go.microsoft.com/fwlink/?linkid=870924
Comment:
	Dados da semana 2 do mês.</t>
      </text>
    </comment>
    <comment authorId="0" ref="CV3">
      <text>
        <t xml:space="preserve">======
ID#AAAB57hFX5s
tc={50f38e78-15ce-4e9a-88b5-76997d0d2b1d}    (2026-05-08 13:42:03)
[Threaded comment]
 Your version of Excel allows you to read this threaded comment; however, any edits to it will get removed if the file is opened in a newer version of Excel. Learn more: https://go.microsoft.com/fwlink/?linkid=870924
Comment:
	Coluna para registrar dados de DEZEMBRO.</t>
      </text>
    </comment>
    <comment authorId="0" ref="AP4">
      <text>
        <t xml:space="preserve">======
ID#AAAB57hFX5o
tc={2b1ea421-fe1e-43be-8b53-a7888fb87f96}    (2026-05-08 13:42:03)
[Threaded comment]
 Your version of Excel allows you to read this threaded comment; however, any edits to it will get removed if the file is opened in a newer version of Excel. Learn more: https://go.microsoft.com/fwlink/?linkid=870924
Comment:
	Dados da semana 1 do mês.</t>
      </text>
    </comment>
    <comment authorId="0" ref="CL4">
      <text>
        <t xml:space="preserve">======
ID#AAAB57hFX5k
tc={57b092c8-e81c-4737-91b6-e981490bacb2}    (2026-05-08 13:42:03)
[Threaded comment]
 Your version of Excel allows you to read this threaded comment; however, any edits to it will get removed if the file is opened in a newer version of Excel. Learn more: https://go.microsoft.com/fwlink/?linkid=870924
Comment:
	Dados da semana 3 do mês.</t>
      </text>
    </comment>
    <comment authorId="0" ref="CB4">
      <text>
        <t xml:space="preserve">======
ID#AAAB57hFX5g
tc={f53369d6-d406-49e4-b6c6-ada03824557a}    (2026-05-08 13:42:03)
[Threaded comment]
 Your version of Excel allows you to read this threaded comment; however, any edits to it will get removed if the file is opened in a newer version of Excel. Learn more: https://go.microsoft.com/fwlink/?linkid=870924
Comment:
	Dados da semana 1 do mês.</t>
      </text>
    </comment>
    <comment authorId="0" ref="BJ4">
      <text>
        <t xml:space="preserve">======
ID#AAAB57hFX5c
tc={0563a66f-4687-439b-9077-572baabbe04a}    (2026-05-08 13:42:03)
[Threaded comment]
 Your version of Excel allows you to read this threaded comment; however, any edits to it will get removed if the file is opened in a newer version of Excel. Learn more: https://go.microsoft.com/fwlink/?linkid=870924
Comment:
	Dados da semana 3 do mês.</t>
      </text>
    </comment>
    <comment authorId="0" ref="I4">
      <text>
        <t xml:space="preserve">======
ID#AAAB57hFX5U
tc={9b4893b7-8b2a-43ed-acc4-e7421b73dee5}    (2026-05-08 13:42:03)
[Threaded comment]
 Your version of Excel allows you to read this threaded comment; however, any edits to it will get removed if the file is opened in a newer version of Excel. Learn more: https://go.microsoft.com/fwlink/?linkid=870924
Comment:
	Dados da semana 4 do mês.</t>
      </text>
    </comment>
    <comment authorId="0" ref="CI4">
      <text>
        <t xml:space="preserve">======
ID#AAAB57hFX5Y
tc={2e83c36a-1b9f-4ce7-b87f-83f02f83463c}    (2026-05-08 13:42:03)
[Threaded comment]
 Your version of Excel allows you to read this threaded comment; however, any edits to it will get removed if the file is opened in a newer version of Excel. Learn more: https://go.microsoft.com/fwlink/?linkid=870924
Comment:
	Dados da semana 4 do mês.</t>
      </text>
    </comment>
    <comment authorId="0" ref="AW4">
      <text>
        <t xml:space="preserve">======
ID#AAAB57hFX5Q
tc={97c8fa39-2d89-43e1-a1b4-9e36e200cf57}    (2026-05-08 13:42:03)
[Threaded comment]
 Your version of Excel allows you to read this threaded comment; however, any edits to it will get removed if the file is opened in a newer version of Excel. Learn more: https://go.microsoft.com/fwlink/?linkid=870924
Comment:
	Dados da semana 4 do mês.</t>
      </text>
    </comment>
    <comment authorId="0" ref="BZ4">
      <text>
        <t xml:space="preserve">======
ID#AAAB57hFX5M
tc={4bd6c4fc-2eb7-40ed-b94b-18db270a5a86}    (2026-05-08 13:42:03)
[Threaded comment]
 Your version of Excel allows you to read this threaded comment; however, any edits to it will get removed if the file is opened in a newer version of Excel. Learn more: https://go.microsoft.com/fwlink/?linkid=870924
Comment:
	Dados da semana 3 do mês.</t>
      </text>
    </comment>
    <comment authorId="0" ref="BY4">
      <text>
        <t xml:space="preserve">======
ID#AAAB57hFX5I
tc={c7a41964-60f3-4870-9efb-6958e609fd9e}    (2026-05-08 13:42:03)
[Threaded comment]
 Your version of Excel allows you to read this threaded comment; however, any edits to it will get removed if the file is opened in a newer version of Excel. Learn more: https://go.microsoft.com/fwlink/?linkid=870924
Comment:
	Dados da semana 2 do mês.</t>
      </text>
    </comment>
    <comment authorId="0" ref="H4">
      <text>
        <t xml:space="preserve">======
ID#AAAB57hFX5E
tc={dee018b0-f2b2-4711-9ce3-cb6fa20424d6}    (2026-05-08 13:42:03)
[Threaded comment]
 Your version of Excel allows you to read this threaded comment; however, any edits to it will get removed if the file is opened in a newer version of Excel. Learn more: https://go.microsoft.com/fwlink/?linkid=870924
Comment:
	Dados da semana 3 do mês.</t>
      </text>
    </comment>
    <comment authorId="0" ref="AQ4">
      <text>
        <t xml:space="preserve">======
ID#AAAB57hFX5A
tc={bc5980ae-bfed-416d-a21a-82582e489eda}    (2026-05-08 13:42:03)
[Threaded comment]
 Your version of Excel allows you to read this threaded comment; however, any edits to it will get removed if the file is opened in a newer version of Excel. Learn more: https://go.microsoft.com/fwlink/?linkid=870924
Comment:
	Dados da semana 2 do mês.</t>
      </text>
    </comment>
    <comment authorId="0" ref="CZ3">
      <text>
        <t xml:space="preserve">======
ID#AAAB57hFX48
tc={178a7ed5-6bf7-4630-abe2-88e5ad72008c}    (2026-05-08 13:42:03)
[Threaded comment]
 Your version of Excel allows you to read this threaded comment; however, any edits to it will get removed if the file is opened in a newer version of Excel. Learn more: https://go.microsoft.com/fwlink/?linkid=870924
Comment:
	Soma total das horas/inspeções para o ano.</t>
      </text>
    </comment>
    <comment authorId="0" ref="BD3">
      <text>
        <t xml:space="preserve">======
ID#AAAB57hFX44
tc={9121bbc0-d103-40a7-bd9b-0cdf4d4b270e}    (2026-05-08 13:42:03)
[Threaded comment]
 Your version of Excel allows you to read this threaded comment; however, any edits to it will get removed if the file is opened in a newer version of Excel. Learn more: https://go.microsoft.com/fwlink/?linkid=870924
Comment:
	Coluna para registrar dados de JANEIRO.</t>
      </text>
    </comment>
    <comment authorId="0" ref="CU4">
      <text>
        <t xml:space="preserve">======
ID#AAAB57hFX40
tc={4a150853-8ec8-4b52-bf61-47ab4f754c7c}    (2026-05-08 13:42:03)
[Threaded comment]
 Your version of Excel allows you to read this threaded comment; however, any edits to it will get removed if the file is opened in a newer version of Excel. Learn more: https://go.microsoft.com/fwlink/?linkid=870924
Comment:
	Dados da semana 4 do mês.</t>
      </text>
    </comment>
    <comment authorId="0" ref="DA2">
      <text>
        <t xml:space="preserve">======
ID#AAAB57hFX4w
tc={b4e8e50a-024b-4992-a200-78bb8a0d26ae}    (2026-05-08 13:42:03)
[Threaded comment]
 Your version of Excel allows you to read this threaded comment; however, any edits to it will get removed if the file is opened in a newer version of Excel. Learn more: https://go.microsoft.com/fwlink/?linkid=870924
Comment:
	Time Since New (Tempo Desde Novo) ou Total Time para 2026.</t>
      </text>
    </comment>
    <comment authorId="0" ref="CZ5">
      <text>
        <t xml:space="preserve">======
ID#AAAB57hFX4s
    (2026-05-08 13:42:03)
* 00:10 H VOADAS PELO ESFORÇO DO 1º/15º GAV NA ANV 2709 EM 17/01/26.
*  00:45 H VOADAS PELO ESFORÇO DO 1º/15º GAV NA ANV 2709 EM 11/04/26.</t>
      </text>
    </comment>
    <comment authorId="0" ref="CE4">
      <text>
        <t xml:space="preserve">======
ID#AAAB57hFX4k
tc={f2912bc1-f391-49cd-bbe6-d7e09521dee5}    (2026-05-08 13:42:03)
[Threaded comment]
 Your version of Excel allows you to read this threaded comment; however, any edits to it will get removed if the file is opened in a newer version of Excel. Learn more: https://go.microsoft.com/fwlink/?linkid=870924
Comment:
	Dados da semana 4 do mês.</t>
      </text>
    </comment>
    <comment authorId="0" ref="BW4">
      <text>
        <t xml:space="preserve">======
ID#AAAB57hFX4o
tc={b6bdb7d4-08ef-4cad-8ad0-6223268035cf}    (2026-05-08 13:42:03)
[Threaded comment]
 Your version of Excel allows you to read this threaded comment; however, any edits to it will get removed if the file is opened in a newer version of Excel. Learn more: https://go.microsoft.com/fwlink/?linkid=870924
Comment:
	Dados da semana 4 do mês.</t>
      </text>
    </comment>
    <comment authorId="0" ref="AN4">
      <text>
        <t xml:space="preserve">======
ID#AAAB57hFX4g
tc={38c0bcd7-a01d-4d1a-af56-342036c35233}    (2026-05-08 13:42:03)
[Threaded comment]
 Your version of Excel allows you to read this threaded comment; however, any edits to it will get removed if the file is opened in a newer version of Excel. Learn more: https://go.microsoft.com/fwlink/?linkid=870924
Comment:
	Dados da semana 3 do mês.</t>
      </text>
    </comment>
    <comment authorId="0" ref="CP4">
      <text>
        <t xml:space="preserve">======
ID#AAAB57hFX4c
tc={c98619c0-774a-4a39-87ec-653b67f3355d}    (2026-05-08 13:42:03)
[Threaded comment]
 Your version of Excel allows you to read this threaded comment; however, any edits to it will get removed if the file is opened in a newer version of Excel. Learn more: https://go.microsoft.com/fwlink/?linkid=870924
Comment:
	Dados da semana 3 do mês.</t>
      </text>
    </comment>
    <comment authorId="0" ref="C2">
      <text>
        <t xml:space="preserve">======
ID#AAAB57hFX4Y
tc={1d6a66d7-35a8-488b-b72c-7e2e6d2125a0}    (2026-05-08 13:42:03)
[Threaded comment]
 Your version of Excel allows you to read this threaded comment; however, any edits to it will get removed if the file is opened in a newer version of Excel. Learn more: https://go.microsoft.com/fwlink/?linkid=870924
Comment:
	Horas totais do motor.</t>
      </text>
    </comment>
    <comment authorId="0" ref="BS4">
      <text>
        <t xml:space="preserve">======
ID#AAAB57hFX4U
tc={6a88f604-39cf-4e0d-b3b8-f184cec0fc92}    (2026-05-08 13:42:03)
[Threaded comment]
 Your version of Excel allows you to read this threaded comment; however, any edits to it will get removed if the file is opened in a newer version of Excel. Learn more: https://go.microsoft.com/fwlink/?linkid=870924
Comment:
	Dados da semana 4 do mês.</t>
      </text>
    </comment>
    <comment authorId="0" ref="AB4">
      <text>
        <t xml:space="preserve">======
ID#AAAB57hFX4Q
tc={4db95c53-008d-4788-94e6-7e97a10c4cd2}    (2026-05-08 13:42:03)
[Threaded comment]
 Your version of Excel allows you to read this threaded comment; however, any edits to it will get removed if the file is opened in a newer version of Excel. Learn more: https://go.microsoft.com/fwlink/?linkid=870924
Comment:
	Dados da semana 3 do mês.</t>
      </text>
    </comment>
    <comment authorId="0" ref="AD3">
      <text>
        <t xml:space="preserve">======
ID#AAAB57hFX4M
tc={74c1e31e-58fa-4c8b-9c8c-fc4b67efb3f2}    (2026-05-08 13:42:03)
[Threaded comment]
 Your version of Excel allows you to read this threaded comment; however, any edits to it will get removed if the file is opened in a newer version of Excel. Learn more: https://go.microsoft.com/fwlink/?linkid=870924
Comment:
	Coluna para registrar dados de JULHO.</t>
      </text>
    </comment>
    <comment authorId="0" ref="CC4">
      <text>
        <t xml:space="preserve">======
ID#AAAB57hFX4I
tc={aa525004-c145-443a-aefc-850112c2dd1d}    (2026-05-08 13:42:03)
[Threaded comment]
 Your version of Excel allows you to read this threaded comment; however, any edits to it will get removed if the file is opened in a newer version of Excel. Learn more: https://go.microsoft.com/fwlink/?linkid=870924
Comment:
	Dados da semana 2 do mês.</t>
      </text>
    </comment>
    <comment authorId="0" ref="K4">
      <text>
        <t xml:space="preserve">======
ID#AAAB57hFX4E
tc={2f7429c3-afb7-4697-b00f-82bc3105fd4b}    (2026-05-08 13:42:03)
[Threaded comment]
 Your version of Excel allows you to read this threaded comment; however, any edits to it will get removed if the file is opened in a newer version of Excel. Learn more: https://go.microsoft.com/fwlink/?linkid=870924
Comment:
	Dados da semana 2 do mês.</t>
      </text>
    </comment>
    <comment authorId="0" ref="CT4">
      <text>
        <t xml:space="preserve">======
ID#AAAB57hFX4A
tc={07692ff9-5412-4d73-a332-c603ffc6b66e}    (2026-05-08 13:42:03)
[Threaded comment]
 Your version of Excel allows you to read this threaded comment; however, any edits to it will get removed if the file is opened in a newer version of Excel. Learn more: https://go.microsoft.com/fwlink/?linkid=870924
Comment:
	Dados da semana 3 do mês.</t>
      </text>
    </comment>
    <comment authorId="0" ref="Y4">
      <text>
        <t xml:space="preserve">======
ID#AAAB57hFX38
tc={e53ad957-efce-4a72-ac86-cee55ff3ebf7}    (2026-05-08 13:42:03)
[Threaded comment]
 Your version of Excel allows you to read this threaded comment; however, any edits to it will get removed if the file is opened in a newer version of Excel. Learn more: https://go.microsoft.com/fwlink/?linkid=870924
Comment:
	Dados da semana 4 do mês.</t>
      </text>
    </comment>
    <comment authorId="0" ref="CS4">
      <text>
        <t xml:space="preserve">======
ID#AAAB57hFX34
tc={aaf157fe-2b47-4008-b013-0b245e847528}    (2026-05-08 13:42:03)
[Threaded comment]
 Your version of Excel allows you to read this threaded comment; however, any edits to it will get removed if the file is opened in a newer version of Excel. Learn more: https://go.microsoft.com/fwlink/?linkid=870924
Comment:
	Dados da semana 2 do mês.</t>
      </text>
    </comment>
    <comment authorId="0" ref="CO4">
      <text>
        <t xml:space="preserve">======
ID#AAAB57hFX30
tc={7bc0bdfa-edd5-4740-a483-fb8ce4651cbc}    (2026-05-08 13:42:03)
[Threaded comment]
 Your version of Excel allows you to read this threaded comment; however, any edits to it will get removed if the file is opened in a newer version of Excel. Learn more: https://go.microsoft.com/fwlink/?linkid=870924
Comment:
	Dados da semana 2 do mês.</t>
      </text>
    </comment>
    <comment authorId="0" ref="X4">
      <text>
        <t xml:space="preserve">======
ID#AAAB57hFX3w
tc={9770c46b-4280-4cc0-856f-6d3367562465}    (2026-05-08 13:42:03)
[Threaded comment]
 Your version of Excel allows you to read this threaded comment; however, any edits to it will get removed if the file is opened in a newer version of Excel. Learn more: https://go.microsoft.com/fwlink/?linkid=870924
Comment:
	Dados da semana 3 do mês.</t>
      </text>
    </comment>
    <comment authorId="0" ref="J3">
      <text>
        <t xml:space="preserve">======
ID#AAAB57hFX3s
tc={9ab5e40a-5453-418f-9746-6dd90a98195d}    (2026-05-08 13:42:03)
[Threaded comment]
 Your version of Excel allows you to read this threaded comment; however, any edits to it will get removed if the file is opened in a newer version of Excel. Learn more: https://go.microsoft.com/fwlink/?linkid=870924
Comment:
	Coluna para registrar dados de FEVEREIRO.</t>
      </text>
    </comment>
    <comment authorId="0" ref="BI4">
      <text>
        <t xml:space="preserve">======
ID#AAAB57hFX3o
tc={9cc4f472-04e9-44f5-a254-211268694807}    (2026-05-08 13:42:03)
[Threaded comment]
 Your version of Excel allows you to read this threaded comment; however, any edits to it will get removed if the file is opened in a newer version of Excel. Learn more: https://go.microsoft.com/fwlink/?linkid=870924
Comment:
	Dados da semana 2 do mês.</t>
      </text>
    </comment>
    <comment authorId="0" ref="BX3">
      <text>
        <t xml:space="preserve">======
ID#AAAB57hFX3k
tc={e793e4e8-140f-44b1-b40f-e87d019c137e}    (2026-05-08 13:42:03)
[Threaded comment]
 Your version of Excel allows you to read this threaded comment; however, any edits to it will get removed if the file is opened in a newer version of Excel. Learn more: https://go.microsoft.com/fwlink/?linkid=870924
Comment:
	Coluna para registrar dados de JUNHO.</t>
      </text>
    </comment>
    <comment authorId="0" ref="CX4">
      <text>
        <t xml:space="preserve">======
ID#AAAB57hFX3g
tc={153aa2d0-2602-4aed-a747-233fb9df501e}    (2026-05-08 13:42:03)
[Threaded comment]
 Your version of Excel allows you to read this threaded comment; however, any edits to it will get removed if the file is opened in a newer version of Excel. Learn more: https://go.microsoft.com/fwlink/?linkid=870924
Comment:
	Dados da semana 3 do mês.</t>
      </text>
    </comment>
    <comment authorId="0" ref="AT3">
      <text>
        <t xml:space="preserve">======
ID#AAAB57hFX3c
tc={31634f65-5e00-4f0e-b8da-95baea6a3cc6}    (2026-05-08 13:42:03)
[Threaded comment]
 Your version of Excel allows you to read this threaded comment; however, any edits to it will get removed if the file is opened in a newer version of Excel. Learn more: https://go.microsoft.com/fwlink/?linkid=870924
Comment:
	Coluna para registrar dados de NOVEMBRO.</t>
      </text>
    </comment>
    <comment authorId="0" ref="BP3">
      <text>
        <t xml:space="preserve">======
ID#AAAB57hFX3Y
tc={2d258ed9-ffc6-4f6e-a8eb-03e1df393eb6}    (2026-05-08 13:42:03)
[Threaded comment]
 Your version of Excel allows you to read this threaded comment; however, any edits to it will get removed if the file is opened in a newer version of Excel. Learn more: https://go.microsoft.com/fwlink/?linkid=870924
Comment:
	Coluna para registrar dados de ABRIL.</t>
      </text>
    </comment>
    <comment authorId="0" ref="O4">
      <text>
        <t xml:space="preserve">======
ID#AAAB57hFX3U
tc={19e7f169-b9e1-499a-b988-f502e99bd7a6}    (2026-05-08 13:42:03)
[Threaded comment]
 Your version of Excel allows you to read this threaded comment; however, any edits to it will get removed if the file is opened in a newer version of Excel. Learn more: https://go.microsoft.com/fwlink/?linkid=870924
Comment:
	Dados da semana 2 do mês.</t>
      </text>
    </comment>
    <comment authorId="0" ref="A2">
      <text>
        <t xml:space="preserve">======
ID#AAAB57hFX3Q
tc={51c5efe6-a7c6-48c1-a517-8bc6d2cd6806}    (2026-05-08 13:42:03)
[Threaded comment]
 Your version of Excel allows you to read this threaded comment; however, any edits to it will get removed if the file is opened in a newer version of Excel. Learn more: https://go.microsoft.com/fwlink/?linkid=870924
Comment:
	Matrícula da aeronave (ex: PR-ABC).</t>
      </text>
    </comment>
    <comment authorId="0" ref="CQ4">
      <text>
        <t xml:space="preserve">======
ID#AAAB57hFX3M
tc={d6cb5778-a579-4afa-9171-d838dabc35a2}    (2026-05-08 13:42:03)
[Threaded comment]
 Your version of Excel allows you to read this threaded comment; however, any edits to it will get removed if the file is opened in a newer version of Excel. Learn more: https://go.microsoft.com/fwlink/?linkid=870924
Comment:
	Dados da semana 4 do mês.</t>
      </text>
    </comment>
    <comment authorId="0" ref="R4">
      <text>
        <t xml:space="preserve">======
ID#AAAB57hFX3I
tc={c9baab21-a13a-4e4f-9d9c-adec4424947f}    (2026-05-08 13:42:03)
[Threaded comment]
 Your version of Excel allows you to read this threaded comment; however, any edits to it will get removed if the file is opened in a newer version of Excel. Learn more: https://go.microsoft.com/fwlink/?linkid=870924
Comment:
	Dados da semana 1 do mês.</t>
      </text>
    </comment>
    <comment authorId="0" ref="CD4">
      <text>
        <t xml:space="preserve">======
ID#AAAB57hFX3E
tc={28619c63-159a-492a-87bc-6091e98d9e92}    (2026-05-08 13:42:03)
[Threaded comment]
 Your version of Excel allows you to read this threaded comment; however, any edits to it will get removed if the file is opened in a newer version of Excel. Learn more: https://go.microsoft.com/fwlink/?linkid=870924
Comment:
	Dados da semana 3 do mês.</t>
      </text>
    </comment>
    <comment authorId="0" ref="CA4">
      <text>
        <t xml:space="preserve">======
ID#AAAB57hFX3A
tc={86088d5e-0cbc-4ef5-b417-21af342c7ac6}    (2026-05-08 13:42:03)
[Threaded comment]
 Your version of Excel allows you to read this threaded comment; however, any edits to it will get removed if the file is opened in a newer version of Excel. Learn more: https://go.microsoft.com/fwlink/?linkid=870924
Comment:
	Dados da semana 4 do mês.</t>
      </text>
    </comment>
    <comment authorId="0" ref="BE4">
      <text>
        <t xml:space="preserve">======
ID#AAAB57hFX28
tc={0c802d1d-f58d-4324-a466-28b28de58545}    (2026-05-08 13:42:03)
[Threaded comment]
 Your version of Excel allows you to read this threaded comment; however, any edits to it will get removed if the file is opened in a newer version of Excel. Learn more: https://go.microsoft.com/fwlink/?linkid=870924
Comment:
	Dados da semana 2 do mês.</t>
      </text>
    </comment>
    <comment authorId="0" ref="BD4">
      <text>
        <t xml:space="preserve">======
ID#AAAB57hFX24
tc={643ce35e-4169-4b09-8349-a4180d02c387}    (2026-05-08 13:42:03)
[Threaded comment]
 Your version of Excel allows you to read this threaded comment; however, any edits to it will get removed if the file is opened in a newer version of Excel. Learn more: https://go.microsoft.com/fwlink/?linkid=870924
Comment:
	Dados da semana 1 do mês.</t>
      </text>
    </comment>
    <comment authorId="0" ref="CN4">
      <text>
        <t xml:space="preserve">======
ID#AAAB57hFX20
tc={c9f34f43-ad9b-4d44-b59e-7347a972e3d1}    (2026-05-08 13:42:03)
[Threaded comment]
 Your version of Excel allows you to read this threaded comment; however, any edits to it will get removed if the file is opened in a newer version of Excel. Learn more: https://go.microsoft.com/fwlink/?linkid=870924
Comment:
	Dados da semana 1 do mês.</t>
      </text>
    </comment>
    <comment authorId="0" ref="BQ4">
      <text>
        <t xml:space="preserve">======
ID#AAAB57hFX2w
tc={56eeeddf-2574-4782-bba5-74fae62f8a49}    (2026-05-08 13:42:03)
[Threaded comment]
 Your version of Excel allows you to read this threaded comment; however, any edits to it will get removed if the file is opened in a newer version of Excel. Learn more: https://go.microsoft.com/fwlink/?linkid=870924
Comment:
	Dados da semana 2 do mês.</t>
      </text>
    </comment>
    <comment authorId="0" ref="AO4">
      <text>
        <t xml:space="preserve">======
ID#AAAB57hFX2s
tc={e7795221-d004-4a77-935b-d177f2e73347}    (2026-05-08 13:42:03)
[Threaded comment]
 Your version of Excel allows you to read this threaded comment; however, any edits to it will get removed if the file is opened in a newer version of Excel. Learn more: https://go.microsoft.com/fwlink/?linkid=870924
Comment:
	Dados da semana 4 do mês.</t>
      </text>
    </comment>
    <comment authorId="0" ref="BG2">
      <text>
        <t xml:space="preserve">======
ID#AAAB57hFX2o
tc={f3719a08-4142-46b3-8045-95acf6da377e}    (2026-05-08 13:42:03)
[Threaded comment]
 Your version of Excel allows you to read this threaded comment; however, any edits to it will get removed if the file is opened in a newer version of Excel. Learn more: https://go.microsoft.com/fwlink/?linkid=870924
Comment:
	Time Since New (Tempo Desde Novo) ou Total Time para 2025.</t>
      </text>
    </comment>
    <comment authorId="0" ref="BT4">
      <text>
        <t xml:space="preserve">======
ID#AAAB57hFX2k
tc={49d58e64-ed0d-4053-a3df-ea87507625f3}    (2026-05-08 13:42:03)
[Threaded comment]
 Your version of Excel allows you to read this threaded comment; however, any edits to it will get removed if the file is opened in a newer version of Excel. Learn more: https://go.microsoft.com/fwlink/?linkid=870924
Comment:
	Dados da semana 1 do mês.</t>
      </text>
    </comment>
    <comment authorId="0" ref="Z4">
      <text>
        <t xml:space="preserve">======
ID#AAAB57hFX2g
tc={0d846b4b-e6f5-42b3-87af-b9d6427ed8c0}    (2026-05-08 13:42:03)
[Threaded comment]
 Your version of Excel allows you to read this threaded comment; however, any edits to it will get removed if the file is opened in a newer version of Excel. Learn more: https://go.microsoft.com/fwlink/?linkid=870924
Comment:
	Dados da semana 1 do mês.</t>
      </text>
    </comment>
    <comment authorId="0" ref="BO4">
      <text>
        <t xml:space="preserve">======
ID#AAAB57hFX2c
tc={052cdab9-07cd-445d-ab1b-f43e8dcdc3aa}    (2026-05-08 13:42:03)
[Threaded comment]
 Your version of Excel allows you to read this threaded comment; however, any edits to it will get removed if the file is opened in a newer version of Excel. Learn more: https://go.microsoft.com/fwlink/?linkid=870924
Comment:
	Dados da semana 4 do mês.</t>
      </text>
    </comment>
    <comment authorId="0" ref="CF3">
      <text>
        <t xml:space="preserve">======
ID#AAAB57hFX2Y
tc={0467add9-3c73-4138-9bf6-aa95f8be8cb0}    (2026-05-08 13:42:03)
[Threaded comment]
 Your version of Excel allows you to read this threaded comment; however, any edits to it will get removed if the file is opened in a newer version of Excel. Learn more: https://go.microsoft.com/fwlink/?linkid=870924
Comment:
	Coluna para registrar dados de AGOSTO.</t>
      </text>
    </comment>
    <comment authorId="0" ref="BP4">
      <text>
        <t xml:space="preserve">======
ID#AAAB57hFX2U
tc={ddfc06da-5c60-4435-8140-5f974fe59a9f}    (2026-05-08 13:42:03)
[Threaded comment]
 Your version of Excel allows you to read this threaded comment; however, any edits to it will get removed if the file is opened in a newer version of Excel. Learn more: https://go.microsoft.com/fwlink/?linkid=870924
Comment:
	Dados da semana 1 do mês.</t>
      </text>
    </comment>
  </commentList>
  <extLst>
    <ext uri="GoogleSheetsCustomDataVersion2">
      <go:sheetsCustomData xmlns:go="http://customooxmlschemas.google.com/" r:id="rId1" roundtripDataSignature="AMtx7mg7I6zeuMWZziSSTAmXMgcEp66DHQ=="/>
    </ext>
  </extLst>
</comments>
</file>

<file path=xl/sharedStrings.xml><?xml version="1.0" encoding="utf-8"?>
<sst xmlns="http://schemas.openxmlformats.org/spreadsheetml/2006/main" count="420" uniqueCount="62">
  <si>
    <t>ANV</t>
  </si>
  <si>
    <t>DISP HSI</t>
  </si>
  <si>
    <t>MOTOR</t>
  </si>
  <si>
    <t>CÉLULA</t>
  </si>
  <si>
    <t>INFORMAÇÃO</t>
  </si>
  <si>
    <t>CONTROLE DE INSPEÇÕES 2025</t>
  </si>
  <si>
    <t>TSN</t>
  </si>
  <si>
    <t>CONTROLE DE INSPEÇÕES 2026</t>
  </si>
  <si>
    <t>CONTROLE DE INSPEÇÕES 2027</t>
  </si>
  <si>
    <t>JANEIRO</t>
  </si>
  <si>
    <t>FEVEREIRO</t>
  </si>
  <si>
    <t>MARÇO</t>
  </si>
  <si>
    <t>ABRIL</t>
  </si>
  <si>
    <t>MAIO</t>
  </si>
  <si>
    <t>JUNHO</t>
  </si>
  <si>
    <t>JULHO</t>
  </si>
  <si>
    <t>AGOSTO</t>
  </si>
  <si>
    <t>SETEMBRO</t>
  </si>
  <si>
    <t>OUTUBRO</t>
  </si>
  <si>
    <t>NOVEMBRO</t>
  </si>
  <si>
    <t>DEZEMBRO</t>
  </si>
  <si>
    <t>TOTAL</t>
  </si>
  <si>
    <t>Semana 1</t>
  </si>
  <si>
    <t>Semana 2</t>
  </si>
  <si>
    <t>Semana 3</t>
  </si>
  <si>
    <t>Semana 4</t>
  </si>
  <si>
    <t>FAB 2709</t>
  </si>
  <si>
    <t>HORAS VOO</t>
  </si>
  <si>
    <t>XX:XX</t>
  </si>
  <si>
    <t>INSP. PROG.</t>
  </si>
  <si>
    <t>ID 5-15-07</t>
  </si>
  <si>
    <t>ID 5-15-04
ID 5-15-06
ID 5-15-10
ID 5-15-20
2300 FH</t>
  </si>
  <si>
    <t>ID 5-15-0A
ID 5-15-01
ID 5-15-09
2400 FH</t>
  </si>
  <si>
    <t>ID 5-15-0A
ID 5-15-06
2500 FH</t>
  </si>
  <si>
    <t>IS</t>
  </si>
  <si>
    <t>ID 5-15-0A
ID 5-15-07
ID 5-15-08
ID 5-15-20
2600 FH</t>
  </si>
  <si>
    <r>
      <rPr>
        <rFont val="Arial"/>
        <b/>
        <color rgb="FF000000"/>
        <sz val="12.0"/>
      </rPr>
      <t>ID 5-15-0A</t>
    </r>
    <r>
      <rPr>
        <rFont val="Arial"/>
        <color rgb="FF000000"/>
        <sz val="11.0"/>
      </rPr>
      <t xml:space="preserve">
</t>
    </r>
    <r>
      <rPr>
        <rFont val="Arial"/>
        <b/>
        <color rgb="FF000000"/>
        <sz val="12.0"/>
      </rPr>
      <t>ID 5-15-01
ID 5-15-02
ID 5-15-03
ID 5-15-06
ID 5-15-09
ID 5-15-11
ID 5-15-14
ID 5-15-15
ID 5-15-21
ID 5-15-22
2700 FH</t>
    </r>
    <r>
      <rPr>
        <rFont val="Arial"/>
        <color rgb="FF000000"/>
        <sz val="11.0"/>
      </rPr>
      <t xml:space="preserve">
</t>
    </r>
  </si>
  <si>
    <r>
      <rPr>
        <rFont val="Arial"/>
        <b/>
        <color rgb="FF000000"/>
        <sz val="12.0"/>
      </rPr>
      <t>ID 5-15-0A
2800 FH</t>
    </r>
    <r>
      <rPr>
        <rFont val="Arial"/>
        <color rgb="FF000000"/>
        <sz val="10.0"/>
      </rPr>
      <t xml:space="preserve">
</t>
    </r>
  </si>
  <si>
    <r>
      <rPr>
        <rFont val="Arial"/>
        <b/>
        <color rgb="FF000000"/>
        <sz val="12.0"/>
      </rPr>
      <t>ID 5-15-0A
ID 5-15-06
2900 FH</t>
    </r>
    <r>
      <rPr>
        <rFont val="Arial"/>
        <color rgb="FF000000"/>
        <sz val="11.0"/>
      </rPr>
      <t xml:space="preserve">
</t>
    </r>
  </si>
  <si>
    <r>
      <rPr>
        <rFont val="Arial"/>
        <b/>
        <color rgb="FF000000"/>
        <sz val="12.0"/>
      </rPr>
      <t>ID 5-15-0A
ID 5-15-06
ID 5-15-07
ID 5-15-08
3000 FH</t>
    </r>
    <r>
      <rPr>
        <rFont val="Arial"/>
        <color rgb="FF000000"/>
        <sz val="11.0"/>
      </rPr>
      <t xml:space="preserve">
</t>
    </r>
  </si>
  <si>
    <r>
      <rPr>
        <rFont val="Arial"/>
        <b/>
        <color rgb="FF000000"/>
        <sz val="12.0"/>
      </rPr>
      <t>ID 5-15-0A
ID 5-15-10
ID 5-15-12
ID 5-15-20
3100 FH</t>
    </r>
    <r>
      <rPr>
        <rFont val="Arial"/>
        <color rgb="FF000000"/>
        <sz val="11.0"/>
      </rPr>
      <t xml:space="preserve">
</t>
    </r>
  </si>
  <si>
    <t>FAB 2720</t>
  </si>
  <si>
    <t xml:space="preserve">
ID 5-15-0A
ID 5-15-01
ID 5-15-02
ID 5-15-03
ID 5-15-04
ID 5-15-07
ID 5-15-09
ID 5-15-11
ID 5-15-20
ID 5-15-21
ID 5-15-22
</t>
  </si>
  <si>
    <t>ID 5-15-0A
ID 5-15-06
2900 FH</t>
  </si>
  <si>
    <t>ID 5-15-0A
ID 5-15-08
ID 5-15-14
ID 5-15-15
3000 FH</t>
  </si>
  <si>
    <r>
      <rPr>
        <rFont val="Arial"/>
        <b/>
        <color rgb="FF000000"/>
        <sz val="12.0"/>
      </rPr>
      <t>ID 5-15-0A
ID 5-15-06
ID 5-15-10
3100 FH</t>
    </r>
    <r>
      <rPr>
        <rFont val="Arial"/>
        <color rgb="FF000000"/>
        <sz val="10.0"/>
      </rPr>
      <t xml:space="preserve">
</t>
    </r>
  </si>
  <si>
    <r>
      <rPr>
        <rFont val="Arial"/>
        <b/>
        <color rgb="FF000000"/>
        <sz val="12.0"/>
      </rPr>
      <t xml:space="preserve">
</t>
    </r>
    <r>
      <rPr>
        <rFont val="Arial"/>
        <color rgb="FF000000"/>
        <sz val="10.0"/>
      </rPr>
      <t xml:space="preserve">
</t>
    </r>
  </si>
  <si>
    <t>ID 5-15-0A 
ID 5-15-01
ID 5-15-07
ID 5-15-09
ID 5-15-20
3200 FH</t>
  </si>
  <si>
    <r>
      <rPr>
        <rFont val="Arial"/>
        <b/>
        <color rgb="FF000000"/>
        <sz val="12.0"/>
      </rPr>
      <t>ID 5-15-0A
ID 5-15-06
ID 5-15-12
3300 FH</t>
    </r>
    <r>
      <rPr>
        <rFont val="Arial"/>
        <color rgb="FF000000"/>
        <sz val="10.0"/>
      </rPr>
      <t xml:space="preserve">
</t>
    </r>
  </si>
  <si>
    <t xml:space="preserve">ID 5-15-0A
ID 5-15-08
3400 FH
</t>
  </si>
  <si>
    <t xml:space="preserve">ID 5-15-0A
ID 5-15-06
3500 FH
</t>
  </si>
  <si>
    <t>FAB 2721</t>
  </si>
  <si>
    <t>CORR 18M</t>
  </si>
  <si>
    <r>
      <rPr>
        <rFont val="Arial"/>
        <b/>
        <color rgb="FF000000"/>
        <sz val="12.0"/>
      </rPr>
      <t>ID 5-15-0A
300 FH</t>
    </r>
    <r>
      <rPr>
        <rFont val="Arial"/>
        <color rgb="FF000000"/>
        <sz val="10.0"/>
      </rPr>
      <t xml:space="preserve">
</t>
    </r>
  </si>
  <si>
    <r>
      <rPr>
        <rFont val="Arial"/>
        <b/>
        <color rgb="FF000000"/>
        <sz val="12.0"/>
      </rPr>
      <t xml:space="preserve">
</t>
    </r>
    <r>
      <rPr>
        <rFont val="Arial"/>
        <color rgb="FF000000"/>
        <sz val="10.0"/>
      </rPr>
      <t xml:space="preserve">
</t>
    </r>
  </si>
  <si>
    <r>
      <rPr>
        <rFont val="Arial"/>
        <b/>
        <color rgb="FF000000"/>
        <sz val="12.0"/>
      </rPr>
      <t xml:space="preserve">ID 5-15-03
</t>
    </r>
    <r>
      <rPr>
        <rFont val="Arial"/>
        <color rgb="FF000000"/>
        <sz val="10.0"/>
      </rPr>
      <t xml:space="preserve">
</t>
    </r>
  </si>
  <si>
    <r>
      <rPr>
        <rFont val="Arial"/>
        <b/>
        <color rgb="FF000000"/>
        <sz val="12.0"/>
      </rPr>
      <t>ID 5-15-0A
ID 5-15-06
ID 5-15-07
ID 5-15-08
400 FH</t>
    </r>
    <r>
      <rPr>
        <rFont val="Arial"/>
        <color rgb="FF000000"/>
        <sz val="10.0"/>
      </rPr>
      <t xml:space="preserve">
</t>
    </r>
  </si>
  <si>
    <t xml:space="preserve">CORR 24M
ID 5-15-01
ID 5-15-09
ID 5-15-20
</t>
  </si>
  <si>
    <r>
      <rPr>
        <rFont val="Arial"/>
        <b/>
        <color rgb="FF000000"/>
        <sz val="12.0"/>
      </rPr>
      <t>ID 5-15-0A
500 FH</t>
    </r>
    <r>
      <rPr>
        <rFont val="Arial"/>
        <color rgb="FF000000"/>
        <sz val="10.0"/>
      </rPr>
      <t xml:space="preserve">
</t>
    </r>
  </si>
  <si>
    <t xml:space="preserve">ID 5-15-0A
ID 5-15-06
600 FH
</t>
  </si>
  <si>
    <t xml:space="preserve">ID 5-15-0A
ID 5-15-14
ID 5-15-15
700 FH
</t>
  </si>
  <si>
    <t xml:space="preserve">ID 5-15-0A
ID 5-15-06
ID 5-15-MA
ID 5-15-MH
800 FH
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</si>
</sst>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hh&quot;:&quot;mm&quot;:&quot;ss"/>
    <numFmt numFmtId="165" formatCode="[h]:mm"/>
    <numFmt numFmtId="166" formatCode="[hh]&quot;:&quot;mm"/>
  </numFmts>
  <fonts count="15">
    <font>
      <sz val="10.0"/>
      <color rgb="FF000000"/>
      <name val="Calibri"/>
      <scheme val="minor"/>
    </font>
    <font>
      <sz val="11.0"/>
      <color rgb="FF000000"/>
      <name val="Arial"/>
    </font>
    <font/>
    <font>
      <sz val="10.0"/>
      <color theme="1"/>
      <name val="Calibri"/>
    </font>
    <font>
      <b/>
      <sz val="10.0"/>
      <color theme="1"/>
      <name val="Arial"/>
    </font>
    <font>
      <b/>
      <sz val="15.0"/>
      <color theme="1"/>
      <name val="Arial"/>
    </font>
    <font>
      <b/>
      <sz val="16.0"/>
      <color rgb="FF000000"/>
      <name val="Arial"/>
    </font>
    <font>
      <sz val="10.0"/>
      <color rgb="FF000000"/>
      <name val="Arial"/>
    </font>
    <font>
      <b/>
      <sz val="14.0"/>
      <color rgb="FF000000"/>
      <name val="Arial"/>
    </font>
    <font>
      <sz val="14.0"/>
      <color rgb="FF000000"/>
      <name val="Arial"/>
    </font>
    <font>
      <sz val="14.0"/>
      <color rgb="FF0000FF"/>
      <name val="Arial"/>
    </font>
    <font>
      <b/>
      <sz val="12.0"/>
      <color rgb="FFFFFFFF"/>
      <name val="Arial"/>
    </font>
    <font>
      <b/>
      <sz val="12.0"/>
      <color rgb="FF000000"/>
      <name val="Arial"/>
    </font>
    <font>
      <b/>
      <sz val="11.0"/>
      <color rgb="FF000000"/>
      <name val="Arial"/>
    </font>
    <font>
      <sz val="10.0"/>
      <color theme="1"/>
      <name val="Arial"/>
    </font>
  </fonts>
  <fills count="10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D9E1F2"/>
        <bgColor rgb="FFD9E1F2"/>
      </patternFill>
    </fill>
    <fill>
      <patternFill patternType="solid">
        <fgColor rgb="FFCCCCCC"/>
        <bgColor rgb="FFCCCCCC"/>
      </patternFill>
    </fill>
    <fill>
      <patternFill patternType="solid">
        <fgColor rgb="FFE2EFDA"/>
        <bgColor rgb="FFE2EFDA"/>
      </patternFill>
    </fill>
    <fill>
      <patternFill patternType="solid">
        <fgColor rgb="FFFFF2CC"/>
        <bgColor rgb="FFFFF2CC"/>
      </patternFill>
    </fill>
    <fill>
      <patternFill patternType="solid">
        <fgColor rgb="FF9FC5E8"/>
        <bgColor rgb="FF9FC5E8"/>
      </patternFill>
    </fill>
    <fill>
      <patternFill patternType="solid">
        <fgColor rgb="FFC0C0C0"/>
        <bgColor rgb="FFC0C0C0"/>
      </patternFill>
    </fill>
    <fill>
      <patternFill patternType="solid">
        <fgColor rgb="FFEFEFEF"/>
        <bgColor rgb="FFEFEFEF"/>
      </patternFill>
    </fill>
  </fills>
  <borders count="13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51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center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vertical="center"/>
    </xf>
    <xf borderId="4" fillId="2" fontId="3" numFmtId="0" xfId="0" applyAlignment="1" applyBorder="1" applyFill="1" applyFont="1">
      <alignment vertical="center"/>
    </xf>
    <xf borderId="5" fillId="3" fontId="4" numFmtId="49" xfId="0" applyAlignment="1" applyBorder="1" applyFill="1" applyFont="1" applyNumberFormat="1">
      <alignment horizontal="center" shrinkToFit="0" vertical="center" wrapText="1"/>
    </xf>
    <xf borderId="5" fillId="3" fontId="4" numFmtId="164" xfId="0" applyAlignment="1" applyBorder="1" applyFont="1" applyNumberFormat="1">
      <alignment horizontal="center" shrinkToFit="0" vertical="center" wrapText="1"/>
    </xf>
    <xf borderId="1" fillId="4" fontId="4" numFmtId="0" xfId="0" applyAlignment="1" applyBorder="1" applyFill="1" applyFont="1">
      <alignment horizontal="center" vertical="center"/>
    </xf>
    <xf borderId="6" fillId="0" fontId="2" numFmtId="0" xfId="0" applyBorder="1" applyFont="1"/>
    <xf borderId="7" fillId="3" fontId="4" numFmtId="0" xfId="0" applyAlignment="1" applyBorder="1" applyFont="1">
      <alignment horizontal="center" vertical="center"/>
    </xf>
    <xf borderId="1" fillId="3" fontId="5" numFmtId="0" xfId="0" applyAlignment="1" applyBorder="1" applyFont="1">
      <alignment horizontal="center" vertical="center"/>
    </xf>
    <xf borderId="4" fillId="2" fontId="4" numFmtId="0" xfId="0" applyAlignment="1" applyBorder="1" applyFont="1">
      <alignment horizontal="center" vertical="center"/>
    </xf>
    <xf borderId="8" fillId="0" fontId="2" numFmtId="0" xfId="0" applyBorder="1" applyFont="1"/>
    <xf borderId="1" fillId="5" fontId="4" numFmtId="0" xfId="0" applyAlignment="1" applyBorder="1" applyFill="1" applyFont="1">
      <alignment horizontal="center" vertical="center"/>
    </xf>
    <xf borderId="7" fillId="5" fontId="4" numFmtId="0" xfId="0" applyAlignment="1" applyBorder="1" applyFont="1">
      <alignment horizontal="center" vertical="center"/>
    </xf>
    <xf borderId="7" fillId="5" fontId="6" numFmtId="0" xfId="0" applyAlignment="1" applyBorder="1" applyFont="1">
      <alignment horizontal="center" vertical="center"/>
    </xf>
    <xf borderId="9" fillId="0" fontId="2" numFmtId="0" xfId="0" applyBorder="1" applyFont="1"/>
    <xf borderId="7" fillId="6" fontId="4" numFmtId="0" xfId="0" applyAlignment="1" applyBorder="1" applyFill="1" applyFont="1">
      <alignment horizontal="center" vertical="center"/>
    </xf>
    <xf borderId="7" fillId="6" fontId="7" numFmtId="0" xfId="0" applyAlignment="1" applyBorder="1" applyFont="1">
      <alignment horizontal="center" vertical="center"/>
    </xf>
    <xf borderId="5" fillId="7" fontId="8" numFmtId="49" xfId="0" applyAlignment="1" applyBorder="1" applyFill="1" applyFont="1" applyNumberFormat="1">
      <alignment horizontal="center" vertical="center"/>
    </xf>
    <xf borderId="7" fillId="8" fontId="8" numFmtId="165" xfId="0" applyAlignment="1" applyBorder="1" applyFill="1" applyFont="1" applyNumberFormat="1">
      <alignment horizontal="center" vertical="center"/>
    </xf>
    <xf borderId="7" fillId="8" fontId="8" numFmtId="166" xfId="0" applyAlignment="1" applyBorder="1" applyFont="1" applyNumberFormat="1">
      <alignment horizontal="center" vertical="center"/>
    </xf>
    <xf borderId="7" fillId="8" fontId="8" numFmtId="49" xfId="0" applyAlignment="1" applyBorder="1" applyFont="1" applyNumberFormat="1">
      <alignment horizontal="center" vertical="center"/>
    </xf>
    <xf borderId="7" fillId="2" fontId="9" numFmtId="166" xfId="0" applyAlignment="1" applyBorder="1" applyFont="1" applyNumberFormat="1">
      <alignment horizontal="center" vertical="center"/>
    </xf>
    <xf borderId="7" fillId="2" fontId="10" numFmtId="166" xfId="0" applyAlignment="1" applyBorder="1" applyFont="1" applyNumberFormat="1">
      <alignment horizontal="center" vertical="center"/>
    </xf>
    <xf borderId="7" fillId="2" fontId="9" numFmtId="20" xfId="0" applyAlignment="1" applyBorder="1" applyFont="1" applyNumberFormat="1">
      <alignment horizontal="center" vertical="center"/>
    </xf>
    <xf borderId="7" fillId="2" fontId="9" numFmtId="0" xfId="0" applyAlignment="1" applyBorder="1" applyFont="1">
      <alignment horizontal="center" vertical="center"/>
    </xf>
    <xf borderId="7" fillId="2" fontId="9" numFmtId="49" xfId="0" applyAlignment="1" applyBorder="1" applyFont="1" applyNumberFormat="1">
      <alignment horizontal="center" vertical="center"/>
    </xf>
    <xf borderId="4" fillId="2" fontId="9" numFmtId="0" xfId="0" applyAlignment="1" applyBorder="1" applyFont="1">
      <alignment horizontal="center" vertical="center"/>
    </xf>
    <xf borderId="10" fillId="9" fontId="7" numFmtId="0" xfId="0" applyAlignment="1" applyBorder="1" applyFill="1" applyFont="1">
      <alignment horizontal="center" vertical="center"/>
    </xf>
    <xf borderId="7" fillId="2" fontId="11" numFmtId="0" xfId="0" applyAlignment="1" applyBorder="1" applyFont="1">
      <alignment horizontal="center" shrinkToFit="0" vertical="center" wrapText="1"/>
    </xf>
    <xf borderId="7" fillId="2" fontId="1" numFmtId="0" xfId="0" applyAlignment="1" applyBorder="1" applyFont="1">
      <alignment horizontal="center" vertical="center"/>
    </xf>
    <xf borderId="11" fillId="2" fontId="12" numFmtId="0" xfId="0" applyAlignment="1" applyBorder="1" applyFont="1">
      <alignment horizontal="center" shrinkToFit="0" vertical="center" wrapText="1"/>
    </xf>
    <xf borderId="7" fillId="2" fontId="12" numFmtId="0" xfId="0" applyAlignment="1" applyBorder="1" applyFont="1">
      <alignment horizontal="center" vertical="center"/>
    </xf>
    <xf borderId="7" fillId="2" fontId="7" numFmtId="0" xfId="0" applyAlignment="1" applyBorder="1" applyFont="1">
      <alignment horizontal="center" vertical="center"/>
    </xf>
    <xf borderId="7" fillId="9" fontId="1" numFmtId="0" xfId="0" applyAlignment="1" applyBorder="1" applyFont="1">
      <alignment horizontal="center" vertical="center"/>
    </xf>
    <xf borderId="7" fillId="2" fontId="13" numFmtId="0" xfId="0" applyAlignment="1" applyBorder="1" applyFont="1">
      <alignment horizontal="center" shrinkToFit="0" vertical="center" wrapText="1"/>
    </xf>
    <xf borderId="7" fillId="2" fontId="13" numFmtId="0" xfId="0" applyAlignment="1" applyBorder="1" applyFont="1">
      <alignment horizontal="center" vertical="center"/>
    </xf>
    <xf borderId="7" fillId="2" fontId="1" numFmtId="0" xfId="0" applyAlignment="1" applyBorder="1" applyFont="1">
      <alignment horizontal="center" shrinkToFit="0" vertical="center" wrapText="1"/>
    </xf>
    <xf borderId="7" fillId="0" fontId="7" numFmtId="0" xfId="0" applyAlignment="1" applyBorder="1" applyFont="1">
      <alignment horizontal="center" vertical="center"/>
    </xf>
    <xf borderId="7" fillId="0" fontId="7" numFmtId="0" xfId="0" applyAlignment="1" applyBorder="1" applyFont="1">
      <alignment horizontal="center" shrinkToFit="0" vertical="center" wrapText="1"/>
    </xf>
    <xf borderId="4" fillId="2" fontId="13" numFmtId="0" xfId="0" applyAlignment="1" applyBorder="1" applyFont="1">
      <alignment horizontal="center" vertical="center"/>
    </xf>
    <xf borderId="7" fillId="0" fontId="12" numFmtId="0" xfId="0" applyAlignment="1" applyBorder="1" applyFont="1">
      <alignment horizontal="center" vertical="center"/>
    </xf>
    <xf borderId="7" fillId="9" fontId="7" numFmtId="0" xfId="0" applyAlignment="1" applyBorder="1" applyFont="1">
      <alignment horizontal="center" vertical="center"/>
    </xf>
    <xf borderId="7" fillId="0" fontId="12" numFmtId="0" xfId="0" applyAlignment="1" applyBorder="1" applyFont="1">
      <alignment horizontal="center" shrinkToFit="0" vertical="center" wrapText="1"/>
    </xf>
    <xf borderId="12" fillId="0" fontId="3" numFmtId="0" xfId="0" applyAlignment="1" applyBorder="1" applyFont="1">
      <alignment vertical="center"/>
    </xf>
    <xf borderId="7" fillId="9" fontId="14" numFmtId="0" xfId="0" applyAlignment="1" applyBorder="1" applyFont="1">
      <alignment horizontal="center" vertical="center"/>
    </xf>
    <xf borderId="4" fillId="2" fontId="7" numFmtId="0" xfId="0" applyAlignment="1" applyBorder="1" applyFont="1">
      <alignment horizontal="center" vertical="center"/>
    </xf>
    <xf borderId="7" fillId="0" fontId="13" numFmtId="0" xfId="0" applyAlignment="1" applyBorder="1" applyFont="1">
      <alignment horizontal="center" vertical="center"/>
    </xf>
    <xf borderId="7" fillId="0" fontId="13" numFmtId="0" xfId="0" applyAlignment="1" applyBorder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13.14"/>
    <col customWidth="1" min="2" max="4" width="11.71"/>
    <col customWidth="1" min="5" max="5" width="17.43"/>
    <col customWidth="1" hidden="1" min="6" max="53" width="16.57"/>
    <col customWidth="1" hidden="1" min="54" max="55" width="12.0"/>
    <col customWidth="1" min="56" max="56" width="14.71"/>
    <col customWidth="1" min="57" max="57" width="13.86"/>
    <col customWidth="1" min="58" max="58" width="12.0"/>
    <col customWidth="1" min="59" max="59" width="13.57"/>
    <col customWidth="1" min="60" max="60" width="13.29"/>
    <col customWidth="1" min="61" max="67" width="12.0"/>
    <col customWidth="1" min="68" max="68" width="13.86"/>
    <col customWidth="1" min="69" max="69" width="12.0"/>
    <col customWidth="1" min="70" max="70" width="14.43"/>
    <col customWidth="1" min="71" max="74" width="12.0"/>
    <col customWidth="1" min="75" max="75" width="14.43"/>
    <col customWidth="1" min="76" max="77" width="12.0"/>
    <col customWidth="1" min="78" max="78" width="14.57"/>
    <col customWidth="1" min="79" max="81" width="12.0"/>
    <col customWidth="1" min="82" max="82" width="14.0"/>
    <col customWidth="1" min="83" max="83" width="12.0"/>
    <col customWidth="1" min="84" max="84" width="13.43"/>
    <col customWidth="1" min="85" max="86" width="12.0"/>
    <col customWidth="1" min="87" max="87" width="13.43"/>
    <col customWidth="1" min="88" max="88" width="14.71"/>
    <col customWidth="1" min="89" max="91" width="12.0"/>
    <col customWidth="1" min="92" max="92" width="14.57"/>
    <col customWidth="1" min="93" max="95" width="12.0"/>
    <col customWidth="1" min="96" max="96" width="13.43"/>
    <col customWidth="1" min="97" max="97" width="16.0"/>
    <col customWidth="1" min="98" max="104" width="12.0"/>
    <col customWidth="1" min="105" max="105" width="14.43"/>
    <col customWidth="1" min="106" max="106" width="14.71"/>
    <col customWidth="1" min="107" max="107" width="13.86"/>
    <col customWidth="1" min="108" max="108" width="14.71"/>
    <col customWidth="1" min="109" max="110" width="12.0"/>
    <col customWidth="1" min="111" max="111" width="14.0"/>
    <col customWidth="1" min="112" max="114" width="12.0"/>
    <col customWidth="1" min="115" max="115" width="14.86"/>
    <col customWidth="1" min="116" max="117" width="12.0"/>
    <col customWidth="1" min="118" max="118" width="14.14"/>
    <col customWidth="1" min="119" max="122" width="12.0"/>
    <col customWidth="1" min="123" max="123" width="13.43"/>
    <col customWidth="1" min="124" max="124" width="15.86"/>
    <col customWidth="1" min="125" max="126" width="12.0"/>
  </cols>
  <sheetData>
    <row r="1" ht="13.5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3"/>
      <c r="DB1" s="4"/>
      <c r="DC1" s="4"/>
      <c r="DD1" s="4"/>
      <c r="DE1" s="4"/>
      <c r="DF1" s="4"/>
      <c r="DG1" s="4"/>
      <c r="DH1" s="4"/>
      <c r="DI1" s="4"/>
      <c r="DJ1" s="4"/>
      <c r="DK1" s="4"/>
      <c r="DL1" s="4"/>
      <c r="DM1" s="4"/>
      <c r="DN1" s="4"/>
      <c r="DO1" s="4"/>
      <c r="DP1" s="4"/>
      <c r="DQ1" s="4"/>
      <c r="DR1" s="4"/>
      <c r="DS1" s="4"/>
      <c r="DT1" s="4"/>
      <c r="DU1" s="4"/>
      <c r="DV1" s="5"/>
    </row>
    <row r="2" ht="21.0" customHeight="1">
      <c r="A2" s="6" t="s">
        <v>0</v>
      </c>
      <c r="B2" s="7" t="s">
        <v>1</v>
      </c>
      <c r="C2" s="7" t="s">
        <v>2</v>
      </c>
      <c r="D2" s="7" t="s">
        <v>3</v>
      </c>
      <c r="E2" s="6" t="s">
        <v>4</v>
      </c>
      <c r="F2" s="8" t="s">
        <v>5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9"/>
      <c r="BC2" s="10" t="s">
        <v>6</v>
      </c>
      <c r="BD2" s="11" t="s">
        <v>7</v>
      </c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  <c r="BZ2" s="2"/>
      <c r="CA2" s="2"/>
      <c r="CB2" s="2"/>
      <c r="CC2" s="2"/>
      <c r="CD2" s="2"/>
      <c r="CE2" s="2"/>
      <c r="CF2" s="2"/>
      <c r="CG2" s="2"/>
      <c r="CH2" s="2"/>
      <c r="CI2" s="2"/>
      <c r="CJ2" s="2"/>
      <c r="CK2" s="2"/>
      <c r="CL2" s="2"/>
      <c r="CM2" s="2"/>
      <c r="CN2" s="2"/>
      <c r="CO2" s="2"/>
      <c r="CP2" s="2"/>
      <c r="CQ2" s="2"/>
      <c r="CR2" s="2"/>
      <c r="CS2" s="2"/>
      <c r="CT2" s="2"/>
      <c r="CU2" s="2"/>
      <c r="CV2" s="2"/>
      <c r="CW2" s="2"/>
      <c r="CX2" s="2"/>
      <c r="CY2" s="2"/>
      <c r="CZ2" s="3"/>
      <c r="DA2" s="10" t="s">
        <v>6</v>
      </c>
      <c r="DB2" s="11" t="s">
        <v>8</v>
      </c>
      <c r="DC2" s="2"/>
      <c r="DD2" s="2"/>
      <c r="DE2" s="2"/>
      <c r="DF2" s="2"/>
      <c r="DG2" s="2"/>
      <c r="DH2" s="2"/>
      <c r="DI2" s="2"/>
      <c r="DJ2" s="2"/>
      <c r="DK2" s="2"/>
      <c r="DL2" s="2"/>
      <c r="DM2" s="2"/>
      <c r="DN2" s="2"/>
      <c r="DO2" s="2"/>
      <c r="DP2" s="2"/>
      <c r="DQ2" s="2"/>
      <c r="DR2" s="2"/>
      <c r="DS2" s="2"/>
      <c r="DT2" s="2"/>
      <c r="DU2" s="3"/>
      <c r="DV2" s="12"/>
    </row>
    <row r="3" ht="19.5" customHeight="1">
      <c r="A3" s="13"/>
      <c r="B3" s="13"/>
      <c r="C3" s="13"/>
      <c r="D3" s="13"/>
      <c r="E3" s="13"/>
      <c r="F3" s="14" t="s">
        <v>9</v>
      </c>
      <c r="G3" s="2"/>
      <c r="H3" s="2"/>
      <c r="I3" s="3"/>
      <c r="J3" s="14" t="s">
        <v>10</v>
      </c>
      <c r="K3" s="2"/>
      <c r="L3" s="2"/>
      <c r="M3" s="3"/>
      <c r="N3" s="14" t="s">
        <v>11</v>
      </c>
      <c r="O3" s="2"/>
      <c r="P3" s="2"/>
      <c r="Q3" s="3"/>
      <c r="R3" s="14" t="s">
        <v>12</v>
      </c>
      <c r="S3" s="2"/>
      <c r="T3" s="2"/>
      <c r="U3" s="3"/>
      <c r="V3" s="14" t="s">
        <v>13</v>
      </c>
      <c r="W3" s="2"/>
      <c r="X3" s="2"/>
      <c r="Y3" s="3"/>
      <c r="Z3" s="14" t="s">
        <v>14</v>
      </c>
      <c r="AA3" s="2"/>
      <c r="AB3" s="2"/>
      <c r="AC3" s="3"/>
      <c r="AD3" s="14" t="s">
        <v>15</v>
      </c>
      <c r="AE3" s="2"/>
      <c r="AF3" s="2"/>
      <c r="AG3" s="3"/>
      <c r="AH3" s="14" t="s">
        <v>16</v>
      </c>
      <c r="AI3" s="2"/>
      <c r="AJ3" s="2"/>
      <c r="AK3" s="3"/>
      <c r="AL3" s="14" t="s">
        <v>17</v>
      </c>
      <c r="AM3" s="2"/>
      <c r="AN3" s="2"/>
      <c r="AO3" s="3"/>
      <c r="AP3" s="14" t="s">
        <v>18</v>
      </c>
      <c r="AQ3" s="2"/>
      <c r="AR3" s="2"/>
      <c r="AS3" s="3"/>
      <c r="AT3" s="14" t="s">
        <v>19</v>
      </c>
      <c r="AU3" s="2"/>
      <c r="AV3" s="2"/>
      <c r="AW3" s="3"/>
      <c r="AX3" s="14" t="s">
        <v>20</v>
      </c>
      <c r="AY3" s="2"/>
      <c r="AZ3" s="2"/>
      <c r="BA3" s="3"/>
      <c r="BB3" s="15" t="s">
        <v>21</v>
      </c>
      <c r="BC3" s="15"/>
      <c r="BD3" s="14" t="s">
        <v>9</v>
      </c>
      <c r="BE3" s="2"/>
      <c r="BF3" s="2"/>
      <c r="BG3" s="3"/>
      <c r="BH3" s="14" t="s">
        <v>10</v>
      </c>
      <c r="BI3" s="2"/>
      <c r="BJ3" s="2"/>
      <c r="BK3" s="3"/>
      <c r="BL3" s="14" t="s">
        <v>11</v>
      </c>
      <c r="BM3" s="2"/>
      <c r="BN3" s="2"/>
      <c r="BO3" s="3"/>
      <c r="BP3" s="14" t="s">
        <v>12</v>
      </c>
      <c r="BQ3" s="2"/>
      <c r="BR3" s="2"/>
      <c r="BS3" s="3"/>
      <c r="BT3" s="14" t="s">
        <v>13</v>
      </c>
      <c r="BU3" s="2"/>
      <c r="BV3" s="2"/>
      <c r="BW3" s="3"/>
      <c r="BX3" s="14" t="s">
        <v>14</v>
      </c>
      <c r="BY3" s="2"/>
      <c r="BZ3" s="2"/>
      <c r="CA3" s="3"/>
      <c r="CB3" s="14" t="s">
        <v>15</v>
      </c>
      <c r="CC3" s="2"/>
      <c r="CD3" s="2"/>
      <c r="CE3" s="3"/>
      <c r="CF3" s="14" t="s">
        <v>16</v>
      </c>
      <c r="CG3" s="2"/>
      <c r="CH3" s="2"/>
      <c r="CI3" s="3"/>
      <c r="CJ3" s="14" t="s">
        <v>17</v>
      </c>
      <c r="CK3" s="2"/>
      <c r="CL3" s="2"/>
      <c r="CM3" s="3"/>
      <c r="CN3" s="14" t="s">
        <v>18</v>
      </c>
      <c r="CO3" s="2"/>
      <c r="CP3" s="2"/>
      <c r="CQ3" s="3"/>
      <c r="CR3" s="14" t="s">
        <v>19</v>
      </c>
      <c r="CS3" s="2"/>
      <c r="CT3" s="2"/>
      <c r="CU3" s="3"/>
      <c r="CV3" s="14" t="s">
        <v>20</v>
      </c>
      <c r="CW3" s="2"/>
      <c r="CX3" s="2"/>
      <c r="CY3" s="3"/>
      <c r="CZ3" s="15" t="s">
        <v>21</v>
      </c>
      <c r="DA3" s="16"/>
      <c r="DB3" s="14" t="s">
        <v>9</v>
      </c>
      <c r="DC3" s="2"/>
      <c r="DD3" s="2"/>
      <c r="DE3" s="3"/>
      <c r="DF3" s="14" t="s">
        <v>10</v>
      </c>
      <c r="DG3" s="2"/>
      <c r="DH3" s="2"/>
      <c r="DI3" s="3"/>
      <c r="DJ3" s="14" t="s">
        <v>11</v>
      </c>
      <c r="DK3" s="2"/>
      <c r="DL3" s="2"/>
      <c r="DM3" s="3"/>
      <c r="DN3" s="14" t="s">
        <v>12</v>
      </c>
      <c r="DO3" s="2"/>
      <c r="DP3" s="2"/>
      <c r="DQ3" s="3"/>
      <c r="DR3" s="14" t="s">
        <v>13</v>
      </c>
      <c r="DS3" s="2"/>
      <c r="DT3" s="2"/>
      <c r="DU3" s="3"/>
      <c r="DV3" s="12"/>
    </row>
    <row r="4" ht="13.5" customHeight="1">
      <c r="A4" s="17"/>
      <c r="B4" s="17"/>
      <c r="C4" s="17"/>
      <c r="D4" s="17"/>
      <c r="E4" s="17"/>
      <c r="F4" s="18" t="s">
        <v>22</v>
      </c>
      <c r="G4" s="18" t="s">
        <v>23</v>
      </c>
      <c r="H4" s="18" t="s">
        <v>24</v>
      </c>
      <c r="I4" s="18" t="s">
        <v>25</v>
      </c>
      <c r="J4" s="18" t="s">
        <v>22</v>
      </c>
      <c r="K4" s="18" t="s">
        <v>23</v>
      </c>
      <c r="L4" s="18" t="s">
        <v>24</v>
      </c>
      <c r="M4" s="18" t="s">
        <v>25</v>
      </c>
      <c r="N4" s="18" t="s">
        <v>22</v>
      </c>
      <c r="O4" s="18" t="s">
        <v>23</v>
      </c>
      <c r="P4" s="18" t="s">
        <v>24</v>
      </c>
      <c r="Q4" s="18" t="s">
        <v>25</v>
      </c>
      <c r="R4" s="18" t="s">
        <v>22</v>
      </c>
      <c r="S4" s="18" t="s">
        <v>23</v>
      </c>
      <c r="T4" s="18" t="s">
        <v>24</v>
      </c>
      <c r="U4" s="18" t="s">
        <v>25</v>
      </c>
      <c r="V4" s="18" t="s">
        <v>22</v>
      </c>
      <c r="W4" s="18" t="s">
        <v>23</v>
      </c>
      <c r="X4" s="18" t="s">
        <v>24</v>
      </c>
      <c r="Y4" s="18" t="s">
        <v>25</v>
      </c>
      <c r="Z4" s="18" t="s">
        <v>22</v>
      </c>
      <c r="AA4" s="18" t="s">
        <v>23</v>
      </c>
      <c r="AB4" s="18" t="s">
        <v>24</v>
      </c>
      <c r="AC4" s="18" t="s">
        <v>25</v>
      </c>
      <c r="AD4" s="18" t="s">
        <v>22</v>
      </c>
      <c r="AE4" s="18" t="s">
        <v>23</v>
      </c>
      <c r="AF4" s="18" t="s">
        <v>24</v>
      </c>
      <c r="AG4" s="18" t="s">
        <v>25</v>
      </c>
      <c r="AH4" s="18" t="s">
        <v>22</v>
      </c>
      <c r="AI4" s="18" t="s">
        <v>23</v>
      </c>
      <c r="AJ4" s="18" t="s">
        <v>24</v>
      </c>
      <c r="AK4" s="18" t="s">
        <v>25</v>
      </c>
      <c r="AL4" s="18" t="s">
        <v>22</v>
      </c>
      <c r="AM4" s="18" t="s">
        <v>23</v>
      </c>
      <c r="AN4" s="18" t="s">
        <v>24</v>
      </c>
      <c r="AO4" s="18" t="s">
        <v>25</v>
      </c>
      <c r="AP4" s="18" t="s">
        <v>22</v>
      </c>
      <c r="AQ4" s="18" t="s">
        <v>23</v>
      </c>
      <c r="AR4" s="18" t="s">
        <v>24</v>
      </c>
      <c r="AS4" s="18" t="s">
        <v>25</v>
      </c>
      <c r="AT4" s="18" t="s">
        <v>22</v>
      </c>
      <c r="AU4" s="18" t="s">
        <v>23</v>
      </c>
      <c r="AV4" s="18" t="s">
        <v>24</v>
      </c>
      <c r="AW4" s="18" t="s">
        <v>25</v>
      </c>
      <c r="AX4" s="18" t="s">
        <v>22</v>
      </c>
      <c r="AY4" s="18" t="s">
        <v>23</v>
      </c>
      <c r="AZ4" s="18" t="s">
        <v>24</v>
      </c>
      <c r="BA4" s="18" t="s">
        <v>25</v>
      </c>
      <c r="BB4" s="18"/>
      <c r="BC4" s="18"/>
      <c r="BD4" s="18" t="s">
        <v>22</v>
      </c>
      <c r="BE4" s="18" t="s">
        <v>23</v>
      </c>
      <c r="BF4" s="18" t="s">
        <v>24</v>
      </c>
      <c r="BG4" s="18" t="s">
        <v>25</v>
      </c>
      <c r="BH4" s="18" t="s">
        <v>22</v>
      </c>
      <c r="BI4" s="18" t="s">
        <v>23</v>
      </c>
      <c r="BJ4" s="18" t="s">
        <v>24</v>
      </c>
      <c r="BK4" s="18" t="s">
        <v>25</v>
      </c>
      <c r="BL4" s="18" t="s">
        <v>22</v>
      </c>
      <c r="BM4" s="18" t="s">
        <v>23</v>
      </c>
      <c r="BN4" s="18" t="s">
        <v>24</v>
      </c>
      <c r="BO4" s="18" t="s">
        <v>25</v>
      </c>
      <c r="BP4" s="18" t="s">
        <v>22</v>
      </c>
      <c r="BQ4" s="18" t="s">
        <v>23</v>
      </c>
      <c r="BR4" s="18" t="s">
        <v>24</v>
      </c>
      <c r="BS4" s="18" t="s">
        <v>25</v>
      </c>
      <c r="BT4" s="18" t="s">
        <v>22</v>
      </c>
      <c r="BU4" s="18" t="s">
        <v>23</v>
      </c>
      <c r="BV4" s="18" t="s">
        <v>24</v>
      </c>
      <c r="BW4" s="18" t="s">
        <v>25</v>
      </c>
      <c r="BX4" s="18" t="s">
        <v>22</v>
      </c>
      <c r="BY4" s="18" t="s">
        <v>23</v>
      </c>
      <c r="BZ4" s="18" t="s">
        <v>24</v>
      </c>
      <c r="CA4" s="18" t="s">
        <v>25</v>
      </c>
      <c r="CB4" s="18" t="s">
        <v>22</v>
      </c>
      <c r="CC4" s="18" t="s">
        <v>23</v>
      </c>
      <c r="CD4" s="18" t="s">
        <v>24</v>
      </c>
      <c r="CE4" s="18" t="s">
        <v>25</v>
      </c>
      <c r="CF4" s="18" t="s">
        <v>22</v>
      </c>
      <c r="CG4" s="18" t="s">
        <v>23</v>
      </c>
      <c r="CH4" s="18" t="s">
        <v>24</v>
      </c>
      <c r="CI4" s="18" t="s">
        <v>25</v>
      </c>
      <c r="CJ4" s="18" t="s">
        <v>22</v>
      </c>
      <c r="CK4" s="18" t="s">
        <v>23</v>
      </c>
      <c r="CL4" s="18" t="s">
        <v>24</v>
      </c>
      <c r="CM4" s="18" t="s">
        <v>25</v>
      </c>
      <c r="CN4" s="18" t="s">
        <v>22</v>
      </c>
      <c r="CO4" s="18" t="s">
        <v>23</v>
      </c>
      <c r="CP4" s="18" t="s">
        <v>24</v>
      </c>
      <c r="CQ4" s="18" t="s">
        <v>25</v>
      </c>
      <c r="CR4" s="18" t="s">
        <v>22</v>
      </c>
      <c r="CS4" s="18" t="s">
        <v>23</v>
      </c>
      <c r="CT4" s="18" t="s">
        <v>24</v>
      </c>
      <c r="CU4" s="18" t="s">
        <v>25</v>
      </c>
      <c r="CV4" s="18" t="s">
        <v>22</v>
      </c>
      <c r="CW4" s="18" t="s">
        <v>23</v>
      </c>
      <c r="CX4" s="18" t="s">
        <v>24</v>
      </c>
      <c r="CY4" s="18" t="s">
        <v>25</v>
      </c>
      <c r="CZ4" s="18"/>
      <c r="DA4" s="19"/>
      <c r="DB4" s="18" t="s">
        <v>22</v>
      </c>
      <c r="DC4" s="18" t="s">
        <v>23</v>
      </c>
      <c r="DD4" s="18" t="s">
        <v>24</v>
      </c>
      <c r="DE4" s="18" t="s">
        <v>25</v>
      </c>
      <c r="DF4" s="18" t="s">
        <v>22</v>
      </c>
      <c r="DG4" s="18" t="s">
        <v>23</v>
      </c>
      <c r="DH4" s="18" t="s">
        <v>24</v>
      </c>
      <c r="DI4" s="18" t="s">
        <v>25</v>
      </c>
      <c r="DJ4" s="18" t="s">
        <v>22</v>
      </c>
      <c r="DK4" s="18" t="s">
        <v>23</v>
      </c>
      <c r="DL4" s="18" t="s">
        <v>24</v>
      </c>
      <c r="DM4" s="18" t="s">
        <v>25</v>
      </c>
      <c r="DN4" s="18" t="s">
        <v>22</v>
      </c>
      <c r="DO4" s="18" t="s">
        <v>23</v>
      </c>
      <c r="DP4" s="18" t="s">
        <v>24</v>
      </c>
      <c r="DQ4" s="18" t="s">
        <v>25</v>
      </c>
      <c r="DR4" s="18" t="s">
        <v>22</v>
      </c>
      <c r="DS4" s="18" t="s">
        <v>23</v>
      </c>
      <c r="DT4" s="18" t="s">
        <v>24</v>
      </c>
      <c r="DU4" s="18" t="s">
        <v>25</v>
      </c>
      <c r="DV4" s="12"/>
    </row>
    <row r="5" ht="27.0" customHeight="1">
      <c r="A5" s="20" t="s">
        <v>26</v>
      </c>
      <c r="B5" s="21">
        <f>IFERROR(__xludf.DUMMYFUNCTION("IMPORTRANGE(""https://docs.google.com/spreadsheets/d/1N__18kc-5GKXbiJVde1JPuSo1y7GC0mamVcrhcDokKQ/edit#gid=909698917"",""2709!J82"")"),10.586805555555443)</f>
        <v>10.58680556</v>
      </c>
      <c r="C5" s="21">
        <f>IFERROR(__xludf.DUMMYFUNCTION("IMPORTRANGE(""https://docs.google.com/spreadsheets/d/1N__18kc-5GKXbiJVde1JPuSo1y7GC0mamVcrhcDokKQ/edit#gid=909698917"",""2709!J79"")"),110.39236111111123)</f>
        <v>110.3923611</v>
      </c>
      <c r="D5" s="22" t="str">
        <f>IFERROR(__xludf.DUMMYFUNCTION("IMPORTRANGE(""https://docs.google.com/spreadsheets/d/18xOxbOikuoYF2n_J8WnF_1ikfJbfn463_18ZZ5pIZFM/edit#gid=931443355"",""RDA!G9"")"),"#REF!")</f>
        <v>#REF!</v>
      </c>
      <c r="E5" s="23" t="s">
        <v>27</v>
      </c>
      <c r="F5" s="24">
        <v>0.0</v>
      </c>
      <c r="G5" s="24">
        <v>0.0</v>
      </c>
      <c r="H5" s="24">
        <v>0.0</v>
      </c>
      <c r="I5" s="24">
        <v>0.0</v>
      </c>
      <c r="J5" s="24">
        <v>0.0</v>
      </c>
      <c r="K5" s="24">
        <v>0.0</v>
      </c>
      <c r="L5" s="24">
        <v>0.0</v>
      </c>
      <c r="M5" s="24">
        <v>0.0</v>
      </c>
      <c r="N5" s="24">
        <v>0.0</v>
      </c>
      <c r="O5" s="24">
        <v>1.0416666666666667</v>
      </c>
      <c r="P5" s="24">
        <v>0.8229166666666666</v>
      </c>
      <c r="Q5" s="24">
        <v>0.8819444444444444</v>
      </c>
      <c r="R5" s="24">
        <v>0.5694444444444444</v>
      </c>
      <c r="S5" s="24">
        <v>0.8506944444444444</v>
      </c>
      <c r="T5" s="24">
        <v>0.2916666666666667</v>
      </c>
      <c r="U5" s="24">
        <v>1.03125</v>
      </c>
      <c r="V5" s="24">
        <v>0.6111111111111112</v>
      </c>
      <c r="W5" s="24">
        <v>0.2361111111111111</v>
      </c>
      <c r="X5" s="24">
        <v>0.7847222222222222</v>
      </c>
      <c r="Y5" s="24">
        <v>0.1875</v>
      </c>
      <c r="Z5" s="24">
        <v>0.3680555555555556</v>
      </c>
      <c r="AA5" s="24">
        <v>1.2777777777777777</v>
      </c>
      <c r="AB5" s="24">
        <v>1.4722222222222223</v>
      </c>
      <c r="AC5" s="24">
        <v>0.9895833333333334</v>
      </c>
      <c r="AD5" s="24">
        <v>0.0</v>
      </c>
      <c r="AE5" s="24">
        <v>0.0</v>
      </c>
      <c r="AF5" s="24">
        <v>0.0</v>
      </c>
      <c r="AG5" s="24">
        <v>0.0</v>
      </c>
      <c r="AH5" s="24">
        <v>0.0</v>
      </c>
      <c r="AI5" s="24">
        <v>0.0</v>
      </c>
      <c r="AJ5" s="24">
        <v>0.0</v>
      </c>
      <c r="AK5" s="24">
        <v>0.0</v>
      </c>
      <c r="AL5" s="24">
        <v>0.0</v>
      </c>
      <c r="AM5" s="24">
        <v>0.0</v>
      </c>
      <c r="AN5" s="24">
        <v>0.0</v>
      </c>
      <c r="AO5" s="24">
        <v>0.0</v>
      </c>
      <c r="AP5" s="24">
        <v>0.0</v>
      </c>
      <c r="AQ5" s="24">
        <v>0.0</v>
      </c>
      <c r="AR5" s="24">
        <v>0.0</v>
      </c>
      <c r="AS5" s="24">
        <v>0.0</v>
      </c>
      <c r="AT5" s="24">
        <v>0.0</v>
      </c>
      <c r="AU5" s="24">
        <v>0.0</v>
      </c>
      <c r="AV5" s="24">
        <v>0.0</v>
      </c>
      <c r="AW5" s="24">
        <v>0.020833333333333332</v>
      </c>
      <c r="AX5" s="24">
        <v>0.0</v>
      </c>
      <c r="AY5" s="24">
        <v>0.08680555555555555</v>
      </c>
      <c r="AZ5" s="24">
        <v>0.6666666666666666</v>
      </c>
      <c r="BA5" s="24">
        <v>1.375</v>
      </c>
      <c r="BB5" s="25">
        <v>13.565972222222221</v>
      </c>
      <c r="BC5" s="25" t="str">
        <f>IFERROR(__xludf.DUMMYFUNCTION("IMPORTRANGE(""https://docs.google.com/spreadsheets/d/18xOxbOikuoYF2n_J8WnF_1ikfJbfn463_18ZZ5pIZFM/edit#gid=931443355"",""RDA!G9"")"),"#REF!")</f>
        <v>#REF!</v>
      </c>
      <c r="BD5" s="24">
        <v>0.1840277777777778</v>
      </c>
      <c r="BE5" s="24">
        <v>0.10416666666666667</v>
      </c>
      <c r="BF5" s="24">
        <v>0.6215277777777778</v>
      </c>
      <c r="BG5" s="24">
        <v>0.28125</v>
      </c>
      <c r="BH5" s="26">
        <v>0.0</v>
      </c>
      <c r="BI5" s="26">
        <v>0.0</v>
      </c>
      <c r="BJ5" s="26">
        <v>0.0</v>
      </c>
      <c r="BK5" s="26">
        <v>0.0</v>
      </c>
      <c r="BL5" s="26">
        <v>0.0</v>
      </c>
      <c r="BM5" s="26">
        <v>0.0</v>
      </c>
      <c r="BN5" s="26">
        <v>0.0</v>
      </c>
      <c r="BO5" s="26">
        <v>0.21180555555555555</v>
      </c>
      <c r="BP5" s="24">
        <v>0.7708333333333334</v>
      </c>
      <c r="BQ5" s="24">
        <v>1.0208333333333333</v>
      </c>
      <c r="BR5" s="24">
        <v>0.3819444444444444</v>
      </c>
      <c r="BS5" s="24">
        <v>0.14930555555555555</v>
      </c>
      <c r="BT5" s="27" t="s">
        <v>28</v>
      </c>
      <c r="BU5" s="27" t="s">
        <v>28</v>
      </c>
      <c r="BV5" s="27" t="s">
        <v>28</v>
      </c>
      <c r="BW5" s="27" t="s">
        <v>28</v>
      </c>
      <c r="BX5" s="27" t="s">
        <v>28</v>
      </c>
      <c r="BY5" s="27" t="s">
        <v>28</v>
      </c>
      <c r="BZ5" s="27" t="s">
        <v>28</v>
      </c>
      <c r="CA5" s="27" t="s">
        <v>28</v>
      </c>
      <c r="CB5" s="27" t="s">
        <v>28</v>
      </c>
      <c r="CC5" s="27" t="s">
        <v>28</v>
      </c>
      <c r="CD5" s="27" t="s">
        <v>28</v>
      </c>
      <c r="CE5" s="27" t="s">
        <v>28</v>
      </c>
      <c r="CF5" s="27" t="s">
        <v>28</v>
      </c>
      <c r="CG5" s="27" t="s">
        <v>28</v>
      </c>
      <c r="CH5" s="27" t="s">
        <v>28</v>
      </c>
      <c r="CI5" s="27" t="s">
        <v>28</v>
      </c>
      <c r="CJ5" s="27" t="s">
        <v>28</v>
      </c>
      <c r="CK5" s="27" t="s">
        <v>28</v>
      </c>
      <c r="CL5" s="27" t="s">
        <v>28</v>
      </c>
      <c r="CM5" s="27" t="s">
        <v>28</v>
      </c>
      <c r="CN5" s="27" t="s">
        <v>28</v>
      </c>
      <c r="CO5" s="27" t="s">
        <v>28</v>
      </c>
      <c r="CP5" s="27" t="s">
        <v>28</v>
      </c>
      <c r="CQ5" s="27" t="s">
        <v>28</v>
      </c>
      <c r="CR5" s="27" t="s">
        <v>28</v>
      </c>
      <c r="CS5" s="27" t="s">
        <v>28</v>
      </c>
      <c r="CT5" s="27" t="s">
        <v>28</v>
      </c>
      <c r="CU5" s="27" t="s">
        <v>28</v>
      </c>
      <c r="CV5" s="27" t="s">
        <v>28</v>
      </c>
      <c r="CW5" s="27" t="s">
        <v>28</v>
      </c>
      <c r="CX5" s="27" t="s">
        <v>28</v>
      </c>
      <c r="CY5" s="27" t="s">
        <v>28</v>
      </c>
      <c r="CZ5" s="25" t="str">
        <f>IFERROR(__xludf.DUMMYFUNCTION("IMPORTRANGE(""https://docs.google.com/spreadsheets/d/18xOxbOikuoYF2n_J8WnF_1ikfJbfn463_18ZZ5pIZFM/edit#gid=931443355"",""RDA!F9"")"),"#REF!")</f>
        <v>#REF!</v>
      </c>
      <c r="DA5" s="25" t="str">
        <f>IFERROR(__xludf.DUMMYFUNCTION("IMPORTRANGE(""https://docs.google.com/spreadsheets/d/18xOxbOikuoYF2n_J8WnF_1ikfJbfn463_18ZZ5pIZFM/edit#gid=931443355"",""RDA!G9"")"),"#REF!")</f>
        <v>#REF!</v>
      </c>
      <c r="DB5" s="27" t="s">
        <v>28</v>
      </c>
      <c r="DC5" s="27" t="s">
        <v>28</v>
      </c>
      <c r="DD5" s="28" t="s">
        <v>28</v>
      </c>
      <c r="DE5" s="28" t="s">
        <v>28</v>
      </c>
      <c r="DF5" s="28" t="s">
        <v>28</v>
      </c>
      <c r="DG5" s="27" t="s">
        <v>28</v>
      </c>
      <c r="DH5" s="27" t="s">
        <v>28</v>
      </c>
      <c r="DI5" s="27" t="s">
        <v>28</v>
      </c>
      <c r="DJ5" s="28" t="s">
        <v>28</v>
      </c>
      <c r="DK5" s="27" t="s">
        <v>28</v>
      </c>
      <c r="DL5" s="27" t="s">
        <v>28</v>
      </c>
      <c r="DM5" s="27" t="s">
        <v>28</v>
      </c>
      <c r="DN5" s="28" t="s">
        <v>28</v>
      </c>
      <c r="DO5" s="27" t="s">
        <v>28</v>
      </c>
      <c r="DP5" s="27" t="s">
        <v>28</v>
      </c>
      <c r="DQ5" s="27" t="s">
        <v>28</v>
      </c>
      <c r="DR5" s="28" t="s">
        <v>28</v>
      </c>
      <c r="DS5" s="27" t="s">
        <v>28</v>
      </c>
      <c r="DT5" s="27" t="s">
        <v>28</v>
      </c>
      <c r="DU5" s="27" t="s">
        <v>28</v>
      </c>
      <c r="DV5" s="29"/>
    </row>
    <row r="6" ht="216.0" customHeight="1">
      <c r="A6" s="17"/>
      <c r="B6" s="30"/>
      <c r="C6" s="2"/>
      <c r="D6" s="3"/>
      <c r="E6" s="23" t="s">
        <v>29</v>
      </c>
      <c r="F6" s="31"/>
      <c r="G6" s="31"/>
      <c r="H6" s="32"/>
      <c r="I6" s="32"/>
      <c r="J6" s="32"/>
      <c r="K6" s="32"/>
      <c r="L6" s="31"/>
      <c r="M6" s="31"/>
      <c r="N6" s="33" t="s">
        <v>30</v>
      </c>
      <c r="O6" s="32"/>
      <c r="P6" s="32"/>
      <c r="Q6" s="32"/>
      <c r="R6" s="34" t="s">
        <v>31</v>
      </c>
      <c r="S6" s="32"/>
      <c r="T6" s="32"/>
      <c r="U6" s="31"/>
      <c r="V6" s="31"/>
      <c r="W6" s="32"/>
      <c r="X6" s="34" t="s">
        <v>32</v>
      </c>
      <c r="Y6" s="32"/>
      <c r="Z6" s="32"/>
      <c r="AA6" s="32"/>
      <c r="AB6" s="32"/>
      <c r="AC6" s="35"/>
      <c r="AD6" s="34" t="s">
        <v>33</v>
      </c>
      <c r="AE6" s="33" t="s">
        <v>34</v>
      </c>
      <c r="AF6" s="33" t="s">
        <v>34</v>
      </c>
      <c r="AG6" s="33" t="s">
        <v>34</v>
      </c>
      <c r="AH6" s="33" t="s">
        <v>34</v>
      </c>
      <c r="AI6" s="33" t="s">
        <v>34</v>
      </c>
      <c r="AJ6" s="33" t="s">
        <v>34</v>
      </c>
      <c r="AK6" s="33" t="s">
        <v>34</v>
      </c>
      <c r="AL6" s="33" t="s">
        <v>34</v>
      </c>
      <c r="AM6" s="33" t="s">
        <v>34</v>
      </c>
      <c r="AN6" s="33" t="s">
        <v>34</v>
      </c>
      <c r="AO6" s="33" t="s">
        <v>34</v>
      </c>
      <c r="AP6" s="33" t="s">
        <v>34</v>
      </c>
      <c r="AQ6" s="33" t="s">
        <v>34</v>
      </c>
      <c r="AR6" s="33" t="s">
        <v>34</v>
      </c>
      <c r="AS6" s="33" t="s">
        <v>34</v>
      </c>
      <c r="AT6" s="33" t="s">
        <v>34</v>
      </c>
      <c r="AU6" s="33" t="s">
        <v>34</v>
      </c>
      <c r="AV6" s="32"/>
      <c r="AW6" s="31"/>
      <c r="AX6" s="32"/>
      <c r="AY6" s="32"/>
      <c r="AZ6" s="32"/>
      <c r="BA6" s="32"/>
      <c r="BB6" s="36"/>
      <c r="BC6" s="36"/>
      <c r="BD6" s="32"/>
      <c r="BE6" s="32"/>
      <c r="BF6" s="35"/>
      <c r="BG6" s="37" t="s">
        <v>35</v>
      </c>
      <c r="BH6" s="38"/>
      <c r="BI6" s="38"/>
      <c r="BJ6" s="32"/>
      <c r="BK6" s="32"/>
      <c r="BL6" s="35"/>
      <c r="BM6" s="34"/>
      <c r="BN6" s="31"/>
      <c r="BO6" s="32"/>
      <c r="BP6" s="34"/>
      <c r="BQ6" s="4"/>
      <c r="BR6" s="32"/>
      <c r="BS6" s="32"/>
      <c r="BT6" s="32"/>
      <c r="BU6" s="32"/>
      <c r="BV6" s="32"/>
      <c r="BW6" s="39" t="s">
        <v>36</v>
      </c>
      <c r="BX6" s="31"/>
      <c r="BY6" s="32"/>
      <c r="BZ6" s="32"/>
      <c r="CA6" s="32"/>
      <c r="CB6" s="40"/>
      <c r="CC6" s="40"/>
      <c r="CD6" s="32"/>
      <c r="CE6" s="35"/>
      <c r="CF6" s="32"/>
      <c r="CG6" s="31"/>
      <c r="CH6" s="32"/>
      <c r="CI6" s="41" t="s">
        <v>37</v>
      </c>
      <c r="CJ6" s="32"/>
      <c r="CK6" s="32"/>
      <c r="CL6" s="32"/>
      <c r="CM6" s="32"/>
      <c r="CN6" s="32"/>
      <c r="CO6" s="32"/>
      <c r="CP6" s="32"/>
      <c r="CQ6" s="31"/>
      <c r="CR6" s="39" t="s">
        <v>38</v>
      </c>
      <c r="CS6" s="32"/>
      <c r="CT6" s="32"/>
      <c r="CU6" s="32"/>
      <c r="CV6" s="32"/>
      <c r="CW6" s="35"/>
      <c r="CX6" s="32"/>
      <c r="CY6" s="32"/>
      <c r="CZ6" s="36"/>
      <c r="DA6" s="36"/>
      <c r="DB6" s="32"/>
      <c r="DC6" s="32"/>
      <c r="DD6" s="35"/>
      <c r="DE6" s="35"/>
      <c r="DF6" s="38"/>
      <c r="DG6" s="39" t="s">
        <v>39</v>
      </c>
      <c r="DH6" s="32"/>
      <c r="DI6" s="38"/>
      <c r="DJ6" s="38"/>
      <c r="DK6" s="4"/>
      <c r="DL6" s="32"/>
      <c r="DM6" s="38"/>
      <c r="DN6" s="38"/>
      <c r="DO6" s="4"/>
      <c r="DP6" s="32"/>
      <c r="DQ6" s="38"/>
      <c r="DR6" s="38"/>
      <c r="DS6" s="39" t="s">
        <v>40</v>
      </c>
      <c r="DT6" s="32"/>
      <c r="DU6" s="38"/>
      <c r="DV6" s="42"/>
    </row>
    <row r="7" ht="27.0" customHeight="1">
      <c r="A7" s="20" t="s">
        <v>41</v>
      </c>
      <c r="B7" s="21">
        <f>IFERROR(__xludf.DUMMYFUNCTION("IMPORTRANGE(""https://docs.google.com/spreadsheets/d/1oHm-YzMXBr2jRl6z1vG1XQ7TOxvPSVtJE7uKPuuCPkw/edit#gid=1217079834"",""2720!J82"")"),50.204861111111114)</f>
        <v>50.20486111</v>
      </c>
      <c r="C7" s="21">
        <f>IFERROR(__xludf.DUMMYFUNCTION("IMPORTRANGE(""https://docs.google.com/spreadsheets/d/1oHm-YzMXBr2jRl6z1vG1XQ7TOxvPSVtJE7uKPuuCPkw/edit#gid=1217079834"",""2720!J79"")"),127.49305555555554)</f>
        <v>127.4930556</v>
      </c>
      <c r="D7" s="22" t="str">
        <f>IFERROR(__xludf.DUMMYFUNCTION("IMPORTRANGE(""https://docs.google.com/spreadsheets/d/18xOxbOikuoYF2n_J8WnF_1ikfJbfn463_18ZZ5pIZFM/edit#gid=931443355"",""RDA!G10"")"),"#REF!")</f>
        <v>#REF!</v>
      </c>
      <c r="E7" s="23" t="s">
        <v>27</v>
      </c>
      <c r="F7" s="24">
        <v>0.0</v>
      </c>
      <c r="G7" s="24">
        <v>0.0</v>
      </c>
      <c r="H7" s="24">
        <v>0.0</v>
      </c>
      <c r="I7" s="24">
        <v>0.0</v>
      </c>
      <c r="J7" s="24">
        <v>0.0</v>
      </c>
      <c r="K7" s="24">
        <v>0.0</v>
      </c>
      <c r="L7" s="24">
        <v>0.0</v>
      </c>
      <c r="M7" s="24">
        <v>0.0</v>
      </c>
      <c r="N7" s="24">
        <v>0.0</v>
      </c>
      <c r="O7" s="24">
        <v>0.0</v>
      </c>
      <c r="P7" s="24">
        <v>0.0</v>
      </c>
      <c r="Q7" s="24">
        <v>0.0</v>
      </c>
      <c r="R7" s="24">
        <v>0.0</v>
      </c>
      <c r="S7" s="24">
        <v>0.0</v>
      </c>
      <c r="T7" s="24">
        <v>0.0</v>
      </c>
      <c r="U7" s="24">
        <v>0.0</v>
      </c>
      <c r="V7" s="24">
        <v>0.0</v>
      </c>
      <c r="W7" s="24">
        <v>0.0</v>
      </c>
      <c r="X7" s="24">
        <v>0.0</v>
      </c>
      <c r="Y7" s="24">
        <v>0.0</v>
      </c>
      <c r="Z7" s="24">
        <v>0.0</v>
      </c>
      <c r="AA7" s="24">
        <v>0.0</v>
      </c>
      <c r="AB7" s="24">
        <v>0.0</v>
      </c>
      <c r="AC7" s="24">
        <v>0.0</v>
      </c>
      <c r="AD7" s="24">
        <v>0.0</v>
      </c>
      <c r="AE7" s="24">
        <v>0.0</v>
      </c>
      <c r="AF7" s="24">
        <v>0.05555555555555555</v>
      </c>
      <c r="AG7" s="24">
        <v>0.0</v>
      </c>
      <c r="AH7" s="24">
        <v>0.3229166666666667</v>
      </c>
      <c r="AI7" s="24">
        <v>0.0</v>
      </c>
      <c r="AJ7" s="24">
        <v>0.5520833333333334</v>
      </c>
      <c r="AK7" s="24">
        <v>0.3923611111111111</v>
      </c>
      <c r="AL7" s="24">
        <v>0.0</v>
      </c>
      <c r="AM7" s="24">
        <v>0.5347222222222222</v>
      </c>
      <c r="AN7" s="24">
        <v>0.5729166666666666</v>
      </c>
      <c r="AO7" s="24">
        <v>1.0486111111111112</v>
      </c>
      <c r="AP7" s="24">
        <v>0.7291666666666666</v>
      </c>
      <c r="AQ7" s="24">
        <v>0.5590277777777778</v>
      </c>
      <c r="AR7" s="24">
        <v>0.2708333333333333</v>
      </c>
      <c r="AS7" s="24">
        <v>0.2152777777777778</v>
      </c>
      <c r="AT7" s="24">
        <v>0.013888888888888888</v>
      </c>
      <c r="AU7" s="24">
        <v>0.2638888888888889</v>
      </c>
      <c r="AV7" s="24">
        <v>0.11458333333333333</v>
      </c>
      <c r="AW7" s="24">
        <v>0.5451388888888888</v>
      </c>
      <c r="AX7" s="24">
        <v>0.625</v>
      </c>
      <c r="AY7" s="24">
        <v>0.9166666666666666</v>
      </c>
      <c r="AZ7" s="24">
        <v>0.125</v>
      </c>
      <c r="BA7" s="24">
        <v>0.024305555555555556</v>
      </c>
      <c r="BB7" s="25">
        <v>7.881944444444445</v>
      </c>
      <c r="BC7" s="25" t="str">
        <f>IFERROR(__xludf.DUMMYFUNCTION("IMPORTRANGE(""https://docs.google.com/spreadsheets/d/18xOxbOikuoYF2n_J8WnF_1ikfJbfn463_18ZZ5pIZFM/edit#gid=931443355"",""RDA!G10"")"),"#REF!")</f>
        <v>#REF!</v>
      </c>
      <c r="BD7" s="24">
        <v>0.0</v>
      </c>
      <c r="BE7" s="24">
        <v>0.0</v>
      </c>
      <c r="BF7" s="24">
        <v>0.0</v>
      </c>
      <c r="BG7" s="24">
        <v>0.052083333333333336</v>
      </c>
      <c r="BH7" s="24">
        <v>0.2638888888888889</v>
      </c>
      <c r="BI7" s="24">
        <v>0.4027777777777778</v>
      </c>
      <c r="BJ7" s="24">
        <v>0.0</v>
      </c>
      <c r="BK7" s="24">
        <v>0.5486111111111112</v>
      </c>
      <c r="BL7" s="24">
        <v>0.7673611111111112</v>
      </c>
      <c r="BM7" s="24">
        <v>1.09375</v>
      </c>
      <c r="BN7" s="24">
        <v>0.11805555555555555</v>
      </c>
      <c r="BO7" s="24">
        <v>0.0</v>
      </c>
      <c r="BP7" s="24">
        <v>0.0</v>
      </c>
      <c r="BQ7" s="24">
        <v>0.0</v>
      </c>
      <c r="BR7" s="26">
        <v>0.2569444444444444</v>
      </c>
      <c r="BS7" s="26">
        <v>0.1284722222222222</v>
      </c>
      <c r="BT7" s="27" t="s">
        <v>28</v>
      </c>
      <c r="BU7" s="27" t="s">
        <v>28</v>
      </c>
      <c r="BV7" s="27" t="s">
        <v>28</v>
      </c>
      <c r="BW7" s="27" t="s">
        <v>28</v>
      </c>
      <c r="BX7" s="27" t="s">
        <v>28</v>
      </c>
      <c r="BY7" s="27" t="s">
        <v>28</v>
      </c>
      <c r="BZ7" s="27" t="s">
        <v>28</v>
      </c>
      <c r="CA7" s="27" t="s">
        <v>28</v>
      </c>
      <c r="CB7" s="27" t="s">
        <v>28</v>
      </c>
      <c r="CC7" s="27" t="s">
        <v>28</v>
      </c>
      <c r="CD7" s="27" t="s">
        <v>28</v>
      </c>
      <c r="CE7" s="27" t="s">
        <v>28</v>
      </c>
      <c r="CF7" s="27" t="s">
        <v>28</v>
      </c>
      <c r="CG7" s="27" t="s">
        <v>28</v>
      </c>
      <c r="CH7" s="27" t="s">
        <v>28</v>
      </c>
      <c r="CI7" s="27" t="s">
        <v>28</v>
      </c>
      <c r="CJ7" s="27" t="s">
        <v>28</v>
      </c>
      <c r="CK7" s="27" t="s">
        <v>28</v>
      </c>
      <c r="CL7" s="27" t="s">
        <v>28</v>
      </c>
      <c r="CM7" s="27" t="s">
        <v>28</v>
      </c>
      <c r="CN7" s="27" t="s">
        <v>28</v>
      </c>
      <c r="CO7" s="27" t="s">
        <v>28</v>
      </c>
      <c r="CP7" s="27" t="s">
        <v>28</v>
      </c>
      <c r="CQ7" s="27" t="s">
        <v>28</v>
      </c>
      <c r="CR7" s="27" t="s">
        <v>28</v>
      </c>
      <c r="CS7" s="27" t="s">
        <v>28</v>
      </c>
      <c r="CT7" s="27" t="s">
        <v>28</v>
      </c>
      <c r="CU7" s="27" t="s">
        <v>28</v>
      </c>
      <c r="CV7" s="27" t="s">
        <v>28</v>
      </c>
      <c r="CW7" s="27" t="s">
        <v>28</v>
      </c>
      <c r="CX7" s="27" t="s">
        <v>28</v>
      </c>
      <c r="CY7" s="27" t="s">
        <v>28</v>
      </c>
      <c r="CZ7" s="25" t="str">
        <f>IFERROR(__xludf.DUMMYFUNCTION("IMPORTRANGE(""https://docs.google.com/spreadsheets/d/18xOxbOikuoYF2n_J8WnF_1ikfJbfn463_18ZZ5pIZFM/edit#gid=931443355"",""RDA!F10"")"),"#REF!")</f>
        <v>#REF!</v>
      </c>
      <c r="DA7" s="25" t="str">
        <f>IFERROR(__xludf.DUMMYFUNCTION("IMPORTRANGE(""https://docs.google.com/spreadsheets/d/18xOxbOikuoYF2n_J8WnF_1ikfJbfn463_18ZZ5pIZFM/edit#gid=931443355"",""RDA!G10"")"),"#REF!")</f>
        <v>#REF!</v>
      </c>
      <c r="DB7" s="27" t="s">
        <v>28</v>
      </c>
      <c r="DC7" s="27" t="s">
        <v>28</v>
      </c>
      <c r="DD7" s="27" t="s">
        <v>28</v>
      </c>
      <c r="DE7" s="27" t="s">
        <v>28</v>
      </c>
      <c r="DF7" s="27" t="s">
        <v>28</v>
      </c>
      <c r="DG7" s="27" t="s">
        <v>28</v>
      </c>
      <c r="DH7" s="27" t="s">
        <v>28</v>
      </c>
      <c r="DI7" s="27" t="s">
        <v>28</v>
      </c>
      <c r="DJ7" s="27" t="s">
        <v>28</v>
      </c>
      <c r="DK7" s="27" t="s">
        <v>28</v>
      </c>
      <c r="DL7" s="27" t="s">
        <v>28</v>
      </c>
      <c r="DM7" s="27" t="s">
        <v>28</v>
      </c>
      <c r="DN7" s="27" t="s">
        <v>28</v>
      </c>
      <c r="DO7" s="27" t="s">
        <v>28</v>
      </c>
      <c r="DP7" s="27" t="s">
        <v>28</v>
      </c>
      <c r="DQ7" s="27" t="s">
        <v>28</v>
      </c>
      <c r="DR7" s="27" t="s">
        <v>28</v>
      </c>
      <c r="DS7" s="27" t="s">
        <v>28</v>
      </c>
      <c r="DT7" s="27" t="s">
        <v>28</v>
      </c>
      <c r="DU7" s="27" t="s">
        <v>28</v>
      </c>
      <c r="DV7" s="29"/>
    </row>
    <row r="8" ht="177.0" customHeight="1">
      <c r="A8" s="17"/>
      <c r="B8" s="30"/>
      <c r="C8" s="2"/>
      <c r="D8" s="3"/>
      <c r="E8" s="23" t="s">
        <v>29</v>
      </c>
      <c r="F8" s="33" t="s">
        <v>42</v>
      </c>
      <c r="G8" s="33" t="s">
        <v>34</v>
      </c>
      <c r="H8" s="33" t="s">
        <v>34</v>
      </c>
      <c r="I8" s="33" t="s">
        <v>34</v>
      </c>
      <c r="J8" s="33" t="s">
        <v>34</v>
      </c>
      <c r="K8" s="33" t="s">
        <v>34</v>
      </c>
      <c r="L8" s="33" t="s">
        <v>34</v>
      </c>
      <c r="M8" s="33" t="s">
        <v>34</v>
      </c>
      <c r="N8" s="33" t="s">
        <v>34</v>
      </c>
      <c r="O8" s="33" t="s">
        <v>34</v>
      </c>
      <c r="P8" s="33" t="s">
        <v>34</v>
      </c>
      <c r="Q8" s="33" t="s">
        <v>34</v>
      </c>
      <c r="R8" s="33" t="s">
        <v>34</v>
      </c>
      <c r="S8" s="33" t="s">
        <v>34</v>
      </c>
      <c r="T8" s="33" t="s">
        <v>34</v>
      </c>
      <c r="U8" s="33" t="s">
        <v>34</v>
      </c>
      <c r="V8" s="33" t="s">
        <v>34</v>
      </c>
      <c r="W8" s="33" t="s">
        <v>34</v>
      </c>
      <c r="X8" s="33" t="s">
        <v>34</v>
      </c>
      <c r="Y8" s="33" t="s">
        <v>34</v>
      </c>
      <c r="Z8" s="33" t="s">
        <v>34</v>
      </c>
      <c r="AA8" s="33" t="s">
        <v>34</v>
      </c>
      <c r="AB8" s="33" t="s">
        <v>34</v>
      </c>
      <c r="AC8" s="33" t="s">
        <v>34</v>
      </c>
      <c r="AD8" s="33" t="s">
        <v>34</v>
      </c>
      <c r="AE8" s="33" t="s">
        <v>34</v>
      </c>
      <c r="AF8" s="33"/>
      <c r="AG8" s="33"/>
      <c r="AH8" s="33"/>
      <c r="AI8" s="33"/>
      <c r="AJ8" s="33"/>
      <c r="AK8" s="33"/>
      <c r="AL8" s="33"/>
      <c r="AM8" s="33"/>
      <c r="AN8" s="33"/>
      <c r="AO8" s="33"/>
      <c r="AP8" s="33"/>
      <c r="AQ8" s="33"/>
      <c r="AR8" s="33" t="s">
        <v>43</v>
      </c>
      <c r="AS8" s="33"/>
      <c r="AT8" s="33"/>
      <c r="AU8" s="33"/>
      <c r="AV8" s="33"/>
      <c r="AW8" s="33"/>
      <c r="AX8" s="33"/>
      <c r="AY8" s="33"/>
      <c r="AZ8" s="43"/>
      <c r="BA8" s="33"/>
      <c r="BB8" s="44"/>
      <c r="BC8" s="44"/>
      <c r="BD8" s="43"/>
      <c r="BE8" s="45" t="s">
        <v>44</v>
      </c>
      <c r="BF8" s="43"/>
      <c r="BG8" s="40"/>
      <c r="BH8" s="46"/>
      <c r="BI8" s="40"/>
      <c r="BJ8" s="40"/>
      <c r="BK8" s="40"/>
      <c r="BL8" s="34"/>
      <c r="BM8" s="40"/>
      <c r="BN8" s="40"/>
      <c r="BO8" s="34"/>
      <c r="BP8" s="41" t="s">
        <v>45</v>
      </c>
      <c r="BQ8" s="40"/>
      <c r="BR8" s="40"/>
      <c r="BS8" s="40"/>
      <c r="BT8" s="40"/>
      <c r="BU8" s="40"/>
      <c r="BV8" s="40"/>
      <c r="BW8" s="40"/>
      <c r="BX8" s="40"/>
      <c r="BY8" s="40"/>
      <c r="BZ8" s="40"/>
      <c r="CA8" s="40"/>
      <c r="CB8" s="40" t="s">
        <v>46</v>
      </c>
      <c r="CC8" s="40"/>
      <c r="CD8" s="45" t="s">
        <v>47</v>
      </c>
      <c r="CE8" s="40"/>
      <c r="CF8" s="40"/>
      <c r="CG8" s="40"/>
      <c r="CH8" s="40"/>
      <c r="CI8" s="40"/>
      <c r="CJ8" s="40"/>
      <c r="CK8" s="40"/>
      <c r="CL8" s="40"/>
      <c r="CM8" s="40"/>
      <c r="CN8" s="41" t="s">
        <v>48</v>
      </c>
      <c r="CO8" s="40"/>
      <c r="CP8" s="40"/>
      <c r="CQ8" s="40"/>
      <c r="CR8" s="43"/>
      <c r="CS8" s="43"/>
      <c r="CT8" s="40"/>
      <c r="CU8" s="40"/>
      <c r="CV8" s="40"/>
      <c r="CW8" s="43"/>
      <c r="CX8" s="40"/>
      <c r="CY8" s="40"/>
      <c r="CZ8" s="44"/>
      <c r="DA8" s="47"/>
      <c r="DB8" s="43"/>
      <c r="DC8" s="45" t="s">
        <v>49</v>
      </c>
      <c r="DD8" s="43"/>
      <c r="DE8" s="40"/>
      <c r="DF8" s="43"/>
      <c r="DG8" s="40"/>
      <c r="DH8" s="40"/>
      <c r="DI8" s="40"/>
      <c r="DJ8" s="43"/>
      <c r="DK8" s="40"/>
      <c r="DL8" s="40"/>
      <c r="DM8" s="40"/>
      <c r="DN8" s="45" t="s">
        <v>50</v>
      </c>
      <c r="DO8" s="40"/>
      <c r="DP8" s="40"/>
      <c r="DQ8" s="40"/>
      <c r="DR8" s="43"/>
      <c r="DS8" s="40"/>
      <c r="DT8" s="40"/>
      <c r="DU8" s="40"/>
      <c r="DV8" s="48"/>
    </row>
    <row r="9" ht="27.0" customHeight="1">
      <c r="A9" s="20" t="s">
        <v>51</v>
      </c>
      <c r="B9" s="21" t="str">
        <f>IFERROR(__xludf.DUMMYFUNCTION("IMPORTRANGE(""https://docs.google.com/spreadsheets/d/1Z6kt6w7NqYU__yC0wia8Qb2TUsQNhyN5nfBbxx4nv3Y/edit?usp=drive_web&amp;ouid=105470789796163377910"",""2721!J82"")"),"#REF!")</f>
        <v>#REF!</v>
      </c>
      <c r="C9" s="21" t="str">
        <f>IFERROR(__xludf.DUMMYFUNCTION("IMPORTRANGE(""https://docs.google.com/spreadsheets/d/1Z6kt6w7NqYU__yC0wia8Qb2TUsQNhyN5nfBbxx4nv3Y/edit?usp=drive_web&amp;ouid=105470789796163377910"",""2721!J79"")"),"#REF!")</f>
        <v>#REF!</v>
      </c>
      <c r="D9" s="21" t="str">
        <f>IFERROR(__xludf.DUMMYFUNCTION("IMPORTRANGE(""https://docs.google.com/spreadsheets/d/18xOxbOikuoYF2n_J8WnF_1ikfJbfn463_18ZZ5pIZFM/edit#gid=931443355"",""RDA!G11"")"),"#REF!")</f>
        <v>#REF!</v>
      </c>
      <c r="E9" s="23" t="s">
        <v>27</v>
      </c>
      <c r="F9" s="24">
        <v>0.0</v>
      </c>
      <c r="G9" s="24">
        <v>0.0</v>
      </c>
      <c r="H9" s="24">
        <v>0.0</v>
      </c>
      <c r="I9" s="24">
        <v>0.0</v>
      </c>
      <c r="J9" s="24">
        <v>0.0</v>
      </c>
      <c r="K9" s="24">
        <v>0.0</v>
      </c>
      <c r="L9" s="24">
        <v>0.0</v>
      </c>
      <c r="M9" s="24">
        <v>0.0</v>
      </c>
      <c r="N9" s="24">
        <v>0.0</v>
      </c>
      <c r="O9" s="24">
        <v>0.0</v>
      </c>
      <c r="P9" s="24">
        <v>0.0</v>
      </c>
      <c r="Q9" s="24">
        <v>0.0</v>
      </c>
      <c r="R9" s="24">
        <v>0.0</v>
      </c>
      <c r="S9" s="24">
        <v>0.0</v>
      </c>
      <c r="T9" s="24">
        <v>0.0</v>
      </c>
      <c r="U9" s="24">
        <v>0.0</v>
      </c>
      <c r="V9" s="24">
        <v>0.0</v>
      </c>
      <c r="W9" s="24">
        <v>0.0</v>
      </c>
      <c r="X9" s="24">
        <v>0.0</v>
      </c>
      <c r="Y9" s="24">
        <v>0.0</v>
      </c>
      <c r="Z9" s="24">
        <v>0.0</v>
      </c>
      <c r="AA9" s="24">
        <v>0.0</v>
      </c>
      <c r="AB9" s="24">
        <v>0.0</v>
      </c>
      <c r="AC9" s="24">
        <v>0.0</v>
      </c>
      <c r="AD9" s="24">
        <v>0.0</v>
      </c>
      <c r="AE9" s="24">
        <v>0.0</v>
      </c>
      <c r="AF9" s="24">
        <v>0.05555555555555555</v>
      </c>
      <c r="AG9" s="24">
        <v>0.0</v>
      </c>
      <c r="AH9" s="24">
        <v>0.3229166666666667</v>
      </c>
      <c r="AI9" s="24">
        <v>0.0</v>
      </c>
      <c r="AJ9" s="24">
        <v>0.5520833333333334</v>
      </c>
      <c r="AK9" s="24">
        <v>0.3923611111111111</v>
      </c>
      <c r="AL9" s="24">
        <v>0.0</v>
      </c>
      <c r="AM9" s="24">
        <v>0.5347222222222222</v>
      </c>
      <c r="AN9" s="24">
        <v>0.5729166666666666</v>
      </c>
      <c r="AO9" s="24">
        <v>1.0486111111111112</v>
      </c>
      <c r="AP9" s="24">
        <v>0.7291666666666666</v>
      </c>
      <c r="AQ9" s="24">
        <v>0.5590277777777778</v>
      </c>
      <c r="AR9" s="24">
        <v>0.2708333333333333</v>
      </c>
      <c r="AS9" s="24">
        <v>0.2152777777777778</v>
      </c>
      <c r="AT9" s="24">
        <v>0.013888888888888888</v>
      </c>
      <c r="AU9" s="24">
        <v>0.2638888888888889</v>
      </c>
      <c r="AV9" s="24">
        <v>0.11458333333333333</v>
      </c>
      <c r="AW9" s="24">
        <v>0.5451388888888888</v>
      </c>
      <c r="AX9" s="24">
        <v>0.625</v>
      </c>
      <c r="AY9" s="24">
        <v>0.9166666666666666</v>
      </c>
      <c r="AZ9" s="24">
        <v>0.125</v>
      </c>
      <c r="BA9" s="24">
        <v>0.024305555555555556</v>
      </c>
      <c r="BB9" s="25">
        <v>7.881944444444445</v>
      </c>
      <c r="BC9" s="25" t="str">
        <f>IFERROR(__xludf.DUMMYFUNCTION("IMPORTRANGE(""https://docs.google.com/spreadsheets/d/18xOxbOikuoYF2n_J8WnF_1ikfJbfn463_18ZZ5pIZFM/edit#gid=931443355"",""RDA!G10"")"),"#REF!")</f>
        <v>#REF!</v>
      </c>
      <c r="BD9" s="24">
        <v>0.0</v>
      </c>
      <c r="BE9" s="24">
        <v>0.0</v>
      </c>
      <c r="BF9" s="24">
        <v>0.0</v>
      </c>
      <c r="BG9" s="24">
        <v>0.0</v>
      </c>
      <c r="BH9" s="24">
        <v>0.0</v>
      </c>
      <c r="BI9" s="24">
        <v>0.0</v>
      </c>
      <c r="BJ9" s="24">
        <v>0.0</v>
      </c>
      <c r="BK9" s="24">
        <v>0.0</v>
      </c>
      <c r="BL9" s="24">
        <v>0.0</v>
      </c>
      <c r="BM9" s="24">
        <v>0.0</v>
      </c>
      <c r="BN9" s="24">
        <v>0.0</v>
      </c>
      <c r="BO9" s="24">
        <v>0.0</v>
      </c>
      <c r="BP9" s="24">
        <v>0.0</v>
      </c>
      <c r="BQ9" s="26">
        <v>0.3090277777777778</v>
      </c>
      <c r="BR9" s="24">
        <v>0.0</v>
      </c>
      <c r="BS9" s="24">
        <v>0.0</v>
      </c>
      <c r="BT9" s="27" t="s">
        <v>28</v>
      </c>
      <c r="BU9" s="27" t="s">
        <v>28</v>
      </c>
      <c r="BV9" s="27" t="s">
        <v>28</v>
      </c>
      <c r="BW9" s="27" t="s">
        <v>28</v>
      </c>
      <c r="BX9" s="27" t="s">
        <v>28</v>
      </c>
      <c r="BY9" s="27" t="s">
        <v>28</v>
      </c>
      <c r="BZ9" s="27" t="s">
        <v>28</v>
      </c>
      <c r="CA9" s="27" t="s">
        <v>28</v>
      </c>
      <c r="CB9" s="27" t="s">
        <v>28</v>
      </c>
      <c r="CC9" s="27" t="s">
        <v>28</v>
      </c>
      <c r="CD9" s="27" t="s">
        <v>28</v>
      </c>
      <c r="CE9" s="27" t="s">
        <v>28</v>
      </c>
      <c r="CF9" s="27" t="s">
        <v>28</v>
      </c>
      <c r="CG9" s="27" t="s">
        <v>28</v>
      </c>
      <c r="CH9" s="27" t="s">
        <v>28</v>
      </c>
      <c r="CI9" s="27" t="s">
        <v>28</v>
      </c>
      <c r="CJ9" s="27" t="s">
        <v>28</v>
      </c>
      <c r="CK9" s="27" t="s">
        <v>28</v>
      </c>
      <c r="CL9" s="27" t="s">
        <v>28</v>
      </c>
      <c r="CM9" s="27" t="s">
        <v>28</v>
      </c>
      <c r="CN9" s="27" t="s">
        <v>28</v>
      </c>
      <c r="CO9" s="27" t="s">
        <v>28</v>
      </c>
      <c r="CP9" s="27" t="s">
        <v>28</v>
      </c>
      <c r="CQ9" s="27" t="s">
        <v>28</v>
      </c>
      <c r="CR9" s="27" t="s">
        <v>28</v>
      </c>
      <c r="CS9" s="27" t="s">
        <v>28</v>
      </c>
      <c r="CT9" s="27" t="s">
        <v>28</v>
      </c>
      <c r="CU9" s="27" t="s">
        <v>28</v>
      </c>
      <c r="CV9" s="27" t="s">
        <v>28</v>
      </c>
      <c r="CW9" s="27" t="s">
        <v>28</v>
      </c>
      <c r="CX9" s="27" t="s">
        <v>28</v>
      </c>
      <c r="CY9" s="27" t="s">
        <v>28</v>
      </c>
      <c r="CZ9" s="25" t="str">
        <f>IFERROR(__xludf.DUMMYFUNCTION("IMPORTRANGE(""https://docs.google.com/spreadsheets/d/18xOxbOikuoYF2n_J8WnF_1ikfJbfn463_18ZZ5pIZFM/edit#gid=931443355"",""RDA!F11"")"),"#REF!")</f>
        <v>#REF!</v>
      </c>
      <c r="DA9" s="25" t="str">
        <f>IFERROR(__xludf.DUMMYFUNCTION("IMPORTRANGE(""https://docs.google.com/spreadsheets/d/18xOxbOikuoYF2n_J8WnF_1ikfJbfn463_18ZZ5pIZFM/edit#gid=931443355"",""RDA!G11"")"),"#REF!")</f>
        <v>#REF!</v>
      </c>
      <c r="DB9" s="27" t="s">
        <v>28</v>
      </c>
      <c r="DC9" s="27" t="s">
        <v>28</v>
      </c>
      <c r="DD9" s="27" t="s">
        <v>28</v>
      </c>
      <c r="DE9" s="27" t="s">
        <v>28</v>
      </c>
      <c r="DF9" s="27" t="s">
        <v>28</v>
      </c>
      <c r="DG9" s="27" t="s">
        <v>28</v>
      </c>
      <c r="DH9" s="27" t="s">
        <v>28</v>
      </c>
      <c r="DI9" s="27" t="s">
        <v>28</v>
      </c>
      <c r="DJ9" s="27" t="s">
        <v>28</v>
      </c>
      <c r="DK9" s="27" t="s">
        <v>28</v>
      </c>
      <c r="DL9" s="27" t="s">
        <v>28</v>
      </c>
      <c r="DM9" s="27" t="s">
        <v>28</v>
      </c>
      <c r="DN9" s="27" t="s">
        <v>28</v>
      </c>
      <c r="DO9" s="27" t="s">
        <v>28</v>
      </c>
      <c r="DP9" s="27" t="s">
        <v>28</v>
      </c>
      <c r="DQ9" s="27" t="s">
        <v>28</v>
      </c>
      <c r="DR9" s="27" t="s">
        <v>28</v>
      </c>
      <c r="DS9" s="27" t="s">
        <v>28</v>
      </c>
      <c r="DT9" s="27" t="s">
        <v>28</v>
      </c>
      <c r="DU9" s="27" t="s">
        <v>28</v>
      </c>
      <c r="DV9" s="29"/>
    </row>
    <row r="10" ht="177.0" customHeight="1">
      <c r="A10" s="17"/>
      <c r="B10" s="30"/>
      <c r="C10" s="2"/>
      <c r="D10" s="3"/>
      <c r="E10" s="23" t="s">
        <v>29</v>
      </c>
      <c r="F10" s="33" t="s">
        <v>42</v>
      </c>
      <c r="G10" s="33" t="s">
        <v>34</v>
      </c>
      <c r="H10" s="33" t="s">
        <v>34</v>
      </c>
      <c r="I10" s="33" t="s">
        <v>34</v>
      </c>
      <c r="J10" s="33" t="s">
        <v>34</v>
      </c>
      <c r="K10" s="33" t="s">
        <v>34</v>
      </c>
      <c r="L10" s="33" t="s">
        <v>34</v>
      </c>
      <c r="M10" s="33" t="s">
        <v>34</v>
      </c>
      <c r="N10" s="33" t="s">
        <v>34</v>
      </c>
      <c r="O10" s="33" t="s">
        <v>34</v>
      </c>
      <c r="P10" s="33" t="s">
        <v>34</v>
      </c>
      <c r="Q10" s="33" t="s">
        <v>34</v>
      </c>
      <c r="R10" s="33" t="s">
        <v>34</v>
      </c>
      <c r="S10" s="33" t="s">
        <v>34</v>
      </c>
      <c r="T10" s="33" t="s">
        <v>34</v>
      </c>
      <c r="U10" s="33" t="s">
        <v>34</v>
      </c>
      <c r="V10" s="33" t="s">
        <v>34</v>
      </c>
      <c r="W10" s="33" t="s">
        <v>34</v>
      </c>
      <c r="X10" s="33" t="s">
        <v>34</v>
      </c>
      <c r="Y10" s="33" t="s">
        <v>34</v>
      </c>
      <c r="Z10" s="33" t="s">
        <v>34</v>
      </c>
      <c r="AA10" s="33" t="s">
        <v>34</v>
      </c>
      <c r="AB10" s="33" t="s">
        <v>34</v>
      </c>
      <c r="AC10" s="33" t="s">
        <v>34</v>
      </c>
      <c r="AD10" s="33" t="s">
        <v>34</v>
      </c>
      <c r="AE10" s="33" t="s">
        <v>34</v>
      </c>
      <c r="AF10" s="33"/>
      <c r="AG10" s="33"/>
      <c r="AH10" s="33"/>
      <c r="AI10" s="33"/>
      <c r="AJ10" s="33"/>
      <c r="AK10" s="33"/>
      <c r="AL10" s="33"/>
      <c r="AM10" s="33"/>
      <c r="AN10" s="33"/>
      <c r="AO10" s="33"/>
      <c r="AP10" s="33"/>
      <c r="AQ10" s="33"/>
      <c r="AR10" s="33" t="s">
        <v>43</v>
      </c>
      <c r="AS10" s="33"/>
      <c r="AT10" s="33"/>
      <c r="AU10" s="33"/>
      <c r="AV10" s="33"/>
      <c r="AW10" s="33"/>
      <c r="AX10" s="33"/>
      <c r="AY10" s="33"/>
      <c r="AZ10" s="43"/>
      <c r="BA10" s="33"/>
      <c r="BB10" s="44"/>
      <c r="BC10" s="44"/>
      <c r="BD10" s="43"/>
      <c r="BE10" s="43"/>
      <c r="BF10" s="43"/>
      <c r="BG10" s="40"/>
      <c r="BH10" s="46"/>
      <c r="BI10" s="40"/>
      <c r="BJ10" s="40"/>
      <c r="BK10" s="40"/>
      <c r="BL10" s="34"/>
      <c r="BM10" s="40"/>
      <c r="BN10" s="40"/>
      <c r="BO10" s="34"/>
      <c r="BP10" s="40"/>
      <c r="BQ10" s="40"/>
      <c r="BR10" s="49" t="s">
        <v>52</v>
      </c>
      <c r="BS10" s="40"/>
      <c r="BT10" s="40"/>
      <c r="BU10" s="40"/>
      <c r="BV10" s="40"/>
      <c r="BW10" s="40"/>
      <c r="BX10" s="40"/>
      <c r="BY10" s="40"/>
      <c r="BZ10" s="41" t="s">
        <v>53</v>
      </c>
      <c r="CA10" s="40"/>
      <c r="CB10" s="40" t="s">
        <v>54</v>
      </c>
      <c r="CC10" s="40"/>
      <c r="CD10" s="43"/>
      <c r="CE10" s="40"/>
      <c r="CF10" s="41" t="s">
        <v>55</v>
      </c>
      <c r="CG10" s="40"/>
      <c r="CH10" s="40"/>
      <c r="CI10" s="40"/>
      <c r="CJ10" s="41" t="s">
        <v>56</v>
      </c>
      <c r="CK10" s="40"/>
      <c r="CL10" s="40"/>
      <c r="CM10" s="40"/>
      <c r="CN10" s="50" t="s">
        <v>57</v>
      </c>
      <c r="CO10" s="40"/>
      <c r="CP10" s="40"/>
      <c r="CQ10" s="40"/>
      <c r="CR10" s="43"/>
      <c r="CS10" s="41" t="s">
        <v>58</v>
      </c>
      <c r="CT10" s="40"/>
      <c r="CU10" s="40"/>
      <c r="CV10" s="40"/>
      <c r="CW10" s="43"/>
      <c r="CX10" s="40"/>
      <c r="CY10" s="40"/>
      <c r="CZ10" s="44"/>
      <c r="DA10" s="47"/>
      <c r="DB10" s="43"/>
      <c r="DC10" s="43"/>
      <c r="DD10" s="45" t="s">
        <v>59</v>
      </c>
      <c r="DE10" s="40"/>
      <c r="DF10" s="43"/>
      <c r="DG10" s="40"/>
      <c r="DH10" s="40"/>
      <c r="DI10" s="40"/>
      <c r="DJ10" s="43"/>
      <c r="DK10" s="45" t="s">
        <v>60</v>
      </c>
      <c r="DL10" s="40"/>
      <c r="DM10" s="40"/>
      <c r="DN10" s="43"/>
      <c r="DO10" s="40"/>
      <c r="DP10" s="40"/>
      <c r="DQ10" s="40"/>
      <c r="DR10" s="43"/>
      <c r="DS10" s="40"/>
      <c r="DT10" s="45" t="s">
        <v>61</v>
      </c>
      <c r="DU10" s="40"/>
      <c r="DV10" s="48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4">
    <mergeCell ref="BD3:BG3"/>
    <mergeCell ref="BH3:BK3"/>
    <mergeCell ref="BL3:BO3"/>
    <mergeCell ref="BP3:BS3"/>
    <mergeCell ref="BT3:BW3"/>
    <mergeCell ref="BX3:CA3"/>
    <mergeCell ref="CB3:CE3"/>
    <mergeCell ref="CF3:CI3"/>
    <mergeCell ref="CJ3:CM3"/>
    <mergeCell ref="CN3:CQ3"/>
    <mergeCell ref="CR3:CU3"/>
    <mergeCell ref="CV3:CY3"/>
    <mergeCell ref="A5:A6"/>
    <mergeCell ref="B6:D6"/>
    <mergeCell ref="A7:A8"/>
    <mergeCell ref="B8:D8"/>
    <mergeCell ref="A9:A10"/>
    <mergeCell ref="B10:D10"/>
    <mergeCell ref="A1:DA1"/>
    <mergeCell ref="A2:A4"/>
    <mergeCell ref="B2:B4"/>
    <mergeCell ref="C2:C4"/>
    <mergeCell ref="D2:D4"/>
    <mergeCell ref="E2:E4"/>
    <mergeCell ref="F2:BB2"/>
    <mergeCell ref="BD2:CZ2"/>
    <mergeCell ref="DB2:DU2"/>
    <mergeCell ref="F3:I3"/>
    <mergeCell ref="J3:M3"/>
    <mergeCell ref="N3:Q3"/>
    <mergeCell ref="R3:U3"/>
    <mergeCell ref="V3:Y3"/>
    <mergeCell ref="Z3:AC3"/>
    <mergeCell ref="AD3:AG3"/>
    <mergeCell ref="AH3:AK3"/>
    <mergeCell ref="AL3:AO3"/>
    <mergeCell ref="AP3:AS3"/>
    <mergeCell ref="AT3:AW3"/>
    <mergeCell ref="AX3:BA3"/>
    <mergeCell ref="DB3:DE3"/>
    <mergeCell ref="DF3:DI3"/>
    <mergeCell ref="DJ3:DM3"/>
    <mergeCell ref="DN3:DQ3"/>
    <mergeCell ref="DR3:DU3"/>
  </mergeCells>
  <printOptions horizontalCentered="1"/>
  <pageMargins bottom="0.75" footer="0.0" header="0.0" left="0.7" right="0.7" top="0.75"/>
  <pageSetup paperSize="9" scale="65" orientation="landscape"/>
  <drawing r:id="rId2"/>
  <legacyDrawing r:id="rId3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1S MARCELO</dc:creator>
</cp:coreProperties>
</file>
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worksheets/_rels/sheet1.xml.rels" ContentType="application/vnd.openxmlformats-package.relationship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AGONAL C-98" sheetId="1" state="visible" r:id="rId2"/>
    <sheet name="Controle de Vencimento de Itens" sheetId="2" state="visible" r:id="rId3"/>
    <sheet name="Panes" sheetId="3" state="hidden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T18" authorId="0">
      <text>
        <r>
          <rPr>
            <sz val="10"/>
            <color rgb="FF000000"/>
            <rFont val="Calibri"/>
            <family val="0"/>
            <charset val="1"/>
          </rPr>
          <t xml:space="preserve">INSP COR (17/02/26)
AT %1927 (EXT ATÉ 26/02)
======</t>
        </r>
      </text>
    </comment>
    <comment ref="AD15" authorId="0">
      <text>
        <r>
          <rPr>
            <sz val="10"/>
            <color rgb="FF000000"/>
            <rFont val="Calibri"/>
            <family val="0"/>
            <charset val="1"/>
          </rPr>
          <t xml:space="preserve">CALENDÁRICAS VENC 17/03
AT %1966 (EXT ATÉ 30/03)
======</t>
        </r>
      </text>
    </comment>
    <comment ref="AF18" authorId="0">
      <text>
        <r>
          <rPr>
            <sz val="10"/>
            <color rgb="FF000000"/>
            <rFont val="Calibri"/>
            <family val="0"/>
            <charset val="1"/>
          </rPr>
          <t xml:space="preserve">AT %2001 (EXT 10 H)
======</t>
        </r>
      </text>
    </comment>
    <comment ref="AH24" authorId="0">
      <text>
        <r>
          <rPr>
            <sz val="10"/>
            <color rgb="FF000000"/>
            <rFont val="Calibri"/>
            <family val="0"/>
            <charset val="1"/>
          </rPr>
          <t xml:space="preserve">ID 07  -  VENC 21/03
AT 377%0274 (EXT 20 D)
======</t>
        </r>
      </text>
    </comment>
    <comment ref="AJ9" authorId="0">
      <text>
        <r>
          <rPr>
            <sz val="10"/>
            <color rgb="FF000000"/>
            <rFont val="Calibri"/>
            <family val="0"/>
            <charset val="1"/>
          </rPr>
          <t xml:space="preserve">INSP COR 25/03
AT %1995 (EXT 15 D) - 09/04/26
AT %2013 (MAIS 15 D) - 24/04/24
AT%2014  (EXT 10 H ID 0A, 5 H ID 10)
AT%2012  (EXT 10 H MOT)
ID 01,09,20 - 24/04
TBO MOT DISP 120:35
======</t>
        </r>
      </text>
    </comment>
    <comment ref="AT12" authorId="0">
      <text>
        <r>
          <rPr>
            <sz val="10"/>
            <color rgb="FF000000"/>
            <rFont val="Calibri"/>
            <family val="0"/>
            <charset val="1"/>
          </rPr>
          <t xml:space="preserve">ANV SERÁ ENTREGUE  BABR
INSP COR 07/04
AT %1994 (EXT 30 D)
======</t>
        </r>
      </text>
    </comment>
    <comment ref="AT18" authorId="0">
      <text>
        <r>
          <rPr>
            <sz val="10"/>
            <color rgb="FF000000"/>
            <rFont val="Calibri"/>
            <family val="0"/>
            <charset val="1"/>
          </rPr>
          <t xml:space="preserve">ID 02,11,21,22  VENC  09/07
ID 10                  VENC  10/07
ID 07                  VENC 19/08
======</t>
        </r>
      </text>
    </comment>
    <comment ref="AV18" authorId="0">
      <text>
        <r>
          <rPr>
            <sz val="10"/>
            <color rgb="FF000000"/>
            <rFont val="Calibri"/>
            <family val="0"/>
            <charset val="1"/>
          </rPr>
          <t xml:space="preserve">ID 01,09,20   VENC 19/08
COR 48 M     VENC 03/09
======</t>
        </r>
      </text>
    </comment>
    <comment ref="AX9" authorId="0">
      <text>
        <r>
          <rPr>
            <sz val="10"/>
            <color rgb="FF000000"/>
            <rFont val="Calibri"/>
            <family val="0"/>
            <charset val="1"/>
          </rPr>
          <t xml:space="preserve">AT %2088  (EXT 9:40 ID 06)
======</t>
        </r>
      </text>
    </comment>
    <comment ref="AZ21" authorId="0">
      <text>
        <r>
          <rPr>
            <sz val="10"/>
            <color rgb="FF000000"/>
            <rFont val="Calibri"/>
            <family val="0"/>
            <charset val="1"/>
          </rPr>
          <t xml:space="preserve">AT %2097  (EXT 10 H ID 06)
AT %2108  (EXT 10 H MOT)
ID 07  -  25/06/26
======</t>
        </r>
      </text>
    </comment>
    <comment ref="BB15" authorId="0">
      <text>
        <r>
          <rPr>
            <sz val="10"/>
            <color rgb="FF000000"/>
            <rFont val="Calibri"/>
            <family val="0"/>
            <charset val="1"/>
          </rPr>
          <t xml:space="preserve">COR 42 M    20/05
AT %2066 (EXT 30 D)
PEDIR EXT MOT
======</t>
        </r>
      </text>
    </comment>
    <comment ref="BB24" authorId="0">
      <text>
        <r>
          <rPr>
            <sz val="10"/>
            <color rgb="FF000000"/>
            <rFont val="Calibri"/>
            <family val="0"/>
            <charset val="1"/>
          </rPr>
          <t xml:space="preserve">ID 20  -  29/07
ID 21,22 - 02/08
======</t>
        </r>
      </text>
    </comment>
    <comment ref="BD6" authorId="0">
      <text>
        <r>
          <rPr>
            <sz val="10"/>
            <color rgb="FF000000"/>
            <rFont val="Calibri"/>
            <family val="0"/>
            <charset val="1"/>
          </rPr>
          <t xml:space="preserve">ID 07,09   VENC 30/07
======</t>
        </r>
      </text>
    </comment>
    <comment ref="BN12" authorId="0">
      <text>
        <r>
          <rPr>
            <sz val="10"/>
            <color rgb="FF000000"/>
            <rFont val="Calibri"/>
            <family val="0"/>
            <charset val="1"/>
          </rPr>
          <t xml:space="preserve">ID 03   02/08
ID 07,20   07/10
======</t>
        </r>
      </text>
    </comment>
    <comment ref="BP12" authorId="0">
      <text>
        <r>
          <rPr>
            <sz val="10"/>
            <color rgb="FF000000"/>
            <rFont val="Calibri"/>
            <family val="0"/>
            <charset val="1"/>
          </rPr>
          <t xml:space="preserve">ID 03   02/08
ID 01,07,09,20   07/10
======</t>
        </r>
      </text>
    </comment>
    <comment ref="BP27" authorId="0">
      <text>
        <r>
          <rPr>
            <sz val="10"/>
            <color rgb="FF000000"/>
            <rFont val="Calibri"/>
            <family val="0"/>
            <charset val="1"/>
          </rPr>
          <t xml:space="preserve">AT%2227 (EXT 10 H)
ID 04   VENC 27/08
======</t>
        </r>
      </text>
    </comment>
    <comment ref="BR21" authorId="0">
      <text>
        <r>
          <rPr>
            <sz val="10"/>
            <color rgb="FF000000"/>
            <rFont val="Calibri"/>
            <family val="0"/>
            <charset val="1"/>
          </rPr>
          <t xml:space="preserve">AT%2232 (EXT 10 H)
======</t>
        </r>
      </text>
    </comment>
    <comment ref="CB27" authorId="0">
      <text>
        <r>
          <rPr>
            <sz val="10"/>
            <color rgb="FF000000"/>
            <rFont val="Calibri"/>
            <family val="0"/>
            <charset val="1"/>
          </rPr>
          <t xml:space="preserve">ID 20   VENC 13/11/26
======</t>
        </r>
      </text>
    </comment>
    <comment ref="CD21" authorId="0">
      <text>
        <r>
          <rPr>
            <sz val="10"/>
            <color rgb="FF000000"/>
            <rFont val="Calibri"/>
            <family val="0"/>
            <charset val="1"/>
          </rPr>
          <t xml:space="preserve">ID 20            19/11/26
COR 18 M   25/09/26
======</t>
        </r>
      </text>
    </comment>
    <comment ref="CF12" authorId="0">
      <text>
        <r>
          <rPr>
            <sz val="10"/>
            <color rgb="FF000000"/>
            <rFont val="Calibri"/>
            <family val="0"/>
            <charset val="1"/>
          </rPr>
          <t xml:space="preserve">ID 01,09     07/10
COR 24 M      OUT
======</t>
        </r>
      </text>
    </comment>
    <comment ref="CF24" authorId="0">
      <text>
        <r>
          <rPr>
            <sz val="10"/>
            <color rgb="FF000000"/>
            <rFont val="Calibri"/>
            <family val="0"/>
            <charset val="1"/>
          </rPr>
          <t xml:space="preserve">ID 01,09       VENC 17/11
COR 6 M      VENC  07/10
======</t>
        </r>
      </text>
    </comment>
    <comment ref="CH6" authorId="0">
      <text>
        <r>
          <rPr>
            <sz val="10"/>
            <color rgb="FF000000"/>
            <rFont val="Calibri"/>
            <family val="0"/>
            <charset val="1"/>
          </rPr>
          <t xml:space="preserve">ID 01   VENC 21/10
======</t>
        </r>
      </text>
    </comment>
    <comment ref="CJ9" authorId="0">
      <text>
        <r>
          <rPr>
            <sz val="10"/>
            <color rgb="FF000000"/>
            <rFont val="Calibri"/>
            <family val="0"/>
            <charset val="1"/>
          </rPr>
          <t xml:space="preserve">COR 60 M   VENC 29/10
======</t>
        </r>
      </text>
    </comment>
    <comment ref="CP27" authorId="0">
      <text>
        <r>
          <rPr>
            <sz val="10"/>
            <color rgb="FF000000"/>
            <rFont val="Calibri"/>
            <family val="0"/>
            <charset val="1"/>
          </rPr>
          <t xml:space="preserve">ID 02,11   VENC 13/11/26
COR 60 M VENCE  08/12
======</t>
        </r>
      </text>
    </comment>
    <comment ref="CV6" authorId="0">
      <text>
        <r>
          <rPr>
            <sz val="10"/>
            <color rgb="FF000000"/>
            <rFont val="Calibri"/>
            <family val="0"/>
            <charset val="1"/>
          </rPr>
          <t xml:space="preserve">COR 60 M  VENC 08/01/27
======</t>
        </r>
      </text>
    </comment>
    <comment ref="CX15" authorId="0">
      <text>
        <r>
          <rPr>
            <sz val="10"/>
            <color rgb="FF000000"/>
            <rFont val="Calibri"/>
            <family val="0"/>
            <charset val="1"/>
          </rPr>
          <t xml:space="preserve">COR 48 M   - DEZ
======</t>
        </r>
      </text>
    </comment>
    <comment ref="CZ15" authorId="0">
      <text>
        <r>
          <rPr>
            <sz val="10"/>
            <color rgb="FF000000"/>
            <rFont val="Calibri"/>
            <family val="0"/>
            <charset val="1"/>
          </rPr>
          <t xml:space="preserve">COR 48 M   - DEZ
======</t>
        </r>
      </text>
    </comment>
    <comment ref="EB21" authorId="0">
      <text>
        <r>
          <rPr>
            <sz val="10"/>
            <color rgb="FF000000"/>
            <rFont val="Calibri"/>
            <family val="0"/>
            <charset val="1"/>
          </rPr>
          <t xml:space="preserve">ID 01,09  -  25/03/27
COR 24 M  -  30/03/27
======</t>
        </r>
      </text>
    </comment>
    <comment ref="EF24" authorId="0">
      <text>
        <r>
          <rPr>
            <sz val="10"/>
            <color rgb="FF000000"/>
            <rFont val="Calibri"/>
            <family val="0"/>
            <charset val="1"/>
          </rPr>
          <t xml:space="preserve">ID 12   VENC 30/03
ID 10   VENC 14/05
======</t>
        </r>
      </text>
    </comment>
    <comment ref="EN6" authorId="0">
      <text>
        <r>
          <rPr>
            <sz val="10"/>
            <color rgb="FF000000"/>
            <rFont val="Calibri"/>
            <family val="0"/>
            <charset val="1"/>
          </rPr>
          <t xml:space="preserve">ID 10,22   VENC 20/05
ID 20   VENCE 30/05
======</t>
        </r>
      </text>
    </comment>
    <comment ref="ET21" authorId="0">
      <text>
        <r>
          <rPr>
            <sz val="10"/>
            <color rgb="FF000000"/>
            <rFont val="Calibri"/>
            <family val="0"/>
            <charset val="1"/>
          </rPr>
          <t xml:space="preserve">ID 22    VENC 25/06
======</t>
        </r>
      </text>
    </comment>
    <comment ref="EX24" authorId="0">
      <text>
        <r>
          <rPr>
            <sz val="10"/>
            <color rgb="FF000000"/>
            <rFont val="Calibri"/>
            <family val="0"/>
            <charset val="1"/>
          </rPr>
          <t xml:space="preserve">ID 20   VENC 20/7
======</t>
        </r>
      </text>
    </comment>
    <comment ref="FB18" authorId="0">
      <text>
        <r>
          <rPr>
            <sz val="10"/>
            <color rgb="FF000000"/>
            <rFont val="Calibri"/>
            <family val="0"/>
            <charset val="1"/>
          </rPr>
          <t xml:space="preserve">ID 07   VENC 20/06
ID 01,09,20   VENC 30/08
======</t>
        </r>
      </text>
    </comment>
    <comment ref="FD6" authorId="0">
      <text>
        <r>
          <rPr>
            <sz val="10"/>
            <color rgb="FF000000"/>
            <rFont val="Calibri"/>
            <family val="0"/>
            <charset val="1"/>
          </rPr>
          <t xml:space="preserve">ID 09   VENC 25/07
ID 21  VENC 30/07
======</t>
        </r>
      </text>
    </comment>
    <comment ref="FF21" authorId="0">
      <text>
        <r>
          <rPr>
            <sz val="10"/>
            <color rgb="FF000000"/>
            <rFont val="Calibri"/>
            <family val="0"/>
            <charset val="1"/>
          </rPr>
          <t xml:space="preserve">ID 20   VENC 01/10
ID 21   VENC 11/08
======</t>
        </r>
      </text>
    </comment>
    <comment ref="FV6" authorId="0">
      <text>
        <r>
          <rPr>
            <sz val="10"/>
            <color rgb="FF000000"/>
            <rFont val="Calibri"/>
            <family val="0"/>
            <charset val="1"/>
          </rPr>
          <t xml:space="preserve">ID 01   VENC 13/09
======</t>
        </r>
      </text>
    </comment>
    <comment ref="GB9" authorId="0">
      <text>
        <r>
          <rPr>
            <sz val="10"/>
            <color rgb="FF000000"/>
            <rFont val="Calibri"/>
            <family val="0"/>
            <charset val="1"/>
          </rPr>
          <t xml:space="preserve">ID 02,11,21,22   VENC 25/09
ID 03   VENC 09/11
======</t>
        </r>
      </text>
    </comment>
    <comment ref="GL6" authorId="0">
      <text>
        <r>
          <rPr>
            <sz val="10"/>
            <color rgb="FF000000"/>
            <rFont val="Calibri"/>
            <family val="0"/>
            <charset val="1"/>
          </rPr>
          <t xml:space="preserve">ID 02,11   VENC 21/10
======</t>
        </r>
      </text>
    </comment>
  </commentList>
</comments>
</file>

<file path=xl/sharedStrings.xml><?xml version="1.0" encoding="utf-8"?>
<sst xmlns="http://schemas.openxmlformats.org/spreadsheetml/2006/main" count="2763" uniqueCount="1081">
  <si>
    <t xml:space="preserve">ANV</t>
  </si>
  <si>
    <t xml:space="preserve">DISP           HSI / TBO</t>
  </si>
  <si>
    <t xml:space="preserve">MOTOR</t>
  </si>
  <si>
    <t xml:space="preserve">CÉLULA</t>
  </si>
  <si>
    <t xml:space="preserve">INFORMAÇÃO</t>
  </si>
  <si>
    <t xml:space="preserve">CONTROLE  DE  INSPEÇÕES  2026</t>
  </si>
  <si>
    <t xml:space="preserve">TSN</t>
  </si>
  <si>
    <t xml:space="preserve">CONTROLE  DE  INSPEÇÕES  2027</t>
  </si>
  <si>
    <t xml:space="preserve">JANEIRO</t>
  </si>
  <si>
    <t xml:space="preserve">FEVEREIRO</t>
  </si>
  <si>
    <t xml:space="preserve">MARÇO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</si>
  <si>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</si>
  <si>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</si>
  <si>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</si>
  <si>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</si>
  <si>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</si>
  <si>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</si>
  <si>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</si>
  <si>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</si>
  <si>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</si>
  <si>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</si>
  <si>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DISP       HSI / TBO</t>
  </si>
  <si>
    <t xml:space="preserve">DISP       HSI</t>
  </si>
  <si>
    <t xml:space="preserve">1 - 11</t>
  </si>
  <si>
    <t xml:space="preserve">12 - 18</t>
  </si>
  <si>
    <t xml:space="preserve">19 - 25</t>
  </si>
  <si>
    <t xml:space="preserve">26 - 31</t>
  </si>
  <si>
    <t xml:space="preserve">1 - 8</t>
  </si>
  <si>
    <t xml:space="preserve">9 - 15</t>
  </si>
  <si>
    <t xml:space="preserve">16 - 22</t>
  </si>
  <si>
    <t xml:space="preserve">23 - 28</t>
  </si>
  <si>
    <t xml:space="preserve">23 - 31</t>
  </si>
  <si>
    <t xml:space="preserve">1 - 5</t>
  </si>
  <si>
    <t xml:space="preserve">6 - 12</t>
  </si>
  <si>
    <t xml:space="preserve">13 - 19</t>
  </si>
  <si>
    <t xml:space="preserve">20 - 26</t>
  </si>
  <si>
    <t xml:space="preserve">27 - 30</t>
  </si>
  <si>
    <t xml:space="preserve">1 - 10</t>
  </si>
  <si>
    <t xml:space="preserve">11 - 17</t>
  </si>
  <si>
    <t xml:space="preserve">18 - 24</t>
  </si>
  <si>
    <t xml:space="preserve">25 - 31</t>
  </si>
  <si>
    <t xml:space="preserve">1 - 7</t>
  </si>
  <si>
    <t xml:space="preserve">8 - 14</t>
  </si>
  <si>
    <t xml:space="preserve">15 - 21</t>
  </si>
  <si>
    <t xml:space="preserve">22 - 30</t>
  </si>
  <si>
    <t xml:space="preserve">27 - 31</t>
  </si>
  <si>
    <t xml:space="preserve">1 - 9</t>
  </si>
  <si>
    <t xml:space="preserve">10 - 16</t>
  </si>
  <si>
    <t xml:space="preserve">17 - 23</t>
  </si>
  <si>
    <t xml:space="preserve">24 - 31</t>
  </si>
  <si>
    <t xml:space="preserve">1 - 6</t>
  </si>
  <si>
    <t xml:space="preserve">7 - 13</t>
  </si>
  <si>
    <t xml:space="preserve">14 - 20</t>
  </si>
  <si>
    <t xml:space="preserve">21 - 30</t>
  </si>
  <si>
    <t xml:space="preserve">23 - 30</t>
  </si>
  <si>
    <t xml:space="preserve">21 - 27</t>
  </si>
  <si>
    <t xml:space="preserve">28 - 31</t>
  </si>
  <si>
    <t xml:space="preserve">14 - 21</t>
  </si>
  <si>
    <t xml:space="preserve">2719</t>
  </si>
  <si>
    <t xml:space="preserve">403,1</t>
  </si>
  <si>
    <t xml:space="preserve">13026,75</t>
  </si>
  <si>
    <t xml:space="preserve">9942,75</t>
  </si>
  <si>
    <t xml:space="preserve">HORAS VOO</t>
  </si>
  <si>
    <t xml:space="preserve">INSP. PROG.</t>
  </si>
  <si>
    <t xml:space="preserve">0A,15       20,MG         4300 FH          COR 54 M</t>
  </si>
  <si>
    <t xml:space="preserve">0A,07,09            15,20,MG         4300 FH          COR 54 M</t>
  </si>
  <si>
    <r>
      <rPr>
        <b val="true"/>
        <sz val="8"/>
        <color rgb="FFFFFFFF"/>
        <rFont val="Calibri"/>
        <family val="0"/>
        <charset val="1"/>
      </rPr>
      <t xml:space="preserve">0A,07,09           15,20,</t>
    </r>
    <r>
      <rPr>
        <b val="true"/>
        <sz val="8"/>
        <color rgb="FF000000"/>
        <rFont val="Calibri"/>
        <family val="0"/>
        <charset val="1"/>
      </rPr>
      <t xml:space="preserve">MG </t>
    </r>
    <r>
      <rPr>
        <b val="true"/>
        <sz val="8"/>
        <color rgb="FFFFFFFF"/>
        <rFont val="Calibri"/>
        <family val="0"/>
        <charset val="1"/>
      </rPr>
      <t xml:space="preserve">        4300 FH          COR 54 M</t>
    </r>
  </si>
  <si>
    <t xml:space="preserve">CLA</t>
  </si>
  <si>
    <t xml:space="preserve">06,08       4400 FH</t>
  </si>
  <si>
    <t xml:space="preserve">ID 0A,01        4500 FH </t>
  </si>
  <si>
    <t xml:space="preserve">ID 06       4600 FH       COR 60 M</t>
  </si>
  <si>
    <t xml:space="preserve">TBO          MOTOR        4700 H</t>
  </si>
  <si>
    <r>
      <rPr>
        <b val="true"/>
        <sz val="8"/>
        <color rgb="FFFFFFFF"/>
        <rFont val="Calibri"/>
        <family val="0"/>
        <charset val="1"/>
      </rPr>
      <t xml:space="preserve">ID 0A,10       20,22      4700 FH        </t>
    </r>
    <r>
      <rPr>
        <b val="true"/>
        <sz val="7"/>
        <color rgb="FFFFFFFF"/>
        <rFont val="Calibri"/>
        <family val="0"/>
        <charset val="1"/>
      </rPr>
      <t xml:space="preserve">TBO MOTOR </t>
    </r>
  </si>
  <si>
    <r>
      <rPr>
        <b val="true"/>
        <sz val="8"/>
        <color rgb="FFFFFFFF"/>
        <rFont val="Calibri"/>
        <family val="0"/>
        <charset val="1"/>
      </rPr>
      <t xml:space="preserve">ID 0A    4700 FH      </t>
    </r>
    <r>
      <rPr>
        <b val="true"/>
        <sz val="7"/>
        <color rgb="FFFFFFFF"/>
        <rFont val="Calibri"/>
        <family val="0"/>
        <charset val="1"/>
      </rPr>
      <t xml:space="preserve">TBO MOTOR </t>
    </r>
  </si>
  <si>
    <r>
      <rPr>
        <b val="true"/>
        <sz val="8"/>
        <color rgb="FFFFFFFF"/>
        <rFont val="Calibri"/>
        <family val="0"/>
        <charset val="1"/>
      </rPr>
      <t xml:space="preserve">ID 0A,10        20,22            4700 FH              </t>
    </r>
    <r>
      <rPr>
        <b val="true"/>
        <sz val="7"/>
        <color rgb="FFFFFFFF"/>
        <rFont val="Calibri"/>
        <family val="0"/>
        <charset val="1"/>
      </rPr>
      <t xml:space="preserve">TBO MOTOR </t>
    </r>
  </si>
  <si>
    <t xml:space="preserve">06,07         08,09,21            100 FH        COR 66 M</t>
  </si>
  <si>
    <t xml:space="preserve">0A,01           200 FH</t>
  </si>
  <si>
    <t xml:space="preserve">02,06,11           300 FH        COR 72 M</t>
  </si>
  <si>
    <t xml:space="preserve">IMPACTO DIAG.</t>
  </si>
  <si>
    <t xml:space="preserve">CT DISK, FCU, HELICE, BOMBA COMB</t>
  </si>
  <si>
    <t xml:space="preserve">HSI, CT DISK, FCU, GOV SOBRE, GERADOR, TREM AUX. VHF, MANG, BUCHA TPA, ARAME DETEC FOGO MOT, MOTOR ELETR FLAP</t>
  </si>
  <si>
    <t xml:space="preserve">2722</t>
  </si>
  <si>
    <t xml:space="preserve">220,15</t>
  </si>
  <si>
    <t xml:space="preserve">3779,45</t>
  </si>
  <si>
    <t xml:space="preserve">10405,5</t>
  </si>
  <si>
    <t xml:space="preserve">0A,01       09,10,20        3900 FH            COR 54 M</t>
  </si>
  <si>
    <t xml:space="preserve">06,08         4000 FH </t>
  </si>
  <si>
    <t xml:space="preserve"> 0A,07        4100 FH </t>
  </si>
  <si>
    <t xml:space="preserve">ID 06           4200 FH</t>
  </si>
  <si>
    <r>
      <rPr>
        <b val="true"/>
        <sz val="8"/>
        <color rgb="FFFFFFFF"/>
        <rFont val="Calibri"/>
        <family val="0"/>
        <charset val="1"/>
      </rPr>
      <t xml:space="preserve">ID 0A,</t>
    </r>
    <r>
      <rPr>
        <b val="true"/>
        <sz val="8"/>
        <color rgb="FF000000"/>
        <rFont val="Calibri"/>
        <family val="0"/>
        <charset val="1"/>
      </rPr>
      <t xml:space="preserve">MG</t>
    </r>
    <r>
      <rPr>
        <b val="true"/>
        <sz val="8"/>
        <color rgb="FFFFFFFF"/>
        <rFont val="Calibri"/>
        <family val="0"/>
        <charset val="1"/>
      </rPr>
      <t xml:space="preserve">      4300 FH       COR 60 M</t>
    </r>
  </si>
  <si>
    <t xml:space="preserve">ID 0A,MG      4300 FH       COR 60 M</t>
  </si>
  <si>
    <t xml:space="preserve">TBO          MOTOR</t>
  </si>
  <si>
    <r>
      <rPr>
        <b val="true"/>
        <sz val="8"/>
        <color rgb="FFFFFFFF"/>
        <rFont val="Calibri"/>
        <family val="0"/>
        <charset val="1"/>
      </rPr>
      <t xml:space="preserve">ID 01,06,08        09,20       4400 FH      </t>
    </r>
    <r>
      <rPr>
        <b val="true"/>
        <sz val="7"/>
        <color rgb="FFFFFFFF"/>
        <rFont val="Calibri"/>
        <family val="0"/>
        <charset val="1"/>
      </rPr>
      <t xml:space="preserve">TBO MOTOR</t>
    </r>
  </si>
  <si>
    <t xml:space="preserve">0A,07           100 FH      COR 66 M</t>
  </si>
  <si>
    <t xml:space="preserve">ID 06        200 FH</t>
  </si>
  <si>
    <t xml:space="preserve">ID 0A            300 FH</t>
  </si>
  <si>
    <t xml:space="preserve">02,03,06         11,21,22        400 FH        COR 72 M</t>
  </si>
  <si>
    <t xml:space="preserve">02,03,06         11,21,22        400 FH          COR 72 M</t>
  </si>
  <si>
    <t xml:space="preserve">ID 0A                500 FH</t>
  </si>
  <si>
    <t xml:space="preserve">STALL / FLAP</t>
  </si>
  <si>
    <t xml:space="preserve">2721</t>
  </si>
  <si>
    <t xml:space="preserve">1300,1</t>
  </si>
  <si>
    <t xml:space="preserve">5190,55</t>
  </si>
  <si>
    <t xml:space="preserve">9392,7</t>
  </si>
  <si>
    <t xml:space="preserve">06,02,10        11,21,22       200 FH </t>
  </si>
  <si>
    <t xml:space="preserve">ANV ENTREGUE A BABR  -  ETA 6  EM 15/04/26</t>
  </si>
  <si>
    <t xml:space="preserve">ID 0A            300 FH           COR 18 M</t>
  </si>
  <si>
    <t xml:space="preserve">03,06       07,08,20           400 FH </t>
  </si>
  <si>
    <t xml:space="preserve">0A,01,09       500 FH      COR 24 M</t>
  </si>
  <si>
    <t xml:space="preserve">SIST HSI</t>
  </si>
  <si>
    <t xml:space="preserve">2728</t>
  </si>
  <si>
    <t xml:space="preserve">1363,95</t>
  </si>
  <si>
    <t xml:space="preserve">5028,25</t>
  </si>
  <si>
    <t xml:space="preserve">7460,65</t>
  </si>
  <si>
    <t xml:space="preserve">ID 20   </t>
  </si>
  <si>
    <t xml:space="preserve">01,06,07         08,09,10      </t>
  </si>
  <si>
    <t xml:space="preserve">RECOLHIDA</t>
  </si>
  <si>
    <t xml:space="preserve">ID 0A        100 FH         COR 42 M</t>
  </si>
  <si>
    <t xml:space="preserve">PAMA-LS  EM 10/06/26</t>
  </si>
  <si>
    <t xml:space="preserve">ID 06           200 FH     </t>
  </si>
  <si>
    <t xml:space="preserve">ID 0A         300 FH</t>
  </si>
  <si>
    <t xml:space="preserve">ID 06         400 FH       COR 48 M</t>
  </si>
  <si>
    <t xml:space="preserve">LIMALHA MOTOR  -  (TROCA MOTOR)</t>
  </si>
  <si>
    <t xml:space="preserve">HSI TRAVADO</t>
  </si>
  <si>
    <t xml:space="preserve">GIRO / HSI</t>
  </si>
  <si>
    <t xml:space="preserve">HSI</t>
  </si>
  <si>
    <t xml:space="preserve">ANV ACIDENTADA</t>
  </si>
  <si>
    <t xml:space="preserve">2729</t>
  </si>
  <si>
    <t xml:space="preserve">467,45</t>
  </si>
  <si>
    <t xml:space="preserve">2678,85</t>
  </si>
  <si>
    <t xml:space="preserve">6535,55</t>
  </si>
  <si>
    <t xml:space="preserve"> COR 42 M</t>
  </si>
  <si>
    <t xml:space="preserve">ID 06            2800 FH</t>
  </si>
  <si>
    <t xml:space="preserve">0A,02       07,10,11      21,22     2900 FH</t>
  </si>
  <si>
    <t xml:space="preserve">01,09,20        HSI             COR 48 M</t>
  </si>
  <si>
    <t xml:space="preserve">0A,02      07,10,11      21,22     2900 FH</t>
  </si>
  <si>
    <t xml:space="preserve">ID 06           3000 FH      </t>
  </si>
  <si>
    <t xml:space="preserve">TBO           4000 H</t>
  </si>
  <si>
    <t xml:space="preserve">0A,08      3100 FH         COR 54 M</t>
  </si>
  <si>
    <t xml:space="preserve">ID 06           3200 FH  </t>
  </si>
  <si>
    <t xml:space="preserve">0A,07,01         09,20        3300 FH</t>
  </si>
  <si>
    <t xml:space="preserve">ID 06           3400 FH      COR 60 M</t>
  </si>
  <si>
    <t xml:space="preserve">ID 0A           3500 FH</t>
  </si>
  <si>
    <t xml:space="preserve">T5 ALTA</t>
  </si>
  <si>
    <t xml:space="preserve">2708</t>
  </si>
  <si>
    <t xml:space="preserve">906,5</t>
  </si>
  <si>
    <t xml:space="preserve">2094</t>
  </si>
  <si>
    <t xml:space="preserve">12746,15</t>
  </si>
  <si>
    <t xml:space="preserve">RECEBIMENTO BASM EM 21/01/26</t>
  </si>
  <si>
    <t xml:space="preserve">01,02,09,11          COR 12 M        LPS3       MOLAS</t>
  </si>
  <si>
    <t xml:space="preserve">ID 06,07           2200 FH
</t>
  </si>
  <si>
    <t xml:space="preserve">ID 0A,08          2300 FH</t>
  </si>
  <si>
    <t xml:space="preserve">ID 06,20        2400 FH      COR 18 M</t>
  </si>
  <si>
    <t xml:space="preserve">ID 0A,12           2500 FH  </t>
  </si>
  <si>
    <t xml:space="preserve">01,06,09           2600 FH      COR 24 M</t>
  </si>
  <si>
    <t xml:space="preserve">0A,10,22          2700 FH</t>
  </si>
  <si>
    <t xml:space="preserve">06,20,21          2800 FH</t>
  </si>
  <si>
    <t xml:space="preserve">ID 0A          2900 FH          COR 30 M</t>
  </si>
  <si>
    <t xml:space="preserve">ID 06          3000 FH        HSI</t>
  </si>
  <si>
    <t xml:space="preserve">EEXD</t>
  </si>
  <si>
    <t xml:space="preserve">CB IND FLAP</t>
  </si>
  <si>
    <t xml:space="preserve">2703</t>
  </si>
  <si>
    <t xml:space="preserve">582</t>
  </si>
  <si>
    <t xml:space="preserve">9396,65</t>
  </si>
  <si>
    <t xml:space="preserve">11338,25</t>
  </si>
  <si>
    <t xml:space="preserve">RECEBIDO  DA  EEAR  EM 09/04/26</t>
  </si>
  <si>
    <t xml:space="preserve">EEAR</t>
  </si>
  <si>
    <t xml:space="preserve">ID 07 </t>
  </si>
  <si>
    <t xml:space="preserve">ID 06        4000 FH </t>
  </si>
  <si>
    <t xml:space="preserve">0A,20        21,22        4100 FH </t>
  </si>
  <si>
    <r>
      <rPr>
        <b val="true"/>
        <sz val="8"/>
        <color rgb="FFFFFFFF"/>
        <rFont val="Calibri"/>
        <family val="0"/>
        <charset val="1"/>
      </rPr>
      <t xml:space="preserve">06,08,</t>
    </r>
    <r>
      <rPr>
        <b val="true"/>
        <sz val="8"/>
        <color rgb="FF000000"/>
        <rFont val="Calibri"/>
        <family val="0"/>
        <charset val="1"/>
      </rPr>
      <t xml:space="preserve">MG</t>
    </r>
    <r>
      <rPr>
        <b val="true"/>
        <sz val="8"/>
        <color rgb="FFFFFFFF"/>
        <rFont val="Calibri"/>
        <family val="0"/>
        <charset val="1"/>
      </rPr>
      <t xml:space="preserve">        4200 FH</t>
    </r>
  </si>
  <si>
    <t xml:space="preserve">0A,01             07,09             4300 FH        COR 12 M</t>
  </si>
  <si>
    <t xml:space="preserve">TBO        4500 FH</t>
  </si>
  <si>
    <t xml:space="preserve">06,10,12       4400 FH       COR 18 M</t>
  </si>
  <si>
    <r>
      <rPr>
        <b val="true"/>
        <sz val="8"/>
        <color rgb="FFFFFFFF"/>
        <rFont val="Calibri"/>
        <family val="0"/>
        <charset val="1"/>
      </rPr>
      <t xml:space="preserve">0A,20        4500 FH      </t>
    </r>
    <r>
      <rPr>
        <b val="true"/>
        <sz val="7"/>
        <color rgb="FFFFFFFF"/>
        <rFont val="Calibri"/>
        <family val="0"/>
        <charset val="1"/>
      </rPr>
      <t xml:space="preserve">TBO MOTOR </t>
    </r>
    <r>
      <rPr>
        <b val="true"/>
        <sz val="8"/>
        <color rgb="FFFFFFFF"/>
        <rFont val="Calibri"/>
        <family val="0"/>
        <charset val="1"/>
      </rPr>
      <t xml:space="preserve"> </t>
    </r>
  </si>
  <si>
    <t xml:space="preserve">06,08        100 FH  </t>
  </si>
  <si>
    <t xml:space="preserve">ID 0A,07        200 FH  </t>
  </si>
  <si>
    <t xml:space="preserve">2702</t>
  </si>
  <si>
    <t xml:space="preserve">1144,75</t>
  </si>
  <si>
    <t xml:space="preserve">11919,35</t>
  </si>
  <si>
    <t xml:space="preserve">12430,65</t>
  </si>
  <si>
    <t xml:space="preserve">RECEBIDO  DA EPCAR  EM 11/06/26          </t>
  </si>
  <si>
    <t xml:space="preserve">ID 0A           500 FH </t>
  </si>
  <si>
    <r>
      <rPr>
        <b val="true"/>
        <sz val="8"/>
        <color rgb="FFFFFFFF"/>
        <rFont val="Calibri"/>
        <family val="0"/>
        <charset val="1"/>
      </rPr>
      <t xml:space="preserve">ID 04,06</t>
    </r>
    <r>
      <rPr>
        <b val="true"/>
        <sz val="8"/>
        <color rgb="FF000000"/>
        <rFont val="Calibri"/>
        <family val="0"/>
        <charset val="1"/>
      </rPr>
      <t xml:space="preserve"> </t>
    </r>
    <r>
      <rPr>
        <b val="true"/>
        <sz val="8"/>
        <color rgb="FFFFFFFF"/>
        <rFont val="Calibri"/>
        <family val="0"/>
        <charset val="1"/>
      </rPr>
      <t xml:space="preserve">          600 FH      </t>
    </r>
  </si>
  <si>
    <t xml:space="preserve">0A,20          700 FH      </t>
  </si>
  <si>
    <r>
      <rPr>
        <b val="true"/>
        <sz val="8"/>
        <color rgb="FFFFFFFF"/>
        <rFont val="Calibri"/>
        <family val="0"/>
        <charset val="1"/>
      </rPr>
      <t xml:space="preserve">02,06,11           </t>
    </r>
    <r>
      <rPr>
        <b val="true"/>
        <sz val="8"/>
        <color rgb="FF000000"/>
        <rFont val="Calibri"/>
        <family val="0"/>
        <charset val="1"/>
      </rPr>
      <t xml:space="preserve">ME,MG</t>
    </r>
    <r>
      <rPr>
        <b val="true"/>
        <sz val="8"/>
        <color rgb="FFFFFFFF"/>
        <rFont val="Calibri"/>
        <family val="0"/>
        <charset val="1"/>
      </rPr>
      <t xml:space="preserve">           800 FH      COR 60 M</t>
    </r>
  </si>
  <si>
    <t xml:space="preserve">ID 0A         900 FH </t>
  </si>
  <si>
    <t xml:space="preserve">ID 06        1000 FH         COR 66 M</t>
  </si>
  <si>
    <t xml:space="preserve">0A            1100 FH  </t>
  </si>
  <si>
    <t xml:space="preserve">06           1200 FH  </t>
  </si>
  <si>
    <t xml:space="preserve">ID 0A        1300 FH  </t>
  </si>
  <si>
    <t xml:space="preserve">ESFORÇO C-98 2026  ETA 2</t>
  </si>
  <si>
    <t xml:space="preserve">JAN</t>
  </si>
  <si>
    <t xml:space="preserve">FEV</t>
  </si>
  <si>
    <t xml:space="preserve">MAR</t>
  </si>
  <si>
    <t xml:space="preserve">ABR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</si>
  <si>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</si>
  <si>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</si>
  <si>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</si>
  <si>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</si>
  <si>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</si>
  <si>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</si>
  <si>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</si>
  <si>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PLANEJADO / REFERENCIA</t>
  </si>
  <si>
    <t xml:space="preserve">PLANEJADO / EXECUTADO</t>
  </si>
  <si>
    <t xml:space="preserve">ESFORÇO C-98 2026  1/5 GAV</t>
  </si>
  <si>
    <t xml:space="preserve">ESFORÇO C-98 2027  1/5 GAV</t>
  </si>
  <si>
    <t xml:space="preserve">CONVERSÃO HORAS</t>
  </si>
  <si>
    <t xml:space="preserve">05 – 0,10</t>
  </si>
  <si>
    <t xml:space="preserve">10 – 0,15</t>
  </si>
  <si>
    <t xml:space="preserve">15 – 0,25</t>
  </si>
  <si>
    <t xml:space="preserve">20 – 0,35</t>
  </si>
  <si>
    <t xml:space="preserve">25 - 0,40</t>
  </si>
  <si>
    <t xml:space="preserve">30 - 0,50</t>
  </si>
  <si>
    <t xml:space="preserve">35 - 0,60</t>
  </si>
  <si>
    <t xml:space="preserve">40 - 0,65</t>
  </si>
  <si>
    <t xml:space="preserve">45 - 0,75</t>
  </si>
  <si>
    <t xml:space="preserve">50 - 0,85</t>
  </si>
  <si>
    <t xml:space="preserve">55 - 0,90</t>
  </si>
  <si>
    <t xml:space="preserve">OM: BANT  - 04/AGOSTO/2026</t>
  </si>
  <si>
    <t xml:space="preserve">2) O PRIMEIRO ITEM DA PLANILHA DEVE SER O MOTOR, COLOCANDO O SALDO DE HORAS PARA A PRÓXIMA INSP HSI OU TBO.</t>
  </si>
  <si>
    <t xml:space="preserve">3) SOMENTE PREENCHER OS VENCIMENTOS QUE ENVOLVEM TROCA OBRIGATÓRIA (TBO). NÃO COLOCAR INSPEÇÕES REGULARES.</t>
  </si>
  <si>
    <t xml:space="preserve">ESPECIALIDADE</t>
  </si>
  <si>
    <t xml:space="preserve">NOMENCLATURA
DO ITEM</t>
  </si>
  <si>
    <t xml:space="preserve">PN</t>
  </si>
  <si>
    <t xml:space="preserve">SN</t>
  </si>
  <si>
    <t xml:space="preserve">AERONAVE</t>
  </si>
  <si>
    <t xml:space="preserve">DISPONIBILIDADE</t>
  </si>
  <si>
    <t xml:space="preserve">DATA ESTIMADA DO
VENCIMENTO</t>
  </si>
  <si>
    <t xml:space="preserve">N° EMERGÊNCIA / N° PEDIDO NORMAL / N° PEDIDO DE TRANSFERÊNCIA</t>
  </si>
  <si>
    <t xml:space="preserve">OBS</t>
  </si>
  <si>
    <t xml:space="preserve">MOTORES</t>
  </si>
  <si>
    <t xml:space="preserve">ENGINE PT6A-114A</t>
  </si>
  <si>
    <t xml:space="preserve">PCE-PC2050</t>
  </si>
  <si>
    <t xml:space="preserve">957:50</t>
  </si>
  <si>
    <t xml:space="preserve">HSI DE 1.500H</t>
  </si>
  <si>
    <t xml:space="preserve">VALVE,HEAT,OIL FUEL</t>
  </si>
  <si>
    <t xml:space="preserve">10552E</t>
  </si>
  <si>
    <t xml:space="preserve">4.957:50</t>
  </si>
  <si>
    <t xml:space="preserve">TBO 5.500H</t>
  </si>
  <si>
    <t xml:space="preserve">FUEL PUMP</t>
  </si>
  <si>
    <t xml:space="preserve">702801-5</t>
  </si>
  <si>
    <t xml:space="preserve">0086</t>
  </si>
  <si>
    <t xml:space="preserve">4.457:50</t>
  </si>
  <si>
    <t xml:space="preserve">TBO 5.000H</t>
  </si>
  <si>
    <t xml:space="preserve">FUEL CONTROL UNIT</t>
  </si>
  <si>
    <t xml:space="preserve">3244809-7</t>
  </si>
  <si>
    <t xml:space="preserve">B10392</t>
  </si>
  <si>
    <t xml:space="preserve">1.257:50 (47,5 M)</t>
  </si>
  <si>
    <t xml:space="preserve">I.C. 1.800H / 6 ANOS</t>
  </si>
  <si>
    <t xml:space="preserve">GOVERNOR PROPELLER</t>
  </si>
  <si>
    <t xml:space="preserve">8210-002-01</t>
  </si>
  <si>
    <t xml:space="preserve">VALVE,BLEED</t>
  </si>
  <si>
    <t xml:space="preserve">540-1407-4</t>
  </si>
  <si>
    <t xml:space="preserve">4.9578:50</t>
  </si>
  <si>
    <t xml:space="preserve">BERÇO DO MOTOR</t>
  </si>
  <si>
    <t xml:space="preserve">2651040-2</t>
  </si>
  <si>
    <t xml:space="preserve">JHZ-23-074</t>
  </si>
  <si>
    <t xml:space="preserve">4.801:00</t>
  </si>
  <si>
    <t xml:space="preserve">ANEL DO BERÇO</t>
  </si>
  <si>
    <t xml:space="preserve">2651022-20-1</t>
  </si>
  <si>
    <t xml:space="preserve">JHZ-24-071</t>
  </si>
  <si>
    <t xml:space="preserve">HÉLICE</t>
  </si>
  <si>
    <t xml:space="preserve">P7036368-01</t>
  </si>
  <si>
    <t xml:space="preserve">110111</t>
  </si>
  <si>
    <t xml:space="preserve">3.801:00 (69,0 M)</t>
  </si>
  <si>
    <t xml:space="preserve">TBO 4.000H / 6 ANOS</t>
  </si>
  <si>
    <t xml:space="preserve">GOVERNADOR DE SOBREVELOCIDADE</t>
  </si>
  <si>
    <t xml:space="preserve">D210507</t>
  </si>
  <si>
    <t xml:space="preserve">115006-48</t>
  </si>
  <si>
    <t xml:space="preserve">2.921:45</t>
  </si>
  <si>
    <t xml:space="preserve">TBO 6.500H</t>
  </si>
  <si>
    <t xml:space="preserve">MANG. COMBUSTÍVEL</t>
  </si>
  <si>
    <t xml:space="preserve">AE3663724G0330</t>
  </si>
  <si>
    <t xml:space="preserve">10,0 M</t>
  </si>
  <si>
    <t xml:space="preserve">29/05/27</t>
  </si>
  <si>
    <t xml:space="preserve">TLV 10 ANOS</t>
  </si>
  <si>
    <t xml:space="preserve">MANG. FUEL HEATHER / BOMBA</t>
  </si>
  <si>
    <t xml:space="preserve">MANG. BOMBA / FCU</t>
  </si>
  <si>
    <t xml:space="preserve">MANG. COMB AQUECEDOR</t>
  </si>
  <si>
    <t xml:space="preserve">AE3663726H0520</t>
  </si>
  <si>
    <t xml:space="preserve">100,3 M</t>
  </si>
  <si>
    <t xml:space="preserve">28/10/34</t>
  </si>
  <si>
    <t xml:space="preserve">MANG. DRENO DIVISOR FLUXO</t>
  </si>
  <si>
    <t xml:space="preserve">AE3663724E0144</t>
  </si>
  <si>
    <t xml:space="preserve">MANG. IND. PRESSÃO ÓLEO</t>
  </si>
  <si>
    <t xml:space="preserve">AE3663163E0230</t>
  </si>
  <si>
    <t xml:space="preserve">33,3 M</t>
  </si>
  <si>
    <t xml:space="preserve">27/04/29</t>
  </si>
  <si>
    <t xml:space="preserve">MANG. RETORNO ÓLEO</t>
  </si>
  <si>
    <t xml:space="preserve">MANG. TORQUÍMETRO – 02 EA</t>
  </si>
  <si>
    <t xml:space="preserve">AE3663161E0113</t>
  </si>
  <si>
    <t xml:space="preserve">28,3 M</t>
  </si>
  <si>
    <t xml:space="preserve">27/11/28</t>
  </si>
  <si>
    <t xml:space="preserve">MANG. TORQUÍMETRO  TREND – 02 EA</t>
  </si>
  <si>
    <t xml:space="preserve">AE3663162E0120</t>
  </si>
  <si>
    <t xml:space="preserve">MANG. RADIADOR – SUPERIOR</t>
  </si>
  <si>
    <t xml:space="preserve">AE3663163K0600</t>
  </si>
  <si>
    <t xml:space="preserve">46,6 M</t>
  </si>
  <si>
    <t xml:space="preserve">29/05/30</t>
  </si>
  <si>
    <t xml:space="preserve">MANG. RADIADOR – INFERIOR</t>
  </si>
  <si>
    <t xml:space="preserve">58,7 M</t>
  </si>
  <si>
    <t xml:space="preserve">29/05/31</t>
  </si>
  <si>
    <t xml:space="preserve">MANG. SUSPIRO ÓLEO MOTOR</t>
  </si>
  <si>
    <t xml:space="preserve">S51-14</t>
  </si>
  <si>
    <t xml:space="preserve">97,3 M</t>
  </si>
  <si>
    <t xml:space="preserve">29/07/34</t>
  </si>
  <si>
    <t xml:space="preserve">S51-14-8</t>
  </si>
  <si>
    <t xml:space="preserve">3104100-01</t>
  </si>
  <si>
    <t xml:space="preserve">PC-E17377</t>
  </si>
  <si>
    <t xml:space="preserve">-172:05</t>
  </si>
  <si>
    <t xml:space="preserve">JUL / 27</t>
  </si>
  <si>
    <t xml:space="preserve">AT 377%0274 (EXT ATÉ 4500 H)</t>
  </si>
  <si>
    <t xml:space="preserve">TBO 4000H</t>
  </si>
  <si>
    <t xml:space="preserve">WA61341</t>
  </si>
  <si>
    <t xml:space="preserve">4.796:00</t>
  </si>
  <si>
    <t xml:space="preserve">004201</t>
  </si>
  <si>
    <t xml:space="preserve">2.546:25</t>
  </si>
  <si>
    <t xml:space="preserve">3244897-4</t>
  </si>
  <si>
    <t xml:space="preserve">F67014</t>
  </si>
  <si>
    <t xml:space="preserve">1.195:20 (17,8 M)</t>
  </si>
  <si>
    <t xml:space="preserve">20/01/28</t>
  </si>
  <si>
    <t xml:space="preserve">8210-002Y</t>
  </si>
  <si>
    <t xml:space="preserve">2175114AC</t>
  </si>
  <si>
    <t xml:space="preserve">1.843:20</t>
  </si>
  <si>
    <t xml:space="preserve">3100829-03</t>
  </si>
  <si>
    <t xml:space="preserve">A9353</t>
  </si>
  <si>
    <t xml:space="preserve">4.350:30</t>
  </si>
  <si>
    <t xml:space="preserve">2651023-19</t>
  </si>
  <si>
    <t xml:space="preserve">LSEAS0435</t>
  </si>
  <si>
    <t xml:space="preserve">4.404:50</t>
  </si>
  <si>
    <t xml:space="preserve">JHZ-16-005</t>
  </si>
  <si>
    <t xml:space="preserve">3.840:50</t>
  </si>
  <si>
    <t xml:space="preserve">000562</t>
  </si>
  <si>
    <t xml:space="preserve">2729:40 (16,2 M)</t>
  </si>
  <si>
    <t xml:space="preserve">03/11/27</t>
  </si>
  <si>
    <t xml:space="preserve">A210507</t>
  </si>
  <si>
    <t xml:space="preserve">2483159V</t>
  </si>
  <si>
    <t xml:space="preserve">366:25</t>
  </si>
  <si>
    <t xml:space="preserve">26,2 M</t>
  </si>
  <si>
    <t xml:space="preserve">27/09/28</t>
  </si>
  <si>
    <t xml:space="preserve">39,3 M</t>
  </si>
  <si>
    <t xml:space="preserve">27/10/29</t>
  </si>
  <si>
    <t xml:space="preserve">18,1 M</t>
  </si>
  <si>
    <t xml:space="preserve">29/01/28</t>
  </si>
  <si>
    <t xml:space="preserve">28,2 M</t>
  </si>
  <si>
    <t xml:space="preserve">44,4 M</t>
  </si>
  <si>
    <t xml:space="preserve">29/03/20</t>
  </si>
  <si>
    <t xml:space="preserve">58,6 M</t>
  </si>
  <si>
    <t xml:space="preserve">101,0 M</t>
  </si>
  <si>
    <t xml:space="preserve">20/11/34</t>
  </si>
  <si>
    <t xml:space="preserve">ANV S/ MOTOR</t>
  </si>
  <si>
    <t xml:space="preserve">2651023-23</t>
  </si>
  <si>
    <t xml:space="preserve">370</t>
  </si>
  <si>
    <t xml:space="preserve">1.487:15</t>
  </si>
  <si>
    <t xml:space="preserve">NÃO INSTALADOS</t>
  </si>
  <si>
    <t xml:space="preserve">TBO 4.000H /  6 ANOS</t>
  </si>
  <si>
    <t xml:space="preserve">TBO 6.000H</t>
  </si>
  <si>
    <t xml:space="preserve">MANG. COMB FCU</t>
  </si>
  <si>
    <t xml:space="preserve">MANG. RADIADOR – 02 EA</t>
  </si>
  <si>
    <t xml:space="preserve">PCE-PC2360</t>
  </si>
  <si>
    <t xml:space="preserve">716:40</t>
  </si>
  <si>
    <t xml:space="preserve">WA60640</t>
  </si>
  <si>
    <t xml:space="preserve">3.216:10</t>
  </si>
  <si>
    <t xml:space="preserve">004473</t>
  </si>
  <si>
    <t xml:space="preserve">2.716:10</t>
  </si>
  <si>
    <t xml:space="preserve">F67018</t>
  </si>
  <si>
    <t xml:space="preserve">716:10 (18,1 M)</t>
  </si>
  <si>
    <t xml:space="preserve">23/01/28</t>
  </si>
  <si>
    <t xml:space="preserve">I.C. 3.000H / 8 ANOS</t>
  </si>
  <si>
    <t xml:space="preserve">21922876</t>
  </si>
  <si>
    <t xml:space="preserve">540-1407-3</t>
  </si>
  <si>
    <t xml:space="preserve">GA1188</t>
  </si>
  <si>
    <t xml:space="preserve">2.484:00</t>
  </si>
  <si>
    <t xml:space="preserve">LSEAS0438</t>
  </si>
  <si>
    <t xml:space="preserve">1.309:40</t>
  </si>
  <si>
    <t xml:space="preserve">LSEAS0465</t>
  </si>
  <si>
    <t xml:space="preserve">4.422:10</t>
  </si>
  <si>
    <t xml:space="preserve">960707</t>
  </si>
  <si>
    <t xml:space="preserve">2.132:35 (10,3 M)</t>
  </si>
  <si>
    <t xml:space="preserve">10/06/27</t>
  </si>
  <si>
    <t xml:space="preserve">15022593</t>
  </si>
  <si>
    <t xml:space="preserve">2.804:50</t>
  </si>
  <si>
    <t xml:space="preserve">43,5 M</t>
  </si>
  <si>
    <t xml:space="preserve">25/02/30</t>
  </si>
  <si>
    <t xml:space="preserve">16,4 M</t>
  </si>
  <si>
    <t xml:space="preserve">10/12/27</t>
  </si>
  <si>
    <t xml:space="preserve">30,4 M</t>
  </si>
  <si>
    <t xml:space="preserve">01/02/29</t>
  </si>
  <si>
    <t xml:space="preserve">45,5 M</t>
  </si>
  <si>
    <t xml:space="preserve">01/05/30</t>
  </si>
  <si>
    <t xml:space="preserve">48,8 M</t>
  </si>
  <si>
    <t xml:space="preserve">28/08/30</t>
  </si>
  <si>
    <t xml:space="preserve">56,5 M</t>
  </si>
  <si>
    <t xml:space="preserve">01/05/31</t>
  </si>
  <si>
    <t xml:space="preserve">19,3 M</t>
  </si>
  <si>
    <t xml:space="preserve">01/03/28</t>
  </si>
  <si>
    <t xml:space="preserve">95,4 M</t>
  </si>
  <si>
    <t xml:space="preserve">04/06/34</t>
  </si>
  <si>
    <t xml:space="preserve">PC-EPC0431</t>
  </si>
  <si>
    <t xml:space="preserve">-90:10</t>
  </si>
  <si>
    <t xml:space="preserve">MAR / 27</t>
  </si>
  <si>
    <t xml:space="preserve">AT 685%1688 (EXT ATÉ 4700 H)</t>
  </si>
  <si>
    <t xml:space="preserve">TBO 4.200H</t>
  </si>
  <si>
    <t xml:space="preserve">AV-0012</t>
  </si>
  <si>
    <t xml:space="preserve">1.209:50</t>
  </si>
  <si>
    <t xml:space="preserve">025323-150</t>
  </si>
  <si>
    <t xml:space="preserve">1439</t>
  </si>
  <si>
    <t xml:space="preserve">4.968:35</t>
  </si>
  <si>
    <t xml:space="preserve">3244809-8</t>
  </si>
  <si>
    <t xml:space="preserve">C25994</t>
  </si>
  <si>
    <t xml:space="preserve">1.012:20 (30,1 M)</t>
  </si>
  <si>
    <t xml:space="preserve">16787398</t>
  </si>
  <si>
    <t xml:space="preserve">4.084:30</t>
  </si>
  <si>
    <t xml:space="preserve">9081</t>
  </si>
  <si>
    <t xml:space="preserve">2.614:05</t>
  </si>
  <si>
    <t xml:space="preserve">1173</t>
  </si>
  <si>
    <t xml:space="preserve">697:25</t>
  </si>
  <si>
    <t xml:space="preserve">JHZ-16-047</t>
  </si>
  <si>
    <t xml:space="preserve">1.851:15</t>
  </si>
  <si>
    <t xml:space="preserve">250419</t>
  </si>
  <si>
    <t xml:space="preserve">3.972:20 (41,5 M)</t>
  </si>
  <si>
    <t xml:space="preserve">30/12/29</t>
  </si>
  <si>
    <t xml:space="preserve">2135973W</t>
  </si>
  <si>
    <t xml:space="preserve">6.204:15</t>
  </si>
  <si>
    <t xml:space="preserve">32,2 M</t>
  </si>
  <si>
    <t xml:space="preserve">30/05/29</t>
  </si>
  <si>
    <t xml:space="preserve">9,8 M</t>
  </si>
  <si>
    <t xml:space="preserve">28/04/27</t>
  </si>
  <si>
    <t xml:space="preserve">30/01/28</t>
  </si>
  <si>
    <t xml:space="preserve">45,3 M</t>
  </si>
  <si>
    <t xml:space="preserve">30/06/29</t>
  </si>
  <si>
    <t xml:space="preserve">60,6 M</t>
  </si>
  <si>
    <t xml:space="preserve">28/07/31</t>
  </si>
  <si>
    <t xml:space="preserve">12,9 M</t>
  </si>
  <si>
    <t xml:space="preserve">28/06/27</t>
  </si>
  <si>
    <t xml:space="preserve">97,2 M</t>
  </si>
  <si>
    <t xml:space="preserve">PCE-PC1734</t>
  </si>
  <si>
    <t xml:space="preserve">1.241:05</t>
  </si>
  <si>
    <t xml:space="preserve">HSI 1.500H</t>
  </si>
  <si>
    <t xml:space="preserve">5.241:05</t>
  </si>
  <si>
    <t xml:space="preserve">004955</t>
  </si>
  <si>
    <t xml:space="preserve">4.741:05</t>
  </si>
  <si>
    <t xml:space="preserve">3122678-04</t>
  </si>
  <si>
    <t xml:space="preserve">C66726</t>
  </si>
  <si>
    <t xml:space="preserve">1.537:20 (30,4 M)</t>
  </si>
  <si>
    <t xml:space="preserve">1.625:35</t>
  </si>
  <si>
    <t xml:space="preserve">GA1526</t>
  </si>
  <si>
    <t xml:space="preserve">304-000052</t>
  </si>
  <si>
    <t xml:space="preserve">4.278:00</t>
  </si>
  <si>
    <t xml:space="preserve">2651022-15</t>
  </si>
  <si>
    <t xml:space="preserve">185:40</t>
  </si>
  <si>
    <t xml:space="preserve">JUL / 26</t>
  </si>
  <si>
    <t xml:space="preserve">3.741:05 (61,8 M)</t>
  </si>
  <si>
    <t xml:space="preserve">2.675:10</t>
  </si>
  <si>
    <t xml:space="preserve">47,3 M</t>
  </si>
  <si>
    <t xml:space="preserve">35,2 M</t>
  </si>
  <si>
    <t xml:space="preserve">14,9 M</t>
  </si>
  <si>
    <t xml:space="preserve">39,2 M</t>
  </si>
  <si>
    <t xml:space="preserve">115,4 M</t>
  </si>
  <si>
    <t xml:space="preserve">PCE-PC2055</t>
  </si>
  <si>
    <t xml:space="preserve">-115:00</t>
  </si>
  <si>
    <t xml:space="preserve">JAN / 27</t>
  </si>
  <si>
    <t xml:space="preserve">AT %2046 (EXT 400 H)</t>
  </si>
  <si>
    <t xml:space="preserve">TBO 4.000H</t>
  </si>
  <si>
    <t xml:space="preserve">WA45322</t>
  </si>
  <si>
    <t xml:space="preserve">1.385:00</t>
  </si>
  <si>
    <t xml:space="preserve">004284</t>
  </si>
  <si>
    <t xml:space="preserve">1.889:00</t>
  </si>
  <si>
    <t xml:space="preserve">C25361</t>
  </si>
  <si>
    <t xml:space="preserve">449:30 (7,2 M)</t>
  </si>
  <si>
    <t xml:space="preserve">07/03/27</t>
  </si>
  <si>
    <t xml:space="preserve">18418109</t>
  </si>
  <si>
    <t xml:space="preserve">5385</t>
  </si>
  <si>
    <t xml:space="preserve">1.995:15</t>
  </si>
  <si>
    <t xml:space="preserve">PZL/07/088</t>
  </si>
  <si>
    <t xml:space="preserve">657:00</t>
  </si>
  <si>
    <t xml:space="preserve">430</t>
  </si>
  <si>
    <t xml:space="preserve">4.475:35</t>
  </si>
  <si>
    <t xml:space="preserve">000929</t>
  </si>
  <si>
    <t xml:space="preserve">2.449:40 (3,4 M)</t>
  </si>
  <si>
    <t xml:space="preserve">15/11/26</t>
  </si>
  <si>
    <t xml:space="preserve">12330951</t>
  </si>
  <si>
    <t xml:space="preserve">2.157:00</t>
  </si>
  <si>
    <t xml:space="preserve">34,2 M</t>
  </si>
  <si>
    <t xml:space="preserve">28/01/28</t>
  </si>
  <si>
    <t xml:space="preserve">49,5 M</t>
  </si>
  <si>
    <t xml:space="preserve">36,3 M</t>
  </si>
  <si>
    <t xml:space="preserve">27/07/29</t>
  </si>
  <si>
    <t xml:space="preserve">38,3 M</t>
  </si>
  <si>
    <t xml:space="preserve">27/09/29</t>
  </si>
  <si>
    <t xml:space="preserve">PCE-PC0499</t>
  </si>
  <si>
    <t xml:space="preserve">1.440:50</t>
  </si>
  <si>
    <t xml:space="preserve">HSI 1500:00</t>
  </si>
  <si>
    <t xml:space="preserve">WA8585</t>
  </si>
  <si>
    <t xml:space="preserve">5.440:50</t>
  </si>
  <si>
    <t xml:space="preserve">954</t>
  </si>
  <si>
    <t xml:space="preserve">4.940:50</t>
  </si>
  <si>
    <t xml:space="preserve">C25771</t>
  </si>
  <si>
    <t xml:space="preserve">1.740:50 (58,6 M)</t>
  </si>
  <si>
    <t xml:space="preserve">29/04/31</t>
  </si>
  <si>
    <t xml:space="preserve">1567708</t>
  </si>
  <si>
    <t xml:space="preserve">5459</t>
  </si>
  <si>
    <t xml:space="preserve">PZL/06/022</t>
  </si>
  <si>
    <t xml:space="preserve">2.566:30</t>
  </si>
  <si>
    <t xml:space="preserve">2651022-18</t>
  </si>
  <si>
    <t xml:space="preserve">PZL-10/070</t>
  </si>
  <si>
    <t xml:space="preserve">4.807:25</t>
  </si>
  <si>
    <t xml:space="preserve">070339</t>
  </si>
  <si>
    <t xml:space="preserve">3.807:25 (59,8 M)</t>
  </si>
  <si>
    <t xml:space="preserve">05/06/31</t>
  </si>
  <si>
    <t xml:space="preserve">16206310W</t>
  </si>
  <si>
    <t xml:space="preserve">791:55</t>
  </si>
  <si>
    <t xml:space="preserve">27,2 M</t>
  </si>
  <si>
    <t xml:space="preserve">27,2M</t>
  </si>
  <si>
    <t xml:space="preserve">36,2 M</t>
  </si>
  <si>
    <t xml:space="preserve">27/06/29</t>
  </si>
  <si>
    <t xml:space="preserve">64,7 M</t>
  </si>
  <si>
    <t xml:space="preserve">29/10/31</t>
  </si>
  <si>
    <t xml:space="preserve">19,1 M</t>
  </si>
  <si>
    <t xml:space="preserve">103,6 M</t>
  </si>
  <si>
    <t xml:space="preserve">08/01/35</t>
  </si>
  <si>
    <t xml:space="preserve">MANG. TORQUÍMETRO – PRESS</t>
  </si>
  <si>
    <t xml:space="preserve">29,2 M</t>
  </si>
  <si>
    <t xml:space="preserve">MANG. TORQUÍMETRO – SUCÇÃO</t>
  </si>
  <si>
    <t xml:space="preserve">28/04/31</t>
  </si>
  <si>
    <t xml:space="preserve">NÃO INSTALADA</t>
  </si>
  <si>
    <t xml:space="preserve">45,4 M</t>
  </si>
  <si>
    <t xml:space="preserve">29/03/30</t>
  </si>
  <si>
    <t xml:space="preserve">11,9 M</t>
  </si>
  <si>
    <t xml:space="preserve">PCE-DC2290</t>
  </si>
  <si>
    <t xml:space="preserve">313:30</t>
  </si>
  <si>
    <t xml:space="preserve">ABR / 27</t>
  </si>
  <si>
    <t xml:space="preserve">WA57998</t>
  </si>
  <si>
    <t xml:space="preserve">2.667:10</t>
  </si>
  <si>
    <t xml:space="preserve">003342</t>
  </si>
  <si>
    <t xml:space="preserve">4.928:55</t>
  </si>
  <si>
    <t xml:space="preserve">F66933</t>
  </si>
  <si>
    <t xml:space="preserve">1.728:55 (66,8 M)</t>
  </si>
  <si>
    <t xml:space="preserve">21326525</t>
  </si>
  <si>
    <t xml:space="preserve">2.947:55</t>
  </si>
  <si>
    <t xml:space="preserve">GA1292</t>
  </si>
  <si>
    <t xml:space="preserve">1.632:15</t>
  </si>
  <si>
    <t xml:space="preserve">1215</t>
  </si>
  <si>
    <t xml:space="preserve">3.267:45</t>
  </si>
  <si>
    <t xml:space="preserve">JHZ-16-045</t>
  </si>
  <si>
    <t xml:space="preserve">2.167:10</t>
  </si>
  <si>
    <t xml:space="preserve">930171</t>
  </si>
  <si>
    <t xml:space="preserve">3.283:10 (39,2 M)</t>
  </si>
  <si>
    <t xml:space="preserve">22/10/29</t>
  </si>
  <si>
    <t xml:space="preserve">32,5 M</t>
  </si>
  <si>
    <t xml:space="preserve">05/04/29</t>
  </si>
  <si>
    <t xml:space="preserve">96,8 M</t>
  </si>
  <si>
    <t xml:space="preserve">17/07/34</t>
  </si>
  <si>
    <t xml:space="preserve">10,9 M</t>
  </si>
  <si>
    <t xml:space="preserve">101,6 M</t>
  </si>
  <si>
    <t xml:space="preserve">08/12/34</t>
  </si>
  <si>
    <t xml:space="preserve">57,6 M</t>
  </si>
  <si>
    <t xml:space="preserve">MANG. TORQUÍMETRO – VENT</t>
  </si>
  <si>
    <t xml:space="preserve">71,8 M</t>
  </si>
  <si>
    <t xml:space="preserve">27/06/32</t>
  </si>
  <si>
    <t xml:space="preserve">MANG. TORQUÍMETRO TREND – 02 EA</t>
  </si>
  <si>
    <t xml:space="preserve">72,8 M</t>
  </si>
  <si>
    <t xml:space="preserve">28/07/32</t>
  </si>
  <si>
    <t xml:space="preserve">HIDRÁULICA</t>
  </si>
  <si>
    <t xml:space="preserve">CONJ.TREM DE POUSO</t>
  </si>
  <si>
    <t xml:space="preserve">DLS4-02314</t>
  </si>
  <si>
    <t xml:space="preserve">77</t>
  </si>
  <si>
    <t xml:space="preserve">26.869 P</t>
  </si>
  <si>
    <t xml:space="preserve">TLV 31.500 POUSOS</t>
  </si>
  <si>
    <t xml:space="preserve">AXLE-MAIN GEAR ESQ</t>
  </si>
  <si>
    <t xml:space="preserve">2641011-5</t>
  </si>
  <si>
    <t xml:space="preserve">449</t>
  </si>
  <si>
    <t xml:space="preserve">195 P</t>
  </si>
  <si>
    <t xml:space="preserve">DEZ / 26</t>
  </si>
  <si>
    <t xml:space="preserve">I.C. 1.000 POUSOS</t>
  </si>
  <si>
    <t xml:space="preserve">AXLE-MAIN GEAR DIR</t>
  </si>
  <si>
    <t xml:space="preserve">448</t>
  </si>
  <si>
    <t xml:space="preserve">TREM AUXILIAR</t>
  </si>
  <si>
    <t xml:space="preserve">2643100-201</t>
  </si>
  <si>
    <t xml:space="preserve">B4H-013</t>
  </si>
  <si>
    <t xml:space="preserve">9.082 P</t>
  </si>
  <si>
    <t xml:space="preserve">TBO 10.000 POUSOS </t>
  </si>
  <si>
    <t xml:space="preserve">MOLA TREM NARIZ</t>
  </si>
  <si>
    <t xml:space="preserve">2643062-3</t>
  </si>
  <si>
    <t xml:space="preserve">B53203-4</t>
  </si>
  <si>
    <t xml:space="preserve">10.369 P</t>
  </si>
  <si>
    <t xml:space="preserve">TLV 15.000 POUSOS</t>
  </si>
  <si>
    <t xml:space="preserve">SUPORTE DA MOLA DO TPA FWR</t>
  </si>
  <si>
    <t xml:space="preserve">2643099-1</t>
  </si>
  <si>
    <t xml:space="preserve">792</t>
  </si>
  <si>
    <t xml:space="preserve">34.566 P</t>
  </si>
  <si>
    <t xml:space="preserve">TLV 40.000 POUSOS</t>
  </si>
  <si>
    <t xml:space="preserve">SUPORTE DA MOLA DO TPA AFT</t>
  </si>
  <si>
    <t xml:space="preserve">2643055-5</t>
  </si>
  <si>
    <t xml:space="preserve">008</t>
  </si>
  <si>
    <t xml:space="preserve">CONJ.GARFO DA MOLA DO TPA</t>
  </si>
  <si>
    <t xml:space="preserve">2643031-7</t>
  </si>
  <si>
    <t xml:space="preserve">883</t>
  </si>
  <si>
    <t xml:space="preserve">36.652 P</t>
  </si>
  <si>
    <t xml:space="preserve">SEMI CUBO PRINC. EXTERNO ESQ</t>
  </si>
  <si>
    <t xml:space="preserve">162-11800</t>
  </si>
  <si>
    <t xml:space="preserve">AN65</t>
  </si>
  <si>
    <t xml:space="preserve">1.714 P</t>
  </si>
  <si>
    <t xml:space="preserve">TBO 2.000 POUSOS</t>
  </si>
  <si>
    <t xml:space="preserve">SEMI CUBO PRINC. INTERNO ESQ</t>
  </si>
  <si>
    <t xml:space="preserve">161-12800</t>
  </si>
  <si>
    <t xml:space="preserve">AE28</t>
  </si>
  <si>
    <t xml:space="preserve">SEMI CUBO PRINC. EXTERNO DIR</t>
  </si>
  <si>
    <t xml:space="preserve">000649</t>
  </si>
  <si>
    <t xml:space="preserve">873 P</t>
  </si>
  <si>
    <t xml:space="preserve">SEMI CUBO PRINC. INTERNO DIR</t>
  </si>
  <si>
    <t xml:space="preserve">AD16</t>
  </si>
  <si>
    <t xml:space="preserve">SEMI CUBO AUXILIAR. EXTERNO</t>
  </si>
  <si>
    <t xml:space="preserve">162-10700</t>
  </si>
  <si>
    <t xml:space="preserve">U755</t>
  </si>
  <si>
    <t xml:space="preserve">1.542 P</t>
  </si>
  <si>
    <t xml:space="preserve">SEMI CUBO AUXILIAR. INTERNO</t>
  </si>
  <si>
    <t xml:space="preserve">161-11700</t>
  </si>
  <si>
    <t xml:space="preserve">Z22L22B</t>
  </si>
  <si>
    <t xml:space="preserve">MOLA CENTRAL</t>
  </si>
  <si>
    <t xml:space="preserve">2641014-6</t>
  </si>
  <si>
    <t xml:space="preserve">376594</t>
  </si>
  <si>
    <t xml:space="preserve">17.488 P</t>
  </si>
  <si>
    <t xml:space="preserve">MOLA LATERAL ESQ</t>
  </si>
  <si>
    <t xml:space="preserve">2641013-1</t>
  </si>
  <si>
    <t xml:space="preserve">450863</t>
  </si>
  <si>
    <t xml:space="preserve">21.139 P</t>
  </si>
  <si>
    <t xml:space="preserve">MOLA LATERAL DIR</t>
  </si>
  <si>
    <t xml:space="preserve">450872</t>
  </si>
  <si>
    <t xml:space="preserve">TRUNNION DIREITO</t>
  </si>
  <si>
    <t xml:space="preserve">2641012-8</t>
  </si>
  <si>
    <t xml:space="preserve">03</t>
  </si>
  <si>
    <t xml:space="preserve">TRUNNION ESQUERDO</t>
  </si>
  <si>
    <t xml:space="preserve">2641012-9</t>
  </si>
  <si>
    <t xml:space="preserve">04</t>
  </si>
  <si>
    <t xml:space="preserve">ATTACH PIN ESQ</t>
  </si>
  <si>
    <t xml:space="preserve">2641008-1</t>
  </si>
  <si>
    <t xml:space="preserve">06</t>
  </si>
  <si>
    <t xml:space="preserve">ATTACH PIN DIR</t>
  </si>
  <si>
    <t xml:space="preserve">05</t>
  </si>
  <si>
    <t xml:space="preserve">AXLE FITTING ESQ</t>
  </si>
  <si>
    <t xml:space="preserve">2641010-1</t>
  </si>
  <si>
    <t xml:space="preserve">21.603 P</t>
  </si>
  <si>
    <t xml:space="preserve">AXLE FITTING DIR</t>
  </si>
  <si>
    <t xml:space="preserve">27.308 P</t>
  </si>
  <si>
    <t xml:space="preserve">6147-5</t>
  </si>
  <si>
    <t xml:space="preserve">4.950 P</t>
  </si>
  <si>
    <t xml:space="preserve">I.C. 5.000 POUSOS</t>
  </si>
  <si>
    <t xml:space="preserve">1469-5</t>
  </si>
  <si>
    <t xml:space="preserve">950 P</t>
  </si>
  <si>
    <t xml:space="preserve">B4H-004</t>
  </si>
  <si>
    <t xml:space="preserve">4.303 P</t>
  </si>
  <si>
    <t xml:space="preserve">2643062-1</t>
  </si>
  <si>
    <t xml:space="preserve">B4H-001</t>
  </si>
  <si>
    <t xml:space="preserve">2.195 P</t>
  </si>
  <si>
    <t xml:space="preserve">2643030-1</t>
  </si>
  <si>
    <t xml:space="preserve">718</t>
  </si>
  <si>
    <t xml:space="preserve">27.195 P</t>
  </si>
  <si>
    <t xml:space="preserve">NIL</t>
  </si>
  <si>
    <t xml:space="preserve">27.172 P</t>
  </si>
  <si>
    <t xml:space="preserve">880</t>
  </si>
  <si>
    <t xml:space="preserve">35.808 P</t>
  </si>
  <si>
    <t xml:space="preserve">B4H-033</t>
  </si>
  <si>
    <t xml:space="preserve">914 P</t>
  </si>
  <si>
    <t xml:space="preserve">964</t>
  </si>
  <si>
    <t xml:space="preserve">07</t>
  </si>
  <si>
    <t xml:space="preserve">32 P</t>
  </si>
  <si>
    <t xml:space="preserve">SET / 26</t>
  </si>
  <si>
    <t xml:space="preserve">AT 685%2186 (EXT DE 90 P)</t>
  </si>
  <si>
    <t xml:space="preserve">2002A</t>
  </si>
  <si>
    <t xml:space="preserve">121 P</t>
  </si>
  <si>
    <t xml:space="preserve">13</t>
  </si>
  <si>
    <t xml:space="preserve">1.019 P</t>
  </si>
  <si>
    <t xml:space="preserve">V152</t>
  </si>
  <si>
    <t xml:space="preserve">2641014-9</t>
  </si>
  <si>
    <t xml:space="preserve">627</t>
  </si>
  <si>
    <t xml:space="preserve">26.036 P</t>
  </si>
  <si>
    <t xml:space="preserve">2641013-8</t>
  </si>
  <si>
    <t xml:space="preserve">1519</t>
  </si>
  <si>
    <t xml:space="preserve">1517</t>
  </si>
  <si>
    <t xml:space="preserve">2641012-14</t>
  </si>
  <si>
    <t xml:space="preserve">891</t>
  </si>
  <si>
    <t xml:space="preserve">2641012-13</t>
  </si>
  <si>
    <t xml:space="preserve">1073</t>
  </si>
  <si>
    <t xml:space="preserve">28.898 P</t>
  </si>
  <si>
    <t xml:space="preserve">2641008-200</t>
  </si>
  <si>
    <t xml:space="preserve">48</t>
  </si>
  <si>
    <t xml:space="preserve">45</t>
  </si>
  <si>
    <t xml:space="preserve">2641010-3</t>
  </si>
  <si>
    <t xml:space="preserve">12</t>
  </si>
  <si>
    <t xml:space="preserve">26.334 P</t>
  </si>
  <si>
    <t xml:space="preserve">11</t>
  </si>
  <si>
    <t xml:space="preserve">B4H-006</t>
  </si>
  <si>
    <t xml:space="preserve">5.289 P</t>
  </si>
  <si>
    <t xml:space="preserve">14002</t>
  </si>
  <si>
    <t xml:space="preserve">30.286 P</t>
  </si>
  <si>
    <t xml:space="preserve">2643055-1</t>
  </si>
  <si>
    <t xml:space="preserve">14001</t>
  </si>
  <si>
    <t xml:space="preserve">2643031-1</t>
  </si>
  <si>
    <t xml:space="preserve">14003</t>
  </si>
  <si>
    <t xml:space="preserve">375629</t>
  </si>
  <si>
    <t xml:space="preserve">21.664 P</t>
  </si>
  <si>
    <t xml:space="preserve">2641013-3</t>
  </si>
  <si>
    <t xml:space="preserve">450807</t>
  </si>
  <si>
    <t xml:space="preserve">27.957 P</t>
  </si>
  <si>
    <t xml:space="preserve">451663</t>
  </si>
  <si>
    <t xml:space="preserve">26.963 P</t>
  </si>
  <si>
    <t xml:space="preserve">1005</t>
  </si>
  <si>
    <t xml:space="preserve">29.113 P</t>
  </si>
  <si>
    <t xml:space="preserve">384-001335</t>
  </si>
  <si>
    <t xml:space="preserve">01</t>
  </si>
  <si>
    <t xml:space="preserve">2641008-2</t>
  </si>
  <si>
    <t xml:space="preserve">02</t>
  </si>
  <si>
    <t xml:space="preserve">22.121 P</t>
  </si>
  <si>
    <t xml:space="preserve">14</t>
  </si>
  <si>
    <t xml:space="preserve">22.830 P</t>
  </si>
  <si>
    <t xml:space="preserve">1588-5</t>
  </si>
  <si>
    <t xml:space="preserve">939 P</t>
  </si>
  <si>
    <t xml:space="preserve">3454</t>
  </si>
  <si>
    <t xml:space="preserve">2643100-206</t>
  </si>
  <si>
    <t xml:space="preserve">626</t>
  </si>
  <si>
    <t xml:space="preserve">6.074 P</t>
  </si>
  <si>
    <t xml:space="preserve">B4H-008</t>
  </si>
  <si>
    <t xml:space="preserve">4.566 P</t>
  </si>
  <si>
    <t xml:space="preserve">1140</t>
  </si>
  <si>
    <t xml:space="preserve">23.095 P</t>
  </si>
  <si>
    <t xml:space="preserve">007</t>
  </si>
  <si>
    <t xml:space="preserve">28.281 P</t>
  </si>
  <si>
    <t xml:space="preserve">28</t>
  </si>
  <si>
    <t xml:space="preserve">332 P</t>
  </si>
  <si>
    <t xml:space="preserve">2005</t>
  </si>
  <si>
    <t xml:space="preserve">651</t>
  </si>
  <si>
    <t xml:space="preserve">517 P</t>
  </si>
  <si>
    <t xml:space="preserve">AD29</t>
  </si>
  <si>
    <t xml:space="preserve">Z25M22A</t>
  </si>
  <si>
    <t xml:space="preserve">604 P</t>
  </si>
  <si>
    <t xml:space="preserve">Z22L22A</t>
  </si>
  <si>
    <t xml:space="preserve">2641014-3</t>
  </si>
  <si>
    <t xml:space="preserve">376285</t>
  </si>
  <si>
    <t xml:space="preserve">23.393 P</t>
  </si>
  <si>
    <t xml:space="preserve">2641013-10</t>
  </si>
  <si>
    <t xml:space="preserve">67</t>
  </si>
  <si>
    <t xml:space="preserve">99</t>
  </si>
  <si>
    <t xml:space="preserve">464</t>
  </si>
  <si>
    <t xml:space="preserve">463</t>
  </si>
  <si>
    <t xml:space="preserve">141</t>
  </si>
  <si>
    <t xml:space="preserve">704</t>
  </si>
  <si>
    <t xml:space="preserve">2641010-7</t>
  </si>
  <si>
    <t xml:space="preserve">861</t>
  </si>
  <si>
    <t xml:space="preserve">1024</t>
  </si>
  <si>
    <t xml:space="preserve">16</t>
  </si>
  <si>
    <t xml:space="preserve">27.284 P</t>
  </si>
  <si>
    <t xml:space="preserve">5324-5</t>
  </si>
  <si>
    <t xml:space="preserve">3.884 P</t>
  </si>
  <si>
    <t xml:space="preserve">5816-5</t>
  </si>
  <si>
    <t xml:space="preserve">3.328 P</t>
  </si>
  <si>
    <t xml:space="preserve">610</t>
  </si>
  <si>
    <t xml:space="preserve">4.089 P</t>
  </si>
  <si>
    <t xml:space="preserve">2643062-2</t>
  </si>
  <si>
    <t xml:space="preserve">850905</t>
  </si>
  <si>
    <t xml:space="preserve">5.878 P</t>
  </si>
  <si>
    <t xml:space="preserve">652</t>
  </si>
  <si>
    <t xml:space="preserve">30.878 P</t>
  </si>
  <si>
    <t xml:space="preserve">33.602 P</t>
  </si>
  <si>
    <t xml:space="preserve">653</t>
  </si>
  <si>
    <t xml:space="preserve">B4H-051</t>
  </si>
  <si>
    <t xml:space="preserve">224 P</t>
  </si>
  <si>
    <t xml:space="preserve">NOV / 26</t>
  </si>
  <si>
    <t xml:space="preserve">480</t>
  </si>
  <si>
    <t xml:space="preserve">687</t>
  </si>
  <si>
    <t xml:space="preserve">803 P</t>
  </si>
  <si>
    <t xml:space="preserve">775</t>
  </si>
  <si>
    <t xml:space="preserve">21 P</t>
  </si>
  <si>
    <t xml:space="preserve">AT 685%2205 (EXT 100 P)</t>
  </si>
  <si>
    <t xml:space="preserve">797</t>
  </si>
  <si>
    <t xml:space="preserve">2641014-7</t>
  </si>
  <si>
    <t xml:space="preserve">376238</t>
  </si>
  <si>
    <t xml:space="preserve">21.853 P</t>
  </si>
  <si>
    <t xml:space="preserve">2641013-4</t>
  </si>
  <si>
    <t xml:space="preserve">452609</t>
  </si>
  <si>
    <t xml:space="preserve">21.617 P</t>
  </si>
  <si>
    <t xml:space="preserve">2641013-6</t>
  </si>
  <si>
    <t xml:space="preserve">453286</t>
  </si>
  <si>
    <t xml:space="preserve">24.088 P</t>
  </si>
  <si>
    <t xml:space="preserve">729</t>
  </si>
  <si>
    <t xml:space="preserve">30.369 P</t>
  </si>
  <si>
    <t xml:space="preserve">10</t>
  </si>
  <si>
    <t xml:space="preserve">23.846 P</t>
  </si>
  <si>
    <t xml:space="preserve">LSEAM3244</t>
  </si>
  <si>
    <t xml:space="preserve">29.260 P</t>
  </si>
  <si>
    <t xml:space="preserve">08</t>
  </si>
  <si>
    <t xml:space="preserve">25.113 P</t>
  </si>
  <si>
    <t xml:space="preserve">20</t>
  </si>
  <si>
    <t xml:space="preserve">14.914 P</t>
  </si>
  <si>
    <t xml:space="preserve">19</t>
  </si>
  <si>
    <t xml:space="preserve">678 P</t>
  </si>
  <si>
    <t xml:space="preserve">2643100-200</t>
  </si>
  <si>
    <t xml:space="preserve">B4H-005</t>
  </si>
  <si>
    <t xml:space="preserve">9.768 P</t>
  </si>
  <si>
    <t xml:space="preserve">853237-4</t>
  </si>
  <si>
    <t xml:space="preserve">12.861 P</t>
  </si>
  <si>
    <t xml:space="preserve">2643099-2</t>
  </si>
  <si>
    <t xml:space="preserve">31.717 P</t>
  </si>
  <si>
    <t xml:space="preserve">31.155 P</t>
  </si>
  <si>
    <t xml:space="preserve">1.717 P</t>
  </si>
  <si>
    <t xml:space="preserve">730 P</t>
  </si>
  <si>
    <t xml:space="preserve">277</t>
  </si>
  <si>
    <t xml:space="preserve">1.930 P</t>
  </si>
  <si>
    <t xml:space="preserve">1.768 P</t>
  </si>
  <si>
    <t xml:space="preserve">25.181 P</t>
  </si>
  <si>
    <t xml:space="preserve">25.175 P</t>
  </si>
  <si>
    <t xml:space="preserve">09</t>
  </si>
  <si>
    <t xml:space="preserve">23.819 P</t>
  </si>
  <si>
    <t xml:space="preserve">2641012-15</t>
  </si>
  <si>
    <t xml:space="preserve">26689542C</t>
  </si>
  <si>
    <t xml:space="preserve">31.268 P</t>
  </si>
  <si>
    <t xml:space="preserve">18.925 P</t>
  </si>
  <si>
    <t xml:space="preserve">26.151 P</t>
  </si>
  <si>
    <t xml:space="preserve">23.811 P</t>
  </si>
  <si>
    <t xml:space="preserve">24.268 P</t>
  </si>
  <si>
    <t xml:space="preserve">25.431 P</t>
  </si>
  <si>
    <t xml:space="preserve">2545-5</t>
  </si>
  <si>
    <t xml:space="preserve">83 P</t>
  </si>
  <si>
    <t xml:space="preserve">2514-5</t>
  </si>
  <si>
    <t xml:space="preserve">00003</t>
  </si>
  <si>
    <t xml:space="preserve">8.543 P</t>
  </si>
  <si>
    <t xml:space="preserve">B4H-0160</t>
  </si>
  <si>
    <t xml:space="preserve">3.934 P</t>
  </si>
  <si>
    <t xml:space="preserve">28.934 P</t>
  </si>
  <si>
    <t xml:space="preserve">1.501 P</t>
  </si>
  <si>
    <t xml:space="preserve">966</t>
  </si>
  <si>
    <t xml:space="preserve">63</t>
  </si>
  <si>
    <t xml:space="preserve">1.484 P</t>
  </si>
  <si>
    <t xml:space="preserve">AP61</t>
  </si>
  <si>
    <t xml:space="preserve">Z22D24B</t>
  </si>
  <si>
    <t xml:space="preserve">Z04D24B</t>
  </si>
  <si>
    <t xml:space="preserve">374819</t>
  </si>
  <si>
    <t xml:space="preserve">455390</t>
  </si>
  <si>
    <t xml:space="preserve">455388</t>
  </si>
  <si>
    <t xml:space="preserve">1038</t>
  </si>
  <si>
    <t xml:space="preserve">26689542A</t>
  </si>
  <si>
    <t xml:space="preserve">29.952 P</t>
  </si>
  <si>
    <t xml:space="preserve">920</t>
  </si>
  <si>
    <t xml:space="preserve">919</t>
  </si>
  <si>
    <t xml:space="preserve">1687</t>
  </si>
  <si>
    <t xml:space="preserve">1692</t>
  </si>
  <si>
    <t xml:space="preserve">26.511 P</t>
  </si>
  <si>
    <t xml:space="preserve">5351</t>
  </si>
  <si>
    <t xml:space="preserve">162 P</t>
  </si>
  <si>
    <t xml:space="preserve">4910-5</t>
  </si>
  <si>
    <t xml:space="preserve">4.091 P</t>
  </si>
  <si>
    <t xml:space="preserve">9.680 P</t>
  </si>
  <si>
    <t xml:space="preserve">8522783</t>
  </si>
  <si>
    <t xml:space="preserve">7.048 P</t>
  </si>
  <si>
    <t xml:space="preserve">2643103-1</t>
  </si>
  <si>
    <t xml:space="preserve">29324709K</t>
  </si>
  <si>
    <t xml:space="preserve">39.680 P</t>
  </si>
  <si>
    <t xml:space="preserve">293</t>
  </si>
  <si>
    <t xml:space="preserve">32.048 P</t>
  </si>
  <si>
    <t xml:space="preserve">305</t>
  </si>
  <si>
    <t xml:space="preserve">967</t>
  </si>
  <si>
    <t xml:space="preserve">1.803 P</t>
  </si>
  <si>
    <t xml:space="preserve">755</t>
  </si>
  <si>
    <t xml:space="preserve">337 P</t>
  </si>
  <si>
    <t xml:space="preserve">05B</t>
  </si>
  <si>
    <t xml:space="preserve">1.520 P</t>
  </si>
  <si>
    <t xml:space="preserve">17</t>
  </si>
  <si>
    <t xml:space="preserve">38</t>
  </si>
  <si>
    <t xml:space="preserve">43 P</t>
  </si>
  <si>
    <t xml:space="preserve">2641014-4</t>
  </si>
  <si>
    <t xml:space="preserve">375766</t>
  </si>
  <si>
    <t xml:space="preserve">28.073 P</t>
  </si>
  <si>
    <t xml:space="preserve">450804</t>
  </si>
  <si>
    <t xml:space="preserve">24.089 P</t>
  </si>
  <si>
    <t xml:space="preserve">2641013-5</t>
  </si>
  <si>
    <t xml:space="preserve">451372</t>
  </si>
  <si>
    <t xml:space="preserve">24.093 P</t>
  </si>
  <si>
    <t xml:space="preserve">962</t>
  </si>
  <si>
    <t xml:space="preserve">29.002 P</t>
  </si>
  <si>
    <t xml:space="preserve">32784468F</t>
  </si>
  <si>
    <t xml:space="preserve">31.303 P</t>
  </si>
  <si>
    <t xml:space="preserve">46</t>
  </si>
  <si>
    <t xml:space="preserve">47</t>
  </si>
  <si>
    <t xml:space="preserve">2339</t>
  </si>
  <si>
    <t xml:space="preserve">29.370 P</t>
  </si>
  <si>
    <t xml:space="preserve">2336</t>
  </si>
  <si>
    <t xml:space="preserve">3203-5</t>
  </si>
  <si>
    <t xml:space="preserve">134 P</t>
  </si>
  <si>
    <t xml:space="preserve">OUT / 26</t>
  </si>
  <si>
    <t xml:space="preserve">4928-5</t>
  </si>
  <si>
    <t xml:space="preserve">2.204 P</t>
  </si>
  <si>
    <t xml:space="preserve">8.826 P</t>
  </si>
  <si>
    <t xml:space="preserve">8523153</t>
  </si>
  <si>
    <t xml:space="preserve">7.152 P</t>
  </si>
  <si>
    <t xml:space="preserve">28790162Z</t>
  </si>
  <si>
    <t xml:space="preserve">39.725 P</t>
  </si>
  <si>
    <t xml:space="preserve">656</t>
  </si>
  <si>
    <t xml:space="preserve">37.725 P</t>
  </si>
  <si>
    <t xml:space="preserve">534</t>
  </si>
  <si>
    <t xml:space="preserve">36.567 P</t>
  </si>
  <si>
    <t xml:space="preserve">400 P</t>
  </si>
  <si>
    <t xml:space="preserve">393 P</t>
  </si>
  <si>
    <t xml:space="preserve">949</t>
  </si>
  <si>
    <t xml:space="preserve">740 P</t>
  </si>
  <si>
    <t xml:space="preserve">574736</t>
  </si>
  <si>
    <t xml:space="preserve">25.611 P</t>
  </si>
  <si>
    <t xml:space="preserve">455184</t>
  </si>
  <si>
    <t xml:space="preserve">455183</t>
  </si>
  <si>
    <t xml:space="preserve">1523</t>
  </si>
  <si>
    <t xml:space="preserve">30.355 P</t>
  </si>
  <si>
    <t xml:space="preserve">1018</t>
  </si>
  <si>
    <t xml:space="preserve">64</t>
  </si>
  <si>
    <t xml:space="preserve">65</t>
  </si>
  <si>
    <t xml:space="preserve">1558</t>
  </si>
  <si>
    <t xml:space="preserve">30.269 P</t>
  </si>
  <si>
    <t xml:space="preserve">1545</t>
  </si>
  <si>
    <t xml:space="preserve">ELÉTRICA</t>
  </si>
  <si>
    <t xml:space="preserve">GERADOR</t>
  </si>
  <si>
    <t xml:space="preserve">200SGL119Q-2</t>
  </si>
  <si>
    <t xml:space="preserve">S00200XL</t>
  </si>
  <si>
    <t xml:space="preserve">1.911:00</t>
  </si>
  <si>
    <t xml:space="preserve">TBO 2.000 H</t>
  </si>
  <si>
    <t xml:space="preserve">MANGUEIRA SISTEMA PITOT</t>
  </si>
  <si>
    <t xml:space="preserve">S1495-4</t>
  </si>
  <si>
    <t xml:space="preserve">MANGUEIRA SISTEMA DE VÁCUO</t>
  </si>
  <si>
    <t xml:space="preserve">S1495-6</t>
  </si>
  <si>
    <t xml:space="preserve">S00116XL</t>
  </si>
  <si>
    <t xml:space="preserve">200SGL153Q</t>
  </si>
  <si>
    <t xml:space="preserve">S00537</t>
  </si>
  <si>
    <t xml:space="preserve">1.158:10</t>
  </si>
  <si>
    <t xml:space="preserve">S00103XL2</t>
  </si>
  <si>
    <t xml:space="preserve">1.972:20</t>
  </si>
  <si>
    <t xml:space="preserve">200SGL119Q-1</t>
  </si>
  <si>
    <t xml:space="preserve">S00392</t>
  </si>
  <si>
    <t xml:space="preserve">1.864:35</t>
  </si>
  <si>
    <t xml:space="preserve">ELETRÔNICA</t>
  </si>
  <si>
    <t xml:space="preserve">BATERIA DO ELT</t>
  </si>
  <si>
    <t xml:space="preserve">452-0133</t>
  </si>
  <si>
    <t xml:space="preserve">391590-010</t>
  </si>
  <si>
    <t xml:space="preserve">9,7 M</t>
  </si>
  <si>
    <t xml:space="preserve">21/05/27</t>
  </si>
  <si>
    <t xml:space="preserve">TLV 5 ANOS</t>
  </si>
  <si>
    <t xml:space="preserve">22,2 M</t>
  </si>
  <si>
    <t xml:space="preserve">30/05/28</t>
  </si>
  <si>
    <t xml:space="preserve">394339-026</t>
  </si>
  <si>
    <t xml:space="preserve">9,5 M</t>
  </si>
  <si>
    <t xml:space="preserve">30/05/27</t>
  </si>
  <si>
    <t xml:space="preserve">397401-011</t>
  </si>
  <si>
    <t xml:space="preserve">15,0 M</t>
  </si>
  <si>
    <t xml:space="preserve">30/10/27</t>
  </si>
  <si>
    <t xml:space="preserve">1014784-018</t>
  </si>
  <si>
    <t xml:space="preserve">43,4 M</t>
  </si>
  <si>
    <t xml:space="preserve">28/02/30</t>
  </si>
  <si>
    <t xml:space="preserve">393069-038</t>
  </si>
  <si>
    <t xml:space="preserve">5,9 M</t>
  </si>
  <si>
    <t xml:space="preserve">31/12/26</t>
  </si>
  <si>
    <t xml:space="preserve">1019151-002</t>
  </si>
  <si>
    <t xml:space="preserve">47,5 M</t>
  </si>
  <si>
    <t xml:space="preserve">29/06/30</t>
  </si>
  <si>
    <t xml:space="preserve">FLAP BELCRANK ASSY-RH INBD</t>
  </si>
  <si>
    <t xml:space="preserve">2622311-16</t>
  </si>
  <si>
    <t xml:space="preserve">888</t>
  </si>
  <si>
    <t xml:space="preserve">34.130 P</t>
  </si>
  <si>
    <t xml:space="preserve">ROLAMENTO GUINHOL FLAP</t>
  </si>
  <si>
    <t xml:space="preserve">MS27641-5</t>
  </si>
  <si>
    <t xml:space="preserve">4.130 P</t>
  </si>
  <si>
    <t xml:space="preserve">TLV 10.000 POUSOS</t>
  </si>
  <si>
    <t xml:space="preserve">PARAFUSO GUINHOL FLAP</t>
  </si>
  <si>
    <t xml:space="preserve">AN5-77</t>
  </si>
  <si>
    <t xml:space="preserve">HASTE DIANTEIRA PROFUNDOR</t>
  </si>
  <si>
    <t xml:space="preserve">2613440-1</t>
  </si>
  <si>
    <t xml:space="preserve">4527692</t>
  </si>
  <si>
    <t xml:space="preserve">4.869 P</t>
  </si>
  <si>
    <t xml:space="preserve">TLV 9.500 POUSOS</t>
  </si>
  <si>
    <t xml:space="preserve">HASTE TRASEIRA PROFUNDOR</t>
  </si>
  <si>
    <t xml:space="preserve">2634027-1</t>
  </si>
  <si>
    <t xml:space="preserve">22.460 P</t>
  </si>
  <si>
    <t xml:space="preserve">EXTINTOR PORTÁTIL</t>
  </si>
  <si>
    <t xml:space="preserve">C352</t>
  </si>
  <si>
    <t xml:space="preserve">G-40532536</t>
  </si>
  <si>
    <t xml:space="preserve">82,7 M</t>
  </si>
  <si>
    <t xml:space="preserve">18/05/33</t>
  </si>
  <si>
    <t xml:space="preserve">TLV 12 ANOS</t>
  </si>
  <si>
    <t xml:space="preserve">MANG. COMB. BORRACHA – ASA</t>
  </si>
  <si>
    <t xml:space="preserve">S51-10-12</t>
  </si>
  <si>
    <t xml:space="preserve">24/11/31</t>
  </si>
  <si>
    <t xml:space="preserve">MANG. COMB. BORRACHA – TANQUINHO</t>
  </si>
  <si>
    <t xml:space="preserve">S51-10-10</t>
  </si>
  <si>
    <t xml:space="preserve">MANG. COMB. BORRACHA – SAÍDA TANQUINHO</t>
  </si>
  <si>
    <t xml:space="preserve">S51-8</t>
  </si>
  <si>
    <t xml:space="preserve">928</t>
  </si>
  <si>
    <t xml:space="preserve">35.410 P</t>
  </si>
  <si>
    <t xml:space="preserve">5.410 P</t>
  </si>
  <si>
    <t xml:space="preserve">LS01</t>
  </si>
  <si>
    <t xml:space="preserve">5.534 P</t>
  </si>
  <si>
    <t xml:space="preserve">2634009-1</t>
  </si>
  <si>
    <t xml:space="preserve">0256</t>
  </si>
  <si>
    <t xml:space="preserve">RT-A1200</t>
  </si>
  <si>
    <t xml:space="preserve">D58293653</t>
  </si>
  <si>
    <t xml:space="preserve">99,9 M</t>
  </si>
  <si>
    <t xml:space="preserve">18/10/34</t>
  </si>
  <si>
    <t xml:space="preserve">91,8 M</t>
  </si>
  <si>
    <t xml:space="preserve">17/02/34</t>
  </si>
  <si>
    <t xml:space="preserve">82</t>
  </si>
  <si>
    <t xml:space="preserve">2634027-3</t>
  </si>
  <si>
    <t xml:space="preserve">86</t>
  </si>
  <si>
    <t xml:space="preserve">30.289 P</t>
  </si>
  <si>
    <t xml:space="preserve">C352TS</t>
  </si>
  <si>
    <t xml:space="preserve">NÃO INSTALADO</t>
  </si>
  <si>
    <t xml:space="preserve">VENCIDA</t>
  </si>
  <si>
    <t xml:space="preserve">14/06/23</t>
  </si>
  <si>
    <t xml:space="preserve">ANV ESTOCADA</t>
  </si>
  <si>
    <t xml:space="preserve">788</t>
  </si>
  <si>
    <t xml:space="preserve">33.695 P</t>
  </si>
  <si>
    <t xml:space="preserve">3.695 P</t>
  </si>
  <si>
    <t xml:space="preserve">510</t>
  </si>
  <si>
    <t xml:space="preserve">4.201 P</t>
  </si>
  <si>
    <t xml:space="preserve">0257</t>
  </si>
  <si>
    <t xml:space="preserve">I-01810654</t>
  </si>
  <si>
    <t xml:space="preserve">102,3 M</t>
  </si>
  <si>
    <t xml:space="preserve">29/12/34</t>
  </si>
  <si>
    <t xml:space="preserve">108,1 M</t>
  </si>
  <si>
    <t xml:space="preserve">28/06/35</t>
  </si>
  <si>
    <t xml:space="preserve">1045</t>
  </si>
  <si>
    <t xml:space="preserve">34.008 P</t>
  </si>
  <si>
    <t xml:space="preserve">4.008 P</t>
  </si>
  <si>
    <t xml:space="preserve">350</t>
  </si>
  <si>
    <t xml:space="preserve">8.784 P</t>
  </si>
  <si>
    <t xml:space="preserve">208-2719-2</t>
  </si>
  <si>
    <t xml:space="preserve">30.233P</t>
  </si>
  <si>
    <t xml:space="preserve">84,0 M</t>
  </si>
  <si>
    <t xml:space="preserve">27/06/33</t>
  </si>
  <si>
    <t xml:space="preserve">2622311-7</t>
  </si>
  <si>
    <t xml:space="preserve">325</t>
  </si>
  <si>
    <t xml:space="preserve">7327</t>
  </si>
  <si>
    <t xml:space="preserve">1.217 P</t>
  </si>
  <si>
    <t xml:space="preserve">A-24022580</t>
  </si>
  <si>
    <t xml:space="preserve">7,9 M</t>
  </si>
  <si>
    <t xml:space="preserve">01/12/26</t>
  </si>
  <si>
    <t xml:space="preserve">73,7 M</t>
  </si>
  <si>
    <t xml:space="preserve">27/04/32</t>
  </si>
  <si>
    <t xml:space="preserve">904</t>
  </si>
  <si>
    <t xml:space="preserve">32.946 P</t>
  </si>
  <si>
    <t xml:space="preserve">2.946 P</t>
  </si>
  <si>
    <t xml:space="preserve">4257692</t>
  </si>
  <si>
    <t xml:space="preserve">7.866 P</t>
  </si>
  <si>
    <t xml:space="preserve">I-01810651</t>
  </si>
  <si>
    <t xml:space="preserve">74,0 M</t>
  </si>
  <si>
    <t xml:space="preserve">02/09/32</t>
  </si>
  <si>
    <t xml:space="preserve">526</t>
  </si>
  <si>
    <t xml:space="preserve">2.048 P</t>
  </si>
  <si>
    <t xml:space="preserve">2613440-3</t>
  </si>
  <si>
    <t xml:space="preserve">208-2728-1</t>
  </si>
  <si>
    <t xml:space="preserve">208-2728-2</t>
  </si>
  <si>
    <t xml:space="preserve">A-24022576</t>
  </si>
  <si>
    <t xml:space="preserve">4,9 M</t>
  </si>
  <si>
    <t xml:space="preserve">70,7 M</t>
  </si>
  <si>
    <t xml:space="preserve">2138</t>
  </si>
  <si>
    <t xml:space="preserve">38.957 P</t>
  </si>
  <si>
    <t xml:space="preserve">8.947 P</t>
  </si>
  <si>
    <t xml:space="preserve">32.152P</t>
  </si>
  <si>
    <t xml:space="preserve">968</t>
  </si>
  <si>
    <t xml:space="preserve">32.152 P</t>
  </si>
  <si>
    <t xml:space="preserve">D58293973</t>
  </si>
  <si>
    <t xml:space="preserve">104,8 M</t>
  </si>
  <si>
    <t xml:space="preserve">14/02/35</t>
  </si>
  <si>
    <t xml:space="preserve">23,1 M</t>
  </si>
  <si>
    <t xml:space="preserve">27/06/28</t>
  </si>
  <si>
    <t xml:space="preserve">29/03/27</t>
  </si>
  <si>
    <t xml:space="preserve">Panes na Aeronave C-98 2704</t>
  </si>
  <si>
    <t xml:space="preserve">Data da pane</t>
  </si>
  <si>
    <t xml:space="preserve">Data resolução</t>
  </si>
  <si>
    <t xml:space="preserve">Pane </t>
  </si>
  <si>
    <t xml:space="preserve">Solução</t>
  </si>
  <si>
    <t xml:space="preserve">Observação</t>
  </si>
  <si>
    <t xml:space="preserve">Bússola elétrica parou de funcionar em função de pane no SLAVING.</t>
  </si>
  <si>
    <t xml:space="preserve">Substituído o giro direcional, Slaving (pn 071-1242-06 sn 22890) e Diretor de voo (pn 060-0017-00 sn 18821) Solucionada as panes de bússola elétrica e de PA.</t>
  </si>
  <si>
    <t xml:space="preserve">No dia 04/02, SO Novaes conversou, por telefone, com o SO Jacinto (PAMALS) que instruiu que aeronave ficasse limitada a voo local visual. No dia 12/02  foi feito um AT %675 solicitando antecipando as inspeções, mesmo a anv tendo ainda 20 horas disponíveis. </t>
  </si>
  <si>
    <t xml:space="preserve">VOR1 não liga.</t>
  </si>
  <si>
    <r>
      <rPr>
        <sz val="10"/>
        <color rgb="FF000000"/>
        <rFont val="Arial"/>
        <family val="0"/>
        <charset val="1"/>
      </rPr>
      <t xml:space="preserve">Feito o pedido do VOR1 </t>
    </r>
    <r>
      <rPr>
        <b val="true"/>
        <sz val="10"/>
        <color rgb="FF000000"/>
        <rFont val="Arial"/>
        <family val="0"/>
        <charset val="1"/>
      </rPr>
      <t xml:space="preserve">pn 066-4010-12</t>
    </r>
    <r>
      <rPr>
        <sz val="10"/>
        <color rgb="FF000000"/>
        <rFont val="Arial"/>
        <family val="0"/>
        <charset val="1"/>
      </rPr>
      <t xml:space="preserve"> nº 407000064392 em 16/04/15 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</si>
</sst>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@"/>
    <numFmt numFmtId="166" formatCode="DD/MM/YY"/>
    <numFmt numFmtId="167" formatCode="YYYY\-M"/>
    <numFmt numFmtId="168" formatCode="[HH]:MM:SS"/>
    <numFmt numFmtId="169" formatCode="D/M/YY"/>
    <numFmt numFmtId="170" formatCode="#,##0"/>
    <numFmt numFmtId="171" formatCode="DD/MM/YYYY"/>
  </numFmts>
  <fonts count="58">
    <font>
      <sz val="10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b val="true"/>
      <sz val="13"/>
      <color rgb="FF000000"/>
      <name val="Calibri"/>
      <family val="0"/>
      <charset val="1"/>
    </font>
    <font>
      <b val="true"/>
      <sz val="20"/>
      <color rgb="FF000000"/>
      <name val="Arial"/>
      <family val="0"/>
      <charset val="1"/>
    </font>
    <font>
      <b val="true"/>
      <sz val="17"/>
      <color rgb="FF000000"/>
      <name val="Arial"/>
      <family val="0"/>
      <charset val="1"/>
    </font>
    <font>
      <b val="true"/>
      <sz val="12"/>
      <color rgb="FF000000"/>
      <name val="Calibri"/>
      <family val="0"/>
      <charset val="1"/>
    </font>
    <font>
      <b val="true"/>
      <i val="true"/>
      <sz val="10"/>
      <color rgb="FF5B0F00"/>
      <name val="Arial"/>
      <family val="0"/>
      <charset val="1"/>
    </font>
    <font>
      <b val="true"/>
      <sz val="10"/>
      <color rgb="FF5B0F00"/>
      <name val="Arial"/>
      <family val="0"/>
      <charset val="1"/>
    </font>
    <font>
      <b val="true"/>
      <sz val="10"/>
      <color rgb="FF5B0F00"/>
      <name val="Calibri"/>
      <family val="0"/>
      <charset val="1"/>
    </font>
    <font>
      <b val="true"/>
      <i val="true"/>
      <sz val="10"/>
      <color rgb="FF5B0F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8"/>
      <color rgb="FF0000FF"/>
      <name val="Arial"/>
      <family val="0"/>
      <charset val="1"/>
    </font>
    <font>
      <b val="true"/>
      <sz val="8"/>
      <color rgb="FFCC0000"/>
      <name val="Arial"/>
      <family val="0"/>
      <charset val="1"/>
    </font>
    <font>
      <b val="true"/>
      <sz val="8"/>
      <color rgb="FF000000"/>
      <name val="Arial"/>
      <family val="0"/>
      <charset val="1"/>
    </font>
    <font>
      <b val="true"/>
      <sz val="8"/>
      <color rgb="FFFFFFFF"/>
      <name val="Calibri"/>
      <family val="0"/>
      <charset val="1"/>
    </font>
    <font>
      <sz val="8"/>
      <color rgb="FF000000"/>
      <name val="Calibri"/>
      <family val="0"/>
      <charset val="1"/>
    </font>
    <font>
      <b val="true"/>
      <sz val="8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9"/>
      <color rgb="FFFF0000"/>
      <name val="Calibri"/>
      <family val="0"/>
      <charset val="1"/>
    </font>
    <font>
      <b val="true"/>
      <sz val="7"/>
      <color rgb="FFFFFFFF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2"/>
      <color rgb="FF0000FF"/>
      <name val="Arial"/>
      <family val="0"/>
      <charset val="1"/>
    </font>
    <font>
      <sz val="12"/>
      <color rgb="FF000000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2"/>
      <color rgb="FFFF0000"/>
      <name val="Arial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FF0000"/>
      <name val="Calibri"/>
      <family val="0"/>
      <charset val="1"/>
    </font>
    <font>
      <sz val="8"/>
      <color rgb="FF0000FF"/>
      <name val="Arial"/>
      <family val="0"/>
      <charset val="1"/>
    </font>
    <font>
      <b val="true"/>
      <sz val="6"/>
      <color rgb="FFFFFFFF"/>
      <name val="Arial"/>
      <family val="0"/>
      <charset val="1"/>
    </font>
    <font>
      <b val="true"/>
      <sz val="15"/>
      <color rgb="FF000000"/>
      <name val="Calibri"/>
      <family val="0"/>
      <charset val="1"/>
    </font>
    <font>
      <b val="true"/>
      <sz val="10"/>
      <color rgb="FFFF0000"/>
      <name val="Calibri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CC0000"/>
      <name val="Arial"/>
      <family val="0"/>
      <charset val="1"/>
    </font>
    <font>
      <b val="true"/>
      <sz val="14"/>
      <color rgb="FFCC0000"/>
      <name val="Times New Roman"/>
      <family val="0"/>
      <charset val="1"/>
    </font>
    <font>
      <sz val="14"/>
      <color rgb="FF000000"/>
      <name val="Times New Roman"/>
      <family val="0"/>
      <charset val="1"/>
    </font>
    <font>
      <b val="true"/>
      <sz val="15"/>
      <color rgb="FF000000"/>
      <name val="Arial"/>
      <family val="0"/>
      <charset val="1"/>
    </font>
    <font>
      <b val="true"/>
      <i val="true"/>
      <sz val="14"/>
      <color rgb="FF000000"/>
      <name val="Arial"/>
      <family val="0"/>
      <charset val="1"/>
    </font>
    <font>
      <sz val="36"/>
      <color rgb="FF000000"/>
      <name val="Times New Roman"/>
      <family val="0"/>
      <charset val="1"/>
    </font>
    <font>
      <sz val="11"/>
      <color rgb="FF000000"/>
      <name val="Times New Roman"/>
      <family val="0"/>
      <charset val="1"/>
    </font>
    <font>
      <b val="true"/>
      <sz val="11"/>
      <color rgb="FFFF0000"/>
      <name val="Times New Roman"/>
      <family val="0"/>
      <charset val="1"/>
    </font>
    <font>
      <sz val="11"/>
      <color rgb="FFFF0000"/>
      <name val="Times New Roman"/>
      <family val="0"/>
      <charset val="1"/>
    </font>
    <font>
      <sz val="11"/>
      <color rgb="FFFF0000"/>
      <name val="Calibri"/>
      <family val="0"/>
      <charset val="1"/>
    </font>
    <font>
      <sz val="26"/>
      <color rgb="FF000000"/>
      <name val="Times New Roman"/>
      <family val="0"/>
      <charset val="1"/>
    </font>
    <font>
      <sz val="24"/>
      <color rgb="FF000000"/>
      <name val="Times New Roman"/>
      <family val="0"/>
      <charset val="1"/>
    </font>
    <font>
      <sz val="10"/>
      <color rgb="FF000000"/>
      <name val="Times New Roman"/>
      <family val="0"/>
      <charset val="1"/>
    </font>
    <font>
      <b val="true"/>
      <sz val="9"/>
      <color rgb="FF000000"/>
      <name val="Arial"/>
      <family val="0"/>
      <charset val="1"/>
    </font>
    <font>
      <sz val="10"/>
      <color rgb="FF000000"/>
      <name val="Arial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FFFFFF"/>
        <bgColor rgb="FFF3F3F3"/>
      </patternFill>
    </fill>
    <fill>
      <patternFill patternType="solid">
        <fgColor rgb="FFC0C0C0"/>
        <bgColor rgb="FFB7B7B7"/>
      </patternFill>
    </fill>
    <fill>
      <patternFill patternType="solid">
        <fgColor rgb="FFEFEFEF"/>
        <bgColor rgb="FFF3F3F3"/>
      </patternFill>
    </fill>
    <fill>
      <patternFill patternType="solid">
        <fgColor rgb="FF999999"/>
        <bgColor rgb="FFB7B7B7"/>
      </patternFill>
    </fill>
    <fill>
      <patternFill patternType="solid">
        <fgColor rgb="FFF3F3F3"/>
        <bgColor rgb="FFEFEFEF"/>
      </patternFill>
    </fill>
    <fill>
      <patternFill patternType="solid">
        <fgColor rgb="FFFFFF99"/>
        <bgColor rgb="FFFFFF66"/>
      </patternFill>
    </fill>
    <fill>
      <patternFill patternType="solid">
        <fgColor rgb="FFFFFF00"/>
        <bgColor rgb="FFFFFF66"/>
      </patternFill>
    </fill>
    <fill>
      <patternFill patternType="solid">
        <fgColor rgb="FFFCE5CD"/>
        <bgColor rgb="FFEFEFEF"/>
      </patternFill>
    </fill>
    <fill>
      <patternFill patternType="solid">
        <fgColor rgb="FF008000"/>
        <bgColor rgb="FF008080"/>
      </patternFill>
    </fill>
    <fill>
      <patternFill patternType="solid">
        <fgColor rgb="FFFF0000"/>
        <bgColor rgb="FFCC0000"/>
      </patternFill>
    </fill>
    <fill>
      <patternFill patternType="solid">
        <fgColor rgb="FFD9D9D9"/>
        <bgColor rgb="FFEAD1DC"/>
      </patternFill>
    </fill>
    <fill>
      <patternFill patternType="solid">
        <fgColor rgb="FF66CC00"/>
        <bgColor rgb="FF93C47D"/>
      </patternFill>
    </fill>
    <fill>
      <patternFill patternType="solid">
        <fgColor rgb="FF99CCFF"/>
        <bgColor rgb="FFC0C0C0"/>
      </patternFill>
    </fill>
    <fill>
      <patternFill patternType="solid">
        <fgColor rgb="FF93C47D"/>
        <bgColor rgb="FFB7B7B7"/>
      </patternFill>
    </fill>
    <fill>
      <patternFill patternType="solid">
        <fgColor rgb="FFFE3534"/>
        <bgColor rgb="FFFF0000"/>
      </patternFill>
    </fill>
    <fill>
      <patternFill patternType="solid">
        <fgColor rgb="FFB7B7B7"/>
        <bgColor rgb="FFC0C0C0"/>
      </patternFill>
    </fill>
    <fill>
      <patternFill patternType="solid">
        <fgColor rgb="FFEAD1DC"/>
        <bgColor rgb="FFD9D9D9"/>
      </patternFill>
    </fill>
    <fill>
      <patternFill patternType="solid">
        <fgColor rgb="FF00FF00"/>
        <bgColor rgb="FF66CC00"/>
      </patternFill>
    </fill>
    <fill>
      <patternFill patternType="solid">
        <fgColor rgb="FFFFFF66"/>
        <bgColor rgb="FFFFFF99"/>
      </patternFill>
    </fill>
    <fill>
      <patternFill patternType="solid">
        <fgColor rgb="FFCCCCCC"/>
        <bgColor rgb="FFC0C0C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>
        <color rgb="FF1A1A1A"/>
      </left>
      <right style="thin">
        <color rgb="FF1A1A1A"/>
      </right>
      <top style="thin">
        <color rgb="FF1A1A1A"/>
      </top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1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4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9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30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0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1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2" fillId="1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19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19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1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8" fillId="0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9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9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9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3" fillId="2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4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4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0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4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1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2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7" fillId="21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21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5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7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7" fillId="0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7" fillId="21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5B0F00"/>
      <rgbColor rgb="FF008000"/>
      <rgbColor rgb="FF000080"/>
      <rgbColor rgb="FF808000"/>
      <rgbColor rgb="FF800080"/>
      <rgbColor rgb="FF008080"/>
      <rgbColor rgb="FFC0C0C0"/>
      <rgbColor rgb="FF93C47D"/>
      <rgbColor rgb="FF9999FF"/>
      <rgbColor rgb="FF993366"/>
      <rgbColor rgb="FFF3F3F3"/>
      <rgbColor rgb="FFEFEFEF"/>
      <rgbColor rgb="FF660066"/>
      <rgbColor rgb="FFFF8080"/>
      <rgbColor rgb="FF0066CC"/>
      <rgbColor rgb="FFCCCCCC"/>
      <rgbColor rgb="FF000080"/>
      <rgbColor rgb="FFFF00FF"/>
      <rgbColor rgb="FFFFFF66"/>
      <rgbColor rgb="FF00FFFF"/>
      <rgbColor rgb="FF800080"/>
      <rgbColor rgb="FFCC0000"/>
      <rgbColor rgb="FF008080"/>
      <rgbColor rgb="FF0000FF"/>
      <rgbColor rgb="FF00CCFF"/>
      <rgbColor rgb="FFFCE5CD"/>
      <rgbColor rgb="FFD9D9D9"/>
      <rgbColor rgb="FFFFFF99"/>
      <rgbColor rgb="FF99CCFF"/>
      <rgbColor rgb="FFFF99CC"/>
      <rgbColor rgb="FFB7B7B7"/>
      <rgbColor rgb="FFEAD1DC"/>
      <rgbColor rgb="FF3366FF"/>
      <rgbColor rgb="FF33CCCC"/>
      <rgbColor rgb="FF66CC00"/>
      <rgbColor rgb="FFFFCC00"/>
      <rgbColor rgb="FFFF9900"/>
      <rgbColor rgb="FFFE3534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G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B5" activeCellId="0" sqref="B5"/>
    </sheetView>
  </sheetViews>
  <sheetFormatPr defaultRowHeight="15" zeroHeight="false" outlineLevelRow="0" outlineLevelCol="0"/>
  <cols>
    <col collapsed="false" customWidth="true" hidden="false" outlineLevel="0" max="1" min="1" style="0" width="13.13"/>
    <col collapsed="false" customWidth="true" hidden="false" outlineLevel="0" max="2" min="2" style="0" width="11.86"/>
    <col collapsed="false" customWidth="true" hidden="false" outlineLevel="0" max="3" min="3" style="0" width="12.42"/>
    <col collapsed="false" customWidth="true" hidden="false" outlineLevel="0" max="4" min="4" style="0" width="12"/>
    <col collapsed="false" customWidth="true" hidden="false" outlineLevel="0" max="5" min="5" style="0" width="17.71"/>
    <col collapsed="false" customWidth="true" hidden="false" outlineLevel="0" max="107" min="6" style="0" width="4.29"/>
    <col collapsed="false" customWidth="true" hidden="false" outlineLevel="0" max="108" min="108" style="0" width="10.29"/>
    <col collapsed="false" customWidth="true" hidden="false" outlineLevel="0" max="110" min="109" style="0" width="10.42"/>
    <col collapsed="false" customWidth="true" hidden="false" outlineLevel="0" max="111" min="111" style="0" width="10.13"/>
    <col collapsed="false" customWidth="true" hidden="false" outlineLevel="0" max="213" min="112" style="0" width="4.29"/>
    <col collapsed="false" customWidth="true" hidden="false" outlineLevel="0" max="214" min="214" style="0" width="10.29"/>
    <col collapsed="false" customWidth="true" hidden="false" outlineLevel="0" max="215" min="215" style="0" width="8.71"/>
    <col collapsed="false" customWidth="true" hidden="false" outlineLevel="0" max="216" min="216" style="0" width="10"/>
    <col collapsed="false" customWidth="true" hidden="false" outlineLevel="0" max="217" min="217" style="0" width="10.71"/>
    <col collapsed="false" customWidth="true" hidden="false" outlineLevel="0" max="241" min="218" style="0" width="13.86"/>
    <col collapsed="false" customWidth="true" hidden="false" outlineLevel="0" max="1025" min="242" style="0" width="14.42"/>
  </cols>
  <sheetData>
    <row r="1" customFormat="false" ht="15" hidden="false" customHeight="false" outlineLevel="0" collapsed="false">
      <c r="A1" s="1"/>
      <c r="B1" s="2"/>
      <c r="C1" s="1"/>
      <c r="D1" s="1"/>
      <c r="E1" s="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</row>
    <row r="2" customFormat="false" ht="31.5" hidden="false" customHeight="true" outlineLevel="0" collapsed="false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6" t="s">
        <v>5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7" t="s">
        <v>6</v>
      </c>
      <c r="DG2" s="7"/>
      <c r="DH2" s="6" t="s">
        <v>7</v>
      </c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7" t="s">
        <v>6</v>
      </c>
      <c r="HI2" s="7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</row>
    <row r="3" customFormat="false" ht="15" hidden="false" customHeight="true" outlineLevel="0" collapsed="false">
      <c r="A3" s="5"/>
      <c r="B3" s="5"/>
      <c r="C3" s="5"/>
      <c r="D3" s="5"/>
      <c r="E3" s="5"/>
      <c r="F3" s="9" t="s">
        <v>8</v>
      </c>
      <c r="G3" s="9"/>
      <c r="H3" s="9"/>
      <c r="I3" s="9"/>
      <c r="J3" s="9"/>
      <c r="K3" s="9"/>
      <c r="L3" s="9"/>
      <c r="M3" s="9"/>
      <c r="N3" s="9" t="s">
        <v>9</v>
      </c>
      <c r="O3" s="9"/>
      <c r="P3" s="9"/>
      <c r="Q3" s="9"/>
      <c r="R3" s="9"/>
      <c r="S3" s="9"/>
      <c r="T3" s="9"/>
      <c r="U3" s="9"/>
      <c r="V3" s="9" t="s">
        <v>10</v>
      </c>
      <c r="W3" s="9"/>
      <c r="X3" s="9"/>
      <c r="Y3" s="9"/>
      <c r="Z3" s="9"/>
      <c r="AA3" s="9"/>
      <c r="AB3" s="9"/>
      <c r="AC3" s="9"/>
      <c r="AD3" s="9" t="s">
        <v>11</v>
      </c>
      <c r="AE3" s="9"/>
      <c r="AF3" s="9"/>
      <c r="AG3" s="9"/>
      <c r="AH3" s="9"/>
      <c r="AI3" s="9"/>
      <c r="AJ3" s="9"/>
      <c r="AK3" s="9"/>
      <c r="AL3" s="9"/>
      <c r="AM3" s="9"/>
      <c r="AN3" s="9" t="s">
        <v>12</v>
      </c>
      <c r="AO3" s="9"/>
      <c r="AP3" s="9"/>
      <c r="AQ3" s="9"/>
      <c r="AR3" s="9"/>
      <c r="AS3" s="9"/>
      <c r="AT3" s="9"/>
      <c r="AU3" s="9"/>
      <c r="AV3" s="9" t="s">
        <v>13</v>
      </c>
      <c r="AW3" s="9"/>
      <c r="AX3" s="9"/>
      <c r="AY3" s="9"/>
      <c r="AZ3" s="9"/>
      <c r="BA3" s="9"/>
      <c r="BB3" s="9"/>
      <c r="BC3" s="9"/>
      <c r="BD3" s="9" t="s">
        <v>14</v>
      </c>
      <c r="BE3" s="9"/>
      <c r="BF3" s="9"/>
      <c r="BG3" s="9"/>
      <c r="BH3" s="9"/>
      <c r="BI3" s="9"/>
      <c r="BJ3" s="9"/>
      <c r="BK3" s="9"/>
      <c r="BL3" s="9"/>
      <c r="BM3" s="9"/>
      <c r="BN3" s="9" t="s">
        <v>15</v>
      </c>
      <c r="BO3" s="9"/>
      <c r="BP3" s="9"/>
      <c r="BQ3" s="9"/>
      <c r="BR3" s="9"/>
      <c r="BS3" s="9"/>
      <c r="BT3" s="9"/>
      <c r="BU3" s="9"/>
      <c r="BV3" s="9" t="s">
        <v>16</v>
      </c>
      <c r="BW3" s="9"/>
      <c r="BX3" s="9"/>
      <c r="BY3" s="9"/>
      <c r="BZ3" s="9"/>
      <c r="CA3" s="9"/>
      <c r="CB3" s="9"/>
      <c r="CC3" s="9"/>
      <c r="CD3" s="9" t="s">
        <v>17</v>
      </c>
      <c r="CE3" s="9"/>
      <c r="CF3" s="9"/>
      <c r="CG3" s="9"/>
      <c r="CH3" s="9"/>
      <c r="CI3" s="9"/>
      <c r="CJ3" s="9"/>
      <c r="CK3" s="9"/>
      <c r="CL3" s="9" t="s">
        <v>18</v>
      </c>
      <c r="CM3" s="9"/>
      <c r="CN3" s="9"/>
      <c r="CO3" s="9"/>
      <c r="CP3" s="9"/>
      <c r="CQ3" s="9"/>
      <c r="CR3" s="9"/>
      <c r="CS3" s="9"/>
      <c r="CT3" s="9" t="s">
        <v>19</v>
      </c>
      <c r="CU3" s="9"/>
      <c r="CV3" s="9"/>
      <c r="CW3" s="9"/>
      <c r="CX3" s="9"/>
      <c r="CY3" s="9"/>
      <c r="CZ3" s="9"/>
      <c r="DA3" s="9"/>
      <c r="DB3" s="9"/>
      <c r="DC3" s="9"/>
      <c r="DD3" s="10" t="s">
        <v>20</v>
      </c>
      <c r="DE3" s="11" t="s">
        <v>21</v>
      </c>
      <c r="DF3" s="12" t="s">
        <v>2</v>
      </c>
      <c r="DG3" s="12" t="s">
        <v>3</v>
      </c>
      <c r="DH3" s="9" t="s">
        <v>8</v>
      </c>
      <c r="DI3" s="9"/>
      <c r="DJ3" s="9"/>
      <c r="DK3" s="9"/>
      <c r="DL3" s="9"/>
      <c r="DM3" s="9"/>
      <c r="DN3" s="9"/>
      <c r="DO3" s="9"/>
      <c r="DP3" s="9" t="s">
        <v>9</v>
      </c>
      <c r="DQ3" s="9"/>
      <c r="DR3" s="9"/>
      <c r="DS3" s="9"/>
      <c r="DT3" s="9"/>
      <c r="DU3" s="9"/>
      <c r="DV3" s="9"/>
      <c r="DW3" s="9"/>
      <c r="DX3" s="9" t="s">
        <v>10</v>
      </c>
      <c r="DY3" s="9"/>
      <c r="DZ3" s="9"/>
      <c r="EA3" s="9"/>
      <c r="EB3" s="9"/>
      <c r="EC3" s="9"/>
      <c r="ED3" s="9"/>
      <c r="EE3" s="9"/>
      <c r="EF3" s="9" t="s">
        <v>11</v>
      </c>
      <c r="EG3" s="9"/>
      <c r="EH3" s="9"/>
      <c r="EI3" s="9"/>
      <c r="EJ3" s="9"/>
      <c r="EK3" s="9"/>
      <c r="EL3" s="9"/>
      <c r="EM3" s="9"/>
      <c r="EN3" s="9"/>
      <c r="EO3" s="9"/>
      <c r="EP3" s="9" t="s">
        <v>12</v>
      </c>
      <c r="EQ3" s="9"/>
      <c r="ER3" s="9"/>
      <c r="ES3" s="9"/>
      <c r="ET3" s="9"/>
      <c r="EU3" s="9"/>
      <c r="EV3" s="9"/>
      <c r="EW3" s="9"/>
      <c r="EX3" s="9" t="s">
        <v>13</v>
      </c>
      <c r="EY3" s="9"/>
      <c r="EZ3" s="9"/>
      <c r="FA3" s="9"/>
      <c r="FB3" s="9"/>
      <c r="FC3" s="9"/>
      <c r="FD3" s="9"/>
      <c r="FE3" s="9"/>
      <c r="FF3" s="9" t="s">
        <v>14</v>
      </c>
      <c r="FG3" s="9"/>
      <c r="FH3" s="9"/>
      <c r="FI3" s="9"/>
      <c r="FJ3" s="9"/>
      <c r="FK3" s="9"/>
      <c r="FL3" s="9"/>
      <c r="FM3" s="9"/>
      <c r="FN3" s="9"/>
      <c r="FO3" s="9"/>
      <c r="FP3" s="9" t="s">
        <v>15</v>
      </c>
      <c r="FQ3" s="9"/>
      <c r="FR3" s="9"/>
      <c r="FS3" s="9"/>
      <c r="FT3" s="9"/>
      <c r="FU3" s="9"/>
      <c r="FV3" s="9"/>
      <c r="FW3" s="9"/>
      <c r="FX3" s="9" t="s">
        <v>16</v>
      </c>
      <c r="FY3" s="9"/>
      <c r="FZ3" s="9"/>
      <c r="GA3" s="9"/>
      <c r="GB3" s="9"/>
      <c r="GC3" s="9"/>
      <c r="GD3" s="9"/>
      <c r="GE3" s="9"/>
      <c r="GF3" s="9" t="s">
        <v>17</v>
      </c>
      <c r="GG3" s="9"/>
      <c r="GH3" s="9"/>
      <c r="GI3" s="9"/>
      <c r="GJ3" s="9"/>
      <c r="GK3" s="9"/>
      <c r="GL3" s="9"/>
      <c r="GM3" s="9"/>
      <c r="GN3" s="9" t="s">
        <v>18</v>
      </c>
      <c r="GO3" s="9"/>
      <c r="GP3" s="9"/>
      <c r="GQ3" s="9"/>
      <c r="GR3" s="9"/>
      <c r="GS3" s="9"/>
      <c r="GT3" s="9"/>
      <c r="GU3" s="9"/>
      <c r="GV3" s="9" t="s">
        <v>19</v>
      </c>
      <c r="GW3" s="9"/>
      <c r="GX3" s="9"/>
      <c r="GY3" s="9"/>
      <c r="GZ3" s="9"/>
      <c r="HA3" s="9"/>
      <c r="HB3" s="9"/>
      <c r="HC3" s="9"/>
      <c r="HD3" s="9"/>
      <c r="HE3" s="9"/>
      <c r="HF3" s="10" t="s">
        <v>20</v>
      </c>
      <c r="HG3" s="11" t="s">
        <v>22</v>
      </c>
      <c r="HH3" s="12" t="s">
        <v>2</v>
      </c>
      <c r="HI3" s="13" t="s">
        <v>3</v>
      </c>
      <c r="HJ3" s="14"/>
      <c r="HK3" s="14"/>
      <c r="HL3" s="14"/>
      <c r="HM3" s="14"/>
      <c r="HN3" s="14"/>
      <c r="HO3" s="14"/>
      <c r="HP3" s="14"/>
      <c r="HQ3" s="14"/>
      <c r="HR3" s="14"/>
      <c r="HS3" s="14"/>
      <c r="HT3" s="14"/>
      <c r="HU3" s="14"/>
      <c r="HV3" s="14"/>
      <c r="HW3" s="14"/>
      <c r="HX3" s="14"/>
      <c r="HY3" s="14"/>
      <c r="HZ3" s="14"/>
      <c r="IA3" s="14"/>
      <c r="IB3" s="14"/>
      <c r="IC3" s="14"/>
      <c r="ID3" s="14"/>
      <c r="IE3" s="14"/>
      <c r="IF3" s="14"/>
      <c r="IG3" s="14"/>
    </row>
    <row r="4" customFormat="false" ht="15" hidden="false" customHeight="false" outlineLevel="0" collapsed="false">
      <c r="A4" s="15"/>
      <c r="B4" s="15"/>
      <c r="C4" s="15"/>
      <c r="D4" s="15"/>
      <c r="E4" s="15"/>
      <c r="F4" s="16" t="s">
        <v>23</v>
      </c>
      <c r="G4" s="16"/>
      <c r="H4" s="16" t="s">
        <v>24</v>
      </c>
      <c r="I4" s="16"/>
      <c r="J4" s="16" t="s">
        <v>25</v>
      </c>
      <c r="K4" s="16"/>
      <c r="L4" s="16" t="s">
        <v>26</v>
      </c>
      <c r="M4" s="16"/>
      <c r="N4" s="16" t="s">
        <v>27</v>
      </c>
      <c r="O4" s="16"/>
      <c r="P4" s="16" t="s">
        <v>28</v>
      </c>
      <c r="Q4" s="16"/>
      <c r="R4" s="16" t="s">
        <v>29</v>
      </c>
      <c r="S4" s="16"/>
      <c r="T4" s="16" t="s">
        <v>30</v>
      </c>
      <c r="U4" s="16"/>
      <c r="V4" s="16" t="s">
        <v>27</v>
      </c>
      <c r="W4" s="16"/>
      <c r="X4" s="16" t="s">
        <v>28</v>
      </c>
      <c r="Y4" s="16"/>
      <c r="Z4" s="16" t="s">
        <v>29</v>
      </c>
      <c r="AA4" s="16"/>
      <c r="AB4" s="16" t="s">
        <v>31</v>
      </c>
      <c r="AC4" s="16"/>
      <c r="AD4" s="17" t="s">
        <v>32</v>
      </c>
      <c r="AE4" s="17"/>
      <c r="AF4" s="17" t="s">
        <v>33</v>
      </c>
      <c r="AG4" s="17"/>
      <c r="AH4" s="18" t="s">
        <v>34</v>
      </c>
      <c r="AI4" s="18"/>
      <c r="AJ4" s="18" t="s">
        <v>35</v>
      </c>
      <c r="AK4" s="18"/>
      <c r="AL4" s="18" t="s">
        <v>36</v>
      </c>
      <c r="AM4" s="18"/>
      <c r="AN4" s="19" t="s">
        <v>37</v>
      </c>
      <c r="AO4" s="19"/>
      <c r="AP4" s="19" t="s">
        <v>38</v>
      </c>
      <c r="AQ4" s="19"/>
      <c r="AR4" s="19" t="s">
        <v>39</v>
      </c>
      <c r="AS4" s="19"/>
      <c r="AT4" s="19" t="s">
        <v>40</v>
      </c>
      <c r="AU4" s="19"/>
      <c r="AV4" s="19" t="s">
        <v>41</v>
      </c>
      <c r="AW4" s="19"/>
      <c r="AX4" s="19" t="s">
        <v>42</v>
      </c>
      <c r="AY4" s="19"/>
      <c r="AZ4" s="19" t="s">
        <v>43</v>
      </c>
      <c r="BA4" s="19"/>
      <c r="BB4" s="19" t="s">
        <v>44</v>
      </c>
      <c r="BC4" s="19"/>
      <c r="BD4" s="19" t="s">
        <v>32</v>
      </c>
      <c r="BE4" s="19"/>
      <c r="BF4" s="19" t="s">
        <v>33</v>
      </c>
      <c r="BG4" s="19"/>
      <c r="BH4" s="19" t="s">
        <v>34</v>
      </c>
      <c r="BI4" s="19"/>
      <c r="BJ4" s="19" t="s">
        <v>35</v>
      </c>
      <c r="BK4" s="19"/>
      <c r="BL4" s="19" t="s">
        <v>45</v>
      </c>
      <c r="BM4" s="19"/>
      <c r="BN4" s="19" t="s">
        <v>46</v>
      </c>
      <c r="BO4" s="19"/>
      <c r="BP4" s="19" t="s">
        <v>47</v>
      </c>
      <c r="BQ4" s="19"/>
      <c r="BR4" s="19" t="s">
        <v>48</v>
      </c>
      <c r="BS4" s="19"/>
      <c r="BT4" s="19" t="s">
        <v>49</v>
      </c>
      <c r="BU4" s="19"/>
      <c r="BV4" s="19" t="s">
        <v>50</v>
      </c>
      <c r="BW4" s="19"/>
      <c r="BX4" s="19" t="s">
        <v>51</v>
      </c>
      <c r="BY4" s="19"/>
      <c r="BZ4" s="19" t="s">
        <v>52</v>
      </c>
      <c r="CA4" s="19"/>
      <c r="CB4" s="19" t="s">
        <v>53</v>
      </c>
      <c r="CC4" s="19"/>
      <c r="CD4" s="19" t="s">
        <v>23</v>
      </c>
      <c r="CE4" s="19"/>
      <c r="CF4" s="19" t="s">
        <v>24</v>
      </c>
      <c r="CG4" s="19"/>
      <c r="CH4" s="19" t="s">
        <v>25</v>
      </c>
      <c r="CI4" s="19"/>
      <c r="CJ4" s="19" t="s">
        <v>26</v>
      </c>
      <c r="CK4" s="19"/>
      <c r="CL4" s="19" t="s">
        <v>27</v>
      </c>
      <c r="CM4" s="19"/>
      <c r="CN4" s="19" t="s">
        <v>28</v>
      </c>
      <c r="CO4" s="19"/>
      <c r="CP4" s="19" t="s">
        <v>29</v>
      </c>
      <c r="CQ4" s="19"/>
      <c r="CR4" s="19" t="s">
        <v>54</v>
      </c>
      <c r="CS4" s="19"/>
      <c r="CT4" s="19" t="s">
        <v>50</v>
      </c>
      <c r="CU4" s="19"/>
      <c r="CV4" s="19" t="s">
        <v>51</v>
      </c>
      <c r="CW4" s="19"/>
      <c r="CX4" s="19" t="s">
        <v>52</v>
      </c>
      <c r="CY4" s="19"/>
      <c r="CZ4" s="19" t="s">
        <v>55</v>
      </c>
      <c r="DA4" s="19"/>
      <c r="DB4" s="19" t="s">
        <v>56</v>
      </c>
      <c r="DC4" s="19"/>
      <c r="DD4" s="10"/>
      <c r="DE4" s="10"/>
      <c r="DF4" s="10"/>
      <c r="DG4" s="10"/>
      <c r="DH4" s="16" t="s">
        <v>23</v>
      </c>
      <c r="DI4" s="16"/>
      <c r="DJ4" s="16" t="s">
        <v>24</v>
      </c>
      <c r="DK4" s="16"/>
      <c r="DL4" s="16" t="s">
        <v>25</v>
      </c>
      <c r="DM4" s="16"/>
      <c r="DN4" s="16" t="s">
        <v>26</v>
      </c>
      <c r="DO4" s="16"/>
      <c r="DP4" s="16" t="s">
        <v>27</v>
      </c>
      <c r="DQ4" s="16"/>
      <c r="DR4" s="16" t="s">
        <v>28</v>
      </c>
      <c r="DS4" s="16"/>
      <c r="DT4" s="16" t="s">
        <v>29</v>
      </c>
      <c r="DU4" s="16"/>
      <c r="DV4" s="16" t="s">
        <v>30</v>
      </c>
      <c r="DW4" s="16"/>
      <c r="DX4" s="16" t="s">
        <v>27</v>
      </c>
      <c r="DY4" s="16"/>
      <c r="DZ4" s="16" t="s">
        <v>28</v>
      </c>
      <c r="EA4" s="16"/>
      <c r="EB4" s="16" t="s">
        <v>29</v>
      </c>
      <c r="EC4" s="16"/>
      <c r="ED4" s="16" t="s">
        <v>31</v>
      </c>
      <c r="EE4" s="16"/>
      <c r="EF4" s="17" t="s">
        <v>32</v>
      </c>
      <c r="EG4" s="17"/>
      <c r="EH4" s="17" t="s">
        <v>33</v>
      </c>
      <c r="EI4" s="17"/>
      <c r="EJ4" s="18" t="s">
        <v>34</v>
      </c>
      <c r="EK4" s="18"/>
      <c r="EL4" s="18" t="s">
        <v>35</v>
      </c>
      <c r="EM4" s="18"/>
      <c r="EN4" s="18" t="s">
        <v>36</v>
      </c>
      <c r="EO4" s="18"/>
      <c r="EP4" s="19" t="s">
        <v>37</v>
      </c>
      <c r="EQ4" s="19"/>
      <c r="ER4" s="19" t="s">
        <v>38</v>
      </c>
      <c r="ES4" s="19"/>
      <c r="ET4" s="19" t="s">
        <v>39</v>
      </c>
      <c r="EU4" s="19"/>
      <c r="EV4" s="19" t="s">
        <v>40</v>
      </c>
      <c r="EW4" s="19"/>
      <c r="EX4" s="19" t="s">
        <v>41</v>
      </c>
      <c r="EY4" s="19"/>
      <c r="EZ4" s="19" t="s">
        <v>42</v>
      </c>
      <c r="FA4" s="19"/>
      <c r="FB4" s="19" t="s">
        <v>43</v>
      </c>
      <c r="FC4" s="19"/>
      <c r="FD4" s="19" t="s">
        <v>44</v>
      </c>
      <c r="FE4" s="19"/>
      <c r="FF4" s="19" t="s">
        <v>32</v>
      </c>
      <c r="FG4" s="19"/>
      <c r="FH4" s="19" t="s">
        <v>33</v>
      </c>
      <c r="FI4" s="19"/>
      <c r="FJ4" s="19" t="s">
        <v>34</v>
      </c>
      <c r="FK4" s="19"/>
      <c r="FL4" s="19" t="s">
        <v>35</v>
      </c>
      <c r="FM4" s="19"/>
      <c r="FN4" s="19" t="s">
        <v>45</v>
      </c>
      <c r="FO4" s="19"/>
      <c r="FP4" s="19" t="s">
        <v>46</v>
      </c>
      <c r="FQ4" s="19"/>
      <c r="FR4" s="19" t="s">
        <v>47</v>
      </c>
      <c r="FS4" s="19"/>
      <c r="FT4" s="19" t="s">
        <v>48</v>
      </c>
      <c r="FU4" s="19"/>
      <c r="FV4" s="19" t="s">
        <v>49</v>
      </c>
      <c r="FW4" s="19"/>
      <c r="FX4" s="19" t="s">
        <v>50</v>
      </c>
      <c r="FY4" s="19"/>
      <c r="FZ4" s="19" t="s">
        <v>51</v>
      </c>
      <c r="GA4" s="19"/>
      <c r="GB4" s="19" t="s">
        <v>57</v>
      </c>
      <c r="GC4" s="19"/>
      <c r="GD4" s="19" t="s">
        <v>53</v>
      </c>
      <c r="GE4" s="19"/>
      <c r="GF4" s="19" t="s">
        <v>23</v>
      </c>
      <c r="GG4" s="19"/>
      <c r="GH4" s="19" t="s">
        <v>24</v>
      </c>
      <c r="GI4" s="19"/>
      <c r="GJ4" s="19" t="s">
        <v>25</v>
      </c>
      <c r="GK4" s="19"/>
      <c r="GL4" s="19" t="s">
        <v>26</v>
      </c>
      <c r="GM4" s="19"/>
      <c r="GN4" s="19" t="s">
        <v>27</v>
      </c>
      <c r="GO4" s="19"/>
      <c r="GP4" s="19" t="s">
        <v>28</v>
      </c>
      <c r="GQ4" s="19"/>
      <c r="GR4" s="19" t="s">
        <v>29</v>
      </c>
      <c r="GS4" s="19"/>
      <c r="GT4" s="19" t="s">
        <v>54</v>
      </c>
      <c r="GU4" s="19"/>
      <c r="GV4" s="19" t="s">
        <v>50</v>
      </c>
      <c r="GW4" s="19"/>
      <c r="GX4" s="19" t="s">
        <v>51</v>
      </c>
      <c r="GY4" s="19"/>
      <c r="GZ4" s="19" t="s">
        <v>52</v>
      </c>
      <c r="HA4" s="19"/>
      <c r="HB4" s="19" t="s">
        <v>55</v>
      </c>
      <c r="HC4" s="19"/>
      <c r="HD4" s="19" t="s">
        <v>56</v>
      </c>
      <c r="HE4" s="19"/>
      <c r="HF4" s="10"/>
      <c r="HG4" s="10"/>
      <c r="HH4" s="10"/>
      <c r="HI4" s="13"/>
      <c r="HJ4" s="20"/>
      <c r="HK4" s="20"/>
      <c r="HL4" s="20"/>
      <c r="HM4" s="20"/>
      <c r="HN4" s="20"/>
      <c r="HO4" s="20"/>
      <c r="HP4" s="20"/>
      <c r="HQ4" s="20"/>
      <c r="HR4" s="20"/>
      <c r="HS4" s="20"/>
      <c r="HT4" s="20"/>
      <c r="HU4" s="20"/>
      <c r="HV4" s="20"/>
      <c r="HW4" s="20"/>
      <c r="HX4" s="20"/>
      <c r="HY4" s="20"/>
      <c r="HZ4" s="20"/>
      <c r="IA4" s="20"/>
      <c r="IB4" s="20"/>
      <c r="IC4" s="20"/>
      <c r="ID4" s="20"/>
      <c r="IE4" s="20"/>
      <c r="IF4" s="20"/>
      <c r="IG4" s="20"/>
    </row>
    <row r="5" customFormat="false" ht="18.75" hidden="false" customHeight="true" outlineLevel="0" collapsed="false">
      <c r="A5" s="21" t="s">
        <v>58</v>
      </c>
      <c r="B5" s="22" t="s">
        <v>59</v>
      </c>
      <c r="C5" s="22" t="s">
        <v>60</v>
      </c>
      <c r="D5" s="22" t="s">
        <v>61</v>
      </c>
      <c r="E5" s="23" t="s">
        <v>62</v>
      </c>
      <c r="F5" s="24" t="n">
        <v>0</v>
      </c>
      <c r="G5" s="25" t="n">
        <v>0</v>
      </c>
      <c r="H5" s="24" t="n">
        <v>0</v>
      </c>
      <c r="I5" s="25" t="n">
        <v>0</v>
      </c>
      <c r="J5" s="24" t="n">
        <v>0</v>
      </c>
      <c r="K5" s="25" t="n">
        <v>0</v>
      </c>
      <c r="L5" s="24" t="n">
        <v>0</v>
      </c>
      <c r="M5" s="25" t="n">
        <v>0</v>
      </c>
      <c r="N5" s="24" t="n">
        <v>0</v>
      </c>
      <c r="O5" s="25" t="n">
        <v>0</v>
      </c>
      <c r="P5" s="24" t="n">
        <v>0</v>
      </c>
      <c r="Q5" s="25" t="n">
        <v>0</v>
      </c>
      <c r="R5" s="24" t="n">
        <v>0</v>
      </c>
      <c r="S5" s="25" t="n">
        <v>0</v>
      </c>
      <c r="T5" s="24" t="n">
        <v>0</v>
      </c>
      <c r="U5" s="25" t="n">
        <v>0</v>
      </c>
      <c r="V5" s="24" t="n">
        <v>0</v>
      </c>
      <c r="W5" s="25" t="n">
        <v>0</v>
      </c>
      <c r="X5" s="24" t="n">
        <v>0</v>
      </c>
      <c r="Y5" s="25" t="n">
        <v>0</v>
      </c>
      <c r="Z5" s="24" t="n">
        <v>0</v>
      </c>
      <c r="AA5" s="25" t="n">
        <v>0</v>
      </c>
      <c r="AB5" s="24" t="n">
        <v>0</v>
      </c>
      <c r="AC5" s="25" t="n">
        <v>0</v>
      </c>
      <c r="AD5" s="24" t="n">
        <v>0</v>
      </c>
      <c r="AE5" s="25" t="n">
        <v>0</v>
      </c>
      <c r="AF5" s="24" t="n">
        <v>0</v>
      </c>
      <c r="AG5" s="25" t="n">
        <v>0</v>
      </c>
      <c r="AH5" s="24" t="n">
        <v>0</v>
      </c>
      <c r="AI5" s="25" t="n">
        <v>0</v>
      </c>
      <c r="AJ5" s="24" t="n">
        <v>0</v>
      </c>
      <c r="AK5" s="25" t="n">
        <v>0</v>
      </c>
      <c r="AL5" s="24" t="n">
        <v>0</v>
      </c>
      <c r="AM5" s="25" t="n">
        <v>0</v>
      </c>
      <c r="AN5" s="24" t="n">
        <v>0</v>
      </c>
      <c r="AO5" s="25" t="n">
        <v>0</v>
      </c>
      <c r="AP5" s="24" t="n">
        <v>0</v>
      </c>
      <c r="AQ5" s="25" t="n">
        <v>0</v>
      </c>
      <c r="AR5" s="24" t="n">
        <v>0</v>
      </c>
      <c r="AS5" s="25" t="n">
        <v>0</v>
      </c>
      <c r="AT5" s="24" t="n">
        <v>0</v>
      </c>
      <c r="AU5" s="25" t="n">
        <v>0</v>
      </c>
      <c r="AV5" s="24" t="n">
        <v>0</v>
      </c>
      <c r="AW5" s="25" t="n">
        <v>0</v>
      </c>
      <c r="AX5" s="24" t="n">
        <v>0</v>
      </c>
      <c r="AY5" s="25" t="n">
        <v>0</v>
      </c>
      <c r="AZ5" s="24" t="n">
        <v>0</v>
      </c>
      <c r="BA5" s="25" t="n">
        <v>0</v>
      </c>
      <c r="BB5" s="26" t="n">
        <v>0</v>
      </c>
      <c r="BC5" s="25" t="n">
        <v>0</v>
      </c>
      <c r="BD5" s="24" t="n">
        <v>0</v>
      </c>
      <c r="BE5" s="25" t="n">
        <v>0</v>
      </c>
      <c r="BF5" s="24" t="n">
        <v>0</v>
      </c>
      <c r="BG5" s="25" t="n">
        <v>0</v>
      </c>
      <c r="BH5" s="24" t="n">
        <v>0.85</v>
      </c>
      <c r="BI5" s="25" t="n">
        <v>5</v>
      </c>
      <c r="BJ5" s="24" t="n">
        <v>14.65</v>
      </c>
      <c r="BK5" s="25" t="n">
        <v>1.15</v>
      </c>
      <c r="BL5" s="24" t="n">
        <v>5.85</v>
      </c>
      <c r="BM5" s="27"/>
      <c r="BN5" s="26" t="n">
        <v>20</v>
      </c>
      <c r="BO5" s="27"/>
      <c r="BP5" s="26" t="n">
        <v>20</v>
      </c>
      <c r="BQ5" s="27"/>
      <c r="BR5" s="26" t="n">
        <v>7</v>
      </c>
      <c r="BS5" s="27"/>
      <c r="BT5" s="26" t="n">
        <v>25</v>
      </c>
      <c r="BU5" s="27"/>
      <c r="BV5" s="26" t="n">
        <v>0</v>
      </c>
      <c r="BW5" s="27" t="n">
        <v>0</v>
      </c>
      <c r="BX5" s="26" t="n">
        <v>20</v>
      </c>
      <c r="BY5" s="27"/>
      <c r="BZ5" s="26" t="n">
        <v>20</v>
      </c>
      <c r="CA5" s="27"/>
      <c r="CB5" s="26" t="n">
        <v>20</v>
      </c>
      <c r="CC5" s="27"/>
      <c r="CD5" s="26" t="n">
        <v>20</v>
      </c>
      <c r="CE5" s="27"/>
      <c r="CF5" s="26" t="n">
        <v>20</v>
      </c>
      <c r="CG5" s="27"/>
      <c r="CH5" s="26" t="n">
        <v>0</v>
      </c>
      <c r="CI5" s="27" t="n">
        <v>0</v>
      </c>
      <c r="CJ5" s="26" t="n">
        <v>25</v>
      </c>
      <c r="CK5" s="27"/>
      <c r="CL5" s="26" t="n">
        <v>25</v>
      </c>
      <c r="CM5" s="27"/>
      <c r="CN5" s="26" t="n">
        <v>15</v>
      </c>
      <c r="CO5" s="27"/>
      <c r="CP5" s="26" t="n">
        <v>15</v>
      </c>
      <c r="CQ5" s="27"/>
      <c r="CR5" s="26" t="n">
        <v>10</v>
      </c>
      <c r="CS5" s="27"/>
      <c r="CT5" s="26" t="n">
        <v>10</v>
      </c>
      <c r="CU5" s="27"/>
      <c r="CV5" s="26" t="n">
        <v>0</v>
      </c>
      <c r="CW5" s="27" t="n">
        <v>0</v>
      </c>
      <c r="CX5" s="26" t="n">
        <v>0</v>
      </c>
      <c r="CY5" s="27" t="n">
        <v>0</v>
      </c>
      <c r="CZ5" s="26" t="n">
        <v>5</v>
      </c>
      <c r="DA5" s="27"/>
      <c r="DB5" s="26" t="n">
        <v>5</v>
      </c>
      <c r="DC5" s="27"/>
      <c r="DD5" s="28" t="n">
        <f aca="false">SUM(F5:DC5)+BL7</f>
        <v>309.65</v>
      </c>
      <c r="DE5" s="29" t="n">
        <f aca="false">B5-DD5</f>
        <v>93.45</v>
      </c>
      <c r="DF5" s="30" t="n">
        <f aca="false">C5+DD5</f>
        <v>13336.4</v>
      </c>
      <c r="DG5" s="30" t="n">
        <f aca="false">D5+DD5</f>
        <v>10252.4</v>
      </c>
      <c r="DH5" s="26" t="n">
        <v>5</v>
      </c>
      <c r="DI5" s="27"/>
      <c r="DJ5" s="26" t="n">
        <v>5</v>
      </c>
      <c r="DK5" s="27"/>
      <c r="DL5" s="26" t="n">
        <v>5</v>
      </c>
      <c r="DM5" s="27"/>
      <c r="DN5" s="26" t="n">
        <v>5</v>
      </c>
      <c r="DO5" s="27"/>
      <c r="DP5" s="26" t="n">
        <v>10</v>
      </c>
      <c r="DQ5" s="27"/>
      <c r="DR5" s="26" t="n">
        <v>10</v>
      </c>
      <c r="DS5" s="27"/>
      <c r="DT5" s="26" t="n">
        <v>10</v>
      </c>
      <c r="DU5" s="27"/>
      <c r="DV5" s="26" t="n">
        <v>10</v>
      </c>
      <c r="DW5" s="27"/>
      <c r="DX5" s="26" t="n">
        <v>10</v>
      </c>
      <c r="DY5" s="27"/>
      <c r="DZ5" s="26" t="n">
        <v>10</v>
      </c>
      <c r="EA5" s="27"/>
      <c r="EB5" s="26" t="n">
        <v>5</v>
      </c>
      <c r="EC5" s="27"/>
      <c r="ED5" s="26" t="n">
        <v>5</v>
      </c>
      <c r="EE5" s="27"/>
      <c r="EF5" s="26" t="n">
        <v>0</v>
      </c>
      <c r="EG5" s="27" t="n">
        <v>0</v>
      </c>
      <c r="EH5" s="26" t="n">
        <v>0</v>
      </c>
      <c r="EI5" s="27" t="n">
        <v>0</v>
      </c>
      <c r="EJ5" s="26" t="n">
        <v>0</v>
      </c>
      <c r="EK5" s="27" t="n">
        <v>0</v>
      </c>
      <c r="EL5" s="26" t="n">
        <v>0</v>
      </c>
      <c r="EM5" s="27" t="n">
        <v>0</v>
      </c>
      <c r="EN5" s="26" t="n">
        <v>0</v>
      </c>
      <c r="EO5" s="27" t="n">
        <v>0</v>
      </c>
      <c r="EP5" s="26" t="n">
        <v>10</v>
      </c>
      <c r="EQ5" s="27"/>
      <c r="ER5" s="26" t="n">
        <v>15</v>
      </c>
      <c r="ES5" s="27"/>
      <c r="ET5" s="26" t="n">
        <v>15</v>
      </c>
      <c r="EU5" s="27"/>
      <c r="EV5" s="26" t="n">
        <v>10</v>
      </c>
      <c r="EW5" s="27"/>
      <c r="EX5" s="26" t="n">
        <v>10</v>
      </c>
      <c r="EY5" s="27"/>
      <c r="EZ5" s="26" t="n">
        <v>25</v>
      </c>
      <c r="FA5" s="27"/>
      <c r="FB5" s="26" t="n">
        <v>15</v>
      </c>
      <c r="FC5" s="27"/>
      <c r="FD5" s="26" t="n">
        <v>0</v>
      </c>
      <c r="FE5" s="27" t="n">
        <v>0</v>
      </c>
      <c r="FF5" s="26" t="n">
        <v>10</v>
      </c>
      <c r="FG5" s="27"/>
      <c r="FH5" s="26" t="n">
        <v>10</v>
      </c>
      <c r="FI5" s="27"/>
      <c r="FJ5" s="26" t="n">
        <v>10</v>
      </c>
      <c r="FK5" s="27"/>
      <c r="FL5" s="26" t="n">
        <v>10</v>
      </c>
      <c r="FM5" s="27"/>
      <c r="FN5" s="26" t="n">
        <v>25</v>
      </c>
      <c r="FO5" s="27"/>
      <c r="FP5" s="26" t="n">
        <v>10</v>
      </c>
      <c r="FQ5" s="27"/>
      <c r="FR5" s="26" t="n">
        <v>15</v>
      </c>
      <c r="FS5" s="27"/>
      <c r="FT5" s="26" t="n">
        <v>10</v>
      </c>
      <c r="FU5" s="27"/>
      <c r="FV5" s="26" t="n">
        <v>0</v>
      </c>
      <c r="FW5" s="27" t="n">
        <v>0</v>
      </c>
      <c r="FX5" s="26" t="n">
        <v>10</v>
      </c>
      <c r="FY5" s="27"/>
      <c r="FZ5" s="26" t="n">
        <v>10</v>
      </c>
      <c r="GA5" s="27"/>
      <c r="GB5" s="26" t="n">
        <v>25</v>
      </c>
      <c r="GC5" s="27"/>
      <c r="GD5" s="26" t="n">
        <v>25</v>
      </c>
      <c r="GE5" s="27"/>
      <c r="GF5" s="26" t="n">
        <v>10</v>
      </c>
      <c r="GG5" s="27"/>
      <c r="GH5" s="26" t="n">
        <v>10</v>
      </c>
      <c r="GI5" s="27"/>
      <c r="GJ5" s="26" t="n">
        <v>10</v>
      </c>
      <c r="GK5" s="27"/>
      <c r="GL5" s="26" t="n">
        <v>0</v>
      </c>
      <c r="GM5" s="27" t="n">
        <v>0</v>
      </c>
      <c r="GN5" s="26" t="n">
        <v>0</v>
      </c>
      <c r="GO5" s="27" t="n">
        <v>0</v>
      </c>
      <c r="GP5" s="26" t="n">
        <v>10</v>
      </c>
      <c r="GQ5" s="27"/>
      <c r="GR5" s="26" t="n">
        <v>20</v>
      </c>
      <c r="GS5" s="27"/>
      <c r="GT5" s="26" t="n">
        <v>10</v>
      </c>
      <c r="GU5" s="27"/>
      <c r="GV5" s="26" t="n">
        <v>10</v>
      </c>
      <c r="GW5" s="27"/>
      <c r="GX5" s="26" t="n">
        <v>10</v>
      </c>
      <c r="GY5" s="27"/>
      <c r="GZ5" s="26" t="n">
        <v>10</v>
      </c>
      <c r="HA5" s="27"/>
      <c r="HB5" s="26" t="n">
        <v>5</v>
      </c>
      <c r="HC5" s="27"/>
      <c r="HD5" s="26" t="n">
        <v>5</v>
      </c>
      <c r="HE5" s="27"/>
      <c r="HF5" s="28" t="n">
        <f aca="false">SUM(DH5:HE5)</f>
        <v>470</v>
      </c>
      <c r="HG5" s="29" t="n">
        <f aca="false">1500-SUM(EP5:HE5)</f>
        <v>1120</v>
      </c>
      <c r="HH5" s="30"/>
      <c r="HI5" s="31" t="n">
        <f aca="false">DG5+HF5</f>
        <v>10722.4</v>
      </c>
      <c r="HJ5" s="32"/>
      <c r="HK5" s="32"/>
      <c r="HL5" s="32"/>
      <c r="HM5" s="32"/>
      <c r="HN5" s="32"/>
      <c r="HO5" s="32"/>
      <c r="HP5" s="32"/>
      <c r="HQ5" s="32"/>
      <c r="HR5" s="32"/>
      <c r="HS5" s="32"/>
      <c r="HT5" s="32"/>
      <c r="HU5" s="32"/>
      <c r="HV5" s="32"/>
      <c r="HW5" s="32"/>
      <c r="HX5" s="32"/>
      <c r="HY5" s="32"/>
      <c r="HZ5" s="32"/>
      <c r="IA5" s="32"/>
      <c r="IB5" s="32"/>
      <c r="IC5" s="32"/>
      <c r="ID5" s="32"/>
      <c r="IE5" s="32"/>
      <c r="IF5" s="32"/>
      <c r="IG5" s="32"/>
    </row>
    <row r="6" customFormat="false" ht="45" hidden="false" customHeight="true" outlineLevel="0" collapsed="false">
      <c r="A6" s="21"/>
      <c r="B6" s="22"/>
      <c r="C6" s="22"/>
      <c r="D6" s="22"/>
      <c r="E6" s="23" t="s">
        <v>63</v>
      </c>
      <c r="F6" s="33" t="s">
        <v>64</v>
      </c>
      <c r="G6" s="33"/>
      <c r="H6" s="34"/>
      <c r="I6" s="34"/>
      <c r="J6" s="34"/>
      <c r="K6" s="34"/>
      <c r="L6" s="34"/>
      <c r="M6" s="34"/>
      <c r="N6" s="34"/>
      <c r="O6" s="34"/>
      <c r="P6" s="35"/>
      <c r="Q6" s="35"/>
      <c r="R6" s="34"/>
      <c r="S6" s="34"/>
      <c r="T6" s="34"/>
      <c r="U6" s="34"/>
      <c r="V6" s="34"/>
      <c r="W6" s="34"/>
      <c r="X6" s="35"/>
      <c r="Y6" s="35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3" t="s">
        <v>64</v>
      </c>
      <c r="AU6" s="33"/>
      <c r="AV6" s="33" t="s">
        <v>64</v>
      </c>
      <c r="AW6" s="33"/>
      <c r="AX6" s="33" t="s">
        <v>64</v>
      </c>
      <c r="AY6" s="33"/>
      <c r="AZ6" s="33" t="s">
        <v>64</v>
      </c>
      <c r="BA6" s="33"/>
      <c r="BB6" s="33" t="s">
        <v>64</v>
      </c>
      <c r="BC6" s="33"/>
      <c r="BD6" s="33" t="s">
        <v>65</v>
      </c>
      <c r="BE6" s="33"/>
      <c r="BF6" s="33" t="s">
        <v>66</v>
      </c>
      <c r="BG6" s="33"/>
      <c r="BH6" s="26"/>
      <c r="BI6" s="26"/>
      <c r="BJ6" s="36"/>
      <c r="BK6" s="36"/>
      <c r="BL6" s="37" t="s">
        <v>67</v>
      </c>
      <c r="BM6" s="37"/>
      <c r="BN6" s="38"/>
      <c r="BO6" s="38"/>
      <c r="BP6" s="38"/>
      <c r="BQ6" s="38"/>
      <c r="BR6" s="36"/>
      <c r="BS6" s="36"/>
      <c r="BT6" s="36"/>
      <c r="BU6" s="36"/>
      <c r="BV6" s="33" t="s">
        <v>68</v>
      </c>
      <c r="BW6" s="33"/>
      <c r="BX6" s="36"/>
      <c r="BY6" s="36"/>
      <c r="BZ6" s="38"/>
      <c r="CA6" s="38"/>
      <c r="CB6" s="38"/>
      <c r="CC6" s="38"/>
      <c r="CH6" s="33" t="s">
        <v>69</v>
      </c>
      <c r="CI6" s="33"/>
      <c r="CJ6" s="26"/>
      <c r="CK6" s="26"/>
      <c r="CL6" s="36"/>
      <c r="CM6" s="36"/>
      <c r="CN6" s="38"/>
      <c r="CO6" s="38"/>
      <c r="CV6" s="33" t="s">
        <v>70</v>
      </c>
      <c r="CW6" s="33"/>
      <c r="CX6" s="33" t="s">
        <v>70</v>
      </c>
      <c r="CY6" s="33"/>
      <c r="CZ6" s="39"/>
      <c r="DA6" s="39"/>
      <c r="DB6" s="40"/>
      <c r="DC6" s="40"/>
      <c r="DD6" s="41" t="s">
        <v>71</v>
      </c>
      <c r="DE6" s="42"/>
      <c r="DF6" s="43"/>
      <c r="DG6" s="44"/>
      <c r="DH6" s="26"/>
      <c r="DI6" s="26"/>
      <c r="DJ6" s="39"/>
      <c r="DK6" s="39"/>
      <c r="DL6" s="26"/>
      <c r="DM6" s="26"/>
      <c r="DN6" s="39"/>
      <c r="DO6" s="39"/>
      <c r="DP6" s="39"/>
      <c r="DQ6" s="39"/>
      <c r="DR6" s="26"/>
      <c r="DS6" s="26"/>
      <c r="DT6" s="39"/>
      <c r="DU6" s="39"/>
      <c r="DV6" s="26"/>
      <c r="DW6" s="26"/>
      <c r="DX6" s="39"/>
      <c r="DY6" s="39"/>
      <c r="DZ6" s="39"/>
      <c r="EA6" s="39"/>
      <c r="EB6" s="26"/>
      <c r="EC6" s="26"/>
      <c r="ED6" s="39"/>
      <c r="EE6" s="39"/>
      <c r="EF6" s="45" t="s">
        <v>72</v>
      </c>
      <c r="EG6" s="45"/>
      <c r="EH6" s="45" t="s">
        <v>73</v>
      </c>
      <c r="EI6" s="45"/>
      <c r="EJ6" s="45" t="s">
        <v>73</v>
      </c>
      <c r="EK6" s="45"/>
      <c r="EL6" s="45" t="s">
        <v>73</v>
      </c>
      <c r="EM6" s="45"/>
      <c r="EN6" s="45" t="s">
        <v>74</v>
      </c>
      <c r="EO6" s="45"/>
      <c r="ER6" s="39"/>
      <c r="ES6" s="39"/>
      <c r="ET6" s="39"/>
      <c r="EU6" s="39"/>
      <c r="EX6" s="46"/>
      <c r="EY6" s="46"/>
      <c r="FB6" s="46"/>
      <c r="FC6" s="46"/>
      <c r="FD6" s="33" t="s">
        <v>75</v>
      </c>
      <c r="FE6" s="33"/>
      <c r="FF6" s="47"/>
      <c r="FG6" s="47"/>
      <c r="FH6" s="39"/>
      <c r="FI6" s="39"/>
      <c r="FJ6" s="39"/>
      <c r="FK6" s="39"/>
      <c r="FN6" s="26"/>
      <c r="FO6" s="26"/>
      <c r="FP6" s="39"/>
      <c r="FQ6" s="39"/>
      <c r="FV6" s="33" t="s">
        <v>76</v>
      </c>
      <c r="FW6" s="33"/>
      <c r="GD6" s="39"/>
      <c r="GE6" s="39"/>
      <c r="GF6" s="39"/>
      <c r="GG6" s="39"/>
      <c r="GH6" s="39"/>
      <c r="GI6" s="39"/>
      <c r="GJ6" s="39"/>
      <c r="GK6" s="39"/>
      <c r="GL6" s="33" t="s">
        <v>77</v>
      </c>
      <c r="GM6" s="33"/>
      <c r="GN6" s="33" t="s">
        <v>77</v>
      </c>
      <c r="GO6" s="33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26"/>
      <c r="HI6" s="26"/>
      <c r="HJ6" s="48"/>
      <c r="HK6" s="48"/>
      <c r="HL6" s="48"/>
      <c r="HM6" s="48"/>
      <c r="HN6" s="49"/>
      <c r="HO6" s="49"/>
      <c r="HP6" s="48"/>
      <c r="HQ6" s="48"/>
      <c r="HR6" s="50"/>
      <c r="HS6" s="50"/>
      <c r="HT6" s="50"/>
      <c r="HU6" s="50"/>
      <c r="HV6" s="50"/>
      <c r="HW6" s="50"/>
      <c r="HX6" s="50"/>
      <c r="HY6" s="50"/>
      <c r="HZ6" s="50"/>
      <c r="IA6" s="50"/>
      <c r="IB6" s="50"/>
      <c r="IC6" s="50"/>
      <c r="ID6" s="50"/>
      <c r="IE6" s="50"/>
      <c r="IF6" s="50"/>
      <c r="IG6" s="50"/>
    </row>
    <row r="7" customFormat="false" ht="15" hidden="false" customHeight="true" outlineLevel="0" collapsed="false">
      <c r="A7" s="21"/>
      <c r="B7" s="22"/>
      <c r="C7" s="22"/>
      <c r="D7" s="22"/>
      <c r="E7" s="51" t="s">
        <v>78</v>
      </c>
      <c r="F7" s="52" t="s">
        <v>79</v>
      </c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3" t="s">
        <v>80</v>
      </c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4"/>
      <c r="BI7" s="54"/>
      <c r="BJ7" s="54"/>
      <c r="BK7" s="54"/>
      <c r="BL7" s="55" t="n">
        <v>0.15</v>
      </c>
      <c r="BM7" s="55"/>
      <c r="BN7" s="54"/>
      <c r="BO7" s="54"/>
      <c r="BP7" s="54"/>
      <c r="BQ7" s="54"/>
      <c r="BR7" s="56"/>
      <c r="BS7" s="56"/>
      <c r="BT7" s="54"/>
      <c r="BU7" s="54"/>
      <c r="BV7" s="54"/>
      <c r="BW7" s="54"/>
      <c r="BX7" s="56"/>
      <c r="BY7" s="56"/>
      <c r="BZ7" s="54"/>
      <c r="CA7" s="54"/>
      <c r="CB7" s="54"/>
      <c r="CC7" s="54"/>
      <c r="CD7" s="56"/>
      <c r="CE7" s="56"/>
      <c r="CF7" s="54"/>
      <c r="CG7" s="54"/>
      <c r="CH7" s="54"/>
      <c r="CI7" s="54"/>
      <c r="CJ7" s="54"/>
      <c r="CK7" s="54"/>
      <c r="CL7" s="56"/>
      <c r="CM7" s="56"/>
      <c r="CN7" s="54"/>
      <c r="CO7" s="54"/>
      <c r="CP7" s="54"/>
      <c r="CQ7" s="54"/>
      <c r="CR7" s="54"/>
      <c r="CS7" s="54"/>
      <c r="CT7" s="54"/>
      <c r="CU7" s="54"/>
      <c r="CV7" s="54"/>
      <c r="CW7" s="54"/>
      <c r="CX7" s="56"/>
      <c r="CY7" s="56"/>
      <c r="CZ7" s="54"/>
      <c r="DA7" s="54"/>
      <c r="DB7" s="56"/>
      <c r="DC7" s="56"/>
      <c r="DD7" s="57"/>
      <c r="DE7" s="57"/>
      <c r="DF7" s="57"/>
      <c r="DG7" s="57"/>
      <c r="DH7" s="54"/>
      <c r="DI7" s="54"/>
      <c r="DJ7" s="58"/>
      <c r="DK7" s="58"/>
      <c r="DL7" s="54"/>
      <c r="DM7" s="54"/>
      <c r="DN7" s="54"/>
      <c r="DO7" s="54"/>
      <c r="DP7" s="54"/>
      <c r="DQ7" s="54"/>
      <c r="DR7" s="59"/>
      <c r="DS7" s="59"/>
      <c r="DT7" s="54"/>
      <c r="DU7" s="54"/>
      <c r="DV7" s="54"/>
      <c r="DW7" s="54"/>
      <c r="DX7" s="54"/>
      <c r="DY7" s="54"/>
      <c r="DZ7" s="59"/>
      <c r="EA7" s="59"/>
      <c r="EB7" s="54"/>
      <c r="EC7" s="54"/>
      <c r="ED7" s="54"/>
      <c r="EE7" s="54"/>
      <c r="EF7" s="54"/>
      <c r="EG7" s="54"/>
      <c r="EH7" s="54"/>
      <c r="EI7" s="54"/>
      <c r="EJ7" s="54"/>
      <c r="EK7" s="54"/>
      <c r="EL7" s="56"/>
      <c r="EM7" s="56"/>
      <c r="EN7" s="54"/>
      <c r="EO7" s="54"/>
      <c r="EP7" s="54"/>
      <c r="EQ7" s="54"/>
      <c r="ER7" s="54"/>
      <c r="ES7" s="54"/>
      <c r="ET7" s="54"/>
      <c r="EU7" s="54"/>
      <c r="EV7" s="56"/>
      <c r="EW7" s="56"/>
      <c r="EX7" s="54"/>
      <c r="EY7" s="54"/>
      <c r="EZ7" s="54"/>
      <c r="FA7" s="54"/>
      <c r="FB7" s="54"/>
      <c r="FC7" s="54"/>
      <c r="FD7" s="54"/>
      <c r="FE7" s="54"/>
      <c r="FF7" s="56"/>
      <c r="FG7" s="56"/>
      <c r="FH7" s="54"/>
      <c r="FI7" s="54"/>
      <c r="FJ7" s="54"/>
      <c r="FK7" s="54"/>
      <c r="FL7" s="54"/>
      <c r="FM7" s="54"/>
      <c r="FN7" s="54"/>
      <c r="FO7" s="54"/>
      <c r="FP7" s="54"/>
      <c r="FQ7" s="54"/>
      <c r="FR7" s="54"/>
      <c r="FS7" s="54"/>
      <c r="FT7" s="56"/>
      <c r="FU7" s="56"/>
      <c r="FV7" s="54"/>
      <c r="FW7" s="54"/>
      <c r="FX7" s="54"/>
      <c r="FY7" s="54"/>
      <c r="FZ7" s="56"/>
      <c r="GA7" s="56"/>
      <c r="GB7" s="54"/>
      <c r="GC7" s="54"/>
      <c r="GD7" s="54"/>
      <c r="GE7" s="54"/>
      <c r="GF7" s="56"/>
      <c r="GG7" s="56"/>
      <c r="GH7" s="54"/>
      <c r="GI7" s="54"/>
      <c r="GJ7" s="54"/>
      <c r="GK7" s="54"/>
      <c r="GL7" s="54"/>
      <c r="GM7" s="54"/>
      <c r="GN7" s="56"/>
      <c r="GO7" s="56"/>
      <c r="GP7" s="54"/>
      <c r="GQ7" s="54"/>
      <c r="GR7" s="54"/>
      <c r="GS7" s="54"/>
      <c r="GT7" s="54"/>
      <c r="GU7" s="54"/>
      <c r="GV7" s="54"/>
      <c r="GW7" s="54"/>
      <c r="GX7" s="54"/>
      <c r="GY7" s="54"/>
      <c r="GZ7" s="56"/>
      <c r="HA7" s="56"/>
      <c r="HB7" s="54"/>
      <c r="HC7" s="54"/>
      <c r="HD7" s="56"/>
      <c r="HE7" s="56"/>
      <c r="HF7" s="57"/>
      <c r="HG7" s="57"/>
      <c r="HH7" s="57"/>
      <c r="HI7" s="57"/>
      <c r="HJ7" s="60"/>
      <c r="HK7" s="60"/>
      <c r="HL7" s="60"/>
      <c r="HM7" s="60"/>
      <c r="HN7" s="60"/>
      <c r="HO7" s="60"/>
      <c r="HP7" s="60"/>
      <c r="HQ7" s="60"/>
      <c r="HR7" s="60"/>
      <c r="HS7" s="60"/>
      <c r="HT7" s="60"/>
      <c r="HU7" s="60"/>
      <c r="HV7" s="60"/>
      <c r="HW7" s="60"/>
      <c r="HX7" s="60"/>
      <c r="HY7" s="60"/>
      <c r="HZ7" s="60"/>
      <c r="IA7" s="60"/>
      <c r="IB7" s="60"/>
      <c r="IC7" s="60"/>
      <c r="ID7" s="60"/>
      <c r="IE7" s="60"/>
      <c r="IF7" s="60"/>
      <c r="IG7" s="60"/>
    </row>
    <row r="8" customFormat="false" ht="18.75" hidden="false" customHeight="true" outlineLevel="0" collapsed="false">
      <c r="A8" s="61" t="s">
        <v>81</v>
      </c>
      <c r="B8" s="62" t="s">
        <v>82</v>
      </c>
      <c r="C8" s="62" t="s">
        <v>83</v>
      </c>
      <c r="D8" s="62" t="s">
        <v>84</v>
      </c>
      <c r="E8" s="63" t="s">
        <v>62</v>
      </c>
      <c r="F8" s="64" t="n">
        <v>1.35</v>
      </c>
      <c r="G8" s="65"/>
      <c r="H8" s="64" t="n">
        <v>0.15</v>
      </c>
      <c r="I8" s="65"/>
      <c r="J8" s="64" t="n">
        <v>23.25</v>
      </c>
      <c r="K8" s="65"/>
      <c r="L8" s="64" t="n">
        <v>6.9</v>
      </c>
      <c r="M8" s="66" t="n">
        <v>1.25</v>
      </c>
      <c r="N8" s="64" t="n">
        <v>8.25</v>
      </c>
      <c r="O8" s="66" t="n">
        <v>4.4</v>
      </c>
      <c r="P8" s="64" t="n">
        <v>2.25</v>
      </c>
      <c r="Q8" s="65"/>
      <c r="R8" s="64" t="n">
        <v>0</v>
      </c>
      <c r="S8" s="65"/>
      <c r="T8" s="64" t="n">
        <v>5.5</v>
      </c>
      <c r="U8" s="65"/>
      <c r="V8" s="64" t="n">
        <v>0.15</v>
      </c>
      <c r="W8" s="65"/>
      <c r="X8" s="64" t="n">
        <v>12.75</v>
      </c>
      <c r="Y8" s="65"/>
      <c r="Z8" s="64" t="n">
        <v>7.65</v>
      </c>
      <c r="AA8" s="65"/>
      <c r="AB8" s="64" t="n">
        <v>6.65</v>
      </c>
      <c r="AC8" s="65"/>
      <c r="AD8" s="64" t="n">
        <v>4.85</v>
      </c>
      <c r="AE8" s="65"/>
      <c r="AF8" s="64" t="n">
        <v>4.4</v>
      </c>
      <c r="AG8" s="66" t="n">
        <v>2.9</v>
      </c>
      <c r="AH8" s="64" t="n">
        <v>16.6</v>
      </c>
      <c r="AI8" s="65"/>
      <c r="AJ8" s="64" t="n">
        <v>0</v>
      </c>
      <c r="AK8" s="66" t="n">
        <v>0</v>
      </c>
      <c r="AL8" s="64" t="n">
        <v>0</v>
      </c>
      <c r="AM8" s="66" t="n">
        <v>0</v>
      </c>
      <c r="AN8" s="24" t="n">
        <v>18.35</v>
      </c>
      <c r="AO8" s="25" t="n">
        <v>6.4</v>
      </c>
      <c r="AP8" s="24" t="n">
        <v>6.85</v>
      </c>
      <c r="AQ8" s="25" t="n">
        <v>9.5</v>
      </c>
      <c r="AR8" s="24" t="n">
        <v>29.75</v>
      </c>
      <c r="AS8" s="25" t="n">
        <v>2.35</v>
      </c>
      <c r="AT8" s="24" t="n">
        <v>17</v>
      </c>
      <c r="AU8" s="27"/>
      <c r="AV8" s="24" t="n">
        <v>1.1</v>
      </c>
      <c r="AW8" s="25" t="n">
        <v>5</v>
      </c>
      <c r="AX8" s="24" t="n">
        <v>0.1</v>
      </c>
      <c r="AY8" s="25" t="n">
        <v>3.65</v>
      </c>
      <c r="AZ8" s="24" t="n">
        <v>0.75</v>
      </c>
      <c r="BA8" s="25" t="n">
        <v>0.65</v>
      </c>
      <c r="BB8" s="24" t="n">
        <v>18</v>
      </c>
      <c r="BC8" s="25" t="n">
        <v>11.9</v>
      </c>
      <c r="BD8" s="24" t="n">
        <v>23.4</v>
      </c>
      <c r="BE8" s="27"/>
      <c r="BF8" s="24" t="n">
        <v>27.75</v>
      </c>
      <c r="BG8" s="25" t="n">
        <v>7.65</v>
      </c>
      <c r="BH8" s="24" t="n">
        <v>0</v>
      </c>
      <c r="BI8" s="25" t="n">
        <v>0</v>
      </c>
      <c r="BJ8" s="26"/>
      <c r="BK8" s="25" t="n">
        <v>14.5</v>
      </c>
      <c r="BL8" s="24" t="n">
        <v>7.15</v>
      </c>
      <c r="BM8" s="25" t="n">
        <v>14.1</v>
      </c>
      <c r="BN8" s="26"/>
      <c r="BO8" s="27" t="n">
        <v>20</v>
      </c>
      <c r="BP8" s="26"/>
      <c r="BQ8" s="27" t="n">
        <v>24</v>
      </c>
      <c r="BR8" s="26" t="n">
        <v>20</v>
      </c>
      <c r="BS8" s="27"/>
      <c r="BT8" s="26" t="n">
        <v>0</v>
      </c>
      <c r="BU8" s="27" t="n">
        <v>0</v>
      </c>
      <c r="BV8" s="26" t="n">
        <v>20</v>
      </c>
      <c r="BW8" s="27"/>
      <c r="BX8" s="26" t="n">
        <v>10</v>
      </c>
      <c r="BY8" s="27"/>
      <c r="BZ8" s="26" t="n">
        <v>15</v>
      </c>
      <c r="CA8" s="27"/>
      <c r="CB8" s="26" t="n">
        <v>15</v>
      </c>
      <c r="CC8" s="27"/>
      <c r="CD8" s="26" t="n">
        <v>15</v>
      </c>
      <c r="CE8" s="27"/>
      <c r="CF8" s="26" t="n">
        <v>15</v>
      </c>
      <c r="CG8" s="27"/>
      <c r="CH8" s="26" t="n">
        <v>20</v>
      </c>
      <c r="CI8" s="27"/>
      <c r="CJ8" s="26" t="n">
        <v>0</v>
      </c>
      <c r="CK8" s="27" t="n">
        <v>0</v>
      </c>
      <c r="CL8" s="26" t="n">
        <v>0</v>
      </c>
      <c r="CM8" s="27" t="n">
        <v>0</v>
      </c>
      <c r="CN8" s="26" t="n">
        <v>15</v>
      </c>
      <c r="CO8" s="27"/>
      <c r="CP8" s="26" t="n">
        <v>15</v>
      </c>
      <c r="CQ8" s="27"/>
      <c r="CR8" s="26" t="n">
        <v>15</v>
      </c>
      <c r="CS8" s="27"/>
      <c r="CT8" s="26" t="n">
        <v>15</v>
      </c>
      <c r="CU8" s="27"/>
      <c r="CV8" s="26" t="n">
        <v>15</v>
      </c>
      <c r="CW8" s="27"/>
      <c r="CX8" s="26" t="n">
        <v>10</v>
      </c>
      <c r="CY8" s="27"/>
      <c r="CZ8" s="26" t="n">
        <v>5</v>
      </c>
      <c r="DA8" s="27"/>
      <c r="DB8" s="26" t="n">
        <v>5</v>
      </c>
      <c r="DC8" s="27"/>
      <c r="DD8" s="67" t="n">
        <f aca="false">SUM(F8:DC8)</f>
        <v>604.15</v>
      </c>
      <c r="DE8" s="68" t="n">
        <f aca="false">B8-DD8</f>
        <v>-384</v>
      </c>
      <c r="DF8" s="30" t="n">
        <f aca="false">C8+DD8</f>
        <v>4383.6</v>
      </c>
      <c r="DG8" s="30" t="n">
        <f aca="false">D8+DD8</f>
        <v>11009.65</v>
      </c>
      <c r="DH8" s="69" t="n">
        <v>0</v>
      </c>
      <c r="DI8" s="65"/>
      <c r="DJ8" s="26" t="n">
        <v>5</v>
      </c>
      <c r="DK8" s="27"/>
      <c r="DL8" s="26" t="n">
        <v>5</v>
      </c>
      <c r="DM8" s="27"/>
      <c r="DN8" s="26" t="n">
        <v>5</v>
      </c>
      <c r="DO8" s="27"/>
      <c r="DP8" s="26" t="n">
        <v>0</v>
      </c>
      <c r="DQ8" s="27" t="n">
        <v>0</v>
      </c>
      <c r="DR8" s="26" t="n">
        <v>0</v>
      </c>
      <c r="DS8" s="27" t="n">
        <v>0</v>
      </c>
      <c r="DT8" s="26" t="n">
        <v>0</v>
      </c>
      <c r="DU8" s="27" t="n">
        <v>0</v>
      </c>
      <c r="DV8" s="26" t="n">
        <v>0</v>
      </c>
      <c r="DW8" s="27" t="n">
        <v>0</v>
      </c>
      <c r="DX8" s="26" t="n">
        <v>0</v>
      </c>
      <c r="DY8" s="27" t="n">
        <v>0</v>
      </c>
      <c r="DZ8" s="26" t="n">
        <v>10</v>
      </c>
      <c r="EA8" s="27"/>
      <c r="EB8" s="26" t="n">
        <v>15</v>
      </c>
      <c r="EC8" s="27"/>
      <c r="ED8" s="69" t="n">
        <v>15</v>
      </c>
      <c r="EE8" s="65"/>
      <c r="EF8" s="26" t="n">
        <v>20</v>
      </c>
      <c r="EG8" s="27"/>
      <c r="EH8" s="26" t="n">
        <v>20</v>
      </c>
      <c r="EI8" s="27"/>
      <c r="EJ8" s="26" t="n">
        <v>20</v>
      </c>
      <c r="EK8" s="27"/>
      <c r="EL8" s="26" t="n">
        <v>0</v>
      </c>
      <c r="EM8" s="27" t="n">
        <v>0</v>
      </c>
      <c r="EN8" s="26" t="n">
        <v>20</v>
      </c>
      <c r="EO8" s="27"/>
      <c r="EP8" s="26" t="n">
        <v>20</v>
      </c>
      <c r="EQ8" s="27"/>
      <c r="ER8" s="26" t="n">
        <v>15</v>
      </c>
      <c r="ES8" s="27"/>
      <c r="ET8" s="26" t="n">
        <v>15</v>
      </c>
      <c r="EU8" s="27"/>
      <c r="EV8" s="26" t="n">
        <v>15</v>
      </c>
      <c r="EW8" s="27"/>
      <c r="EX8" s="26" t="n">
        <v>15</v>
      </c>
      <c r="EY8" s="27"/>
      <c r="EZ8" s="26" t="n">
        <v>0</v>
      </c>
      <c r="FA8" s="27" t="n">
        <v>0</v>
      </c>
      <c r="FB8" s="26" t="n">
        <v>15</v>
      </c>
      <c r="FC8" s="27"/>
      <c r="FD8" s="26" t="n">
        <v>25</v>
      </c>
      <c r="FE8" s="27"/>
      <c r="FF8" s="26" t="n">
        <v>15</v>
      </c>
      <c r="FG8" s="27"/>
      <c r="FH8" s="26" t="n">
        <v>15</v>
      </c>
      <c r="FI8" s="27"/>
      <c r="FJ8" s="26" t="n">
        <v>15</v>
      </c>
      <c r="FK8" s="27"/>
      <c r="FL8" s="26" t="n">
        <v>15</v>
      </c>
      <c r="FM8" s="27"/>
      <c r="FN8" s="26" t="n">
        <v>0</v>
      </c>
      <c r="FO8" s="27" t="n">
        <v>0</v>
      </c>
      <c r="FP8" s="26" t="n">
        <v>15</v>
      </c>
      <c r="FQ8" s="27"/>
      <c r="FR8" s="26" t="n">
        <v>15</v>
      </c>
      <c r="FS8" s="27"/>
      <c r="FT8" s="26" t="n">
        <v>15</v>
      </c>
      <c r="FU8" s="27"/>
      <c r="FV8" s="26" t="n">
        <v>25</v>
      </c>
      <c r="FW8" s="27"/>
      <c r="FX8" s="26" t="n">
        <v>15</v>
      </c>
      <c r="FY8" s="27"/>
      <c r="FZ8" s="26" t="n">
        <v>15</v>
      </c>
      <c r="GA8" s="27"/>
      <c r="GB8" s="26" t="n">
        <v>0</v>
      </c>
      <c r="GC8" s="27" t="n">
        <v>0</v>
      </c>
      <c r="GD8" s="26" t="n">
        <v>0</v>
      </c>
      <c r="GE8" s="27" t="n">
        <v>0</v>
      </c>
      <c r="GF8" s="26" t="n">
        <v>15</v>
      </c>
      <c r="GG8" s="27"/>
      <c r="GH8" s="26" t="n">
        <v>15</v>
      </c>
      <c r="GI8" s="27"/>
      <c r="GJ8" s="26" t="n">
        <v>15</v>
      </c>
      <c r="GK8" s="27"/>
      <c r="GL8" s="26" t="n">
        <v>20</v>
      </c>
      <c r="GM8" s="27"/>
      <c r="GN8" s="26" t="n">
        <v>20</v>
      </c>
      <c r="GO8" s="27"/>
      <c r="GP8" s="26" t="n">
        <v>15</v>
      </c>
      <c r="GQ8" s="27"/>
      <c r="GR8" s="26" t="n">
        <v>0</v>
      </c>
      <c r="GS8" s="27" t="n">
        <v>0</v>
      </c>
      <c r="GT8" s="26" t="n">
        <v>15</v>
      </c>
      <c r="GU8" s="27"/>
      <c r="GV8" s="26" t="n">
        <v>15</v>
      </c>
      <c r="GW8" s="27"/>
      <c r="GX8" s="26" t="n">
        <v>10</v>
      </c>
      <c r="GY8" s="27"/>
      <c r="GZ8" s="26" t="n">
        <v>10</v>
      </c>
      <c r="HA8" s="27"/>
      <c r="HB8" s="26" t="n">
        <v>10</v>
      </c>
      <c r="HC8" s="27"/>
      <c r="HD8" s="26" t="n">
        <v>5</v>
      </c>
      <c r="HE8" s="27"/>
      <c r="HF8" s="67" t="n">
        <f aca="false">SUM(DH8:HE8)</f>
        <v>580</v>
      </c>
      <c r="HG8" s="70" t="n">
        <f aca="false">1500-SUM(DZ8:HE8)</f>
        <v>935</v>
      </c>
      <c r="HH8" s="30"/>
      <c r="HI8" s="31" t="n">
        <f aca="false">DG8+HF8</f>
        <v>11589.65</v>
      </c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</row>
    <row r="9" customFormat="false" ht="45" hidden="false" customHeight="true" outlineLevel="0" collapsed="false">
      <c r="A9" s="61"/>
      <c r="B9" s="62"/>
      <c r="C9" s="62"/>
      <c r="D9" s="62"/>
      <c r="E9" s="63" t="s">
        <v>63</v>
      </c>
      <c r="F9" s="39"/>
      <c r="G9" s="39"/>
      <c r="H9" s="39"/>
      <c r="I9" s="39"/>
      <c r="J9" s="39"/>
      <c r="K9" s="39"/>
      <c r="L9" s="39"/>
      <c r="M9" s="39"/>
      <c r="N9" s="39"/>
      <c r="O9" s="39"/>
      <c r="P9" s="26"/>
      <c r="Q9" s="26"/>
      <c r="R9" s="39"/>
      <c r="S9" s="39"/>
      <c r="T9" s="39"/>
      <c r="U9" s="39"/>
      <c r="V9" s="39"/>
      <c r="W9" s="39"/>
      <c r="X9" s="26"/>
      <c r="Y9" s="26"/>
      <c r="Z9" s="39"/>
      <c r="AA9" s="39"/>
      <c r="AB9" s="26"/>
      <c r="AC9" s="26"/>
      <c r="AD9" s="39"/>
      <c r="AE9" s="39"/>
      <c r="AF9" s="39"/>
      <c r="AG9" s="39"/>
      <c r="AH9" s="39"/>
      <c r="AI9" s="39"/>
      <c r="AJ9" s="71" t="s">
        <v>85</v>
      </c>
      <c r="AK9" s="71"/>
      <c r="AL9" s="33" t="s">
        <v>85</v>
      </c>
      <c r="AM9" s="33"/>
      <c r="AN9" s="40"/>
      <c r="AO9" s="40"/>
      <c r="AP9" s="72"/>
      <c r="AQ9" s="72"/>
      <c r="AR9" s="72"/>
      <c r="AS9" s="72"/>
      <c r="AT9" s="40"/>
      <c r="AU9" s="40"/>
      <c r="AX9" s="33" t="s">
        <v>86</v>
      </c>
      <c r="AY9" s="33"/>
      <c r="AZ9" s="39"/>
      <c r="BA9" s="39"/>
      <c r="BB9" s="39"/>
      <c r="BC9" s="39"/>
      <c r="BD9" s="39"/>
      <c r="BE9" s="39"/>
      <c r="BF9" s="36"/>
      <c r="BG9" s="36"/>
      <c r="BH9" s="33" t="s">
        <v>87</v>
      </c>
      <c r="BI9" s="33"/>
      <c r="BJ9" s="38"/>
      <c r="BK9" s="38"/>
      <c r="BL9" s="36"/>
      <c r="BM9" s="36"/>
      <c r="BN9" s="36"/>
      <c r="BO9" s="36"/>
      <c r="BP9" s="38"/>
      <c r="BQ9" s="38"/>
      <c r="BR9" s="36"/>
      <c r="BS9" s="36"/>
      <c r="BT9" s="33" t="s">
        <v>88</v>
      </c>
      <c r="BU9" s="33"/>
      <c r="BZ9" s="36"/>
      <c r="CA9" s="36"/>
      <c r="CB9" s="38"/>
      <c r="CC9" s="38"/>
      <c r="CD9" s="38"/>
      <c r="CE9" s="38"/>
      <c r="CF9" s="36"/>
      <c r="CG9" s="36"/>
      <c r="CH9" s="38"/>
      <c r="CI9" s="38"/>
      <c r="CJ9" s="33" t="s">
        <v>89</v>
      </c>
      <c r="CK9" s="33"/>
      <c r="CL9" s="33" t="s">
        <v>90</v>
      </c>
      <c r="CM9" s="33"/>
      <c r="CP9" s="36"/>
      <c r="CQ9" s="36"/>
      <c r="CR9" s="38"/>
      <c r="CS9" s="38"/>
      <c r="CT9" s="38"/>
      <c r="CU9" s="38"/>
      <c r="CV9" s="26"/>
      <c r="CW9" s="26"/>
      <c r="CX9" s="39"/>
      <c r="CY9" s="39"/>
      <c r="CZ9" s="39"/>
      <c r="DA9" s="39"/>
      <c r="DB9" s="40"/>
      <c r="DC9" s="40"/>
      <c r="DD9" s="41" t="s">
        <v>91</v>
      </c>
      <c r="DE9" s="73"/>
      <c r="DF9" s="43"/>
      <c r="DG9" s="44"/>
      <c r="DH9" s="39"/>
      <c r="DI9" s="39"/>
      <c r="DJ9" s="26"/>
      <c r="DK9" s="26"/>
      <c r="DL9" s="26"/>
      <c r="DM9" s="26"/>
      <c r="DN9" s="26"/>
      <c r="DO9" s="26"/>
      <c r="DP9" s="45" t="s">
        <v>92</v>
      </c>
      <c r="DQ9" s="45"/>
      <c r="DR9" s="45" t="s">
        <v>92</v>
      </c>
      <c r="DS9" s="45"/>
      <c r="DT9" s="45" t="s">
        <v>92</v>
      </c>
      <c r="DU9" s="45"/>
      <c r="DV9" s="45" t="s">
        <v>92</v>
      </c>
      <c r="DW9" s="45"/>
      <c r="DX9" s="45" t="s">
        <v>92</v>
      </c>
      <c r="DY9" s="45"/>
      <c r="DZ9" s="26"/>
      <c r="EA9" s="26"/>
      <c r="EB9" s="39"/>
      <c r="EC9" s="39"/>
      <c r="ED9" s="39"/>
      <c r="EE9" s="39"/>
      <c r="EF9" s="26"/>
      <c r="EG9" s="26"/>
      <c r="EH9" s="39"/>
      <c r="EI9" s="39"/>
      <c r="EL9" s="33" t="s">
        <v>93</v>
      </c>
      <c r="EM9" s="33"/>
      <c r="EN9" s="46"/>
      <c r="EO9" s="46"/>
      <c r="EP9" s="47"/>
      <c r="EQ9" s="47"/>
      <c r="ET9" s="39"/>
      <c r="EU9" s="39"/>
      <c r="EX9" s="39"/>
      <c r="EY9" s="39"/>
      <c r="EZ9" s="33" t="s">
        <v>94</v>
      </c>
      <c r="FA9" s="33"/>
      <c r="FB9" s="39"/>
      <c r="FC9" s="39"/>
      <c r="FF9" s="26"/>
      <c r="FG9" s="26"/>
      <c r="FH9" s="39"/>
      <c r="FI9" s="39"/>
      <c r="FJ9" s="39"/>
      <c r="FK9" s="39"/>
      <c r="FN9" s="33" t="s">
        <v>95</v>
      </c>
      <c r="FO9" s="33"/>
      <c r="FP9" s="46"/>
      <c r="FQ9" s="46"/>
      <c r="FR9" s="46"/>
      <c r="FS9" s="46"/>
      <c r="FT9" s="39"/>
      <c r="FU9" s="39"/>
      <c r="FV9" s="39"/>
      <c r="FW9" s="39"/>
      <c r="FX9" s="39"/>
      <c r="FY9" s="39"/>
      <c r="FZ9" s="39"/>
      <c r="GA9" s="39"/>
      <c r="GB9" s="33" t="s">
        <v>96</v>
      </c>
      <c r="GC9" s="33"/>
      <c r="GD9" s="33" t="s">
        <v>97</v>
      </c>
      <c r="GE9" s="33"/>
      <c r="GH9" s="39"/>
      <c r="GI9" s="39"/>
      <c r="GJ9" s="39"/>
      <c r="GK9" s="39"/>
      <c r="GL9" s="39"/>
      <c r="GM9" s="39"/>
      <c r="GN9" s="26"/>
      <c r="GO9" s="26"/>
      <c r="GP9" s="39"/>
      <c r="GQ9" s="39"/>
      <c r="GR9" s="33" t="s">
        <v>98</v>
      </c>
      <c r="GS9" s="33"/>
      <c r="GT9" s="39"/>
      <c r="GU9" s="39"/>
      <c r="GV9" s="39"/>
      <c r="GW9" s="39"/>
      <c r="GX9" s="39"/>
      <c r="GY9" s="39"/>
      <c r="GZ9" s="39"/>
      <c r="HA9" s="39"/>
      <c r="HB9" s="39"/>
      <c r="HC9" s="39"/>
      <c r="HD9" s="39"/>
      <c r="HE9" s="39"/>
      <c r="HF9" s="39"/>
      <c r="HG9" s="39"/>
      <c r="HH9" s="47"/>
      <c r="HI9" s="47"/>
      <c r="HJ9" s="48"/>
      <c r="HK9" s="48"/>
      <c r="HL9" s="48"/>
      <c r="HM9" s="48"/>
      <c r="HN9" s="48"/>
      <c r="HO9" s="48"/>
      <c r="HP9" s="49"/>
      <c r="HQ9" s="49"/>
      <c r="HR9" s="48"/>
      <c r="HS9" s="48"/>
      <c r="HT9" s="48"/>
      <c r="HU9" s="48"/>
      <c r="HV9" s="48"/>
      <c r="HW9" s="48"/>
      <c r="HX9" s="49"/>
      <c r="HY9" s="49"/>
      <c r="HZ9" s="48"/>
      <c r="IA9" s="48"/>
      <c r="IB9" s="48"/>
      <c r="IC9" s="48"/>
      <c r="ID9" s="49"/>
      <c r="IE9" s="49"/>
      <c r="IF9" s="48"/>
      <c r="IG9" s="48"/>
    </row>
    <row r="10" customFormat="false" ht="15" hidden="false" customHeight="true" outlineLevel="0" collapsed="false">
      <c r="A10" s="61"/>
      <c r="B10" s="62"/>
      <c r="C10" s="62"/>
      <c r="D10" s="62"/>
      <c r="E10" s="74" t="s">
        <v>78</v>
      </c>
      <c r="F10" s="54"/>
      <c r="G10" s="54"/>
      <c r="H10" s="56"/>
      <c r="I10" s="56"/>
      <c r="J10" s="54"/>
      <c r="K10" s="54"/>
      <c r="L10" s="54"/>
      <c r="M10" s="54"/>
      <c r="N10" s="54"/>
      <c r="O10" s="54"/>
      <c r="P10" s="56"/>
      <c r="Q10" s="56"/>
      <c r="R10" s="54"/>
      <c r="S10" s="54"/>
      <c r="T10" s="54"/>
      <c r="U10" s="54"/>
      <c r="V10" s="54"/>
      <c r="W10" s="54"/>
      <c r="X10" s="56"/>
      <c r="Y10" s="56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6"/>
      <c r="AK10" s="56"/>
      <c r="AL10" s="54"/>
      <c r="AM10" s="54"/>
      <c r="AN10" s="54"/>
      <c r="AO10" s="54"/>
      <c r="AP10" s="54"/>
      <c r="AQ10" s="54"/>
      <c r="AR10" s="54"/>
      <c r="AS10" s="54"/>
      <c r="AT10" s="56"/>
      <c r="AU10" s="56"/>
      <c r="AV10" s="54"/>
      <c r="AW10" s="54"/>
      <c r="AX10" s="54"/>
      <c r="AY10" s="54"/>
      <c r="AZ10" s="75" t="s">
        <v>99</v>
      </c>
      <c r="BA10" s="75"/>
      <c r="BB10" s="54"/>
      <c r="BC10" s="54"/>
      <c r="BD10" s="56"/>
      <c r="BE10" s="56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6"/>
      <c r="BS10" s="56"/>
      <c r="BT10" s="54"/>
      <c r="BU10" s="54"/>
      <c r="BV10" s="54"/>
      <c r="BW10" s="54"/>
      <c r="BX10" s="56"/>
      <c r="BY10" s="56"/>
      <c r="BZ10" s="54"/>
      <c r="CA10" s="54"/>
      <c r="CB10" s="54"/>
      <c r="CC10" s="54"/>
      <c r="CD10" s="54"/>
      <c r="CE10" s="54"/>
      <c r="CF10" s="56"/>
      <c r="CG10" s="56"/>
      <c r="CH10" s="54"/>
      <c r="CI10" s="54"/>
      <c r="CJ10" s="54"/>
      <c r="CK10" s="54"/>
      <c r="CL10" s="56"/>
      <c r="CM10" s="56"/>
      <c r="CN10" s="54"/>
      <c r="CO10" s="54"/>
      <c r="CP10" s="56"/>
      <c r="CQ10" s="56"/>
      <c r="CR10" s="54"/>
      <c r="CS10" s="54"/>
      <c r="CT10" s="54"/>
      <c r="CU10" s="54"/>
      <c r="CV10" s="54"/>
      <c r="CW10" s="54"/>
      <c r="CX10" s="56"/>
      <c r="CY10" s="56"/>
      <c r="CZ10" s="54"/>
      <c r="DA10" s="54"/>
      <c r="DB10" s="56"/>
      <c r="DC10" s="56"/>
      <c r="DD10" s="57"/>
      <c r="DE10" s="57"/>
      <c r="DF10" s="57"/>
      <c r="DG10" s="57"/>
      <c r="DH10" s="54"/>
      <c r="DI10" s="54"/>
      <c r="DJ10" s="76"/>
      <c r="DK10" s="76"/>
      <c r="DL10" s="54"/>
      <c r="DM10" s="54"/>
      <c r="DN10" s="54"/>
      <c r="DO10" s="54"/>
      <c r="DP10" s="54"/>
      <c r="DQ10" s="54"/>
      <c r="DR10" s="56"/>
      <c r="DS10" s="56"/>
      <c r="DT10" s="54"/>
      <c r="DU10" s="54"/>
      <c r="DV10" s="54"/>
      <c r="DW10" s="54"/>
      <c r="DX10" s="54"/>
      <c r="DY10" s="54"/>
      <c r="DZ10" s="56"/>
      <c r="EA10" s="56"/>
      <c r="EB10" s="54"/>
      <c r="EC10" s="54"/>
      <c r="ED10" s="54"/>
      <c r="EE10" s="54"/>
      <c r="EF10" s="54"/>
      <c r="EG10" s="54"/>
      <c r="EH10" s="54"/>
      <c r="EI10" s="54"/>
      <c r="EJ10" s="54"/>
      <c r="EK10" s="54"/>
      <c r="EL10" s="56"/>
      <c r="EM10" s="56"/>
      <c r="EN10" s="54"/>
      <c r="EO10" s="54"/>
      <c r="EP10" s="54"/>
      <c r="EQ10" s="54"/>
      <c r="ER10" s="54"/>
      <c r="ES10" s="54"/>
      <c r="ET10" s="54"/>
      <c r="EU10" s="54"/>
      <c r="EV10" s="56"/>
      <c r="EW10" s="56"/>
      <c r="EX10" s="54"/>
      <c r="EY10" s="54"/>
      <c r="EZ10" s="54"/>
      <c r="FA10" s="54"/>
      <c r="FB10" s="54"/>
      <c r="FC10" s="54"/>
      <c r="FD10" s="54"/>
      <c r="FE10" s="54"/>
      <c r="FF10" s="56"/>
      <c r="FG10" s="56"/>
      <c r="FH10" s="54"/>
      <c r="FI10" s="54"/>
      <c r="FJ10" s="54"/>
      <c r="FK10" s="54"/>
      <c r="FL10" s="54"/>
      <c r="FM10" s="54"/>
      <c r="FN10" s="54"/>
      <c r="FO10" s="54"/>
      <c r="FP10" s="54"/>
      <c r="FQ10" s="54"/>
      <c r="FR10" s="54"/>
      <c r="FS10" s="54"/>
      <c r="FT10" s="56"/>
      <c r="FU10" s="56"/>
      <c r="FV10" s="54"/>
      <c r="FW10" s="54"/>
      <c r="FX10" s="54"/>
      <c r="FY10" s="54"/>
      <c r="FZ10" s="56"/>
      <c r="GA10" s="56"/>
      <c r="GB10" s="54"/>
      <c r="GC10" s="54"/>
      <c r="GD10" s="54"/>
      <c r="GE10" s="54"/>
      <c r="GF10" s="54"/>
      <c r="GG10" s="54"/>
      <c r="GH10" s="56"/>
      <c r="GI10" s="56"/>
      <c r="GJ10" s="54"/>
      <c r="GK10" s="54"/>
      <c r="GL10" s="54"/>
      <c r="GM10" s="54"/>
      <c r="GN10" s="56"/>
      <c r="GO10" s="56"/>
      <c r="GP10" s="54"/>
      <c r="GQ10" s="54"/>
      <c r="GR10" s="56"/>
      <c r="GS10" s="56"/>
      <c r="GT10" s="54"/>
      <c r="GU10" s="54"/>
      <c r="GV10" s="54"/>
      <c r="GW10" s="54"/>
      <c r="GX10" s="54"/>
      <c r="GY10" s="54"/>
      <c r="GZ10" s="56"/>
      <c r="HA10" s="56"/>
      <c r="HB10" s="54"/>
      <c r="HC10" s="54"/>
      <c r="HD10" s="56"/>
      <c r="HE10" s="56"/>
      <c r="HF10" s="57"/>
      <c r="HG10" s="57"/>
      <c r="HH10" s="57"/>
      <c r="HI10" s="57"/>
      <c r="HJ10" s="60"/>
      <c r="HK10" s="60"/>
      <c r="HL10" s="60"/>
      <c r="HM10" s="60"/>
      <c r="HN10" s="60"/>
      <c r="HO10" s="60"/>
      <c r="HP10" s="60"/>
      <c r="HQ10" s="60"/>
      <c r="HR10" s="60"/>
      <c r="HS10" s="60"/>
      <c r="HT10" s="60"/>
      <c r="HU10" s="60"/>
      <c r="HV10" s="60"/>
      <c r="HW10" s="60"/>
      <c r="HX10" s="60"/>
      <c r="HY10" s="60"/>
      <c r="HZ10" s="60"/>
      <c r="IA10" s="60"/>
      <c r="IB10" s="60"/>
      <c r="IC10" s="60"/>
      <c r="ID10" s="60"/>
      <c r="IE10" s="60"/>
      <c r="IF10" s="60"/>
      <c r="IG10" s="60"/>
    </row>
    <row r="11" customFormat="false" ht="18.75" hidden="false" customHeight="true" outlineLevel="0" collapsed="false">
      <c r="A11" s="77" t="s">
        <v>100</v>
      </c>
      <c r="B11" s="22" t="s">
        <v>101</v>
      </c>
      <c r="C11" s="22" t="s">
        <v>102</v>
      </c>
      <c r="D11" s="22" t="s">
        <v>103</v>
      </c>
      <c r="E11" s="23" t="s">
        <v>62</v>
      </c>
      <c r="F11" s="26"/>
      <c r="G11" s="25" t="n">
        <v>0</v>
      </c>
      <c r="H11" s="78"/>
      <c r="I11" s="79" t="n">
        <v>6.75</v>
      </c>
      <c r="J11" s="26"/>
      <c r="K11" s="25" t="n">
        <v>3.25</v>
      </c>
      <c r="L11" s="24" t="n">
        <v>0</v>
      </c>
      <c r="M11" s="25" t="n">
        <v>0</v>
      </c>
      <c r="N11" s="24" t="n">
        <v>0</v>
      </c>
      <c r="O11" s="25" t="n">
        <v>0</v>
      </c>
      <c r="P11" s="78"/>
      <c r="Q11" s="79" t="n">
        <v>1</v>
      </c>
      <c r="R11" s="26"/>
      <c r="S11" s="25" t="n">
        <v>0</v>
      </c>
      <c r="T11" s="26"/>
      <c r="U11" s="25" t="n">
        <v>0</v>
      </c>
      <c r="V11" s="26"/>
      <c r="W11" s="25" t="n">
        <v>2.1</v>
      </c>
      <c r="X11" s="24" t="n">
        <v>7.1</v>
      </c>
      <c r="Y11" s="25" t="n">
        <v>0.65</v>
      </c>
      <c r="Z11" s="24" t="n">
        <v>26.75</v>
      </c>
      <c r="AA11" s="25" t="n">
        <v>1.9</v>
      </c>
      <c r="AB11" s="24" t="n">
        <v>9.25</v>
      </c>
      <c r="AC11" s="25" t="n">
        <v>0.25</v>
      </c>
      <c r="AD11" s="24" t="n">
        <v>0</v>
      </c>
      <c r="AE11" s="25" t="n">
        <v>0</v>
      </c>
      <c r="AF11" s="26"/>
      <c r="AG11" s="25" t="n">
        <v>0.85</v>
      </c>
      <c r="AH11" s="26"/>
      <c r="AI11" s="27"/>
      <c r="AJ11" s="78"/>
      <c r="AK11" s="80"/>
      <c r="AL11" s="26"/>
      <c r="AM11" s="27"/>
      <c r="AN11" s="26"/>
      <c r="AO11" s="27"/>
      <c r="AP11" s="26"/>
      <c r="AQ11" s="27"/>
      <c r="AR11" s="26"/>
      <c r="AS11" s="27"/>
      <c r="AT11" s="26"/>
      <c r="AU11" s="27"/>
      <c r="AV11" s="26"/>
      <c r="AW11" s="27"/>
      <c r="AX11" s="26"/>
      <c r="AY11" s="27"/>
      <c r="AZ11" s="26"/>
      <c r="BA11" s="27"/>
      <c r="BB11" s="26"/>
      <c r="BC11" s="27"/>
      <c r="BD11" s="26"/>
      <c r="BE11" s="80"/>
      <c r="BF11" s="26"/>
      <c r="BG11" s="27"/>
      <c r="BH11" s="26"/>
      <c r="BI11" s="27"/>
      <c r="BJ11" s="26"/>
      <c r="BK11" s="27"/>
      <c r="BL11" s="26"/>
      <c r="BM11" s="27"/>
      <c r="BN11" s="26"/>
      <c r="BO11" s="27"/>
      <c r="BP11" s="26"/>
      <c r="BQ11" s="27"/>
      <c r="BR11" s="78"/>
      <c r="BS11" s="80"/>
      <c r="BT11" s="26"/>
      <c r="BU11" s="27"/>
      <c r="BV11" s="26"/>
      <c r="BW11" s="27"/>
      <c r="BX11" s="78"/>
      <c r="BY11" s="80"/>
      <c r="BZ11" s="26"/>
      <c r="CA11" s="27"/>
      <c r="CB11" s="26"/>
      <c r="CC11" s="27"/>
      <c r="CD11" s="26"/>
      <c r="CE11" s="27"/>
      <c r="CF11" s="78"/>
      <c r="CG11" s="80"/>
      <c r="CH11" s="26"/>
      <c r="CI11" s="27"/>
      <c r="CJ11" s="26"/>
      <c r="CK11" s="27"/>
      <c r="CL11" s="26"/>
      <c r="CM11" s="27"/>
      <c r="CN11" s="26"/>
      <c r="CO11" s="27"/>
      <c r="CP11" s="26"/>
      <c r="CQ11" s="27"/>
      <c r="CR11" s="26"/>
      <c r="CS11" s="27"/>
      <c r="CT11" s="26"/>
      <c r="CU11" s="27"/>
      <c r="CV11" s="26"/>
      <c r="CW11" s="27"/>
      <c r="CX11" s="78"/>
      <c r="CY11" s="80"/>
      <c r="CZ11" s="26"/>
      <c r="DA11" s="27"/>
      <c r="DB11" s="78"/>
      <c r="DC11" s="80"/>
      <c r="DD11" s="28" t="n">
        <f aca="false">SUM(F11:DC11)</f>
        <v>59.85</v>
      </c>
      <c r="DE11" s="29" t="n">
        <f aca="false">B11-DD11</f>
        <v>1240.25</v>
      </c>
      <c r="DF11" s="30" t="n">
        <f aca="false">C11+DD11</f>
        <v>5250.4</v>
      </c>
      <c r="DG11" s="30" t="n">
        <f aca="false">D11+DD11</f>
        <v>9452.55</v>
      </c>
      <c r="DH11" s="26"/>
      <c r="DI11" s="27"/>
      <c r="DJ11" s="78"/>
      <c r="DK11" s="80"/>
      <c r="DL11" s="26"/>
      <c r="DM11" s="27"/>
      <c r="DN11" s="26"/>
      <c r="DO11" s="27"/>
      <c r="DP11" s="26"/>
      <c r="DQ11" s="27"/>
      <c r="DR11" s="78"/>
      <c r="DS11" s="80"/>
      <c r="DT11" s="26"/>
      <c r="DU11" s="27"/>
      <c r="DV11" s="26"/>
      <c r="DW11" s="27"/>
      <c r="DX11" s="26"/>
      <c r="DY11" s="27"/>
      <c r="DZ11" s="26"/>
      <c r="EA11" s="27"/>
      <c r="EB11" s="26"/>
      <c r="EC11" s="27"/>
      <c r="ED11" s="26"/>
      <c r="EE11" s="27"/>
      <c r="EF11" s="26"/>
      <c r="EG11" s="27"/>
      <c r="EH11" s="26"/>
      <c r="EI11" s="27"/>
      <c r="EJ11" s="26"/>
      <c r="EK11" s="27"/>
      <c r="EL11" s="78"/>
      <c r="EM11" s="80"/>
      <c r="EN11" s="26"/>
      <c r="EO11" s="27"/>
      <c r="EP11" s="26"/>
      <c r="EQ11" s="27"/>
      <c r="ER11" s="26"/>
      <c r="ES11" s="27"/>
      <c r="ET11" s="26"/>
      <c r="EU11" s="27"/>
      <c r="EV11" s="26"/>
      <c r="EW11" s="27"/>
      <c r="EX11" s="26"/>
      <c r="EY11" s="27"/>
      <c r="EZ11" s="26"/>
      <c r="FA11" s="27"/>
      <c r="FB11" s="26"/>
      <c r="FC11" s="27"/>
      <c r="FD11" s="26"/>
      <c r="FE11" s="27"/>
      <c r="FF11" s="26"/>
      <c r="FG11" s="80"/>
      <c r="FH11" s="26"/>
      <c r="FI11" s="27"/>
      <c r="FJ11" s="26"/>
      <c r="FK11" s="27"/>
      <c r="FL11" s="26"/>
      <c r="FM11" s="27"/>
      <c r="FN11" s="26"/>
      <c r="FO11" s="27"/>
      <c r="FP11" s="26"/>
      <c r="FQ11" s="27"/>
      <c r="FR11" s="26"/>
      <c r="FS11" s="27"/>
      <c r="FT11" s="78"/>
      <c r="FU11" s="80"/>
      <c r="FV11" s="26"/>
      <c r="FW11" s="27"/>
      <c r="FX11" s="26"/>
      <c r="FY11" s="27"/>
      <c r="FZ11" s="78"/>
      <c r="GA11" s="80"/>
      <c r="GB11" s="26"/>
      <c r="GC11" s="27"/>
      <c r="GD11" s="26"/>
      <c r="GE11" s="27"/>
      <c r="GF11" s="26"/>
      <c r="GG11" s="27"/>
      <c r="GH11" s="78"/>
      <c r="GI11" s="80"/>
      <c r="GJ11" s="26"/>
      <c r="GK11" s="27"/>
      <c r="GL11" s="26"/>
      <c r="GM11" s="27"/>
      <c r="GN11" s="26"/>
      <c r="GO11" s="27"/>
      <c r="GP11" s="26"/>
      <c r="GQ11" s="27"/>
      <c r="GR11" s="26"/>
      <c r="GS11" s="27"/>
      <c r="GT11" s="26"/>
      <c r="GU11" s="27"/>
      <c r="GV11" s="26"/>
      <c r="GW11" s="27"/>
      <c r="GX11" s="26"/>
      <c r="GY11" s="27"/>
      <c r="GZ11" s="78"/>
      <c r="HA11" s="80"/>
      <c r="HB11" s="26"/>
      <c r="HC11" s="27"/>
      <c r="HD11" s="78"/>
      <c r="HE11" s="80"/>
      <c r="HF11" s="28" t="n">
        <f aca="false">SUM(DH11:HE11)</f>
        <v>0</v>
      </c>
      <c r="HG11" s="29" t="n">
        <f aca="false">DE11-HF11</f>
        <v>1240.25</v>
      </c>
      <c r="HH11" s="30" t="n">
        <f aca="false">DF11+HF11</f>
        <v>5250.4</v>
      </c>
      <c r="HI11" s="31" t="n">
        <f aca="false">DG11+HF11</f>
        <v>9452.55</v>
      </c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</row>
    <row r="12" customFormat="false" ht="17.25" hidden="false" customHeight="true" outlineLevel="0" collapsed="false">
      <c r="A12" s="77"/>
      <c r="B12" s="22"/>
      <c r="C12" s="22"/>
      <c r="D12" s="22"/>
      <c r="E12" s="23" t="s">
        <v>63</v>
      </c>
      <c r="F12" s="81"/>
      <c r="G12" s="81"/>
      <c r="H12" s="81"/>
      <c r="I12" s="81"/>
      <c r="J12" s="81"/>
      <c r="K12" s="81"/>
      <c r="L12" s="33" t="s">
        <v>104</v>
      </c>
      <c r="M12" s="33"/>
      <c r="N12" s="33" t="s">
        <v>104</v>
      </c>
      <c r="O12" s="33"/>
      <c r="P12" s="47"/>
      <c r="Q12" s="47"/>
      <c r="R12" s="47"/>
      <c r="S12" s="47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82" t="s">
        <v>105</v>
      </c>
      <c r="AI12" s="82"/>
      <c r="AJ12" s="82"/>
      <c r="AK12" s="82"/>
      <c r="AL12" s="82"/>
      <c r="AM12" s="82"/>
      <c r="AN12" s="82"/>
      <c r="AO12" s="82"/>
      <c r="AP12" s="82"/>
      <c r="AQ12" s="82"/>
      <c r="AR12" s="82"/>
      <c r="AS12" s="82"/>
      <c r="AT12" s="83" t="s">
        <v>106</v>
      </c>
      <c r="AU12" s="83"/>
      <c r="AV12" s="40"/>
      <c r="AW12" s="40"/>
      <c r="AX12" s="72"/>
      <c r="AY12" s="72"/>
      <c r="AZ12" s="72"/>
      <c r="BA12" s="72"/>
      <c r="BB12" s="39"/>
      <c r="BC12" s="39"/>
      <c r="BD12" s="39"/>
      <c r="BE12" s="39"/>
      <c r="BF12" s="26"/>
      <c r="BG12" s="26"/>
      <c r="BH12" s="39"/>
      <c r="BI12" s="39"/>
      <c r="BJ12" s="39"/>
      <c r="BK12" s="39"/>
      <c r="BL12" s="72"/>
      <c r="BM12" s="72"/>
      <c r="BN12" s="83" t="s">
        <v>107</v>
      </c>
      <c r="BO12" s="83"/>
      <c r="BP12" s="83" t="s">
        <v>107</v>
      </c>
      <c r="BQ12" s="83"/>
      <c r="BR12" s="72"/>
      <c r="BS12" s="72"/>
      <c r="BT12" s="40"/>
      <c r="BU12" s="40"/>
      <c r="BV12" s="72"/>
      <c r="BW12" s="72"/>
      <c r="BX12" s="72"/>
      <c r="BY12" s="72"/>
      <c r="BZ12" s="40"/>
      <c r="CA12" s="40"/>
      <c r="CB12" s="72"/>
      <c r="CC12" s="72"/>
      <c r="CD12" s="72"/>
      <c r="CE12" s="72"/>
      <c r="CF12" s="83" t="s">
        <v>108</v>
      </c>
      <c r="CG12" s="83"/>
      <c r="CH12" s="83" t="s">
        <v>108</v>
      </c>
      <c r="CI12" s="83"/>
      <c r="CJ12" s="39"/>
      <c r="CK12" s="39"/>
      <c r="CL12" s="39"/>
      <c r="CM12" s="39"/>
      <c r="CN12" s="26"/>
      <c r="CO12" s="26"/>
      <c r="CP12" s="39"/>
      <c r="CQ12" s="39"/>
      <c r="CR12" s="40"/>
      <c r="CS12" s="40"/>
      <c r="CT12" s="72"/>
      <c r="CU12" s="72"/>
      <c r="CV12" s="72"/>
      <c r="CW12" s="72"/>
      <c r="CX12" s="72"/>
      <c r="CY12" s="72"/>
      <c r="CZ12" s="72"/>
      <c r="DA12" s="72"/>
      <c r="DB12" s="72"/>
      <c r="DC12" s="72"/>
      <c r="DD12" s="43"/>
      <c r="DE12" s="44"/>
      <c r="DF12" s="43"/>
      <c r="DG12" s="44"/>
      <c r="DH12" s="39"/>
      <c r="DI12" s="39"/>
      <c r="DJ12" s="26"/>
      <c r="DK12" s="26"/>
      <c r="DL12" s="39"/>
      <c r="DM12" s="39"/>
      <c r="DN12" s="39"/>
      <c r="DO12" s="39"/>
      <c r="DP12" s="39"/>
      <c r="DQ12" s="39"/>
      <c r="DR12" s="39"/>
      <c r="DS12" s="39"/>
      <c r="DT12" s="39"/>
      <c r="DU12" s="39"/>
      <c r="DV12" s="26"/>
      <c r="DW12" s="26"/>
      <c r="DX12" s="39"/>
      <c r="DY12" s="39"/>
      <c r="DZ12" s="39"/>
      <c r="EA12" s="39"/>
      <c r="EB12" s="39"/>
      <c r="EC12" s="39"/>
      <c r="ED12" s="39"/>
      <c r="EE12" s="39"/>
      <c r="EF12" s="39"/>
      <c r="EG12" s="39"/>
      <c r="EH12" s="26"/>
      <c r="EI12" s="26"/>
      <c r="EJ12" s="39"/>
      <c r="EK12" s="39"/>
      <c r="EL12" s="39"/>
      <c r="EM12" s="39"/>
      <c r="EN12" s="39"/>
      <c r="EO12" s="39"/>
      <c r="EP12" s="39"/>
      <c r="EQ12" s="39"/>
      <c r="ER12" s="39"/>
      <c r="ES12" s="39"/>
      <c r="ET12" s="39"/>
      <c r="EU12" s="39"/>
      <c r="EV12" s="39"/>
      <c r="EW12" s="39"/>
      <c r="EX12" s="47"/>
      <c r="EY12" s="47"/>
      <c r="EZ12" s="39"/>
      <c r="FA12" s="39"/>
      <c r="FB12" s="39"/>
      <c r="FC12" s="39"/>
      <c r="FD12" s="39"/>
      <c r="FE12" s="39"/>
      <c r="FF12" s="39"/>
      <c r="FG12" s="39"/>
      <c r="FH12" s="39"/>
      <c r="FI12" s="39"/>
      <c r="FJ12" s="39"/>
      <c r="FK12" s="39"/>
      <c r="FL12" s="39"/>
      <c r="FM12" s="39"/>
      <c r="FN12" s="39"/>
      <c r="FO12" s="39"/>
      <c r="FP12" s="39"/>
      <c r="FQ12" s="39"/>
      <c r="FR12" s="39"/>
      <c r="FS12" s="39"/>
      <c r="FT12" s="39"/>
      <c r="FU12" s="39"/>
      <c r="FV12" s="39"/>
      <c r="FW12" s="39"/>
      <c r="FX12" s="39"/>
      <c r="FY12" s="39"/>
      <c r="FZ12" s="39"/>
      <c r="GA12" s="39"/>
      <c r="GB12" s="39"/>
      <c r="GC12" s="39"/>
      <c r="GD12" s="39"/>
      <c r="GE12" s="39"/>
      <c r="GF12" s="47"/>
      <c r="GG12" s="47"/>
      <c r="GH12" s="39"/>
      <c r="GI12" s="39"/>
      <c r="GJ12" s="39"/>
      <c r="GK12" s="39"/>
      <c r="GL12" s="39"/>
      <c r="GM12" s="39"/>
      <c r="GN12" s="26"/>
      <c r="GO12" s="26"/>
      <c r="GP12" s="39"/>
      <c r="GQ12" s="39"/>
      <c r="GR12" s="39"/>
      <c r="GS12" s="39"/>
      <c r="GT12" s="39"/>
      <c r="GU12" s="39"/>
      <c r="GV12" s="39"/>
      <c r="GW12" s="39"/>
      <c r="GX12" s="39"/>
      <c r="GY12" s="39"/>
      <c r="GZ12" s="39"/>
      <c r="HA12" s="39"/>
      <c r="HB12" s="39"/>
      <c r="HC12" s="39"/>
      <c r="HD12" s="39"/>
      <c r="HE12" s="39"/>
      <c r="HF12" s="39"/>
      <c r="HG12" s="39"/>
      <c r="HH12" s="47"/>
      <c r="HI12" s="47"/>
      <c r="HJ12" s="48"/>
      <c r="HK12" s="48"/>
      <c r="HL12" s="48"/>
      <c r="HM12" s="48"/>
      <c r="HN12" s="48"/>
      <c r="HO12" s="48"/>
      <c r="HP12" s="49"/>
      <c r="HQ12" s="49"/>
      <c r="HR12" s="48"/>
      <c r="HS12" s="48"/>
      <c r="HT12" s="48"/>
      <c r="HU12" s="48"/>
      <c r="HV12" s="48"/>
      <c r="HW12" s="48"/>
      <c r="HX12" s="49"/>
      <c r="HY12" s="49"/>
      <c r="HZ12" s="48"/>
      <c r="IA12" s="48"/>
      <c r="IB12" s="48"/>
      <c r="IC12" s="48"/>
      <c r="ID12" s="49"/>
      <c r="IE12" s="49"/>
      <c r="IF12" s="48"/>
      <c r="IG12" s="48"/>
    </row>
    <row r="13" customFormat="false" ht="12" hidden="false" customHeight="true" outlineLevel="0" collapsed="false">
      <c r="A13" s="77"/>
      <c r="B13" s="22"/>
      <c r="C13" s="22"/>
      <c r="D13" s="22"/>
      <c r="E13" s="51" t="s">
        <v>78</v>
      </c>
      <c r="F13" s="54"/>
      <c r="G13" s="54"/>
      <c r="H13" s="56"/>
      <c r="I13" s="56"/>
      <c r="J13" s="54"/>
      <c r="K13" s="54"/>
      <c r="L13" s="54"/>
      <c r="M13" s="54"/>
      <c r="N13" s="54"/>
      <c r="O13" s="54"/>
      <c r="P13" s="56"/>
      <c r="Q13" s="56"/>
      <c r="R13" s="54"/>
      <c r="S13" s="54"/>
      <c r="T13" s="54"/>
      <c r="U13" s="54"/>
      <c r="V13" s="56"/>
      <c r="W13" s="56"/>
      <c r="X13" s="54"/>
      <c r="Y13" s="54"/>
      <c r="Z13" s="54"/>
      <c r="AA13" s="54"/>
      <c r="AB13" s="54"/>
      <c r="AC13" s="54"/>
      <c r="AD13" s="84" t="s">
        <v>109</v>
      </c>
      <c r="AE13" s="84"/>
      <c r="AF13" s="54"/>
      <c r="AG13" s="54"/>
      <c r="AH13" s="54"/>
      <c r="AI13" s="54"/>
      <c r="AJ13" s="54"/>
      <c r="AK13" s="54"/>
      <c r="AL13" s="56"/>
      <c r="AM13" s="56"/>
      <c r="AN13" s="54"/>
      <c r="AO13" s="54"/>
      <c r="AP13" s="54"/>
      <c r="AQ13" s="54"/>
      <c r="AR13" s="56"/>
      <c r="AS13" s="56"/>
      <c r="AT13" s="54"/>
      <c r="AU13" s="54"/>
      <c r="AV13" s="54"/>
      <c r="AW13" s="54"/>
      <c r="AX13" s="54"/>
      <c r="AY13" s="54"/>
      <c r="AZ13" s="56"/>
      <c r="BA13" s="56"/>
      <c r="BB13" s="54"/>
      <c r="BC13" s="54"/>
      <c r="BD13" s="54"/>
      <c r="BE13" s="54"/>
      <c r="BF13" s="54"/>
      <c r="BG13" s="54"/>
      <c r="BH13" s="56"/>
      <c r="BI13" s="56"/>
      <c r="BJ13" s="54"/>
      <c r="BK13" s="54"/>
      <c r="BL13" s="54"/>
      <c r="BM13" s="54"/>
      <c r="BN13" s="56"/>
      <c r="BO13" s="56"/>
      <c r="BP13" s="54"/>
      <c r="BQ13" s="54"/>
      <c r="BR13" s="54"/>
      <c r="BS13" s="54"/>
      <c r="BT13" s="54"/>
      <c r="BU13" s="54"/>
      <c r="BV13" s="56"/>
      <c r="BW13" s="56"/>
      <c r="BX13" s="54"/>
      <c r="BY13" s="54"/>
      <c r="BZ13" s="54"/>
      <c r="CA13" s="54"/>
      <c r="CB13" s="54"/>
      <c r="CC13" s="54"/>
      <c r="CD13" s="56"/>
      <c r="CE13" s="56"/>
      <c r="CF13" s="54"/>
      <c r="CG13" s="54"/>
      <c r="CH13" s="54"/>
      <c r="CI13" s="54"/>
      <c r="CJ13" s="56"/>
      <c r="CK13" s="56"/>
      <c r="CL13" s="54"/>
      <c r="CM13" s="54"/>
      <c r="CN13" s="54"/>
      <c r="CO13" s="54"/>
      <c r="CP13" s="54"/>
      <c r="CQ13" s="54"/>
      <c r="CR13" s="56"/>
      <c r="CS13" s="56"/>
      <c r="CT13" s="54"/>
      <c r="CU13" s="54"/>
      <c r="CV13" s="54"/>
      <c r="CW13" s="54"/>
      <c r="CX13" s="54"/>
      <c r="CY13" s="54"/>
      <c r="CZ13" s="56"/>
      <c r="DA13" s="56"/>
      <c r="DB13" s="54"/>
      <c r="DC13" s="54"/>
      <c r="DD13" s="85"/>
      <c r="DE13" s="86"/>
      <c r="DF13" s="86"/>
      <c r="DG13" s="86"/>
      <c r="DH13" s="54"/>
      <c r="DI13" s="54"/>
      <c r="DJ13" s="76"/>
      <c r="DK13" s="76"/>
      <c r="DL13" s="54"/>
      <c r="DM13" s="54"/>
      <c r="DN13" s="54"/>
      <c r="DO13" s="54"/>
      <c r="DP13" s="54"/>
      <c r="DQ13" s="54"/>
      <c r="DR13" s="56"/>
      <c r="DS13" s="56"/>
      <c r="DT13" s="54"/>
      <c r="DU13" s="54"/>
      <c r="DV13" s="54"/>
      <c r="DW13" s="54"/>
      <c r="DX13" s="56"/>
      <c r="DY13" s="56"/>
      <c r="DZ13" s="54"/>
      <c r="EA13" s="54"/>
      <c r="EB13" s="54"/>
      <c r="EC13" s="54"/>
      <c r="ED13" s="54"/>
      <c r="EE13" s="54"/>
      <c r="EF13" s="56"/>
      <c r="EG13" s="56"/>
      <c r="EH13" s="54"/>
      <c r="EI13" s="54"/>
      <c r="EJ13" s="54"/>
      <c r="EK13" s="54"/>
      <c r="EL13" s="54"/>
      <c r="EM13" s="54"/>
      <c r="EN13" s="56"/>
      <c r="EO13" s="56"/>
      <c r="EP13" s="54"/>
      <c r="EQ13" s="54"/>
      <c r="ER13" s="54"/>
      <c r="ES13" s="54"/>
      <c r="ET13" s="56"/>
      <c r="EU13" s="56"/>
      <c r="EV13" s="54"/>
      <c r="EW13" s="54"/>
      <c r="EX13" s="54"/>
      <c r="EY13" s="54"/>
      <c r="EZ13" s="54"/>
      <c r="FA13" s="54"/>
      <c r="FB13" s="56"/>
      <c r="FC13" s="56"/>
      <c r="FD13" s="54"/>
      <c r="FE13" s="54"/>
      <c r="FF13" s="54"/>
      <c r="FG13" s="54"/>
      <c r="FH13" s="54"/>
      <c r="FI13" s="54"/>
      <c r="FJ13" s="56"/>
      <c r="FK13" s="56"/>
      <c r="FL13" s="54"/>
      <c r="FM13" s="54"/>
      <c r="FN13" s="54"/>
      <c r="FO13" s="54"/>
      <c r="FP13" s="56"/>
      <c r="FQ13" s="56"/>
      <c r="FR13" s="54"/>
      <c r="FS13" s="54"/>
      <c r="FT13" s="54"/>
      <c r="FU13" s="54"/>
      <c r="FV13" s="54"/>
      <c r="FW13" s="54"/>
      <c r="FX13" s="56"/>
      <c r="FY13" s="56"/>
      <c r="FZ13" s="54"/>
      <c r="GA13" s="54"/>
      <c r="GB13" s="54"/>
      <c r="GC13" s="54"/>
      <c r="GD13" s="54"/>
      <c r="GE13" s="54"/>
      <c r="GF13" s="56"/>
      <c r="GG13" s="56"/>
      <c r="GH13" s="54"/>
      <c r="GI13" s="54"/>
      <c r="GJ13" s="54"/>
      <c r="GK13" s="54"/>
      <c r="GL13" s="56"/>
      <c r="GM13" s="56"/>
      <c r="GN13" s="54"/>
      <c r="GO13" s="54"/>
      <c r="GP13" s="54"/>
      <c r="GQ13" s="54"/>
      <c r="GR13" s="54"/>
      <c r="GS13" s="54"/>
      <c r="GT13" s="56"/>
      <c r="GU13" s="56"/>
      <c r="GV13" s="54"/>
      <c r="GW13" s="54"/>
      <c r="GX13" s="54"/>
      <c r="GY13" s="54"/>
      <c r="GZ13" s="54"/>
      <c r="HA13" s="54"/>
      <c r="HB13" s="56"/>
      <c r="HC13" s="56"/>
      <c r="HD13" s="54"/>
      <c r="HE13" s="54"/>
      <c r="HF13" s="85"/>
      <c r="HG13" s="86"/>
      <c r="HH13" s="86"/>
      <c r="HI13" s="86"/>
      <c r="HJ13" s="86"/>
      <c r="HK13" s="86"/>
      <c r="HL13" s="86"/>
      <c r="HM13" s="86"/>
      <c r="HN13" s="86"/>
      <c r="HO13" s="86"/>
      <c r="HP13" s="86"/>
      <c r="HQ13" s="86"/>
      <c r="HR13" s="86"/>
      <c r="HS13" s="86"/>
      <c r="HT13" s="86"/>
      <c r="HU13" s="86"/>
      <c r="HV13" s="86"/>
      <c r="HW13" s="86"/>
      <c r="HX13" s="86"/>
      <c r="HY13" s="86"/>
      <c r="HZ13" s="86"/>
      <c r="IA13" s="86"/>
      <c r="IB13" s="86"/>
      <c r="IC13" s="86"/>
      <c r="ID13" s="86"/>
      <c r="IE13" s="86"/>
      <c r="IF13" s="86"/>
      <c r="IG13" s="86"/>
    </row>
    <row r="14" customFormat="false" ht="18.75" hidden="false" customHeight="true" outlineLevel="0" collapsed="false">
      <c r="A14" s="87" t="s">
        <v>110</v>
      </c>
      <c r="B14" s="62" t="s">
        <v>111</v>
      </c>
      <c r="C14" s="62" t="s">
        <v>112</v>
      </c>
      <c r="D14" s="62" t="s">
        <v>113</v>
      </c>
      <c r="E14" s="63" t="s">
        <v>62</v>
      </c>
      <c r="F14" s="26"/>
      <c r="G14" s="25" t="n">
        <v>0</v>
      </c>
      <c r="H14" s="26"/>
      <c r="I14" s="25" t="n">
        <v>4.85</v>
      </c>
      <c r="J14" s="26"/>
      <c r="K14" s="25" t="n">
        <v>0</v>
      </c>
      <c r="L14" s="26"/>
      <c r="M14" s="25" t="n">
        <v>2.1</v>
      </c>
      <c r="N14" s="24" t="n">
        <v>0</v>
      </c>
      <c r="O14" s="25" t="n">
        <v>0</v>
      </c>
      <c r="P14" s="24" t="n">
        <v>0</v>
      </c>
      <c r="Q14" s="25" t="n">
        <v>0</v>
      </c>
      <c r="R14" s="24" t="n">
        <v>0</v>
      </c>
      <c r="S14" s="25" t="n">
        <v>0</v>
      </c>
      <c r="T14" s="24" t="n">
        <v>0</v>
      </c>
      <c r="U14" s="25" t="n">
        <v>0</v>
      </c>
      <c r="V14" s="26"/>
      <c r="W14" s="25" t="n">
        <v>0.85</v>
      </c>
      <c r="X14" s="24" t="n">
        <v>7.75</v>
      </c>
      <c r="Y14" s="25" t="n">
        <v>1.75</v>
      </c>
      <c r="Z14" s="24" t="n">
        <v>0</v>
      </c>
      <c r="AA14" s="25" t="n">
        <v>0</v>
      </c>
      <c r="AB14" s="26"/>
      <c r="AC14" s="25" t="n">
        <v>0.6</v>
      </c>
      <c r="AD14" s="24" t="n">
        <v>0</v>
      </c>
      <c r="AE14" s="25" t="n">
        <v>0</v>
      </c>
      <c r="AF14" s="24" t="n">
        <v>0</v>
      </c>
      <c r="AG14" s="25" t="n">
        <v>0</v>
      </c>
      <c r="AH14" s="24" t="n">
        <v>0</v>
      </c>
      <c r="AI14" s="25" t="n">
        <v>0</v>
      </c>
      <c r="AJ14" s="24" t="n">
        <v>0</v>
      </c>
      <c r="AK14" s="25" t="n">
        <v>0</v>
      </c>
      <c r="AL14" s="24" t="n">
        <v>0</v>
      </c>
      <c r="AM14" s="25" t="n">
        <v>0</v>
      </c>
      <c r="AN14" s="26"/>
      <c r="AO14" s="25" t="n">
        <v>0.65</v>
      </c>
      <c r="AP14" s="26"/>
      <c r="AQ14" s="25" t="n">
        <v>0</v>
      </c>
      <c r="AR14" s="24" t="n">
        <v>0.75</v>
      </c>
      <c r="AS14" s="25" t="n">
        <v>1.85</v>
      </c>
      <c r="AT14" s="24" t="n">
        <v>2.85</v>
      </c>
      <c r="AU14" s="25" t="n">
        <v>16.5</v>
      </c>
      <c r="AV14" s="26"/>
      <c r="AW14" s="25" t="n">
        <v>25.65</v>
      </c>
      <c r="AX14" s="26"/>
      <c r="AY14" s="27"/>
      <c r="AZ14" s="26"/>
      <c r="BA14" s="27"/>
      <c r="BB14" s="26"/>
      <c r="BC14" s="27"/>
      <c r="BD14" s="26"/>
      <c r="BE14" s="27"/>
      <c r="BF14" s="26"/>
      <c r="BG14" s="27"/>
      <c r="BH14" s="26"/>
      <c r="BI14" s="27"/>
      <c r="BJ14" s="26"/>
      <c r="BK14" s="27"/>
      <c r="BL14" s="26"/>
      <c r="BM14" s="27"/>
      <c r="BN14" s="26"/>
      <c r="BO14" s="27"/>
      <c r="BP14" s="26"/>
      <c r="BQ14" s="27"/>
      <c r="BR14" s="26"/>
      <c r="BS14" s="27"/>
      <c r="BT14" s="26"/>
      <c r="BU14" s="27"/>
      <c r="BV14" s="26"/>
      <c r="BW14" s="27"/>
      <c r="BX14" s="26"/>
      <c r="BY14" s="27"/>
      <c r="BZ14" s="26"/>
      <c r="CA14" s="27"/>
      <c r="CB14" s="26"/>
      <c r="CC14" s="27"/>
      <c r="CD14" s="26"/>
      <c r="CE14" s="27"/>
      <c r="CF14" s="26"/>
      <c r="CG14" s="27"/>
      <c r="CH14" s="26"/>
      <c r="CI14" s="27"/>
      <c r="CJ14" s="26"/>
      <c r="CK14" s="27"/>
      <c r="CL14" s="26"/>
      <c r="CM14" s="27"/>
      <c r="CN14" s="26"/>
      <c r="CO14" s="27"/>
      <c r="CP14" s="26"/>
      <c r="CQ14" s="27"/>
      <c r="CR14" s="26"/>
      <c r="CS14" s="27"/>
      <c r="CT14" s="26"/>
      <c r="CU14" s="27"/>
      <c r="CV14" s="26"/>
      <c r="CW14" s="27"/>
      <c r="CX14" s="26"/>
      <c r="CY14" s="27"/>
      <c r="CZ14" s="26"/>
      <c r="DA14" s="27"/>
      <c r="DB14" s="26"/>
      <c r="DC14" s="27"/>
      <c r="DD14" s="28" t="n">
        <f aca="false">SUM(F14:DC14)</f>
        <v>66.15</v>
      </c>
      <c r="DE14" s="29" t="n">
        <f aca="false">B14-DD14</f>
        <v>1297.8</v>
      </c>
      <c r="DF14" s="30" t="n">
        <f aca="false">C14+DD14</f>
        <v>5094.4</v>
      </c>
      <c r="DG14" s="30" t="n">
        <f aca="false">D14+DD14</f>
        <v>7526.8</v>
      </c>
      <c r="DH14" s="26"/>
      <c r="DI14" s="27"/>
      <c r="DJ14" s="26"/>
      <c r="DK14" s="27"/>
      <c r="DL14" s="26"/>
      <c r="DM14" s="27"/>
      <c r="DN14" s="26"/>
      <c r="DO14" s="27"/>
      <c r="DP14" s="26"/>
      <c r="DQ14" s="27"/>
      <c r="DR14" s="26"/>
      <c r="DS14" s="27"/>
      <c r="DT14" s="26"/>
      <c r="DU14" s="27"/>
      <c r="DV14" s="26"/>
      <c r="DW14" s="27"/>
      <c r="DX14" s="26"/>
      <c r="DY14" s="27"/>
      <c r="DZ14" s="26"/>
      <c r="EA14" s="27"/>
      <c r="EB14" s="26"/>
      <c r="EC14" s="27"/>
      <c r="ED14" s="26"/>
      <c r="EE14" s="27"/>
      <c r="EF14" s="26"/>
      <c r="EG14" s="27"/>
      <c r="EH14" s="26"/>
      <c r="EI14" s="27"/>
      <c r="EJ14" s="26"/>
      <c r="EK14" s="27"/>
      <c r="EL14" s="26"/>
      <c r="EM14" s="27"/>
      <c r="EN14" s="26"/>
      <c r="EO14" s="27"/>
      <c r="EP14" s="26"/>
      <c r="EQ14" s="27"/>
      <c r="ER14" s="26"/>
      <c r="ES14" s="27"/>
      <c r="ET14" s="26"/>
      <c r="EU14" s="27"/>
      <c r="EV14" s="26"/>
      <c r="EW14" s="27"/>
      <c r="EX14" s="26"/>
      <c r="EY14" s="27"/>
      <c r="EZ14" s="26"/>
      <c r="FA14" s="27"/>
      <c r="FB14" s="26"/>
      <c r="FC14" s="27"/>
      <c r="FD14" s="26"/>
      <c r="FE14" s="27"/>
      <c r="FF14" s="26"/>
      <c r="FG14" s="27"/>
      <c r="FH14" s="26"/>
      <c r="FI14" s="27"/>
      <c r="FJ14" s="26"/>
      <c r="FK14" s="27"/>
      <c r="FL14" s="26"/>
      <c r="FM14" s="27"/>
      <c r="FN14" s="26"/>
      <c r="FO14" s="27"/>
      <c r="FP14" s="26"/>
      <c r="FQ14" s="27"/>
      <c r="FR14" s="26"/>
      <c r="FS14" s="27"/>
      <c r="FT14" s="26"/>
      <c r="FU14" s="27"/>
      <c r="FV14" s="26"/>
      <c r="FW14" s="27"/>
      <c r="FX14" s="26"/>
      <c r="FY14" s="27"/>
      <c r="FZ14" s="26"/>
      <c r="GA14" s="27"/>
      <c r="GB14" s="26"/>
      <c r="GC14" s="27"/>
      <c r="GD14" s="26"/>
      <c r="GE14" s="27"/>
      <c r="GF14" s="26"/>
      <c r="GG14" s="27"/>
      <c r="GH14" s="26"/>
      <c r="GI14" s="27"/>
      <c r="GJ14" s="26"/>
      <c r="GK14" s="27"/>
      <c r="GL14" s="26"/>
      <c r="GM14" s="27"/>
      <c r="GN14" s="26"/>
      <c r="GO14" s="27"/>
      <c r="GP14" s="26"/>
      <c r="GQ14" s="27"/>
      <c r="GR14" s="26"/>
      <c r="GS14" s="27"/>
      <c r="GT14" s="26"/>
      <c r="GU14" s="27"/>
      <c r="GV14" s="26"/>
      <c r="GW14" s="27"/>
      <c r="GX14" s="26"/>
      <c r="GY14" s="27"/>
      <c r="GZ14" s="26"/>
      <c r="HA14" s="27"/>
      <c r="HB14" s="26"/>
      <c r="HC14" s="27"/>
      <c r="HD14" s="26"/>
      <c r="HE14" s="27"/>
      <c r="HF14" s="28" t="n">
        <f aca="false">SUM(DH14:HE14)</f>
        <v>0</v>
      </c>
      <c r="HG14" s="29" t="n">
        <f aca="false">DE14-HF14</f>
        <v>1297.8</v>
      </c>
      <c r="HH14" s="30" t="n">
        <f aca="false">DF14+HF14</f>
        <v>5094.4</v>
      </c>
      <c r="HI14" s="31" t="n">
        <f aca="false">DF14+HF14</f>
        <v>5094.4</v>
      </c>
      <c r="HJ14" s="32"/>
      <c r="HK14" s="32"/>
      <c r="HL14" s="32"/>
      <c r="HM14" s="32"/>
      <c r="HN14" s="32"/>
      <c r="HO14" s="32"/>
      <c r="HP14" s="32"/>
      <c r="HQ14" s="32"/>
      <c r="HR14" s="32"/>
      <c r="HS14" s="32"/>
      <c r="HT14" s="32"/>
      <c r="HU14" s="32"/>
      <c r="HV14" s="32"/>
      <c r="HW14" s="32"/>
      <c r="HX14" s="32"/>
      <c r="HY14" s="32"/>
      <c r="HZ14" s="32"/>
      <c r="IA14" s="32"/>
      <c r="IB14" s="32"/>
      <c r="IC14" s="32"/>
      <c r="ID14" s="32"/>
      <c r="IE14" s="32"/>
      <c r="IF14" s="32"/>
      <c r="IG14" s="32"/>
    </row>
    <row r="15" customFormat="false" ht="18" hidden="false" customHeight="true" outlineLevel="0" collapsed="false">
      <c r="A15" s="87"/>
      <c r="B15" s="62"/>
      <c r="C15" s="62"/>
      <c r="D15" s="62"/>
      <c r="E15" s="63" t="s">
        <v>63</v>
      </c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88" t="s">
        <v>114</v>
      </c>
      <c r="U15" s="88"/>
      <c r="V15" s="39"/>
      <c r="W15" s="39"/>
      <c r="X15" s="39"/>
      <c r="Y15" s="39"/>
      <c r="Z15" s="39"/>
      <c r="AA15" s="39"/>
      <c r="AB15" s="39"/>
      <c r="AC15" s="39"/>
      <c r="AD15" s="71" t="s">
        <v>115</v>
      </c>
      <c r="AE15" s="71"/>
      <c r="AF15" s="33" t="s">
        <v>115</v>
      </c>
      <c r="AG15" s="33"/>
      <c r="AH15" s="33" t="s">
        <v>115</v>
      </c>
      <c r="AI15" s="33"/>
      <c r="AJ15" s="89" t="s">
        <v>115</v>
      </c>
      <c r="AK15" s="89"/>
      <c r="AL15" s="89" t="s">
        <v>115</v>
      </c>
      <c r="AM15" s="89"/>
      <c r="AN15" s="72"/>
      <c r="AO15" s="72"/>
      <c r="AP15" s="40"/>
      <c r="AQ15" s="40"/>
      <c r="AR15" s="72"/>
      <c r="AS15" s="72"/>
      <c r="AT15" s="38"/>
      <c r="AU15" s="38"/>
      <c r="AV15" s="36"/>
      <c r="AW15" s="36"/>
      <c r="AX15" s="90" t="s">
        <v>116</v>
      </c>
      <c r="AY15" s="90"/>
      <c r="AZ15" s="90"/>
      <c r="BA15" s="90"/>
      <c r="BB15" s="83" t="s">
        <v>117</v>
      </c>
      <c r="BC15" s="83"/>
      <c r="BD15" s="91" t="s">
        <v>118</v>
      </c>
      <c r="BE15" s="91"/>
      <c r="BF15" s="91"/>
      <c r="BG15" s="91"/>
      <c r="BH15" s="91"/>
      <c r="BI15" s="91"/>
      <c r="BJ15" s="91"/>
      <c r="BK15" s="91"/>
      <c r="BL15" s="91"/>
      <c r="BM15" s="91"/>
      <c r="BP15" s="83" t="s">
        <v>119</v>
      </c>
      <c r="BQ15" s="83"/>
      <c r="BV15" s="39"/>
      <c r="BW15" s="39"/>
      <c r="BX15" s="39"/>
      <c r="BY15" s="39"/>
      <c r="BZ15" s="72"/>
      <c r="CA15" s="72"/>
      <c r="CB15" s="39"/>
      <c r="CC15" s="39"/>
      <c r="CD15" s="26"/>
      <c r="CE15" s="26"/>
      <c r="CF15" s="83" t="s">
        <v>120</v>
      </c>
      <c r="CG15" s="83"/>
      <c r="CR15" s="40"/>
      <c r="CS15" s="40"/>
      <c r="CT15" s="39"/>
      <c r="CU15" s="39"/>
      <c r="CV15" s="26"/>
      <c r="CW15" s="26"/>
      <c r="CX15" s="83" t="s">
        <v>121</v>
      </c>
      <c r="CY15" s="83"/>
      <c r="CZ15" s="83" t="s">
        <v>121</v>
      </c>
      <c r="DA15" s="83"/>
      <c r="DB15" s="39"/>
      <c r="DC15" s="39"/>
      <c r="DD15" s="43"/>
      <c r="DE15" s="44"/>
      <c r="DF15" s="43"/>
      <c r="DG15" s="44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6"/>
      <c r="EK15" s="36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  <c r="FB15" s="39"/>
      <c r="FC15" s="39"/>
      <c r="FD15" s="38"/>
      <c r="FE15" s="38"/>
      <c r="FF15" s="36"/>
      <c r="FG15" s="36"/>
      <c r="FH15" s="38"/>
      <c r="FI15" s="38"/>
      <c r="FJ15" s="38"/>
      <c r="FK15" s="38"/>
      <c r="FL15" s="38"/>
      <c r="FM15" s="38"/>
      <c r="FN15" s="38"/>
      <c r="FO15" s="38"/>
      <c r="FP15" s="38"/>
      <c r="FQ15" s="38"/>
      <c r="FR15" s="38"/>
      <c r="FS15" s="38"/>
      <c r="FT15" s="38"/>
      <c r="FU15" s="38"/>
      <c r="FV15" s="36"/>
      <c r="FW15" s="36"/>
      <c r="FX15" s="38"/>
      <c r="FY15" s="38"/>
      <c r="FZ15" s="38"/>
      <c r="GA15" s="38"/>
      <c r="GB15" s="38"/>
      <c r="GC15" s="38"/>
      <c r="GD15" s="38"/>
      <c r="GE15" s="38"/>
      <c r="GF15" s="38"/>
      <c r="GG15" s="38"/>
      <c r="GH15" s="38"/>
      <c r="GI15" s="38"/>
      <c r="GJ15" s="38"/>
      <c r="GK15" s="38"/>
      <c r="GL15" s="38"/>
      <c r="GM15" s="38"/>
      <c r="GN15" s="39"/>
      <c r="GO15" s="39"/>
      <c r="GP15" s="26"/>
      <c r="GQ15" s="26"/>
      <c r="GR15" s="39"/>
      <c r="GS15" s="39"/>
      <c r="GT15" s="39"/>
      <c r="GU15" s="39"/>
      <c r="GV15" s="39"/>
      <c r="GW15" s="39"/>
      <c r="GX15" s="39"/>
      <c r="GY15" s="39"/>
      <c r="GZ15" s="39"/>
      <c r="HA15" s="39"/>
      <c r="HB15" s="39"/>
      <c r="HC15" s="39"/>
      <c r="HD15" s="39"/>
      <c r="HE15" s="39"/>
      <c r="HF15" s="39"/>
      <c r="HG15" s="39"/>
      <c r="HH15" s="47"/>
      <c r="HI15" s="47"/>
      <c r="HJ15" s="48"/>
      <c r="HK15" s="48"/>
      <c r="HL15" s="48"/>
      <c r="HM15" s="48"/>
      <c r="HN15" s="48"/>
      <c r="HO15" s="48"/>
      <c r="HP15" s="49"/>
      <c r="HQ15" s="49"/>
      <c r="HR15" s="48"/>
      <c r="HS15" s="48"/>
      <c r="HT15" s="48"/>
      <c r="HU15" s="48"/>
      <c r="HV15" s="48"/>
      <c r="HW15" s="48"/>
      <c r="HX15" s="49"/>
      <c r="HY15" s="49"/>
      <c r="HZ15" s="48"/>
      <c r="IA15" s="48"/>
      <c r="IB15" s="48"/>
      <c r="IC15" s="48"/>
      <c r="ID15" s="49"/>
      <c r="IE15" s="49"/>
      <c r="IF15" s="48"/>
      <c r="IG15" s="48"/>
    </row>
    <row r="16" customFormat="false" ht="11.25" hidden="false" customHeight="true" outlineLevel="0" collapsed="false">
      <c r="A16" s="87"/>
      <c r="B16" s="62"/>
      <c r="C16" s="62"/>
      <c r="D16" s="62"/>
      <c r="E16" s="63" t="s">
        <v>78</v>
      </c>
      <c r="F16" s="54"/>
      <c r="G16" s="54"/>
      <c r="H16" s="56"/>
      <c r="I16" s="56"/>
      <c r="J16" s="54"/>
      <c r="K16" s="54"/>
      <c r="L16" s="92" t="s">
        <v>122</v>
      </c>
      <c r="M16" s="92"/>
      <c r="N16" s="92"/>
      <c r="O16" s="92"/>
      <c r="P16" s="92"/>
      <c r="Q16" s="92"/>
      <c r="R16" s="92"/>
      <c r="S16" s="92"/>
      <c r="T16" s="92"/>
      <c r="U16" s="92"/>
      <c r="V16" s="54"/>
      <c r="W16" s="54"/>
      <c r="X16" s="56"/>
      <c r="Y16" s="56"/>
      <c r="Z16" s="93" t="s">
        <v>123</v>
      </c>
      <c r="AA16" s="93"/>
      <c r="AB16" s="93"/>
      <c r="AC16" s="93"/>
      <c r="AD16" s="54"/>
      <c r="AE16" s="54"/>
      <c r="AF16" s="54"/>
      <c r="AG16" s="54"/>
      <c r="AH16" s="54"/>
      <c r="AI16" s="54"/>
      <c r="AJ16" s="56"/>
      <c r="AK16" s="56"/>
      <c r="AL16" s="93" t="s">
        <v>124</v>
      </c>
      <c r="AM16" s="93"/>
      <c r="AN16" s="54"/>
      <c r="AO16" s="54"/>
      <c r="AP16" s="94" t="s">
        <v>125</v>
      </c>
      <c r="AQ16" s="94"/>
      <c r="AR16" s="54"/>
      <c r="AS16" s="54"/>
      <c r="AT16" s="56"/>
      <c r="AU16" s="56"/>
      <c r="AV16" s="54"/>
      <c r="AW16" s="54"/>
      <c r="AX16" s="95" t="s">
        <v>126</v>
      </c>
      <c r="AY16" s="95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54"/>
      <c r="BO16" s="54"/>
      <c r="BP16" s="54"/>
      <c r="BQ16" s="54"/>
      <c r="BR16" s="56"/>
      <c r="BS16" s="56"/>
      <c r="BT16" s="54"/>
      <c r="BU16" s="54"/>
      <c r="BV16" s="54"/>
      <c r="BW16" s="54"/>
      <c r="BX16" s="56"/>
      <c r="BY16" s="56"/>
      <c r="BZ16" s="54"/>
      <c r="CA16" s="54"/>
      <c r="CB16" s="54"/>
      <c r="CC16" s="54"/>
      <c r="CD16" s="56"/>
      <c r="CE16" s="56"/>
      <c r="CF16" s="54"/>
      <c r="CG16" s="54"/>
      <c r="CH16" s="56"/>
      <c r="CI16" s="56"/>
      <c r="CJ16" s="54"/>
      <c r="CK16" s="54"/>
      <c r="CL16" s="54"/>
      <c r="CM16" s="54"/>
      <c r="CN16" s="56"/>
      <c r="CO16" s="56"/>
      <c r="CP16" s="54"/>
      <c r="CQ16" s="54"/>
      <c r="CR16" s="54"/>
      <c r="CS16" s="54"/>
      <c r="CT16" s="54"/>
      <c r="CU16" s="54"/>
      <c r="CV16" s="54"/>
      <c r="CW16" s="54"/>
      <c r="CX16" s="56"/>
      <c r="CY16" s="56"/>
      <c r="CZ16" s="54"/>
      <c r="DA16" s="54"/>
      <c r="DB16" s="56"/>
      <c r="DC16" s="56"/>
      <c r="DD16" s="57"/>
      <c r="DE16" s="57"/>
      <c r="DF16" s="57"/>
      <c r="DG16" s="57"/>
      <c r="DH16" s="54"/>
      <c r="DI16" s="54"/>
      <c r="DJ16" s="76"/>
      <c r="DK16" s="76"/>
      <c r="DL16" s="54"/>
      <c r="DM16" s="54"/>
      <c r="DN16" s="54"/>
      <c r="DO16" s="54"/>
      <c r="DP16" s="54"/>
      <c r="DQ16" s="54"/>
      <c r="DR16" s="56"/>
      <c r="DS16" s="56"/>
      <c r="DT16" s="54"/>
      <c r="DU16" s="54"/>
      <c r="DV16" s="54"/>
      <c r="DW16" s="54"/>
      <c r="DX16" s="54"/>
      <c r="DY16" s="54"/>
      <c r="DZ16" s="56"/>
      <c r="EA16" s="56"/>
      <c r="EB16" s="54"/>
      <c r="EC16" s="54"/>
      <c r="ED16" s="54"/>
      <c r="EE16" s="54"/>
      <c r="EF16" s="54"/>
      <c r="EG16" s="54"/>
      <c r="EH16" s="54"/>
      <c r="EI16" s="54"/>
      <c r="EJ16" s="54"/>
      <c r="EK16" s="54"/>
      <c r="EL16" s="56"/>
      <c r="EM16" s="56"/>
      <c r="EN16" s="54"/>
      <c r="EO16" s="54"/>
      <c r="EP16" s="54"/>
      <c r="EQ16" s="54"/>
      <c r="ER16" s="54"/>
      <c r="ES16" s="54"/>
      <c r="ET16" s="54"/>
      <c r="EU16" s="54"/>
      <c r="EV16" s="56"/>
      <c r="EW16" s="56"/>
      <c r="EX16" s="54"/>
      <c r="EY16" s="54"/>
      <c r="EZ16" s="54"/>
      <c r="FA16" s="54"/>
      <c r="FB16" s="54"/>
      <c r="FC16" s="54"/>
      <c r="FD16" s="54"/>
      <c r="FE16" s="54"/>
      <c r="FF16" s="56"/>
      <c r="FG16" s="56"/>
      <c r="FH16" s="54"/>
      <c r="FI16" s="54"/>
      <c r="FJ16" s="54"/>
      <c r="FK16" s="54"/>
      <c r="FL16" s="54"/>
      <c r="FM16" s="54"/>
      <c r="FN16" s="54"/>
      <c r="FO16" s="54"/>
      <c r="FP16" s="54"/>
      <c r="FQ16" s="54"/>
      <c r="FR16" s="54"/>
      <c r="FS16" s="54"/>
      <c r="FT16" s="56"/>
      <c r="FU16" s="56"/>
      <c r="FV16" s="54"/>
      <c r="FW16" s="54"/>
      <c r="FX16" s="54"/>
      <c r="FY16" s="54"/>
      <c r="FZ16" s="56"/>
      <c r="GA16" s="56"/>
      <c r="GB16" s="54"/>
      <c r="GC16" s="54"/>
      <c r="GD16" s="54"/>
      <c r="GE16" s="54"/>
      <c r="GF16" s="56"/>
      <c r="GG16" s="56"/>
      <c r="GH16" s="54"/>
      <c r="GI16" s="54"/>
      <c r="GJ16" s="56"/>
      <c r="GK16" s="56"/>
      <c r="GL16" s="54"/>
      <c r="GM16" s="54"/>
      <c r="GN16" s="54"/>
      <c r="GO16" s="54"/>
      <c r="GP16" s="56"/>
      <c r="GQ16" s="56"/>
      <c r="GR16" s="54"/>
      <c r="GS16" s="54"/>
      <c r="GT16" s="54"/>
      <c r="GU16" s="54"/>
      <c r="GV16" s="54"/>
      <c r="GW16" s="54"/>
      <c r="GX16" s="54"/>
      <c r="GY16" s="54"/>
      <c r="GZ16" s="56"/>
      <c r="HA16" s="56"/>
      <c r="HB16" s="54"/>
      <c r="HC16" s="54"/>
      <c r="HD16" s="56"/>
      <c r="HE16" s="56"/>
      <c r="HF16" s="57"/>
      <c r="HG16" s="57"/>
      <c r="HH16" s="57"/>
      <c r="HI16" s="57"/>
      <c r="HJ16" s="60"/>
      <c r="HK16" s="60"/>
      <c r="HL16" s="60"/>
      <c r="HM16" s="60"/>
      <c r="HN16" s="60"/>
      <c r="HO16" s="60"/>
      <c r="HP16" s="60"/>
      <c r="HQ16" s="60"/>
      <c r="HR16" s="60"/>
      <c r="HS16" s="60"/>
      <c r="HT16" s="60"/>
      <c r="HU16" s="60"/>
      <c r="HV16" s="60"/>
      <c r="HW16" s="60"/>
      <c r="HX16" s="60"/>
      <c r="HY16" s="60"/>
      <c r="HZ16" s="60"/>
      <c r="IA16" s="60"/>
      <c r="IB16" s="60"/>
      <c r="IC16" s="60"/>
      <c r="ID16" s="60"/>
      <c r="IE16" s="60"/>
      <c r="IF16" s="60"/>
      <c r="IG16" s="60"/>
    </row>
    <row r="17" customFormat="false" ht="18.75" hidden="false" customHeight="true" outlineLevel="0" collapsed="false">
      <c r="A17" s="96" t="s">
        <v>127</v>
      </c>
      <c r="B17" s="22" t="s">
        <v>128</v>
      </c>
      <c r="C17" s="22" t="s">
        <v>129</v>
      </c>
      <c r="D17" s="22" t="s">
        <v>130</v>
      </c>
      <c r="E17" s="23" t="s">
        <v>62</v>
      </c>
      <c r="F17" s="24" t="n">
        <v>12.65</v>
      </c>
      <c r="G17" s="27"/>
      <c r="H17" s="26"/>
      <c r="I17" s="25" t="n">
        <v>3.25</v>
      </c>
      <c r="J17" s="26"/>
      <c r="K17" s="25" t="n">
        <v>5.35</v>
      </c>
      <c r="L17" s="24" t="n">
        <v>2.65</v>
      </c>
      <c r="M17" s="25" t="n">
        <v>6.75</v>
      </c>
      <c r="N17" s="24" t="n">
        <v>0.75</v>
      </c>
      <c r="O17" s="25" t="n">
        <v>1</v>
      </c>
      <c r="P17" s="26"/>
      <c r="Q17" s="25" t="n">
        <v>0</v>
      </c>
      <c r="R17" s="26"/>
      <c r="S17" s="25" t="n">
        <v>0</v>
      </c>
      <c r="T17" s="24" t="n">
        <v>0</v>
      </c>
      <c r="U17" s="25" t="n">
        <v>0</v>
      </c>
      <c r="V17" s="26"/>
      <c r="W17" s="25" t="n">
        <v>0</v>
      </c>
      <c r="X17" s="26"/>
      <c r="Y17" s="25" t="n">
        <v>1.75</v>
      </c>
      <c r="Z17" s="26"/>
      <c r="AA17" s="25" t="n">
        <v>13.35</v>
      </c>
      <c r="AB17" s="24" t="n">
        <v>10.25</v>
      </c>
      <c r="AC17" s="25" t="n">
        <v>16.65</v>
      </c>
      <c r="AD17" s="24" t="n">
        <v>4.9</v>
      </c>
      <c r="AE17" s="27"/>
      <c r="AF17" s="24" t="n">
        <v>0</v>
      </c>
      <c r="AG17" s="25" t="n">
        <v>0.85</v>
      </c>
      <c r="AH17" s="24" t="n">
        <v>13.6</v>
      </c>
      <c r="AI17" s="25" t="n">
        <v>0.65</v>
      </c>
      <c r="AJ17" s="24" t="n">
        <v>1.1</v>
      </c>
      <c r="AK17" s="27"/>
      <c r="AL17" s="24" t="n">
        <v>4.5</v>
      </c>
      <c r="AM17" s="25" t="n">
        <v>12.1</v>
      </c>
      <c r="AN17" s="24"/>
      <c r="AO17" s="25" t="n">
        <v>7.25</v>
      </c>
      <c r="AP17" s="24" t="n">
        <v>2.85</v>
      </c>
      <c r="AQ17" s="25" t="n">
        <v>14.25</v>
      </c>
      <c r="AR17" s="24" t="n">
        <v>5.6</v>
      </c>
      <c r="AS17" s="25" t="n">
        <v>9.25</v>
      </c>
      <c r="AT17" s="24" t="n">
        <v>0</v>
      </c>
      <c r="AU17" s="25" t="n">
        <v>0</v>
      </c>
      <c r="AV17" s="24" t="n">
        <v>0</v>
      </c>
      <c r="AW17" s="25" t="n">
        <v>0</v>
      </c>
      <c r="AX17" s="24" t="n">
        <v>0</v>
      </c>
      <c r="AY17" s="25" t="n">
        <v>0</v>
      </c>
      <c r="AZ17" s="24" t="n">
        <v>0</v>
      </c>
      <c r="BA17" s="25" t="n">
        <v>0</v>
      </c>
      <c r="BB17" s="24" t="n">
        <v>0</v>
      </c>
      <c r="BC17" s="25" t="n">
        <v>0</v>
      </c>
      <c r="BD17" s="24" t="n">
        <v>0</v>
      </c>
      <c r="BE17" s="25" t="n">
        <v>0</v>
      </c>
      <c r="BF17" s="24" t="n">
        <v>0</v>
      </c>
      <c r="BG17" s="25" t="n">
        <v>0</v>
      </c>
      <c r="BH17" s="24" t="n">
        <v>0</v>
      </c>
      <c r="BI17" s="25" t="n">
        <v>0</v>
      </c>
      <c r="BJ17" s="24" t="n">
        <v>0</v>
      </c>
      <c r="BK17" s="25" t="n">
        <v>0</v>
      </c>
      <c r="BL17" s="24" t="n">
        <v>0</v>
      </c>
      <c r="BM17" s="25" t="n">
        <v>0</v>
      </c>
      <c r="BN17" s="26" t="n">
        <v>0</v>
      </c>
      <c r="BO17" s="27" t="n">
        <v>0</v>
      </c>
      <c r="BP17" s="26" t="n">
        <v>0</v>
      </c>
      <c r="BQ17" s="27" t="n">
        <v>0</v>
      </c>
      <c r="BR17" s="26" t="n">
        <v>0</v>
      </c>
      <c r="BS17" s="27" t="n">
        <v>0</v>
      </c>
      <c r="BT17" s="26" t="n">
        <v>0</v>
      </c>
      <c r="BU17" s="27" t="n">
        <v>0</v>
      </c>
      <c r="BV17" s="26" t="n">
        <v>15</v>
      </c>
      <c r="BW17" s="27"/>
      <c r="BX17" s="26"/>
      <c r="BY17" s="27" t="n">
        <v>5</v>
      </c>
      <c r="BZ17" s="26"/>
      <c r="CA17" s="27" t="n">
        <v>0</v>
      </c>
      <c r="CB17" s="26"/>
      <c r="CC17" s="27" t="n">
        <v>15</v>
      </c>
      <c r="CD17" s="26"/>
      <c r="CE17" s="27" t="n">
        <v>15</v>
      </c>
      <c r="CF17" s="26"/>
      <c r="CG17" s="27" t="n">
        <v>15</v>
      </c>
      <c r="CH17" s="26" t="n">
        <v>15</v>
      </c>
      <c r="CI17" s="27"/>
      <c r="CJ17" s="26" t="n">
        <v>10</v>
      </c>
      <c r="CK17" s="27"/>
      <c r="CL17" s="26" t="n">
        <v>10</v>
      </c>
      <c r="CM17" s="27"/>
      <c r="CN17" s="26" t="n">
        <v>0</v>
      </c>
      <c r="CO17" s="27" t="n">
        <v>0</v>
      </c>
      <c r="CP17" s="26" t="n">
        <v>10</v>
      </c>
      <c r="CQ17" s="27"/>
      <c r="CR17" s="26" t="n">
        <v>10</v>
      </c>
      <c r="CS17" s="27"/>
      <c r="CT17" s="26" t="n">
        <v>10</v>
      </c>
      <c r="CU17" s="27"/>
      <c r="CV17" s="26" t="n">
        <v>10</v>
      </c>
      <c r="CW17" s="27"/>
      <c r="CX17" s="26" t="n">
        <v>10</v>
      </c>
      <c r="CY17" s="27"/>
      <c r="CZ17" s="26" t="n">
        <v>10</v>
      </c>
      <c r="DA17" s="27"/>
      <c r="DB17" s="26"/>
      <c r="DC17" s="27" t="n">
        <v>0</v>
      </c>
      <c r="DD17" s="28" t="n">
        <f aca="false">SUM(F17:DC17)</f>
        <v>311.3</v>
      </c>
      <c r="DE17" s="29" t="n">
        <f aca="false">1167.15-SUM(BJ17:DC17)</f>
        <v>1007.15</v>
      </c>
      <c r="DF17" s="30" t="n">
        <f aca="false">C17+DD17</f>
        <v>2990.15</v>
      </c>
      <c r="DG17" s="30" t="n">
        <f aca="false">D17+DD17</f>
        <v>6846.85</v>
      </c>
      <c r="DH17" s="26"/>
      <c r="DI17" s="27" t="n">
        <v>5</v>
      </c>
      <c r="DJ17" s="26"/>
      <c r="DK17" s="27" t="n">
        <v>0</v>
      </c>
      <c r="DL17" s="26"/>
      <c r="DM17" s="27" t="n">
        <v>5</v>
      </c>
      <c r="DN17" s="26"/>
      <c r="DO17" s="27" t="n">
        <v>0</v>
      </c>
      <c r="DP17" s="26"/>
      <c r="DQ17" s="27" t="n">
        <v>5</v>
      </c>
      <c r="DR17" s="26"/>
      <c r="DS17" s="27" t="n">
        <v>5</v>
      </c>
      <c r="DT17" s="26" t="n">
        <v>10</v>
      </c>
      <c r="DU17" s="27"/>
      <c r="DV17" s="26" t="n">
        <v>10</v>
      </c>
      <c r="DW17" s="27"/>
      <c r="DX17" s="26" t="n">
        <v>0</v>
      </c>
      <c r="DY17" s="27" t="n">
        <v>0</v>
      </c>
      <c r="DZ17" s="26"/>
      <c r="EA17" s="27" t="n">
        <v>10</v>
      </c>
      <c r="EB17" s="26"/>
      <c r="EC17" s="27" t="n">
        <v>10</v>
      </c>
      <c r="ED17" s="26"/>
      <c r="EE17" s="27" t="n">
        <v>10</v>
      </c>
      <c r="EF17" s="26"/>
      <c r="EG17" s="27" t="n">
        <v>10</v>
      </c>
      <c r="EH17" s="26"/>
      <c r="EI17" s="27" t="n">
        <v>10</v>
      </c>
      <c r="EJ17" s="26"/>
      <c r="EK17" s="27" t="n">
        <v>10</v>
      </c>
      <c r="EL17" s="26" t="n">
        <v>20</v>
      </c>
      <c r="EM17" s="27"/>
      <c r="EN17" s="26" t="n">
        <v>10</v>
      </c>
      <c r="EO17" s="27"/>
      <c r="EP17" s="26"/>
      <c r="EQ17" s="27" t="n">
        <v>10</v>
      </c>
      <c r="ER17" s="26" t="n">
        <v>0</v>
      </c>
      <c r="ES17" s="27" t="n">
        <v>0</v>
      </c>
      <c r="ET17" s="26"/>
      <c r="EU17" s="27" t="n">
        <v>15</v>
      </c>
      <c r="EV17" s="26"/>
      <c r="EW17" s="27" t="n">
        <v>20</v>
      </c>
      <c r="EX17" s="26"/>
      <c r="EY17" s="27" t="n">
        <v>15</v>
      </c>
      <c r="EZ17" s="26"/>
      <c r="FA17" s="27" t="n">
        <v>15</v>
      </c>
      <c r="FB17" s="26" t="n">
        <v>0</v>
      </c>
      <c r="FC17" s="27" t="n">
        <v>0</v>
      </c>
      <c r="FD17" s="26"/>
      <c r="FE17" s="27" t="n">
        <v>15</v>
      </c>
      <c r="FF17" s="26"/>
      <c r="FG17" s="27" t="n">
        <v>20</v>
      </c>
      <c r="FH17" s="26"/>
      <c r="FI17" s="27" t="n">
        <v>20</v>
      </c>
      <c r="FJ17" s="26"/>
      <c r="FK17" s="27" t="n">
        <v>15</v>
      </c>
      <c r="FL17" s="26"/>
      <c r="FM17" s="27" t="n">
        <v>15</v>
      </c>
      <c r="FN17" s="26"/>
      <c r="FO17" s="27" t="n">
        <v>15</v>
      </c>
      <c r="FP17" s="26" t="n">
        <v>0</v>
      </c>
      <c r="FQ17" s="27" t="n">
        <v>0</v>
      </c>
      <c r="FR17" s="26" t="n">
        <v>0</v>
      </c>
      <c r="FS17" s="27" t="n">
        <v>0</v>
      </c>
      <c r="FT17" s="26"/>
      <c r="FU17" s="27" t="n">
        <v>15</v>
      </c>
      <c r="FV17" s="26"/>
      <c r="FW17" s="27" t="n">
        <v>15</v>
      </c>
      <c r="FX17" s="26"/>
      <c r="FY17" s="27" t="n">
        <v>15</v>
      </c>
      <c r="FZ17" s="26"/>
      <c r="GA17" s="27" t="n">
        <v>15</v>
      </c>
      <c r="GB17" s="26"/>
      <c r="GC17" s="27" t="n">
        <v>15</v>
      </c>
      <c r="GD17" s="26"/>
      <c r="GE17" s="27" t="n">
        <v>15</v>
      </c>
      <c r="GF17" s="26"/>
      <c r="GG17" s="27" t="n">
        <v>10</v>
      </c>
      <c r="GH17" s="26" t="n">
        <v>0</v>
      </c>
      <c r="GI17" s="27" t="n">
        <v>0</v>
      </c>
      <c r="GJ17" s="26"/>
      <c r="GK17" s="27" t="n">
        <v>10</v>
      </c>
      <c r="GL17" s="26"/>
      <c r="GM17" s="27" t="n">
        <v>10</v>
      </c>
      <c r="GN17" s="26"/>
      <c r="GO17" s="27" t="n">
        <v>10</v>
      </c>
      <c r="GP17" s="26"/>
      <c r="GQ17" s="27" t="n">
        <v>10</v>
      </c>
      <c r="GR17" s="26"/>
      <c r="GS17" s="27"/>
      <c r="GT17" s="26"/>
      <c r="GU17" s="27" t="n">
        <v>0</v>
      </c>
      <c r="GV17" s="26"/>
      <c r="GW17" s="27" t="n">
        <v>0</v>
      </c>
      <c r="GX17" s="26"/>
      <c r="GY17" s="27" t="n">
        <v>0</v>
      </c>
      <c r="GZ17" s="26"/>
      <c r="HA17" s="27" t="n">
        <v>0</v>
      </c>
      <c r="HB17" s="26"/>
      <c r="HC17" s="27" t="n">
        <v>0</v>
      </c>
      <c r="HD17" s="26"/>
      <c r="HE17" s="27" t="n">
        <v>0</v>
      </c>
      <c r="HF17" s="28" t="n">
        <f aca="false">SUM(DH17:HE17)</f>
        <v>445</v>
      </c>
      <c r="HG17" s="29" t="n">
        <f aca="false">DE17-HF17</f>
        <v>562.15</v>
      </c>
      <c r="HH17" s="30" t="n">
        <f aca="false">DF17+HF17</f>
        <v>3435.15</v>
      </c>
      <c r="HI17" s="31" t="n">
        <f aca="false">DG17+HF17</f>
        <v>7291.85</v>
      </c>
      <c r="HJ17" s="32"/>
      <c r="HK17" s="32"/>
      <c r="HL17" s="32"/>
      <c r="HM17" s="32"/>
      <c r="HN17" s="32"/>
      <c r="HO17" s="32"/>
      <c r="HP17" s="32"/>
      <c r="HQ17" s="32"/>
      <c r="HR17" s="32"/>
      <c r="HS17" s="32"/>
      <c r="HT17" s="32"/>
      <c r="HU17" s="32"/>
      <c r="HV17" s="32"/>
      <c r="HW17" s="32"/>
      <c r="HX17" s="32"/>
      <c r="HY17" s="32"/>
      <c r="HZ17" s="32"/>
      <c r="IA17" s="32"/>
      <c r="IB17" s="32"/>
      <c r="IC17" s="32"/>
      <c r="ID17" s="32"/>
      <c r="IE17" s="32"/>
      <c r="IF17" s="32"/>
      <c r="IG17" s="32"/>
    </row>
    <row r="18" customFormat="false" ht="45" hidden="false" customHeight="true" outlineLevel="0" collapsed="false">
      <c r="A18" s="96"/>
      <c r="B18" s="22"/>
      <c r="C18" s="22"/>
      <c r="D18" s="22"/>
      <c r="E18" s="23" t="s">
        <v>63</v>
      </c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97" t="s">
        <v>131</v>
      </c>
      <c r="U18" s="97"/>
      <c r="V18" s="39"/>
      <c r="W18" s="39"/>
      <c r="X18" s="39"/>
      <c r="Y18" s="39"/>
      <c r="Z18" s="39"/>
      <c r="AA18" s="39"/>
      <c r="AB18" s="39"/>
      <c r="AC18" s="39"/>
      <c r="AD18" s="72"/>
      <c r="AE18" s="72"/>
      <c r="AF18" s="97" t="s">
        <v>132</v>
      </c>
      <c r="AG18" s="97"/>
      <c r="AH18" s="39"/>
      <c r="AI18" s="39"/>
      <c r="AJ18" s="39"/>
      <c r="AK18" s="39"/>
      <c r="AL18" s="39"/>
      <c r="AM18" s="39"/>
      <c r="AN18" s="72"/>
      <c r="AO18" s="72"/>
      <c r="AP18" s="40"/>
      <c r="AQ18" s="40"/>
      <c r="AR18" s="39"/>
      <c r="AS18" s="39"/>
      <c r="AT18" s="33" t="s">
        <v>133</v>
      </c>
      <c r="AU18" s="33"/>
      <c r="AV18" s="45" t="s">
        <v>134</v>
      </c>
      <c r="AW18" s="45"/>
      <c r="AX18" s="33" t="s">
        <v>135</v>
      </c>
      <c r="AY18" s="33"/>
      <c r="AZ18" s="45" t="s">
        <v>134</v>
      </c>
      <c r="BA18" s="45"/>
      <c r="BB18" s="33" t="s">
        <v>135</v>
      </c>
      <c r="BC18" s="33"/>
      <c r="BD18" s="45" t="s">
        <v>134</v>
      </c>
      <c r="BE18" s="45"/>
      <c r="BF18" s="33" t="s">
        <v>135</v>
      </c>
      <c r="BG18" s="33"/>
      <c r="BH18" s="45" t="s">
        <v>134</v>
      </c>
      <c r="BI18" s="45"/>
      <c r="BJ18" s="33" t="s">
        <v>135</v>
      </c>
      <c r="BK18" s="33"/>
      <c r="BL18" s="45" t="s">
        <v>134</v>
      </c>
      <c r="BM18" s="45"/>
      <c r="BN18" s="33" t="s">
        <v>135</v>
      </c>
      <c r="BO18" s="33"/>
      <c r="BP18" s="45" t="s">
        <v>134</v>
      </c>
      <c r="BQ18" s="45"/>
      <c r="BR18" s="33" t="s">
        <v>135</v>
      </c>
      <c r="BS18" s="33"/>
      <c r="BT18" s="45" t="s">
        <v>134</v>
      </c>
      <c r="BU18" s="45"/>
      <c r="BV18" s="38"/>
      <c r="BW18" s="38"/>
      <c r="BX18" s="38"/>
      <c r="BY18" s="38"/>
      <c r="CB18" s="98"/>
      <c r="CC18" s="98"/>
      <c r="CD18" s="36"/>
      <c r="CE18" s="36"/>
      <c r="CF18" s="38"/>
      <c r="CG18" s="38"/>
      <c r="CH18" s="36"/>
      <c r="CI18" s="36"/>
      <c r="CJ18" s="38"/>
      <c r="CK18" s="38"/>
      <c r="CN18" s="33" t="s">
        <v>136</v>
      </c>
      <c r="CO18" s="33"/>
      <c r="CP18" s="38"/>
      <c r="CQ18" s="38"/>
      <c r="CR18" s="38"/>
      <c r="CS18" s="38"/>
      <c r="CZ18" s="81"/>
      <c r="DA18" s="81"/>
      <c r="DB18" s="81"/>
      <c r="DC18" s="81"/>
      <c r="DD18" s="43"/>
      <c r="DE18" s="99" t="s">
        <v>137</v>
      </c>
      <c r="DF18" s="43"/>
      <c r="DG18" s="44"/>
      <c r="DH18" s="39"/>
      <c r="DI18" s="39"/>
      <c r="DJ18" s="39"/>
      <c r="DK18" s="39"/>
      <c r="DL18" s="39"/>
      <c r="DM18" s="39"/>
      <c r="DN18" s="39"/>
      <c r="DO18" s="39"/>
      <c r="DP18" s="39"/>
      <c r="DQ18" s="39"/>
      <c r="DR18" s="26"/>
      <c r="DS18" s="26"/>
      <c r="DV18" s="39"/>
      <c r="DW18" s="39"/>
      <c r="DX18" s="33" t="s">
        <v>138</v>
      </c>
      <c r="DY18" s="33"/>
      <c r="DZ18" s="26"/>
      <c r="EA18" s="26"/>
      <c r="EB18" s="39"/>
      <c r="EC18" s="39"/>
      <c r="ED18" s="39"/>
      <c r="EE18" s="39"/>
      <c r="EF18" s="26"/>
      <c r="EG18" s="26"/>
      <c r="EH18" s="39"/>
      <c r="EI18" s="39"/>
      <c r="EL18" s="39"/>
      <c r="EM18" s="39"/>
      <c r="ER18" s="33" t="s">
        <v>139</v>
      </c>
      <c r="ES18" s="33"/>
      <c r="ET18" s="39"/>
      <c r="EU18" s="39"/>
      <c r="EV18" s="39"/>
      <c r="EW18" s="39"/>
      <c r="EX18" s="39"/>
      <c r="EY18" s="39"/>
      <c r="EZ18" s="26"/>
      <c r="FA18" s="26"/>
      <c r="FB18" s="33" t="s">
        <v>140</v>
      </c>
      <c r="FC18" s="33"/>
      <c r="FD18" s="39"/>
      <c r="FE18" s="39"/>
      <c r="FF18" s="39"/>
      <c r="FG18" s="39"/>
      <c r="FH18" s="26"/>
      <c r="FI18" s="26"/>
      <c r="FJ18" s="39"/>
      <c r="FK18" s="39"/>
      <c r="FL18" s="39"/>
      <c r="FM18" s="39"/>
      <c r="FN18" s="39"/>
      <c r="FO18" s="39"/>
      <c r="FP18" s="33" t="s">
        <v>141</v>
      </c>
      <c r="FQ18" s="33"/>
      <c r="FR18" s="33" t="s">
        <v>141</v>
      </c>
      <c r="FS18" s="33"/>
      <c r="FV18" s="39"/>
      <c r="FW18" s="39"/>
      <c r="FX18" s="47"/>
      <c r="FY18" s="47"/>
      <c r="FZ18" s="39"/>
      <c r="GA18" s="39"/>
      <c r="GB18" s="39"/>
      <c r="GC18" s="39"/>
      <c r="GD18" s="39"/>
      <c r="GE18" s="39"/>
      <c r="GH18" s="33" t="s">
        <v>142</v>
      </c>
      <c r="GI18" s="33"/>
      <c r="GN18" s="26"/>
      <c r="GO18" s="26"/>
      <c r="GP18" s="39"/>
      <c r="GQ18" s="39"/>
      <c r="GR18" s="39"/>
      <c r="GS18" s="39"/>
      <c r="GV18" s="39"/>
      <c r="GW18" s="39"/>
      <c r="GX18" s="39"/>
      <c r="GY18" s="39"/>
      <c r="GZ18" s="39"/>
      <c r="HA18" s="39"/>
      <c r="HB18" s="39"/>
      <c r="HC18" s="39"/>
      <c r="HD18" s="39"/>
      <c r="HE18" s="39"/>
      <c r="HF18" s="100"/>
      <c r="HG18" s="101"/>
      <c r="HH18" s="47"/>
      <c r="HI18" s="47"/>
      <c r="HJ18" s="48"/>
      <c r="HK18" s="48"/>
      <c r="HL18" s="48"/>
      <c r="HM18" s="48"/>
      <c r="HN18" s="48"/>
      <c r="HO18" s="48"/>
      <c r="HP18" s="49"/>
      <c r="HQ18" s="49"/>
      <c r="HR18" s="48"/>
      <c r="HS18" s="48"/>
      <c r="HT18" s="48"/>
      <c r="HU18" s="48"/>
      <c r="HV18" s="48"/>
      <c r="HW18" s="48"/>
      <c r="HX18" s="49"/>
      <c r="HY18" s="49"/>
      <c r="HZ18" s="48"/>
      <c r="IA18" s="48"/>
      <c r="IB18" s="48"/>
      <c r="IC18" s="48"/>
      <c r="ID18" s="49"/>
      <c r="IE18" s="49"/>
      <c r="IF18" s="48"/>
      <c r="IG18" s="48"/>
    </row>
    <row r="19" customFormat="false" ht="15" hidden="false" customHeight="true" outlineLevel="0" collapsed="false">
      <c r="A19" s="96"/>
      <c r="B19" s="22"/>
      <c r="C19" s="22"/>
      <c r="D19" s="22"/>
      <c r="E19" s="23" t="s">
        <v>78</v>
      </c>
      <c r="F19" s="59"/>
      <c r="G19" s="59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9"/>
      <c r="S19" s="59"/>
      <c r="T19" s="54"/>
      <c r="U19" s="54"/>
      <c r="V19" s="54"/>
      <c r="W19" s="54"/>
      <c r="X19" s="59"/>
      <c r="Y19" s="59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9"/>
      <c r="AK19" s="59"/>
      <c r="AL19" s="54"/>
      <c r="AM19" s="54"/>
      <c r="AN19" s="54"/>
      <c r="AO19" s="54"/>
      <c r="AP19" s="59"/>
      <c r="AQ19" s="59"/>
      <c r="AR19" s="54"/>
      <c r="AS19" s="54"/>
      <c r="AT19" s="95" t="s">
        <v>143</v>
      </c>
      <c r="AU19" s="95"/>
      <c r="AV19" s="95"/>
      <c r="AW19" s="95"/>
      <c r="AX19" s="59"/>
      <c r="AY19" s="59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9"/>
      <c r="BK19" s="59"/>
      <c r="BL19" s="54"/>
      <c r="BM19" s="54"/>
      <c r="BN19" s="54"/>
      <c r="BO19" s="54"/>
      <c r="BP19" s="54"/>
      <c r="BQ19" s="54"/>
      <c r="BR19" s="59"/>
      <c r="BS19" s="59"/>
      <c r="BT19" s="54"/>
      <c r="BU19" s="54"/>
      <c r="BV19" s="54"/>
      <c r="BW19" s="54"/>
      <c r="BX19" s="59"/>
      <c r="BY19" s="59"/>
      <c r="BZ19" s="54"/>
      <c r="CA19" s="54"/>
      <c r="CB19" s="54"/>
      <c r="CC19" s="54"/>
      <c r="CD19" s="59"/>
      <c r="CE19" s="59"/>
      <c r="CF19" s="54"/>
      <c r="CG19" s="54"/>
      <c r="CH19" s="54"/>
      <c r="CI19" s="54"/>
      <c r="CJ19" s="59"/>
      <c r="CK19" s="59"/>
      <c r="CL19" s="54"/>
      <c r="CM19" s="54"/>
      <c r="CN19" s="54"/>
      <c r="CO19" s="54"/>
      <c r="CP19" s="54"/>
      <c r="CQ19" s="54"/>
      <c r="CR19" s="54"/>
      <c r="CS19" s="54"/>
      <c r="CT19" s="54"/>
      <c r="CU19" s="54"/>
      <c r="CV19" s="54"/>
      <c r="CW19" s="54"/>
      <c r="CX19" s="59"/>
      <c r="CY19" s="59"/>
      <c r="CZ19" s="54"/>
      <c r="DA19" s="54"/>
      <c r="DB19" s="59"/>
      <c r="DC19" s="59"/>
      <c r="DD19" s="57"/>
      <c r="DE19" s="57"/>
      <c r="DF19" s="57"/>
      <c r="DG19" s="57"/>
      <c r="DH19" s="59"/>
      <c r="DI19" s="59"/>
      <c r="DJ19" s="54"/>
      <c r="DK19" s="54"/>
      <c r="DL19" s="54"/>
      <c r="DM19" s="54"/>
      <c r="DN19" s="54"/>
      <c r="DO19" s="54"/>
      <c r="DP19" s="54"/>
      <c r="DQ19" s="54"/>
      <c r="DR19" s="54"/>
      <c r="DS19" s="54"/>
      <c r="DT19" s="59"/>
      <c r="DU19" s="59"/>
      <c r="DV19" s="54"/>
      <c r="DW19" s="54"/>
      <c r="DX19" s="54"/>
      <c r="DY19" s="54"/>
      <c r="DZ19" s="59"/>
      <c r="EA19" s="59"/>
      <c r="EB19" s="54"/>
      <c r="EC19" s="54"/>
      <c r="ED19" s="54"/>
      <c r="EE19" s="54"/>
      <c r="EF19" s="54"/>
      <c r="EG19" s="54"/>
      <c r="EH19" s="54"/>
      <c r="EI19" s="54"/>
      <c r="EJ19" s="54"/>
      <c r="EK19" s="54"/>
      <c r="EL19" s="59"/>
      <c r="EM19" s="59"/>
      <c r="EN19" s="54"/>
      <c r="EO19" s="54"/>
      <c r="EP19" s="54"/>
      <c r="EQ19" s="54"/>
      <c r="ER19" s="59"/>
      <c r="ES19" s="59"/>
      <c r="ET19" s="54"/>
      <c r="EU19" s="54"/>
      <c r="EV19" s="54"/>
      <c r="EW19" s="54"/>
      <c r="EX19" s="54"/>
      <c r="EY19" s="54"/>
      <c r="EZ19" s="59"/>
      <c r="FA19" s="59"/>
      <c r="FB19" s="54"/>
      <c r="FC19" s="54"/>
      <c r="FD19" s="54"/>
      <c r="FE19" s="54"/>
      <c r="FF19" s="54"/>
      <c r="FG19" s="54"/>
      <c r="FH19" s="54"/>
      <c r="FI19" s="54"/>
      <c r="FJ19" s="54"/>
      <c r="FK19" s="54"/>
      <c r="FL19" s="59"/>
      <c r="FM19" s="59"/>
      <c r="FN19" s="54"/>
      <c r="FO19" s="54"/>
      <c r="FP19" s="54"/>
      <c r="FQ19" s="54"/>
      <c r="FR19" s="54"/>
      <c r="FS19" s="54"/>
      <c r="FT19" s="59"/>
      <c r="FU19" s="59"/>
      <c r="FV19" s="54"/>
      <c r="FW19" s="54"/>
      <c r="FX19" s="54"/>
      <c r="FY19" s="54"/>
      <c r="FZ19" s="59"/>
      <c r="GA19" s="59"/>
      <c r="GB19" s="54"/>
      <c r="GC19" s="54"/>
      <c r="GD19" s="54"/>
      <c r="GE19" s="54"/>
      <c r="GF19" s="59"/>
      <c r="GG19" s="59"/>
      <c r="GH19" s="54"/>
      <c r="GI19" s="54"/>
      <c r="GJ19" s="54"/>
      <c r="GK19" s="54"/>
      <c r="GL19" s="59"/>
      <c r="GM19" s="59"/>
      <c r="GN19" s="54"/>
      <c r="GO19" s="54"/>
      <c r="GP19" s="54"/>
      <c r="GQ19" s="54"/>
      <c r="GR19" s="54"/>
      <c r="GS19" s="54"/>
      <c r="GT19" s="54"/>
      <c r="GU19" s="54"/>
      <c r="GV19" s="54"/>
      <c r="GW19" s="54"/>
      <c r="GX19" s="54"/>
      <c r="GY19" s="54"/>
      <c r="GZ19" s="59"/>
      <c r="HA19" s="59"/>
      <c r="HB19" s="54"/>
      <c r="HC19" s="54"/>
      <c r="HD19" s="59"/>
      <c r="HE19" s="59"/>
      <c r="HF19" s="57"/>
      <c r="HG19" s="57"/>
      <c r="HH19" s="57"/>
      <c r="HI19" s="57"/>
      <c r="HJ19" s="60"/>
      <c r="HK19" s="60"/>
      <c r="HL19" s="60"/>
      <c r="HM19" s="60"/>
      <c r="HN19" s="60"/>
      <c r="HO19" s="60"/>
      <c r="HP19" s="60"/>
      <c r="HQ19" s="60"/>
      <c r="HR19" s="60"/>
      <c r="HS19" s="60"/>
      <c r="HT19" s="60"/>
      <c r="HU19" s="60"/>
      <c r="HV19" s="60"/>
      <c r="HW19" s="60"/>
      <c r="HX19" s="60"/>
      <c r="HY19" s="60"/>
      <c r="HZ19" s="60"/>
      <c r="IA19" s="60"/>
      <c r="IB19" s="60"/>
      <c r="IC19" s="60"/>
      <c r="ID19" s="60"/>
      <c r="IE19" s="60"/>
      <c r="IF19" s="60"/>
      <c r="IG19" s="60"/>
    </row>
    <row r="20" customFormat="false" ht="19.5" hidden="false" customHeight="true" outlineLevel="0" collapsed="false">
      <c r="A20" s="102" t="s">
        <v>144</v>
      </c>
      <c r="B20" s="62" t="s">
        <v>145</v>
      </c>
      <c r="C20" s="62" t="s">
        <v>146</v>
      </c>
      <c r="D20" s="62" t="s">
        <v>147</v>
      </c>
      <c r="E20" s="63" t="s">
        <v>62</v>
      </c>
      <c r="F20" s="26"/>
      <c r="G20" s="27"/>
      <c r="H20" s="26"/>
      <c r="I20" s="27"/>
      <c r="J20" s="26"/>
      <c r="K20" s="27"/>
      <c r="L20" s="26"/>
      <c r="M20" s="25" t="n">
        <v>7.65</v>
      </c>
      <c r="N20" s="24" t="n">
        <v>0</v>
      </c>
      <c r="O20" s="25" t="n">
        <v>0</v>
      </c>
      <c r="P20" s="24" t="n">
        <v>0</v>
      </c>
      <c r="Q20" s="25" t="n">
        <v>0</v>
      </c>
      <c r="R20" s="24" t="n">
        <v>0</v>
      </c>
      <c r="S20" s="25" t="n">
        <v>0</v>
      </c>
      <c r="T20" s="24" t="n">
        <v>0</v>
      </c>
      <c r="U20" s="25" t="n">
        <v>0</v>
      </c>
      <c r="V20" s="24" t="n">
        <v>0</v>
      </c>
      <c r="W20" s="25" t="n">
        <v>0</v>
      </c>
      <c r="X20" s="24" t="n">
        <v>0</v>
      </c>
      <c r="Y20" s="25" t="n">
        <v>0</v>
      </c>
      <c r="Z20" s="24" t="n">
        <v>0</v>
      </c>
      <c r="AA20" s="25" t="n">
        <v>0</v>
      </c>
      <c r="AB20" s="24" t="n">
        <v>0</v>
      </c>
      <c r="AC20" s="25" t="n">
        <v>0</v>
      </c>
      <c r="AD20" s="24" t="n">
        <v>0</v>
      </c>
      <c r="AE20" s="103" t="n">
        <v>0</v>
      </c>
      <c r="AF20" s="26"/>
      <c r="AG20" s="25" t="n">
        <v>3.25</v>
      </c>
      <c r="AH20" s="24" t="n">
        <v>0.35</v>
      </c>
      <c r="AI20" s="27"/>
      <c r="AJ20" s="26"/>
      <c r="AK20" s="25" t="n">
        <v>0</v>
      </c>
      <c r="AL20" s="26"/>
      <c r="AM20" s="25" t="n">
        <v>2.75</v>
      </c>
      <c r="AN20" s="24" t="n">
        <v>3.5</v>
      </c>
      <c r="AO20" s="25" t="n">
        <v>14.85</v>
      </c>
      <c r="AP20" s="26"/>
      <c r="AQ20" s="25" t="n">
        <v>2.1</v>
      </c>
      <c r="AR20" s="24" t="n">
        <v>0.6</v>
      </c>
      <c r="AS20" s="25" t="n">
        <v>34.9</v>
      </c>
      <c r="AT20" s="24" t="n">
        <v>0.65</v>
      </c>
      <c r="AU20" s="25" t="n">
        <v>17.65</v>
      </c>
      <c r="AV20" s="26"/>
      <c r="AW20" s="25" t="n">
        <v>3.35</v>
      </c>
      <c r="AX20" s="24" t="n">
        <v>4.85</v>
      </c>
      <c r="AY20" s="27"/>
      <c r="AZ20" s="24" t="n">
        <v>0</v>
      </c>
      <c r="BA20" s="25" t="n">
        <v>0</v>
      </c>
      <c r="BB20" s="26"/>
      <c r="BC20" s="25" t="n">
        <v>1</v>
      </c>
      <c r="BD20" s="26"/>
      <c r="BE20" s="25" t="n">
        <v>17.4</v>
      </c>
      <c r="BF20" s="26"/>
      <c r="BG20" s="25" t="n">
        <v>39.75</v>
      </c>
      <c r="BH20" s="26"/>
      <c r="BI20" s="25" t="n">
        <v>20.5</v>
      </c>
      <c r="BJ20" s="26"/>
      <c r="BK20" s="25" t="n">
        <v>5.25</v>
      </c>
      <c r="BL20" s="26"/>
      <c r="BM20" s="25" t="n">
        <v>9.5</v>
      </c>
      <c r="BN20" s="26"/>
      <c r="BO20" s="27" t="n">
        <v>5</v>
      </c>
      <c r="BP20" s="26"/>
      <c r="BQ20" s="27" t="n">
        <v>7</v>
      </c>
      <c r="BR20" s="26"/>
      <c r="BS20" s="27" t="n">
        <v>10</v>
      </c>
      <c r="BT20" s="26"/>
      <c r="BU20" s="27" t="n">
        <v>15</v>
      </c>
      <c r="BV20" s="26"/>
      <c r="BW20" s="27" t="n">
        <v>15</v>
      </c>
      <c r="BX20" s="26"/>
      <c r="BY20" s="27" t="n">
        <v>15</v>
      </c>
      <c r="BZ20" s="26"/>
      <c r="CA20" s="27" t="n">
        <v>15</v>
      </c>
      <c r="CB20" s="26"/>
      <c r="CC20" s="27" t="n">
        <v>20</v>
      </c>
      <c r="CD20" s="26" t="n">
        <v>0</v>
      </c>
      <c r="CE20" s="27" t="n">
        <v>0</v>
      </c>
      <c r="CF20" s="26"/>
      <c r="CG20" s="27" t="n">
        <v>15</v>
      </c>
      <c r="CH20" s="26"/>
      <c r="CI20" s="27" t="n">
        <v>15</v>
      </c>
      <c r="CJ20" s="26"/>
      <c r="CK20" s="27" t="n">
        <v>15</v>
      </c>
      <c r="CL20" s="26"/>
      <c r="CM20" s="27" t="n">
        <v>15</v>
      </c>
      <c r="CN20" s="26"/>
      <c r="CO20" s="27" t="n">
        <v>5</v>
      </c>
      <c r="CP20" s="26"/>
      <c r="CQ20" s="27" t="n">
        <v>10</v>
      </c>
      <c r="CR20" s="26"/>
      <c r="CS20" s="27" t="n">
        <v>10</v>
      </c>
      <c r="CT20" s="26"/>
      <c r="CU20" s="27" t="n">
        <v>5</v>
      </c>
      <c r="CV20" s="26"/>
      <c r="CW20" s="27" t="n">
        <v>5</v>
      </c>
      <c r="CX20" s="26"/>
      <c r="CY20" s="27" t="n">
        <v>5</v>
      </c>
      <c r="CZ20" s="26" t="n">
        <v>0</v>
      </c>
      <c r="DA20" s="27" t="n">
        <v>0</v>
      </c>
      <c r="DB20" s="26"/>
      <c r="DC20" s="27" t="n">
        <v>0</v>
      </c>
      <c r="DD20" s="28" t="n">
        <f aca="false">SUM(F20:DC20)</f>
        <v>391.85</v>
      </c>
      <c r="DE20" s="29" t="n">
        <f aca="false">B20-DD20</f>
        <v>514.65</v>
      </c>
      <c r="DF20" s="30" t="n">
        <f aca="false">C20+DD20</f>
        <v>2485.85</v>
      </c>
      <c r="DG20" s="30" t="n">
        <f aca="false">D20+DD20</f>
        <v>13138</v>
      </c>
      <c r="DH20" s="26"/>
      <c r="DI20" s="27" t="n">
        <v>5</v>
      </c>
      <c r="DJ20" s="26"/>
      <c r="DK20" s="27" t="n">
        <v>5</v>
      </c>
      <c r="DL20" s="26"/>
      <c r="DM20" s="27" t="n">
        <v>10</v>
      </c>
      <c r="DN20" s="26"/>
      <c r="DO20" s="27" t="n">
        <v>10</v>
      </c>
      <c r="DP20" s="26"/>
      <c r="DQ20" s="27" t="n">
        <v>10</v>
      </c>
      <c r="DR20" s="26"/>
      <c r="DS20" s="27" t="n">
        <v>10</v>
      </c>
      <c r="DT20" s="26"/>
      <c r="DU20" s="27" t="n">
        <v>15</v>
      </c>
      <c r="DV20" s="26"/>
      <c r="DW20" s="27" t="n">
        <v>10</v>
      </c>
      <c r="DX20" s="26"/>
      <c r="DY20" s="27" t="n">
        <v>10</v>
      </c>
      <c r="DZ20" s="26"/>
      <c r="EA20" s="27" t="n">
        <v>15</v>
      </c>
      <c r="EB20" s="26" t="n">
        <v>0</v>
      </c>
      <c r="EC20" s="27" t="n">
        <v>0</v>
      </c>
      <c r="ED20" s="26" t="n">
        <v>0</v>
      </c>
      <c r="EE20" s="27" t="n">
        <v>0</v>
      </c>
      <c r="EF20" s="26"/>
      <c r="EG20" s="104" t="n">
        <v>15</v>
      </c>
      <c r="EH20" s="26"/>
      <c r="EI20" s="27" t="n">
        <v>10</v>
      </c>
      <c r="EJ20" s="26"/>
      <c r="EK20" s="27" t="n">
        <v>15</v>
      </c>
      <c r="EL20" s="26"/>
      <c r="EM20" s="27" t="n">
        <v>15</v>
      </c>
      <c r="EN20" s="26"/>
      <c r="EO20" s="27" t="n">
        <v>15</v>
      </c>
      <c r="EP20" s="26"/>
      <c r="EQ20" s="27" t="n">
        <v>15</v>
      </c>
      <c r="ER20" s="26"/>
      <c r="ES20" s="27" t="n">
        <v>15</v>
      </c>
      <c r="ET20" s="26" t="n">
        <v>0</v>
      </c>
      <c r="EU20" s="27" t="n">
        <v>0</v>
      </c>
      <c r="EV20" s="26"/>
      <c r="EW20" s="27" t="n">
        <v>20</v>
      </c>
      <c r="EX20" s="26"/>
      <c r="EY20" s="27" t="n">
        <v>15</v>
      </c>
      <c r="EZ20" s="26"/>
      <c r="FA20" s="27" t="n">
        <v>15</v>
      </c>
      <c r="FB20" s="26"/>
      <c r="FC20" s="27" t="n">
        <v>20</v>
      </c>
      <c r="FD20" s="26"/>
      <c r="FE20" s="27" t="n">
        <v>20</v>
      </c>
      <c r="FF20" s="26" t="n">
        <v>0</v>
      </c>
      <c r="FG20" s="27" t="n">
        <v>0</v>
      </c>
      <c r="FH20" s="26"/>
      <c r="FI20" s="27" t="n">
        <v>10</v>
      </c>
      <c r="FJ20" s="26"/>
      <c r="FK20" s="27" t="n">
        <v>20</v>
      </c>
      <c r="FL20" s="26"/>
      <c r="FM20" s="27" t="n">
        <v>15</v>
      </c>
      <c r="FN20" s="26"/>
      <c r="FO20" s="27" t="n">
        <v>15</v>
      </c>
      <c r="FP20" s="26"/>
      <c r="FQ20" s="27" t="n">
        <v>20</v>
      </c>
      <c r="FR20" s="26"/>
      <c r="FS20" s="27" t="n">
        <v>20</v>
      </c>
      <c r="FT20" s="26" t="n">
        <v>0</v>
      </c>
      <c r="FU20" s="27" t="n">
        <v>0</v>
      </c>
      <c r="FV20" s="26"/>
      <c r="FW20" s="27" t="n">
        <v>10</v>
      </c>
      <c r="FX20" s="26"/>
      <c r="FY20" s="27" t="n">
        <v>10</v>
      </c>
      <c r="FZ20" s="26"/>
      <c r="GA20" s="27" t="n">
        <v>10</v>
      </c>
      <c r="GB20" s="26"/>
      <c r="GC20" s="27" t="n">
        <v>10</v>
      </c>
      <c r="GD20" s="26"/>
      <c r="GE20" s="27" t="n">
        <v>10</v>
      </c>
      <c r="GF20" s="26"/>
      <c r="GG20" s="27" t="n">
        <v>10</v>
      </c>
      <c r="GH20" s="26"/>
      <c r="GI20" s="27" t="n">
        <v>10</v>
      </c>
      <c r="GJ20" s="26"/>
      <c r="GK20" s="27" t="n">
        <v>10</v>
      </c>
      <c r="GL20" s="26"/>
      <c r="GM20" s="27" t="n">
        <v>10</v>
      </c>
      <c r="GN20" s="26"/>
      <c r="GO20" s="27" t="n">
        <v>5</v>
      </c>
      <c r="GP20" s="26"/>
      <c r="GQ20" s="27" t="n">
        <v>5</v>
      </c>
      <c r="GR20" s="26"/>
      <c r="GS20" s="27" t="n">
        <v>5</v>
      </c>
      <c r="GT20" s="26"/>
      <c r="GU20" s="27" t="n">
        <v>5</v>
      </c>
      <c r="GV20" s="26" t="n">
        <v>0</v>
      </c>
      <c r="GW20" s="27" t="n">
        <v>0</v>
      </c>
      <c r="GX20" s="26" t="n">
        <v>0</v>
      </c>
      <c r="GY20" s="27" t="n">
        <v>0</v>
      </c>
      <c r="GZ20" s="26" t="n">
        <v>0</v>
      </c>
      <c r="HA20" s="27" t="n">
        <v>0</v>
      </c>
      <c r="HB20" s="26" t="n">
        <v>0</v>
      </c>
      <c r="HC20" s="27" t="n">
        <v>0</v>
      </c>
      <c r="HD20" s="26" t="n">
        <v>0</v>
      </c>
      <c r="HE20" s="27" t="n">
        <v>0</v>
      </c>
      <c r="HF20" s="28" t="n">
        <f aca="false">SUM(DH20:HE20)</f>
        <v>500</v>
      </c>
      <c r="HG20" s="29" t="n">
        <f aca="false">DE20-HF20</f>
        <v>14.6500000000001</v>
      </c>
      <c r="HH20" s="30" t="n">
        <f aca="false">DF20+HF20</f>
        <v>2985.85</v>
      </c>
      <c r="HI20" s="31" t="n">
        <f aca="false">DG20+HF20</f>
        <v>13638</v>
      </c>
      <c r="HJ20" s="32"/>
      <c r="HK20" s="32"/>
      <c r="HL20" s="32"/>
      <c r="HM20" s="32"/>
      <c r="HN20" s="32"/>
      <c r="HO20" s="32"/>
      <c r="HP20" s="32"/>
      <c r="HQ20" s="32"/>
      <c r="HR20" s="32"/>
      <c r="HS20" s="32"/>
      <c r="HT20" s="32"/>
      <c r="HU20" s="32"/>
      <c r="HV20" s="32"/>
      <c r="HW20" s="32"/>
      <c r="HX20" s="32"/>
      <c r="HY20" s="32"/>
      <c r="HZ20" s="32"/>
      <c r="IA20" s="32"/>
      <c r="IB20" s="32"/>
      <c r="IC20" s="32"/>
      <c r="ID20" s="32"/>
      <c r="IE20" s="32"/>
      <c r="IF20" s="32"/>
      <c r="IG20" s="32"/>
    </row>
    <row r="21" customFormat="false" ht="45" hidden="false" customHeight="true" outlineLevel="0" collapsed="false">
      <c r="A21" s="102"/>
      <c r="B21" s="102"/>
      <c r="C21" s="102"/>
      <c r="D21" s="102"/>
      <c r="E21" s="63" t="s">
        <v>63</v>
      </c>
      <c r="F21" s="105" t="s">
        <v>148</v>
      </c>
      <c r="G21" s="105"/>
      <c r="H21" s="105"/>
      <c r="I21" s="105"/>
      <c r="J21" s="105"/>
      <c r="K21" s="105"/>
      <c r="L21" s="33" t="s">
        <v>149</v>
      </c>
      <c r="M21" s="33"/>
      <c r="N21" s="33" t="s">
        <v>149</v>
      </c>
      <c r="O21" s="33"/>
      <c r="P21" s="33" t="s">
        <v>149</v>
      </c>
      <c r="Q21" s="33"/>
      <c r="R21" s="33" t="s">
        <v>149</v>
      </c>
      <c r="S21" s="33"/>
      <c r="T21" s="33" t="s">
        <v>149</v>
      </c>
      <c r="U21" s="33"/>
      <c r="V21" s="33" t="s">
        <v>149</v>
      </c>
      <c r="W21" s="33"/>
      <c r="X21" s="33" t="s">
        <v>149</v>
      </c>
      <c r="Y21" s="33"/>
      <c r="Z21" s="33" t="s">
        <v>149</v>
      </c>
      <c r="AA21" s="33"/>
      <c r="AB21" s="33" t="s">
        <v>149</v>
      </c>
      <c r="AC21" s="33"/>
      <c r="AD21" s="39"/>
      <c r="AE21" s="39"/>
      <c r="AF21" s="39"/>
      <c r="AG21" s="39"/>
      <c r="AH21" s="39"/>
      <c r="AI21" s="39"/>
      <c r="AJ21" s="39"/>
      <c r="AK21" s="39"/>
      <c r="AL21" s="26"/>
      <c r="AM21" s="26"/>
      <c r="AN21" s="26"/>
      <c r="AO21" s="26"/>
      <c r="AP21" s="39"/>
      <c r="AQ21" s="39"/>
      <c r="AR21" s="26"/>
      <c r="AS21" s="26"/>
      <c r="AT21" s="38"/>
      <c r="AU21" s="38"/>
      <c r="AV21" s="38"/>
      <c r="AW21" s="38"/>
      <c r="AX21" s="36"/>
      <c r="AY21" s="36"/>
      <c r="AZ21" s="33" t="s">
        <v>150</v>
      </c>
      <c r="BA21" s="33"/>
      <c r="BB21" s="39"/>
      <c r="BC21" s="39"/>
      <c r="BD21" s="39"/>
      <c r="BE21" s="39"/>
      <c r="BF21" s="26"/>
      <c r="BG21" s="26"/>
      <c r="BH21" s="39"/>
      <c r="BI21" s="39"/>
      <c r="BJ21" s="26"/>
      <c r="BK21" s="26"/>
      <c r="BL21" s="38"/>
      <c r="BM21" s="38"/>
      <c r="BN21" s="36"/>
      <c r="BO21" s="36"/>
      <c r="BP21" s="39"/>
      <c r="BQ21" s="39"/>
      <c r="BR21" s="33" t="s">
        <v>151</v>
      </c>
      <c r="BS21" s="33"/>
      <c r="BT21" s="39"/>
      <c r="BU21" s="39"/>
      <c r="BV21" s="26"/>
      <c r="BW21" s="26"/>
      <c r="BX21" s="39"/>
      <c r="BY21" s="39"/>
      <c r="BZ21" s="38"/>
      <c r="CA21" s="38"/>
      <c r="CB21" s="36"/>
      <c r="CC21" s="36"/>
      <c r="CD21" s="33" t="s">
        <v>152</v>
      </c>
      <c r="CE21" s="33"/>
      <c r="CF21" s="38"/>
      <c r="CG21" s="38"/>
      <c r="CH21" s="38"/>
      <c r="CI21" s="38"/>
      <c r="CJ21" s="39"/>
      <c r="CK21" s="39"/>
      <c r="CL21" s="72"/>
      <c r="CM21" s="72"/>
      <c r="CN21" s="72"/>
      <c r="CO21" s="72"/>
      <c r="CP21" s="39"/>
      <c r="CQ21" s="39"/>
      <c r="CR21" s="72"/>
      <c r="CS21" s="72"/>
      <c r="CT21" s="38"/>
      <c r="CU21" s="38"/>
      <c r="CV21" s="38"/>
      <c r="CW21" s="38"/>
      <c r="CZ21" s="33" t="s">
        <v>153</v>
      </c>
      <c r="DA21" s="33"/>
      <c r="DB21" s="38"/>
      <c r="DC21" s="38"/>
      <c r="DD21" s="43"/>
      <c r="DE21" s="44"/>
      <c r="DF21" s="43"/>
      <c r="DG21" s="44"/>
      <c r="DH21" s="39"/>
      <c r="DI21" s="39"/>
      <c r="DJ21" s="39"/>
      <c r="DK21" s="39"/>
      <c r="DL21" s="39"/>
      <c r="DM21" s="39"/>
      <c r="DN21" s="26"/>
      <c r="DO21" s="26"/>
      <c r="DP21" s="39"/>
      <c r="DQ21" s="39"/>
      <c r="DR21" s="39"/>
      <c r="DS21" s="39"/>
      <c r="DT21" s="39"/>
      <c r="DU21" s="39"/>
      <c r="DV21" s="26"/>
      <c r="DW21" s="26"/>
      <c r="DX21" s="39"/>
      <c r="DY21" s="39"/>
      <c r="EB21" s="33" t="s">
        <v>154</v>
      </c>
      <c r="EC21" s="33"/>
      <c r="ED21" s="33" t="s">
        <v>154</v>
      </c>
      <c r="EE21" s="33"/>
      <c r="EF21" s="39"/>
      <c r="EG21" s="39"/>
      <c r="EH21" s="39"/>
      <c r="EI21" s="39"/>
      <c r="EJ21" s="26"/>
      <c r="EK21" s="26"/>
      <c r="EL21" s="39"/>
      <c r="EM21" s="39"/>
      <c r="EN21" s="39"/>
      <c r="EO21" s="39"/>
      <c r="EP21" s="26"/>
      <c r="EQ21" s="26"/>
      <c r="ET21" s="33" t="s">
        <v>155</v>
      </c>
      <c r="EU21" s="33"/>
      <c r="EZ21" s="39"/>
      <c r="FA21" s="39"/>
      <c r="FB21" s="39"/>
      <c r="FC21" s="39"/>
      <c r="FD21" s="39"/>
      <c r="FE21" s="39"/>
      <c r="FF21" s="33" t="s">
        <v>156</v>
      </c>
      <c r="FG21" s="33"/>
      <c r="FJ21" s="39"/>
      <c r="FK21" s="39"/>
      <c r="FL21" s="39"/>
      <c r="FM21" s="39"/>
      <c r="FN21" s="39"/>
      <c r="FO21" s="39"/>
      <c r="FR21" s="39"/>
      <c r="FS21" s="39"/>
      <c r="FT21" s="33" t="s">
        <v>157</v>
      </c>
      <c r="FU21" s="33"/>
      <c r="FV21" s="39"/>
      <c r="FW21" s="39"/>
      <c r="FX21" s="26"/>
      <c r="FY21" s="26"/>
      <c r="FZ21" s="39"/>
      <c r="GA21" s="39"/>
      <c r="GB21" s="39"/>
      <c r="GC21" s="39"/>
      <c r="GD21" s="39"/>
      <c r="GE21" s="39"/>
      <c r="GF21" s="26"/>
      <c r="GG21" s="26"/>
      <c r="GJ21" s="39"/>
      <c r="GK21" s="39"/>
      <c r="GL21" s="26"/>
      <c r="GM21" s="26"/>
      <c r="GN21" s="39"/>
      <c r="GO21" s="39"/>
      <c r="GP21" s="26"/>
      <c r="GQ21" s="26"/>
      <c r="GR21" s="39"/>
      <c r="GS21" s="39"/>
      <c r="GT21" s="39"/>
      <c r="GU21" s="39"/>
      <c r="GV21" s="106" t="s">
        <v>158</v>
      </c>
      <c r="GW21" s="106"/>
      <c r="GX21" s="106" t="s">
        <v>158</v>
      </c>
      <c r="GY21" s="106"/>
      <c r="GZ21" s="106" t="s">
        <v>158</v>
      </c>
      <c r="HA21" s="106"/>
      <c r="HB21" s="106" t="s">
        <v>158</v>
      </c>
      <c r="HC21" s="106"/>
      <c r="HD21" s="106" t="s">
        <v>158</v>
      </c>
      <c r="HE21" s="106"/>
      <c r="HF21" s="39"/>
      <c r="HG21" s="39"/>
      <c r="HH21" s="47"/>
      <c r="HI21" s="47"/>
      <c r="HJ21" s="48"/>
      <c r="HK21" s="48"/>
      <c r="HL21" s="48"/>
      <c r="HM21" s="48"/>
      <c r="HN21" s="48"/>
      <c r="HO21" s="48"/>
      <c r="HP21" s="49"/>
      <c r="HQ21" s="49"/>
      <c r="HR21" s="48"/>
      <c r="HS21" s="48"/>
      <c r="HT21" s="48"/>
      <c r="HU21" s="48"/>
      <c r="HV21" s="48"/>
      <c r="HW21" s="48"/>
      <c r="HX21" s="49"/>
      <c r="HY21" s="49"/>
      <c r="HZ21" s="48"/>
      <c r="IA21" s="48"/>
      <c r="IB21" s="48"/>
      <c r="IC21" s="48"/>
      <c r="ID21" s="49"/>
      <c r="IE21" s="49"/>
      <c r="IF21" s="48"/>
      <c r="IG21" s="48"/>
    </row>
    <row r="22" customFormat="false" ht="15" hidden="false" customHeight="true" outlineLevel="0" collapsed="false">
      <c r="A22" s="102"/>
      <c r="B22" s="102"/>
      <c r="C22" s="102"/>
      <c r="D22" s="102"/>
      <c r="E22" s="63" t="s">
        <v>78</v>
      </c>
      <c r="F22" s="107"/>
      <c r="G22" s="10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107"/>
      <c r="S22" s="107"/>
      <c r="T22" s="47"/>
      <c r="U22" s="47"/>
      <c r="V22" s="47"/>
      <c r="W22" s="47"/>
      <c r="X22" s="107"/>
      <c r="Y22" s="107"/>
      <c r="Z22" s="47"/>
      <c r="AA22" s="47"/>
      <c r="AB22" s="47"/>
      <c r="AC22" s="47"/>
      <c r="AD22" s="84" t="s">
        <v>159</v>
      </c>
      <c r="AE22" s="84"/>
      <c r="AF22" s="47"/>
      <c r="AG22" s="47"/>
      <c r="AH22" s="47"/>
      <c r="AI22" s="47"/>
      <c r="AJ22" s="107"/>
      <c r="AK22" s="107"/>
      <c r="AL22" s="47"/>
      <c r="AM22" s="47"/>
      <c r="AN22" s="47"/>
      <c r="AO22" s="47"/>
      <c r="AP22" s="107"/>
      <c r="AQ22" s="10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108" t="s">
        <v>160</v>
      </c>
      <c r="BC22" s="108"/>
      <c r="BD22" s="47"/>
      <c r="BE22" s="47"/>
      <c r="BF22" s="47"/>
      <c r="BG22" s="47"/>
      <c r="BH22" s="107"/>
      <c r="BI22" s="10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107"/>
      <c r="BU22" s="107"/>
      <c r="BV22" s="47"/>
      <c r="BW22" s="47"/>
      <c r="BX22" s="47"/>
      <c r="BY22" s="47"/>
      <c r="BZ22" s="107"/>
      <c r="CA22" s="107"/>
      <c r="CB22" s="47"/>
      <c r="CC22" s="47"/>
      <c r="CD22" s="47"/>
      <c r="CE22" s="47"/>
      <c r="CF22" s="47"/>
      <c r="CG22" s="47"/>
      <c r="CH22" s="47"/>
      <c r="CI22" s="47"/>
      <c r="CJ22" s="47"/>
      <c r="CK22" s="47"/>
      <c r="CL22" s="107"/>
      <c r="CM22" s="107"/>
      <c r="CN22" s="47"/>
      <c r="CO22" s="47"/>
      <c r="CP22" s="47"/>
      <c r="CQ22" s="47"/>
      <c r="CR22" s="107"/>
      <c r="CS22" s="107"/>
      <c r="CT22" s="47"/>
      <c r="CU22" s="47"/>
      <c r="CV22" s="47"/>
      <c r="CW22" s="47"/>
      <c r="CX22" s="47"/>
      <c r="CY22" s="47"/>
      <c r="CZ22" s="47"/>
      <c r="DA22" s="47"/>
      <c r="DB22" s="47"/>
      <c r="DC22" s="47"/>
      <c r="DD22" s="109"/>
      <c r="DE22" s="109"/>
      <c r="DF22" s="109"/>
      <c r="DG22" s="109"/>
      <c r="DH22" s="107"/>
      <c r="DI22" s="107"/>
      <c r="DJ22" s="47"/>
      <c r="DK22" s="47"/>
      <c r="DL22" s="47"/>
      <c r="DM22" s="47"/>
      <c r="DN22" s="47"/>
      <c r="DO22" s="47"/>
      <c r="DP22" s="47"/>
      <c r="DQ22" s="47"/>
      <c r="DR22" s="47"/>
      <c r="DS22" s="47"/>
      <c r="DT22" s="107"/>
      <c r="DU22" s="107"/>
      <c r="DV22" s="47"/>
      <c r="DW22" s="47"/>
      <c r="DX22" s="47"/>
      <c r="DY22" s="47"/>
      <c r="DZ22" s="107"/>
      <c r="EA22" s="107"/>
      <c r="EB22" s="47"/>
      <c r="EC22" s="47"/>
      <c r="ED22" s="47"/>
      <c r="EE22" s="47"/>
      <c r="EF22" s="47"/>
      <c r="EG22" s="47"/>
      <c r="EH22" s="47"/>
      <c r="EI22" s="47"/>
      <c r="EJ22" s="47"/>
      <c r="EK22" s="47"/>
      <c r="EL22" s="107"/>
      <c r="EM22" s="107"/>
      <c r="EN22" s="47"/>
      <c r="EO22" s="47"/>
      <c r="EP22" s="47"/>
      <c r="EQ22" s="47"/>
      <c r="ER22" s="107"/>
      <c r="ES22" s="107"/>
      <c r="ET22" s="47"/>
      <c r="EU22" s="47"/>
      <c r="EV22" s="47"/>
      <c r="EW22" s="47"/>
      <c r="EX22" s="47"/>
      <c r="EY22" s="47"/>
      <c r="EZ22" s="47"/>
      <c r="FA22" s="47"/>
      <c r="FB22" s="47"/>
      <c r="FC22" s="47"/>
      <c r="FD22" s="107"/>
      <c r="FE22" s="107"/>
      <c r="FF22" s="47"/>
      <c r="FG22" s="47"/>
      <c r="FH22" s="47"/>
      <c r="FI22" s="47"/>
      <c r="FJ22" s="107"/>
      <c r="FK22" s="107"/>
      <c r="FL22" s="47"/>
      <c r="FM22" s="47"/>
      <c r="FN22" s="47"/>
      <c r="FO22" s="47"/>
      <c r="FP22" s="47"/>
      <c r="FQ22" s="47"/>
      <c r="FR22" s="47"/>
      <c r="FS22" s="47"/>
      <c r="FT22" s="47"/>
      <c r="FU22" s="47"/>
      <c r="FV22" s="107"/>
      <c r="FW22" s="107"/>
      <c r="FX22" s="47"/>
      <c r="FY22" s="47"/>
      <c r="FZ22" s="47"/>
      <c r="GA22" s="47"/>
      <c r="GB22" s="107"/>
      <c r="GC22" s="107"/>
      <c r="GD22" s="47"/>
      <c r="GE22" s="47"/>
      <c r="GF22" s="47"/>
      <c r="GG22" s="47"/>
      <c r="GH22" s="47"/>
      <c r="GI22" s="47"/>
      <c r="GJ22" s="47"/>
      <c r="GK22" s="47"/>
      <c r="GL22" s="47"/>
      <c r="GM22" s="47"/>
      <c r="GN22" s="107"/>
      <c r="GO22" s="107"/>
      <c r="GP22" s="47"/>
      <c r="GQ22" s="47"/>
      <c r="GR22" s="47"/>
      <c r="GS22" s="47"/>
      <c r="GT22" s="107"/>
      <c r="GU22" s="107"/>
      <c r="GV22" s="47"/>
      <c r="GW22" s="47"/>
      <c r="GX22" s="47"/>
      <c r="GY22" s="47"/>
      <c r="GZ22" s="47"/>
      <c r="HA22" s="47"/>
      <c r="HB22" s="47"/>
      <c r="HC22" s="47"/>
      <c r="HD22" s="47"/>
      <c r="HE22" s="47"/>
      <c r="HF22" s="109"/>
      <c r="HG22" s="109"/>
      <c r="HH22" s="109"/>
      <c r="HI22" s="109"/>
      <c r="HJ22" s="109"/>
      <c r="HK22" s="109"/>
      <c r="HL22" s="109"/>
      <c r="HM22" s="109"/>
      <c r="HN22" s="109"/>
      <c r="HO22" s="109"/>
      <c r="HP22" s="109"/>
      <c r="HQ22" s="109"/>
      <c r="HR22" s="109"/>
      <c r="HS22" s="109"/>
      <c r="HT22" s="109"/>
      <c r="HU22" s="109"/>
      <c r="HV22" s="109"/>
      <c r="HW22" s="109"/>
      <c r="HX22" s="109"/>
      <c r="HY22" s="109"/>
      <c r="HZ22" s="109"/>
      <c r="IA22" s="109"/>
      <c r="IB22" s="109"/>
      <c r="IC22" s="109"/>
      <c r="ID22" s="109"/>
      <c r="IE22" s="109"/>
      <c r="IF22" s="109"/>
      <c r="IG22" s="109"/>
    </row>
    <row r="23" customFormat="false" ht="19.5" hidden="false" customHeight="true" outlineLevel="0" collapsed="false">
      <c r="A23" s="102" t="s">
        <v>161</v>
      </c>
      <c r="B23" s="62" t="s">
        <v>162</v>
      </c>
      <c r="C23" s="62" t="s">
        <v>163</v>
      </c>
      <c r="D23" s="62" t="s">
        <v>164</v>
      </c>
      <c r="E23" s="63" t="s">
        <v>62</v>
      </c>
      <c r="F23" s="26"/>
      <c r="G23" s="27"/>
      <c r="H23" s="26"/>
      <c r="I23" s="27"/>
      <c r="J23" s="26"/>
      <c r="K23" s="27"/>
      <c r="L23" s="26"/>
      <c r="M23" s="25"/>
      <c r="N23" s="24"/>
      <c r="O23" s="25"/>
      <c r="P23" s="24"/>
      <c r="Q23" s="25"/>
      <c r="R23" s="24"/>
      <c r="S23" s="25"/>
      <c r="T23" s="24"/>
      <c r="U23" s="25"/>
      <c r="V23" s="24"/>
      <c r="W23" s="25"/>
      <c r="X23" s="24"/>
      <c r="Y23" s="25"/>
      <c r="Z23" s="24"/>
      <c r="AA23" s="25"/>
      <c r="AB23" s="24"/>
      <c r="AC23" s="25"/>
      <c r="AD23" s="24"/>
      <c r="AE23" s="25"/>
      <c r="AF23" s="26" t="n">
        <v>0.75</v>
      </c>
      <c r="AG23" s="27"/>
      <c r="AH23" s="24" t="n">
        <v>0</v>
      </c>
      <c r="AI23" s="25" t="n">
        <v>0</v>
      </c>
      <c r="AJ23" s="26"/>
      <c r="AK23" s="25" t="n">
        <v>0.85</v>
      </c>
      <c r="AL23" s="26"/>
      <c r="AM23" s="25" t="n">
        <v>14.9</v>
      </c>
      <c r="AN23" s="24" t="n">
        <v>4</v>
      </c>
      <c r="AO23" s="25" t="n">
        <v>22.6</v>
      </c>
      <c r="AP23" s="26"/>
      <c r="AQ23" s="25" t="n">
        <v>24</v>
      </c>
      <c r="AR23" s="24" t="n">
        <v>0</v>
      </c>
      <c r="AS23" s="25" t="n">
        <v>2.65</v>
      </c>
      <c r="AT23" s="24" t="n">
        <v>2.85</v>
      </c>
      <c r="AU23" s="25" t="n">
        <v>29.75</v>
      </c>
      <c r="AV23" s="26"/>
      <c r="AW23" s="25" t="n">
        <v>12.9</v>
      </c>
      <c r="AX23" s="26"/>
      <c r="AY23" s="25" t="n">
        <v>19.5</v>
      </c>
      <c r="AZ23" s="26"/>
      <c r="BA23" s="25" t="n">
        <v>30.1</v>
      </c>
      <c r="BB23" s="26"/>
      <c r="BC23" s="25" t="n">
        <v>3.1</v>
      </c>
      <c r="BD23" s="26"/>
      <c r="BE23" s="25" t="n">
        <v>15.4</v>
      </c>
      <c r="BF23" s="26"/>
      <c r="BG23" s="25" t="n">
        <v>14.75</v>
      </c>
      <c r="BH23" s="26"/>
      <c r="BI23" s="25" t="n">
        <v>19</v>
      </c>
      <c r="BJ23" s="26"/>
      <c r="BK23" s="25" t="n">
        <v>23.9</v>
      </c>
      <c r="BL23" s="26"/>
      <c r="BM23" s="25" t="n">
        <v>11.9</v>
      </c>
      <c r="BN23" s="26"/>
      <c r="BO23" s="27" t="n">
        <v>14.25</v>
      </c>
      <c r="BP23" s="26" t="n">
        <v>0</v>
      </c>
      <c r="BQ23" s="27" t="n">
        <v>0</v>
      </c>
      <c r="BR23" s="26"/>
      <c r="BS23" s="27" t="n">
        <v>20</v>
      </c>
      <c r="BT23" s="26"/>
      <c r="BU23" s="27" t="n">
        <v>10</v>
      </c>
      <c r="BV23" s="26"/>
      <c r="BW23" s="27" t="n">
        <v>10</v>
      </c>
      <c r="BX23" s="26"/>
      <c r="BY23" s="27" t="n">
        <v>10</v>
      </c>
      <c r="BZ23" s="26"/>
      <c r="CA23" s="27" t="n">
        <v>15</v>
      </c>
      <c r="CB23" s="26"/>
      <c r="CC23" s="27" t="n">
        <v>15</v>
      </c>
      <c r="CD23" s="26"/>
      <c r="CE23" s="27" t="n">
        <v>20</v>
      </c>
      <c r="CF23" s="26" t="n">
        <v>0</v>
      </c>
      <c r="CG23" s="27" t="n">
        <v>0</v>
      </c>
      <c r="CH23" s="26" t="n">
        <v>0</v>
      </c>
      <c r="CI23" s="27" t="n">
        <v>0</v>
      </c>
      <c r="CJ23" s="26"/>
      <c r="CK23" s="27" t="n">
        <v>10</v>
      </c>
      <c r="CL23" s="26"/>
      <c r="CM23" s="27" t="n">
        <v>10</v>
      </c>
      <c r="CN23" s="26"/>
      <c r="CO23" s="27" t="n">
        <v>10</v>
      </c>
      <c r="CP23" s="26"/>
      <c r="CQ23" s="27" t="n">
        <v>5</v>
      </c>
      <c r="CR23" s="26"/>
      <c r="CS23" s="27" t="n">
        <v>5</v>
      </c>
      <c r="CT23" s="26"/>
      <c r="CU23" s="27" t="n">
        <v>0</v>
      </c>
      <c r="CV23" s="26"/>
      <c r="CW23" s="27" t="n">
        <v>0</v>
      </c>
      <c r="CX23" s="26"/>
      <c r="CY23" s="27" t="n">
        <v>0</v>
      </c>
      <c r="CZ23" s="26"/>
      <c r="DA23" s="27" t="n">
        <v>5</v>
      </c>
      <c r="DB23" s="26"/>
      <c r="DC23" s="27" t="n">
        <v>0</v>
      </c>
      <c r="DD23" s="28" t="n">
        <f aca="false">SUM(F23:DC23)</f>
        <v>412.15</v>
      </c>
      <c r="DE23" s="29" t="n">
        <f aca="false">B23-DD23</f>
        <v>169.85</v>
      </c>
      <c r="DF23" s="30" t="n">
        <f aca="false">C23+DD23</f>
        <v>9808.8</v>
      </c>
      <c r="DG23" s="30" t="n">
        <f aca="false">D23+DD23</f>
        <v>11750.4</v>
      </c>
      <c r="DH23" s="26"/>
      <c r="DI23" s="27" t="n">
        <v>0</v>
      </c>
      <c r="DJ23" s="26"/>
      <c r="DK23" s="27" t="n">
        <v>0</v>
      </c>
      <c r="DL23" s="26"/>
      <c r="DM23" s="27" t="n">
        <v>5</v>
      </c>
      <c r="DN23" s="26"/>
      <c r="DO23" s="27" t="n">
        <v>0</v>
      </c>
      <c r="DP23" s="26"/>
      <c r="DQ23" s="27" t="n">
        <v>5</v>
      </c>
      <c r="DR23" s="26"/>
      <c r="DS23" s="27" t="n">
        <v>5</v>
      </c>
      <c r="DT23" s="26"/>
      <c r="DU23" s="27" t="n">
        <v>5</v>
      </c>
      <c r="DV23" s="26"/>
      <c r="DW23" s="27" t="n">
        <v>5</v>
      </c>
      <c r="DX23" s="26"/>
      <c r="DY23" s="27" t="n">
        <v>5</v>
      </c>
      <c r="DZ23" s="26"/>
      <c r="EA23" s="27" t="n">
        <v>5</v>
      </c>
      <c r="EB23" s="26"/>
      <c r="EC23" s="27" t="n">
        <v>10</v>
      </c>
      <c r="ED23" s="26"/>
      <c r="EE23" s="27" t="n">
        <v>10</v>
      </c>
      <c r="EF23" s="26" t="n">
        <v>0</v>
      </c>
      <c r="EG23" s="104" t="n">
        <v>0</v>
      </c>
      <c r="EH23" s="26"/>
      <c r="EI23" s="27" t="n">
        <v>10</v>
      </c>
      <c r="EJ23" s="26"/>
      <c r="EK23" s="27" t="n">
        <v>10</v>
      </c>
      <c r="EL23" s="26"/>
      <c r="EM23" s="27" t="n">
        <v>10</v>
      </c>
      <c r="EN23" s="26"/>
      <c r="EO23" s="27" t="n">
        <v>15</v>
      </c>
      <c r="EP23" s="26"/>
      <c r="EQ23" s="27" t="n">
        <v>10</v>
      </c>
      <c r="ER23" s="26"/>
      <c r="ES23" s="27" t="n">
        <v>15</v>
      </c>
      <c r="ET23" s="26"/>
      <c r="EU23" s="27" t="n">
        <v>15</v>
      </c>
      <c r="EV23" s="26"/>
      <c r="EW23" s="27" t="n">
        <v>15</v>
      </c>
      <c r="EX23" s="26" t="n">
        <v>0</v>
      </c>
      <c r="EY23" s="27" t="n">
        <v>0</v>
      </c>
      <c r="EZ23" s="26" t="n">
        <v>0</v>
      </c>
      <c r="FA23" s="27" t="n">
        <v>0</v>
      </c>
      <c r="FB23" s="26" t="n">
        <v>0</v>
      </c>
      <c r="FC23" s="27" t="n">
        <v>0</v>
      </c>
      <c r="FD23" s="26" t="n">
        <v>0</v>
      </c>
      <c r="FE23" s="27" t="n">
        <v>0</v>
      </c>
      <c r="FF23" s="26" t="n">
        <v>0</v>
      </c>
      <c r="FG23" s="27" t="n">
        <v>0</v>
      </c>
      <c r="FH23" s="26"/>
      <c r="FI23" s="27" t="n">
        <v>10</v>
      </c>
      <c r="FJ23" s="26"/>
      <c r="FK23" s="27" t="n">
        <v>15</v>
      </c>
      <c r="FL23" s="26"/>
      <c r="FM23" s="27" t="n">
        <v>10</v>
      </c>
      <c r="FN23" s="26"/>
      <c r="FO23" s="27" t="n">
        <v>10</v>
      </c>
      <c r="FP23" s="26"/>
      <c r="FQ23" s="27" t="n">
        <v>15</v>
      </c>
      <c r="FR23" s="26"/>
      <c r="FS23" s="27" t="n">
        <v>15</v>
      </c>
      <c r="FT23" s="26"/>
      <c r="FU23" s="27" t="n">
        <v>15</v>
      </c>
      <c r="FV23" s="26"/>
      <c r="FW23" s="27" t="n">
        <v>10</v>
      </c>
      <c r="FX23" s="26" t="n">
        <v>0</v>
      </c>
      <c r="FY23" s="27" t="n">
        <v>0</v>
      </c>
      <c r="FZ23" s="26"/>
      <c r="GA23" s="27" t="n">
        <v>15</v>
      </c>
      <c r="GB23" s="26"/>
      <c r="GC23" s="27" t="n">
        <v>15</v>
      </c>
      <c r="GD23" s="26"/>
      <c r="GE23" s="27" t="n">
        <v>10</v>
      </c>
      <c r="GF23" s="26"/>
      <c r="GG23" s="27" t="n">
        <v>15</v>
      </c>
      <c r="GH23" s="26"/>
      <c r="GI23" s="27" t="n">
        <v>15</v>
      </c>
      <c r="GJ23" s="26"/>
      <c r="GK23" s="27" t="n">
        <v>10</v>
      </c>
      <c r="GL23" s="26"/>
      <c r="GM23" s="27" t="n">
        <v>10</v>
      </c>
      <c r="GN23" s="26"/>
      <c r="GO23" s="27" t="n">
        <v>10</v>
      </c>
      <c r="GP23" s="26" t="n">
        <v>0</v>
      </c>
      <c r="GQ23" s="27" t="n">
        <v>0</v>
      </c>
      <c r="GR23" s="26"/>
      <c r="GS23" s="27" t="n">
        <v>10</v>
      </c>
      <c r="GT23" s="26"/>
      <c r="GU23" s="27" t="n">
        <v>15</v>
      </c>
      <c r="GV23" s="26"/>
      <c r="GW23" s="27" t="n">
        <v>0</v>
      </c>
      <c r="GX23" s="26"/>
      <c r="GY23" s="27" t="n">
        <v>0</v>
      </c>
      <c r="GZ23" s="26"/>
      <c r="HA23" s="27" t="n">
        <v>0</v>
      </c>
      <c r="HB23" s="26"/>
      <c r="HC23" s="27" t="n">
        <v>0</v>
      </c>
      <c r="HD23" s="26"/>
      <c r="HE23" s="27" t="n">
        <v>0</v>
      </c>
      <c r="HF23" s="28" t="n">
        <f aca="false">SUM(DH23:HE23)</f>
        <v>380</v>
      </c>
      <c r="HG23" s="29" t="n">
        <f aca="false">1500-SUM(FH23:HE23)</f>
        <v>1275</v>
      </c>
      <c r="HH23" s="30" t="n">
        <f aca="false">DF23+HF23</f>
        <v>10188.8</v>
      </c>
      <c r="HI23" s="31" t="n">
        <f aca="false">DG23+HF23</f>
        <v>12130.4</v>
      </c>
      <c r="HJ23" s="32"/>
      <c r="HK23" s="32"/>
      <c r="HL23" s="32"/>
      <c r="HM23" s="32"/>
      <c r="HN23" s="32"/>
      <c r="HO23" s="32"/>
      <c r="HP23" s="32"/>
      <c r="HQ23" s="32"/>
      <c r="HR23" s="32"/>
      <c r="HS23" s="32"/>
      <c r="HT23" s="32"/>
      <c r="HU23" s="32"/>
      <c r="HV23" s="32"/>
      <c r="HW23" s="32"/>
      <c r="HX23" s="32"/>
      <c r="HY23" s="32"/>
      <c r="HZ23" s="32"/>
      <c r="IA23" s="32"/>
      <c r="IB23" s="32"/>
      <c r="IC23" s="32"/>
      <c r="ID23" s="32"/>
      <c r="IE23" s="32"/>
      <c r="IF23" s="32"/>
      <c r="IG23" s="32"/>
    </row>
    <row r="24" customFormat="false" ht="45" hidden="false" customHeight="true" outlineLevel="0" collapsed="false">
      <c r="A24" s="102"/>
      <c r="B24" s="102"/>
      <c r="C24" s="102"/>
      <c r="D24" s="102"/>
      <c r="E24" s="63" t="s">
        <v>63</v>
      </c>
      <c r="F24" s="110" t="s">
        <v>165</v>
      </c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91" t="s">
        <v>166</v>
      </c>
      <c r="AG24" s="91"/>
      <c r="AH24" s="97" t="s">
        <v>167</v>
      </c>
      <c r="AI24" s="97"/>
      <c r="AJ24" s="39"/>
      <c r="AK24" s="39"/>
      <c r="AL24" s="26"/>
      <c r="AM24" s="26"/>
      <c r="AN24" s="39"/>
      <c r="AO24" s="39"/>
      <c r="AP24" s="39"/>
      <c r="AQ24" s="39"/>
      <c r="AR24" s="111" t="s">
        <v>168</v>
      </c>
      <c r="AS24" s="111"/>
      <c r="AT24" s="26"/>
      <c r="AU24" s="26"/>
      <c r="AV24" s="39"/>
      <c r="AW24" s="39"/>
      <c r="AX24" s="26"/>
      <c r="AY24" s="26"/>
      <c r="AZ24" s="40"/>
      <c r="BA24" s="40"/>
      <c r="BB24" s="111" t="s">
        <v>169</v>
      </c>
      <c r="BC24" s="111"/>
      <c r="BD24" s="39"/>
      <c r="BE24" s="39"/>
      <c r="BF24" s="39"/>
      <c r="BG24" s="39"/>
      <c r="BH24" s="39"/>
      <c r="BI24" s="39"/>
      <c r="BJ24" s="26"/>
      <c r="BK24" s="26"/>
      <c r="BL24" s="26"/>
      <c r="BM24" s="26"/>
      <c r="BN24" s="111" t="s">
        <v>170</v>
      </c>
      <c r="BO24" s="111"/>
      <c r="BP24" s="111" t="s">
        <v>170</v>
      </c>
      <c r="BQ24" s="111"/>
      <c r="BR24" s="36"/>
      <c r="BS24" s="36"/>
      <c r="BT24" s="38"/>
      <c r="BU24" s="38"/>
      <c r="BV24" s="38"/>
      <c r="BW24" s="38"/>
      <c r="BX24" s="36"/>
      <c r="BY24" s="36"/>
      <c r="BZ24" s="38"/>
      <c r="CA24" s="38"/>
      <c r="CB24" s="36"/>
      <c r="CC24" s="36"/>
      <c r="CD24" s="38"/>
      <c r="CE24" s="38"/>
      <c r="CF24" s="97" t="s">
        <v>171</v>
      </c>
      <c r="CG24" s="97"/>
      <c r="CH24" s="111" t="s">
        <v>171</v>
      </c>
      <c r="CI24" s="111"/>
      <c r="CL24" s="72"/>
      <c r="CM24" s="72"/>
      <c r="CN24" s="36"/>
      <c r="CO24" s="36"/>
      <c r="CP24" s="38"/>
      <c r="CQ24" s="38"/>
      <c r="CR24" s="38"/>
      <c r="CS24" s="38"/>
      <c r="CT24" s="38"/>
      <c r="CU24" s="38"/>
      <c r="CV24" s="38"/>
      <c r="CW24" s="38"/>
      <c r="CX24" s="72"/>
      <c r="CY24" s="72"/>
      <c r="CZ24" s="38"/>
      <c r="DA24" s="38"/>
      <c r="DB24" s="36"/>
      <c r="DC24" s="36"/>
      <c r="DD24" s="43"/>
      <c r="DE24" s="112" t="s">
        <v>172</v>
      </c>
      <c r="DF24" s="43"/>
      <c r="DG24" s="44"/>
      <c r="DH24" s="39"/>
      <c r="DI24" s="39"/>
      <c r="DJ24" s="39"/>
      <c r="DK24" s="39"/>
      <c r="DL24" s="39"/>
      <c r="DM24" s="39"/>
      <c r="DN24" s="26"/>
      <c r="DO24" s="26"/>
      <c r="DP24" s="39"/>
      <c r="DQ24" s="39"/>
      <c r="DR24" s="39"/>
      <c r="DS24" s="39"/>
      <c r="DT24" s="39"/>
      <c r="DU24" s="39"/>
      <c r="DV24" s="26"/>
      <c r="DW24" s="26"/>
      <c r="DX24" s="26"/>
      <c r="DY24" s="26"/>
      <c r="DZ24" s="39"/>
      <c r="EA24" s="39"/>
      <c r="EB24" s="39"/>
      <c r="EC24" s="39"/>
      <c r="ED24" s="39"/>
      <c r="EE24" s="39"/>
      <c r="EF24" s="97" t="s">
        <v>173</v>
      </c>
      <c r="EG24" s="97"/>
      <c r="EN24" s="39"/>
      <c r="EO24" s="39"/>
      <c r="EP24" s="26"/>
      <c r="EQ24" s="26"/>
      <c r="ER24" s="39"/>
      <c r="ES24" s="39"/>
      <c r="ET24" s="39"/>
      <c r="EU24" s="39"/>
      <c r="EV24" s="38"/>
      <c r="EW24" s="38"/>
      <c r="EX24" s="113" t="s">
        <v>174</v>
      </c>
      <c r="EY24" s="113"/>
      <c r="EZ24" s="113" t="s">
        <v>174</v>
      </c>
      <c r="FA24" s="113"/>
      <c r="FB24" s="113" t="s">
        <v>174</v>
      </c>
      <c r="FC24" s="113"/>
      <c r="FD24" s="113" t="s">
        <v>174</v>
      </c>
      <c r="FE24" s="113"/>
      <c r="FF24" s="113" t="s">
        <v>174</v>
      </c>
      <c r="FG24" s="113"/>
      <c r="FP24" s="47"/>
      <c r="FQ24" s="47"/>
      <c r="FR24" s="39"/>
      <c r="FS24" s="39"/>
      <c r="FT24" s="39"/>
      <c r="FU24" s="39"/>
      <c r="FV24" s="39"/>
      <c r="FW24" s="39"/>
      <c r="FX24" s="111" t="s">
        <v>175</v>
      </c>
      <c r="FY24" s="111"/>
      <c r="GF24" s="26"/>
      <c r="GG24" s="26"/>
      <c r="GH24" s="39"/>
      <c r="GI24" s="39"/>
      <c r="GJ24" s="39"/>
      <c r="GK24" s="39"/>
      <c r="GP24" s="111" t="s">
        <v>176</v>
      </c>
      <c r="GQ24" s="111"/>
      <c r="GR24" s="39"/>
      <c r="GS24" s="39"/>
      <c r="GT24" s="26"/>
      <c r="GU24" s="26"/>
      <c r="GV24" s="39"/>
      <c r="GW24" s="39"/>
      <c r="GX24" s="39"/>
      <c r="GY24" s="39"/>
      <c r="GZ24" s="39"/>
      <c r="HA24" s="39"/>
      <c r="HB24" s="39"/>
      <c r="HC24" s="39"/>
      <c r="HD24" s="39"/>
      <c r="HE24" s="39"/>
      <c r="HF24" s="39"/>
      <c r="HG24" s="39"/>
      <c r="HH24" s="47"/>
      <c r="HI24" s="47"/>
      <c r="HJ24" s="48"/>
      <c r="HK24" s="48"/>
      <c r="HL24" s="48"/>
      <c r="HM24" s="48"/>
      <c r="HN24" s="48"/>
      <c r="HO24" s="48"/>
      <c r="HP24" s="49"/>
      <c r="HQ24" s="49"/>
      <c r="HR24" s="48"/>
      <c r="HS24" s="48"/>
      <c r="HT24" s="48"/>
      <c r="HU24" s="48"/>
      <c r="HV24" s="48"/>
      <c r="HW24" s="48"/>
      <c r="HX24" s="49"/>
      <c r="HY24" s="49"/>
      <c r="HZ24" s="48"/>
      <c r="IA24" s="48"/>
      <c r="IB24" s="48"/>
      <c r="IC24" s="48"/>
      <c r="ID24" s="49"/>
      <c r="IE24" s="49"/>
      <c r="IF24" s="48"/>
      <c r="IG24" s="48"/>
    </row>
    <row r="25" customFormat="false" ht="15" hidden="false" customHeight="true" outlineLevel="0" collapsed="false">
      <c r="A25" s="102"/>
      <c r="B25" s="102"/>
      <c r="C25" s="102"/>
      <c r="D25" s="102"/>
      <c r="E25" s="63" t="s">
        <v>78</v>
      </c>
      <c r="F25" s="107"/>
      <c r="G25" s="10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107"/>
      <c r="S25" s="107"/>
      <c r="T25" s="47"/>
      <c r="U25" s="47"/>
      <c r="V25" s="47"/>
      <c r="W25" s="47"/>
      <c r="X25" s="107"/>
      <c r="Y25" s="10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107"/>
      <c r="AK25" s="107"/>
      <c r="AL25" s="47"/>
      <c r="AM25" s="47"/>
      <c r="AN25" s="47"/>
      <c r="AO25" s="47"/>
      <c r="AP25" s="107"/>
      <c r="AQ25" s="10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107"/>
      <c r="BC25" s="107"/>
      <c r="BD25" s="47"/>
      <c r="BE25" s="47"/>
      <c r="BF25" s="47"/>
      <c r="BG25" s="47"/>
      <c r="BH25" s="107"/>
      <c r="BI25" s="10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107"/>
      <c r="BU25" s="107"/>
      <c r="BV25" s="47"/>
      <c r="BW25" s="47"/>
      <c r="BX25" s="47"/>
      <c r="BY25" s="47"/>
      <c r="BZ25" s="107"/>
      <c r="CA25" s="107"/>
      <c r="CB25" s="47"/>
      <c r="CC25" s="47"/>
      <c r="CD25" s="47"/>
      <c r="CE25" s="47"/>
      <c r="CF25" s="47"/>
      <c r="CG25" s="47"/>
      <c r="CH25" s="47"/>
      <c r="CI25" s="47"/>
      <c r="CJ25" s="47"/>
      <c r="CK25" s="47"/>
      <c r="CL25" s="107"/>
      <c r="CM25" s="107"/>
      <c r="CN25" s="47"/>
      <c r="CO25" s="47"/>
      <c r="CP25" s="47"/>
      <c r="CQ25" s="47"/>
      <c r="CR25" s="107"/>
      <c r="CS25" s="107"/>
      <c r="CT25" s="47"/>
      <c r="CU25" s="47"/>
      <c r="CV25" s="47"/>
      <c r="CW25" s="47"/>
      <c r="CX25" s="47"/>
      <c r="CY25" s="47"/>
      <c r="CZ25" s="47"/>
      <c r="DA25" s="47"/>
      <c r="DB25" s="47"/>
      <c r="DC25" s="47"/>
      <c r="DD25" s="109"/>
      <c r="DE25" s="109"/>
      <c r="DF25" s="109"/>
      <c r="DG25" s="109"/>
      <c r="DH25" s="107"/>
      <c r="DI25" s="107"/>
      <c r="DJ25" s="47"/>
      <c r="DK25" s="47"/>
      <c r="DL25" s="47"/>
      <c r="DM25" s="47"/>
      <c r="DN25" s="47"/>
      <c r="DO25" s="47"/>
      <c r="DP25" s="47"/>
      <c r="DQ25" s="47"/>
      <c r="DR25" s="47"/>
      <c r="DS25" s="47"/>
      <c r="DT25" s="107"/>
      <c r="DU25" s="107"/>
      <c r="DV25" s="47"/>
      <c r="DW25" s="47"/>
      <c r="DX25" s="47"/>
      <c r="DY25" s="47"/>
      <c r="DZ25" s="107"/>
      <c r="EA25" s="107"/>
      <c r="EB25" s="47"/>
      <c r="EC25" s="47"/>
      <c r="ED25" s="47"/>
      <c r="EE25" s="47"/>
      <c r="EF25" s="47"/>
      <c r="EG25" s="47"/>
      <c r="EH25" s="47"/>
      <c r="EI25" s="47"/>
      <c r="EJ25" s="47"/>
      <c r="EK25" s="47"/>
      <c r="EL25" s="107"/>
      <c r="EM25" s="107"/>
      <c r="EN25" s="47"/>
      <c r="EO25" s="47"/>
      <c r="EP25" s="47"/>
      <c r="EQ25" s="47"/>
      <c r="ER25" s="107"/>
      <c r="ES25" s="107"/>
      <c r="ET25" s="47"/>
      <c r="EU25" s="47"/>
      <c r="EV25" s="47"/>
      <c r="EW25" s="47"/>
      <c r="EX25" s="47"/>
      <c r="EY25" s="47"/>
      <c r="EZ25" s="47"/>
      <c r="FA25" s="47"/>
      <c r="FB25" s="47"/>
      <c r="FC25" s="47"/>
      <c r="FD25" s="107"/>
      <c r="FE25" s="107"/>
      <c r="FF25" s="47"/>
      <c r="FG25" s="47"/>
      <c r="FH25" s="47"/>
      <c r="FI25" s="47"/>
      <c r="FJ25" s="107"/>
      <c r="FK25" s="107"/>
      <c r="FL25" s="47"/>
      <c r="FM25" s="47"/>
      <c r="FN25" s="47"/>
      <c r="FO25" s="47"/>
      <c r="FP25" s="47"/>
      <c r="FQ25" s="47"/>
      <c r="FR25" s="47"/>
      <c r="FS25" s="47"/>
      <c r="FT25" s="47"/>
      <c r="FU25" s="47"/>
      <c r="FV25" s="107"/>
      <c r="FW25" s="107"/>
      <c r="FX25" s="47"/>
      <c r="FY25" s="47"/>
      <c r="FZ25" s="47"/>
      <c r="GA25" s="47"/>
      <c r="GB25" s="107"/>
      <c r="GC25" s="107"/>
      <c r="GD25" s="47"/>
      <c r="GE25" s="47"/>
      <c r="GF25" s="47"/>
      <c r="GG25" s="47"/>
      <c r="GH25" s="47"/>
      <c r="GI25" s="47"/>
      <c r="GJ25" s="47"/>
      <c r="GK25" s="47"/>
      <c r="GL25" s="47"/>
      <c r="GM25" s="47"/>
      <c r="GN25" s="107"/>
      <c r="GO25" s="107"/>
      <c r="GP25" s="47"/>
      <c r="GQ25" s="47"/>
      <c r="GR25" s="47"/>
      <c r="GS25" s="47"/>
      <c r="GT25" s="107"/>
      <c r="GU25" s="107"/>
      <c r="GV25" s="47"/>
      <c r="GW25" s="47"/>
      <c r="GX25" s="47"/>
      <c r="GY25" s="47"/>
      <c r="GZ25" s="47"/>
      <c r="HA25" s="47"/>
      <c r="HB25" s="47"/>
      <c r="HC25" s="47"/>
      <c r="HD25" s="47"/>
      <c r="HE25" s="47"/>
      <c r="HF25" s="109"/>
      <c r="HG25" s="109"/>
      <c r="HH25" s="109"/>
      <c r="HI25" s="109"/>
      <c r="HJ25" s="109"/>
      <c r="HK25" s="109"/>
      <c r="HL25" s="109"/>
      <c r="HM25" s="109"/>
      <c r="HN25" s="109"/>
      <c r="HO25" s="109"/>
      <c r="HP25" s="109"/>
      <c r="HQ25" s="109"/>
      <c r="HR25" s="109"/>
      <c r="HS25" s="109"/>
      <c r="HT25" s="109"/>
      <c r="HU25" s="109"/>
      <c r="HV25" s="109"/>
      <c r="HW25" s="109"/>
      <c r="HX25" s="109"/>
      <c r="HY25" s="109"/>
      <c r="HZ25" s="109"/>
      <c r="IA25" s="109"/>
      <c r="IB25" s="109"/>
      <c r="IC25" s="109"/>
      <c r="ID25" s="109"/>
      <c r="IE25" s="109"/>
      <c r="IF25" s="109"/>
      <c r="IG25" s="109"/>
    </row>
    <row r="26" customFormat="false" ht="19.5" hidden="false" customHeight="true" outlineLevel="0" collapsed="false">
      <c r="A26" s="102" t="s">
        <v>177</v>
      </c>
      <c r="B26" s="62" t="s">
        <v>178</v>
      </c>
      <c r="C26" s="62" t="s">
        <v>179</v>
      </c>
      <c r="D26" s="62" t="s">
        <v>180</v>
      </c>
      <c r="E26" s="63" t="s">
        <v>62</v>
      </c>
      <c r="F26" s="26"/>
      <c r="G26" s="27"/>
      <c r="H26" s="26"/>
      <c r="I26" s="27"/>
      <c r="J26" s="26"/>
      <c r="K26" s="27"/>
      <c r="L26" s="26"/>
      <c r="M26" s="25"/>
      <c r="N26" s="24"/>
      <c r="O26" s="25"/>
      <c r="P26" s="24"/>
      <c r="Q26" s="25"/>
      <c r="R26" s="24"/>
      <c r="S26" s="25"/>
      <c r="T26" s="24"/>
      <c r="U26" s="25"/>
      <c r="V26" s="24"/>
      <c r="W26" s="25"/>
      <c r="X26" s="24"/>
      <c r="Y26" s="25"/>
      <c r="Z26" s="24"/>
      <c r="AA26" s="25"/>
      <c r="AB26" s="24"/>
      <c r="AC26" s="25"/>
      <c r="AD26" s="24"/>
      <c r="AE26" s="25"/>
      <c r="AF26" s="26"/>
      <c r="AG26" s="27"/>
      <c r="AH26" s="24"/>
      <c r="AI26" s="25"/>
      <c r="AJ26" s="26"/>
      <c r="AK26" s="25"/>
      <c r="AL26" s="26"/>
      <c r="AM26" s="25"/>
      <c r="AN26" s="24"/>
      <c r="AO26" s="25"/>
      <c r="AP26" s="26"/>
      <c r="AQ26" s="25"/>
      <c r="AR26" s="24"/>
      <c r="AS26" s="25"/>
      <c r="AT26" s="24"/>
      <c r="AU26" s="25"/>
      <c r="AV26" s="26"/>
      <c r="AW26" s="27"/>
      <c r="AX26" s="26"/>
      <c r="AY26" s="25" t="n">
        <v>25.5</v>
      </c>
      <c r="AZ26" s="24" t="n">
        <v>0.6</v>
      </c>
      <c r="BA26" s="25" t="n">
        <v>34.1</v>
      </c>
      <c r="BB26" s="26"/>
      <c r="BC26" s="25" t="n">
        <v>33.6</v>
      </c>
      <c r="BD26" s="24" t="n">
        <v>0</v>
      </c>
      <c r="BE26" s="25" t="n">
        <v>4.15</v>
      </c>
      <c r="BF26" s="26"/>
      <c r="BG26" s="25" t="n">
        <v>23.6</v>
      </c>
      <c r="BH26" s="24" t="n">
        <v>3.5</v>
      </c>
      <c r="BI26" s="25" t="n">
        <v>21.15</v>
      </c>
      <c r="BJ26" s="26"/>
      <c r="BK26" s="25" t="n">
        <v>31.85</v>
      </c>
      <c r="BL26" s="26"/>
      <c r="BM26" s="25" t="n">
        <v>8.9</v>
      </c>
      <c r="BN26" s="26"/>
      <c r="BO26" s="27" t="n">
        <v>11</v>
      </c>
      <c r="BP26" s="26" t="n">
        <v>0</v>
      </c>
      <c r="BQ26" s="27" t="n">
        <v>0</v>
      </c>
      <c r="BR26" s="26"/>
      <c r="BS26" s="27" t="n">
        <v>20</v>
      </c>
      <c r="BT26" s="26"/>
      <c r="BU26" s="27" t="n">
        <v>20</v>
      </c>
      <c r="BV26" s="26"/>
      <c r="BW26" s="27" t="n">
        <v>20</v>
      </c>
      <c r="BX26" s="26"/>
      <c r="BY26" s="27" t="n">
        <v>15</v>
      </c>
      <c r="BZ26" s="26"/>
      <c r="CA26" s="27" t="n">
        <v>15</v>
      </c>
      <c r="CB26" s="26" t="n">
        <v>0</v>
      </c>
      <c r="CC26" s="27" t="n">
        <v>0</v>
      </c>
      <c r="CD26" s="26"/>
      <c r="CE26" s="27" t="n">
        <v>15</v>
      </c>
      <c r="CF26" s="26"/>
      <c r="CG26" s="27" t="n">
        <v>20</v>
      </c>
      <c r="CH26" s="26"/>
      <c r="CI26" s="27" t="n">
        <v>20</v>
      </c>
      <c r="CJ26" s="26"/>
      <c r="CK26" s="27" t="n">
        <v>15</v>
      </c>
      <c r="CL26" s="26"/>
      <c r="CM26" s="27" t="n">
        <v>15</v>
      </c>
      <c r="CN26" s="26"/>
      <c r="CO26" s="27" t="n">
        <v>15</v>
      </c>
      <c r="CP26" s="26" t="n">
        <v>0</v>
      </c>
      <c r="CQ26" s="27" t="n">
        <v>0</v>
      </c>
      <c r="CR26" s="26" t="n">
        <v>0</v>
      </c>
      <c r="CS26" s="27" t="n">
        <v>0</v>
      </c>
      <c r="CT26" s="26"/>
      <c r="CU26" s="27" t="n">
        <v>5</v>
      </c>
      <c r="CV26" s="26"/>
      <c r="CW26" s="27" t="n">
        <v>5</v>
      </c>
      <c r="CX26" s="26"/>
      <c r="CY26" s="27" t="n">
        <v>5</v>
      </c>
      <c r="CZ26" s="26"/>
      <c r="DA26" s="27" t="n">
        <v>5</v>
      </c>
      <c r="DB26" s="26"/>
      <c r="DC26" s="27" t="n">
        <v>0</v>
      </c>
      <c r="DD26" s="28" t="n">
        <f aca="false">SUM(F26:DC26)</f>
        <v>407.95</v>
      </c>
      <c r="DE26" s="29" t="n">
        <f aca="false">B26-DD26</f>
        <v>736.8</v>
      </c>
      <c r="DF26" s="30" t="n">
        <f aca="false">C26+DD26</f>
        <v>12327.3</v>
      </c>
      <c r="DG26" s="30" t="n">
        <f aca="false">D26+DD26</f>
        <v>12838.6</v>
      </c>
      <c r="DH26" s="26"/>
      <c r="DI26" s="27" t="n">
        <v>0</v>
      </c>
      <c r="DJ26" s="26"/>
      <c r="DK26" s="27" t="n">
        <v>5</v>
      </c>
      <c r="DL26" s="26"/>
      <c r="DM26" s="27" t="n">
        <v>0</v>
      </c>
      <c r="DN26" s="26"/>
      <c r="DO26" s="27" t="n">
        <v>5</v>
      </c>
      <c r="DP26" s="26"/>
      <c r="DQ26" s="27" t="n">
        <v>0</v>
      </c>
      <c r="DR26" s="26"/>
      <c r="DS26" s="27" t="n">
        <v>5</v>
      </c>
      <c r="DT26" s="26"/>
      <c r="DU26" s="27" t="n">
        <v>5</v>
      </c>
      <c r="DV26" s="26"/>
      <c r="DW26" s="27" t="n">
        <v>5</v>
      </c>
      <c r="DX26" s="26"/>
      <c r="DY26" s="27" t="n">
        <v>10</v>
      </c>
      <c r="DZ26" s="26"/>
      <c r="EA26" s="27" t="n">
        <v>10</v>
      </c>
      <c r="EB26" s="26"/>
      <c r="EC26" s="27" t="n">
        <v>10</v>
      </c>
      <c r="ED26" s="26"/>
      <c r="EE26" s="27" t="n">
        <v>10</v>
      </c>
      <c r="EF26" s="26"/>
      <c r="EG26" s="104" t="n">
        <v>15</v>
      </c>
      <c r="EH26" s="26" t="n">
        <v>0</v>
      </c>
      <c r="EI26" s="27" t="n">
        <v>0</v>
      </c>
      <c r="EJ26" s="26"/>
      <c r="EK26" s="27" t="n">
        <v>15</v>
      </c>
      <c r="EL26" s="26"/>
      <c r="EM26" s="27" t="n">
        <v>15</v>
      </c>
      <c r="EN26" s="26"/>
      <c r="EO26" s="27" t="n">
        <v>15</v>
      </c>
      <c r="EP26" s="26"/>
      <c r="EQ26" s="27" t="n">
        <v>15</v>
      </c>
      <c r="ER26" s="26"/>
      <c r="ES26" s="27" t="n">
        <v>20</v>
      </c>
      <c r="ET26" s="26"/>
      <c r="EU26" s="27" t="n">
        <v>20</v>
      </c>
      <c r="EV26" s="26" t="n">
        <v>0</v>
      </c>
      <c r="EW26" s="27" t="n">
        <v>0</v>
      </c>
      <c r="EX26" s="26"/>
      <c r="EY26" s="27" t="n">
        <v>15</v>
      </c>
      <c r="EZ26" s="26"/>
      <c r="FA26" s="27" t="n">
        <v>15</v>
      </c>
      <c r="FB26" s="26"/>
      <c r="FC26" s="27" t="n">
        <v>20</v>
      </c>
      <c r="FD26" s="26"/>
      <c r="FE26" s="27" t="n">
        <v>15</v>
      </c>
      <c r="FF26" s="26"/>
      <c r="FG26" s="27" t="n">
        <v>15</v>
      </c>
      <c r="FH26" s="26"/>
      <c r="FI26" s="27" t="n">
        <v>20</v>
      </c>
      <c r="FJ26" s="26" t="n">
        <v>0</v>
      </c>
      <c r="FK26" s="27" t="n">
        <v>0</v>
      </c>
      <c r="FL26" s="26"/>
      <c r="FM26" s="27" t="n">
        <v>15</v>
      </c>
      <c r="FN26" s="26"/>
      <c r="FO26" s="27" t="n">
        <v>15</v>
      </c>
      <c r="FP26" s="26"/>
      <c r="FQ26" s="27" t="n">
        <v>15</v>
      </c>
      <c r="FR26" s="26"/>
      <c r="FS26" s="27" t="n">
        <v>15</v>
      </c>
      <c r="FT26" s="26"/>
      <c r="FU26" s="27" t="n">
        <v>20</v>
      </c>
      <c r="FV26" s="26"/>
      <c r="FW26" s="27" t="n">
        <v>10</v>
      </c>
      <c r="FX26" s="26"/>
      <c r="FY26" s="27" t="n">
        <v>10</v>
      </c>
      <c r="FZ26" s="26" t="n">
        <v>0</v>
      </c>
      <c r="GA26" s="27" t="n">
        <v>0</v>
      </c>
      <c r="GB26" s="26"/>
      <c r="GC26" s="27" t="n">
        <v>10</v>
      </c>
      <c r="GD26" s="26"/>
      <c r="GE26" s="27" t="n">
        <v>10</v>
      </c>
      <c r="GF26" s="26"/>
      <c r="GG26" s="27" t="n">
        <v>15</v>
      </c>
      <c r="GH26" s="26"/>
      <c r="GI26" s="27" t="n">
        <v>10</v>
      </c>
      <c r="GJ26" s="26"/>
      <c r="GK26" s="27" t="n">
        <v>10</v>
      </c>
      <c r="GL26" s="26"/>
      <c r="GM26" s="27" t="n">
        <v>10</v>
      </c>
      <c r="GN26" s="26"/>
      <c r="GO26" s="27" t="n">
        <v>10</v>
      </c>
      <c r="GP26" s="26"/>
      <c r="GQ26" s="27" t="n">
        <v>15</v>
      </c>
      <c r="GR26" s="26"/>
      <c r="GS26" s="27" t="n">
        <v>10</v>
      </c>
      <c r="GT26" s="26" t="n">
        <v>0</v>
      </c>
      <c r="GU26" s="27" t="n">
        <v>0</v>
      </c>
      <c r="GV26" s="26"/>
      <c r="GW26" s="27" t="n">
        <v>10</v>
      </c>
      <c r="GX26" s="26"/>
      <c r="GY26" s="27" t="n">
        <v>10</v>
      </c>
      <c r="GZ26" s="26"/>
      <c r="HA26" s="27" t="n">
        <v>10</v>
      </c>
      <c r="HB26" s="26"/>
      <c r="HC26" s="27" t="n">
        <v>5</v>
      </c>
      <c r="HD26" s="26"/>
      <c r="HE26" s="27" t="n">
        <v>0</v>
      </c>
      <c r="HF26" s="28" t="n">
        <f aca="false">SUM(DH26:HE26)</f>
        <v>515</v>
      </c>
      <c r="HG26" s="29" t="n">
        <f aca="false">DE26-HF26</f>
        <v>221.8</v>
      </c>
      <c r="HH26" s="30" t="n">
        <f aca="false">DF26+HF26</f>
        <v>12842.3</v>
      </c>
      <c r="HI26" s="31" t="n">
        <f aca="false">DG26+HF26</f>
        <v>13353.6</v>
      </c>
      <c r="HJ26" s="32"/>
      <c r="HK26" s="32"/>
      <c r="HL26" s="32"/>
      <c r="HM26" s="32"/>
      <c r="HN26" s="32"/>
      <c r="HO26" s="32"/>
      <c r="HP26" s="32"/>
      <c r="HQ26" s="32"/>
      <c r="HR26" s="32"/>
      <c r="HS26" s="32"/>
      <c r="HT26" s="32"/>
      <c r="HU26" s="32"/>
      <c r="HV26" s="32"/>
      <c r="HW26" s="32"/>
      <c r="HX26" s="32"/>
      <c r="HY26" s="32"/>
      <c r="HZ26" s="32"/>
      <c r="IA26" s="32"/>
      <c r="IB26" s="32"/>
      <c r="IC26" s="32"/>
      <c r="ID26" s="32"/>
      <c r="IE26" s="32"/>
      <c r="IF26" s="32"/>
      <c r="IG26" s="32"/>
    </row>
    <row r="27" customFormat="false" ht="45" hidden="false" customHeight="true" outlineLevel="0" collapsed="false">
      <c r="A27" s="102"/>
      <c r="B27" s="102"/>
      <c r="C27" s="102"/>
      <c r="D27" s="102"/>
      <c r="E27" s="63" t="s">
        <v>63</v>
      </c>
      <c r="F27" s="110" t="s">
        <v>181</v>
      </c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26"/>
      <c r="AY27" s="26"/>
      <c r="AZ27" s="40"/>
      <c r="BA27" s="40"/>
      <c r="BB27" s="39"/>
      <c r="BC27" s="39"/>
      <c r="BD27" s="111" t="s">
        <v>182</v>
      </c>
      <c r="BE27" s="111"/>
      <c r="BF27" s="38"/>
      <c r="BG27" s="38"/>
      <c r="BH27" s="38"/>
      <c r="BI27" s="38"/>
      <c r="BJ27" s="36"/>
      <c r="BK27" s="36"/>
      <c r="BL27" s="38"/>
      <c r="BM27" s="38"/>
      <c r="BN27" s="36"/>
      <c r="BO27" s="36"/>
      <c r="BP27" s="33" t="s">
        <v>183</v>
      </c>
      <c r="BQ27" s="33"/>
      <c r="BR27" s="36"/>
      <c r="BS27" s="36"/>
      <c r="BT27" s="38"/>
      <c r="BU27" s="38"/>
      <c r="BV27" s="38"/>
      <c r="BW27" s="38"/>
      <c r="BX27" s="38"/>
      <c r="BY27" s="38"/>
      <c r="BZ27" s="36"/>
      <c r="CA27" s="36"/>
      <c r="CB27" s="33" t="s">
        <v>184</v>
      </c>
      <c r="CC27" s="33"/>
      <c r="CD27" s="38"/>
      <c r="CE27" s="38"/>
      <c r="CF27" s="38"/>
      <c r="CG27" s="38"/>
      <c r="CH27" s="114"/>
      <c r="CI27" s="114"/>
      <c r="CJ27" s="115"/>
      <c r="CK27" s="115"/>
      <c r="CN27" s="36"/>
      <c r="CO27" s="36"/>
      <c r="CP27" s="71" t="s">
        <v>185</v>
      </c>
      <c r="CQ27" s="71"/>
      <c r="CR27" s="33" t="s">
        <v>185</v>
      </c>
      <c r="CS27" s="33"/>
      <c r="CT27" s="38"/>
      <c r="CU27" s="38"/>
      <c r="CV27" s="38"/>
      <c r="CW27" s="38"/>
      <c r="CX27" s="114"/>
      <c r="CY27" s="114"/>
      <c r="CZ27" s="115"/>
      <c r="DA27" s="115"/>
      <c r="DB27" s="36"/>
      <c r="DC27" s="36"/>
      <c r="DD27" s="43"/>
      <c r="DE27" s="112"/>
      <c r="DF27" s="43"/>
      <c r="DG27" s="44"/>
      <c r="DH27" s="39"/>
      <c r="DI27" s="39"/>
      <c r="DJ27" s="39"/>
      <c r="DK27" s="39"/>
      <c r="DL27" s="39"/>
      <c r="DM27" s="39"/>
      <c r="DN27" s="26"/>
      <c r="DO27" s="26"/>
      <c r="DP27" s="39"/>
      <c r="DQ27" s="39"/>
      <c r="DR27" s="39"/>
      <c r="DS27" s="39"/>
      <c r="DT27" s="39"/>
      <c r="DU27" s="39"/>
      <c r="DV27" s="26"/>
      <c r="DW27" s="26"/>
      <c r="EF27" s="38"/>
      <c r="EG27" s="38"/>
      <c r="EH27" s="33" t="s">
        <v>186</v>
      </c>
      <c r="EI27" s="33"/>
      <c r="EJ27" s="38"/>
      <c r="EK27" s="38"/>
      <c r="EL27" s="36"/>
      <c r="EM27" s="36"/>
      <c r="EN27" s="36"/>
      <c r="EO27" s="36"/>
      <c r="EP27" s="38"/>
      <c r="EQ27" s="38"/>
      <c r="ER27" s="38"/>
      <c r="ES27" s="38"/>
      <c r="EV27" s="33" t="s">
        <v>187</v>
      </c>
      <c r="EW27" s="33"/>
      <c r="EX27" s="115"/>
      <c r="EY27" s="115"/>
      <c r="EZ27" s="38"/>
      <c r="FA27" s="38"/>
      <c r="FB27" s="36"/>
      <c r="FC27" s="36"/>
      <c r="FD27" s="38"/>
      <c r="FE27" s="38"/>
      <c r="FF27" s="36"/>
      <c r="FG27" s="36"/>
      <c r="FH27" s="36"/>
      <c r="FI27" s="36"/>
      <c r="FJ27" s="111" t="s">
        <v>188</v>
      </c>
      <c r="FK27" s="111"/>
      <c r="FL27" s="38"/>
      <c r="FM27" s="38"/>
      <c r="FN27" s="38"/>
      <c r="FO27" s="38"/>
      <c r="FP27" s="114"/>
      <c r="FQ27" s="114"/>
      <c r="FR27" s="115"/>
      <c r="FS27" s="115"/>
      <c r="FT27" s="39"/>
      <c r="FU27" s="39"/>
      <c r="FX27" s="26"/>
      <c r="FY27" s="26"/>
      <c r="FZ27" s="111" t="s">
        <v>189</v>
      </c>
      <c r="GA27" s="111"/>
      <c r="GF27" s="26"/>
      <c r="GG27" s="26"/>
      <c r="GH27" s="39"/>
      <c r="GI27" s="39"/>
      <c r="GJ27" s="39"/>
      <c r="GK27" s="39"/>
      <c r="GR27" s="39"/>
      <c r="GS27" s="39"/>
      <c r="GT27" s="111" t="s">
        <v>190</v>
      </c>
      <c r="GU27" s="111"/>
      <c r="GV27" s="39"/>
      <c r="GW27" s="39"/>
      <c r="GX27" s="39"/>
      <c r="GY27" s="39"/>
      <c r="GZ27" s="39"/>
      <c r="HA27" s="39"/>
      <c r="HB27" s="39"/>
      <c r="HC27" s="39"/>
      <c r="HD27" s="39"/>
      <c r="HE27" s="39"/>
      <c r="HF27" s="39"/>
      <c r="HG27" s="39"/>
      <c r="HH27" s="47"/>
      <c r="HI27" s="47"/>
      <c r="HJ27" s="48"/>
      <c r="HK27" s="48"/>
      <c r="HL27" s="48"/>
      <c r="HM27" s="48"/>
      <c r="HN27" s="48"/>
      <c r="HO27" s="48"/>
      <c r="HP27" s="49"/>
      <c r="HQ27" s="49"/>
      <c r="HR27" s="48"/>
      <c r="HS27" s="48"/>
      <c r="HT27" s="48"/>
      <c r="HU27" s="48"/>
      <c r="HV27" s="48"/>
      <c r="HW27" s="48"/>
      <c r="HX27" s="49"/>
      <c r="HY27" s="49"/>
      <c r="HZ27" s="48"/>
      <c r="IA27" s="48"/>
      <c r="IB27" s="48"/>
      <c r="IC27" s="48"/>
      <c r="ID27" s="49"/>
      <c r="IE27" s="49"/>
      <c r="IF27" s="48"/>
      <c r="IG27" s="48"/>
    </row>
    <row r="28" customFormat="false" ht="15" hidden="false" customHeight="true" outlineLevel="0" collapsed="false">
      <c r="A28" s="102"/>
      <c r="B28" s="102"/>
      <c r="C28" s="102"/>
      <c r="D28" s="102"/>
      <c r="E28" s="63" t="s">
        <v>78</v>
      </c>
      <c r="F28" s="107"/>
      <c r="G28" s="10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107"/>
      <c r="S28" s="107"/>
      <c r="T28" s="47"/>
      <c r="U28" s="47"/>
      <c r="V28" s="47"/>
      <c r="W28" s="47"/>
      <c r="X28" s="107"/>
      <c r="Y28" s="10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107"/>
      <c r="AK28" s="107"/>
      <c r="AL28" s="47"/>
      <c r="AM28" s="47"/>
      <c r="AN28" s="47"/>
      <c r="AO28" s="47"/>
      <c r="AP28" s="107"/>
      <c r="AQ28" s="10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107"/>
      <c r="BC28" s="107"/>
      <c r="BD28" s="47"/>
      <c r="BE28" s="47"/>
      <c r="BF28" s="47"/>
      <c r="BG28" s="47"/>
      <c r="BH28" s="107"/>
      <c r="BI28" s="10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107"/>
      <c r="BU28" s="107"/>
      <c r="BV28" s="47"/>
      <c r="BW28" s="47"/>
      <c r="BX28" s="47"/>
      <c r="BY28" s="47"/>
      <c r="BZ28" s="107"/>
      <c r="CA28" s="107"/>
      <c r="CB28" s="47"/>
      <c r="CC28" s="47"/>
      <c r="CD28" s="47"/>
      <c r="CE28" s="47"/>
      <c r="CF28" s="47"/>
      <c r="CG28" s="47"/>
      <c r="CH28" s="47"/>
      <c r="CI28" s="47"/>
      <c r="CJ28" s="47"/>
      <c r="CK28" s="47"/>
      <c r="CL28" s="107"/>
      <c r="CM28" s="107"/>
      <c r="CN28" s="47"/>
      <c r="CO28" s="47"/>
      <c r="CP28" s="47"/>
      <c r="CQ28" s="47"/>
      <c r="CR28" s="107"/>
      <c r="CS28" s="107"/>
      <c r="CT28" s="47"/>
      <c r="CU28" s="47"/>
      <c r="CV28" s="47"/>
      <c r="CW28" s="47"/>
      <c r="CX28" s="47"/>
      <c r="CY28" s="47"/>
      <c r="CZ28" s="47"/>
      <c r="DA28" s="47"/>
      <c r="DB28" s="47"/>
      <c r="DC28" s="47"/>
      <c r="DD28" s="109"/>
      <c r="DE28" s="109"/>
      <c r="DF28" s="109"/>
      <c r="DG28" s="109"/>
      <c r="DH28" s="107"/>
      <c r="DI28" s="107"/>
      <c r="DJ28" s="47"/>
      <c r="DK28" s="47"/>
      <c r="DL28" s="47"/>
      <c r="DM28" s="47"/>
      <c r="DN28" s="47"/>
      <c r="DO28" s="47"/>
      <c r="DP28" s="47"/>
      <c r="DQ28" s="47"/>
      <c r="DR28" s="47"/>
      <c r="DS28" s="47"/>
      <c r="DT28" s="107"/>
      <c r="DU28" s="107"/>
      <c r="DV28" s="47"/>
      <c r="DW28" s="47"/>
      <c r="DX28" s="47"/>
      <c r="DY28" s="47"/>
      <c r="DZ28" s="107"/>
      <c r="EA28" s="107"/>
      <c r="EB28" s="47"/>
      <c r="EC28" s="47"/>
      <c r="ED28" s="47"/>
      <c r="EE28" s="47"/>
      <c r="EF28" s="47"/>
      <c r="EG28" s="47"/>
      <c r="EH28" s="47"/>
      <c r="EI28" s="47"/>
      <c r="EJ28" s="47"/>
      <c r="EK28" s="47"/>
      <c r="EL28" s="107"/>
      <c r="EM28" s="107"/>
      <c r="EN28" s="47"/>
      <c r="EO28" s="47"/>
      <c r="EP28" s="47"/>
      <c r="EQ28" s="47"/>
      <c r="ER28" s="107"/>
      <c r="ES28" s="107"/>
      <c r="ET28" s="47"/>
      <c r="EU28" s="47"/>
      <c r="EV28" s="47"/>
      <c r="EW28" s="47"/>
      <c r="EX28" s="47"/>
      <c r="EY28" s="47"/>
      <c r="EZ28" s="47"/>
      <c r="FA28" s="47"/>
      <c r="FB28" s="47"/>
      <c r="FC28" s="47"/>
      <c r="FD28" s="107"/>
      <c r="FE28" s="107"/>
      <c r="FF28" s="47"/>
      <c r="FG28" s="47"/>
      <c r="FH28" s="47"/>
      <c r="FI28" s="47"/>
      <c r="FJ28" s="107"/>
      <c r="FK28" s="107"/>
      <c r="FL28" s="47"/>
      <c r="FM28" s="47"/>
      <c r="FN28" s="47"/>
      <c r="FO28" s="47"/>
      <c r="FP28" s="47"/>
      <c r="FQ28" s="47"/>
      <c r="FR28" s="47"/>
      <c r="FS28" s="47"/>
      <c r="FT28" s="47"/>
      <c r="FU28" s="47"/>
      <c r="FV28" s="107"/>
      <c r="FW28" s="107"/>
      <c r="FX28" s="47"/>
      <c r="FY28" s="47"/>
      <c r="FZ28" s="47"/>
      <c r="GA28" s="47"/>
      <c r="GB28" s="107"/>
      <c r="GC28" s="107"/>
      <c r="GD28" s="47"/>
      <c r="GE28" s="47"/>
      <c r="GF28" s="47"/>
      <c r="GG28" s="47"/>
      <c r="GH28" s="47"/>
      <c r="GI28" s="47"/>
      <c r="GJ28" s="47"/>
      <c r="GK28" s="47"/>
      <c r="GL28" s="47"/>
      <c r="GM28" s="47"/>
      <c r="GN28" s="107"/>
      <c r="GO28" s="107"/>
      <c r="GP28" s="47"/>
      <c r="GQ28" s="47"/>
      <c r="GR28" s="47"/>
      <c r="GS28" s="47"/>
      <c r="GT28" s="107"/>
      <c r="GU28" s="107"/>
      <c r="GV28" s="47"/>
      <c r="GW28" s="47"/>
      <c r="GX28" s="47"/>
      <c r="GY28" s="47"/>
      <c r="GZ28" s="47"/>
      <c r="HA28" s="47"/>
      <c r="HB28" s="47"/>
      <c r="HC28" s="47"/>
      <c r="HD28" s="47"/>
      <c r="HE28" s="47"/>
      <c r="HF28" s="109"/>
      <c r="HG28" s="109"/>
      <c r="HH28" s="109"/>
      <c r="HI28" s="109"/>
      <c r="HJ28" s="109"/>
      <c r="HK28" s="109"/>
      <c r="HL28" s="109"/>
      <c r="HM28" s="109"/>
      <c r="HN28" s="109"/>
      <c r="HO28" s="109"/>
      <c r="HP28" s="109"/>
      <c r="HQ28" s="109"/>
      <c r="HR28" s="109"/>
      <c r="HS28" s="109"/>
      <c r="HT28" s="109"/>
      <c r="HU28" s="109"/>
      <c r="HV28" s="109"/>
      <c r="HW28" s="109"/>
      <c r="HX28" s="109"/>
      <c r="HY28" s="109"/>
      <c r="HZ28" s="109"/>
      <c r="IA28" s="109"/>
      <c r="IB28" s="109"/>
      <c r="IC28" s="109"/>
      <c r="ID28" s="109"/>
      <c r="IE28" s="109"/>
      <c r="IF28" s="109"/>
      <c r="IG28" s="109"/>
    </row>
    <row r="29" customFormat="false" ht="10.5" hidden="false" customHeight="true" outlineLevel="0" collapsed="false">
      <c r="A29" s="116"/>
      <c r="B29" s="116"/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  <c r="BD29" s="116"/>
      <c r="BE29" s="116"/>
      <c r="BF29" s="116"/>
      <c r="BG29" s="116"/>
      <c r="BH29" s="116"/>
      <c r="BI29" s="116"/>
      <c r="BJ29" s="116"/>
      <c r="BK29" s="116"/>
      <c r="BL29" s="116"/>
      <c r="BM29" s="116"/>
      <c r="BN29" s="116"/>
      <c r="BO29" s="116"/>
      <c r="BP29" s="116"/>
      <c r="BQ29" s="116"/>
      <c r="BR29" s="116"/>
      <c r="BS29" s="116"/>
      <c r="BT29" s="116"/>
      <c r="BU29" s="116"/>
      <c r="BV29" s="116"/>
      <c r="BW29" s="116"/>
      <c r="BX29" s="116"/>
      <c r="BY29" s="116"/>
      <c r="BZ29" s="116"/>
      <c r="CA29" s="116"/>
      <c r="CB29" s="116"/>
      <c r="CC29" s="116"/>
      <c r="CD29" s="116"/>
      <c r="CE29" s="116"/>
      <c r="CF29" s="116"/>
      <c r="CG29" s="116"/>
      <c r="CH29" s="116"/>
      <c r="CI29" s="116"/>
      <c r="CJ29" s="116"/>
      <c r="CK29" s="116"/>
      <c r="CL29" s="116"/>
      <c r="CM29" s="116"/>
      <c r="CN29" s="116"/>
      <c r="CO29" s="116"/>
      <c r="CP29" s="116"/>
      <c r="CQ29" s="116"/>
      <c r="CR29" s="116"/>
      <c r="CS29" s="116"/>
      <c r="CT29" s="116"/>
      <c r="CU29" s="116"/>
      <c r="CV29" s="116"/>
      <c r="CW29" s="116"/>
      <c r="CX29" s="116"/>
      <c r="CY29" s="116"/>
      <c r="CZ29" s="116"/>
      <c r="DA29" s="116"/>
      <c r="DB29" s="116"/>
      <c r="DC29" s="116"/>
      <c r="DD29" s="117"/>
      <c r="DE29" s="116"/>
      <c r="DF29" s="116"/>
      <c r="DG29" s="116"/>
      <c r="DH29" s="116"/>
      <c r="DI29" s="116"/>
      <c r="DJ29" s="116"/>
      <c r="DK29" s="116"/>
      <c r="DL29" s="116"/>
      <c r="DM29" s="116"/>
      <c r="DN29" s="116"/>
      <c r="DO29" s="116"/>
      <c r="DP29" s="116"/>
      <c r="DQ29" s="116"/>
      <c r="DR29" s="116"/>
      <c r="DS29" s="116"/>
      <c r="DT29" s="116"/>
      <c r="DU29" s="116"/>
      <c r="DV29" s="116"/>
      <c r="DW29" s="116"/>
      <c r="DX29" s="116"/>
      <c r="DY29" s="116"/>
      <c r="DZ29" s="116"/>
      <c r="EA29" s="116"/>
      <c r="EB29" s="116"/>
      <c r="EC29" s="116"/>
      <c r="ED29" s="116"/>
      <c r="EE29" s="116"/>
      <c r="EF29" s="116"/>
      <c r="EG29" s="116"/>
      <c r="EH29" s="116"/>
      <c r="EI29" s="116"/>
      <c r="EJ29" s="116"/>
      <c r="EK29" s="116"/>
      <c r="EL29" s="116"/>
      <c r="EM29" s="116"/>
      <c r="EN29" s="116"/>
      <c r="EO29" s="116"/>
      <c r="EP29" s="116"/>
      <c r="EQ29" s="116"/>
      <c r="ER29" s="116"/>
      <c r="ES29" s="116"/>
      <c r="ET29" s="116"/>
      <c r="EU29" s="116"/>
      <c r="EV29" s="116"/>
      <c r="EW29" s="116"/>
      <c r="EX29" s="116"/>
      <c r="EY29" s="116"/>
      <c r="EZ29" s="116"/>
      <c r="FA29" s="116"/>
      <c r="FB29" s="116"/>
      <c r="FC29" s="116"/>
      <c r="FD29" s="116"/>
      <c r="FE29" s="116"/>
      <c r="FF29" s="116"/>
      <c r="FG29" s="116"/>
      <c r="FH29" s="116"/>
      <c r="FI29" s="116"/>
      <c r="FJ29" s="116"/>
      <c r="FK29" s="116"/>
      <c r="FL29" s="116"/>
      <c r="FM29" s="116"/>
      <c r="FN29" s="116"/>
      <c r="FO29" s="116"/>
      <c r="FP29" s="116"/>
      <c r="FQ29" s="116"/>
      <c r="FR29" s="116"/>
      <c r="FS29" s="116"/>
      <c r="FT29" s="116"/>
      <c r="FU29" s="116"/>
      <c r="FV29" s="116"/>
      <c r="FW29" s="116"/>
      <c r="FX29" s="116"/>
      <c r="FY29" s="116"/>
      <c r="FZ29" s="116"/>
      <c r="GA29" s="116"/>
      <c r="GB29" s="116"/>
      <c r="GC29" s="116"/>
      <c r="GD29" s="116"/>
      <c r="GE29" s="116"/>
      <c r="GF29" s="116"/>
      <c r="GG29" s="116"/>
      <c r="GH29" s="116"/>
      <c r="GI29" s="116"/>
      <c r="GJ29" s="116"/>
      <c r="GK29" s="116"/>
      <c r="GL29" s="116"/>
      <c r="GM29" s="116"/>
      <c r="GN29" s="116"/>
      <c r="GO29" s="116"/>
      <c r="GP29" s="116"/>
      <c r="GQ29" s="116"/>
      <c r="GR29" s="116"/>
      <c r="GS29" s="116"/>
      <c r="GT29" s="116"/>
      <c r="GU29" s="116"/>
      <c r="GV29" s="116"/>
      <c r="GW29" s="116"/>
      <c r="GX29" s="116"/>
      <c r="GY29" s="116"/>
      <c r="GZ29" s="116"/>
      <c r="HA29" s="116"/>
      <c r="HB29" s="116"/>
      <c r="HC29" s="116"/>
      <c r="HD29" s="116"/>
      <c r="HE29" s="116"/>
      <c r="HF29" s="117"/>
      <c r="HG29" s="116"/>
      <c r="HH29" s="116"/>
      <c r="HI29" s="116"/>
      <c r="HJ29" s="116"/>
      <c r="HK29" s="116"/>
      <c r="HL29" s="116"/>
      <c r="HM29" s="116"/>
      <c r="HN29" s="116"/>
      <c r="HO29" s="116"/>
      <c r="HP29" s="116"/>
      <c r="HQ29" s="116"/>
      <c r="HR29" s="116"/>
      <c r="HS29" s="116"/>
      <c r="HT29" s="116"/>
      <c r="HU29" s="116"/>
      <c r="HV29" s="116"/>
      <c r="HW29" s="116"/>
      <c r="HX29" s="116"/>
      <c r="HY29" s="116"/>
      <c r="HZ29" s="116"/>
      <c r="IA29" s="116"/>
      <c r="IB29" s="116"/>
      <c r="IC29" s="116"/>
      <c r="ID29" s="116"/>
      <c r="IE29" s="116"/>
      <c r="IF29" s="116"/>
      <c r="IG29" s="116"/>
    </row>
    <row r="30" customFormat="false" ht="15.75" hidden="false" customHeight="true" outlineLevel="0" collapsed="false">
      <c r="A30" s="118"/>
      <c r="B30" s="119" t="s">
        <v>191</v>
      </c>
      <c r="C30" s="119"/>
      <c r="D30" s="119"/>
      <c r="E30" s="119" t="n">
        <v>1040</v>
      </c>
      <c r="F30" s="120" t="s">
        <v>192</v>
      </c>
      <c r="G30" s="120"/>
      <c r="H30" s="120"/>
      <c r="I30" s="120"/>
      <c r="J30" s="120"/>
      <c r="K30" s="120"/>
      <c r="L30" s="120"/>
      <c r="M30" s="120"/>
      <c r="N30" s="120" t="s">
        <v>193</v>
      </c>
      <c r="O30" s="120"/>
      <c r="P30" s="120"/>
      <c r="Q30" s="120"/>
      <c r="R30" s="120"/>
      <c r="S30" s="120"/>
      <c r="T30" s="120"/>
      <c r="U30" s="120"/>
      <c r="V30" s="120" t="s">
        <v>194</v>
      </c>
      <c r="W30" s="120"/>
      <c r="X30" s="120"/>
      <c r="Y30" s="120"/>
      <c r="Z30" s="120"/>
      <c r="AA30" s="120"/>
      <c r="AB30" s="120"/>
      <c r="AC30" s="120"/>
      <c r="AD30" s="120" t="s">
        <v>195</v>
      </c>
      <c r="AE30" s="120"/>
      <c r="AF30" s="120"/>
      <c r="AG30" s="120"/>
      <c r="AH30" s="120"/>
      <c r="AI30" s="120"/>
      <c r="AJ30" s="120"/>
      <c r="AK30" s="120"/>
      <c r="AL30" s="120"/>
      <c r="AM30" s="120"/>
      <c r="AN30" s="120" t="s">
        <v>12</v>
      </c>
      <c r="AO30" s="120"/>
      <c r="AP30" s="120"/>
      <c r="AQ30" s="120"/>
      <c r="AR30" s="120"/>
      <c r="AS30" s="120"/>
      <c r="AT30" s="120"/>
      <c r="AU30" s="120"/>
      <c r="AV30" s="120" t="s">
        <v>196</v>
      </c>
      <c r="AW30" s="120"/>
      <c r="AX30" s="120"/>
      <c r="AY30" s="120"/>
      <c r="AZ30" s="120"/>
      <c r="BA30" s="120"/>
      <c r="BB30" s="120"/>
      <c r="BC30" s="120"/>
      <c r="BD30" s="120" t="s">
        <v>197</v>
      </c>
      <c r="BE30" s="120"/>
      <c r="BF30" s="120"/>
      <c r="BG30" s="120"/>
      <c r="BH30" s="120"/>
      <c r="BI30" s="120"/>
      <c r="BJ30" s="120"/>
      <c r="BK30" s="120"/>
      <c r="BL30" s="120"/>
      <c r="BM30" s="120"/>
      <c r="BN30" s="120" t="s">
        <v>198</v>
      </c>
      <c r="BO30" s="120"/>
      <c r="BP30" s="120"/>
      <c r="BQ30" s="120"/>
      <c r="BR30" s="120"/>
      <c r="BS30" s="120"/>
      <c r="BT30" s="120"/>
      <c r="BU30" s="120"/>
      <c r="BV30" s="120" t="s">
        <v>199</v>
      </c>
      <c r="BW30" s="120"/>
      <c r="BX30" s="120"/>
      <c r="BY30" s="120"/>
      <c r="BZ30" s="120"/>
      <c r="CA30" s="120"/>
      <c r="CB30" s="120"/>
      <c r="CC30" s="120"/>
      <c r="CD30" s="120" t="s">
        <v>200</v>
      </c>
      <c r="CE30" s="120"/>
      <c r="CF30" s="120"/>
      <c r="CG30" s="120"/>
      <c r="CH30" s="120"/>
      <c r="CI30" s="120"/>
      <c r="CJ30" s="120"/>
      <c r="CK30" s="120"/>
      <c r="CL30" s="120" t="s">
        <v>201</v>
      </c>
      <c r="CM30" s="120"/>
      <c r="CN30" s="120"/>
      <c r="CO30" s="120"/>
      <c r="CP30" s="120"/>
      <c r="CQ30" s="120"/>
      <c r="CR30" s="120"/>
      <c r="CS30" s="120"/>
      <c r="CT30" s="120" t="s">
        <v>202</v>
      </c>
      <c r="CU30" s="120"/>
      <c r="CV30" s="120"/>
      <c r="CW30" s="120"/>
      <c r="CX30" s="120"/>
      <c r="CY30" s="120"/>
      <c r="CZ30" s="120"/>
      <c r="DA30" s="120"/>
      <c r="DB30" s="120"/>
      <c r="DC30" s="120"/>
      <c r="DD30" s="117" t="s">
        <v>20</v>
      </c>
      <c r="DE30" s="121"/>
      <c r="DF30" s="121"/>
      <c r="DG30" s="121"/>
      <c r="DH30" s="120" t="s">
        <v>192</v>
      </c>
      <c r="DI30" s="120"/>
      <c r="DJ30" s="120"/>
      <c r="DK30" s="120"/>
      <c r="DL30" s="120"/>
      <c r="DM30" s="120"/>
      <c r="DN30" s="120"/>
      <c r="DO30" s="120"/>
      <c r="DP30" s="120" t="s">
        <v>193</v>
      </c>
      <c r="DQ30" s="120"/>
      <c r="DR30" s="120"/>
      <c r="DS30" s="120"/>
      <c r="DT30" s="120"/>
      <c r="DU30" s="120"/>
      <c r="DV30" s="120"/>
      <c r="DW30" s="120"/>
      <c r="DX30" s="120" t="s">
        <v>194</v>
      </c>
      <c r="DY30" s="120"/>
      <c r="DZ30" s="120"/>
      <c r="EA30" s="120"/>
      <c r="EB30" s="120"/>
      <c r="EC30" s="120"/>
      <c r="ED30" s="120"/>
      <c r="EE30" s="120"/>
      <c r="EF30" s="120" t="s">
        <v>195</v>
      </c>
      <c r="EG30" s="120"/>
      <c r="EH30" s="120"/>
      <c r="EI30" s="120"/>
      <c r="EJ30" s="120"/>
      <c r="EK30" s="120"/>
      <c r="EL30" s="120"/>
      <c r="EM30" s="120"/>
      <c r="EN30" s="120"/>
      <c r="EO30" s="120"/>
      <c r="EP30" s="120" t="s">
        <v>12</v>
      </c>
      <c r="EQ30" s="120"/>
      <c r="ER30" s="120"/>
      <c r="ES30" s="120"/>
      <c r="ET30" s="120"/>
      <c r="EU30" s="120"/>
      <c r="EV30" s="120"/>
      <c r="EW30" s="120"/>
      <c r="EX30" s="120" t="s">
        <v>196</v>
      </c>
      <c r="EY30" s="120"/>
      <c r="EZ30" s="120"/>
      <c r="FA30" s="120"/>
      <c r="FB30" s="120"/>
      <c r="FC30" s="120"/>
      <c r="FD30" s="120"/>
      <c r="FE30" s="120"/>
      <c r="FF30" s="120" t="s">
        <v>197</v>
      </c>
      <c r="FG30" s="120"/>
      <c r="FH30" s="120"/>
      <c r="FI30" s="120"/>
      <c r="FJ30" s="120"/>
      <c r="FK30" s="120"/>
      <c r="FL30" s="120"/>
      <c r="FM30" s="120"/>
      <c r="FN30" s="120"/>
      <c r="FO30" s="120"/>
      <c r="FP30" s="120" t="s">
        <v>198</v>
      </c>
      <c r="FQ30" s="120"/>
      <c r="FR30" s="120"/>
      <c r="FS30" s="120"/>
      <c r="FT30" s="120"/>
      <c r="FU30" s="120"/>
      <c r="FV30" s="120"/>
      <c r="FW30" s="120"/>
      <c r="FX30" s="120" t="s">
        <v>199</v>
      </c>
      <c r="FY30" s="120"/>
      <c r="FZ30" s="120"/>
      <c r="GA30" s="120"/>
      <c r="GB30" s="120"/>
      <c r="GC30" s="120"/>
      <c r="GD30" s="120"/>
      <c r="GE30" s="120"/>
      <c r="GF30" s="120" t="s">
        <v>200</v>
      </c>
      <c r="GG30" s="120"/>
      <c r="GH30" s="120"/>
      <c r="GI30" s="120"/>
      <c r="GJ30" s="120"/>
      <c r="GK30" s="120"/>
      <c r="GL30" s="120"/>
      <c r="GM30" s="120"/>
      <c r="GN30" s="120" t="s">
        <v>201</v>
      </c>
      <c r="GO30" s="120"/>
      <c r="GP30" s="120"/>
      <c r="GQ30" s="120"/>
      <c r="GR30" s="120"/>
      <c r="GS30" s="120"/>
      <c r="GT30" s="120"/>
      <c r="GU30" s="120"/>
      <c r="GV30" s="120" t="s">
        <v>202</v>
      </c>
      <c r="GW30" s="120"/>
      <c r="GX30" s="120"/>
      <c r="GY30" s="120"/>
      <c r="GZ30" s="120"/>
      <c r="HA30" s="120"/>
      <c r="HB30" s="120"/>
      <c r="HC30" s="120"/>
      <c r="HD30" s="120"/>
      <c r="HE30" s="120"/>
      <c r="HF30" s="117" t="s">
        <v>20</v>
      </c>
      <c r="HG30" s="121"/>
      <c r="HH30" s="121"/>
      <c r="HI30" s="121"/>
      <c r="HJ30" s="116"/>
      <c r="HK30" s="116"/>
      <c r="HL30" s="116"/>
      <c r="HM30" s="116"/>
      <c r="HN30" s="116"/>
      <c r="HO30" s="116"/>
      <c r="HP30" s="116"/>
      <c r="HQ30" s="116"/>
      <c r="HR30" s="116"/>
      <c r="HS30" s="116"/>
      <c r="HT30" s="116"/>
      <c r="HU30" s="116"/>
      <c r="HV30" s="116"/>
      <c r="HW30" s="116"/>
      <c r="HX30" s="116"/>
      <c r="HY30" s="116"/>
      <c r="HZ30" s="116"/>
      <c r="IA30" s="116"/>
      <c r="IB30" s="116"/>
      <c r="IC30" s="116"/>
      <c r="ID30" s="116"/>
      <c r="IE30" s="116"/>
      <c r="IF30" s="116"/>
      <c r="IG30" s="116"/>
    </row>
    <row r="31" customFormat="false" ht="15.75" hidden="false" customHeight="true" outlineLevel="0" collapsed="false">
      <c r="A31" s="118"/>
      <c r="B31" s="122" t="s">
        <v>203</v>
      </c>
      <c r="C31" s="122"/>
      <c r="D31" s="122"/>
      <c r="E31" s="123" t="n">
        <f aca="false">SUM(F31:DC31)</f>
        <v>1039</v>
      </c>
      <c r="F31" s="124" t="n">
        <v>47</v>
      </c>
      <c r="G31" s="124"/>
      <c r="H31" s="124"/>
      <c r="I31" s="124"/>
      <c r="J31" s="124"/>
      <c r="K31" s="124"/>
      <c r="L31" s="124"/>
      <c r="M31" s="124"/>
      <c r="N31" s="120" t="n">
        <v>17</v>
      </c>
      <c r="O31" s="120"/>
      <c r="P31" s="120"/>
      <c r="Q31" s="120"/>
      <c r="R31" s="120"/>
      <c r="S31" s="120"/>
      <c r="T31" s="120"/>
      <c r="U31" s="120"/>
      <c r="V31" s="120" t="n">
        <v>70</v>
      </c>
      <c r="W31" s="120"/>
      <c r="X31" s="120"/>
      <c r="Y31" s="120"/>
      <c r="Z31" s="120"/>
      <c r="AA31" s="120"/>
      <c r="AB31" s="120"/>
      <c r="AC31" s="120"/>
      <c r="AD31" s="120" t="n">
        <v>100</v>
      </c>
      <c r="AE31" s="120"/>
      <c r="AF31" s="120"/>
      <c r="AG31" s="120"/>
      <c r="AH31" s="120"/>
      <c r="AI31" s="120"/>
      <c r="AJ31" s="120"/>
      <c r="AK31" s="120"/>
      <c r="AL31" s="120"/>
      <c r="AM31" s="120"/>
      <c r="AN31" s="120" t="n">
        <v>100</v>
      </c>
      <c r="AO31" s="120"/>
      <c r="AP31" s="120"/>
      <c r="AQ31" s="120"/>
      <c r="AR31" s="120"/>
      <c r="AS31" s="120"/>
      <c r="AT31" s="120"/>
      <c r="AU31" s="120"/>
      <c r="AV31" s="120" t="n">
        <v>80</v>
      </c>
      <c r="AW31" s="120"/>
      <c r="AX31" s="120"/>
      <c r="AY31" s="120"/>
      <c r="AZ31" s="120"/>
      <c r="BA31" s="120"/>
      <c r="BB31" s="120"/>
      <c r="BC31" s="120"/>
      <c r="BD31" s="120" t="n">
        <v>140</v>
      </c>
      <c r="BE31" s="120"/>
      <c r="BF31" s="120"/>
      <c r="BG31" s="120"/>
      <c r="BH31" s="120"/>
      <c r="BI31" s="120"/>
      <c r="BJ31" s="120"/>
      <c r="BK31" s="120"/>
      <c r="BL31" s="120"/>
      <c r="BM31" s="120"/>
      <c r="BN31" s="120" t="n">
        <v>145</v>
      </c>
      <c r="BO31" s="120"/>
      <c r="BP31" s="120"/>
      <c r="BQ31" s="120"/>
      <c r="BR31" s="120"/>
      <c r="BS31" s="120"/>
      <c r="BT31" s="120"/>
      <c r="BU31" s="120"/>
      <c r="BV31" s="120" t="n">
        <v>120</v>
      </c>
      <c r="BW31" s="120"/>
      <c r="BX31" s="120"/>
      <c r="BY31" s="120"/>
      <c r="BZ31" s="120"/>
      <c r="CA31" s="120"/>
      <c r="CB31" s="120"/>
      <c r="CC31" s="120"/>
      <c r="CD31" s="120" t="n">
        <v>100</v>
      </c>
      <c r="CE31" s="120"/>
      <c r="CF31" s="120"/>
      <c r="CG31" s="120"/>
      <c r="CH31" s="120"/>
      <c r="CI31" s="120"/>
      <c r="CJ31" s="120"/>
      <c r="CK31" s="120"/>
      <c r="CL31" s="120" t="n">
        <v>80</v>
      </c>
      <c r="CM31" s="120"/>
      <c r="CN31" s="120"/>
      <c r="CO31" s="120"/>
      <c r="CP31" s="120"/>
      <c r="CQ31" s="120"/>
      <c r="CR31" s="120"/>
      <c r="CS31" s="120"/>
      <c r="CT31" s="120" t="n">
        <v>40</v>
      </c>
      <c r="CU31" s="120"/>
      <c r="CV31" s="120"/>
      <c r="CW31" s="120"/>
      <c r="CX31" s="120"/>
      <c r="CY31" s="120"/>
      <c r="CZ31" s="120"/>
      <c r="DA31" s="120"/>
      <c r="DB31" s="120"/>
      <c r="DC31" s="120"/>
      <c r="DD31" s="120" t="n">
        <v>1025</v>
      </c>
      <c r="DE31" s="121"/>
      <c r="DF31" s="121"/>
      <c r="DG31" s="120" t="n">
        <f aca="false">SUM(DH31:HE31)</f>
        <v>1000</v>
      </c>
      <c r="DH31" s="120" t="n">
        <v>20</v>
      </c>
      <c r="DI31" s="120"/>
      <c r="DJ31" s="120"/>
      <c r="DK31" s="120"/>
      <c r="DL31" s="120"/>
      <c r="DM31" s="120"/>
      <c r="DN31" s="120"/>
      <c r="DO31" s="120"/>
      <c r="DP31" s="120" t="n">
        <v>40</v>
      </c>
      <c r="DQ31" s="120"/>
      <c r="DR31" s="120"/>
      <c r="DS31" s="120"/>
      <c r="DT31" s="120"/>
      <c r="DU31" s="120"/>
      <c r="DV31" s="120"/>
      <c r="DW31" s="120"/>
      <c r="DX31" s="120" t="n">
        <v>60</v>
      </c>
      <c r="DY31" s="120"/>
      <c r="DZ31" s="120"/>
      <c r="EA31" s="120"/>
      <c r="EB31" s="120"/>
      <c r="EC31" s="120"/>
      <c r="ED31" s="120"/>
      <c r="EE31" s="120"/>
      <c r="EF31" s="120" t="n">
        <v>100</v>
      </c>
      <c r="EG31" s="120"/>
      <c r="EH31" s="120"/>
      <c r="EI31" s="120"/>
      <c r="EJ31" s="120"/>
      <c r="EK31" s="120"/>
      <c r="EL31" s="120"/>
      <c r="EM31" s="120"/>
      <c r="EN31" s="120"/>
      <c r="EO31" s="120"/>
      <c r="EP31" s="120" t="n">
        <v>120</v>
      </c>
      <c r="EQ31" s="120"/>
      <c r="ER31" s="120"/>
      <c r="ES31" s="120"/>
      <c r="ET31" s="120"/>
      <c r="EU31" s="120"/>
      <c r="EV31" s="120"/>
      <c r="EW31" s="120"/>
      <c r="EX31" s="120" t="n">
        <v>110</v>
      </c>
      <c r="EY31" s="120"/>
      <c r="EZ31" s="120"/>
      <c r="FA31" s="120"/>
      <c r="FB31" s="120"/>
      <c r="FC31" s="120"/>
      <c r="FD31" s="120"/>
      <c r="FE31" s="120"/>
      <c r="FF31" s="120" t="n">
        <v>120</v>
      </c>
      <c r="FG31" s="120"/>
      <c r="FH31" s="120"/>
      <c r="FI31" s="120"/>
      <c r="FJ31" s="120"/>
      <c r="FK31" s="120"/>
      <c r="FL31" s="120"/>
      <c r="FM31" s="120"/>
      <c r="FN31" s="120"/>
      <c r="FO31" s="120"/>
      <c r="FP31" s="120" t="n">
        <v>110</v>
      </c>
      <c r="FQ31" s="120"/>
      <c r="FR31" s="120"/>
      <c r="FS31" s="120"/>
      <c r="FT31" s="120"/>
      <c r="FU31" s="120"/>
      <c r="FV31" s="120"/>
      <c r="FW31" s="120"/>
      <c r="FX31" s="120" t="n">
        <v>120</v>
      </c>
      <c r="FY31" s="120"/>
      <c r="FZ31" s="120"/>
      <c r="GA31" s="120"/>
      <c r="GB31" s="120"/>
      <c r="GC31" s="120"/>
      <c r="GD31" s="120"/>
      <c r="GE31" s="120"/>
      <c r="GF31" s="120" t="n">
        <v>90</v>
      </c>
      <c r="GG31" s="120"/>
      <c r="GH31" s="120"/>
      <c r="GI31" s="120"/>
      <c r="GJ31" s="120"/>
      <c r="GK31" s="120"/>
      <c r="GL31" s="120"/>
      <c r="GM31" s="120"/>
      <c r="GN31" s="120" t="n">
        <v>70</v>
      </c>
      <c r="GO31" s="120"/>
      <c r="GP31" s="120"/>
      <c r="GQ31" s="120"/>
      <c r="GR31" s="120"/>
      <c r="GS31" s="120"/>
      <c r="GT31" s="120"/>
      <c r="GU31" s="120"/>
      <c r="GV31" s="120" t="n">
        <v>40</v>
      </c>
      <c r="GW31" s="120"/>
      <c r="GX31" s="120"/>
      <c r="GY31" s="120"/>
      <c r="GZ31" s="120"/>
      <c r="HA31" s="120"/>
      <c r="HB31" s="120"/>
      <c r="HC31" s="120"/>
      <c r="HD31" s="120"/>
      <c r="HE31" s="120"/>
      <c r="HF31" s="120" t="n">
        <f aca="false">SUM(DH31:HE31)</f>
        <v>1000</v>
      </c>
      <c r="HG31" s="121"/>
      <c r="HH31" s="121"/>
      <c r="HI31" s="121"/>
      <c r="HJ31" s="116"/>
      <c r="HK31" s="116"/>
      <c r="HL31" s="116"/>
      <c r="HM31" s="116"/>
      <c r="HN31" s="116"/>
      <c r="HO31" s="116"/>
      <c r="HP31" s="116"/>
      <c r="HQ31" s="116"/>
      <c r="HR31" s="116"/>
      <c r="HS31" s="116"/>
      <c r="HT31" s="116"/>
      <c r="HU31" s="116"/>
      <c r="HV31" s="116"/>
      <c r="HW31" s="116"/>
      <c r="HX31" s="116"/>
      <c r="HY31" s="116"/>
      <c r="HZ31" s="116"/>
      <c r="IA31" s="116"/>
      <c r="IB31" s="116"/>
      <c r="IC31" s="116"/>
      <c r="ID31" s="116"/>
      <c r="IE31" s="116"/>
      <c r="IF31" s="116"/>
      <c r="IG31" s="116"/>
    </row>
    <row r="32" customFormat="false" ht="18.75" hidden="false" customHeight="true" outlineLevel="0" collapsed="false">
      <c r="A32" s="118"/>
      <c r="B32" s="125" t="s">
        <v>204</v>
      </c>
      <c r="C32" s="125"/>
      <c r="D32" s="125"/>
      <c r="E32" s="126" t="n">
        <f aca="false">SUM(F32:DC32)</f>
        <v>1023.45</v>
      </c>
      <c r="F32" s="127" t="n">
        <f aca="false">F5+H5+J5+L5+F8+H8+J8+L8+F14+H14+J14+L14+F17+H17+J17+L17+F11+H11+J11+L11</f>
        <v>46.95</v>
      </c>
      <c r="G32" s="127"/>
      <c r="H32" s="127"/>
      <c r="I32" s="127"/>
      <c r="J32" s="127"/>
      <c r="K32" s="127"/>
      <c r="L32" s="127"/>
      <c r="M32" s="127"/>
      <c r="N32" s="125" t="n">
        <f aca="false">N5+P5+R5+T5+N8+P8+R8+T8+N14+P14+R14+T14+N17+P17+R17+T17+N11+P11+R11+T11</f>
        <v>16.75</v>
      </c>
      <c r="O32" s="125"/>
      <c r="P32" s="125"/>
      <c r="Q32" s="125"/>
      <c r="R32" s="125"/>
      <c r="S32" s="125"/>
      <c r="T32" s="125"/>
      <c r="U32" s="125"/>
      <c r="V32" s="125" t="n">
        <f aca="false">V5+X5+Z5+AB5+V8+X8+Z8+AB8+V14+X14+Z14+AB14+V17+X17+Z17+AB17+V11+X11+Z11+AB11</f>
        <v>88.3</v>
      </c>
      <c r="W32" s="125"/>
      <c r="X32" s="125"/>
      <c r="Y32" s="125"/>
      <c r="Z32" s="125"/>
      <c r="AA32" s="125"/>
      <c r="AB32" s="125"/>
      <c r="AC32" s="125"/>
      <c r="AD32" s="125" t="n">
        <f aca="false">AD5+AF5+AH5+AJ5+AL5+AD8+AF8+AH8+AJ8+AL8+AD14+AF14+AH14+AJ14+AL14+AD17+AF17+AH17+AJ17+AL17+AD11+AF11+AH11+AJ11+AL11+AD20+AF20+AH20+AJ20+AL20+AD23+AH23+AJ23+AL23</f>
        <v>50.3</v>
      </c>
      <c r="AE32" s="125"/>
      <c r="AF32" s="125"/>
      <c r="AG32" s="125"/>
      <c r="AH32" s="125"/>
      <c r="AI32" s="125"/>
      <c r="AJ32" s="125"/>
      <c r="AK32" s="125"/>
      <c r="AL32" s="125"/>
      <c r="AM32" s="125"/>
      <c r="AN32" s="125" t="n">
        <f aca="false">AN5+AP5+AR5+AT5+AN8+AP8+AR8+AT8+AZ14+BB14+AR14+AN17+AP17+AR17+AT17+AT14+AN11+AP11+AR11+AT11+AP14+AN14+AN20+AP20+AR20+AT20+AN23+AP23+AR23+AT23</f>
        <v>95.6</v>
      </c>
      <c r="AO32" s="125"/>
      <c r="AP32" s="125"/>
      <c r="AQ32" s="125"/>
      <c r="AR32" s="125"/>
      <c r="AS32" s="125"/>
      <c r="AT32" s="125"/>
      <c r="AU32" s="125"/>
      <c r="AV32" s="125" t="n">
        <f aca="false">AV5+AX5+AZ5+BB5+AX8+AV8+AZ8+BB8+AV14+BD14+AX14+AZ14+BB14+BB17+AZ17+AX17+AV17+AV11+AX11+AZ11+BB11+BB20+AZ20+AX20+AV20+AV23+AX23+AZ23+BB23+AV26+AX26+AZ26+BB26</f>
        <v>25.4</v>
      </c>
      <c r="AW32" s="125"/>
      <c r="AX32" s="125"/>
      <c r="AY32" s="125"/>
      <c r="AZ32" s="125"/>
      <c r="BA32" s="125"/>
      <c r="BB32" s="125"/>
      <c r="BC32" s="125"/>
      <c r="BD32" s="125" t="n">
        <f aca="false">BD5+BF5+BH5+BJ5+BL5+BD8+BF8+BH8+BJ8+BL8+BF14+BH14+BJ14+BL14+BD17+BF17+BH17+BJ17+BL17+BD14+BD11+BF11+BH11+BJ11+BL11+BD20+BF20+BH20+BJ20+BL20+BL23+BJ23+BH23+BF23+BD23+BH26</f>
        <v>83.15</v>
      </c>
      <c r="BE32" s="125"/>
      <c r="BF32" s="125"/>
      <c r="BG32" s="125"/>
      <c r="BH32" s="125"/>
      <c r="BI32" s="125"/>
      <c r="BJ32" s="125"/>
      <c r="BK32" s="125"/>
      <c r="BL32" s="125"/>
      <c r="BM32" s="125"/>
      <c r="BN32" s="119" t="n">
        <f aca="false">BN5+BP5+BR5+BT5+BN8+BP8+BR8+BT8+BN14+BP14+BR14+BT14+BN17+BP17+BR17+BT17+BN11+BP11+BR11+BT11+BN20+BP20+BR20+BT20+BT23+BR23+BP23+BN23</f>
        <v>92</v>
      </c>
      <c r="BO32" s="119"/>
      <c r="BP32" s="119"/>
      <c r="BQ32" s="119"/>
      <c r="BR32" s="119"/>
      <c r="BS32" s="119"/>
      <c r="BT32" s="119"/>
      <c r="BU32" s="119"/>
      <c r="BV32" s="119" t="n">
        <f aca="false">BV5+BX5+BZ5+CB5+BV8+BX8+BZ8+CB8+BV14+BX14+BZ14+CB14+BV17+BX17+BZ17+CB17+BV11+BX11+BZ11+CB11+BV20+BX20+BZ20+CB20+CB23+BZ23+BX23+BV23</f>
        <v>135</v>
      </c>
      <c r="BW32" s="119"/>
      <c r="BX32" s="119"/>
      <c r="BY32" s="119"/>
      <c r="BZ32" s="119"/>
      <c r="CA32" s="119"/>
      <c r="CB32" s="119"/>
      <c r="CC32" s="119"/>
      <c r="CD32" s="119" t="n">
        <f aca="false">CD5+CF5+CH5+CJ5+CF8+CH8+CJ8+CD8+CD14+CF14+CH14+CJ14+CD17+CF17+CH17+CJ17+CD11+CF11+CH11+CJ11+CD20+CF20+CH20+CJ20+CH23+CF23+CD23+CJ23</f>
        <v>140</v>
      </c>
      <c r="CE32" s="119"/>
      <c r="CF32" s="119"/>
      <c r="CG32" s="119"/>
      <c r="CH32" s="119"/>
      <c r="CI32" s="119"/>
      <c r="CJ32" s="119"/>
      <c r="CK32" s="119"/>
      <c r="CL32" s="119" t="n">
        <f aca="false">CL5+CN5+CP5+CR5+CL8+CN8+CP8+CR8+CL14+CN14+CP14+CR14+CL17+CN17+CP17+CR17+CL11+CN11+CP11+CR11+CL20+CN20+CP20+CR20+CR23+CP23+CN23+CL23</f>
        <v>140</v>
      </c>
      <c r="CM32" s="119"/>
      <c r="CN32" s="119"/>
      <c r="CO32" s="119"/>
      <c r="CP32" s="119"/>
      <c r="CQ32" s="119"/>
      <c r="CR32" s="119"/>
      <c r="CS32" s="119"/>
      <c r="CT32" s="119" t="n">
        <f aca="false">CT5+CV5+CX5+CZ5+DB5+CT8+CV8+CX8+CZ8+DB8+CT14+CV14+CX14+CZ14+DB14+CT17+CV17+CX17+CZ17+DB17+CT11+CV11+CX11+CZ11+DB11+CT20+CV20+CX20+CZ20+DB20+DB23+CZ23+CX23+CV23+CT23</f>
        <v>110</v>
      </c>
      <c r="CU32" s="119"/>
      <c r="CV32" s="119"/>
      <c r="CW32" s="119"/>
      <c r="CX32" s="119"/>
      <c r="CY32" s="119"/>
      <c r="CZ32" s="119"/>
      <c r="DA32" s="119"/>
      <c r="DB32" s="119"/>
      <c r="DC32" s="119"/>
      <c r="DD32" s="125" t="n">
        <f aca="false">SUM(F32:DC32)</f>
        <v>1023.45</v>
      </c>
      <c r="DE32" s="121"/>
      <c r="DF32" s="121"/>
      <c r="DG32" s="125" t="n">
        <f aca="false">SUM(DH32:HE32)</f>
        <v>1100</v>
      </c>
      <c r="DH32" s="119" t="n">
        <f aca="false">DH5+DJ5+DL5+DN5+DH8+DJ8+DL8+DN8+DH14+DJ14+DL14+DN14+DH17+DJ17+DL17+DN17+DH11+DJ11+DL11+DN11</f>
        <v>35</v>
      </c>
      <c r="DI32" s="119"/>
      <c r="DJ32" s="119"/>
      <c r="DK32" s="119"/>
      <c r="DL32" s="119"/>
      <c r="DM32" s="119"/>
      <c r="DN32" s="119"/>
      <c r="DO32" s="119"/>
      <c r="DP32" s="119" t="n">
        <f aca="false">DP5+DR5+DT5+DV5+DP8+DR8+DT8+DV8+DP14+DR14+DT14+DV14+DP17+DR17+DT17+DV17+DP11+DR11+DT11+DV11</f>
        <v>60</v>
      </c>
      <c r="DQ32" s="119"/>
      <c r="DR32" s="119"/>
      <c r="DS32" s="119"/>
      <c r="DT32" s="119"/>
      <c r="DU32" s="119"/>
      <c r="DV32" s="119"/>
      <c r="DW32" s="119"/>
      <c r="DX32" s="119" t="n">
        <f aca="false">DX5+DZ5+EB5+ED5+DX8+DZ8+EB8+ED8+DX14+DZ14+EB14+ED14+DX17+DZ17+EB17+ED17+DX11+DZ11+EB11+ED11</f>
        <v>70</v>
      </c>
      <c r="DY32" s="119"/>
      <c r="DZ32" s="119"/>
      <c r="EA32" s="119"/>
      <c r="EB32" s="119"/>
      <c r="EC32" s="119"/>
      <c r="ED32" s="119"/>
      <c r="EE32" s="119"/>
      <c r="EF32" s="119" t="n">
        <f aca="false">EF5+EH5+EJ5+EL5+EN5+EF8+EH8+EJ8+EL8+EN8+EF14+EH14+EJ14+EL14+EN14+EF17+EH17+EJ17+EL17+EN17+EF11+EH11+EJ11+EL11+EN11</f>
        <v>110</v>
      </c>
      <c r="EG32" s="119"/>
      <c r="EH32" s="119"/>
      <c r="EI32" s="119"/>
      <c r="EJ32" s="119"/>
      <c r="EK32" s="119"/>
      <c r="EL32" s="119"/>
      <c r="EM32" s="119"/>
      <c r="EN32" s="119"/>
      <c r="EO32" s="119"/>
      <c r="EP32" s="119" t="n">
        <f aca="false">EP5+ER5+ET5+EV5+EP8+ER8+ET8+EV8+FB14+FD14+ET14+EP17+ER17+ET17+EV17+EV14+EP11+ER11+ET11+EV11</f>
        <v>115</v>
      </c>
      <c r="EQ32" s="119"/>
      <c r="ER32" s="119"/>
      <c r="ES32" s="119"/>
      <c r="ET32" s="119"/>
      <c r="EU32" s="119"/>
      <c r="EV32" s="119"/>
      <c r="EW32" s="119"/>
      <c r="EX32" s="119" t="n">
        <f aca="false">EX5+EZ5+FB5+FD5+EZ8+EX8+FB8+FD8+EX14+FF14+EZ14+FB14+FD14+FD17+FB17+EZ17+EX17+EX11+EZ11+FB11+FD11</f>
        <v>105</v>
      </c>
      <c r="EY32" s="119"/>
      <c r="EZ32" s="119"/>
      <c r="FA32" s="119"/>
      <c r="FB32" s="119"/>
      <c r="FC32" s="119"/>
      <c r="FD32" s="119"/>
      <c r="FE32" s="119"/>
      <c r="FF32" s="119" t="n">
        <f aca="false">FF5+FH5+FJ5+FL5+FN5+FF8+FH8+FJ8+FL8+FN8+FH14+FJ14+FL14+FN14+FF17+FH17+FJ17+FL17+FN17+FF14+FF11+FH11+FJ11+FL11+FN11</f>
        <v>125</v>
      </c>
      <c r="FG32" s="119"/>
      <c r="FH32" s="119"/>
      <c r="FI32" s="119"/>
      <c r="FJ32" s="119"/>
      <c r="FK32" s="119"/>
      <c r="FL32" s="119"/>
      <c r="FM32" s="119"/>
      <c r="FN32" s="119"/>
      <c r="FO32" s="119"/>
      <c r="FP32" s="119" t="n">
        <f aca="false">FP5+FR5+FT5+FV5+FP8+FR8+FT8+FV8+FP14+FR14+FT14+FV14+FP17+FR17+FT17+FV17+FP11+FR11+FT11+FV11</f>
        <v>105</v>
      </c>
      <c r="FQ32" s="119"/>
      <c r="FR32" s="119"/>
      <c r="FS32" s="119"/>
      <c r="FT32" s="119"/>
      <c r="FU32" s="119"/>
      <c r="FV32" s="119"/>
      <c r="FW32" s="119"/>
      <c r="FX32" s="119" t="n">
        <f aca="false">FX5+FZ5+GB5+GD5+FX8+FZ8+GB8+GD8+FX14+FZ14+GB14+GD14+FX17+FZ17+GB17+GD17+FX11+FZ11+GB11+GD11</f>
        <v>100</v>
      </c>
      <c r="FY32" s="119"/>
      <c r="FZ32" s="119"/>
      <c r="GA32" s="119"/>
      <c r="GB32" s="119"/>
      <c r="GC32" s="119"/>
      <c r="GD32" s="119"/>
      <c r="GE32" s="119"/>
      <c r="GF32" s="119" t="n">
        <f aca="false">GF5+GH5+GJ5+GL5+GH8+GJ8+GL8+GF8+GF14+GH14+GJ14+GL14+GF17+GH17+GJ17+GL17+GF11+GH11+GJ11+GL11</f>
        <v>95</v>
      </c>
      <c r="GG32" s="119"/>
      <c r="GH32" s="119"/>
      <c r="GI32" s="119"/>
      <c r="GJ32" s="119"/>
      <c r="GK32" s="119"/>
      <c r="GL32" s="119"/>
      <c r="GM32" s="119"/>
      <c r="GN32" s="119" t="n">
        <f aca="false">GN5+GP5+GR5+GT5+GN8+GP8+GR8+GT8+GN14+GP14+GR14+GT14+GN17+GP17+GR17+GT17+GN11+GP11+GR11+GT11</f>
        <v>90</v>
      </c>
      <c r="GO32" s="119"/>
      <c r="GP32" s="119"/>
      <c r="GQ32" s="119"/>
      <c r="GR32" s="119"/>
      <c r="GS32" s="119"/>
      <c r="GT32" s="119"/>
      <c r="GU32" s="119"/>
      <c r="GV32" s="119" t="n">
        <f aca="false">GV5+GX5+GZ5+HB5+HD5+GV8+GX8+GZ8+HB8+HD8+GV14+GX14+GZ14+HB14+HD14+GV17+GX17+GZ17+HB17+HD17+GV11+GX11+GZ11+HB11+HD11</f>
        <v>90</v>
      </c>
      <c r="GW32" s="119"/>
      <c r="GX32" s="119"/>
      <c r="GY32" s="119"/>
      <c r="GZ32" s="119"/>
      <c r="HA32" s="119"/>
      <c r="HB32" s="119"/>
      <c r="HC32" s="119"/>
      <c r="HD32" s="119"/>
      <c r="HE32" s="119"/>
      <c r="HF32" s="125" t="n">
        <f aca="false">SUM(DH32:HE32)</f>
        <v>1100</v>
      </c>
      <c r="HG32" s="121"/>
      <c r="HH32" s="121"/>
      <c r="HI32" s="121"/>
      <c r="HJ32" s="116"/>
      <c r="HK32" s="116"/>
      <c r="HL32" s="116"/>
      <c r="HM32" s="116"/>
      <c r="HN32" s="116"/>
      <c r="HO32" s="116"/>
      <c r="HP32" s="116"/>
      <c r="HQ32" s="116"/>
      <c r="HR32" s="116"/>
      <c r="HS32" s="116"/>
      <c r="HT32" s="116"/>
      <c r="HU32" s="116"/>
      <c r="HV32" s="116"/>
      <c r="HW32" s="116"/>
      <c r="HX32" s="116"/>
      <c r="HY32" s="116"/>
      <c r="HZ32" s="116"/>
      <c r="IA32" s="116"/>
      <c r="IB32" s="116"/>
      <c r="IC32" s="116"/>
      <c r="ID32" s="116"/>
      <c r="IE32" s="116"/>
      <c r="IF32" s="116"/>
      <c r="IG32" s="116"/>
    </row>
    <row r="33" customFormat="false" ht="11.25" hidden="false" customHeight="true" outlineLevel="0" collapsed="false">
      <c r="A33" s="128"/>
      <c r="B33" s="129"/>
      <c r="C33" s="129"/>
      <c r="D33" s="129"/>
      <c r="E33" s="129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30"/>
      <c r="AC33" s="130"/>
      <c r="AD33" s="130"/>
      <c r="AE33" s="130"/>
      <c r="AF33" s="130"/>
      <c r="AG33" s="130"/>
      <c r="AH33" s="130"/>
      <c r="AI33" s="130"/>
      <c r="AJ33" s="130"/>
      <c r="AK33" s="130"/>
      <c r="AL33" s="130"/>
      <c r="AM33" s="130"/>
      <c r="AN33" s="130"/>
      <c r="AO33" s="130"/>
      <c r="AP33" s="130"/>
      <c r="AQ33" s="130"/>
      <c r="AR33" s="130"/>
      <c r="AS33" s="130"/>
      <c r="AT33" s="130"/>
      <c r="AU33" s="130"/>
      <c r="AV33" s="130"/>
      <c r="AW33" s="130"/>
      <c r="AX33" s="130"/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30"/>
      <c r="BM33" s="130"/>
      <c r="BN33" s="130"/>
      <c r="BO33" s="130"/>
      <c r="BP33" s="130"/>
      <c r="BQ33" s="130"/>
      <c r="BR33" s="130"/>
      <c r="BS33" s="130"/>
      <c r="BT33" s="130"/>
      <c r="BU33" s="130"/>
      <c r="BV33" s="130"/>
      <c r="BW33" s="130"/>
      <c r="BX33" s="130"/>
      <c r="BY33" s="130"/>
      <c r="BZ33" s="130"/>
      <c r="CA33" s="130"/>
      <c r="CB33" s="130"/>
      <c r="CC33" s="130"/>
      <c r="CD33" s="130"/>
      <c r="CE33" s="130"/>
      <c r="CF33" s="130"/>
      <c r="CG33" s="130"/>
      <c r="CH33" s="130"/>
      <c r="CI33" s="130"/>
      <c r="CJ33" s="130"/>
      <c r="CK33" s="130"/>
      <c r="CL33" s="130"/>
      <c r="CM33" s="130"/>
      <c r="CN33" s="130"/>
      <c r="CO33" s="130"/>
      <c r="CP33" s="130"/>
      <c r="CQ33" s="130"/>
      <c r="CR33" s="130"/>
      <c r="CS33" s="130"/>
      <c r="CT33" s="130"/>
      <c r="CU33" s="130"/>
      <c r="CV33" s="130"/>
      <c r="CW33" s="130"/>
      <c r="CX33" s="130"/>
      <c r="CY33" s="130"/>
      <c r="CZ33" s="130"/>
      <c r="DA33" s="130"/>
      <c r="DB33" s="130"/>
      <c r="DC33" s="130"/>
      <c r="DD33" s="131"/>
      <c r="DE33" s="132"/>
      <c r="DF33" s="132"/>
      <c r="DG33" s="132"/>
      <c r="DH33" s="133"/>
      <c r="DI33" s="133"/>
      <c r="DJ33" s="133"/>
      <c r="DK33" s="133"/>
      <c r="DL33" s="133"/>
      <c r="DM33" s="133"/>
      <c r="DN33" s="133"/>
      <c r="DO33" s="133"/>
      <c r="DP33" s="130"/>
      <c r="DQ33" s="130"/>
      <c r="DR33" s="130"/>
      <c r="DS33" s="130"/>
      <c r="DT33" s="130"/>
      <c r="DU33" s="130"/>
      <c r="DV33" s="130"/>
      <c r="DW33" s="130"/>
      <c r="DX33" s="130"/>
      <c r="DY33" s="130"/>
      <c r="DZ33" s="130"/>
      <c r="EA33" s="130"/>
      <c r="EB33" s="130"/>
      <c r="EC33" s="130"/>
      <c r="ED33" s="130"/>
      <c r="EE33" s="130"/>
      <c r="EF33" s="130"/>
      <c r="EG33" s="130"/>
      <c r="EH33" s="130"/>
      <c r="EI33" s="130"/>
      <c r="EJ33" s="130"/>
      <c r="EK33" s="130"/>
      <c r="EL33" s="130"/>
      <c r="EM33" s="130"/>
      <c r="EN33" s="130"/>
      <c r="EO33" s="130"/>
      <c r="EP33" s="130"/>
      <c r="EQ33" s="130"/>
      <c r="ER33" s="130"/>
      <c r="ES33" s="130"/>
      <c r="ET33" s="130"/>
      <c r="EU33" s="130"/>
      <c r="EV33" s="130"/>
      <c r="EW33" s="130"/>
      <c r="EX33" s="130"/>
      <c r="EY33" s="130"/>
      <c r="EZ33" s="130"/>
      <c r="FA33" s="130"/>
      <c r="FB33" s="130"/>
      <c r="FC33" s="130"/>
      <c r="FD33" s="130"/>
      <c r="FE33" s="130"/>
      <c r="FF33" s="130"/>
      <c r="FG33" s="130"/>
      <c r="FH33" s="130"/>
      <c r="FI33" s="130"/>
      <c r="FJ33" s="130"/>
      <c r="FK33" s="130"/>
      <c r="FL33" s="130"/>
      <c r="FM33" s="130"/>
      <c r="FN33" s="130"/>
      <c r="FO33" s="130"/>
      <c r="FP33" s="130"/>
      <c r="FQ33" s="130"/>
      <c r="FR33" s="130"/>
      <c r="FS33" s="130"/>
      <c r="FT33" s="130"/>
      <c r="FU33" s="130"/>
      <c r="FV33" s="130"/>
      <c r="FW33" s="130"/>
      <c r="FX33" s="130"/>
      <c r="FY33" s="130"/>
      <c r="FZ33" s="130"/>
      <c r="GA33" s="130"/>
      <c r="GB33" s="130"/>
      <c r="GC33" s="130"/>
      <c r="GD33" s="130"/>
      <c r="GE33" s="130"/>
      <c r="GF33" s="130"/>
      <c r="GG33" s="130"/>
      <c r="GH33" s="130"/>
      <c r="GI33" s="130"/>
      <c r="GJ33" s="130"/>
      <c r="GK33" s="130"/>
      <c r="GL33" s="130"/>
      <c r="GM33" s="130"/>
      <c r="GN33" s="130"/>
      <c r="GO33" s="130"/>
      <c r="GP33" s="130"/>
      <c r="GQ33" s="130"/>
      <c r="GR33" s="130"/>
      <c r="GS33" s="130"/>
      <c r="GT33" s="130"/>
      <c r="GU33" s="130"/>
      <c r="GV33" s="130"/>
      <c r="GW33" s="130"/>
      <c r="GX33" s="130"/>
      <c r="GY33" s="130"/>
      <c r="GZ33" s="130"/>
      <c r="HA33" s="130"/>
      <c r="HB33" s="130"/>
      <c r="HC33" s="130"/>
      <c r="HD33" s="130"/>
      <c r="HE33" s="130"/>
      <c r="HF33" s="131"/>
      <c r="HG33" s="132"/>
      <c r="HH33" s="132"/>
      <c r="HI33" s="132"/>
      <c r="HJ33" s="134"/>
      <c r="HK33" s="134"/>
      <c r="HL33" s="134"/>
      <c r="HM33" s="134"/>
      <c r="HN33" s="134"/>
      <c r="HO33" s="134"/>
      <c r="HP33" s="134"/>
      <c r="HQ33" s="134"/>
      <c r="HR33" s="134"/>
      <c r="HS33" s="134"/>
      <c r="HT33" s="134"/>
      <c r="HU33" s="134"/>
      <c r="HV33" s="134"/>
      <c r="HW33" s="134"/>
      <c r="HX33" s="134"/>
      <c r="HY33" s="134"/>
      <c r="HZ33" s="134"/>
      <c r="IA33" s="134"/>
      <c r="IB33" s="134"/>
      <c r="IC33" s="134"/>
      <c r="ID33" s="134"/>
      <c r="IE33" s="134"/>
      <c r="IF33" s="134"/>
      <c r="IG33" s="134"/>
    </row>
    <row r="34" customFormat="false" ht="15.75" hidden="false" customHeight="true" outlineLevel="0" collapsed="false">
      <c r="A34" s="128"/>
      <c r="B34" s="135" t="s">
        <v>205</v>
      </c>
      <c r="C34" s="135"/>
      <c r="D34" s="135"/>
      <c r="E34" s="136" t="n">
        <v>1536</v>
      </c>
      <c r="F34" s="120" t="s">
        <v>192</v>
      </c>
      <c r="G34" s="120"/>
      <c r="H34" s="120"/>
      <c r="I34" s="120"/>
      <c r="J34" s="120"/>
      <c r="K34" s="120"/>
      <c r="L34" s="120"/>
      <c r="M34" s="120"/>
      <c r="N34" s="120" t="s">
        <v>193</v>
      </c>
      <c r="O34" s="120"/>
      <c r="P34" s="120"/>
      <c r="Q34" s="120"/>
      <c r="R34" s="120"/>
      <c r="S34" s="120"/>
      <c r="T34" s="120"/>
      <c r="U34" s="120"/>
      <c r="V34" s="120" t="s">
        <v>194</v>
      </c>
      <c r="W34" s="120"/>
      <c r="X34" s="120"/>
      <c r="Y34" s="120"/>
      <c r="Z34" s="120"/>
      <c r="AA34" s="120"/>
      <c r="AB34" s="120"/>
      <c r="AC34" s="120"/>
      <c r="AD34" s="120" t="s">
        <v>195</v>
      </c>
      <c r="AE34" s="120"/>
      <c r="AF34" s="120"/>
      <c r="AG34" s="120"/>
      <c r="AH34" s="120"/>
      <c r="AI34" s="120"/>
      <c r="AJ34" s="120"/>
      <c r="AK34" s="120"/>
      <c r="AL34" s="120"/>
      <c r="AM34" s="120"/>
      <c r="AN34" s="120" t="s">
        <v>12</v>
      </c>
      <c r="AO34" s="120"/>
      <c r="AP34" s="120"/>
      <c r="AQ34" s="120"/>
      <c r="AR34" s="120"/>
      <c r="AS34" s="120"/>
      <c r="AT34" s="120"/>
      <c r="AU34" s="120"/>
      <c r="AV34" s="120" t="s">
        <v>196</v>
      </c>
      <c r="AW34" s="120"/>
      <c r="AX34" s="120"/>
      <c r="AY34" s="120"/>
      <c r="AZ34" s="120"/>
      <c r="BA34" s="120"/>
      <c r="BB34" s="120"/>
      <c r="BC34" s="120"/>
      <c r="BD34" s="120" t="s">
        <v>197</v>
      </c>
      <c r="BE34" s="120"/>
      <c r="BF34" s="120"/>
      <c r="BG34" s="120"/>
      <c r="BH34" s="120"/>
      <c r="BI34" s="120"/>
      <c r="BJ34" s="120"/>
      <c r="BK34" s="120"/>
      <c r="BL34" s="120"/>
      <c r="BM34" s="120"/>
      <c r="BN34" s="120" t="s">
        <v>198</v>
      </c>
      <c r="BO34" s="120"/>
      <c r="BP34" s="120"/>
      <c r="BQ34" s="120"/>
      <c r="BR34" s="120"/>
      <c r="BS34" s="120"/>
      <c r="BT34" s="120"/>
      <c r="BU34" s="120"/>
      <c r="BV34" s="120" t="s">
        <v>199</v>
      </c>
      <c r="BW34" s="120"/>
      <c r="BX34" s="120"/>
      <c r="BY34" s="120"/>
      <c r="BZ34" s="120"/>
      <c r="CA34" s="120"/>
      <c r="CB34" s="120"/>
      <c r="CC34" s="120"/>
      <c r="CD34" s="120" t="s">
        <v>200</v>
      </c>
      <c r="CE34" s="120"/>
      <c r="CF34" s="120"/>
      <c r="CG34" s="120"/>
      <c r="CH34" s="120"/>
      <c r="CI34" s="120"/>
      <c r="CJ34" s="120"/>
      <c r="CK34" s="120"/>
      <c r="CL34" s="120" t="s">
        <v>201</v>
      </c>
      <c r="CM34" s="120"/>
      <c r="CN34" s="120"/>
      <c r="CO34" s="120"/>
      <c r="CP34" s="120"/>
      <c r="CQ34" s="120"/>
      <c r="CR34" s="120"/>
      <c r="CS34" s="120"/>
      <c r="CT34" s="120" t="s">
        <v>202</v>
      </c>
      <c r="CU34" s="120"/>
      <c r="CV34" s="120"/>
      <c r="CW34" s="120"/>
      <c r="CX34" s="120"/>
      <c r="CY34" s="120"/>
      <c r="CZ34" s="120"/>
      <c r="DA34" s="120"/>
      <c r="DB34" s="120"/>
      <c r="DC34" s="120"/>
      <c r="DD34" s="117" t="s">
        <v>20</v>
      </c>
      <c r="DE34" s="121"/>
      <c r="DF34" s="121"/>
      <c r="DG34" s="121"/>
      <c r="DH34" s="120" t="s">
        <v>192</v>
      </c>
      <c r="DI34" s="120"/>
      <c r="DJ34" s="120"/>
      <c r="DK34" s="120"/>
      <c r="DL34" s="120"/>
      <c r="DM34" s="120"/>
      <c r="DN34" s="120"/>
      <c r="DO34" s="120"/>
      <c r="DP34" s="120" t="s">
        <v>193</v>
      </c>
      <c r="DQ34" s="120"/>
      <c r="DR34" s="120"/>
      <c r="DS34" s="120"/>
      <c r="DT34" s="120"/>
      <c r="DU34" s="120"/>
      <c r="DV34" s="120"/>
      <c r="DW34" s="120"/>
      <c r="DX34" s="120" t="s">
        <v>194</v>
      </c>
      <c r="DY34" s="120"/>
      <c r="DZ34" s="120"/>
      <c r="EA34" s="120"/>
      <c r="EB34" s="120"/>
      <c r="EC34" s="120"/>
      <c r="ED34" s="120"/>
      <c r="EE34" s="120"/>
      <c r="EF34" s="120" t="s">
        <v>195</v>
      </c>
      <c r="EG34" s="120"/>
      <c r="EH34" s="120"/>
      <c r="EI34" s="120"/>
      <c r="EJ34" s="120"/>
      <c r="EK34" s="120"/>
      <c r="EL34" s="120"/>
      <c r="EM34" s="120"/>
      <c r="EN34" s="120"/>
      <c r="EO34" s="120"/>
      <c r="EP34" s="120" t="s">
        <v>12</v>
      </c>
      <c r="EQ34" s="120"/>
      <c r="ER34" s="120"/>
      <c r="ES34" s="120"/>
      <c r="ET34" s="120"/>
      <c r="EU34" s="120"/>
      <c r="EV34" s="120"/>
      <c r="EW34" s="120"/>
      <c r="EX34" s="120" t="s">
        <v>196</v>
      </c>
      <c r="EY34" s="120"/>
      <c r="EZ34" s="120"/>
      <c r="FA34" s="120"/>
      <c r="FB34" s="120"/>
      <c r="FC34" s="120"/>
      <c r="FD34" s="120"/>
      <c r="FE34" s="120"/>
      <c r="FF34" s="120" t="s">
        <v>197</v>
      </c>
      <c r="FG34" s="120"/>
      <c r="FH34" s="120"/>
      <c r="FI34" s="120"/>
      <c r="FJ34" s="120"/>
      <c r="FK34" s="120"/>
      <c r="FL34" s="120"/>
      <c r="FM34" s="120"/>
      <c r="FN34" s="120"/>
      <c r="FO34" s="120"/>
      <c r="FP34" s="120" t="s">
        <v>198</v>
      </c>
      <c r="FQ34" s="120"/>
      <c r="FR34" s="120"/>
      <c r="FS34" s="120"/>
      <c r="FT34" s="120"/>
      <c r="FU34" s="120"/>
      <c r="FV34" s="120"/>
      <c r="FW34" s="120"/>
      <c r="FX34" s="120" t="s">
        <v>199</v>
      </c>
      <c r="FY34" s="120"/>
      <c r="FZ34" s="120"/>
      <c r="GA34" s="120"/>
      <c r="GB34" s="120"/>
      <c r="GC34" s="120"/>
      <c r="GD34" s="120"/>
      <c r="GE34" s="120"/>
      <c r="GF34" s="120" t="s">
        <v>200</v>
      </c>
      <c r="GG34" s="120"/>
      <c r="GH34" s="120"/>
      <c r="GI34" s="120"/>
      <c r="GJ34" s="120"/>
      <c r="GK34" s="120"/>
      <c r="GL34" s="120"/>
      <c r="GM34" s="120"/>
      <c r="GN34" s="120" t="s">
        <v>201</v>
      </c>
      <c r="GO34" s="120"/>
      <c r="GP34" s="120"/>
      <c r="GQ34" s="120"/>
      <c r="GR34" s="120"/>
      <c r="GS34" s="120"/>
      <c r="GT34" s="120"/>
      <c r="GU34" s="120"/>
      <c r="GV34" s="120" t="s">
        <v>202</v>
      </c>
      <c r="GW34" s="120"/>
      <c r="GX34" s="120"/>
      <c r="GY34" s="120"/>
      <c r="GZ34" s="120"/>
      <c r="HA34" s="120"/>
      <c r="HB34" s="120"/>
      <c r="HC34" s="120"/>
      <c r="HD34" s="120"/>
      <c r="HE34" s="120"/>
      <c r="HF34" s="117" t="s">
        <v>20</v>
      </c>
      <c r="HG34" s="121"/>
      <c r="HH34" s="121"/>
      <c r="HI34" s="121"/>
      <c r="HJ34" s="116"/>
      <c r="HK34" s="116"/>
      <c r="HL34" s="116"/>
      <c r="HM34" s="116"/>
      <c r="HN34" s="116"/>
      <c r="HO34" s="116"/>
      <c r="HP34" s="116"/>
      <c r="HQ34" s="116"/>
      <c r="HR34" s="116"/>
      <c r="HS34" s="116"/>
      <c r="HT34" s="116"/>
      <c r="HU34" s="116"/>
      <c r="HV34" s="116"/>
      <c r="HW34" s="116"/>
      <c r="HX34" s="116"/>
      <c r="HY34" s="116"/>
      <c r="HZ34" s="116"/>
      <c r="IA34" s="116"/>
      <c r="IB34" s="116"/>
      <c r="IC34" s="116"/>
      <c r="ID34" s="116"/>
      <c r="IE34" s="116"/>
      <c r="IF34" s="116"/>
      <c r="IG34" s="116"/>
    </row>
    <row r="35" customFormat="false" ht="15.75" hidden="false" customHeight="true" outlineLevel="0" collapsed="false">
      <c r="A35" s="128"/>
      <c r="B35" s="122" t="s">
        <v>203</v>
      </c>
      <c r="C35" s="122"/>
      <c r="D35" s="122"/>
      <c r="E35" s="123" t="n">
        <f aca="false">SUM(F35:DC35)</f>
        <v>1545</v>
      </c>
      <c r="F35" s="124" t="n">
        <v>40</v>
      </c>
      <c r="G35" s="124"/>
      <c r="H35" s="124"/>
      <c r="I35" s="124"/>
      <c r="J35" s="124"/>
      <c r="K35" s="124"/>
      <c r="L35" s="124"/>
      <c r="M35" s="124"/>
      <c r="N35" s="120" t="n">
        <v>7</v>
      </c>
      <c r="O35" s="120"/>
      <c r="P35" s="120"/>
      <c r="Q35" s="120"/>
      <c r="R35" s="120"/>
      <c r="S35" s="120"/>
      <c r="T35" s="120"/>
      <c r="U35" s="120"/>
      <c r="V35" s="120" t="n">
        <v>26</v>
      </c>
      <c r="W35" s="120"/>
      <c r="X35" s="120"/>
      <c r="Y35" s="120"/>
      <c r="Z35" s="120"/>
      <c r="AA35" s="120"/>
      <c r="AB35" s="120"/>
      <c r="AC35" s="120"/>
      <c r="AD35" s="120" t="n">
        <v>215</v>
      </c>
      <c r="AE35" s="120"/>
      <c r="AF35" s="120"/>
      <c r="AG35" s="120"/>
      <c r="AH35" s="120"/>
      <c r="AI35" s="120"/>
      <c r="AJ35" s="120"/>
      <c r="AK35" s="120"/>
      <c r="AL35" s="120"/>
      <c r="AM35" s="120"/>
      <c r="AN35" s="120" t="n">
        <v>220</v>
      </c>
      <c r="AO35" s="120"/>
      <c r="AP35" s="120"/>
      <c r="AQ35" s="120"/>
      <c r="AR35" s="120"/>
      <c r="AS35" s="120"/>
      <c r="AT35" s="120"/>
      <c r="AU35" s="120"/>
      <c r="AV35" s="120" t="n">
        <v>170</v>
      </c>
      <c r="AW35" s="120"/>
      <c r="AX35" s="120"/>
      <c r="AY35" s="120"/>
      <c r="AZ35" s="120"/>
      <c r="BA35" s="120"/>
      <c r="BB35" s="120"/>
      <c r="BC35" s="120"/>
      <c r="BD35" s="120" t="n">
        <v>170</v>
      </c>
      <c r="BE35" s="120"/>
      <c r="BF35" s="120"/>
      <c r="BG35" s="120"/>
      <c r="BH35" s="120"/>
      <c r="BI35" s="120"/>
      <c r="BJ35" s="120"/>
      <c r="BK35" s="120"/>
      <c r="BL35" s="120"/>
      <c r="BM35" s="120"/>
      <c r="BN35" s="120" t="n">
        <v>170</v>
      </c>
      <c r="BO35" s="120"/>
      <c r="BP35" s="120"/>
      <c r="BQ35" s="120"/>
      <c r="BR35" s="120"/>
      <c r="BS35" s="120"/>
      <c r="BT35" s="120"/>
      <c r="BU35" s="120"/>
      <c r="BV35" s="120" t="n">
        <v>160</v>
      </c>
      <c r="BW35" s="120"/>
      <c r="BX35" s="120"/>
      <c r="BY35" s="120"/>
      <c r="BZ35" s="120"/>
      <c r="CA35" s="120"/>
      <c r="CB35" s="120"/>
      <c r="CC35" s="120"/>
      <c r="CD35" s="120" t="n">
        <v>160</v>
      </c>
      <c r="CE35" s="120"/>
      <c r="CF35" s="120"/>
      <c r="CG35" s="120"/>
      <c r="CH35" s="120"/>
      <c r="CI35" s="120"/>
      <c r="CJ35" s="120"/>
      <c r="CK35" s="120"/>
      <c r="CL35" s="120" t="n">
        <v>143</v>
      </c>
      <c r="CM35" s="120"/>
      <c r="CN35" s="120"/>
      <c r="CO35" s="120"/>
      <c r="CP35" s="120"/>
      <c r="CQ35" s="120"/>
      <c r="CR35" s="120"/>
      <c r="CS35" s="120"/>
      <c r="CT35" s="120" t="n">
        <v>64</v>
      </c>
      <c r="CU35" s="120"/>
      <c r="CV35" s="120"/>
      <c r="CW35" s="120"/>
      <c r="CX35" s="120"/>
      <c r="CY35" s="120"/>
      <c r="CZ35" s="120"/>
      <c r="DA35" s="120"/>
      <c r="DB35" s="120"/>
      <c r="DC35" s="120"/>
      <c r="DD35" s="120" t="n">
        <v>1536</v>
      </c>
      <c r="DE35" s="121"/>
      <c r="DF35" s="121"/>
      <c r="DG35" s="120" t="n">
        <f aca="false">SUM(DH35:HE35)</f>
        <v>1760</v>
      </c>
      <c r="DH35" s="120" t="n">
        <v>50</v>
      </c>
      <c r="DI35" s="120"/>
      <c r="DJ35" s="120"/>
      <c r="DK35" s="120"/>
      <c r="DL35" s="120"/>
      <c r="DM35" s="120"/>
      <c r="DN35" s="120"/>
      <c r="DO35" s="120"/>
      <c r="DP35" s="120" t="n">
        <v>80</v>
      </c>
      <c r="DQ35" s="120"/>
      <c r="DR35" s="120"/>
      <c r="DS35" s="120"/>
      <c r="DT35" s="120"/>
      <c r="DU35" s="120"/>
      <c r="DV35" s="120"/>
      <c r="DW35" s="120"/>
      <c r="DX35" s="120" t="n">
        <v>100</v>
      </c>
      <c r="DY35" s="120"/>
      <c r="DZ35" s="120"/>
      <c r="EA35" s="120"/>
      <c r="EB35" s="120"/>
      <c r="EC35" s="120"/>
      <c r="ED35" s="120"/>
      <c r="EE35" s="120"/>
      <c r="EF35" s="120" t="n">
        <v>200</v>
      </c>
      <c r="EG35" s="120"/>
      <c r="EH35" s="120"/>
      <c r="EI35" s="120"/>
      <c r="EJ35" s="120"/>
      <c r="EK35" s="120"/>
      <c r="EL35" s="120"/>
      <c r="EM35" s="120"/>
      <c r="EN35" s="120"/>
      <c r="EO35" s="120"/>
      <c r="EP35" s="120" t="n">
        <v>200</v>
      </c>
      <c r="EQ35" s="120"/>
      <c r="ER35" s="120"/>
      <c r="ES35" s="120"/>
      <c r="ET35" s="120"/>
      <c r="EU35" s="120"/>
      <c r="EV35" s="120"/>
      <c r="EW35" s="120"/>
      <c r="EX35" s="120" t="n">
        <v>180</v>
      </c>
      <c r="EY35" s="120"/>
      <c r="EZ35" s="120"/>
      <c r="FA35" s="120"/>
      <c r="FB35" s="120"/>
      <c r="FC35" s="120"/>
      <c r="FD35" s="120"/>
      <c r="FE35" s="120"/>
      <c r="FF35" s="120" t="n">
        <v>240</v>
      </c>
      <c r="FG35" s="120"/>
      <c r="FH35" s="120"/>
      <c r="FI35" s="120"/>
      <c r="FJ35" s="120"/>
      <c r="FK35" s="120"/>
      <c r="FL35" s="120"/>
      <c r="FM35" s="120"/>
      <c r="FN35" s="120"/>
      <c r="FO35" s="120"/>
      <c r="FP35" s="120" t="n">
        <v>200</v>
      </c>
      <c r="FQ35" s="120"/>
      <c r="FR35" s="120"/>
      <c r="FS35" s="120"/>
      <c r="FT35" s="120"/>
      <c r="FU35" s="120"/>
      <c r="FV35" s="120"/>
      <c r="FW35" s="120"/>
      <c r="FX35" s="120" t="n">
        <v>180</v>
      </c>
      <c r="FY35" s="120"/>
      <c r="FZ35" s="120"/>
      <c r="GA35" s="120"/>
      <c r="GB35" s="120"/>
      <c r="GC35" s="120"/>
      <c r="GD35" s="120"/>
      <c r="GE35" s="120"/>
      <c r="GF35" s="120" t="n">
        <v>150</v>
      </c>
      <c r="GG35" s="120"/>
      <c r="GH35" s="120"/>
      <c r="GI35" s="120"/>
      <c r="GJ35" s="120"/>
      <c r="GK35" s="120"/>
      <c r="GL35" s="120"/>
      <c r="GM35" s="120"/>
      <c r="GN35" s="120" t="n">
        <v>120</v>
      </c>
      <c r="GO35" s="120"/>
      <c r="GP35" s="120"/>
      <c r="GQ35" s="120"/>
      <c r="GR35" s="120"/>
      <c r="GS35" s="120"/>
      <c r="GT35" s="120"/>
      <c r="GU35" s="120"/>
      <c r="GV35" s="120" t="n">
        <v>60</v>
      </c>
      <c r="GW35" s="120"/>
      <c r="GX35" s="120"/>
      <c r="GY35" s="120"/>
      <c r="GZ35" s="120"/>
      <c r="HA35" s="120"/>
      <c r="HB35" s="120"/>
      <c r="HC35" s="120"/>
      <c r="HD35" s="120"/>
      <c r="HE35" s="120"/>
      <c r="HF35" s="120" t="n">
        <f aca="false">SUM(DH35:HE35)</f>
        <v>1760</v>
      </c>
      <c r="HG35" s="121"/>
      <c r="HH35" s="121"/>
      <c r="HI35" s="121"/>
      <c r="HJ35" s="116"/>
      <c r="HK35" s="116"/>
      <c r="HL35" s="116"/>
      <c r="HM35" s="116"/>
      <c r="HN35" s="116"/>
      <c r="HO35" s="116"/>
      <c r="HP35" s="116"/>
      <c r="HQ35" s="116"/>
      <c r="HR35" s="116"/>
      <c r="HS35" s="116"/>
      <c r="HT35" s="116"/>
      <c r="HU35" s="116"/>
      <c r="HV35" s="116"/>
      <c r="HW35" s="116"/>
      <c r="HX35" s="116"/>
      <c r="HY35" s="116"/>
      <c r="HZ35" s="116"/>
      <c r="IA35" s="116"/>
      <c r="IB35" s="116"/>
      <c r="IC35" s="116"/>
      <c r="ID35" s="116"/>
      <c r="IE35" s="116"/>
      <c r="IF35" s="116"/>
      <c r="IG35" s="116"/>
    </row>
    <row r="36" customFormat="false" ht="18.75" hidden="false" customHeight="true" outlineLevel="0" collapsed="false">
      <c r="A36" s="137"/>
      <c r="B36" s="138" t="s">
        <v>204</v>
      </c>
      <c r="C36" s="138"/>
      <c r="D36" s="138"/>
      <c r="E36" s="139" t="n">
        <f aca="false">SUM(F36:DC36)</f>
        <v>1538.7</v>
      </c>
      <c r="F36" s="140" t="n">
        <f aca="false">G5+I5+K5+M5+G8+I8+K8+M8+G14+I14+K14+M14+G17+I17+K17+M17+G11+I11+K11+M11+M20</f>
        <v>41.2</v>
      </c>
      <c r="G36" s="140"/>
      <c r="H36" s="140"/>
      <c r="I36" s="140"/>
      <c r="J36" s="140"/>
      <c r="K36" s="140"/>
      <c r="L36" s="140"/>
      <c r="M36" s="140"/>
      <c r="N36" s="138" t="n">
        <f aca="false">O5+Q5+S5+U5+O8+Q8+S8+U8+O14+Q14+S14+U14+O17+Q17+S17+U17+O11+Q11+S11+U11+O20+Q20+S20+U20</f>
        <v>6.4</v>
      </c>
      <c r="O36" s="138"/>
      <c r="P36" s="138"/>
      <c r="Q36" s="138"/>
      <c r="R36" s="138"/>
      <c r="S36" s="138"/>
      <c r="T36" s="138"/>
      <c r="U36" s="138"/>
      <c r="V36" s="138" t="n">
        <f aca="false">W5+Y5+AA5+AC5+W8+Y8+AA8+AC8+W14+Y14+AA14+AC14+W17+Y17+AA17+AC17+W11+Y11+AA11+AC11+W20+Y20+AA20+AC20</f>
        <v>39.85</v>
      </c>
      <c r="W36" s="138"/>
      <c r="X36" s="138"/>
      <c r="Y36" s="138"/>
      <c r="Z36" s="138"/>
      <c r="AA36" s="138"/>
      <c r="AB36" s="138"/>
      <c r="AC36" s="138"/>
      <c r="AD36" s="138" t="n">
        <f aca="false">AE5+AG5+AI5+AK5+AM5+AE8+AG8+AI8+AK8+AM8+AE14+AG14+AI14+AK14+AM14+AE17+AG17+AI17+AK17+AM17+AE11+AG11+AI11+AK11+AM11+AE20+AG20+AI20+AK20+AM20+AE23+AG23+AI23+AK23+AM23</f>
        <v>39.1</v>
      </c>
      <c r="AE36" s="138"/>
      <c r="AF36" s="138"/>
      <c r="AG36" s="138"/>
      <c r="AH36" s="138"/>
      <c r="AI36" s="138"/>
      <c r="AJ36" s="138"/>
      <c r="AK36" s="138"/>
      <c r="AL36" s="138"/>
      <c r="AM36" s="138"/>
      <c r="AN36" s="138" t="n">
        <f aca="false">AO5+AQ5+AS5+AU5+AO8+AQ8+AS8+AU8+AO14+AQ14+AS14+AU14+AO17+AQ17+AS17+AU17+AO11+AQ11+AS11+AU11+AO20+AQ20+AS20+AU20+AO23+AQ23+AS23+AU23</f>
        <v>216.5</v>
      </c>
      <c r="AO36" s="138"/>
      <c r="AP36" s="138"/>
      <c r="AQ36" s="138"/>
      <c r="AR36" s="138"/>
      <c r="AS36" s="138"/>
      <c r="AT36" s="138"/>
      <c r="AU36" s="138"/>
      <c r="AV36" s="138" t="n">
        <f aca="false">AW5+AY5+BA5+BC5+AW8+AY8+BA8+BC8+AW14+AY14+BA14+BC14+BC17+BA17+AY17+AW17+AW11+AY11+BA11+BC11+AW20+AY20+BA20+BC20+BC23+BA23+AY23+AW23+AY26+BA26+BC26</f>
        <v>210</v>
      </c>
      <c r="AW36" s="138"/>
      <c r="AX36" s="138"/>
      <c r="AY36" s="138"/>
      <c r="AZ36" s="138"/>
      <c r="BA36" s="138"/>
      <c r="BB36" s="138"/>
      <c r="BC36" s="138"/>
      <c r="BD36" s="138" t="n">
        <f aca="false">BE5+BG5+BI5+BK5+BM5+BE8+BG8+BI8+BK8+BM8+BE14+BG14+BI14+BK14+BM14+BE17+BG17+BI17+BK17+BM17+BE11+BG11+BI11+BK11+BM11+BE20+BG20+BI20+BK20+BM20+BM23+BK23+BI23+BG23+BE23+BE26+BG26+BI26+BK26+BM26</f>
        <v>309.4</v>
      </c>
      <c r="BE36" s="138"/>
      <c r="BF36" s="138"/>
      <c r="BG36" s="138"/>
      <c r="BH36" s="138"/>
      <c r="BI36" s="138"/>
      <c r="BJ36" s="138"/>
      <c r="BK36" s="138"/>
      <c r="BL36" s="138"/>
      <c r="BM36" s="138"/>
      <c r="BN36" s="135" t="n">
        <f aca="false">BO5+BQ5+BS5+BU5+BO8+BQ8+BS8+BU8+BO14+BQ14+BS14+BU14+BO17+BQ17+BS17+BU17+BO11+BQ11+BS11+BU11+BO20+BQ20+BS20+BU20+BO23+BQ23+BS23+BU23+BO26+BQ26+BS26+BU26</f>
        <v>176.25</v>
      </c>
      <c r="BO36" s="135"/>
      <c r="BP36" s="135"/>
      <c r="BQ36" s="135"/>
      <c r="BR36" s="135"/>
      <c r="BS36" s="135"/>
      <c r="BT36" s="135"/>
      <c r="BU36" s="135"/>
      <c r="BV36" s="135" t="n">
        <f aca="false">BW5+BY5+CA5+CC5+BW8+BY8+CA8+CC8+BW14+BY14+CA14+CC14+BW17+BY17+CA17+CC17+BW11+BY11+CA11+CC11+BW20+BY20+CA20+CC20+BW23+BY23+CA23+CC23+BW26+BY26+CA26+CC26</f>
        <v>185</v>
      </c>
      <c r="BW36" s="135"/>
      <c r="BX36" s="135"/>
      <c r="BY36" s="135"/>
      <c r="BZ36" s="135"/>
      <c r="CA36" s="135"/>
      <c r="CB36" s="135"/>
      <c r="CC36" s="135"/>
      <c r="CD36" s="135" t="n">
        <f aca="false">CE5+CG5+CI5+CK5+CE8+CG8+CI8+CK8+CE14+CG14+CI14+CK14+CE17+CG17+CI17+CK17+CE11+CG11+CI11+CK11+CE20+CG20+CI20+CK20+CE23+CG23+CI23+CK23+CE26+CG26+CI26+CK26</f>
        <v>175</v>
      </c>
      <c r="CE36" s="135"/>
      <c r="CF36" s="135"/>
      <c r="CG36" s="135"/>
      <c r="CH36" s="135"/>
      <c r="CI36" s="135"/>
      <c r="CJ36" s="135"/>
      <c r="CK36" s="135"/>
      <c r="CL36" s="135" t="n">
        <f aca="false">CM5+CO5+CQ5+CS5+CM8+CO8+CQ8+CS8+CO14+CQ14+CS14+CM14+CM17+CO17+CQ17+CS17+CO11+CQ11+CS11+CM11+CM20+CO20+CQ20+CS20+CM23+CO23+CQ23+CS23+CM26+CO26+CQ26+CS26</f>
        <v>100</v>
      </c>
      <c r="CM36" s="135"/>
      <c r="CN36" s="135"/>
      <c r="CO36" s="135"/>
      <c r="CP36" s="135"/>
      <c r="CQ36" s="135"/>
      <c r="CR36" s="135"/>
      <c r="CS36" s="135"/>
      <c r="CT36" s="135" t="n">
        <f aca="false">CU5+CW5+CY5+DA5+DC5+CU8+CW8+CY8+DA8+DC8+CU14+CW14+CY14+DA14+DC14+CU17+CW17+CY17+DA17+DC17+CU11+CW11+CY11+DA11+DC11+CU20+CW20+CY20+DA20+DC20+CU23+CW23+CY23+DA23+DC23+CU26+CW26+CY26+DA26+DC26</f>
        <v>40</v>
      </c>
      <c r="CU36" s="135"/>
      <c r="CV36" s="135"/>
      <c r="CW36" s="135"/>
      <c r="CX36" s="135"/>
      <c r="CY36" s="135"/>
      <c r="CZ36" s="135"/>
      <c r="DA36" s="135"/>
      <c r="DB36" s="135"/>
      <c r="DC36" s="135"/>
      <c r="DD36" s="141" t="n">
        <f aca="false">SUM(F36:DC36)</f>
        <v>1538.7</v>
      </c>
      <c r="DE36" s="142"/>
      <c r="DF36" s="142"/>
      <c r="DG36" s="138" t="n">
        <f aca="false">SUM(DH36:HE36)</f>
        <v>1800</v>
      </c>
      <c r="DH36" s="135" t="n">
        <f aca="false">DI5+DK5+DM5+DO5+DI8+DK8+DM8+DO8+DI14+DK14+DM14+DO14+DI17+DK17+DM17+DO17+DI11+DK11+DM11+DO11+DO20+DM20+DK20+DI20+DI23+DK23+DM23+DO23+DI26+DK26+DM26+DO26</f>
        <v>55</v>
      </c>
      <c r="DI36" s="135"/>
      <c r="DJ36" s="135"/>
      <c r="DK36" s="135"/>
      <c r="DL36" s="135"/>
      <c r="DM36" s="135"/>
      <c r="DN36" s="135"/>
      <c r="DO36" s="135"/>
      <c r="DP36" s="135" t="n">
        <f aca="false">DQ5+DS5+DU5+DW5+DQ8+DS8+DU8+DW8+DQ14+DS14+DU14+DW14+DQ17+DS17+DU17+DW17+DQ11+DS11+DU11+DW11+DQ20+DS20+DU20+DW20+DQ23+DS23+DU23+DW23+DQ26+DS26+DU26+DW26</f>
        <v>90</v>
      </c>
      <c r="DQ36" s="135"/>
      <c r="DR36" s="135"/>
      <c r="DS36" s="135"/>
      <c r="DT36" s="135"/>
      <c r="DU36" s="135"/>
      <c r="DV36" s="135"/>
      <c r="DW36" s="135"/>
      <c r="DX36" s="135" t="n">
        <f aca="false">DY5+EA5+EC5+EE5+DY8+EA8+EC8+EE8+DY14+EA14+EC14+EE14+DY17+EA17+EC17+EE17+DY11+EA11+EC11+EE11+DY20+EA20+EC20+EE20+DY23+EA23+EC23+EE23+DY26+EA26+EC26+EE26</f>
        <v>125</v>
      </c>
      <c r="DY36" s="135"/>
      <c r="DZ36" s="135"/>
      <c r="EA36" s="135"/>
      <c r="EB36" s="135"/>
      <c r="EC36" s="135"/>
      <c r="ED36" s="135"/>
      <c r="EE36" s="135"/>
      <c r="EF36" s="135" t="n">
        <f aca="false">EG5+EI5+EK5+EM5+EO5+EG8+EI8+EK8+EM8+EO8+EG14+EI14+EK14+EM14+EO14+EG17+EI17+EK17+EM17+EO17+EG11+EI11+EK11+EM11+EO11+EG20+EI20+EK20+EM20+EO20+EG23+EI23+EK23+EM23+EO23+EG26+EI26+EK26+EM26+EO26</f>
        <v>205</v>
      </c>
      <c r="EG36" s="135"/>
      <c r="EH36" s="135"/>
      <c r="EI36" s="135"/>
      <c r="EJ36" s="135"/>
      <c r="EK36" s="135"/>
      <c r="EL36" s="135"/>
      <c r="EM36" s="135"/>
      <c r="EN36" s="135"/>
      <c r="EO36" s="135"/>
      <c r="EP36" s="135" t="n">
        <f aca="false">EQ5+ES5+EU5+EW5+EQ8+ES8+EU8+EW8+EQ14+ES14+EU14+EW14+EQ17+ES17+EU17+EW17+EQ11+ES11+EU11+EW11+EQ20+ES20+EU20+EW20+EQ23+ES23+EU23+EW23+EQ26+ES26+EU26+EW26</f>
        <v>205</v>
      </c>
      <c r="EQ36" s="135"/>
      <c r="ER36" s="135"/>
      <c r="ES36" s="135"/>
      <c r="ET36" s="135"/>
      <c r="EU36" s="135"/>
      <c r="EV36" s="135"/>
      <c r="EW36" s="135"/>
      <c r="EX36" s="135" t="n">
        <f aca="false">EY5+FA5+FC5+FE5+EY8+FA8+FC8+FE8+EY14+FA14+FC14+FE14+FE17+FC17+FA17+EY17+EY11+FA11+FC11+FE11+EY20+FA20+FC20+FE20+EY23+FA23+FC23+FE23+EY26+FA26+FC26+FE26</f>
        <v>180</v>
      </c>
      <c r="EY36" s="135"/>
      <c r="EZ36" s="135"/>
      <c r="FA36" s="135"/>
      <c r="FB36" s="135"/>
      <c r="FC36" s="135"/>
      <c r="FD36" s="135"/>
      <c r="FE36" s="135"/>
      <c r="FF36" s="135" t="n">
        <f aca="false">FG5+FI5+FK5+FM5+FO5+FG8+FI8+FK8+FM8+FO8+FG14+FI14+FK14+FM14+FO14+FG17+FI17+FK17+FM17+FO17+FG11+FI11+FK11+FM11+FO11+FG20+FI20+FK20+FM20+FO20+FG23+FI23+FK23+FM23+FO23+FG26+FI26+FK26+FM26+FO26</f>
        <v>255</v>
      </c>
      <c r="FG36" s="135"/>
      <c r="FH36" s="135"/>
      <c r="FI36" s="135"/>
      <c r="FJ36" s="135"/>
      <c r="FK36" s="135"/>
      <c r="FL36" s="135"/>
      <c r="FM36" s="135"/>
      <c r="FN36" s="135"/>
      <c r="FO36" s="135"/>
      <c r="FP36" s="135" t="n">
        <f aca="false">FQ5+FS5+FU5+FW5+FQ8+FS8+FU8+FW8+FQ14+FS14+FU14+FW14+FQ17+FS17+FU17+FW17+FQ11+FS11+FU11+FW11+FQ20+FS20+FU20+FW20+FQ23+FS23+FU23+FW23+FQ26+FS26+FU26+FW26+FY26</f>
        <v>205</v>
      </c>
      <c r="FQ36" s="135"/>
      <c r="FR36" s="135"/>
      <c r="FS36" s="135"/>
      <c r="FT36" s="135"/>
      <c r="FU36" s="135"/>
      <c r="FV36" s="135"/>
      <c r="FW36" s="135"/>
      <c r="FX36" s="135" t="n">
        <f aca="false">FY5+GA5+GC5+GE5+FY8+GA8+GC8+GE8+FY14+GA14+GC14+GE14+FY17+GA17+GC17+GE17+FY11+GA11+GC11+GE11+FY20+GA20+GC20+GE20+FY23+GA23+GC23+GE23+FY26+GA26+GC26+GE26</f>
        <v>170</v>
      </c>
      <c r="FY36" s="135"/>
      <c r="FZ36" s="135"/>
      <c r="GA36" s="135"/>
      <c r="GB36" s="135"/>
      <c r="GC36" s="135"/>
      <c r="GD36" s="135"/>
      <c r="GE36" s="135"/>
      <c r="GF36" s="135" t="n">
        <f aca="false">GG5+GI5+GK5+GM5+GG8+GI8+GK8+GM8+GG14+GI14+GK14+GM14+GG17+GI17+GK17+GM17+GG11+GI11+GK11+GM11+GG20+GI20+GK20+GM20+GG23+GI23+GK23+GM23+GG26+GI26+GK26+GM26</f>
        <v>165</v>
      </c>
      <c r="GG36" s="135"/>
      <c r="GH36" s="135"/>
      <c r="GI36" s="135"/>
      <c r="GJ36" s="135"/>
      <c r="GK36" s="135"/>
      <c r="GL36" s="135"/>
      <c r="GM36" s="135"/>
      <c r="GN36" s="135" t="n">
        <f aca="false">GO5+GQ5+GS5+GU5+GO8+GQ8+GS8+GU8+GQ14+GS14+GU14+GO14+GO17+GQ17+GS17+GU17+GQ11+GS11+GU11+GO11+GO20+GQ20+GS20+GU20+GO23+GQ23+GS23+GU23+GO26+GQ26+GS26+GU26</f>
        <v>110</v>
      </c>
      <c r="GO36" s="135"/>
      <c r="GP36" s="135"/>
      <c r="GQ36" s="135"/>
      <c r="GR36" s="135"/>
      <c r="GS36" s="135"/>
      <c r="GT36" s="135"/>
      <c r="GU36" s="135"/>
      <c r="GV36" s="135" t="n">
        <f aca="false">GW5+GY5+HA5+HC5+HE5+GW8+GY8+HA8+HC8+HE8+GW14+GY14+HA14+HC14+HE14+GW17+GY17+HA17+HC17+HE17+GW11+GY11+HA11+HC11+HE11+GW20+GY20+HA20+HC20+HE20+GW23+GY23+HA23+HC23+HE23+GW26+GY26+HA26+HC26+HE26</f>
        <v>35</v>
      </c>
      <c r="GW36" s="135"/>
      <c r="GX36" s="135"/>
      <c r="GY36" s="135"/>
      <c r="GZ36" s="135"/>
      <c r="HA36" s="135"/>
      <c r="HB36" s="135"/>
      <c r="HC36" s="135"/>
      <c r="HD36" s="135"/>
      <c r="HE36" s="135"/>
      <c r="HF36" s="141" t="n">
        <f aca="false">SUM(DH36:HE36)</f>
        <v>1800</v>
      </c>
      <c r="HG36" s="142"/>
      <c r="HH36" s="142"/>
      <c r="HI36" s="142"/>
      <c r="HJ36" s="143"/>
      <c r="HK36" s="143"/>
      <c r="HL36" s="143"/>
      <c r="HM36" s="143"/>
      <c r="HN36" s="143"/>
      <c r="HO36" s="143"/>
      <c r="HP36" s="143"/>
      <c r="HQ36" s="143"/>
      <c r="HR36" s="143"/>
      <c r="HS36" s="143"/>
      <c r="HT36" s="143"/>
      <c r="HU36" s="143"/>
      <c r="HV36" s="143"/>
      <c r="HW36" s="143"/>
      <c r="HX36" s="143"/>
      <c r="HY36" s="143"/>
      <c r="HZ36" s="143"/>
      <c r="IA36" s="143"/>
      <c r="IB36" s="143"/>
      <c r="IC36" s="143"/>
      <c r="ID36" s="143"/>
      <c r="IE36" s="143"/>
      <c r="IF36" s="143"/>
      <c r="IG36" s="143"/>
    </row>
    <row r="37" customFormat="false" ht="15.75" hidden="false" customHeight="true" outlineLevel="0" collapsed="false">
      <c r="A37" s="1"/>
      <c r="B37" s="2"/>
      <c r="C37" s="1"/>
      <c r="D37" s="1"/>
      <c r="E37" s="1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135" t="n">
        <v>1536</v>
      </c>
      <c r="DE37" s="144" t="s">
        <v>205</v>
      </c>
      <c r="DF37" s="144"/>
      <c r="DG37" s="144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135"/>
      <c r="HG37" s="144" t="s">
        <v>206</v>
      </c>
      <c r="HH37" s="144"/>
      <c r="HI37" s="144"/>
      <c r="HJ37" s="116"/>
      <c r="HK37" s="116"/>
      <c r="HL37" s="116"/>
      <c r="HM37" s="116"/>
      <c r="HN37" s="116"/>
      <c r="HO37" s="116"/>
      <c r="HP37" s="116"/>
      <c r="HQ37" s="116"/>
      <c r="HR37" s="116"/>
      <c r="HS37" s="116"/>
      <c r="HT37" s="116"/>
      <c r="HU37" s="116"/>
      <c r="HV37" s="116"/>
      <c r="HW37" s="116"/>
      <c r="HX37" s="116"/>
      <c r="HY37" s="116"/>
      <c r="HZ37" s="116"/>
      <c r="IA37" s="116"/>
      <c r="IB37" s="116"/>
      <c r="IC37" s="116"/>
      <c r="ID37" s="116"/>
      <c r="IE37" s="116"/>
      <c r="IF37" s="116"/>
      <c r="IG37" s="116"/>
    </row>
    <row r="38" customFormat="false" ht="15.75" hidden="false" customHeight="true" outlineLevel="0" collapsed="false">
      <c r="A38" s="1"/>
      <c r="B38" s="2"/>
      <c r="C38" s="1"/>
      <c r="D38" s="1"/>
      <c r="E38" s="1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</row>
    <row r="39" customFormat="false" ht="15.75" hidden="false" customHeight="true" outlineLevel="0" collapsed="false">
      <c r="A39" s="1"/>
      <c r="B39" s="2"/>
      <c r="C39" s="1"/>
      <c r="D39" s="1"/>
      <c r="E39" s="1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145" t="s">
        <v>207</v>
      </c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145" t="s">
        <v>207</v>
      </c>
      <c r="DJ39" s="3"/>
      <c r="DK39" s="3"/>
      <c r="DL39" s="3"/>
      <c r="DM39" s="3"/>
      <c r="DN39" s="3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</row>
    <row r="40" customFormat="false" ht="15.75" hidden="false" customHeight="true" outlineLevel="0" collapsed="false">
      <c r="A40" s="1"/>
      <c r="B40" s="2"/>
      <c r="C40" s="1"/>
      <c r="D40" s="1"/>
      <c r="E40" s="1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146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145" t="s">
        <v>207</v>
      </c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146"/>
      <c r="DJ40" s="3"/>
      <c r="DK40" s="3"/>
      <c r="DL40" s="3"/>
      <c r="DM40" s="3"/>
      <c r="DN40" s="3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</row>
    <row r="41" customFormat="false" ht="15.75" hidden="false" customHeight="true" outlineLevel="0" collapsed="false">
      <c r="A41" s="1"/>
      <c r="B41" s="2"/>
      <c r="C41" s="1"/>
      <c r="D41" s="1"/>
      <c r="E41" s="1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145" t="s">
        <v>208</v>
      </c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146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145" t="s">
        <v>208</v>
      </c>
      <c r="DJ41" s="3"/>
      <c r="DK41" s="3"/>
      <c r="DL41" s="3"/>
      <c r="DM41" s="3"/>
      <c r="DN41" s="3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</row>
    <row r="42" customFormat="false" ht="15.75" hidden="false" customHeight="true" outlineLevel="0" collapsed="false">
      <c r="A42" s="1"/>
      <c r="B42" s="2"/>
      <c r="C42" s="1"/>
      <c r="D42" s="1"/>
      <c r="E42" s="1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145" t="s">
        <v>209</v>
      </c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145" t="s">
        <v>208</v>
      </c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145" t="s">
        <v>209</v>
      </c>
      <c r="DJ42" s="3"/>
      <c r="DK42" s="3"/>
      <c r="DL42" s="3"/>
      <c r="DM42" s="3"/>
      <c r="DN42" s="3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</row>
    <row r="43" customFormat="false" ht="15.75" hidden="false" customHeight="true" outlineLevel="0" collapsed="false">
      <c r="A43" s="1"/>
      <c r="B43" s="2"/>
      <c r="C43" s="1"/>
      <c r="D43" s="1"/>
      <c r="E43" s="1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145" t="s">
        <v>210</v>
      </c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145" t="s">
        <v>209</v>
      </c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145" t="s">
        <v>210</v>
      </c>
      <c r="DJ43" s="3"/>
      <c r="DK43" s="3"/>
      <c r="DL43" s="3"/>
      <c r="DM43" s="3"/>
      <c r="DN43" s="3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</row>
    <row r="44" customFormat="false" ht="15.75" hidden="false" customHeight="true" outlineLevel="0" collapsed="false">
      <c r="A44" s="1"/>
      <c r="B44" s="2"/>
      <c r="C44" s="1"/>
      <c r="D44" s="1"/>
      <c r="E44" s="1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145" t="s">
        <v>211</v>
      </c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145" t="s">
        <v>210</v>
      </c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145" t="s">
        <v>211</v>
      </c>
      <c r="DJ44" s="3"/>
      <c r="DK44" s="3"/>
      <c r="DL44" s="3"/>
      <c r="DM44" s="3"/>
      <c r="DN44" s="3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</row>
    <row r="45" customFormat="false" ht="15.75" hidden="false" customHeight="true" outlineLevel="0" collapsed="false">
      <c r="A45" s="1"/>
      <c r="B45" s="2"/>
      <c r="C45" s="1"/>
      <c r="D45" s="1"/>
      <c r="E45" s="1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145" t="s">
        <v>212</v>
      </c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145" t="s">
        <v>211</v>
      </c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145" t="s">
        <v>212</v>
      </c>
      <c r="DJ45" s="3"/>
      <c r="DK45" s="3"/>
      <c r="DL45" s="3"/>
      <c r="DM45" s="3"/>
      <c r="DN45" s="3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</row>
    <row r="46" customFormat="false" ht="15.75" hidden="false" customHeight="true" outlineLevel="0" collapsed="false">
      <c r="A46" s="1"/>
      <c r="B46" s="2"/>
      <c r="C46" s="1"/>
      <c r="D46" s="1"/>
      <c r="E46" s="1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145" t="s">
        <v>213</v>
      </c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145" t="s">
        <v>212</v>
      </c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145" t="s">
        <v>213</v>
      </c>
      <c r="DJ46" s="3"/>
      <c r="DK46" s="3"/>
      <c r="DL46" s="3"/>
      <c r="DM46" s="3"/>
      <c r="DN46" s="3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</row>
    <row r="47" customFormat="false" ht="15.75" hidden="false" customHeight="true" outlineLevel="0" collapsed="false">
      <c r="A47" s="1"/>
      <c r="B47" s="2"/>
      <c r="C47" s="1"/>
      <c r="D47" s="1"/>
      <c r="E47" s="1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145" t="s">
        <v>214</v>
      </c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145" t="s">
        <v>213</v>
      </c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145" t="s">
        <v>214</v>
      </c>
      <c r="DJ47" s="3"/>
      <c r="DK47" s="3"/>
      <c r="DL47" s="3"/>
      <c r="DM47" s="3"/>
      <c r="DN47" s="3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</row>
    <row r="48" customFormat="false" ht="15.75" hidden="false" customHeight="true" outlineLevel="0" collapsed="false">
      <c r="A48" s="1"/>
      <c r="B48" s="2"/>
      <c r="C48" s="1"/>
      <c r="D48" s="1"/>
      <c r="E48" s="1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145" t="s">
        <v>215</v>
      </c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145" t="s">
        <v>214</v>
      </c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145" t="s">
        <v>215</v>
      </c>
      <c r="DJ48" s="3"/>
      <c r="DK48" s="3"/>
      <c r="DL48" s="3"/>
      <c r="DM48" s="3"/>
      <c r="DN48" s="3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</row>
    <row r="49" customFormat="false" ht="15.75" hidden="false" customHeight="true" outlineLevel="0" collapsed="false">
      <c r="A49" s="1"/>
      <c r="B49" s="2"/>
      <c r="C49" s="1"/>
      <c r="D49" s="1"/>
      <c r="E49" s="1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145" t="s">
        <v>216</v>
      </c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145" t="s">
        <v>215</v>
      </c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145" t="s">
        <v>216</v>
      </c>
      <c r="DJ49" s="3"/>
      <c r="DK49" s="3"/>
      <c r="DL49" s="3"/>
      <c r="DM49" s="3"/>
      <c r="DN49" s="3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</row>
    <row r="50" customFormat="false" ht="15.75" hidden="false" customHeight="true" outlineLevel="0" collapsed="false">
      <c r="A50" s="1"/>
      <c r="B50" s="2"/>
      <c r="C50" s="1"/>
      <c r="D50" s="1"/>
      <c r="E50" s="1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145" t="s">
        <v>217</v>
      </c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145" t="s">
        <v>216</v>
      </c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145" t="s">
        <v>217</v>
      </c>
      <c r="DJ50" s="3"/>
      <c r="DK50" s="3"/>
      <c r="DL50" s="3"/>
      <c r="DM50" s="3"/>
      <c r="DN50" s="3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</row>
    <row r="51" customFormat="false" ht="15.75" hidden="false" customHeight="true" outlineLevel="0" collapsed="false">
      <c r="A51" s="1"/>
      <c r="B51" s="2"/>
      <c r="C51" s="1"/>
      <c r="D51" s="1"/>
      <c r="E51" s="1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145" t="s">
        <v>218</v>
      </c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145" t="s">
        <v>217</v>
      </c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145" t="s">
        <v>218</v>
      </c>
      <c r="DJ51" s="3"/>
      <c r="DK51" s="3"/>
      <c r="DL51" s="3"/>
      <c r="DM51" s="3"/>
      <c r="DN51" s="3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</row>
    <row r="52" customFormat="false" ht="15.75" hidden="false" customHeight="true" outlineLevel="0" collapsed="false">
      <c r="B52" s="2"/>
      <c r="BV52" s="145" t="s">
        <v>218</v>
      </c>
      <c r="BW52" s="3"/>
      <c r="BX52" s="3"/>
      <c r="BY52" s="3"/>
      <c r="BZ52" s="3"/>
      <c r="DH52" s="147"/>
      <c r="DI52" s="147"/>
      <c r="DJ52" s="147"/>
      <c r="DK52" s="147"/>
      <c r="DL52" s="147"/>
      <c r="DM52" s="147"/>
      <c r="DN52" s="147"/>
      <c r="DO52" s="147"/>
      <c r="DP52" s="147"/>
      <c r="DQ52" s="147"/>
      <c r="DR52" s="147"/>
      <c r="DS52" s="147"/>
      <c r="DT52" s="147"/>
      <c r="DU52" s="147"/>
      <c r="DV52" s="147"/>
      <c r="DW52" s="147"/>
      <c r="DX52" s="147"/>
      <c r="DY52" s="147"/>
      <c r="DZ52" s="147"/>
      <c r="EA52" s="147"/>
      <c r="EB52" s="147"/>
      <c r="EC52" s="147"/>
      <c r="ED52" s="147"/>
      <c r="EE52" s="147"/>
      <c r="EF52" s="147"/>
      <c r="EG52" s="147"/>
      <c r="EH52" s="147"/>
      <c r="EI52" s="147"/>
      <c r="EJ52" s="147"/>
      <c r="EK52" s="147"/>
      <c r="EL52" s="147"/>
      <c r="EM52" s="147"/>
      <c r="EN52" s="147"/>
      <c r="EO52" s="147"/>
      <c r="EP52" s="147"/>
      <c r="EQ52" s="147"/>
      <c r="ER52" s="147"/>
      <c r="ES52" s="147"/>
      <c r="ET52" s="147"/>
      <c r="EU52" s="147"/>
      <c r="EV52" s="147"/>
      <c r="EW52" s="147"/>
      <c r="EX52" s="147"/>
      <c r="EY52" s="147"/>
      <c r="EZ52" s="147"/>
      <c r="FA52" s="147"/>
      <c r="FB52" s="147"/>
      <c r="FC52" s="147"/>
      <c r="FD52" s="147"/>
      <c r="FE52" s="147"/>
      <c r="FF52" s="147"/>
      <c r="FG52" s="147"/>
      <c r="FH52" s="147"/>
      <c r="FI52" s="147"/>
      <c r="FJ52" s="147"/>
      <c r="FK52" s="147"/>
      <c r="FL52" s="147"/>
      <c r="FM52" s="147"/>
      <c r="FN52" s="147"/>
      <c r="FO52" s="147"/>
      <c r="FP52" s="147"/>
      <c r="FQ52" s="147"/>
      <c r="FR52" s="147"/>
      <c r="FS52" s="147"/>
      <c r="FT52" s="147"/>
      <c r="FU52" s="147"/>
      <c r="FV52" s="147"/>
      <c r="FW52" s="147"/>
      <c r="FX52" s="147"/>
      <c r="FY52" s="147"/>
      <c r="FZ52" s="147"/>
      <c r="GA52" s="147"/>
      <c r="GB52" s="147"/>
      <c r="GC52" s="147"/>
      <c r="GD52" s="147"/>
      <c r="GE52" s="147"/>
      <c r="GF52" s="147"/>
      <c r="GG52" s="147"/>
      <c r="GH52" s="147"/>
      <c r="GI52" s="147"/>
      <c r="GJ52" s="147"/>
      <c r="GK52" s="147"/>
      <c r="GL52" s="147"/>
      <c r="GM52" s="147"/>
      <c r="GN52" s="147"/>
      <c r="GO52" s="147"/>
      <c r="GP52" s="147"/>
      <c r="GQ52" s="147"/>
      <c r="GR52" s="147"/>
      <c r="GS52" s="147"/>
      <c r="GT52" s="147"/>
      <c r="GU52" s="147"/>
      <c r="GV52" s="147"/>
      <c r="GW52" s="147"/>
      <c r="GX52" s="147"/>
      <c r="GY52" s="147"/>
      <c r="GZ52" s="147"/>
      <c r="HA52" s="147"/>
      <c r="HB52" s="147"/>
      <c r="HC52" s="147"/>
      <c r="HD52" s="147"/>
      <c r="HE52" s="147"/>
      <c r="HF52" s="147"/>
      <c r="HG52" s="147"/>
      <c r="HH52" s="147"/>
      <c r="HI52" s="147"/>
      <c r="HJ52" s="147"/>
      <c r="HK52" s="147"/>
      <c r="HL52" s="147"/>
      <c r="HM52" s="147"/>
      <c r="HN52" s="147"/>
      <c r="HO52" s="147"/>
      <c r="HP52" s="147"/>
      <c r="HQ52" s="147"/>
      <c r="HR52" s="147"/>
      <c r="HS52" s="147"/>
      <c r="HT52" s="147"/>
      <c r="HU52" s="147"/>
      <c r="HV52" s="147"/>
      <c r="HW52" s="147"/>
      <c r="HX52" s="147"/>
      <c r="HY52" s="147"/>
      <c r="HZ52" s="147"/>
      <c r="IA52" s="147"/>
      <c r="IB52" s="147"/>
      <c r="IC52" s="147"/>
      <c r="ID52" s="147"/>
      <c r="IE52" s="147"/>
      <c r="IF52" s="147"/>
      <c r="IG52" s="147"/>
    </row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</sheetData>
  <mergeCells count="1904">
    <mergeCell ref="A2:A3"/>
    <mergeCell ref="B2:B3"/>
    <mergeCell ref="C2:C3"/>
    <mergeCell ref="D2:D3"/>
    <mergeCell ref="E2:E3"/>
    <mergeCell ref="F2:DE2"/>
    <mergeCell ref="DF2:DG2"/>
    <mergeCell ref="DH2:HG2"/>
    <mergeCell ref="HH2:HI2"/>
    <mergeCell ref="F3:M3"/>
    <mergeCell ref="N3:U3"/>
    <mergeCell ref="V3:AC3"/>
    <mergeCell ref="AD3:AM3"/>
    <mergeCell ref="AN3:AU3"/>
    <mergeCell ref="AV3:BC3"/>
    <mergeCell ref="BD3:BM3"/>
    <mergeCell ref="BN3:BU3"/>
    <mergeCell ref="BV3:CC3"/>
    <mergeCell ref="CD3:CK3"/>
    <mergeCell ref="CL3:CS3"/>
    <mergeCell ref="CT3:DC3"/>
    <mergeCell ref="DD3:DD4"/>
    <mergeCell ref="DE3:DE4"/>
    <mergeCell ref="DF3:DF4"/>
    <mergeCell ref="DG3:DG4"/>
    <mergeCell ref="DH3:DO3"/>
    <mergeCell ref="DP3:DW3"/>
    <mergeCell ref="DX3:EE3"/>
    <mergeCell ref="EF3:EO3"/>
    <mergeCell ref="EP3:EW3"/>
    <mergeCell ref="EX3:FE3"/>
    <mergeCell ref="FF3:FO3"/>
    <mergeCell ref="FP3:FW3"/>
    <mergeCell ref="FX3:GE3"/>
    <mergeCell ref="GF3:GM3"/>
    <mergeCell ref="GN3:GU3"/>
    <mergeCell ref="GV3:HE3"/>
    <mergeCell ref="HF3:HF4"/>
    <mergeCell ref="HG3:HG4"/>
    <mergeCell ref="HH3:HH4"/>
    <mergeCell ref="HI3:HI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D4:CE4"/>
    <mergeCell ref="CF4:CG4"/>
    <mergeCell ref="CH4:CI4"/>
    <mergeCell ref="CJ4:CK4"/>
    <mergeCell ref="CL4:CM4"/>
    <mergeCell ref="CN4:CO4"/>
    <mergeCell ref="CP4:CQ4"/>
    <mergeCell ref="CR4:CS4"/>
    <mergeCell ref="CT4:CU4"/>
    <mergeCell ref="CV4:CW4"/>
    <mergeCell ref="CX4:CY4"/>
    <mergeCell ref="CZ4:DA4"/>
    <mergeCell ref="DB4:DC4"/>
    <mergeCell ref="DH4:DI4"/>
    <mergeCell ref="DJ4:DK4"/>
    <mergeCell ref="DL4:DM4"/>
    <mergeCell ref="DN4:DO4"/>
    <mergeCell ref="DP4:DQ4"/>
    <mergeCell ref="DR4:DS4"/>
    <mergeCell ref="DT4:DU4"/>
    <mergeCell ref="DV4:DW4"/>
    <mergeCell ref="DX4:DY4"/>
    <mergeCell ref="DZ4:EA4"/>
    <mergeCell ref="EB4:EC4"/>
    <mergeCell ref="ED4:EE4"/>
    <mergeCell ref="EF4:EG4"/>
    <mergeCell ref="EH4:EI4"/>
    <mergeCell ref="EJ4:EK4"/>
    <mergeCell ref="EL4:EM4"/>
    <mergeCell ref="EN4:EO4"/>
    <mergeCell ref="EP4:EQ4"/>
    <mergeCell ref="ER4:ES4"/>
    <mergeCell ref="ET4:EU4"/>
    <mergeCell ref="EV4:EW4"/>
    <mergeCell ref="EX4:EY4"/>
    <mergeCell ref="EZ4:FA4"/>
    <mergeCell ref="FB4:FC4"/>
    <mergeCell ref="FD4:FE4"/>
    <mergeCell ref="FF4:FG4"/>
    <mergeCell ref="FH4:FI4"/>
    <mergeCell ref="FJ4:FK4"/>
    <mergeCell ref="FL4:FM4"/>
    <mergeCell ref="FN4:FO4"/>
    <mergeCell ref="FP4:FQ4"/>
    <mergeCell ref="FR4:FS4"/>
    <mergeCell ref="FT4:FU4"/>
    <mergeCell ref="FV4:FW4"/>
    <mergeCell ref="FX4:FY4"/>
    <mergeCell ref="FZ4:GA4"/>
    <mergeCell ref="GB4:GC4"/>
    <mergeCell ref="GD4:GE4"/>
    <mergeCell ref="GF4:GG4"/>
    <mergeCell ref="GH4:GI4"/>
    <mergeCell ref="GJ4:GK4"/>
    <mergeCell ref="GL4:GM4"/>
    <mergeCell ref="GN4:GO4"/>
    <mergeCell ref="GP4:GQ4"/>
    <mergeCell ref="GR4:GS4"/>
    <mergeCell ref="GT4:GU4"/>
    <mergeCell ref="GV4:GW4"/>
    <mergeCell ref="GX4:GY4"/>
    <mergeCell ref="GZ4:HA4"/>
    <mergeCell ref="HB4:HC4"/>
    <mergeCell ref="HD4:HE4"/>
    <mergeCell ref="A5:A7"/>
    <mergeCell ref="B5:B7"/>
    <mergeCell ref="C5:C7"/>
    <mergeCell ref="D5:D7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BT6:BU6"/>
    <mergeCell ref="BV6:BW6"/>
    <mergeCell ref="BX6:BY6"/>
    <mergeCell ref="BZ6:CA6"/>
    <mergeCell ref="CB6:CC6"/>
    <mergeCell ref="CH6:CI6"/>
    <mergeCell ref="CJ6:CK6"/>
    <mergeCell ref="CL6:CM6"/>
    <mergeCell ref="CN6:CO6"/>
    <mergeCell ref="CV6:CW6"/>
    <mergeCell ref="CX6:CY6"/>
    <mergeCell ref="CZ6:DA6"/>
    <mergeCell ref="DB6:DC6"/>
    <mergeCell ref="DH6:DI6"/>
    <mergeCell ref="DJ6:DK6"/>
    <mergeCell ref="DL6:DM6"/>
    <mergeCell ref="DN6:DO6"/>
    <mergeCell ref="DP6:DQ6"/>
    <mergeCell ref="DR6:DS6"/>
    <mergeCell ref="DT6:DU6"/>
    <mergeCell ref="DV6:DW6"/>
    <mergeCell ref="DX6:DY6"/>
    <mergeCell ref="DZ6:EA6"/>
    <mergeCell ref="EB6:EC6"/>
    <mergeCell ref="ED6:EE6"/>
    <mergeCell ref="EF6:EG6"/>
    <mergeCell ref="EH6:EI6"/>
    <mergeCell ref="EJ6:EK6"/>
    <mergeCell ref="EL6:EM6"/>
    <mergeCell ref="EN6:EO6"/>
    <mergeCell ref="ER6:ES6"/>
    <mergeCell ref="ET6:EU6"/>
    <mergeCell ref="FD6:FE6"/>
    <mergeCell ref="FF6:FG6"/>
    <mergeCell ref="FH6:FI6"/>
    <mergeCell ref="FJ6:FK6"/>
    <mergeCell ref="FN6:FO6"/>
    <mergeCell ref="FP6:FQ6"/>
    <mergeCell ref="FV6:FW6"/>
    <mergeCell ref="GD6:GE6"/>
    <mergeCell ref="GF6:GG6"/>
    <mergeCell ref="GH6:GI6"/>
    <mergeCell ref="GJ6:GK6"/>
    <mergeCell ref="GL6:GM6"/>
    <mergeCell ref="GN6:GO6"/>
    <mergeCell ref="GR6:GS6"/>
    <mergeCell ref="GT6:GU6"/>
    <mergeCell ref="GV6:GW6"/>
    <mergeCell ref="GX6:GY6"/>
    <mergeCell ref="GZ6:HA6"/>
    <mergeCell ref="HB6:HC6"/>
    <mergeCell ref="HD6:HE6"/>
    <mergeCell ref="HF6:HG6"/>
    <mergeCell ref="HH6:HI6"/>
    <mergeCell ref="HJ6:HK6"/>
    <mergeCell ref="HL6:HM6"/>
    <mergeCell ref="HN6:HO6"/>
    <mergeCell ref="HP6:HQ6"/>
    <mergeCell ref="F7:AA7"/>
    <mergeCell ref="AB7:BG7"/>
    <mergeCell ref="BH7:BI7"/>
    <mergeCell ref="BJ7:BK7"/>
    <mergeCell ref="BL7:BM7"/>
    <mergeCell ref="BN7:BO7"/>
    <mergeCell ref="BP7:BQ7"/>
    <mergeCell ref="BR7:BS7"/>
    <mergeCell ref="BT7:BU7"/>
    <mergeCell ref="BV7:BW7"/>
    <mergeCell ref="BX7:BY7"/>
    <mergeCell ref="BZ7:CA7"/>
    <mergeCell ref="CB7:CC7"/>
    <mergeCell ref="CD7:CE7"/>
    <mergeCell ref="CF7:CG7"/>
    <mergeCell ref="CH7:CI7"/>
    <mergeCell ref="CJ7:CK7"/>
    <mergeCell ref="CL7:CM7"/>
    <mergeCell ref="CN7:CO7"/>
    <mergeCell ref="CP7:CQ7"/>
    <mergeCell ref="CR7:CS7"/>
    <mergeCell ref="CT7:CU7"/>
    <mergeCell ref="CV7:CW7"/>
    <mergeCell ref="CX7:CY7"/>
    <mergeCell ref="CZ7:DA7"/>
    <mergeCell ref="DB7:DC7"/>
    <mergeCell ref="DH7:DI7"/>
    <mergeCell ref="DJ7:DK7"/>
    <mergeCell ref="DL7:DM7"/>
    <mergeCell ref="DN7:DO7"/>
    <mergeCell ref="DP7:DQ7"/>
    <mergeCell ref="DR7:DS7"/>
    <mergeCell ref="DT7:DU7"/>
    <mergeCell ref="DV7:DW7"/>
    <mergeCell ref="DX7:DY7"/>
    <mergeCell ref="DZ7:EA7"/>
    <mergeCell ref="EB7:EC7"/>
    <mergeCell ref="ED7:EE7"/>
    <mergeCell ref="EF7:EG7"/>
    <mergeCell ref="EH7:EI7"/>
    <mergeCell ref="EJ7:EK7"/>
    <mergeCell ref="EL7:EM7"/>
    <mergeCell ref="EN7:EO7"/>
    <mergeCell ref="EP7:EQ7"/>
    <mergeCell ref="ER7:ES7"/>
    <mergeCell ref="ET7:EU7"/>
    <mergeCell ref="EV7:EW7"/>
    <mergeCell ref="EX7:EY7"/>
    <mergeCell ref="EZ7:FA7"/>
    <mergeCell ref="FB7:FC7"/>
    <mergeCell ref="FD7:FE7"/>
    <mergeCell ref="FF7:FG7"/>
    <mergeCell ref="FH7:FI7"/>
    <mergeCell ref="FJ7:FK7"/>
    <mergeCell ref="FL7:FM7"/>
    <mergeCell ref="FN7:FO7"/>
    <mergeCell ref="FP7:FQ7"/>
    <mergeCell ref="FR7:FS7"/>
    <mergeCell ref="FT7:FU7"/>
    <mergeCell ref="FV7:FW7"/>
    <mergeCell ref="FX7:FY7"/>
    <mergeCell ref="FZ7:GA7"/>
    <mergeCell ref="GB7:GC7"/>
    <mergeCell ref="GD7:GE7"/>
    <mergeCell ref="GF7:GG7"/>
    <mergeCell ref="GH7:GI7"/>
    <mergeCell ref="GJ7:GK7"/>
    <mergeCell ref="GL7:GM7"/>
    <mergeCell ref="GN7:GO7"/>
    <mergeCell ref="GP7:GQ7"/>
    <mergeCell ref="GR7:GS7"/>
    <mergeCell ref="GT7:GU7"/>
    <mergeCell ref="GV7:GW7"/>
    <mergeCell ref="GX7:GY7"/>
    <mergeCell ref="GZ7:HA7"/>
    <mergeCell ref="HB7:HC7"/>
    <mergeCell ref="HD7:HE7"/>
    <mergeCell ref="A8:A10"/>
    <mergeCell ref="B8:B10"/>
    <mergeCell ref="C8:C10"/>
    <mergeCell ref="D8:D10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Z9:CA9"/>
    <mergeCell ref="CB9:CC9"/>
    <mergeCell ref="CD9:CE9"/>
    <mergeCell ref="CF9:CG9"/>
    <mergeCell ref="CH9:CI9"/>
    <mergeCell ref="CJ9:CK9"/>
    <mergeCell ref="CL9:CM9"/>
    <mergeCell ref="CP9:CQ9"/>
    <mergeCell ref="CR9:CS9"/>
    <mergeCell ref="CT9:CU9"/>
    <mergeCell ref="CV9:CW9"/>
    <mergeCell ref="CX9:CY9"/>
    <mergeCell ref="CZ9:DA9"/>
    <mergeCell ref="DB9:DC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L9:EM9"/>
    <mergeCell ref="EP9:EQ9"/>
    <mergeCell ref="ET9:EU9"/>
    <mergeCell ref="EX9:EY9"/>
    <mergeCell ref="EZ9:FA9"/>
    <mergeCell ref="FB9:FC9"/>
    <mergeCell ref="FF9:FG9"/>
    <mergeCell ref="FH9:FI9"/>
    <mergeCell ref="FJ9:FK9"/>
    <mergeCell ref="FN9:FO9"/>
    <mergeCell ref="FT9:FU9"/>
    <mergeCell ref="FV9:FW9"/>
    <mergeCell ref="FX9:FY9"/>
    <mergeCell ref="FZ9:GA9"/>
    <mergeCell ref="GB9:GC9"/>
    <mergeCell ref="GD9:GE9"/>
    <mergeCell ref="GH9:GI9"/>
    <mergeCell ref="GJ9:GK9"/>
    <mergeCell ref="GL9:GM9"/>
    <mergeCell ref="GN9:GO9"/>
    <mergeCell ref="GP9:GQ9"/>
    <mergeCell ref="GR9:GS9"/>
    <mergeCell ref="GT9:GU9"/>
    <mergeCell ref="GV9:GW9"/>
    <mergeCell ref="GX9:GY9"/>
    <mergeCell ref="GZ9:HA9"/>
    <mergeCell ref="HB9:HC9"/>
    <mergeCell ref="HD9:HE9"/>
    <mergeCell ref="HF9:HG9"/>
    <mergeCell ref="HH9:HI9"/>
    <mergeCell ref="HJ9:HK9"/>
    <mergeCell ref="HL9:HM9"/>
    <mergeCell ref="HN9:HO9"/>
    <mergeCell ref="HP9:HQ9"/>
    <mergeCell ref="HR9:HS9"/>
    <mergeCell ref="HT9:HU9"/>
    <mergeCell ref="HV9:HW9"/>
    <mergeCell ref="HX9:HY9"/>
    <mergeCell ref="HZ9:IA9"/>
    <mergeCell ref="IB9:IC9"/>
    <mergeCell ref="ID9:IE9"/>
    <mergeCell ref="IF9:IG9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  <mergeCell ref="BV10:BW10"/>
    <mergeCell ref="BX10:BY10"/>
    <mergeCell ref="BZ10:CA10"/>
    <mergeCell ref="CB10:CC10"/>
    <mergeCell ref="CD10:CE10"/>
    <mergeCell ref="CF10:CG10"/>
    <mergeCell ref="CH10:CI10"/>
    <mergeCell ref="CJ10:CK10"/>
    <mergeCell ref="CL10:CM10"/>
    <mergeCell ref="CN10:CO10"/>
    <mergeCell ref="CP10:CQ10"/>
    <mergeCell ref="CR10:CS10"/>
    <mergeCell ref="CT10:CU10"/>
    <mergeCell ref="CV10:CW10"/>
    <mergeCell ref="CX10:CY10"/>
    <mergeCell ref="CZ10:DA10"/>
    <mergeCell ref="DB10:DC10"/>
    <mergeCell ref="DH10:DI10"/>
    <mergeCell ref="DJ10:DK10"/>
    <mergeCell ref="DL10:DM10"/>
    <mergeCell ref="DN10:DO10"/>
    <mergeCell ref="DP10:DQ10"/>
    <mergeCell ref="DR10:DS10"/>
    <mergeCell ref="DT10:DU10"/>
    <mergeCell ref="DV10:DW10"/>
    <mergeCell ref="DX10:DY10"/>
    <mergeCell ref="DZ10:EA10"/>
    <mergeCell ref="EB10:EC10"/>
    <mergeCell ref="ED10:EE10"/>
    <mergeCell ref="EF10:EG10"/>
    <mergeCell ref="EH10:EI10"/>
    <mergeCell ref="EJ10:EK10"/>
    <mergeCell ref="EL10:EM10"/>
    <mergeCell ref="EN10:EO10"/>
    <mergeCell ref="EP10:EQ10"/>
    <mergeCell ref="ER10:ES10"/>
    <mergeCell ref="ET10:EU10"/>
    <mergeCell ref="EV10:EW10"/>
    <mergeCell ref="EX10:EY10"/>
    <mergeCell ref="EZ10:FA10"/>
    <mergeCell ref="FB10:FC10"/>
    <mergeCell ref="FD10:FE10"/>
    <mergeCell ref="FF10:FG10"/>
    <mergeCell ref="FH10:FI10"/>
    <mergeCell ref="FJ10:FK10"/>
    <mergeCell ref="FL10:FM10"/>
    <mergeCell ref="FN10:FO10"/>
    <mergeCell ref="FP10:FQ10"/>
    <mergeCell ref="FR10:FS10"/>
    <mergeCell ref="FT10:FU10"/>
    <mergeCell ref="FV10:FW10"/>
    <mergeCell ref="FX10:FY10"/>
    <mergeCell ref="FZ10:GA10"/>
    <mergeCell ref="GB10:GC10"/>
    <mergeCell ref="GD10:GE10"/>
    <mergeCell ref="GF10:GG10"/>
    <mergeCell ref="GH10:GI10"/>
    <mergeCell ref="GJ10:GK10"/>
    <mergeCell ref="GL10:GM10"/>
    <mergeCell ref="GN10:GO10"/>
    <mergeCell ref="GP10:GQ10"/>
    <mergeCell ref="GR10:GS10"/>
    <mergeCell ref="GT10:GU10"/>
    <mergeCell ref="GV10:GW10"/>
    <mergeCell ref="GX10:GY10"/>
    <mergeCell ref="GZ10:HA10"/>
    <mergeCell ref="HB10:HC10"/>
    <mergeCell ref="HD10:HE10"/>
    <mergeCell ref="A11:A13"/>
    <mergeCell ref="B11:B13"/>
    <mergeCell ref="C11:C13"/>
    <mergeCell ref="D11:D13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AB12:AC12"/>
    <mergeCell ref="AD12:AE12"/>
    <mergeCell ref="AF12:AG12"/>
    <mergeCell ref="AH12:AS12"/>
    <mergeCell ref="AT12:AU12"/>
    <mergeCell ref="AV12:AW12"/>
    <mergeCell ref="AX12:AY12"/>
    <mergeCell ref="AZ12:BA12"/>
    <mergeCell ref="BB12:BC12"/>
    <mergeCell ref="BD12:BE12"/>
    <mergeCell ref="BF12:BG12"/>
    <mergeCell ref="BH12:BI12"/>
    <mergeCell ref="BJ12:BK12"/>
    <mergeCell ref="BL12:BM12"/>
    <mergeCell ref="BN12:BO12"/>
    <mergeCell ref="BP12:BQ12"/>
    <mergeCell ref="BR12:BS12"/>
    <mergeCell ref="BT12:BU12"/>
    <mergeCell ref="BV12:BW12"/>
    <mergeCell ref="BX12:BY12"/>
    <mergeCell ref="BZ12:CA12"/>
    <mergeCell ref="CB12:CC12"/>
    <mergeCell ref="CD12:CE12"/>
    <mergeCell ref="CF12:CG12"/>
    <mergeCell ref="CH12:CI12"/>
    <mergeCell ref="CJ12:CK12"/>
    <mergeCell ref="CL12:CM12"/>
    <mergeCell ref="CN12:CO12"/>
    <mergeCell ref="CP12:CQ12"/>
    <mergeCell ref="CR12:CS12"/>
    <mergeCell ref="CT12:CU12"/>
    <mergeCell ref="CV12:CW12"/>
    <mergeCell ref="CX12:CY12"/>
    <mergeCell ref="CZ12:DA12"/>
    <mergeCell ref="DB12:DC12"/>
    <mergeCell ref="DH12:DI12"/>
    <mergeCell ref="DJ12:DK12"/>
    <mergeCell ref="DL12:DM12"/>
    <mergeCell ref="DN12:DO12"/>
    <mergeCell ref="DP12:DQ12"/>
    <mergeCell ref="DR12:DS12"/>
    <mergeCell ref="DT12:DU12"/>
    <mergeCell ref="DV12:DW12"/>
    <mergeCell ref="DX12:DY12"/>
    <mergeCell ref="DZ12:EA12"/>
    <mergeCell ref="EB12:EC12"/>
    <mergeCell ref="ED12:EE12"/>
    <mergeCell ref="EF12:EG12"/>
    <mergeCell ref="EH12:EI12"/>
    <mergeCell ref="EJ12:EK12"/>
    <mergeCell ref="EL12:EM12"/>
    <mergeCell ref="EN12:EO12"/>
    <mergeCell ref="EP12:EQ12"/>
    <mergeCell ref="ER12:ES12"/>
    <mergeCell ref="ET12:EU12"/>
    <mergeCell ref="EV12:EW12"/>
    <mergeCell ref="EX12:EY12"/>
    <mergeCell ref="EZ12:FA12"/>
    <mergeCell ref="FB12:FC12"/>
    <mergeCell ref="FD12:FE12"/>
    <mergeCell ref="FF12:FG12"/>
    <mergeCell ref="FH12:FI12"/>
    <mergeCell ref="FJ12:FK12"/>
    <mergeCell ref="FL12:FM12"/>
    <mergeCell ref="FN12:FO12"/>
    <mergeCell ref="FP12:FQ12"/>
    <mergeCell ref="FR12:FS12"/>
    <mergeCell ref="FT12:FU12"/>
    <mergeCell ref="FV12:FW12"/>
    <mergeCell ref="FX12:FY12"/>
    <mergeCell ref="FZ12:GA12"/>
    <mergeCell ref="GB12:GC12"/>
    <mergeCell ref="GD12:GE12"/>
    <mergeCell ref="GF12:GG12"/>
    <mergeCell ref="GH12:GI12"/>
    <mergeCell ref="GJ12:GK12"/>
    <mergeCell ref="GL12:GM12"/>
    <mergeCell ref="GN12:GO12"/>
    <mergeCell ref="GP12:GQ12"/>
    <mergeCell ref="GR12:GS12"/>
    <mergeCell ref="GT12:GU12"/>
    <mergeCell ref="GV12:GW12"/>
    <mergeCell ref="GX12:GY12"/>
    <mergeCell ref="GZ12:HA12"/>
    <mergeCell ref="HB12:HC12"/>
    <mergeCell ref="HD12:HE12"/>
    <mergeCell ref="HF12:HG12"/>
    <mergeCell ref="HH12:HI12"/>
    <mergeCell ref="HJ12:HK12"/>
    <mergeCell ref="HL12:HM12"/>
    <mergeCell ref="HN12:HO12"/>
    <mergeCell ref="HP12:HQ12"/>
    <mergeCell ref="HR12:HS12"/>
    <mergeCell ref="HT12:HU12"/>
    <mergeCell ref="HV12:HW12"/>
    <mergeCell ref="HX12:HY12"/>
    <mergeCell ref="HZ12:IA12"/>
    <mergeCell ref="IB12:IC12"/>
    <mergeCell ref="ID12:IE12"/>
    <mergeCell ref="IF12:IG12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  <mergeCell ref="X13:Y13"/>
    <mergeCell ref="Z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W13"/>
    <mergeCell ref="AX13:AY13"/>
    <mergeCell ref="AZ13:BA13"/>
    <mergeCell ref="BB13:BC13"/>
    <mergeCell ref="BD13:BE13"/>
    <mergeCell ref="BF13:BG13"/>
    <mergeCell ref="BH13:BI13"/>
    <mergeCell ref="BJ13:BK13"/>
    <mergeCell ref="BL13:BM13"/>
    <mergeCell ref="BN13:BO13"/>
    <mergeCell ref="BP13:BQ13"/>
    <mergeCell ref="BR13:BS13"/>
    <mergeCell ref="BT13:BU13"/>
    <mergeCell ref="BV13:BW13"/>
    <mergeCell ref="BX13:BY13"/>
    <mergeCell ref="BZ13:CA13"/>
    <mergeCell ref="CB13:CC13"/>
    <mergeCell ref="CD13:CE13"/>
    <mergeCell ref="CF13:CG13"/>
    <mergeCell ref="CH13:CI13"/>
    <mergeCell ref="CJ13:CK13"/>
    <mergeCell ref="CL13:CM13"/>
    <mergeCell ref="CN13:CO13"/>
    <mergeCell ref="CP13:CQ13"/>
    <mergeCell ref="CR13:CS13"/>
    <mergeCell ref="CT13:CU13"/>
    <mergeCell ref="CV13:CW13"/>
    <mergeCell ref="CX13:CY13"/>
    <mergeCell ref="CZ13:DA13"/>
    <mergeCell ref="DB13:DC13"/>
    <mergeCell ref="DH13:DI13"/>
    <mergeCell ref="DJ13:DK13"/>
    <mergeCell ref="DL13:DM13"/>
    <mergeCell ref="DN13:DO13"/>
    <mergeCell ref="DP13:DQ13"/>
    <mergeCell ref="DR13:DS13"/>
    <mergeCell ref="DT13:DU13"/>
    <mergeCell ref="DV13:DW13"/>
    <mergeCell ref="DX13:DY13"/>
    <mergeCell ref="DZ13:EA13"/>
    <mergeCell ref="EB13:EC13"/>
    <mergeCell ref="ED13:EE13"/>
    <mergeCell ref="EF13:EG13"/>
    <mergeCell ref="EH13:EI13"/>
    <mergeCell ref="EJ13:EK13"/>
    <mergeCell ref="EL13:EM13"/>
    <mergeCell ref="EN13:EO13"/>
    <mergeCell ref="EP13:EQ13"/>
    <mergeCell ref="ER13:ES13"/>
    <mergeCell ref="ET13:EU13"/>
    <mergeCell ref="EV13:EW13"/>
    <mergeCell ref="EX13:EY13"/>
    <mergeCell ref="EZ13:FA13"/>
    <mergeCell ref="FB13:FC13"/>
    <mergeCell ref="FD13:FE13"/>
    <mergeCell ref="FF13:FG13"/>
    <mergeCell ref="FH13:FI13"/>
    <mergeCell ref="FJ13:FK13"/>
    <mergeCell ref="FL13:FM13"/>
    <mergeCell ref="FN13:FO13"/>
    <mergeCell ref="FP13:FQ13"/>
    <mergeCell ref="FR13:FS13"/>
    <mergeCell ref="FT13:FU13"/>
    <mergeCell ref="FV13:FW13"/>
    <mergeCell ref="FX13:FY13"/>
    <mergeCell ref="FZ13:GA13"/>
    <mergeCell ref="GB13:GC13"/>
    <mergeCell ref="GD13:GE13"/>
    <mergeCell ref="GF13:GG13"/>
    <mergeCell ref="GH13:GI13"/>
    <mergeCell ref="GJ13:GK13"/>
    <mergeCell ref="GL13:GM13"/>
    <mergeCell ref="GN13:GO13"/>
    <mergeCell ref="GP13:GQ13"/>
    <mergeCell ref="GR13:GS13"/>
    <mergeCell ref="GT13:GU13"/>
    <mergeCell ref="GV13:GW13"/>
    <mergeCell ref="GX13:GY13"/>
    <mergeCell ref="GZ13:HA13"/>
    <mergeCell ref="HB13:HC13"/>
    <mergeCell ref="HD13:HE13"/>
    <mergeCell ref="A14:A16"/>
    <mergeCell ref="B14:B16"/>
    <mergeCell ref="C14:C16"/>
    <mergeCell ref="D14:D16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W15"/>
    <mergeCell ref="AX15:BA15"/>
    <mergeCell ref="BB15:BC15"/>
    <mergeCell ref="BD15:BM15"/>
    <mergeCell ref="BP15:BQ15"/>
    <mergeCell ref="BV15:BW15"/>
    <mergeCell ref="BX15:BY15"/>
    <mergeCell ref="BZ15:CA15"/>
    <mergeCell ref="CB15:CC15"/>
    <mergeCell ref="CD15:CE15"/>
    <mergeCell ref="CF15:CG15"/>
    <mergeCell ref="CR15:CS15"/>
    <mergeCell ref="CT15:CU15"/>
    <mergeCell ref="CV15:CW15"/>
    <mergeCell ref="CX15:CY15"/>
    <mergeCell ref="CZ15:DA15"/>
    <mergeCell ref="DB15:DC15"/>
    <mergeCell ref="DH15:DI15"/>
    <mergeCell ref="DJ15:DK15"/>
    <mergeCell ref="DL15:DM15"/>
    <mergeCell ref="DN15:DO15"/>
    <mergeCell ref="DP15:DQ15"/>
    <mergeCell ref="DR15:DS15"/>
    <mergeCell ref="DT15:DU15"/>
    <mergeCell ref="DV15:DW15"/>
    <mergeCell ref="DX15:DY15"/>
    <mergeCell ref="DZ15:EA15"/>
    <mergeCell ref="EB15:EC15"/>
    <mergeCell ref="ED15:EE15"/>
    <mergeCell ref="EF15:EG15"/>
    <mergeCell ref="EH15:EI15"/>
    <mergeCell ref="EJ15:EK15"/>
    <mergeCell ref="EL15:EM15"/>
    <mergeCell ref="EN15:EO15"/>
    <mergeCell ref="EP15:EQ15"/>
    <mergeCell ref="ER15:ES15"/>
    <mergeCell ref="ET15:EU15"/>
    <mergeCell ref="EV15:EW15"/>
    <mergeCell ref="EX15:EY15"/>
    <mergeCell ref="EZ15:FA15"/>
    <mergeCell ref="FB15:FC15"/>
    <mergeCell ref="FD15:FE15"/>
    <mergeCell ref="FF15:FG15"/>
    <mergeCell ref="FH15:FI15"/>
    <mergeCell ref="FJ15:FK15"/>
    <mergeCell ref="FL15:FM15"/>
    <mergeCell ref="FN15:FO15"/>
    <mergeCell ref="FP15:FQ15"/>
    <mergeCell ref="FR15:FS15"/>
    <mergeCell ref="FT15:FU15"/>
    <mergeCell ref="FV15:FW15"/>
    <mergeCell ref="FX15:FY15"/>
    <mergeCell ref="FZ15:GA15"/>
    <mergeCell ref="GB15:GC15"/>
    <mergeCell ref="GD15:GE15"/>
    <mergeCell ref="GF15:GG15"/>
    <mergeCell ref="GH15:GI15"/>
    <mergeCell ref="GJ15:GK15"/>
    <mergeCell ref="GL15:GM15"/>
    <mergeCell ref="GN15:GO15"/>
    <mergeCell ref="GP15:GQ15"/>
    <mergeCell ref="GR15:GS15"/>
    <mergeCell ref="GT15:GU15"/>
    <mergeCell ref="GV15:GW15"/>
    <mergeCell ref="GX15:GY15"/>
    <mergeCell ref="GZ15:HA15"/>
    <mergeCell ref="HB15:HC15"/>
    <mergeCell ref="HD15:HE15"/>
    <mergeCell ref="HF15:HG15"/>
    <mergeCell ref="HH15:HI15"/>
    <mergeCell ref="HJ15:HK15"/>
    <mergeCell ref="HL15:HM15"/>
    <mergeCell ref="HN15:HO15"/>
    <mergeCell ref="HP15:HQ15"/>
    <mergeCell ref="HR15:HS15"/>
    <mergeCell ref="HT15:HU15"/>
    <mergeCell ref="HV15:HW15"/>
    <mergeCell ref="HX15:HY15"/>
    <mergeCell ref="HZ15:IA15"/>
    <mergeCell ref="IB15:IC15"/>
    <mergeCell ref="ID15:IE15"/>
    <mergeCell ref="IF15:IG15"/>
    <mergeCell ref="F16:G16"/>
    <mergeCell ref="H16:I16"/>
    <mergeCell ref="J16:K16"/>
    <mergeCell ref="L16:U16"/>
    <mergeCell ref="V16:W16"/>
    <mergeCell ref="X16:Y16"/>
    <mergeCell ref="Z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W16"/>
    <mergeCell ref="AX16:BM16"/>
    <mergeCell ref="BN16:BO16"/>
    <mergeCell ref="BP16:BQ16"/>
    <mergeCell ref="BR16:BS16"/>
    <mergeCell ref="BT16:BU16"/>
    <mergeCell ref="BV16:BW16"/>
    <mergeCell ref="BX16:BY16"/>
    <mergeCell ref="BZ16:CA16"/>
    <mergeCell ref="CB16:CC16"/>
    <mergeCell ref="CD16:CE16"/>
    <mergeCell ref="CF16:CG16"/>
    <mergeCell ref="CH16:CI16"/>
    <mergeCell ref="CJ16:CK16"/>
    <mergeCell ref="CL16:CM16"/>
    <mergeCell ref="CN16:CO16"/>
    <mergeCell ref="CP16:CQ16"/>
    <mergeCell ref="CR16:CS16"/>
    <mergeCell ref="CT16:CU16"/>
    <mergeCell ref="CV16:CW16"/>
    <mergeCell ref="CX16:CY16"/>
    <mergeCell ref="CZ16:DA16"/>
    <mergeCell ref="DB16:DC16"/>
    <mergeCell ref="DH16:DI16"/>
    <mergeCell ref="DJ16:DK16"/>
    <mergeCell ref="DL16:DM16"/>
    <mergeCell ref="DN16:DO16"/>
    <mergeCell ref="DP16:DQ16"/>
    <mergeCell ref="DR16:DS16"/>
    <mergeCell ref="DT16:DU16"/>
    <mergeCell ref="DV16:DW16"/>
    <mergeCell ref="DX16:DY16"/>
    <mergeCell ref="DZ16:EA16"/>
    <mergeCell ref="EB16:EC16"/>
    <mergeCell ref="ED16:EE16"/>
    <mergeCell ref="EF16:EG16"/>
    <mergeCell ref="EH16:EI16"/>
    <mergeCell ref="EJ16:EK16"/>
    <mergeCell ref="EL16:EM16"/>
    <mergeCell ref="EN16:EO16"/>
    <mergeCell ref="EP16:EQ16"/>
    <mergeCell ref="ER16:ES16"/>
    <mergeCell ref="ET16:EU16"/>
    <mergeCell ref="EV16:EW16"/>
    <mergeCell ref="EX16:EY16"/>
    <mergeCell ref="EZ16:FA16"/>
    <mergeCell ref="FB16:FC16"/>
    <mergeCell ref="FD16:FE16"/>
    <mergeCell ref="FF16:FG16"/>
    <mergeCell ref="FH16:FI16"/>
    <mergeCell ref="FJ16:FK16"/>
    <mergeCell ref="FL16:FM16"/>
    <mergeCell ref="FN16:FO16"/>
    <mergeCell ref="FP16:FQ16"/>
    <mergeCell ref="FR16:FS16"/>
    <mergeCell ref="FT16:FU16"/>
    <mergeCell ref="FV16:FW16"/>
    <mergeCell ref="FX16:FY16"/>
    <mergeCell ref="FZ16:GA16"/>
    <mergeCell ref="GB16:GC16"/>
    <mergeCell ref="GD16:GE16"/>
    <mergeCell ref="GF16:GG16"/>
    <mergeCell ref="GH16:GI16"/>
    <mergeCell ref="GJ16:GK16"/>
    <mergeCell ref="GL16:GM16"/>
    <mergeCell ref="GN16:GO16"/>
    <mergeCell ref="GP16:GQ16"/>
    <mergeCell ref="GR16:GS16"/>
    <mergeCell ref="GT16:GU16"/>
    <mergeCell ref="GV16:GW16"/>
    <mergeCell ref="GX16:GY16"/>
    <mergeCell ref="GZ16:HA16"/>
    <mergeCell ref="HB16:HC16"/>
    <mergeCell ref="HD16:HE16"/>
    <mergeCell ref="A17:A19"/>
    <mergeCell ref="B17:B19"/>
    <mergeCell ref="C17:C19"/>
    <mergeCell ref="D17:D19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W18"/>
    <mergeCell ref="AX18:AY18"/>
    <mergeCell ref="AZ18:BA18"/>
    <mergeCell ref="BB18:BC18"/>
    <mergeCell ref="BD18:BE18"/>
    <mergeCell ref="BF18:BG18"/>
    <mergeCell ref="BH18:BI18"/>
    <mergeCell ref="BJ18:BK18"/>
    <mergeCell ref="BL18:BM18"/>
    <mergeCell ref="BN18:BO18"/>
    <mergeCell ref="BP18:BQ18"/>
    <mergeCell ref="BR18:BS18"/>
    <mergeCell ref="BT18:BU18"/>
    <mergeCell ref="BV18:BW18"/>
    <mergeCell ref="BX18:BY18"/>
    <mergeCell ref="CB18:CC18"/>
    <mergeCell ref="CD18:CE18"/>
    <mergeCell ref="CF18:CG18"/>
    <mergeCell ref="CH18:CI18"/>
    <mergeCell ref="CJ18:CK18"/>
    <mergeCell ref="CN18:CO18"/>
    <mergeCell ref="CP18:CQ18"/>
    <mergeCell ref="CR18:CS18"/>
    <mergeCell ref="CZ18:DA18"/>
    <mergeCell ref="DB18:DC18"/>
    <mergeCell ref="DH18:DI18"/>
    <mergeCell ref="DJ18:DK18"/>
    <mergeCell ref="DL18:DM18"/>
    <mergeCell ref="DN18:DO18"/>
    <mergeCell ref="DP18:DQ18"/>
    <mergeCell ref="DR18:DS18"/>
    <mergeCell ref="DV18:DW18"/>
    <mergeCell ref="DX18:DY18"/>
    <mergeCell ref="DZ18:EA18"/>
    <mergeCell ref="EB18:EC18"/>
    <mergeCell ref="ED18:EE18"/>
    <mergeCell ref="EF18:EG18"/>
    <mergeCell ref="EH18:EI18"/>
    <mergeCell ref="EL18:EM18"/>
    <mergeCell ref="ER18:ES18"/>
    <mergeCell ref="ET18:EU18"/>
    <mergeCell ref="EV18:EW18"/>
    <mergeCell ref="EX18:EY18"/>
    <mergeCell ref="EZ18:FA18"/>
    <mergeCell ref="FB18:FC18"/>
    <mergeCell ref="FD18:FE18"/>
    <mergeCell ref="FF18:FG18"/>
    <mergeCell ref="FH18:FI18"/>
    <mergeCell ref="FJ18:FK18"/>
    <mergeCell ref="FL18:FM18"/>
    <mergeCell ref="FN18:FO18"/>
    <mergeCell ref="FP18:FQ18"/>
    <mergeCell ref="FR18:FS18"/>
    <mergeCell ref="FV18:FW18"/>
    <mergeCell ref="FX18:FY18"/>
    <mergeCell ref="FZ18:GA18"/>
    <mergeCell ref="GB18:GC18"/>
    <mergeCell ref="GD18:GE18"/>
    <mergeCell ref="GH18:GI18"/>
    <mergeCell ref="GN18:GO18"/>
    <mergeCell ref="GP18:GQ18"/>
    <mergeCell ref="GR18:GS18"/>
    <mergeCell ref="GV18:GW18"/>
    <mergeCell ref="GX18:GY18"/>
    <mergeCell ref="GZ18:HA18"/>
    <mergeCell ref="HB18:HC18"/>
    <mergeCell ref="HD18:HE18"/>
    <mergeCell ref="HH18:HI18"/>
    <mergeCell ref="HJ18:HK18"/>
    <mergeCell ref="HL18:HM18"/>
    <mergeCell ref="HN18:HO18"/>
    <mergeCell ref="HP18:HQ18"/>
    <mergeCell ref="HR18:HS18"/>
    <mergeCell ref="HT18:HU18"/>
    <mergeCell ref="HV18:HW18"/>
    <mergeCell ref="HX18:HY18"/>
    <mergeCell ref="HZ18:IA18"/>
    <mergeCell ref="IB18:IC18"/>
    <mergeCell ref="ID18:IE18"/>
    <mergeCell ref="IF18:IG18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W19"/>
    <mergeCell ref="AX19:AY19"/>
    <mergeCell ref="AZ19:BA19"/>
    <mergeCell ref="BB19:BC19"/>
    <mergeCell ref="BD19:BE19"/>
    <mergeCell ref="BF19:BG19"/>
    <mergeCell ref="BH19:BI19"/>
    <mergeCell ref="BJ19:BK19"/>
    <mergeCell ref="BL19:BM19"/>
    <mergeCell ref="BN19:BO19"/>
    <mergeCell ref="BP19:BQ19"/>
    <mergeCell ref="BR19:BS19"/>
    <mergeCell ref="BT19:BU19"/>
    <mergeCell ref="BV19:BW19"/>
    <mergeCell ref="BX19:BY19"/>
    <mergeCell ref="BZ19:CA19"/>
    <mergeCell ref="CB19:CC19"/>
    <mergeCell ref="CD19:CE19"/>
    <mergeCell ref="CF19:CG19"/>
    <mergeCell ref="CH19:CI19"/>
    <mergeCell ref="CJ19:CK19"/>
    <mergeCell ref="CL19:CM19"/>
    <mergeCell ref="CN19:CO19"/>
    <mergeCell ref="CP19:CQ19"/>
    <mergeCell ref="CR19:CS19"/>
    <mergeCell ref="CT19:CU19"/>
    <mergeCell ref="CV19:CW19"/>
    <mergeCell ref="CX19:CY19"/>
    <mergeCell ref="CZ19:DA19"/>
    <mergeCell ref="DB19:DC19"/>
    <mergeCell ref="DH19:DI19"/>
    <mergeCell ref="DJ19:DK19"/>
    <mergeCell ref="DL19:DM19"/>
    <mergeCell ref="DN19:DO19"/>
    <mergeCell ref="DP19:DQ19"/>
    <mergeCell ref="DR19:DS19"/>
    <mergeCell ref="DT19:DU19"/>
    <mergeCell ref="DV19:DW19"/>
    <mergeCell ref="DX19:DY19"/>
    <mergeCell ref="DZ19:EA19"/>
    <mergeCell ref="EB19:EC19"/>
    <mergeCell ref="ED19:EE19"/>
    <mergeCell ref="EF19:EG19"/>
    <mergeCell ref="EH19:EI19"/>
    <mergeCell ref="EJ19:EK19"/>
    <mergeCell ref="EL19:EM19"/>
    <mergeCell ref="EN19:EO19"/>
    <mergeCell ref="EP19:EQ19"/>
    <mergeCell ref="ER19:ES19"/>
    <mergeCell ref="ET19:EU19"/>
    <mergeCell ref="EV19:EW19"/>
    <mergeCell ref="EX19:EY19"/>
    <mergeCell ref="EZ19:FA19"/>
    <mergeCell ref="FB19:FC19"/>
    <mergeCell ref="FD19:FE19"/>
    <mergeCell ref="FF19:FG19"/>
    <mergeCell ref="FH19:FI19"/>
    <mergeCell ref="FJ19:FK19"/>
    <mergeCell ref="FL19:FM19"/>
    <mergeCell ref="FN19:FO19"/>
    <mergeCell ref="FP19:FQ19"/>
    <mergeCell ref="FR19:FS19"/>
    <mergeCell ref="FT19:FU19"/>
    <mergeCell ref="FV19:FW19"/>
    <mergeCell ref="FX19:FY19"/>
    <mergeCell ref="FZ19:GA19"/>
    <mergeCell ref="GB19:GC19"/>
    <mergeCell ref="GD19:GE19"/>
    <mergeCell ref="GF19:GG19"/>
    <mergeCell ref="GH19:GI19"/>
    <mergeCell ref="GJ19:GK19"/>
    <mergeCell ref="GL19:GM19"/>
    <mergeCell ref="GN19:GO19"/>
    <mergeCell ref="GP19:GQ19"/>
    <mergeCell ref="GR19:GS19"/>
    <mergeCell ref="GT19:GU19"/>
    <mergeCell ref="GV19:GW19"/>
    <mergeCell ref="GX19:GY19"/>
    <mergeCell ref="GZ19:HA19"/>
    <mergeCell ref="HB19:HC19"/>
    <mergeCell ref="HD19:HE19"/>
    <mergeCell ref="A20:A22"/>
    <mergeCell ref="B20:B22"/>
    <mergeCell ref="C20:C22"/>
    <mergeCell ref="D20:D22"/>
    <mergeCell ref="F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W21"/>
    <mergeCell ref="AX21:AY21"/>
    <mergeCell ref="AZ21:BA21"/>
    <mergeCell ref="BB21:BC21"/>
    <mergeCell ref="BD21:BE21"/>
    <mergeCell ref="BF21:BG21"/>
    <mergeCell ref="BH21:BI21"/>
    <mergeCell ref="BJ21:BK21"/>
    <mergeCell ref="BL21:BM21"/>
    <mergeCell ref="BN21:BO21"/>
    <mergeCell ref="BP21:BQ21"/>
    <mergeCell ref="BR21:BS21"/>
    <mergeCell ref="BT21:BU21"/>
    <mergeCell ref="BV21:BW21"/>
    <mergeCell ref="BX21:BY21"/>
    <mergeCell ref="BZ21:CA21"/>
    <mergeCell ref="CB21:CC21"/>
    <mergeCell ref="CD21:CE21"/>
    <mergeCell ref="CF21:CG21"/>
    <mergeCell ref="CH21:CI21"/>
    <mergeCell ref="CJ21:CK21"/>
    <mergeCell ref="CL21:CM21"/>
    <mergeCell ref="CN21:CO21"/>
    <mergeCell ref="CP21:CQ21"/>
    <mergeCell ref="CR21:CS21"/>
    <mergeCell ref="CT21:CU21"/>
    <mergeCell ref="CV21:CW21"/>
    <mergeCell ref="CZ21:DA21"/>
    <mergeCell ref="DB21:DC21"/>
    <mergeCell ref="DH21:DI21"/>
    <mergeCell ref="DJ21:DK21"/>
    <mergeCell ref="DL21:DM21"/>
    <mergeCell ref="DN21:DO21"/>
    <mergeCell ref="DP21:DQ21"/>
    <mergeCell ref="DR21:DS21"/>
    <mergeCell ref="DT21:DU21"/>
    <mergeCell ref="DV21:DW21"/>
    <mergeCell ref="DX21:DY21"/>
    <mergeCell ref="EB21:EC21"/>
    <mergeCell ref="ED21:EE21"/>
    <mergeCell ref="EF21:EG21"/>
    <mergeCell ref="EH21:EI21"/>
    <mergeCell ref="EJ21:EK21"/>
    <mergeCell ref="EL21:EM21"/>
    <mergeCell ref="EN21:EO21"/>
    <mergeCell ref="EP21:EQ21"/>
    <mergeCell ref="ET21:EU21"/>
    <mergeCell ref="EZ21:FA21"/>
    <mergeCell ref="FB21:FC21"/>
    <mergeCell ref="FD21:FE21"/>
    <mergeCell ref="FF21:FG21"/>
    <mergeCell ref="FJ21:FK21"/>
    <mergeCell ref="FL21:FM21"/>
    <mergeCell ref="FN21:FO21"/>
    <mergeCell ref="FR21:FS21"/>
    <mergeCell ref="FT21:FU21"/>
    <mergeCell ref="FV21:FW21"/>
    <mergeCell ref="FX21:FY21"/>
    <mergeCell ref="FZ21:GA21"/>
    <mergeCell ref="GB21:GC21"/>
    <mergeCell ref="GD21:GE21"/>
    <mergeCell ref="GF21:GG21"/>
    <mergeCell ref="GJ21:GK21"/>
    <mergeCell ref="GL21:GM21"/>
    <mergeCell ref="GN21:GO21"/>
    <mergeCell ref="GP21:GQ21"/>
    <mergeCell ref="GR21:GS21"/>
    <mergeCell ref="GT21:GU21"/>
    <mergeCell ref="GV21:GW21"/>
    <mergeCell ref="GX21:GY21"/>
    <mergeCell ref="GZ21:HA21"/>
    <mergeCell ref="HB21:HC21"/>
    <mergeCell ref="HD21:HE21"/>
    <mergeCell ref="HF21:HG21"/>
    <mergeCell ref="HH21:HI21"/>
    <mergeCell ref="HJ21:HK21"/>
    <mergeCell ref="HL21:HM21"/>
    <mergeCell ref="HN21:HO21"/>
    <mergeCell ref="HP21:HQ21"/>
    <mergeCell ref="HR21:HS21"/>
    <mergeCell ref="HT21:HU21"/>
    <mergeCell ref="HV21:HW21"/>
    <mergeCell ref="HX21:HY21"/>
    <mergeCell ref="HZ21:IA21"/>
    <mergeCell ref="IB21:IC21"/>
    <mergeCell ref="ID21:IE21"/>
    <mergeCell ref="IF21:IG21"/>
    <mergeCell ref="F22:G22"/>
    <mergeCell ref="H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W22"/>
    <mergeCell ref="AX22:AY22"/>
    <mergeCell ref="AZ22:BA22"/>
    <mergeCell ref="BB22:BC22"/>
    <mergeCell ref="BD22:BE22"/>
    <mergeCell ref="BF22:BG22"/>
    <mergeCell ref="BH22:BI22"/>
    <mergeCell ref="BJ22:BK22"/>
    <mergeCell ref="BL22:BM22"/>
    <mergeCell ref="BN22:BO22"/>
    <mergeCell ref="BP22:BQ22"/>
    <mergeCell ref="BR22:BS22"/>
    <mergeCell ref="BT22:BU22"/>
    <mergeCell ref="BV22:BW22"/>
    <mergeCell ref="BX22:BY22"/>
    <mergeCell ref="BZ22:CA22"/>
    <mergeCell ref="CB22:CC22"/>
    <mergeCell ref="CD22:CE22"/>
    <mergeCell ref="CF22:CG22"/>
    <mergeCell ref="CH22:CI22"/>
    <mergeCell ref="CJ22:CK22"/>
    <mergeCell ref="CL22:CM22"/>
    <mergeCell ref="CN22:CO22"/>
    <mergeCell ref="CP22:CQ22"/>
    <mergeCell ref="CR22:CS22"/>
    <mergeCell ref="CT22:CU22"/>
    <mergeCell ref="CV22:CW22"/>
    <mergeCell ref="CX22:CY22"/>
    <mergeCell ref="CZ22:DA22"/>
    <mergeCell ref="DB22:DC22"/>
    <mergeCell ref="DH22:DI22"/>
    <mergeCell ref="DJ22:DK22"/>
    <mergeCell ref="DL22:DM22"/>
    <mergeCell ref="DN22:DO22"/>
    <mergeCell ref="DP22:DQ22"/>
    <mergeCell ref="DR22:DS22"/>
    <mergeCell ref="DT22:DU22"/>
    <mergeCell ref="DV22:DW22"/>
    <mergeCell ref="DX22:DY22"/>
    <mergeCell ref="DZ22:EA22"/>
    <mergeCell ref="EB22:EC22"/>
    <mergeCell ref="ED22:EE22"/>
    <mergeCell ref="EF22:EG22"/>
    <mergeCell ref="EH22:EI22"/>
    <mergeCell ref="EJ22:EK22"/>
    <mergeCell ref="EL22:EM22"/>
    <mergeCell ref="EN22:EO22"/>
    <mergeCell ref="EP22:EQ22"/>
    <mergeCell ref="ER22:ES22"/>
    <mergeCell ref="ET22:EU22"/>
    <mergeCell ref="EV22:EW22"/>
    <mergeCell ref="EX22:EY22"/>
    <mergeCell ref="EZ22:FA22"/>
    <mergeCell ref="FB22:FC22"/>
    <mergeCell ref="FD22:FE22"/>
    <mergeCell ref="FF22:FG22"/>
    <mergeCell ref="FH22:FI22"/>
    <mergeCell ref="FJ22:FK22"/>
    <mergeCell ref="FL22:FM22"/>
    <mergeCell ref="FN22:FO22"/>
    <mergeCell ref="FP22:FQ22"/>
    <mergeCell ref="FR22:FS22"/>
    <mergeCell ref="FT22:FU22"/>
    <mergeCell ref="FV22:FW22"/>
    <mergeCell ref="FX22:FY22"/>
    <mergeCell ref="FZ22:GA22"/>
    <mergeCell ref="GB22:GC22"/>
    <mergeCell ref="GD22:GE22"/>
    <mergeCell ref="GF22:GG22"/>
    <mergeCell ref="GH22:GI22"/>
    <mergeCell ref="GJ22:GK22"/>
    <mergeCell ref="GL22:GM22"/>
    <mergeCell ref="GN22:GO22"/>
    <mergeCell ref="GP22:GQ22"/>
    <mergeCell ref="GR22:GS22"/>
    <mergeCell ref="GT22:GU22"/>
    <mergeCell ref="GV22:GW22"/>
    <mergeCell ref="GX22:GY22"/>
    <mergeCell ref="GZ22:HA22"/>
    <mergeCell ref="HB22:HC22"/>
    <mergeCell ref="HD22:HE22"/>
    <mergeCell ref="A23:A25"/>
    <mergeCell ref="B23:B25"/>
    <mergeCell ref="C23:C25"/>
    <mergeCell ref="D23:D25"/>
    <mergeCell ref="F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W24"/>
    <mergeCell ref="AX24:AY24"/>
    <mergeCell ref="AZ24:BA24"/>
    <mergeCell ref="BB24:BC24"/>
    <mergeCell ref="BD24:BE24"/>
    <mergeCell ref="BF24:BG24"/>
    <mergeCell ref="BH24:BI24"/>
    <mergeCell ref="BJ24:BK24"/>
    <mergeCell ref="BL24:BM24"/>
    <mergeCell ref="BN24:BO24"/>
    <mergeCell ref="BP24:BQ24"/>
    <mergeCell ref="BR24:BS24"/>
    <mergeCell ref="BT24:BU24"/>
    <mergeCell ref="BV24:BW24"/>
    <mergeCell ref="BX24:BY24"/>
    <mergeCell ref="BZ24:CA24"/>
    <mergeCell ref="CB24:CC24"/>
    <mergeCell ref="CD24:CE24"/>
    <mergeCell ref="CF24:CG24"/>
    <mergeCell ref="CH24:CI24"/>
    <mergeCell ref="CL24:CM24"/>
    <mergeCell ref="CN24:CO24"/>
    <mergeCell ref="CP24:CQ24"/>
    <mergeCell ref="CR24:CS24"/>
    <mergeCell ref="CT24:CU24"/>
    <mergeCell ref="CV24:CW24"/>
    <mergeCell ref="CX24:CY24"/>
    <mergeCell ref="CZ24:DA24"/>
    <mergeCell ref="DB24:DC24"/>
    <mergeCell ref="DH24:DI24"/>
    <mergeCell ref="DJ24:DK24"/>
    <mergeCell ref="DL24:DM24"/>
    <mergeCell ref="DN24:DO24"/>
    <mergeCell ref="DP24:DQ24"/>
    <mergeCell ref="DR24:DS24"/>
    <mergeCell ref="DT24:DU24"/>
    <mergeCell ref="DV24:DW24"/>
    <mergeCell ref="DX24:DY24"/>
    <mergeCell ref="DZ24:EA24"/>
    <mergeCell ref="EB24:EC24"/>
    <mergeCell ref="ED24:EE24"/>
    <mergeCell ref="EF24:EG24"/>
    <mergeCell ref="EN24:EO24"/>
    <mergeCell ref="EP24:EQ24"/>
    <mergeCell ref="ER24:ES24"/>
    <mergeCell ref="ET24:EU24"/>
    <mergeCell ref="EV24:EW24"/>
    <mergeCell ref="EX24:EY24"/>
    <mergeCell ref="EZ24:FA24"/>
    <mergeCell ref="FB24:FC24"/>
    <mergeCell ref="FD24:FE24"/>
    <mergeCell ref="FF24:FG24"/>
    <mergeCell ref="FP24:FQ24"/>
    <mergeCell ref="FR24:FS24"/>
    <mergeCell ref="FT24:FU24"/>
    <mergeCell ref="FV24:FW24"/>
    <mergeCell ref="FX24:FY24"/>
    <mergeCell ref="GF24:GG24"/>
    <mergeCell ref="GH24:GI24"/>
    <mergeCell ref="GJ24:GK24"/>
    <mergeCell ref="GP24:GQ24"/>
    <mergeCell ref="GR24:GS24"/>
    <mergeCell ref="GT24:GU24"/>
    <mergeCell ref="GV24:GW24"/>
    <mergeCell ref="GX24:GY24"/>
    <mergeCell ref="GZ24:HA24"/>
    <mergeCell ref="HB24:HC24"/>
    <mergeCell ref="HD24:HE24"/>
    <mergeCell ref="HF24:HG24"/>
    <mergeCell ref="HH24:HI24"/>
    <mergeCell ref="HJ24:HK24"/>
    <mergeCell ref="HL24:HM24"/>
    <mergeCell ref="HN24:HO24"/>
    <mergeCell ref="HP24:HQ24"/>
    <mergeCell ref="HR24:HS24"/>
    <mergeCell ref="HT24:HU24"/>
    <mergeCell ref="HV24:HW24"/>
    <mergeCell ref="HX24:HY24"/>
    <mergeCell ref="HZ24:IA24"/>
    <mergeCell ref="IB24:IC24"/>
    <mergeCell ref="ID24:IE24"/>
    <mergeCell ref="IF24:IG24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W25"/>
    <mergeCell ref="AX25:AY25"/>
    <mergeCell ref="AZ25:BA25"/>
    <mergeCell ref="BB25:BC25"/>
    <mergeCell ref="BD25:BE25"/>
    <mergeCell ref="BF25:BG25"/>
    <mergeCell ref="BH25:BI25"/>
    <mergeCell ref="BJ25:BK25"/>
    <mergeCell ref="BL25:BM25"/>
    <mergeCell ref="BN25:BO25"/>
    <mergeCell ref="BP25:BQ25"/>
    <mergeCell ref="BR25:BS25"/>
    <mergeCell ref="BT25:BU25"/>
    <mergeCell ref="BV25:BW25"/>
    <mergeCell ref="BX25:BY25"/>
    <mergeCell ref="BZ25:CA25"/>
    <mergeCell ref="CB25:CC25"/>
    <mergeCell ref="CD25:CE25"/>
    <mergeCell ref="CF25:CG25"/>
    <mergeCell ref="CH25:CI25"/>
    <mergeCell ref="CJ25:CK25"/>
    <mergeCell ref="CL25:CM25"/>
    <mergeCell ref="CN25:CO25"/>
    <mergeCell ref="CP25:CQ25"/>
    <mergeCell ref="CR25:CS25"/>
    <mergeCell ref="CT25:CU25"/>
    <mergeCell ref="CV25:CW25"/>
    <mergeCell ref="CX25:CY25"/>
    <mergeCell ref="CZ25:DA25"/>
    <mergeCell ref="DB25:DC25"/>
    <mergeCell ref="DH25:DI25"/>
    <mergeCell ref="DJ25:DK25"/>
    <mergeCell ref="DL25:DM25"/>
    <mergeCell ref="DN25:DO25"/>
    <mergeCell ref="DP25:DQ25"/>
    <mergeCell ref="DR25:DS25"/>
    <mergeCell ref="DT25:DU25"/>
    <mergeCell ref="DV25:DW25"/>
    <mergeCell ref="DX25:DY25"/>
    <mergeCell ref="DZ25:EA25"/>
    <mergeCell ref="EB25:EC25"/>
    <mergeCell ref="ED25:EE25"/>
    <mergeCell ref="EF25:EG25"/>
    <mergeCell ref="EH25:EI25"/>
    <mergeCell ref="EJ25:EK25"/>
    <mergeCell ref="EL25:EM25"/>
    <mergeCell ref="EN25:EO25"/>
    <mergeCell ref="EP25:EQ25"/>
    <mergeCell ref="ER25:ES25"/>
    <mergeCell ref="ET25:EU25"/>
    <mergeCell ref="EV25:EW25"/>
    <mergeCell ref="EX25:EY25"/>
    <mergeCell ref="EZ25:FA25"/>
    <mergeCell ref="FB25:FC25"/>
    <mergeCell ref="FD25:FE25"/>
    <mergeCell ref="FF25:FG25"/>
    <mergeCell ref="FH25:FI25"/>
    <mergeCell ref="FJ25:FK25"/>
    <mergeCell ref="FL25:FM25"/>
    <mergeCell ref="FN25:FO25"/>
    <mergeCell ref="FP25:FQ25"/>
    <mergeCell ref="FR25:FS25"/>
    <mergeCell ref="FT25:FU25"/>
    <mergeCell ref="FV25:FW25"/>
    <mergeCell ref="FX25:FY25"/>
    <mergeCell ref="FZ25:GA25"/>
    <mergeCell ref="GB25:GC25"/>
    <mergeCell ref="GD25:GE25"/>
    <mergeCell ref="GF25:GG25"/>
    <mergeCell ref="GH25:GI25"/>
    <mergeCell ref="GJ25:GK25"/>
    <mergeCell ref="GL25:GM25"/>
    <mergeCell ref="GN25:GO25"/>
    <mergeCell ref="GP25:GQ25"/>
    <mergeCell ref="GR25:GS25"/>
    <mergeCell ref="GT25:GU25"/>
    <mergeCell ref="GV25:GW25"/>
    <mergeCell ref="GX25:GY25"/>
    <mergeCell ref="GZ25:HA25"/>
    <mergeCell ref="HB25:HC25"/>
    <mergeCell ref="HD25:HE25"/>
    <mergeCell ref="A26:A28"/>
    <mergeCell ref="B26:B28"/>
    <mergeCell ref="C26:C28"/>
    <mergeCell ref="D26:D28"/>
    <mergeCell ref="F27:AW27"/>
    <mergeCell ref="AX27:AY27"/>
    <mergeCell ref="AZ27:BA27"/>
    <mergeCell ref="BB27:BC27"/>
    <mergeCell ref="BD27:BE27"/>
    <mergeCell ref="BF27:BG27"/>
    <mergeCell ref="BH27:BI27"/>
    <mergeCell ref="BJ27:BK27"/>
    <mergeCell ref="BL27:BM27"/>
    <mergeCell ref="BN27:BO27"/>
    <mergeCell ref="BP27:BQ27"/>
    <mergeCell ref="BR27:BS27"/>
    <mergeCell ref="BT27:BU27"/>
    <mergeCell ref="BV27:BW27"/>
    <mergeCell ref="BX27:BY27"/>
    <mergeCell ref="BZ27:CA27"/>
    <mergeCell ref="CB27:CC27"/>
    <mergeCell ref="CD27:CE27"/>
    <mergeCell ref="CF27:CG27"/>
    <mergeCell ref="CH27:CI27"/>
    <mergeCell ref="CJ27:CK27"/>
    <mergeCell ref="CN27:CO27"/>
    <mergeCell ref="CP27:CQ27"/>
    <mergeCell ref="CR27:CS27"/>
    <mergeCell ref="CT27:CU27"/>
    <mergeCell ref="CV27:CW27"/>
    <mergeCell ref="CX27:CY27"/>
    <mergeCell ref="CZ27:DA27"/>
    <mergeCell ref="DB27:DC27"/>
    <mergeCell ref="DH27:DI27"/>
    <mergeCell ref="DJ27:DK27"/>
    <mergeCell ref="DL27:DM27"/>
    <mergeCell ref="DN27:DO27"/>
    <mergeCell ref="DP27:DQ27"/>
    <mergeCell ref="DR27:DS27"/>
    <mergeCell ref="DT27:DU27"/>
    <mergeCell ref="DV27:DW27"/>
    <mergeCell ref="EF27:EG27"/>
    <mergeCell ref="EH27:EI27"/>
    <mergeCell ref="EJ27:EK27"/>
    <mergeCell ref="EL27:EM27"/>
    <mergeCell ref="EN27:EO27"/>
    <mergeCell ref="EP27:EQ27"/>
    <mergeCell ref="ER27:ES27"/>
    <mergeCell ref="EV27:EW27"/>
    <mergeCell ref="EX27:EY27"/>
    <mergeCell ref="EZ27:FA27"/>
    <mergeCell ref="FB27:FC27"/>
    <mergeCell ref="FD27:FE27"/>
    <mergeCell ref="FF27:FG27"/>
    <mergeCell ref="FH27:FI27"/>
    <mergeCell ref="FJ27:FK27"/>
    <mergeCell ref="FL27:FM27"/>
    <mergeCell ref="FN27:FO27"/>
    <mergeCell ref="FP27:FQ27"/>
    <mergeCell ref="FR27:FS27"/>
    <mergeCell ref="FT27:FU27"/>
    <mergeCell ref="FX27:FY27"/>
    <mergeCell ref="FZ27:GA27"/>
    <mergeCell ref="GF27:GG27"/>
    <mergeCell ref="GH27:GI27"/>
    <mergeCell ref="GJ27:GK27"/>
    <mergeCell ref="GR27:GS27"/>
    <mergeCell ref="GT27:GU27"/>
    <mergeCell ref="GV27:GW27"/>
    <mergeCell ref="GX27:GY27"/>
    <mergeCell ref="GZ27:HA27"/>
    <mergeCell ref="HB27:HC27"/>
    <mergeCell ref="HD27:HE27"/>
    <mergeCell ref="HF27:HG27"/>
    <mergeCell ref="HH27:HI27"/>
    <mergeCell ref="HJ27:HK27"/>
    <mergeCell ref="HL27:HM27"/>
    <mergeCell ref="HN27:HO27"/>
    <mergeCell ref="HP27:HQ27"/>
    <mergeCell ref="HR27:HS27"/>
    <mergeCell ref="HT27:HU27"/>
    <mergeCell ref="HV27:HW27"/>
    <mergeCell ref="HX27:HY27"/>
    <mergeCell ref="HZ27:IA27"/>
    <mergeCell ref="IB27:IC27"/>
    <mergeCell ref="ID27:IE27"/>
    <mergeCell ref="IF27:IG27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W28"/>
    <mergeCell ref="AX28:AY28"/>
    <mergeCell ref="AZ28:BA28"/>
    <mergeCell ref="BB28:BC28"/>
    <mergeCell ref="BD28:BE28"/>
    <mergeCell ref="BF28:BG28"/>
    <mergeCell ref="BH28:BI28"/>
    <mergeCell ref="BJ28:BK28"/>
    <mergeCell ref="BL28:BM28"/>
    <mergeCell ref="BN28:BO28"/>
    <mergeCell ref="BP28:BQ28"/>
    <mergeCell ref="BR28:BS28"/>
    <mergeCell ref="BT28:BU28"/>
    <mergeCell ref="BV28:BW28"/>
    <mergeCell ref="BX28:BY28"/>
    <mergeCell ref="BZ28:CA28"/>
    <mergeCell ref="CB28:CC28"/>
    <mergeCell ref="CD28:CE28"/>
    <mergeCell ref="CF28:CG28"/>
    <mergeCell ref="CH28:CI28"/>
    <mergeCell ref="CJ28:CK28"/>
    <mergeCell ref="CL28:CM28"/>
    <mergeCell ref="CN28:CO28"/>
    <mergeCell ref="CP28:CQ28"/>
    <mergeCell ref="CR28:CS28"/>
    <mergeCell ref="CT28:CU28"/>
    <mergeCell ref="CV28:CW28"/>
    <mergeCell ref="CX28:CY28"/>
    <mergeCell ref="CZ28:DA28"/>
    <mergeCell ref="DB28:DC28"/>
    <mergeCell ref="DH28:DI28"/>
    <mergeCell ref="DJ28:DK28"/>
    <mergeCell ref="DL28:DM28"/>
    <mergeCell ref="DN28:DO28"/>
    <mergeCell ref="DP28:DQ28"/>
    <mergeCell ref="DR28:DS28"/>
    <mergeCell ref="DT28:DU28"/>
    <mergeCell ref="DV28:DW28"/>
    <mergeCell ref="DX28:DY28"/>
    <mergeCell ref="DZ28:EA28"/>
    <mergeCell ref="EB28:EC28"/>
    <mergeCell ref="ED28:EE28"/>
    <mergeCell ref="EF28:EG28"/>
    <mergeCell ref="EH28:EI28"/>
    <mergeCell ref="EJ28:EK28"/>
    <mergeCell ref="EL28:EM28"/>
    <mergeCell ref="EN28:EO28"/>
    <mergeCell ref="EP28:EQ28"/>
    <mergeCell ref="ER28:ES28"/>
    <mergeCell ref="ET28:EU28"/>
    <mergeCell ref="EV28:EW28"/>
    <mergeCell ref="EX28:EY28"/>
    <mergeCell ref="EZ28:FA28"/>
    <mergeCell ref="FB28:FC28"/>
    <mergeCell ref="FD28:FE28"/>
    <mergeCell ref="FF28:FG28"/>
    <mergeCell ref="FH28:FI28"/>
    <mergeCell ref="FJ28:FK28"/>
    <mergeCell ref="FL28:FM28"/>
    <mergeCell ref="FN28:FO28"/>
    <mergeCell ref="FP28:FQ28"/>
    <mergeCell ref="FR28:FS28"/>
    <mergeCell ref="FT28:FU28"/>
    <mergeCell ref="FV28:FW28"/>
    <mergeCell ref="FX28:FY28"/>
    <mergeCell ref="FZ28:GA28"/>
    <mergeCell ref="GB28:GC28"/>
    <mergeCell ref="GD28:GE28"/>
    <mergeCell ref="GF28:GG28"/>
    <mergeCell ref="GH28:GI28"/>
    <mergeCell ref="GJ28:GK28"/>
    <mergeCell ref="GL28:GM28"/>
    <mergeCell ref="GN28:GO28"/>
    <mergeCell ref="GP28:GQ28"/>
    <mergeCell ref="GR28:GS28"/>
    <mergeCell ref="GT28:GU28"/>
    <mergeCell ref="GV28:GW28"/>
    <mergeCell ref="GX28:GY28"/>
    <mergeCell ref="GZ28:HA28"/>
    <mergeCell ref="HB28:HC28"/>
    <mergeCell ref="HD28:HE28"/>
    <mergeCell ref="B30:D30"/>
    <mergeCell ref="F30:M30"/>
    <mergeCell ref="N30:U30"/>
    <mergeCell ref="V30:AC30"/>
    <mergeCell ref="AD30:AM30"/>
    <mergeCell ref="AN30:AU30"/>
    <mergeCell ref="AV30:BC30"/>
    <mergeCell ref="BD30:BM30"/>
    <mergeCell ref="BN30:BU30"/>
    <mergeCell ref="BV30:CC30"/>
    <mergeCell ref="CD30:CK30"/>
    <mergeCell ref="CL30:CS30"/>
    <mergeCell ref="CT30:DC30"/>
    <mergeCell ref="DE30:DF30"/>
    <mergeCell ref="DH30:DO30"/>
    <mergeCell ref="DP30:DW30"/>
    <mergeCell ref="DX30:EE30"/>
    <mergeCell ref="EF30:EO30"/>
    <mergeCell ref="EP30:EW30"/>
    <mergeCell ref="EX30:FE30"/>
    <mergeCell ref="FF30:FO30"/>
    <mergeCell ref="FP30:FW30"/>
    <mergeCell ref="FX30:GE30"/>
    <mergeCell ref="GF30:GM30"/>
    <mergeCell ref="GN30:GU30"/>
    <mergeCell ref="GV30:HE30"/>
    <mergeCell ref="HG30:HH30"/>
    <mergeCell ref="B31:D31"/>
    <mergeCell ref="F31:M31"/>
    <mergeCell ref="N31:U31"/>
    <mergeCell ref="V31:AC31"/>
    <mergeCell ref="AD31:AM31"/>
    <mergeCell ref="AN31:AU31"/>
    <mergeCell ref="AV31:BC31"/>
    <mergeCell ref="BD31:BM31"/>
    <mergeCell ref="BN31:BU31"/>
    <mergeCell ref="BV31:CC31"/>
    <mergeCell ref="CD31:CK31"/>
    <mergeCell ref="CL31:CS31"/>
    <mergeCell ref="CT31:DC31"/>
    <mergeCell ref="DH31:DO31"/>
    <mergeCell ref="DP31:DW31"/>
    <mergeCell ref="DX31:EE31"/>
    <mergeCell ref="EF31:EO31"/>
    <mergeCell ref="EP31:EW31"/>
    <mergeCell ref="EX31:FE31"/>
    <mergeCell ref="FF31:FO31"/>
    <mergeCell ref="FP31:FW31"/>
    <mergeCell ref="FX31:GE31"/>
    <mergeCell ref="GF31:GM31"/>
    <mergeCell ref="GN31:GU31"/>
    <mergeCell ref="GV31:HE31"/>
    <mergeCell ref="B32:D32"/>
    <mergeCell ref="F32:M32"/>
    <mergeCell ref="N32:U32"/>
    <mergeCell ref="V32:AC32"/>
    <mergeCell ref="AD32:AM32"/>
    <mergeCell ref="AN32:AU32"/>
    <mergeCell ref="AV32:BC32"/>
    <mergeCell ref="BD32:BM32"/>
    <mergeCell ref="BN32:BU32"/>
    <mergeCell ref="BV32:CC32"/>
    <mergeCell ref="CD32:CK32"/>
    <mergeCell ref="CL32:CS32"/>
    <mergeCell ref="CT32:DC32"/>
    <mergeCell ref="DE32:DF32"/>
    <mergeCell ref="DH32:DO32"/>
    <mergeCell ref="DP32:DW32"/>
    <mergeCell ref="DX32:EE32"/>
    <mergeCell ref="EF32:EO32"/>
    <mergeCell ref="EP32:EW32"/>
    <mergeCell ref="EX32:FE32"/>
    <mergeCell ref="FF32:FO32"/>
    <mergeCell ref="FP32:FW32"/>
    <mergeCell ref="FX32:GE32"/>
    <mergeCell ref="GF32:GM32"/>
    <mergeCell ref="GN32:GU32"/>
    <mergeCell ref="GV32:HE32"/>
    <mergeCell ref="HG32:HH32"/>
    <mergeCell ref="B33:E33"/>
    <mergeCell ref="DH33:DO33"/>
    <mergeCell ref="B34:D34"/>
    <mergeCell ref="F34:M34"/>
    <mergeCell ref="N34:U34"/>
    <mergeCell ref="V34:AC34"/>
    <mergeCell ref="AD34:AM34"/>
    <mergeCell ref="AN34:AU34"/>
    <mergeCell ref="AV34:BC34"/>
    <mergeCell ref="BD34:BM34"/>
    <mergeCell ref="BN34:BU34"/>
    <mergeCell ref="BV34:CC34"/>
    <mergeCell ref="CD34:CK34"/>
    <mergeCell ref="CL34:CS34"/>
    <mergeCell ref="CT34:DC34"/>
    <mergeCell ref="DE34:DF34"/>
    <mergeCell ref="DH34:DO34"/>
    <mergeCell ref="DP34:DW34"/>
    <mergeCell ref="DX34:EE34"/>
    <mergeCell ref="EF34:EO34"/>
    <mergeCell ref="EP34:EW34"/>
    <mergeCell ref="EX34:FE34"/>
    <mergeCell ref="FF34:FO34"/>
    <mergeCell ref="FP34:FW34"/>
    <mergeCell ref="FX34:GE34"/>
    <mergeCell ref="GF34:GM34"/>
    <mergeCell ref="GN34:GU34"/>
    <mergeCell ref="GV34:HE34"/>
    <mergeCell ref="HG34:HH34"/>
    <mergeCell ref="B35:D35"/>
    <mergeCell ref="F35:M35"/>
    <mergeCell ref="N35:U35"/>
    <mergeCell ref="V35:AC35"/>
    <mergeCell ref="AD35:AM35"/>
    <mergeCell ref="AN35:AU35"/>
    <mergeCell ref="AV35:BC35"/>
    <mergeCell ref="BD35:BM35"/>
    <mergeCell ref="BN35:BU35"/>
    <mergeCell ref="BV35:CC35"/>
    <mergeCell ref="CD35:CK35"/>
    <mergeCell ref="CL35:CS35"/>
    <mergeCell ref="CT35:DC35"/>
    <mergeCell ref="DH35:DO35"/>
    <mergeCell ref="DP35:DW35"/>
    <mergeCell ref="DX35:EE35"/>
    <mergeCell ref="EF35:EO35"/>
    <mergeCell ref="EP35:EW35"/>
    <mergeCell ref="EX35:FE35"/>
    <mergeCell ref="FF35:FO35"/>
    <mergeCell ref="FP35:FW35"/>
    <mergeCell ref="FX35:GE35"/>
    <mergeCell ref="GF35:GM35"/>
    <mergeCell ref="GN35:GU35"/>
    <mergeCell ref="GV35:HE35"/>
    <mergeCell ref="B36:D36"/>
    <mergeCell ref="F36:M36"/>
    <mergeCell ref="N36:U36"/>
    <mergeCell ref="V36:AC36"/>
    <mergeCell ref="AD36:AM36"/>
    <mergeCell ref="AN36:AU36"/>
    <mergeCell ref="AV36:BC36"/>
    <mergeCell ref="BD36:BM36"/>
    <mergeCell ref="BN36:BU36"/>
    <mergeCell ref="BV36:CC36"/>
    <mergeCell ref="CD36:CK36"/>
    <mergeCell ref="CL36:CS36"/>
    <mergeCell ref="CT36:DC36"/>
    <mergeCell ref="DE36:DF36"/>
    <mergeCell ref="DH36:DO36"/>
    <mergeCell ref="DP36:DW36"/>
    <mergeCell ref="DX36:EE36"/>
    <mergeCell ref="EF36:EO36"/>
    <mergeCell ref="EP36:EW36"/>
    <mergeCell ref="EX36:FE36"/>
    <mergeCell ref="FF36:FO36"/>
    <mergeCell ref="FP36:FW36"/>
    <mergeCell ref="FX36:GE36"/>
    <mergeCell ref="GF36:GM36"/>
    <mergeCell ref="GN36:GU36"/>
    <mergeCell ref="GV36:HE36"/>
    <mergeCell ref="HG36:HH36"/>
    <mergeCell ref="DE37:DG37"/>
    <mergeCell ref="HG37:HI37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5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29.29"/>
    <col collapsed="false" customWidth="true" hidden="false" outlineLevel="0" max="2" min="2" style="0" width="43.43"/>
    <col collapsed="false" customWidth="true" hidden="false" outlineLevel="0" max="3" min="3" style="0" width="22.71"/>
    <col collapsed="false" customWidth="true" hidden="false" outlineLevel="0" max="4" min="4" style="0" width="20.13"/>
    <col collapsed="false" customWidth="true" hidden="false" outlineLevel="0" max="5" min="5" style="0" width="21.86"/>
    <col collapsed="false" customWidth="true" hidden="false" outlineLevel="0" max="6" min="6" style="0" width="30.13"/>
    <col collapsed="false" customWidth="true" hidden="false" outlineLevel="0" max="7" min="7" style="0" width="34.13"/>
    <col collapsed="false" customWidth="true" hidden="false" outlineLevel="0" max="8" min="8" style="0" width="35"/>
    <col collapsed="false" customWidth="true" hidden="false" outlineLevel="0" max="9" min="9" style="0" width="29.13"/>
    <col collapsed="false" customWidth="true" hidden="false" outlineLevel="0" max="26" min="10" style="0" width="15.57"/>
    <col collapsed="false" customWidth="true" hidden="false" outlineLevel="0" max="1025" min="27" style="0" width="14.42"/>
  </cols>
  <sheetData>
    <row r="1" customFormat="false" ht="24" hidden="false" customHeight="true" outlineLevel="0" collapsed="false">
      <c r="A1" s="148" t="s">
        <v>219</v>
      </c>
      <c r="B1" s="148"/>
      <c r="C1" s="148"/>
      <c r="D1" s="148"/>
      <c r="E1" s="148"/>
      <c r="F1" s="148"/>
      <c r="G1" s="148"/>
      <c r="H1" s="148"/>
      <c r="I1" s="148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</row>
    <row r="2" customFormat="false" ht="22.5" hidden="false" customHeight="true" outlineLevel="0" collapsed="false">
      <c r="A2" s="150" t="s">
        <v>220</v>
      </c>
      <c r="B2" s="150"/>
      <c r="C2" s="150"/>
      <c r="D2" s="150"/>
      <c r="E2" s="150"/>
      <c r="F2" s="150"/>
      <c r="G2" s="150"/>
      <c r="H2" s="150"/>
      <c r="I2" s="150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</row>
    <row r="3" customFormat="false" ht="25.5" hidden="false" customHeight="true" outlineLevel="0" collapsed="false">
      <c r="A3" s="150" t="s">
        <v>221</v>
      </c>
      <c r="B3" s="150"/>
      <c r="C3" s="150"/>
      <c r="D3" s="150"/>
      <c r="E3" s="150"/>
      <c r="F3" s="150"/>
      <c r="G3" s="150"/>
      <c r="H3" s="150"/>
      <c r="I3" s="150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</row>
    <row r="4" customFormat="false" ht="15" hidden="false" customHeight="false" outlineLevel="0" collapsed="false">
      <c r="A4" s="151" t="s">
        <v>222</v>
      </c>
      <c r="B4" s="152" t="s">
        <v>223</v>
      </c>
      <c r="C4" s="151" t="s">
        <v>224</v>
      </c>
      <c r="D4" s="153" t="s">
        <v>225</v>
      </c>
      <c r="E4" s="151" t="s">
        <v>226</v>
      </c>
      <c r="F4" s="151" t="s">
        <v>227</v>
      </c>
      <c r="G4" s="154" t="s">
        <v>228</v>
      </c>
      <c r="H4" s="155" t="s">
        <v>229</v>
      </c>
      <c r="I4" s="151" t="s">
        <v>230</v>
      </c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</row>
    <row r="5" customFormat="false" ht="15.75" hidden="false" customHeight="true" outlineLevel="0" collapsed="false">
      <c r="A5" s="156" t="s">
        <v>231</v>
      </c>
      <c r="B5" s="157" t="s">
        <v>232</v>
      </c>
      <c r="C5" s="158" t="n">
        <v>3044000</v>
      </c>
      <c r="D5" s="159" t="s">
        <v>233</v>
      </c>
      <c r="E5" s="158" t="n">
        <v>2702</v>
      </c>
      <c r="F5" s="160" t="s">
        <v>234</v>
      </c>
      <c r="G5" s="161"/>
      <c r="H5" s="162"/>
      <c r="I5" s="157" t="s">
        <v>235</v>
      </c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  <c r="Z5" s="149"/>
    </row>
    <row r="6" customFormat="false" ht="15.75" hidden="false" customHeight="true" outlineLevel="0" collapsed="false">
      <c r="A6" s="156"/>
      <c r="B6" s="163" t="s">
        <v>236</v>
      </c>
      <c r="C6" s="164" t="s">
        <v>237</v>
      </c>
      <c r="D6" s="159" t="n">
        <v>1910</v>
      </c>
      <c r="E6" s="158" t="n">
        <v>2702</v>
      </c>
      <c r="F6" s="165" t="s">
        <v>238</v>
      </c>
      <c r="G6" s="166"/>
      <c r="H6" s="167"/>
      <c r="I6" s="157" t="s">
        <v>239</v>
      </c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</row>
    <row r="7" customFormat="false" ht="15.75" hidden="false" customHeight="true" outlineLevel="0" collapsed="false">
      <c r="A7" s="156"/>
      <c r="B7" s="163" t="s">
        <v>240</v>
      </c>
      <c r="C7" s="164" t="s">
        <v>241</v>
      </c>
      <c r="D7" s="166" t="s">
        <v>242</v>
      </c>
      <c r="E7" s="158" t="n">
        <v>2702</v>
      </c>
      <c r="F7" s="165" t="s">
        <v>243</v>
      </c>
      <c r="G7" s="166"/>
      <c r="H7" s="167"/>
      <c r="I7" s="157" t="s">
        <v>244</v>
      </c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</row>
    <row r="8" customFormat="false" ht="15.75" hidden="false" customHeight="true" outlineLevel="0" collapsed="false">
      <c r="A8" s="156"/>
      <c r="B8" s="163" t="s">
        <v>245</v>
      </c>
      <c r="C8" s="164" t="s">
        <v>246</v>
      </c>
      <c r="D8" s="159" t="s">
        <v>247</v>
      </c>
      <c r="E8" s="158" t="n">
        <v>2702</v>
      </c>
      <c r="F8" s="165" t="s">
        <v>248</v>
      </c>
      <c r="G8" s="166"/>
      <c r="H8" s="167"/>
      <c r="I8" s="157" t="s">
        <v>249</v>
      </c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</row>
    <row r="9" customFormat="false" ht="15.75" hidden="false" customHeight="true" outlineLevel="0" collapsed="false">
      <c r="A9" s="156"/>
      <c r="B9" s="163" t="s">
        <v>250</v>
      </c>
      <c r="C9" s="164" t="s">
        <v>251</v>
      </c>
      <c r="D9" s="159" t="n">
        <v>10407543</v>
      </c>
      <c r="E9" s="158" t="n">
        <v>2702</v>
      </c>
      <c r="F9" s="165" t="s">
        <v>238</v>
      </c>
      <c r="G9" s="166"/>
      <c r="H9" s="167"/>
      <c r="I9" s="157" t="s">
        <v>239</v>
      </c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</row>
    <row r="10" customFormat="false" ht="15.75" hidden="false" customHeight="true" outlineLevel="0" collapsed="false">
      <c r="A10" s="156"/>
      <c r="B10" s="163" t="s">
        <v>252</v>
      </c>
      <c r="C10" s="164" t="s">
        <v>253</v>
      </c>
      <c r="D10" s="159" t="n">
        <v>4878</v>
      </c>
      <c r="E10" s="158" t="n">
        <v>2702</v>
      </c>
      <c r="F10" s="165" t="s">
        <v>254</v>
      </c>
      <c r="G10" s="166"/>
      <c r="H10" s="167"/>
      <c r="I10" s="157" t="s">
        <v>239</v>
      </c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</row>
    <row r="11" customFormat="false" ht="15.75" hidden="false" customHeight="true" outlineLevel="0" collapsed="false">
      <c r="A11" s="156"/>
      <c r="B11" s="163" t="s">
        <v>255</v>
      </c>
      <c r="C11" s="164" t="s">
        <v>256</v>
      </c>
      <c r="D11" s="159" t="s">
        <v>257</v>
      </c>
      <c r="E11" s="158" t="n">
        <v>2702</v>
      </c>
      <c r="F11" s="165" t="s">
        <v>258</v>
      </c>
      <c r="G11" s="166"/>
      <c r="H11" s="167"/>
      <c r="I11" s="157" t="s">
        <v>244</v>
      </c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</row>
    <row r="12" customFormat="false" ht="15.75" hidden="false" customHeight="true" outlineLevel="0" collapsed="false">
      <c r="A12" s="156"/>
      <c r="B12" s="163" t="s">
        <v>259</v>
      </c>
      <c r="C12" s="164" t="s">
        <v>260</v>
      </c>
      <c r="D12" s="159" t="s">
        <v>261</v>
      </c>
      <c r="E12" s="158" t="n">
        <v>2702</v>
      </c>
      <c r="F12" s="165" t="s">
        <v>258</v>
      </c>
      <c r="G12" s="166"/>
      <c r="H12" s="167"/>
      <c r="I12" s="157" t="s">
        <v>244</v>
      </c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</row>
    <row r="13" customFormat="false" ht="15.75" hidden="false" customHeight="true" outlineLevel="0" collapsed="false">
      <c r="A13" s="156"/>
      <c r="B13" s="163" t="s">
        <v>262</v>
      </c>
      <c r="C13" s="164" t="s">
        <v>263</v>
      </c>
      <c r="D13" s="166" t="s">
        <v>264</v>
      </c>
      <c r="E13" s="158" t="n">
        <v>2702</v>
      </c>
      <c r="F13" s="165" t="s">
        <v>265</v>
      </c>
      <c r="G13" s="166"/>
      <c r="H13" s="167"/>
      <c r="I13" s="157" t="s">
        <v>266</v>
      </c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</row>
    <row r="14" customFormat="false" ht="15.75" hidden="false" customHeight="true" outlineLevel="0" collapsed="false">
      <c r="A14" s="156"/>
      <c r="B14" s="163" t="s">
        <v>267</v>
      </c>
      <c r="C14" s="164" t="s">
        <v>268</v>
      </c>
      <c r="D14" s="159" t="s">
        <v>269</v>
      </c>
      <c r="E14" s="158" t="n">
        <v>2702</v>
      </c>
      <c r="F14" s="165" t="s">
        <v>270</v>
      </c>
      <c r="G14" s="166"/>
      <c r="H14" s="167"/>
      <c r="I14" s="157" t="s">
        <v>271</v>
      </c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</row>
    <row r="15" customFormat="false" ht="15.75" hidden="false" customHeight="true" outlineLevel="0" collapsed="false">
      <c r="A15" s="156"/>
      <c r="B15" s="163" t="s">
        <v>272</v>
      </c>
      <c r="C15" s="164" t="s">
        <v>273</v>
      </c>
      <c r="D15" s="159"/>
      <c r="E15" s="158" t="n">
        <v>2702</v>
      </c>
      <c r="F15" s="165" t="s">
        <v>274</v>
      </c>
      <c r="G15" s="166" t="s">
        <v>275</v>
      </c>
      <c r="H15" s="167"/>
      <c r="I15" s="158" t="s">
        <v>276</v>
      </c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</row>
    <row r="16" customFormat="false" ht="15.75" hidden="false" customHeight="true" outlineLevel="0" collapsed="false">
      <c r="A16" s="156"/>
      <c r="B16" s="163" t="s">
        <v>277</v>
      </c>
      <c r="C16" s="164" t="n">
        <v>3035302</v>
      </c>
      <c r="D16" s="159"/>
      <c r="E16" s="158" t="n">
        <v>2702</v>
      </c>
      <c r="F16" s="165"/>
      <c r="G16" s="166"/>
      <c r="H16" s="167"/>
      <c r="I16" s="158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</row>
    <row r="17" customFormat="false" ht="15.75" hidden="false" customHeight="true" outlineLevel="0" collapsed="false">
      <c r="A17" s="156"/>
      <c r="B17" s="163" t="s">
        <v>278</v>
      </c>
      <c r="C17" s="164" t="n">
        <v>3033736</v>
      </c>
      <c r="D17" s="159"/>
      <c r="E17" s="158" t="n">
        <v>2702</v>
      </c>
      <c r="F17" s="165"/>
      <c r="G17" s="166"/>
      <c r="H17" s="167"/>
      <c r="I17" s="158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</row>
    <row r="18" customFormat="false" ht="15.75" hidden="false" customHeight="true" outlineLevel="0" collapsed="false">
      <c r="A18" s="156"/>
      <c r="B18" s="163" t="s">
        <v>279</v>
      </c>
      <c r="C18" s="164" t="s">
        <v>280</v>
      </c>
      <c r="D18" s="159"/>
      <c r="E18" s="158" t="n">
        <v>2702</v>
      </c>
      <c r="F18" s="165" t="s">
        <v>281</v>
      </c>
      <c r="G18" s="166" t="s">
        <v>282</v>
      </c>
      <c r="H18" s="167"/>
      <c r="I18" s="158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</row>
    <row r="19" customFormat="false" ht="15.75" hidden="false" customHeight="true" outlineLevel="0" collapsed="false">
      <c r="A19" s="156"/>
      <c r="B19" s="163" t="s">
        <v>283</v>
      </c>
      <c r="C19" s="164" t="s">
        <v>284</v>
      </c>
      <c r="D19" s="159"/>
      <c r="E19" s="158" t="n">
        <v>2702</v>
      </c>
      <c r="F19" s="165"/>
      <c r="G19" s="166"/>
      <c r="H19" s="167"/>
      <c r="I19" s="158"/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</row>
    <row r="20" customFormat="false" ht="15.75" hidden="false" customHeight="true" outlineLevel="0" collapsed="false">
      <c r="A20" s="156"/>
      <c r="B20" s="163" t="s">
        <v>285</v>
      </c>
      <c r="C20" s="164" t="s">
        <v>286</v>
      </c>
      <c r="D20" s="159"/>
      <c r="E20" s="158" t="n">
        <v>2702</v>
      </c>
      <c r="F20" s="165" t="s">
        <v>287</v>
      </c>
      <c r="G20" s="166" t="s">
        <v>288</v>
      </c>
      <c r="H20" s="167"/>
      <c r="I20" s="158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</row>
    <row r="21" customFormat="false" ht="15.75" hidden="false" customHeight="true" outlineLevel="0" collapsed="false">
      <c r="A21" s="156"/>
      <c r="B21" s="163" t="s">
        <v>289</v>
      </c>
      <c r="C21" s="164" t="n">
        <v>3033737</v>
      </c>
      <c r="D21" s="159"/>
      <c r="E21" s="158" t="n">
        <v>2702</v>
      </c>
      <c r="F21" s="165"/>
      <c r="G21" s="166"/>
      <c r="H21" s="167"/>
      <c r="I21" s="158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</row>
    <row r="22" customFormat="false" ht="15.75" hidden="false" customHeight="true" outlineLevel="0" collapsed="false">
      <c r="A22" s="156"/>
      <c r="B22" s="163" t="s">
        <v>290</v>
      </c>
      <c r="C22" s="164" t="s">
        <v>291</v>
      </c>
      <c r="D22" s="159"/>
      <c r="E22" s="158" t="n">
        <v>2702</v>
      </c>
      <c r="F22" s="165" t="s">
        <v>292</v>
      </c>
      <c r="G22" s="166" t="s">
        <v>293</v>
      </c>
      <c r="H22" s="167"/>
      <c r="I22" s="158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</row>
    <row r="23" customFormat="false" ht="15.75" hidden="false" customHeight="true" outlineLevel="0" collapsed="false">
      <c r="A23" s="156"/>
      <c r="B23" s="163" t="s">
        <v>294</v>
      </c>
      <c r="C23" s="164" t="s">
        <v>295</v>
      </c>
      <c r="D23" s="159"/>
      <c r="E23" s="158" t="n">
        <v>2702</v>
      </c>
      <c r="F23" s="165"/>
      <c r="G23" s="166"/>
      <c r="H23" s="167"/>
      <c r="I23" s="158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</row>
    <row r="24" customFormat="false" ht="15.75" hidden="false" customHeight="true" outlineLevel="0" collapsed="false">
      <c r="A24" s="156"/>
      <c r="B24" s="163" t="s">
        <v>296</v>
      </c>
      <c r="C24" s="164" t="s">
        <v>297</v>
      </c>
      <c r="D24" s="159"/>
      <c r="E24" s="158" t="n">
        <v>2702</v>
      </c>
      <c r="F24" s="165" t="s">
        <v>298</v>
      </c>
      <c r="G24" s="166" t="s">
        <v>299</v>
      </c>
      <c r="H24" s="167"/>
      <c r="I24" s="158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</row>
    <row r="25" customFormat="false" ht="15.75" hidden="false" customHeight="true" outlineLevel="0" collapsed="false">
      <c r="A25" s="156"/>
      <c r="B25" s="163" t="s">
        <v>300</v>
      </c>
      <c r="C25" s="164" t="s">
        <v>297</v>
      </c>
      <c r="D25" s="159"/>
      <c r="E25" s="158" t="n">
        <v>2702</v>
      </c>
      <c r="F25" s="165" t="s">
        <v>301</v>
      </c>
      <c r="G25" s="166" t="s">
        <v>302</v>
      </c>
      <c r="H25" s="167"/>
      <c r="I25" s="158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Y25" s="149"/>
      <c r="Z25" s="149"/>
    </row>
    <row r="26" customFormat="false" ht="15.75" hidden="false" customHeight="true" outlineLevel="0" collapsed="false">
      <c r="A26" s="156"/>
      <c r="B26" s="157" t="s">
        <v>303</v>
      </c>
      <c r="C26" s="164" t="s">
        <v>304</v>
      </c>
      <c r="D26" s="159"/>
      <c r="E26" s="158" t="n">
        <v>2702</v>
      </c>
      <c r="F26" s="165" t="s">
        <v>305</v>
      </c>
      <c r="G26" s="166" t="s">
        <v>306</v>
      </c>
      <c r="H26" s="167"/>
      <c r="I26" s="158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</row>
    <row r="27" customFormat="false" ht="15.75" hidden="false" customHeight="true" outlineLevel="0" collapsed="false">
      <c r="A27" s="156"/>
      <c r="B27" s="157" t="s">
        <v>303</v>
      </c>
      <c r="C27" s="164" t="s">
        <v>307</v>
      </c>
      <c r="D27" s="159"/>
      <c r="E27" s="158" t="n">
        <v>2702</v>
      </c>
      <c r="F27" s="165" t="s">
        <v>305</v>
      </c>
      <c r="G27" s="166" t="s">
        <v>306</v>
      </c>
      <c r="H27" s="167"/>
      <c r="I27" s="158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</row>
    <row r="28" customFormat="false" ht="15.75" hidden="false" customHeight="true" outlineLevel="0" collapsed="false">
      <c r="A28" s="156"/>
      <c r="B28" s="157"/>
      <c r="C28" s="157"/>
      <c r="D28" s="157"/>
      <c r="E28" s="157"/>
      <c r="F28" s="157"/>
      <c r="G28" s="157"/>
      <c r="H28" s="157"/>
      <c r="I28" s="157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</row>
    <row r="29" customFormat="false" ht="15.75" hidden="false" customHeight="true" outlineLevel="0" collapsed="false">
      <c r="A29" s="156"/>
      <c r="B29" s="157" t="s">
        <v>232</v>
      </c>
      <c r="C29" s="158" t="s">
        <v>308</v>
      </c>
      <c r="D29" s="159" t="s">
        <v>309</v>
      </c>
      <c r="E29" s="158" t="n">
        <v>2703</v>
      </c>
      <c r="F29" s="168" t="s">
        <v>310</v>
      </c>
      <c r="G29" s="169" t="s">
        <v>311</v>
      </c>
      <c r="H29" s="170" t="s">
        <v>312</v>
      </c>
      <c r="I29" s="157" t="s">
        <v>313</v>
      </c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</row>
    <row r="30" customFormat="false" ht="15.75" hidden="false" customHeight="true" outlineLevel="0" collapsed="false">
      <c r="A30" s="156"/>
      <c r="B30" s="163" t="s">
        <v>236</v>
      </c>
      <c r="C30" s="164" t="s">
        <v>237</v>
      </c>
      <c r="D30" s="159" t="s">
        <v>314</v>
      </c>
      <c r="E30" s="158" t="n">
        <v>2703</v>
      </c>
      <c r="F30" s="165" t="s">
        <v>315</v>
      </c>
      <c r="G30" s="166"/>
      <c r="H30" s="167"/>
      <c r="I30" s="157" t="s">
        <v>239</v>
      </c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</row>
    <row r="31" customFormat="false" ht="15.75" hidden="false" customHeight="true" outlineLevel="0" collapsed="false">
      <c r="A31" s="156"/>
      <c r="B31" s="163" t="s">
        <v>240</v>
      </c>
      <c r="C31" s="164" t="n">
        <v>3034792</v>
      </c>
      <c r="D31" s="166" t="s">
        <v>316</v>
      </c>
      <c r="E31" s="158" t="n">
        <v>2703</v>
      </c>
      <c r="F31" s="165" t="s">
        <v>317</v>
      </c>
      <c r="G31" s="166"/>
      <c r="H31" s="167"/>
      <c r="I31" s="157" t="s">
        <v>244</v>
      </c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</row>
    <row r="32" customFormat="false" ht="15.75" hidden="false" customHeight="true" outlineLevel="0" collapsed="false">
      <c r="A32" s="156"/>
      <c r="B32" s="163" t="s">
        <v>245</v>
      </c>
      <c r="C32" s="164" t="s">
        <v>318</v>
      </c>
      <c r="D32" s="159" t="s">
        <v>319</v>
      </c>
      <c r="E32" s="158" t="n">
        <v>2703</v>
      </c>
      <c r="F32" s="165" t="s">
        <v>320</v>
      </c>
      <c r="G32" s="166" t="s">
        <v>321</v>
      </c>
      <c r="H32" s="167"/>
      <c r="I32" s="157" t="s">
        <v>249</v>
      </c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</row>
    <row r="33" customFormat="false" ht="15.75" hidden="false" customHeight="true" outlineLevel="0" collapsed="false">
      <c r="A33" s="156"/>
      <c r="B33" s="163" t="s">
        <v>250</v>
      </c>
      <c r="C33" s="164" t="s">
        <v>322</v>
      </c>
      <c r="D33" s="159" t="s">
        <v>323</v>
      </c>
      <c r="E33" s="158" t="n">
        <v>2703</v>
      </c>
      <c r="F33" s="165" t="s">
        <v>324</v>
      </c>
      <c r="G33" s="166"/>
      <c r="H33" s="167"/>
      <c r="I33" s="157" t="s">
        <v>239</v>
      </c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</row>
    <row r="34" customFormat="false" ht="15.75" hidden="false" customHeight="true" outlineLevel="0" collapsed="false">
      <c r="A34" s="156"/>
      <c r="B34" s="163" t="s">
        <v>252</v>
      </c>
      <c r="C34" s="164" t="s">
        <v>325</v>
      </c>
      <c r="D34" s="159" t="s">
        <v>326</v>
      </c>
      <c r="E34" s="158" t="n">
        <v>2703</v>
      </c>
      <c r="F34" s="165" t="s">
        <v>327</v>
      </c>
      <c r="G34" s="166"/>
      <c r="H34" s="167"/>
      <c r="I34" s="157" t="s">
        <v>239</v>
      </c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</row>
    <row r="35" customFormat="false" ht="15.75" hidden="false" customHeight="true" outlineLevel="0" collapsed="false">
      <c r="A35" s="156"/>
      <c r="B35" s="163" t="s">
        <v>255</v>
      </c>
      <c r="C35" s="164" t="s">
        <v>328</v>
      </c>
      <c r="D35" s="159" t="s">
        <v>329</v>
      </c>
      <c r="E35" s="158" t="n">
        <v>2703</v>
      </c>
      <c r="F35" s="165" t="s">
        <v>330</v>
      </c>
      <c r="G35" s="166"/>
      <c r="H35" s="167"/>
      <c r="I35" s="157" t="s">
        <v>244</v>
      </c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</row>
    <row r="36" customFormat="false" ht="15.75" hidden="false" customHeight="true" outlineLevel="0" collapsed="false">
      <c r="A36" s="156"/>
      <c r="B36" s="163" t="s">
        <v>259</v>
      </c>
      <c r="C36" s="164" t="s">
        <v>260</v>
      </c>
      <c r="D36" s="159" t="s">
        <v>331</v>
      </c>
      <c r="E36" s="158" t="n">
        <v>2703</v>
      </c>
      <c r="F36" s="165" t="s">
        <v>332</v>
      </c>
      <c r="G36" s="166"/>
      <c r="H36" s="167"/>
      <c r="I36" s="157" t="s">
        <v>244</v>
      </c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</row>
    <row r="37" customFormat="false" ht="15.75" hidden="false" customHeight="true" outlineLevel="0" collapsed="false">
      <c r="A37" s="156"/>
      <c r="B37" s="163" t="s">
        <v>262</v>
      </c>
      <c r="C37" s="164" t="s">
        <v>263</v>
      </c>
      <c r="D37" s="166" t="s">
        <v>333</v>
      </c>
      <c r="E37" s="158" t="n">
        <v>2703</v>
      </c>
      <c r="F37" s="165" t="s">
        <v>334</v>
      </c>
      <c r="G37" s="166" t="s">
        <v>335</v>
      </c>
      <c r="H37" s="167"/>
      <c r="I37" s="157" t="s">
        <v>266</v>
      </c>
      <c r="J37" s="149"/>
      <c r="K37" s="149"/>
      <c r="L37" s="149"/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</row>
    <row r="38" customFormat="false" ht="15.75" hidden="false" customHeight="true" outlineLevel="0" collapsed="false">
      <c r="A38" s="156"/>
      <c r="B38" s="163" t="s">
        <v>267</v>
      </c>
      <c r="C38" s="164" t="s">
        <v>336</v>
      </c>
      <c r="D38" s="159" t="s">
        <v>337</v>
      </c>
      <c r="E38" s="158" t="n">
        <v>2703</v>
      </c>
      <c r="F38" s="165" t="s">
        <v>338</v>
      </c>
      <c r="G38" s="166"/>
      <c r="H38" s="167"/>
      <c r="I38" s="157" t="s">
        <v>271</v>
      </c>
      <c r="J38" s="149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</row>
    <row r="39" customFormat="false" ht="15.75" hidden="false" customHeight="true" outlineLevel="0" collapsed="false">
      <c r="A39" s="156"/>
      <c r="B39" s="163" t="s">
        <v>272</v>
      </c>
      <c r="C39" s="164" t="s">
        <v>273</v>
      </c>
      <c r="D39" s="159"/>
      <c r="E39" s="158" t="n">
        <v>2703</v>
      </c>
      <c r="F39" s="165" t="s">
        <v>339</v>
      </c>
      <c r="G39" s="166" t="s">
        <v>340</v>
      </c>
      <c r="H39" s="167"/>
      <c r="I39" s="158" t="s">
        <v>276</v>
      </c>
      <c r="J39" s="149"/>
      <c r="K39" s="149"/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/>
    </row>
    <row r="40" customFormat="false" ht="15.75" hidden="false" customHeight="true" outlineLevel="0" collapsed="false">
      <c r="A40" s="156"/>
      <c r="B40" s="163" t="s">
        <v>277</v>
      </c>
      <c r="C40" s="164" t="n">
        <v>3035302</v>
      </c>
      <c r="D40" s="159"/>
      <c r="E40" s="158" t="n">
        <v>2703</v>
      </c>
      <c r="F40" s="165"/>
      <c r="G40" s="166"/>
      <c r="H40" s="167"/>
      <c r="I40" s="158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</row>
    <row r="41" customFormat="false" ht="15.75" hidden="false" customHeight="true" outlineLevel="0" collapsed="false">
      <c r="A41" s="156"/>
      <c r="B41" s="163" t="s">
        <v>278</v>
      </c>
      <c r="C41" s="164" t="n">
        <v>3033736</v>
      </c>
      <c r="D41" s="159"/>
      <c r="E41" s="158" t="n">
        <v>2703</v>
      </c>
      <c r="F41" s="165"/>
      <c r="G41" s="166"/>
      <c r="H41" s="167"/>
      <c r="I41" s="158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</row>
    <row r="42" customFormat="false" ht="15.75" hidden="false" customHeight="true" outlineLevel="0" collapsed="false">
      <c r="A42" s="156"/>
      <c r="B42" s="163" t="s">
        <v>279</v>
      </c>
      <c r="C42" s="164" t="s">
        <v>280</v>
      </c>
      <c r="D42" s="159"/>
      <c r="E42" s="158" t="n">
        <v>2703</v>
      </c>
      <c r="F42" s="165" t="s">
        <v>339</v>
      </c>
      <c r="G42" s="166" t="s">
        <v>340</v>
      </c>
      <c r="H42" s="167"/>
      <c r="I42" s="158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</row>
    <row r="43" customFormat="false" ht="15.75" hidden="false" customHeight="true" outlineLevel="0" collapsed="false">
      <c r="A43" s="156"/>
      <c r="B43" s="163" t="s">
        <v>283</v>
      </c>
      <c r="C43" s="164" t="s">
        <v>284</v>
      </c>
      <c r="D43" s="159"/>
      <c r="E43" s="158" t="n">
        <v>2703</v>
      </c>
      <c r="F43" s="165" t="s">
        <v>341</v>
      </c>
      <c r="G43" s="166" t="s">
        <v>342</v>
      </c>
      <c r="H43" s="167"/>
      <c r="I43" s="158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</row>
    <row r="44" customFormat="false" ht="15.75" hidden="false" customHeight="true" outlineLevel="0" collapsed="false">
      <c r="A44" s="156"/>
      <c r="B44" s="163" t="s">
        <v>285</v>
      </c>
      <c r="C44" s="164" t="s">
        <v>286</v>
      </c>
      <c r="D44" s="159"/>
      <c r="E44" s="158" t="n">
        <v>2703</v>
      </c>
      <c r="F44" s="165" t="s">
        <v>343</v>
      </c>
      <c r="G44" s="166" t="s">
        <v>344</v>
      </c>
      <c r="H44" s="167"/>
      <c r="I44" s="158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</row>
    <row r="45" customFormat="false" ht="15.75" hidden="false" customHeight="true" outlineLevel="0" collapsed="false">
      <c r="A45" s="156"/>
      <c r="B45" s="163" t="s">
        <v>289</v>
      </c>
      <c r="C45" s="164" t="n">
        <v>3033737</v>
      </c>
      <c r="D45" s="159"/>
      <c r="E45" s="158" t="n">
        <v>2703</v>
      </c>
      <c r="F45" s="165"/>
      <c r="G45" s="166"/>
      <c r="H45" s="167"/>
      <c r="I45" s="158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</row>
    <row r="46" customFormat="false" ht="15.75" hidden="false" customHeight="true" outlineLevel="0" collapsed="false">
      <c r="A46" s="156"/>
      <c r="B46" s="163" t="s">
        <v>290</v>
      </c>
      <c r="C46" s="164" t="s">
        <v>291</v>
      </c>
      <c r="D46" s="159"/>
      <c r="E46" s="158" t="n">
        <v>2703</v>
      </c>
      <c r="F46" s="165" t="s">
        <v>345</v>
      </c>
      <c r="G46" s="166" t="s">
        <v>293</v>
      </c>
      <c r="H46" s="167"/>
      <c r="I46" s="158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</row>
    <row r="47" customFormat="false" ht="15.75" hidden="false" customHeight="true" outlineLevel="0" collapsed="false">
      <c r="A47" s="156"/>
      <c r="B47" s="163" t="s">
        <v>294</v>
      </c>
      <c r="C47" s="164" t="s">
        <v>295</v>
      </c>
      <c r="D47" s="159"/>
      <c r="E47" s="158" t="n">
        <v>2703</v>
      </c>
      <c r="F47" s="165"/>
      <c r="G47" s="166"/>
      <c r="H47" s="167"/>
      <c r="I47" s="158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</row>
    <row r="48" customFormat="false" ht="15.75" hidden="false" customHeight="true" outlineLevel="0" collapsed="false">
      <c r="A48" s="156"/>
      <c r="B48" s="163" t="s">
        <v>296</v>
      </c>
      <c r="C48" s="164" t="s">
        <v>297</v>
      </c>
      <c r="D48" s="159"/>
      <c r="E48" s="158" t="n">
        <v>2703</v>
      </c>
      <c r="F48" s="165" t="s">
        <v>346</v>
      </c>
      <c r="G48" s="166" t="s">
        <v>347</v>
      </c>
      <c r="H48" s="167"/>
      <c r="I48" s="158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</row>
    <row r="49" customFormat="false" ht="15.75" hidden="false" customHeight="true" outlineLevel="0" collapsed="false">
      <c r="A49" s="156"/>
      <c r="B49" s="163" t="s">
        <v>300</v>
      </c>
      <c r="C49" s="164" t="s">
        <v>297</v>
      </c>
      <c r="D49" s="159"/>
      <c r="E49" s="158" t="n">
        <v>2703</v>
      </c>
      <c r="F49" s="165" t="s">
        <v>348</v>
      </c>
      <c r="G49" s="166" t="s">
        <v>302</v>
      </c>
      <c r="H49" s="167"/>
      <c r="I49" s="158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</row>
    <row r="50" customFormat="false" ht="15.75" hidden="false" customHeight="true" outlineLevel="0" collapsed="false">
      <c r="A50" s="156"/>
      <c r="B50" s="157" t="s">
        <v>303</v>
      </c>
      <c r="C50" s="164" t="s">
        <v>304</v>
      </c>
      <c r="D50" s="159"/>
      <c r="E50" s="158" t="n">
        <v>2703</v>
      </c>
      <c r="F50" s="165" t="s">
        <v>349</v>
      </c>
      <c r="G50" s="166" t="s">
        <v>350</v>
      </c>
      <c r="H50" s="167"/>
      <c r="I50" s="158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</row>
    <row r="51" customFormat="false" ht="15.75" hidden="false" customHeight="true" outlineLevel="0" collapsed="false">
      <c r="A51" s="156"/>
      <c r="B51" s="157" t="s">
        <v>303</v>
      </c>
      <c r="C51" s="164" t="s">
        <v>307</v>
      </c>
      <c r="D51" s="159"/>
      <c r="E51" s="158" t="n">
        <v>2703</v>
      </c>
      <c r="F51" s="165" t="s">
        <v>349</v>
      </c>
      <c r="G51" s="166" t="s">
        <v>350</v>
      </c>
      <c r="H51" s="167"/>
      <c r="I51" s="158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</row>
    <row r="52" customFormat="false" ht="15.75" hidden="false" customHeight="true" outlineLevel="0" collapsed="false">
      <c r="A52" s="156"/>
      <c r="B52" s="157"/>
      <c r="C52" s="157"/>
      <c r="D52" s="157"/>
      <c r="E52" s="157"/>
      <c r="F52" s="157"/>
      <c r="G52" s="157"/>
      <c r="H52" s="157"/>
      <c r="I52" s="157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</row>
    <row r="53" customFormat="false" ht="15.75" hidden="false" customHeight="true" outlineLevel="0" collapsed="false">
      <c r="A53" s="156"/>
      <c r="B53" s="157" t="s">
        <v>232</v>
      </c>
      <c r="C53" s="171"/>
      <c r="D53" s="172"/>
      <c r="E53" s="158" t="n">
        <v>2706</v>
      </c>
      <c r="F53" s="165" t="s">
        <v>351</v>
      </c>
      <c r="G53" s="166"/>
      <c r="H53" s="167"/>
      <c r="I53" s="157" t="s">
        <v>235</v>
      </c>
      <c r="J53" s="149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</row>
    <row r="54" customFormat="false" ht="15.75" hidden="false" customHeight="true" outlineLevel="0" collapsed="false">
      <c r="A54" s="156"/>
      <c r="B54" s="163" t="s">
        <v>236</v>
      </c>
      <c r="C54" s="167"/>
      <c r="D54" s="166"/>
      <c r="E54" s="158" t="n">
        <v>2706</v>
      </c>
      <c r="F54" s="165"/>
      <c r="G54" s="166"/>
      <c r="H54" s="167"/>
      <c r="I54" s="157" t="s">
        <v>239</v>
      </c>
      <c r="J54" s="149"/>
      <c r="K54" s="149"/>
      <c r="L54" s="149"/>
      <c r="M54" s="149"/>
      <c r="N54" s="149"/>
      <c r="O54" s="149"/>
      <c r="P54" s="149"/>
      <c r="Q54" s="149"/>
      <c r="R54" s="149"/>
      <c r="S54" s="149"/>
      <c r="T54" s="149"/>
      <c r="U54" s="149"/>
      <c r="V54" s="149"/>
      <c r="W54" s="149"/>
      <c r="X54" s="149"/>
      <c r="Y54" s="149"/>
      <c r="Z54" s="149"/>
    </row>
    <row r="55" customFormat="false" ht="15.75" hidden="false" customHeight="true" outlineLevel="0" collapsed="false">
      <c r="A55" s="156"/>
      <c r="B55" s="163" t="s">
        <v>240</v>
      </c>
      <c r="C55" s="167"/>
      <c r="D55" s="166"/>
      <c r="E55" s="158" t="n">
        <v>2706</v>
      </c>
      <c r="F55" s="165"/>
      <c r="G55" s="166"/>
      <c r="H55" s="167"/>
      <c r="I55" s="157" t="s">
        <v>244</v>
      </c>
      <c r="J55" s="149"/>
      <c r="K55" s="149"/>
      <c r="L55" s="149"/>
      <c r="M55" s="149"/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49"/>
      <c r="Z55" s="149"/>
    </row>
    <row r="56" customFormat="false" ht="15.75" hidden="false" customHeight="true" outlineLevel="0" collapsed="false">
      <c r="A56" s="156"/>
      <c r="B56" s="163" t="s">
        <v>245</v>
      </c>
      <c r="C56" s="167"/>
      <c r="D56" s="166"/>
      <c r="E56" s="158" t="n">
        <v>2706</v>
      </c>
      <c r="F56" s="165"/>
      <c r="G56" s="166"/>
      <c r="H56" s="167"/>
      <c r="I56" s="157" t="s">
        <v>239</v>
      </c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</row>
    <row r="57" customFormat="false" ht="15.75" hidden="false" customHeight="true" outlineLevel="0" collapsed="false">
      <c r="A57" s="156"/>
      <c r="B57" s="163" t="s">
        <v>250</v>
      </c>
      <c r="C57" s="167"/>
      <c r="D57" s="166"/>
      <c r="E57" s="158" t="n">
        <v>2706</v>
      </c>
      <c r="F57" s="165"/>
      <c r="G57" s="166"/>
      <c r="H57" s="167"/>
      <c r="I57" s="157" t="s">
        <v>239</v>
      </c>
      <c r="J57" s="149"/>
      <c r="K57" s="149"/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49"/>
    </row>
    <row r="58" customFormat="false" ht="15.75" hidden="false" customHeight="true" outlineLevel="0" collapsed="false">
      <c r="A58" s="156"/>
      <c r="B58" s="163" t="s">
        <v>252</v>
      </c>
      <c r="C58" s="167"/>
      <c r="D58" s="166"/>
      <c r="E58" s="158" t="n">
        <v>2706</v>
      </c>
      <c r="F58" s="165"/>
      <c r="G58" s="166"/>
      <c r="H58" s="167"/>
      <c r="I58" s="157" t="s">
        <v>239</v>
      </c>
      <c r="J58" s="149"/>
      <c r="K58" s="149"/>
      <c r="L58" s="149"/>
      <c r="M58" s="149"/>
      <c r="N58" s="149"/>
      <c r="O58" s="149"/>
      <c r="P58" s="149"/>
      <c r="Q58" s="149"/>
      <c r="R58" s="149"/>
      <c r="S58" s="149"/>
      <c r="T58" s="149"/>
      <c r="U58" s="149"/>
      <c r="V58" s="149"/>
      <c r="W58" s="149"/>
      <c r="X58" s="149"/>
      <c r="Y58" s="149"/>
      <c r="Z58" s="149"/>
    </row>
    <row r="59" customFormat="false" ht="15.75" hidden="false" customHeight="true" outlineLevel="0" collapsed="false">
      <c r="A59" s="156"/>
      <c r="B59" s="163" t="s">
        <v>255</v>
      </c>
      <c r="C59" s="164" t="s">
        <v>352</v>
      </c>
      <c r="D59" s="173" t="s">
        <v>353</v>
      </c>
      <c r="E59" s="158" t="n">
        <v>2706</v>
      </c>
      <c r="F59" s="165" t="s">
        <v>354</v>
      </c>
      <c r="G59" s="166"/>
      <c r="H59" s="167"/>
      <c r="I59" s="157" t="s">
        <v>244</v>
      </c>
      <c r="J59" s="149"/>
      <c r="K59" s="149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</row>
    <row r="60" customFormat="false" ht="15.75" hidden="false" customHeight="true" outlineLevel="0" collapsed="false">
      <c r="A60" s="156"/>
      <c r="B60" s="163" t="s">
        <v>259</v>
      </c>
      <c r="C60" s="167"/>
      <c r="D60" s="166"/>
      <c r="E60" s="158" t="n">
        <v>2706</v>
      </c>
      <c r="F60" s="166"/>
      <c r="G60" s="166"/>
      <c r="H60" s="167"/>
      <c r="I60" s="157" t="s">
        <v>244</v>
      </c>
      <c r="J60" s="149"/>
      <c r="K60" s="149"/>
      <c r="L60" s="149"/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</row>
    <row r="61" customFormat="false" ht="15.75" hidden="false" customHeight="true" outlineLevel="0" collapsed="false">
      <c r="A61" s="156"/>
      <c r="B61" s="163" t="s">
        <v>262</v>
      </c>
      <c r="C61" s="167"/>
      <c r="D61" s="166"/>
      <c r="E61" s="158" t="n">
        <v>2706</v>
      </c>
      <c r="F61" s="165" t="s">
        <v>355</v>
      </c>
      <c r="G61" s="165"/>
      <c r="H61" s="167"/>
      <c r="I61" s="157" t="s">
        <v>356</v>
      </c>
      <c r="J61" s="149"/>
      <c r="K61" s="149"/>
      <c r="L61" s="149"/>
      <c r="M61" s="149"/>
      <c r="N61" s="149"/>
      <c r="O61" s="149"/>
      <c r="P61" s="149"/>
      <c r="Q61" s="149"/>
      <c r="R61" s="149"/>
      <c r="S61" s="149"/>
      <c r="T61" s="149"/>
      <c r="U61" s="149"/>
      <c r="V61" s="149"/>
      <c r="W61" s="149"/>
      <c r="X61" s="149"/>
      <c r="Y61" s="149"/>
      <c r="Z61" s="149"/>
    </row>
    <row r="62" customFormat="false" ht="15.75" hidden="false" customHeight="true" outlineLevel="0" collapsed="false">
      <c r="A62" s="156"/>
      <c r="B62" s="163" t="s">
        <v>267</v>
      </c>
      <c r="C62" s="167"/>
      <c r="D62" s="166"/>
      <c r="E62" s="158" t="n">
        <v>2706</v>
      </c>
      <c r="F62" s="165"/>
      <c r="G62" s="165"/>
      <c r="H62" s="167"/>
      <c r="I62" s="157" t="s">
        <v>357</v>
      </c>
      <c r="J62" s="149"/>
      <c r="K62" s="149"/>
      <c r="L62" s="149"/>
      <c r="M62" s="149"/>
      <c r="N62" s="149"/>
      <c r="O62" s="149"/>
      <c r="P62" s="149"/>
      <c r="Q62" s="149"/>
      <c r="R62" s="149"/>
      <c r="S62" s="149"/>
      <c r="T62" s="149"/>
      <c r="U62" s="149"/>
      <c r="V62" s="149"/>
      <c r="W62" s="149"/>
      <c r="X62" s="149"/>
      <c r="Y62" s="149"/>
      <c r="Z62" s="149"/>
    </row>
    <row r="63" customFormat="false" ht="15.75" hidden="false" customHeight="true" outlineLevel="0" collapsed="false">
      <c r="A63" s="156"/>
      <c r="B63" s="163" t="s">
        <v>358</v>
      </c>
      <c r="C63" s="167"/>
      <c r="D63" s="166"/>
      <c r="E63" s="158" t="n">
        <v>2706</v>
      </c>
      <c r="F63" s="165" t="s">
        <v>351</v>
      </c>
      <c r="G63" s="166"/>
      <c r="H63" s="167"/>
      <c r="I63" s="158" t="s">
        <v>276</v>
      </c>
      <c r="J63" s="149"/>
      <c r="K63" s="149"/>
      <c r="L63" s="149"/>
      <c r="M63" s="149"/>
      <c r="N63" s="149"/>
      <c r="O63" s="149"/>
      <c r="P63" s="149"/>
      <c r="Q63" s="149"/>
      <c r="R63" s="149"/>
      <c r="S63" s="149"/>
      <c r="T63" s="149"/>
      <c r="U63" s="149"/>
      <c r="V63" s="149"/>
      <c r="W63" s="149"/>
      <c r="X63" s="149"/>
      <c r="Y63" s="149"/>
      <c r="Z63" s="149"/>
    </row>
    <row r="64" customFormat="false" ht="15.75" hidden="false" customHeight="true" outlineLevel="0" collapsed="false">
      <c r="A64" s="156"/>
      <c r="B64" s="163" t="s">
        <v>279</v>
      </c>
      <c r="C64" s="167"/>
      <c r="D64" s="166"/>
      <c r="E64" s="158" t="n">
        <v>2706</v>
      </c>
      <c r="F64" s="165"/>
      <c r="G64" s="166"/>
      <c r="H64" s="167"/>
      <c r="I64" s="158"/>
      <c r="J64" s="149"/>
      <c r="K64" s="149"/>
      <c r="L64" s="149"/>
      <c r="M64" s="149"/>
      <c r="N64" s="149"/>
      <c r="O64" s="149"/>
      <c r="P64" s="149"/>
      <c r="Q64" s="149"/>
      <c r="R64" s="149"/>
      <c r="S64" s="149"/>
      <c r="T64" s="149"/>
      <c r="U64" s="149"/>
      <c r="V64" s="149"/>
      <c r="W64" s="149"/>
      <c r="X64" s="149"/>
      <c r="Y64" s="149"/>
      <c r="Z64" s="149"/>
    </row>
    <row r="65" customFormat="false" ht="15.75" hidden="false" customHeight="true" outlineLevel="0" collapsed="false">
      <c r="A65" s="156"/>
      <c r="B65" s="163" t="s">
        <v>283</v>
      </c>
      <c r="C65" s="167"/>
      <c r="D65" s="166"/>
      <c r="E65" s="158" t="n">
        <v>2706</v>
      </c>
      <c r="F65" s="165"/>
      <c r="G65" s="166"/>
      <c r="H65" s="167"/>
      <c r="I65" s="158"/>
      <c r="J65" s="149"/>
      <c r="K65" s="149"/>
      <c r="L65" s="149"/>
      <c r="M65" s="149"/>
      <c r="N65" s="149"/>
      <c r="O65" s="149"/>
      <c r="P65" s="149"/>
      <c r="Q65" s="149"/>
      <c r="R65" s="149"/>
      <c r="S65" s="149"/>
      <c r="T65" s="149"/>
      <c r="U65" s="149"/>
      <c r="V65" s="149"/>
      <c r="W65" s="149"/>
      <c r="X65" s="149"/>
      <c r="Y65" s="149"/>
      <c r="Z65" s="149"/>
    </row>
    <row r="66" customFormat="false" ht="15.75" hidden="false" customHeight="true" outlineLevel="0" collapsed="false">
      <c r="A66" s="156"/>
      <c r="B66" s="163" t="s">
        <v>285</v>
      </c>
      <c r="C66" s="167"/>
      <c r="D66" s="166"/>
      <c r="E66" s="158" t="n">
        <v>2706</v>
      </c>
      <c r="F66" s="165"/>
      <c r="G66" s="166"/>
      <c r="H66" s="167"/>
      <c r="I66" s="158"/>
      <c r="J66" s="149"/>
      <c r="K66" s="149"/>
      <c r="L66" s="149"/>
      <c r="M66" s="149"/>
      <c r="N66" s="149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49"/>
      <c r="Z66" s="149"/>
    </row>
    <row r="67" customFormat="false" ht="15.75" hidden="false" customHeight="true" outlineLevel="0" collapsed="false">
      <c r="A67" s="156"/>
      <c r="B67" s="163" t="s">
        <v>290</v>
      </c>
      <c r="C67" s="167"/>
      <c r="D67" s="166"/>
      <c r="E67" s="158" t="n">
        <v>2706</v>
      </c>
      <c r="F67" s="165"/>
      <c r="G67" s="166"/>
      <c r="H67" s="167"/>
      <c r="I67" s="158"/>
      <c r="J67" s="149"/>
      <c r="K67" s="149"/>
      <c r="L67" s="149"/>
      <c r="M67" s="149"/>
      <c r="N67" s="149"/>
      <c r="O67" s="149"/>
      <c r="P67" s="149"/>
      <c r="Q67" s="149"/>
      <c r="R67" s="149"/>
      <c r="S67" s="149"/>
      <c r="T67" s="149"/>
      <c r="U67" s="149"/>
      <c r="V67" s="149"/>
      <c r="W67" s="149"/>
      <c r="X67" s="149"/>
      <c r="Y67" s="149"/>
      <c r="Z67" s="149"/>
    </row>
    <row r="68" customFormat="false" ht="15.75" hidden="false" customHeight="true" outlineLevel="0" collapsed="false">
      <c r="A68" s="156"/>
      <c r="B68" s="163" t="s">
        <v>359</v>
      </c>
      <c r="C68" s="167"/>
      <c r="D68" s="166"/>
      <c r="E68" s="158" t="n">
        <v>2706</v>
      </c>
      <c r="F68" s="165"/>
      <c r="G68" s="166"/>
      <c r="H68" s="167"/>
      <c r="I68" s="158"/>
      <c r="J68" s="149"/>
      <c r="K68" s="149"/>
      <c r="L68" s="149"/>
      <c r="M68" s="149"/>
      <c r="N68" s="149"/>
      <c r="O68" s="149"/>
      <c r="P68" s="149"/>
      <c r="Q68" s="149"/>
      <c r="R68" s="149"/>
      <c r="S68" s="149"/>
      <c r="T68" s="149"/>
      <c r="U68" s="149"/>
      <c r="V68" s="149"/>
      <c r="W68" s="149"/>
      <c r="X68" s="149"/>
      <c r="Y68" s="149"/>
      <c r="Z68" s="149"/>
    </row>
    <row r="69" customFormat="false" ht="15.75" hidden="false" customHeight="true" outlineLevel="0" collapsed="false">
      <c r="A69" s="156"/>
      <c r="B69" s="167"/>
      <c r="C69" s="167"/>
      <c r="D69" s="167"/>
      <c r="E69" s="167"/>
      <c r="F69" s="167"/>
      <c r="G69" s="167"/>
      <c r="H69" s="167"/>
      <c r="I69" s="167"/>
      <c r="J69" s="149"/>
      <c r="K69" s="149"/>
      <c r="L69" s="149"/>
      <c r="M69" s="149"/>
      <c r="N69" s="149"/>
      <c r="O69" s="149"/>
      <c r="P69" s="149"/>
      <c r="Q69" s="149"/>
      <c r="R69" s="149"/>
      <c r="S69" s="149"/>
      <c r="T69" s="149"/>
      <c r="U69" s="149"/>
      <c r="V69" s="149"/>
      <c r="W69" s="149"/>
      <c r="X69" s="149"/>
      <c r="Y69" s="149"/>
      <c r="Z69" s="149"/>
    </row>
    <row r="70" customFormat="false" ht="15.75" hidden="false" customHeight="true" outlineLevel="0" collapsed="false">
      <c r="A70" s="156"/>
      <c r="B70" s="157" t="s">
        <v>232</v>
      </c>
      <c r="C70" s="158" t="n">
        <v>3044000</v>
      </c>
      <c r="D70" s="165" t="s">
        <v>360</v>
      </c>
      <c r="E70" s="158" t="n">
        <v>2708</v>
      </c>
      <c r="F70" s="160" t="s">
        <v>361</v>
      </c>
      <c r="G70" s="161"/>
      <c r="H70" s="54"/>
      <c r="I70" s="157" t="s">
        <v>235</v>
      </c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</row>
    <row r="71" customFormat="false" ht="15.75" hidden="false" customHeight="true" outlineLevel="0" collapsed="false">
      <c r="A71" s="156"/>
      <c r="B71" s="163" t="s">
        <v>236</v>
      </c>
      <c r="C71" s="164" t="s">
        <v>237</v>
      </c>
      <c r="D71" s="173" t="s">
        <v>362</v>
      </c>
      <c r="E71" s="158" t="n">
        <v>2708</v>
      </c>
      <c r="F71" s="165" t="s">
        <v>363</v>
      </c>
      <c r="G71" s="166"/>
      <c r="H71" s="167"/>
      <c r="I71" s="157" t="s">
        <v>239</v>
      </c>
      <c r="J71" s="149"/>
      <c r="K71" s="149"/>
      <c r="L71" s="149"/>
      <c r="M71" s="149"/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49"/>
      <c r="Z71" s="149"/>
    </row>
    <row r="72" customFormat="false" ht="15.75" hidden="false" customHeight="true" outlineLevel="0" collapsed="false">
      <c r="A72" s="156"/>
      <c r="B72" s="163" t="s">
        <v>240</v>
      </c>
      <c r="C72" s="164" t="s">
        <v>241</v>
      </c>
      <c r="D72" s="173" t="s">
        <v>364</v>
      </c>
      <c r="E72" s="158" t="n">
        <v>2708</v>
      </c>
      <c r="F72" s="160" t="s">
        <v>365</v>
      </c>
      <c r="G72" s="161"/>
      <c r="H72" s="174"/>
      <c r="I72" s="157" t="s">
        <v>244</v>
      </c>
      <c r="J72" s="149"/>
      <c r="K72" s="149"/>
      <c r="L72" s="149"/>
      <c r="M72" s="149"/>
      <c r="N72" s="149"/>
      <c r="O72" s="149"/>
      <c r="P72" s="149"/>
      <c r="Q72" s="149"/>
      <c r="R72" s="149"/>
      <c r="S72" s="149"/>
      <c r="T72" s="149"/>
      <c r="U72" s="149"/>
      <c r="V72" s="149"/>
      <c r="W72" s="149"/>
      <c r="X72" s="149"/>
      <c r="Y72" s="149"/>
      <c r="Z72" s="149"/>
    </row>
    <row r="73" customFormat="false" ht="15.75" hidden="false" customHeight="true" outlineLevel="0" collapsed="false">
      <c r="A73" s="156"/>
      <c r="B73" s="163" t="s">
        <v>245</v>
      </c>
      <c r="C73" s="164" t="s">
        <v>318</v>
      </c>
      <c r="D73" s="173" t="s">
        <v>366</v>
      </c>
      <c r="E73" s="158" t="n">
        <v>2708</v>
      </c>
      <c r="F73" s="160" t="s">
        <v>367</v>
      </c>
      <c r="G73" s="160" t="s">
        <v>368</v>
      </c>
      <c r="H73" s="174"/>
      <c r="I73" s="157" t="s">
        <v>369</v>
      </c>
      <c r="J73" s="149"/>
      <c r="K73" s="149"/>
      <c r="L73" s="149"/>
      <c r="M73" s="149"/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  <c r="Z73" s="149"/>
    </row>
    <row r="74" customFormat="false" ht="15.75" hidden="false" customHeight="true" outlineLevel="0" collapsed="false">
      <c r="A74" s="156"/>
      <c r="B74" s="163" t="s">
        <v>250</v>
      </c>
      <c r="C74" s="164" t="s">
        <v>251</v>
      </c>
      <c r="D74" s="173" t="s">
        <v>370</v>
      </c>
      <c r="E74" s="158" t="n">
        <v>2708</v>
      </c>
      <c r="F74" s="160" t="s">
        <v>363</v>
      </c>
      <c r="G74" s="161"/>
      <c r="H74" s="167"/>
      <c r="I74" s="157" t="s">
        <v>239</v>
      </c>
      <c r="J74" s="149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49"/>
      <c r="Z74" s="149"/>
    </row>
    <row r="75" customFormat="false" ht="15.75" hidden="false" customHeight="true" outlineLevel="0" collapsed="false">
      <c r="A75" s="156"/>
      <c r="B75" s="163" t="s">
        <v>252</v>
      </c>
      <c r="C75" s="164" t="s">
        <v>371</v>
      </c>
      <c r="D75" s="173" t="s">
        <v>372</v>
      </c>
      <c r="E75" s="158" t="n">
        <v>2708</v>
      </c>
      <c r="F75" s="160" t="s">
        <v>373</v>
      </c>
      <c r="G75" s="161"/>
      <c r="H75" s="54"/>
      <c r="I75" s="157" t="s">
        <v>239</v>
      </c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49"/>
      <c r="Z75" s="149"/>
    </row>
    <row r="76" customFormat="false" ht="15.75" hidden="false" customHeight="true" outlineLevel="0" collapsed="false">
      <c r="A76" s="156"/>
      <c r="B76" s="163" t="s">
        <v>255</v>
      </c>
      <c r="C76" s="164" t="s">
        <v>328</v>
      </c>
      <c r="D76" s="173" t="s">
        <v>374</v>
      </c>
      <c r="E76" s="158" t="n">
        <v>2708</v>
      </c>
      <c r="F76" s="165" t="s">
        <v>375</v>
      </c>
      <c r="G76" s="166"/>
      <c r="H76" s="167"/>
      <c r="I76" s="157" t="s">
        <v>244</v>
      </c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</row>
    <row r="77" customFormat="false" ht="15.75" hidden="false" customHeight="true" outlineLevel="0" collapsed="false">
      <c r="A77" s="156"/>
      <c r="B77" s="163" t="s">
        <v>259</v>
      </c>
      <c r="C77" s="164" t="s">
        <v>260</v>
      </c>
      <c r="D77" s="173" t="s">
        <v>376</v>
      </c>
      <c r="E77" s="158" t="n">
        <v>2708</v>
      </c>
      <c r="F77" s="165" t="s">
        <v>377</v>
      </c>
      <c r="G77" s="166"/>
      <c r="H77" s="167"/>
      <c r="I77" s="157" t="s">
        <v>244</v>
      </c>
      <c r="J77" s="149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</row>
    <row r="78" customFormat="false" ht="15.75" hidden="false" customHeight="true" outlineLevel="0" collapsed="false">
      <c r="A78" s="156"/>
      <c r="B78" s="163" t="s">
        <v>262</v>
      </c>
      <c r="C78" s="164" t="s">
        <v>263</v>
      </c>
      <c r="D78" s="173" t="s">
        <v>378</v>
      </c>
      <c r="E78" s="158" t="n">
        <v>2708</v>
      </c>
      <c r="F78" s="175" t="s">
        <v>379</v>
      </c>
      <c r="G78" s="176" t="s">
        <v>380</v>
      </c>
      <c r="H78" s="167"/>
      <c r="I78" s="157" t="s">
        <v>266</v>
      </c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</row>
    <row r="79" customFormat="false" ht="15.75" hidden="false" customHeight="true" outlineLevel="0" collapsed="false">
      <c r="A79" s="156"/>
      <c r="B79" s="163" t="s">
        <v>267</v>
      </c>
      <c r="C79" s="164" t="s">
        <v>268</v>
      </c>
      <c r="D79" s="173" t="s">
        <v>381</v>
      </c>
      <c r="E79" s="158" t="n">
        <v>2708</v>
      </c>
      <c r="F79" s="165" t="s">
        <v>382</v>
      </c>
      <c r="G79" s="161"/>
      <c r="H79" s="167"/>
      <c r="I79" s="157" t="s">
        <v>271</v>
      </c>
      <c r="J79" s="149"/>
      <c r="K79" s="149"/>
      <c r="L79" s="149"/>
      <c r="M79" s="149"/>
      <c r="N79" s="149"/>
      <c r="O79" s="149"/>
      <c r="P79" s="149"/>
      <c r="Q79" s="149"/>
      <c r="R79" s="149"/>
      <c r="S79" s="149"/>
      <c r="T79" s="149"/>
      <c r="U79" s="149"/>
      <c r="V79" s="149"/>
      <c r="W79" s="149"/>
      <c r="X79" s="149"/>
      <c r="Y79" s="149"/>
      <c r="Z79" s="149"/>
    </row>
    <row r="80" customFormat="false" ht="15.75" hidden="false" customHeight="true" outlineLevel="0" collapsed="false">
      <c r="A80" s="156"/>
      <c r="B80" s="163" t="s">
        <v>272</v>
      </c>
      <c r="C80" s="164" t="s">
        <v>273</v>
      </c>
      <c r="D80" s="166"/>
      <c r="E80" s="158" t="n">
        <v>2708</v>
      </c>
      <c r="F80" s="165" t="s">
        <v>383</v>
      </c>
      <c r="G80" s="160" t="s">
        <v>384</v>
      </c>
      <c r="H80" s="167"/>
      <c r="I80" s="158" t="s">
        <v>276</v>
      </c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  <c r="Y80" s="149"/>
      <c r="Z80" s="149"/>
    </row>
    <row r="81" customFormat="false" ht="15.75" hidden="false" customHeight="true" outlineLevel="0" collapsed="false">
      <c r="A81" s="156"/>
      <c r="B81" s="163" t="s">
        <v>277</v>
      </c>
      <c r="C81" s="164" t="n">
        <v>3035302</v>
      </c>
      <c r="D81" s="166"/>
      <c r="E81" s="158" t="n">
        <v>2708</v>
      </c>
      <c r="F81" s="160" t="s">
        <v>385</v>
      </c>
      <c r="G81" s="160" t="s">
        <v>386</v>
      </c>
      <c r="H81" s="167"/>
      <c r="I81" s="158"/>
      <c r="J81" s="149"/>
      <c r="K81" s="149"/>
      <c r="L81" s="149"/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</row>
    <row r="82" customFormat="false" ht="15.75" hidden="false" customHeight="true" outlineLevel="0" collapsed="false">
      <c r="A82" s="156"/>
      <c r="B82" s="163" t="s">
        <v>278</v>
      </c>
      <c r="C82" s="164" t="n">
        <v>3033736</v>
      </c>
      <c r="D82" s="166"/>
      <c r="E82" s="158" t="n">
        <v>2708</v>
      </c>
      <c r="F82" s="160" t="s">
        <v>385</v>
      </c>
      <c r="G82" s="160" t="s">
        <v>386</v>
      </c>
      <c r="H82" s="167"/>
      <c r="I82" s="158"/>
      <c r="J82" s="149"/>
      <c r="K82" s="149"/>
      <c r="L82" s="149"/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</row>
    <row r="83" customFormat="false" ht="15.75" hidden="false" customHeight="true" outlineLevel="0" collapsed="false">
      <c r="A83" s="156"/>
      <c r="B83" s="163" t="s">
        <v>279</v>
      </c>
      <c r="C83" s="164" t="s">
        <v>280</v>
      </c>
      <c r="D83" s="166"/>
      <c r="E83" s="158" t="n">
        <v>2708</v>
      </c>
      <c r="F83" s="165" t="s">
        <v>387</v>
      </c>
      <c r="G83" s="165" t="s">
        <v>388</v>
      </c>
      <c r="H83" s="167"/>
      <c r="I83" s="158"/>
      <c r="J83" s="149"/>
      <c r="K83" s="149"/>
      <c r="L83" s="149"/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</row>
    <row r="84" customFormat="false" ht="15.75" hidden="false" customHeight="true" outlineLevel="0" collapsed="false">
      <c r="A84" s="156"/>
      <c r="B84" s="163" t="s">
        <v>283</v>
      </c>
      <c r="C84" s="164" t="s">
        <v>284</v>
      </c>
      <c r="D84" s="166"/>
      <c r="E84" s="158" t="n">
        <v>2708</v>
      </c>
      <c r="F84" s="165" t="s">
        <v>341</v>
      </c>
      <c r="G84" s="165" t="s">
        <v>342</v>
      </c>
      <c r="H84" s="167"/>
      <c r="I84" s="158"/>
      <c r="J84" s="149"/>
      <c r="K84" s="149"/>
      <c r="L84" s="149"/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</row>
    <row r="85" customFormat="false" ht="15.75" hidden="false" customHeight="true" outlineLevel="0" collapsed="false">
      <c r="A85" s="156"/>
      <c r="B85" s="163" t="s">
        <v>285</v>
      </c>
      <c r="C85" s="164" t="s">
        <v>286</v>
      </c>
      <c r="D85" s="166"/>
      <c r="E85" s="158" t="n">
        <v>2708</v>
      </c>
      <c r="F85" s="160" t="s">
        <v>389</v>
      </c>
      <c r="G85" s="160" t="s">
        <v>390</v>
      </c>
      <c r="H85" s="167"/>
      <c r="I85" s="158"/>
      <c r="J85" s="149"/>
      <c r="K85" s="149"/>
      <c r="L85" s="149"/>
      <c r="M85" s="149"/>
      <c r="N85" s="149"/>
      <c r="O85" s="149"/>
      <c r="P85" s="149"/>
      <c r="Q85" s="149"/>
      <c r="R85" s="149"/>
      <c r="S85" s="149"/>
      <c r="T85" s="149"/>
      <c r="U85" s="149"/>
      <c r="V85" s="149"/>
      <c r="W85" s="149"/>
      <c r="X85" s="149"/>
      <c r="Y85" s="149"/>
      <c r="Z85" s="149"/>
    </row>
    <row r="86" customFormat="false" ht="15.75" hidden="false" customHeight="true" outlineLevel="0" collapsed="false">
      <c r="A86" s="156"/>
      <c r="B86" s="163" t="s">
        <v>289</v>
      </c>
      <c r="C86" s="164" t="n">
        <v>3033737</v>
      </c>
      <c r="D86" s="166"/>
      <c r="E86" s="158" t="n">
        <v>2708</v>
      </c>
      <c r="F86" s="160" t="s">
        <v>385</v>
      </c>
      <c r="G86" s="160" t="s">
        <v>386</v>
      </c>
      <c r="H86" s="167"/>
      <c r="I86" s="158"/>
      <c r="J86" s="149"/>
      <c r="K86" s="149"/>
      <c r="L86" s="149"/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W86" s="149"/>
      <c r="X86" s="149"/>
      <c r="Y86" s="149"/>
      <c r="Z86" s="149"/>
    </row>
    <row r="87" customFormat="false" ht="15.75" hidden="false" customHeight="true" outlineLevel="0" collapsed="false">
      <c r="A87" s="156"/>
      <c r="B87" s="163" t="s">
        <v>290</v>
      </c>
      <c r="C87" s="164" t="s">
        <v>291</v>
      </c>
      <c r="D87" s="166"/>
      <c r="E87" s="158" t="n">
        <v>2708</v>
      </c>
      <c r="F87" s="160" t="s">
        <v>391</v>
      </c>
      <c r="G87" s="160" t="s">
        <v>392</v>
      </c>
      <c r="H87" s="167"/>
      <c r="I87" s="158"/>
      <c r="J87" s="149"/>
      <c r="K87" s="149"/>
      <c r="L87" s="149"/>
      <c r="M87" s="149"/>
      <c r="N87" s="149"/>
      <c r="O87" s="149"/>
      <c r="P87" s="149"/>
      <c r="Q87" s="149"/>
      <c r="R87" s="149"/>
      <c r="S87" s="149"/>
      <c r="T87" s="149"/>
      <c r="U87" s="149"/>
      <c r="V87" s="149"/>
      <c r="W87" s="149"/>
      <c r="X87" s="149"/>
      <c r="Y87" s="149"/>
      <c r="Z87" s="149"/>
    </row>
    <row r="88" customFormat="false" ht="15.75" hidden="false" customHeight="true" outlineLevel="0" collapsed="false">
      <c r="A88" s="156"/>
      <c r="B88" s="163" t="s">
        <v>294</v>
      </c>
      <c r="C88" s="164" t="s">
        <v>295</v>
      </c>
      <c r="D88" s="166"/>
      <c r="E88" s="158" t="n">
        <v>2708</v>
      </c>
      <c r="F88" s="160"/>
      <c r="G88" s="160"/>
      <c r="H88" s="167"/>
      <c r="I88" s="158"/>
      <c r="J88" s="149"/>
      <c r="K88" s="149"/>
      <c r="L88" s="149"/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W88" s="149"/>
      <c r="X88" s="149"/>
      <c r="Y88" s="149"/>
      <c r="Z88" s="149"/>
    </row>
    <row r="89" customFormat="false" ht="15.75" hidden="false" customHeight="true" outlineLevel="0" collapsed="false">
      <c r="A89" s="156"/>
      <c r="B89" s="163" t="s">
        <v>296</v>
      </c>
      <c r="C89" s="164" t="s">
        <v>297</v>
      </c>
      <c r="D89" s="166"/>
      <c r="E89" s="158" t="n">
        <v>2708</v>
      </c>
      <c r="F89" s="160" t="s">
        <v>393</v>
      </c>
      <c r="G89" s="160" t="s">
        <v>394</v>
      </c>
      <c r="H89" s="167"/>
      <c r="I89" s="158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</row>
    <row r="90" customFormat="false" ht="15.75" hidden="false" customHeight="true" outlineLevel="0" collapsed="false">
      <c r="A90" s="156"/>
      <c r="B90" s="163" t="s">
        <v>300</v>
      </c>
      <c r="C90" s="164" t="s">
        <v>297</v>
      </c>
      <c r="D90" s="166"/>
      <c r="E90" s="158" t="n">
        <v>2708</v>
      </c>
      <c r="F90" s="160" t="s">
        <v>395</v>
      </c>
      <c r="G90" s="160" t="s">
        <v>396</v>
      </c>
      <c r="H90" s="167"/>
      <c r="I90" s="158"/>
      <c r="J90" s="149"/>
      <c r="K90" s="149"/>
      <c r="L90" s="149"/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49"/>
      <c r="Y90" s="149"/>
      <c r="Z90" s="149"/>
    </row>
    <row r="91" customFormat="false" ht="15.75" hidden="false" customHeight="true" outlineLevel="0" collapsed="false">
      <c r="A91" s="156"/>
      <c r="B91" s="157" t="s">
        <v>303</v>
      </c>
      <c r="C91" s="164" t="s">
        <v>304</v>
      </c>
      <c r="D91" s="166"/>
      <c r="E91" s="158" t="n">
        <v>2708</v>
      </c>
      <c r="F91" s="160" t="s">
        <v>397</v>
      </c>
      <c r="G91" s="160" t="s">
        <v>398</v>
      </c>
      <c r="H91" s="167"/>
      <c r="I91" s="158"/>
      <c r="J91" s="149"/>
      <c r="K91" s="149"/>
      <c r="L91" s="149"/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W91" s="149"/>
      <c r="X91" s="149"/>
      <c r="Y91" s="149"/>
      <c r="Z91" s="149"/>
    </row>
    <row r="92" customFormat="false" ht="15.75" hidden="false" customHeight="true" outlineLevel="0" collapsed="false">
      <c r="A92" s="156"/>
      <c r="B92" s="157" t="s">
        <v>303</v>
      </c>
      <c r="C92" s="164" t="s">
        <v>307</v>
      </c>
      <c r="D92" s="166"/>
      <c r="E92" s="158" t="n">
        <v>2708</v>
      </c>
      <c r="F92" s="160" t="s">
        <v>397</v>
      </c>
      <c r="G92" s="160" t="s">
        <v>398</v>
      </c>
      <c r="H92" s="167"/>
      <c r="I92" s="158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</row>
    <row r="93" customFormat="false" ht="15.75" hidden="false" customHeight="true" outlineLevel="0" collapsed="false">
      <c r="A93" s="156"/>
      <c r="B93" s="177"/>
      <c r="C93" s="177"/>
      <c r="D93" s="177"/>
      <c r="E93" s="177"/>
      <c r="F93" s="177"/>
      <c r="G93" s="177"/>
      <c r="H93" s="177"/>
      <c r="I93" s="177"/>
      <c r="J93" s="149"/>
      <c r="K93" s="149"/>
      <c r="L93" s="149"/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  <c r="Z93" s="149"/>
    </row>
    <row r="94" customFormat="false" ht="15.75" hidden="false" customHeight="true" outlineLevel="0" collapsed="false">
      <c r="A94" s="156"/>
      <c r="B94" s="157" t="s">
        <v>232</v>
      </c>
      <c r="C94" s="158" t="n">
        <v>3044000</v>
      </c>
      <c r="D94" s="165" t="s">
        <v>399</v>
      </c>
      <c r="E94" s="158" t="n">
        <v>2719</v>
      </c>
      <c r="F94" s="168" t="s">
        <v>400</v>
      </c>
      <c r="G94" s="169" t="s">
        <v>401</v>
      </c>
      <c r="H94" s="162" t="s">
        <v>402</v>
      </c>
      <c r="I94" s="157" t="s">
        <v>403</v>
      </c>
      <c r="J94" s="149"/>
      <c r="K94" s="149"/>
      <c r="L94" s="149"/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  <c r="Z94" s="149"/>
    </row>
    <row r="95" customFormat="false" ht="15.75" hidden="false" customHeight="true" outlineLevel="0" collapsed="false">
      <c r="A95" s="156"/>
      <c r="B95" s="163" t="s">
        <v>236</v>
      </c>
      <c r="C95" s="164" t="n">
        <v>3032710</v>
      </c>
      <c r="D95" s="173" t="s">
        <v>404</v>
      </c>
      <c r="E95" s="158" t="n">
        <v>2719</v>
      </c>
      <c r="F95" s="165" t="s">
        <v>405</v>
      </c>
      <c r="G95" s="166"/>
      <c r="H95" s="167"/>
      <c r="I95" s="157" t="s">
        <v>239</v>
      </c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</row>
    <row r="96" customFormat="false" ht="15.75" hidden="false" customHeight="true" outlineLevel="0" collapsed="false">
      <c r="A96" s="156"/>
      <c r="B96" s="163" t="s">
        <v>240</v>
      </c>
      <c r="C96" s="164" t="s">
        <v>406</v>
      </c>
      <c r="D96" s="173" t="s">
        <v>407</v>
      </c>
      <c r="E96" s="158" t="n">
        <v>2719</v>
      </c>
      <c r="F96" s="160" t="s">
        <v>408</v>
      </c>
      <c r="G96" s="161"/>
      <c r="H96" s="174"/>
      <c r="I96" s="157" t="s">
        <v>244</v>
      </c>
      <c r="J96" s="149"/>
      <c r="K96" s="149"/>
      <c r="L96" s="149"/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49"/>
      <c r="Z96" s="149"/>
    </row>
    <row r="97" customFormat="false" ht="15.75" hidden="false" customHeight="true" outlineLevel="0" collapsed="false">
      <c r="A97" s="156"/>
      <c r="B97" s="163" t="s">
        <v>245</v>
      </c>
      <c r="C97" s="164" t="s">
        <v>409</v>
      </c>
      <c r="D97" s="173" t="s">
        <v>410</v>
      </c>
      <c r="E97" s="158" t="n">
        <v>2719</v>
      </c>
      <c r="F97" s="160" t="s">
        <v>411</v>
      </c>
      <c r="G97" s="160"/>
      <c r="H97" s="174"/>
      <c r="I97" s="157" t="s">
        <v>249</v>
      </c>
      <c r="J97" s="149"/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W97" s="149"/>
      <c r="X97" s="149"/>
      <c r="Y97" s="149"/>
      <c r="Z97" s="149"/>
    </row>
    <row r="98" customFormat="false" ht="15.75" hidden="false" customHeight="true" outlineLevel="0" collapsed="false">
      <c r="A98" s="156"/>
      <c r="B98" s="163" t="s">
        <v>250</v>
      </c>
      <c r="C98" s="164" t="s">
        <v>251</v>
      </c>
      <c r="D98" s="173" t="s">
        <v>412</v>
      </c>
      <c r="E98" s="158" t="n">
        <v>2719</v>
      </c>
      <c r="F98" s="160" t="s">
        <v>413</v>
      </c>
      <c r="G98" s="161"/>
      <c r="H98" s="167"/>
      <c r="I98" s="157" t="s">
        <v>239</v>
      </c>
      <c r="J98" s="149"/>
      <c r="K98" s="149"/>
      <c r="L98" s="149"/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W98" s="149"/>
      <c r="X98" s="149"/>
      <c r="Y98" s="149"/>
      <c r="Z98" s="149"/>
    </row>
    <row r="99" customFormat="false" ht="15.75" hidden="false" customHeight="true" outlineLevel="0" collapsed="false">
      <c r="A99" s="156"/>
      <c r="B99" s="163" t="s">
        <v>252</v>
      </c>
      <c r="C99" s="164" t="s">
        <v>253</v>
      </c>
      <c r="D99" s="173" t="s">
        <v>414</v>
      </c>
      <c r="E99" s="158" t="n">
        <v>2719</v>
      </c>
      <c r="F99" s="160" t="s">
        <v>415</v>
      </c>
      <c r="G99" s="161"/>
      <c r="H99" s="54"/>
      <c r="I99" s="157" t="s">
        <v>239</v>
      </c>
      <c r="J99" s="149"/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49"/>
      <c r="V99" s="149"/>
      <c r="W99" s="149"/>
      <c r="X99" s="149"/>
      <c r="Y99" s="149"/>
      <c r="Z99" s="149"/>
    </row>
    <row r="100" customFormat="false" ht="15.75" hidden="false" customHeight="true" outlineLevel="0" collapsed="false">
      <c r="A100" s="156"/>
      <c r="B100" s="163" t="s">
        <v>255</v>
      </c>
      <c r="C100" s="164" t="s">
        <v>328</v>
      </c>
      <c r="D100" s="173" t="s">
        <v>416</v>
      </c>
      <c r="E100" s="158" t="n">
        <v>2719</v>
      </c>
      <c r="F100" s="165" t="s">
        <v>417</v>
      </c>
      <c r="G100" s="166"/>
      <c r="H100" s="167"/>
      <c r="I100" s="157" t="s">
        <v>244</v>
      </c>
      <c r="J100" s="149"/>
      <c r="K100" s="149"/>
      <c r="L100" s="149"/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W100" s="149"/>
      <c r="X100" s="149"/>
      <c r="Y100" s="149"/>
      <c r="Z100" s="149"/>
    </row>
    <row r="101" customFormat="false" ht="15.75" hidden="false" customHeight="true" outlineLevel="0" collapsed="false">
      <c r="A101" s="156"/>
      <c r="B101" s="163" t="s">
        <v>259</v>
      </c>
      <c r="C101" s="164" t="s">
        <v>260</v>
      </c>
      <c r="D101" s="173" t="s">
        <v>418</v>
      </c>
      <c r="E101" s="158" t="n">
        <v>2719</v>
      </c>
      <c r="F101" s="165" t="s">
        <v>419</v>
      </c>
      <c r="G101" s="166"/>
      <c r="H101" s="167"/>
      <c r="I101" s="157" t="s">
        <v>244</v>
      </c>
      <c r="J101" s="149"/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49"/>
      <c r="V101" s="149"/>
      <c r="W101" s="149"/>
      <c r="X101" s="149"/>
      <c r="Y101" s="149"/>
      <c r="Z101" s="149"/>
    </row>
    <row r="102" customFormat="false" ht="15.75" hidden="false" customHeight="true" outlineLevel="0" collapsed="false">
      <c r="A102" s="156"/>
      <c r="B102" s="163" t="s">
        <v>262</v>
      </c>
      <c r="C102" s="164" t="s">
        <v>263</v>
      </c>
      <c r="D102" s="173" t="s">
        <v>420</v>
      </c>
      <c r="E102" s="178" t="n">
        <v>2719</v>
      </c>
      <c r="F102" s="175" t="s">
        <v>421</v>
      </c>
      <c r="G102" s="176" t="s">
        <v>422</v>
      </c>
      <c r="H102" s="167"/>
      <c r="I102" s="157" t="s">
        <v>266</v>
      </c>
      <c r="J102" s="149"/>
      <c r="K102" s="149"/>
      <c r="L102" s="149"/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  <c r="W102" s="149"/>
      <c r="X102" s="149"/>
      <c r="Y102" s="149"/>
      <c r="Z102" s="149"/>
    </row>
    <row r="103" customFormat="false" ht="15.75" hidden="false" customHeight="true" outlineLevel="0" collapsed="false">
      <c r="A103" s="156"/>
      <c r="B103" s="163" t="s">
        <v>267</v>
      </c>
      <c r="C103" s="164" t="s">
        <v>268</v>
      </c>
      <c r="D103" s="173" t="s">
        <v>423</v>
      </c>
      <c r="E103" s="158" t="n">
        <v>2719</v>
      </c>
      <c r="F103" s="165" t="s">
        <v>424</v>
      </c>
      <c r="G103" s="166"/>
      <c r="H103" s="167"/>
      <c r="I103" s="157" t="s">
        <v>271</v>
      </c>
      <c r="J103" s="149"/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  <c r="W103" s="149"/>
      <c r="X103" s="149"/>
      <c r="Y103" s="149"/>
      <c r="Z103" s="149"/>
    </row>
    <row r="104" customFormat="false" ht="15.75" hidden="false" customHeight="true" outlineLevel="0" collapsed="false">
      <c r="A104" s="156"/>
      <c r="B104" s="163" t="s">
        <v>272</v>
      </c>
      <c r="C104" s="164" t="s">
        <v>273</v>
      </c>
      <c r="D104" s="166"/>
      <c r="E104" s="158" t="n">
        <v>2719</v>
      </c>
      <c r="F104" s="165"/>
      <c r="G104" s="160"/>
      <c r="H104" s="167"/>
      <c r="I104" s="158" t="s">
        <v>276</v>
      </c>
      <c r="J104" s="149"/>
      <c r="K104" s="149"/>
      <c r="L104" s="149"/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W104" s="149"/>
      <c r="X104" s="149"/>
      <c r="Y104" s="149"/>
      <c r="Z104" s="149"/>
    </row>
    <row r="105" customFormat="false" ht="15.75" hidden="false" customHeight="true" outlineLevel="0" collapsed="false">
      <c r="A105" s="156"/>
      <c r="B105" s="163" t="s">
        <v>277</v>
      </c>
      <c r="C105" s="164" t="n">
        <v>3035302</v>
      </c>
      <c r="D105" s="166"/>
      <c r="E105" s="158" t="n">
        <v>2719</v>
      </c>
      <c r="F105" s="160" t="s">
        <v>425</v>
      </c>
      <c r="G105" s="160" t="s">
        <v>426</v>
      </c>
      <c r="H105" s="167"/>
      <c r="I105" s="158"/>
      <c r="J105" s="149"/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W105" s="149"/>
      <c r="X105" s="149"/>
      <c r="Y105" s="149"/>
      <c r="Z105" s="149"/>
    </row>
    <row r="106" customFormat="false" ht="15.75" hidden="false" customHeight="true" outlineLevel="0" collapsed="false">
      <c r="A106" s="156"/>
      <c r="B106" s="163" t="s">
        <v>278</v>
      </c>
      <c r="C106" s="164" t="n">
        <v>3033736</v>
      </c>
      <c r="D106" s="166"/>
      <c r="E106" s="158" t="n">
        <v>2719</v>
      </c>
      <c r="F106" s="160" t="s">
        <v>425</v>
      </c>
      <c r="G106" s="160" t="s">
        <v>426</v>
      </c>
      <c r="H106" s="167"/>
      <c r="I106" s="158"/>
      <c r="J106" s="149"/>
      <c r="K106" s="149"/>
      <c r="L106" s="149"/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W106" s="149"/>
      <c r="X106" s="149"/>
      <c r="Y106" s="149"/>
      <c r="Z106" s="149"/>
    </row>
    <row r="107" customFormat="false" ht="15.75" hidden="false" customHeight="true" outlineLevel="0" collapsed="false">
      <c r="A107" s="156"/>
      <c r="B107" s="163" t="s">
        <v>279</v>
      </c>
      <c r="C107" s="164" t="s">
        <v>280</v>
      </c>
      <c r="D107" s="166"/>
      <c r="E107" s="158" t="n">
        <v>2719</v>
      </c>
      <c r="F107" s="165" t="s">
        <v>339</v>
      </c>
      <c r="G107" s="165" t="s">
        <v>340</v>
      </c>
      <c r="H107" s="167"/>
      <c r="I107" s="158"/>
      <c r="J107" s="149"/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W107" s="149"/>
      <c r="X107" s="149"/>
      <c r="Y107" s="149"/>
      <c r="Z107" s="149"/>
    </row>
    <row r="108" customFormat="false" ht="15.75" hidden="false" customHeight="true" outlineLevel="0" collapsed="false">
      <c r="A108" s="156"/>
      <c r="B108" s="163" t="s">
        <v>283</v>
      </c>
      <c r="C108" s="164" t="s">
        <v>284</v>
      </c>
      <c r="D108" s="166"/>
      <c r="E108" s="158" t="n">
        <v>2719</v>
      </c>
      <c r="F108" s="165" t="s">
        <v>427</v>
      </c>
      <c r="G108" s="165" t="s">
        <v>428</v>
      </c>
      <c r="H108" s="167"/>
      <c r="I108" s="158"/>
      <c r="J108" s="149"/>
      <c r="K108" s="149"/>
      <c r="L108" s="149"/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W108" s="149"/>
      <c r="X108" s="149"/>
      <c r="Y108" s="149"/>
      <c r="Z108" s="149"/>
    </row>
    <row r="109" customFormat="false" ht="15.75" hidden="false" customHeight="true" outlineLevel="0" collapsed="false">
      <c r="A109" s="156"/>
      <c r="B109" s="163" t="s">
        <v>285</v>
      </c>
      <c r="C109" s="164" t="s">
        <v>286</v>
      </c>
      <c r="D109" s="166"/>
      <c r="E109" s="158" t="n">
        <v>2719</v>
      </c>
      <c r="F109" s="160" t="s">
        <v>343</v>
      </c>
      <c r="G109" s="160" t="s">
        <v>429</v>
      </c>
      <c r="H109" s="167"/>
      <c r="I109" s="158"/>
      <c r="J109" s="149"/>
      <c r="K109" s="149"/>
      <c r="L109" s="149"/>
      <c r="M109" s="149"/>
      <c r="N109" s="149"/>
      <c r="O109" s="149"/>
      <c r="P109" s="149"/>
      <c r="Q109" s="149"/>
      <c r="R109" s="149"/>
      <c r="S109" s="149"/>
      <c r="T109" s="149"/>
      <c r="U109" s="149"/>
      <c r="V109" s="149"/>
      <c r="W109" s="149"/>
      <c r="X109" s="149"/>
      <c r="Y109" s="149"/>
      <c r="Z109" s="149"/>
    </row>
    <row r="110" customFormat="false" ht="15.75" hidden="false" customHeight="true" outlineLevel="0" collapsed="false">
      <c r="A110" s="156"/>
      <c r="B110" s="163" t="s">
        <v>289</v>
      </c>
      <c r="C110" s="164" t="n">
        <v>3033737</v>
      </c>
      <c r="D110" s="166"/>
      <c r="E110" s="158" t="n">
        <v>2719</v>
      </c>
      <c r="F110" s="160" t="s">
        <v>425</v>
      </c>
      <c r="G110" s="160" t="s">
        <v>426</v>
      </c>
      <c r="H110" s="167"/>
      <c r="I110" s="158"/>
      <c r="J110" s="149"/>
      <c r="K110" s="149"/>
      <c r="L110" s="149"/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W110" s="149"/>
      <c r="X110" s="149"/>
      <c r="Y110" s="149"/>
      <c r="Z110" s="149"/>
    </row>
    <row r="111" customFormat="false" ht="15.75" hidden="false" customHeight="true" outlineLevel="0" collapsed="false">
      <c r="A111" s="156"/>
      <c r="B111" s="163" t="s">
        <v>290</v>
      </c>
      <c r="C111" s="164" t="s">
        <v>291</v>
      </c>
      <c r="D111" s="166"/>
      <c r="E111" s="158" t="n">
        <v>2719</v>
      </c>
      <c r="F111" s="160" t="s">
        <v>430</v>
      </c>
      <c r="G111" s="160" t="s">
        <v>431</v>
      </c>
      <c r="H111" s="167"/>
      <c r="I111" s="158"/>
      <c r="J111" s="149"/>
      <c r="K111" s="149"/>
      <c r="L111" s="149"/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W111" s="149"/>
      <c r="X111" s="149"/>
      <c r="Y111" s="149"/>
      <c r="Z111" s="149"/>
    </row>
    <row r="112" customFormat="false" ht="15.75" hidden="false" customHeight="true" outlineLevel="0" collapsed="false">
      <c r="A112" s="156"/>
      <c r="B112" s="163" t="s">
        <v>294</v>
      </c>
      <c r="C112" s="164" t="s">
        <v>295</v>
      </c>
      <c r="D112" s="166"/>
      <c r="E112" s="158" t="n">
        <v>2719</v>
      </c>
      <c r="F112" s="160" t="s">
        <v>432</v>
      </c>
      <c r="G112" s="160" t="s">
        <v>433</v>
      </c>
      <c r="H112" s="167"/>
      <c r="I112" s="158"/>
      <c r="J112" s="149"/>
      <c r="K112" s="149"/>
      <c r="L112" s="149"/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  <c r="X112" s="149"/>
      <c r="Y112" s="149"/>
      <c r="Z112" s="149"/>
    </row>
    <row r="113" customFormat="false" ht="15.75" hidden="false" customHeight="true" outlineLevel="0" collapsed="false">
      <c r="A113" s="156"/>
      <c r="B113" s="163" t="s">
        <v>359</v>
      </c>
      <c r="C113" s="164" t="s">
        <v>297</v>
      </c>
      <c r="D113" s="166"/>
      <c r="E113" s="158" t="n">
        <v>2719</v>
      </c>
      <c r="F113" s="160" t="s">
        <v>434</v>
      </c>
      <c r="G113" s="160" t="s">
        <v>435</v>
      </c>
      <c r="H113" s="167"/>
      <c r="I113" s="158"/>
      <c r="J113" s="149"/>
      <c r="K113" s="149"/>
      <c r="L113" s="149"/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W113" s="149"/>
      <c r="X113" s="149"/>
      <c r="Y113" s="149"/>
      <c r="Z113" s="149"/>
    </row>
    <row r="114" customFormat="false" ht="15.75" hidden="false" customHeight="true" outlineLevel="0" collapsed="false">
      <c r="A114" s="156"/>
      <c r="B114" s="157" t="s">
        <v>303</v>
      </c>
      <c r="C114" s="164" t="s">
        <v>304</v>
      </c>
      <c r="D114" s="166"/>
      <c r="E114" s="158" t="n">
        <v>2719</v>
      </c>
      <c r="F114" s="160" t="s">
        <v>436</v>
      </c>
      <c r="G114" s="160" t="s">
        <v>306</v>
      </c>
      <c r="H114" s="167"/>
      <c r="I114" s="158"/>
      <c r="J114" s="149"/>
      <c r="K114" s="149"/>
      <c r="L114" s="149"/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W114" s="149"/>
      <c r="X114" s="149"/>
      <c r="Y114" s="149"/>
      <c r="Z114" s="149"/>
    </row>
    <row r="115" customFormat="false" ht="15.75" hidden="false" customHeight="true" outlineLevel="0" collapsed="false">
      <c r="A115" s="156"/>
      <c r="B115" s="157" t="s">
        <v>303</v>
      </c>
      <c r="C115" s="164" t="s">
        <v>307</v>
      </c>
      <c r="D115" s="166"/>
      <c r="E115" s="158" t="n">
        <v>2719</v>
      </c>
      <c r="F115" s="160" t="s">
        <v>436</v>
      </c>
      <c r="G115" s="160" t="s">
        <v>306</v>
      </c>
      <c r="H115" s="167"/>
      <c r="I115" s="158"/>
      <c r="J115" s="149"/>
      <c r="K115" s="149"/>
      <c r="L115" s="149"/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W115" s="149"/>
      <c r="X115" s="149"/>
      <c r="Y115" s="149"/>
      <c r="Z115" s="149"/>
    </row>
    <row r="116" customFormat="false" ht="15.75" hidden="false" customHeight="true" outlineLevel="0" collapsed="false">
      <c r="A116" s="156"/>
      <c r="B116" s="167"/>
      <c r="C116" s="167"/>
      <c r="D116" s="167"/>
      <c r="E116" s="167"/>
      <c r="F116" s="167"/>
      <c r="G116" s="167"/>
      <c r="H116" s="167"/>
      <c r="I116" s="167"/>
      <c r="J116" s="149"/>
      <c r="K116" s="149"/>
      <c r="L116" s="149"/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W116" s="149"/>
      <c r="X116" s="149"/>
      <c r="Y116" s="149"/>
      <c r="Z116" s="149"/>
    </row>
    <row r="117" customFormat="false" ht="15.75" hidden="true" customHeight="true" outlineLevel="0" collapsed="false">
      <c r="A117" s="156"/>
      <c r="B117" s="157" t="s">
        <v>232</v>
      </c>
      <c r="C117" s="158" t="n">
        <v>3044000</v>
      </c>
      <c r="D117" s="159" t="s">
        <v>437</v>
      </c>
      <c r="E117" s="159" t="n">
        <v>2721</v>
      </c>
      <c r="F117" s="159" t="s">
        <v>438</v>
      </c>
      <c r="G117" s="159"/>
      <c r="H117" s="167"/>
      <c r="I117" s="157" t="s">
        <v>439</v>
      </c>
      <c r="J117" s="149"/>
      <c r="K117" s="149"/>
      <c r="L117" s="149"/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W117" s="149"/>
      <c r="X117" s="149"/>
      <c r="Y117" s="149"/>
      <c r="Z117" s="149"/>
    </row>
    <row r="118" customFormat="false" ht="15.75" hidden="true" customHeight="true" outlineLevel="0" collapsed="false">
      <c r="A118" s="156"/>
      <c r="B118" s="163" t="s">
        <v>236</v>
      </c>
      <c r="C118" s="164" t="s">
        <v>237</v>
      </c>
      <c r="D118" s="159" t="n">
        <v>607</v>
      </c>
      <c r="E118" s="159" t="n">
        <v>2721</v>
      </c>
      <c r="F118" s="159" t="s">
        <v>440</v>
      </c>
      <c r="G118" s="159"/>
      <c r="H118" s="167"/>
      <c r="I118" s="157" t="s">
        <v>239</v>
      </c>
      <c r="J118" s="149"/>
      <c r="K118" s="149"/>
      <c r="L118" s="149"/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W118" s="149"/>
      <c r="X118" s="149"/>
      <c r="Y118" s="149"/>
      <c r="Z118" s="149"/>
    </row>
    <row r="119" customFormat="false" ht="15.75" hidden="true" customHeight="true" outlineLevel="0" collapsed="false">
      <c r="A119" s="156"/>
      <c r="B119" s="163" t="s">
        <v>240</v>
      </c>
      <c r="C119" s="164" t="n">
        <v>3034792</v>
      </c>
      <c r="D119" s="166" t="s">
        <v>441</v>
      </c>
      <c r="E119" s="159" t="n">
        <v>2721</v>
      </c>
      <c r="F119" s="159" t="s">
        <v>442</v>
      </c>
      <c r="G119" s="159"/>
      <c r="H119" s="167"/>
      <c r="I119" s="157" t="s">
        <v>244</v>
      </c>
      <c r="J119" s="149"/>
      <c r="K119" s="149"/>
      <c r="L119" s="149"/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W119" s="149"/>
      <c r="X119" s="149"/>
      <c r="Y119" s="149"/>
      <c r="Z119" s="149"/>
    </row>
    <row r="120" customFormat="false" ht="15.75" hidden="true" customHeight="true" outlineLevel="0" collapsed="false">
      <c r="A120" s="156"/>
      <c r="B120" s="163" t="s">
        <v>245</v>
      </c>
      <c r="C120" s="164" t="s">
        <v>443</v>
      </c>
      <c r="D120" s="159" t="s">
        <v>444</v>
      </c>
      <c r="E120" s="159" t="n">
        <v>2721</v>
      </c>
      <c r="F120" s="159" t="s">
        <v>445</v>
      </c>
      <c r="G120" s="179" t="n">
        <v>47030</v>
      </c>
      <c r="H120" s="167"/>
      <c r="I120" s="157" t="s">
        <v>249</v>
      </c>
      <c r="J120" s="149"/>
      <c r="K120" s="149"/>
      <c r="L120" s="149"/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W120" s="149"/>
      <c r="X120" s="149"/>
      <c r="Y120" s="149"/>
      <c r="Z120" s="149"/>
    </row>
    <row r="121" customFormat="false" ht="15.75" hidden="true" customHeight="true" outlineLevel="0" collapsed="false">
      <c r="A121" s="156"/>
      <c r="B121" s="163" t="s">
        <v>250</v>
      </c>
      <c r="C121" s="164" t="s">
        <v>251</v>
      </c>
      <c r="D121" s="159" t="n">
        <v>20745763</v>
      </c>
      <c r="E121" s="159" t="n">
        <v>2721</v>
      </c>
      <c r="F121" s="159" t="s">
        <v>446</v>
      </c>
      <c r="G121" s="159"/>
      <c r="H121" s="167"/>
      <c r="I121" s="157" t="s">
        <v>239</v>
      </c>
      <c r="J121" s="149"/>
      <c r="K121" s="149"/>
      <c r="L121" s="149"/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W121" s="149"/>
      <c r="X121" s="149"/>
      <c r="Y121" s="149"/>
      <c r="Z121" s="149"/>
    </row>
    <row r="122" customFormat="false" ht="15.75" hidden="true" customHeight="true" outlineLevel="0" collapsed="false">
      <c r="A122" s="156"/>
      <c r="B122" s="163" t="s">
        <v>252</v>
      </c>
      <c r="C122" s="164" t="s">
        <v>253</v>
      </c>
      <c r="D122" s="159" t="s">
        <v>447</v>
      </c>
      <c r="E122" s="159" t="n">
        <v>2721</v>
      </c>
      <c r="F122" s="159" t="s">
        <v>440</v>
      </c>
      <c r="G122" s="159"/>
      <c r="H122" s="167"/>
      <c r="I122" s="157" t="s">
        <v>239</v>
      </c>
      <c r="J122" s="149"/>
      <c r="K122" s="149"/>
      <c r="L122" s="149"/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W122" s="149"/>
      <c r="X122" s="149"/>
      <c r="Y122" s="149"/>
      <c r="Z122" s="149"/>
    </row>
    <row r="123" customFormat="false" ht="15.75" hidden="true" customHeight="true" outlineLevel="0" collapsed="false">
      <c r="A123" s="156"/>
      <c r="B123" s="163" t="s">
        <v>255</v>
      </c>
      <c r="C123" s="164" t="s">
        <v>328</v>
      </c>
      <c r="D123" s="159" t="s">
        <v>448</v>
      </c>
      <c r="E123" s="159" t="n">
        <v>2721</v>
      </c>
      <c r="F123" s="159" t="s">
        <v>449</v>
      </c>
      <c r="G123" s="159"/>
      <c r="H123" s="167"/>
      <c r="I123" s="157" t="s">
        <v>244</v>
      </c>
      <c r="J123" s="149"/>
      <c r="K123" s="149"/>
      <c r="L123" s="149"/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W123" s="149"/>
      <c r="X123" s="149"/>
      <c r="Y123" s="149"/>
      <c r="Z123" s="149"/>
    </row>
    <row r="124" customFormat="false" ht="15.75" hidden="true" customHeight="true" outlineLevel="0" collapsed="false">
      <c r="A124" s="156"/>
      <c r="B124" s="163" t="s">
        <v>259</v>
      </c>
      <c r="C124" s="164" t="s">
        <v>450</v>
      </c>
      <c r="D124" s="159" t="n">
        <v>862</v>
      </c>
      <c r="E124" s="159" t="n">
        <v>2721</v>
      </c>
      <c r="F124" s="169" t="s">
        <v>451</v>
      </c>
      <c r="G124" s="180" t="s">
        <v>452</v>
      </c>
      <c r="H124" s="167"/>
      <c r="I124" s="157" t="s">
        <v>244</v>
      </c>
      <c r="J124" s="149"/>
      <c r="K124" s="149"/>
      <c r="L124" s="149"/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W124" s="149"/>
      <c r="X124" s="149"/>
      <c r="Y124" s="149"/>
      <c r="Z124" s="149"/>
    </row>
    <row r="125" customFormat="false" ht="15.75" hidden="true" customHeight="true" outlineLevel="0" collapsed="false">
      <c r="A125" s="156"/>
      <c r="B125" s="163" t="s">
        <v>262</v>
      </c>
      <c r="C125" s="164" t="s">
        <v>263</v>
      </c>
      <c r="D125" s="159" t="n">
        <v>250353</v>
      </c>
      <c r="E125" s="159" t="n">
        <v>2721</v>
      </c>
      <c r="F125" s="159" t="s">
        <v>453</v>
      </c>
      <c r="G125" s="179" t="n">
        <v>11448</v>
      </c>
      <c r="H125" s="167"/>
      <c r="I125" s="157" t="s">
        <v>266</v>
      </c>
      <c r="J125" s="149"/>
      <c r="K125" s="149"/>
      <c r="L125" s="149"/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  <c r="W125" s="149"/>
      <c r="X125" s="149"/>
      <c r="Y125" s="149"/>
      <c r="Z125" s="149"/>
    </row>
    <row r="126" customFormat="false" ht="15.75" hidden="true" customHeight="true" outlineLevel="0" collapsed="false">
      <c r="A126" s="156"/>
      <c r="B126" s="163" t="s">
        <v>267</v>
      </c>
      <c r="C126" s="164" t="s">
        <v>268</v>
      </c>
      <c r="D126" s="159" t="n">
        <v>17724757</v>
      </c>
      <c r="E126" s="159" t="n">
        <v>2721</v>
      </c>
      <c r="F126" s="159" t="s">
        <v>454</v>
      </c>
      <c r="G126" s="159"/>
      <c r="H126" s="167"/>
      <c r="I126" s="157" t="s">
        <v>271</v>
      </c>
      <c r="J126" s="149"/>
      <c r="K126" s="149"/>
      <c r="L126" s="149"/>
      <c r="M126" s="149"/>
      <c r="N126" s="149"/>
      <c r="O126" s="149"/>
      <c r="P126" s="149"/>
      <c r="Q126" s="149"/>
      <c r="R126" s="149"/>
      <c r="S126" s="149"/>
      <c r="T126" s="149"/>
      <c r="U126" s="149"/>
      <c r="V126" s="149"/>
      <c r="W126" s="149"/>
      <c r="X126" s="149"/>
      <c r="Y126" s="149"/>
      <c r="Z126" s="149"/>
    </row>
    <row r="127" customFormat="false" ht="15.75" hidden="true" customHeight="true" outlineLevel="0" collapsed="false">
      <c r="A127" s="156"/>
      <c r="B127" s="163" t="s">
        <v>272</v>
      </c>
      <c r="C127" s="164" t="s">
        <v>273</v>
      </c>
      <c r="D127" s="159"/>
      <c r="E127" s="159" t="n">
        <v>2721</v>
      </c>
      <c r="F127" s="159" t="s">
        <v>455</v>
      </c>
      <c r="G127" s="179" t="n">
        <v>11014</v>
      </c>
      <c r="H127" s="167"/>
      <c r="I127" s="158" t="s">
        <v>276</v>
      </c>
      <c r="J127" s="149"/>
      <c r="K127" s="149"/>
      <c r="L127" s="149"/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W127" s="149"/>
      <c r="X127" s="149"/>
      <c r="Y127" s="149"/>
      <c r="Z127" s="149"/>
    </row>
    <row r="128" customFormat="false" ht="15.75" hidden="true" customHeight="true" outlineLevel="0" collapsed="false">
      <c r="A128" s="156"/>
      <c r="B128" s="163" t="s">
        <v>277</v>
      </c>
      <c r="C128" s="164" t="n">
        <v>3035302</v>
      </c>
      <c r="D128" s="159"/>
      <c r="E128" s="159" t="n">
        <v>2721</v>
      </c>
      <c r="F128" s="159"/>
      <c r="G128" s="159"/>
      <c r="H128" s="167"/>
      <c r="I128" s="158"/>
      <c r="J128" s="149"/>
      <c r="K128" s="149"/>
      <c r="L128" s="149"/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W128" s="149"/>
      <c r="X128" s="149"/>
      <c r="Y128" s="149"/>
      <c r="Z128" s="149"/>
    </row>
    <row r="129" customFormat="false" ht="15.75" hidden="true" customHeight="true" outlineLevel="0" collapsed="false">
      <c r="A129" s="156"/>
      <c r="B129" s="163" t="s">
        <v>278</v>
      </c>
      <c r="C129" s="164" t="n">
        <v>3033736</v>
      </c>
      <c r="D129" s="159"/>
      <c r="E129" s="159" t="n">
        <v>2721</v>
      </c>
      <c r="F129" s="159"/>
      <c r="G129" s="159"/>
      <c r="H129" s="167"/>
      <c r="I129" s="158"/>
      <c r="J129" s="149"/>
      <c r="K129" s="149"/>
      <c r="L129" s="149"/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W129" s="149"/>
      <c r="X129" s="149"/>
      <c r="Y129" s="149"/>
      <c r="Z129" s="149"/>
    </row>
    <row r="130" customFormat="false" ht="15.75" hidden="true" customHeight="true" outlineLevel="0" collapsed="false">
      <c r="A130" s="156"/>
      <c r="B130" s="163" t="s">
        <v>279</v>
      </c>
      <c r="C130" s="164" t="s">
        <v>280</v>
      </c>
      <c r="D130" s="159"/>
      <c r="E130" s="159" t="n">
        <v>2721</v>
      </c>
      <c r="F130" s="159" t="s">
        <v>456</v>
      </c>
      <c r="G130" s="179" t="n">
        <v>47174</v>
      </c>
      <c r="H130" s="167"/>
      <c r="I130" s="158"/>
      <c r="J130" s="149"/>
      <c r="K130" s="149"/>
      <c r="L130" s="149"/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W130" s="149"/>
      <c r="X130" s="149"/>
      <c r="Y130" s="149"/>
      <c r="Z130" s="149"/>
    </row>
    <row r="131" customFormat="false" ht="15.75" hidden="true" customHeight="true" outlineLevel="0" collapsed="false">
      <c r="A131" s="156"/>
      <c r="B131" s="163" t="s">
        <v>283</v>
      </c>
      <c r="C131" s="164" t="s">
        <v>284</v>
      </c>
      <c r="D131" s="159"/>
      <c r="E131" s="159" t="n">
        <v>2721</v>
      </c>
      <c r="F131" s="159"/>
      <c r="G131" s="159"/>
      <c r="H131" s="167"/>
      <c r="I131" s="158"/>
      <c r="J131" s="149"/>
      <c r="K131" s="149"/>
      <c r="L131" s="149"/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W131" s="149"/>
      <c r="X131" s="149"/>
      <c r="Y131" s="149"/>
      <c r="Z131" s="149"/>
    </row>
    <row r="132" customFormat="false" ht="15.75" hidden="true" customHeight="true" outlineLevel="0" collapsed="false">
      <c r="A132" s="156"/>
      <c r="B132" s="163" t="s">
        <v>285</v>
      </c>
      <c r="C132" s="164" t="s">
        <v>286</v>
      </c>
      <c r="D132" s="159"/>
      <c r="E132" s="159" t="n">
        <v>2721</v>
      </c>
      <c r="F132" s="159" t="s">
        <v>457</v>
      </c>
      <c r="G132" s="179" t="n">
        <v>46566</v>
      </c>
      <c r="H132" s="167"/>
      <c r="I132" s="158"/>
      <c r="J132" s="149"/>
      <c r="K132" s="149"/>
      <c r="L132" s="149"/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W132" s="149"/>
      <c r="X132" s="149"/>
      <c r="Y132" s="149"/>
      <c r="Z132" s="149"/>
    </row>
    <row r="133" customFormat="false" ht="15.75" hidden="true" customHeight="true" outlineLevel="0" collapsed="false">
      <c r="A133" s="156"/>
      <c r="B133" s="163" t="s">
        <v>289</v>
      </c>
      <c r="C133" s="164" t="n">
        <v>3033737</v>
      </c>
      <c r="D133" s="159"/>
      <c r="E133" s="159" t="n">
        <v>2721</v>
      </c>
      <c r="F133" s="159"/>
      <c r="G133" s="159"/>
      <c r="H133" s="167"/>
      <c r="I133" s="158"/>
      <c r="J133" s="149"/>
      <c r="K133" s="149"/>
      <c r="L133" s="149"/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  <c r="W133" s="149"/>
      <c r="X133" s="149"/>
      <c r="Y133" s="149"/>
      <c r="Z133" s="149"/>
    </row>
    <row r="134" customFormat="false" ht="15.75" hidden="true" customHeight="true" outlineLevel="0" collapsed="false">
      <c r="A134" s="156"/>
      <c r="B134" s="163" t="s">
        <v>290</v>
      </c>
      <c r="C134" s="164" t="s">
        <v>291</v>
      </c>
      <c r="D134" s="159"/>
      <c r="E134" s="159" t="n">
        <v>2721</v>
      </c>
      <c r="F134" s="159" t="s">
        <v>458</v>
      </c>
      <c r="G134" s="179" t="n">
        <v>47296</v>
      </c>
      <c r="H134" s="167"/>
      <c r="I134" s="158"/>
      <c r="J134" s="149"/>
      <c r="K134" s="149"/>
      <c r="L134" s="149"/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W134" s="149"/>
      <c r="X134" s="149"/>
      <c r="Y134" s="149"/>
      <c r="Z134" s="149"/>
    </row>
    <row r="135" customFormat="false" ht="15.75" hidden="true" customHeight="true" outlineLevel="0" collapsed="false">
      <c r="A135" s="156"/>
      <c r="B135" s="163" t="s">
        <v>294</v>
      </c>
      <c r="C135" s="164" t="s">
        <v>295</v>
      </c>
      <c r="D135" s="159"/>
      <c r="E135" s="159" t="n">
        <v>2721</v>
      </c>
      <c r="F135" s="159"/>
      <c r="G135" s="159"/>
      <c r="H135" s="167"/>
      <c r="I135" s="158"/>
      <c r="J135" s="149"/>
      <c r="K135" s="149"/>
      <c r="L135" s="149"/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W135" s="149"/>
      <c r="X135" s="149"/>
      <c r="Y135" s="149"/>
      <c r="Z135" s="149"/>
    </row>
    <row r="136" customFormat="false" ht="15.75" hidden="true" customHeight="true" outlineLevel="0" collapsed="false">
      <c r="A136" s="156"/>
      <c r="B136" s="163" t="s">
        <v>359</v>
      </c>
      <c r="C136" s="164" t="s">
        <v>297</v>
      </c>
      <c r="D136" s="159"/>
      <c r="E136" s="159" t="n">
        <v>2721</v>
      </c>
      <c r="F136" s="159"/>
      <c r="G136" s="159"/>
      <c r="H136" s="167"/>
      <c r="I136" s="158"/>
      <c r="J136" s="149"/>
      <c r="K136" s="149"/>
      <c r="L136" s="149"/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W136" s="149"/>
      <c r="X136" s="149"/>
      <c r="Y136" s="149"/>
      <c r="Z136" s="149"/>
    </row>
    <row r="137" customFormat="false" ht="15.75" hidden="true" customHeight="true" outlineLevel="0" collapsed="false">
      <c r="A137" s="156"/>
      <c r="B137" s="157" t="s">
        <v>303</v>
      </c>
      <c r="C137" s="164" t="s">
        <v>304</v>
      </c>
      <c r="D137" s="159"/>
      <c r="E137" s="159" t="n">
        <v>2721</v>
      </c>
      <c r="F137" s="159" t="s">
        <v>459</v>
      </c>
      <c r="G137" s="179" t="n">
        <v>13055</v>
      </c>
      <c r="H137" s="167"/>
      <c r="I137" s="158"/>
      <c r="J137" s="149"/>
      <c r="K137" s="149"/>
      <c r="L137" s="149"/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W137" s="149"/>
      <c r="X137" s="149"/>
      <c r="Y137" s="149"/>
      <c r="Z137" s="149"/>
    </row>
    <row r="138" customFormat="false" ht="15.75" hidden="true" customHeight="true" outlineLevel="0" collapsed="false">
      <c r="A138" s="156"/>
      <c r="B138" s="157" t="s">
        <v>303</v>
      </c>
      <c r="C138" s="164" t="s">
        <v>307</v>
      </c>
      <c r="D138" s="159"/>
      <c r="E138" s="159" t="n">
        <v>2721</v>
      </c>
      <c r="F138" s="159" t="s">
        <v>459</v>
      </c>
      <c r="G138" s="179" t="n">
        <v>13055</v>
      </c>
      <c r="H138" s="167"/>
      <c r="I138" s="158"/>
      <c r="J138" s="149"/>
      <c r="K138" s="149"/>
      <c r="L138" s="149"/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W138" s="149"/>
      <c r="X138" s="149"/>
      <c r="Y138" s="149"/>
      <c r="Z138" s="149"/>
    </row>
    <row r="139" customFormat="false" ht="15.75" hidden="true" customHeight="true" outlineLevel="0" collapsed="false">
      <c r="A139" s="156"/>
      <c r="B139" s="167"/>
      <c r="C139" s="167"/>
      <c r="D139" s="167"/>
      <c r="E139" s="167"/>
      <c r="F139" s="167"/>
      <c r="G139" s="167"/>
      <c r="H139" s="167"/>
      <c r="I139" s="167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</row>
    <row r="140" customFormat="false" ht="15.75" hidden="false" customHeight="true" outlineLevel="0" collapsed="false">
      <c r="A140" s="156"/>
      <c r="B140" s="157" t="s">
        <v>232</v>
      </c>
      <c r="C140" s="164" t="n">
        <v>3044000</v>
      </c>
      <c r="D140" s="173" t="s">
        <v>460</v>
      </c>
      <c r="E140" s="158" t="n">
        <v>2722</v>
      </c>
      <c r="F140" s="168" t="s">
        <v>461</v>
      </c>
      <c r="G140" s="180" t="s">
        <v>462</v>
      </c>
      <c r="H140" s="181" t="s">
        <v>463</v>
      </c>
      <c r="I140" s="157" t="s">
        <v>464</v>
      </c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</row>
    <row r="141" customFormat="false" ht="15.75" hidden="false" customHeight="true" outlineLevel="0" collapsed="false">
      <c r="A141" s="156"/>
      <c r="B141" s="163" t="s">
        <v>236</v>
      </c>
      <c r="C141" s="164" t="n">
        <v>3032710</v>
      </c>
      <c r="D141" s="173" t="s">
        <v>465</v>
      </c>
      <c r="E141" s="158" t="n">
        <v>2722</v>
      </c>
      <c r="F141" s="160" t="s">
        <v>466</v>
      </c>
      <c r="G141" s="161"/>
      <c r="H141" s="167"/>
      <c r="I141" s="157" t="s">
        <v>239</v>
      </c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</row>
    <row r="142" customFormat="false" ht="15.75" hidden="false" customHeight="true" outlineLevel="0" collapsed="false">
      <c r="A142" s="156"/>
      <c r="B142" s="163" t="s">
        <v>240</v>
      </c>
      <c r="C142" s="164" t="s">
        <v>241</v>
      </c>
      <c r="D142" s="173" t="s">
        <v>467</v>
      </c>
      <c r="E142" s="158" t="n">
        <v>2722</v>
      </c>
      <c r="F142" s="160" t="s">
        <v>468</v>
      </c>
      <c r="G142" s="161"/>
      <c r="H142" s="167"/>
      <c r="I142" s="157" t="s">
        <v>244</v>
      </c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</row>
    <row r="143" customFormat="false" ht="15.75" hidden="false" customHeight="true" outlineLevel="0" collapsed="false">
      <c r="A143" s="156"/>
      <c r="B143" s="163" t="s">
        <v>245</v>
      </c>
      <c r="C143" s="164" t="s">
        <v>246</v>
      </c>
      <c r="D143" s="173" t="s">
        <v>469</v>
      </c>
      <c r="E143" s="158" t="n">
        <v>2722</v>
      </c>
      <c r="F143" s="160" t="s">
        <v>470</v>
      </c>
      <c r="G143" s="160" t="s">
        <v>471</v>
      </c>
      <c r="H143" s="167"/>
      <c r="I143" s="157" t="s">
        <v>249</v>
      </c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</row>
    <row r="144" customFormat="false" ht="15.75" hidden="false" customHeight="true" outlineLevel="0" collapsed="false">
      <c r="A144" s="156"/>
      <c r="B144" s="163" t="s">
        <v>250</v>
      </c>
      <c r="C144" s="164" t="s">
        <v>251</v>
      </c>
      <c r="D144" s="173" t="s">
        <v>472</v>
      </c>
      <c r="E144" s="158" t="n">
        <v>2722</v>
      </c>
      <c r="F144" s="160" t="s">
        <v>466</v>
      </c>
      <c r="G144" s="161"/>
      <c r="H144" s="167"/>
      <c r="I144" s="157" t="s">
        <v>239</v>
      </c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</row>
    <row r="145" customFormat="false" ht="15.75" hidden="false" customHeight="true" outlineLevel="0" collapsed="false">
      <c r="A145" s="156"/>
      <c r="B145" s="163" t="s">
        <v>252</v>
      </c>
      <c r="C145" s="164" t="s">
        <v>253</v>
      </c>
      <c r="D145" s="173" t="s">
        <v>473</v>
      </c>
      <c r="E145" s="158" t="n">
        <v>2722</v>
      </c>
      <c r="F145" s="160" t="s">
        <v>474</v>
      </c>
      <c r="G145" s="161"/>
      <c r="H145" s="167"/>
      <c r="I145" s="157" t="s">
        <v>239</v>
      </c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</row>
    <row r="146" customFormat="false" ht="15.75" hidden="false" customHeight="true" outlineLevel="0" collapsed="false">
      <c r="A146" s="156"/>
      <c r="B146" s="163" t="s">
        <v>255</v>
      </c>
      <c r="C146" s="164" t="s">
        <v>352</v>
      </c>
      <c r="D146" s="173" t="s">
        <v>475</v>
      </c>
      <c r="E146" s="158" t="n">
        <v>2722</v>
      </c>
      <c r="F146" s="160" t="s">
        <v>476</v>
      </c>
      <c r="G146" s="161"/>
      <c r="H146" s="167"/>
      <c r="I146" s="157" t="s">
        <v>244</v>
      </c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</row>
    <row r="147" customFormat="false" ht="15.75" hidden="false" customHeight="true" outlineLevel="0" collapsed="false">
      <c r="A147" s="156"/>
      <c r="B147" s="163" t="s">
        <v>259</v>
      </c>
      <c r="C147" s="164" t="s">
        <v>450</v>
      </c>
      <c r="D147" s="173" t="s">
        <v>477</v>
      </c>
      <c r="E147" s="158" t="n">
        <v>2722</v>
      </c>
      <c r="F147" s="160" t="s">
        <v>478</v>
      </c>
      <c r="G147" s="161"/>
      <c r="H147" s="167"/>
      <c r="I147" s="157" t="s">
        <v>244</v>
      </c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</row>
    <row r="148" customFormat="false" ht="15.75" hidden="false" customHeight="true" outlineLevel="0" collapsed="false">
      <c r="A148" s="156"/>
      <c r="B148" s="163" t="s">
        <v>262</v>
      </c>
      <c r="C148" s="164" t="s">
        <v>263</v>
      </c>
      <c r="D148" s="173" t="s">
        <v>479</v>
      </c>
      <c r="E148" s="158" t="n">
        <v>2722</v>
      </c>
      <c r="F148" s="160" t="s">
        <v>480</v>
      </c>
      <c r="G148" s="180" t="s">
        <v>481</v>
      </c>
      <c r="H148" s="167"/>
      <c r="I148" s="157" t="s">
        <v>266</v>
      </c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</row>
    <row r="149" customFormat="false" ht="15.75" hidden="false" customHeight="true" outlineLevel="0" collapsed="false">
      <c r="A149" s="156"/>
      <c r="B149" s="163" t="s">
        <v>267</v>
      </c>
      <c r="C149" s="164" t="s">
        <v>268</v>
      </c>
      <c r="D149" s="173" t="s">
        <v>482</v>
      </c>
      <c r="E149" s="158" t="n">
        <v>2722</v>
      </c>
      <c r="F149" s="160" t="s">
        <v>483</v>
      </c>
      <c r="G149" s="161"/>
      <c r="H149" s="167"/>
      <c r="I149" s="157" t="s">
        <v>271</v>
      </c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</row>
    <row r="150" customFormat="false" ht="15.75" hidden="false" customHeight="true" outlineLevel="0" collapsed="false">
      <c r="A150" s="156"/>
      <c r="B150" s="163" t="s">
        <v>272</v>
      </c>
      <c r="C150" s="164" t="s">
        <v>273</v>
      </c>
      <c r="D150" s="166"/>
      <c r="E150" s="158" t="n">
        <v>2722</v>
      </c>
      <c r="F150" s="160" t="s">
        <v>339</v>
      </c>
      <c r="G150" s="160" t="s">
        <v>340</v>
      </c>
      <c r="H150" s="167"/>
      <c r="I150" s="182" t="s">
        <v>276</v>
      </c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</row>
    <row r="151" customFormat="false" ht="15.75" hidden="false" customHeight="true" outlineLevel="0" collapsed="false">
      <c r="A151" s="156"/>
      <c r="B151" s="163" t="s">
        <v>277</v>
      </c>
      <c r="C151" s="164" t="n">
        <v>3035302</v>
      </c>
      <c r="D151" s="166"/>
      <c r="E151" s="158" t="n">
        <v>2722</v>
      </c>
      <c r="F151" s="160" t="s">
        <v>484</v>
      </c>
      <c r="G151" s="160" t="s">
        <v>426</v>
      </c>
      <c r="H151" s="167"/>
      <c r="I151" s="182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</row>
    <row r="152" customFormat="false" ht="15.75" hidden="false" customHeight="true" outlineLevel="0" collapsed="false">
      <c r="A152" s="156"/>
      <c r="B152" s="163" t="s">
        <v>278</v>
      </c>
      <c r="C152" s="164" t="n">
        <v>3033736</v>
      </c>
      <c r="D152" s="166"/>
      <c r="E152" s="158" t="n">
        <v>2722</v>
      </c>
      <c r="F152" s="160" t="s">
        <v>484</v>
      </c>
      <c r="G152" s="160" t="s">
        <v>426</v>
      </c>
      <c r="H152" s="167"/>
      <c r="I152" s="182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</row>
    <row r="153" customFormat="false" ht="15.75" hidden="false" customHeight="true" outlineLevel="0" collapsed="false">
      <c r="A153" s="156"/>
      <c r="B153" s="163" t="s">
        <v>279</v>
      </c>
      <c r="C153" s="164" t="s">
        <v>280</v>
      </c>
      <c r="D153" s="166"/>
      <c r="E153" s="158" t="n">
        <v>2722</v>
      </c>
      <c r="F153" s="160" t="s">
        <v>339</v>
      </c>
      <c r="G153" s="160" t="s">
        <v>340</v>
      </c>
      <c r="H153" s="167"/>
      <c r="I153" s="182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</row>
    <row r="154" customFormat="false" ht="15.75" hidden="false" customHeight="true" outlineLevel="0" collapsed="false">
      <c r="A154" s="156"/>
      <c r="B154" s="163" t="s">
        <v>283</v>
      </c>
      <c r="C154" s="164" t="s">
        <v>284</v>
      </c>
      <c r="D154" s="166"/>
      <c r="E154" s="158" t="n">
        <v>2722</v>
      </c>
      <c r="F154" s="160" t="s">
        <v>341</v>
      </c>
      <c r="G154" s="160" t="s">
        <v>342</v>
      </c>
      <c r="H154" s="167"/>
      <c r="I154" s="182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</row>
    <row r="155" customFormat="false" ht="15.75" hidden="false" customHeight="true" outlineLevel="0" collapsed="false">
      <c r="A155" s="156"/>
      <c r="B155" s="163" t="s">
        <v>285</v>
      </c>
      <c r="C155" s="164" t="s">
        <v>286</v>
      </c>
      <c r="D155" s="166"/>
      <c r="E155" s="158" t="n">
        <v>2722</v>
      </c>
      <c r="F155" s="160" t="s">
        <v>343</v>
      </c>
      <c r="G155" s="160" t="s">
        <v>485</v>
      </c>
      <c r="H155" s="167"/>
      <c r="I155" s="182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</row>
    <row r="156" customFormat="false" ht="15.75" hidden="false" customHeight="true" outlineLevel="0" collapsed="false">
      <c r="A156" s="156"/>
      <c r="B156" s="163" t="s">
        <v>289</v>
      </c>
      <c r="C156" s="164" t="n">
        <v>3033737</v>
      </c>
      <c r="D156" s="166"/>
      <c r="E156" s="158" t="n">
        <v>2722</v>
      </c>
      <c r="F156" s="160" t="s">
        <v>484</v>
      </c>
      <c r="G156" s="160" t="s">
        <v>426</v>
      </c>
      <c r="H156" s="167"/>
      <c r="I156" s="182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</row>
    <row r="157" customFormat="false" ht="15.75" hidden="false" customHeight="true" outlineLevel="0" collapsed="false">
      <c r="A157" s="156"/>
      <c r="B157" s="163" t="s">
        <v>290</v>
      </c>
      <c r="C157" s="164" t="s">
        <v>291</v>
      </c>
      <c r="D157" s="166"/>
      <c r="E157" s="158" t="n">
        <v>2722</v>
      </c>
      <c r="F157" s="160" t="s">
        <v>486</v>
      </c>
      <c r="G157" s="160" t="s">
        <v>392</v>
      </c>
      <c r="H157" s="167"/>
      <c r="I157" s="182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</row>
    <row r="158" customFormat="false" ht="15.75" hidden="false" customHeight="true" outlineLevel="0" collapsed="false">
      <c r="A158" s="156"/>
      <c r="B158" s="163" t="s">
        <v>294</v>
      </c>
      <c r="C158" s="164" t="s">
        <v>295</v>
      </c>
      <c r="D158" s="166"/>
      <c r="E158" s="158" t="n">
        <v>2722</v>
      </c>
      <c r="F158" s="160" t="s">
        <v>432</v>
      </c>
      <c r="G158" s="160" t="s">
        <v>433</v>
      </c>
      <c r="H158" s="167"/>
      <c r="I158" s="182"/>
      <c r="J158" s="149"/>
      <c r="K158" s="149"/>
      <c r="L158" s="149"/>
      <c r="M158" s="149"/>
      <c r="N158" s="149"/>
      <c r="O158" s="149"/>
      <c r="P158" s="149"/>
      <c r="Q158" s="149"/>
      <c r="R158" s="149"/>
      <c r="S158" s="149"/>
      <c r="T158" s="149"/>
      <c r="U158" s="149"/>
      <c r="V158" s="149"/>
      <c r="W158" s="149"/>
      <c r="X158" s="149"/>
      <c r="Y158" s="149"/>
      <c r="Z158" s="149"/>
    </row>
    <row r="159" customFormat="false" ht="15.75" hidden="false" customHeight="true" outlineLevel="0" collapsed="false">
      <c r="A159" s="156"/>
      <c r="B159" s="163" t="s">
        <v>296</v>
      </c>
      <c r="C159" s="164" t="s">
        <v>297</v>
      </c>
      <c r="D159" s="166"/>
      <c r="E159" s="158" t="n">
        <v>2722</v>
      </c>
      <c r="F159" s="160" t="s">
        <v>487</v>
      </c>
      <c r="G159" s="160" t="s">
        <v>488</v>
      </c>
      <c r="H159" s="167"/>
      <c r="I159" s="182"/>
      <c r="J159" s="149"/>
      <c r="K159" s="149"/>
      <c r="L159" s="149"/>
      <c r="M159" s="149"/>
      <c r="N159" s="149"/>
      <c r="O159" s="149"/>
      <c r="P159" s="149"/>
      <c r="Q159" s="149"/>
      <c r="R159" s="149"/>
      <c r="S159" s="149"/>
      <c r="T159" s="149"/>
      <c r="U159" s="149"/>
      <c r="V159" s="149"/>
      <c r="W159" s="149"/>
      <c r="X159" s="149"/>
      <c r="Y159" s="149"/>
      <c r="Z159" s="149"/>
    </row>
    <row r="160" customFormat="false" ht="15.75" hidden="false" customHeight="true" outlineLevel="0" collapsed="false">
      <c r="A160" s="156"/>
      <c r="B160" s="163" t="s">
        <v>300</v>
      </c>
      <c r="C160" s="164" t="s">
        <v>297</v>
      </c>
      <c r="D160" s="166"/>
      <c r="E160" s="158" t="n">
        <v>2722</v>
      </c>
      <c r="F160" s="165" t="s">
        <v>489</v>
      </c>
      <c r="G160" s="165" t="s">
        <v>490</v>
      </c>
      <c r="H160" s="167"/>
      <c r="I160" s="182"/>
      <c r="J160" s="149"/>
      <c r="K160" s="149"/>
      <c r="L160" s="149"/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  <c r="W160" s="149"/>
      <c r="X160" s="149"/>
      <c r="Y160" s="149"/>
      <c r="Z160" s="149"/>
    </row>
    <row r="161" customFormat="false" ht="15.75" hidden="false" customHeight="true" outlineLevel="0" collapsed="false">
      <c r="A161" s="156"/>
      <c r="B161" s="157" t="s">
        <v>303</v>
      </c>
      <c r="C161" s="164" t="s">
        <v>304</v>
      </c>
      <c r="D161" s="166"/>
      <c r="E161" s="158" t="n">
        <v>2722</v>
      </c>
      <c r="F161" s="160" t="s">
        <v>436</v>
      </c>
      <c r="G161" s="160" t="s">
        <v>306</v>
      </c>
      <c r="H161" s="167"/>
      <c r="I161" s="182"/>
      <c r="J161" s="149"/>
      <c r="K161" s="149"/>
      <c r="L161" s="149"/>
      <c r="M161" s="149"/>
      <c r="N161" s="149"/>
      <c r="O161" s="149"/>
      <c r="P161" s="149"/>
      <c r="Q161" s="149"/>
      <c r="R161" s="149"/>
      <c r="S161" s="149"/>
      <c r="T161" s="149"/>
      <c r="U161" s="149"/>
      <c r="V161" s="149"/>
      <c r="W161" s="149"/>
      <c r="X161" s="149"/>
      <c r="Y161" s="149"/>
      <c r="Z161" s="149"/>
    </row>
    <row r="162" customFormat="false" ht="15.75" hidden="false" customHeight="true" outlineLevel="0" collapsed="false">
      <c r="A162" s="156"/>
      <c r="B162" s="157" t="s">
        <v>303</v>
      </c>
      <c r="C162" s="164" t="s">
        <v>307</v>
      </c>
      <c r="D162" s="166"/>
      <c r="E162" s="158" t="n">
        <v>2722</v>
      </c>
      <c r="F162" s="160" t="s">
        <v>436</v>
      </c>
      <c r="G162" s="160" t="s">
        <v>306</v>
      </c>
      <c r="H162" s="167"/>
      <c r="I162" s="182"/>
      <c r="J162" s="149"/>
      <c r="K162" s="149"/>
      <c r="L162" s="149"/>
      <c r="M162" s="149"/>
      <c r="N162" s="149"/>
      <c r="O162" s="149"/>
      <c r="P162" s="149"/>
      <c r="Q162" s="149"/>
      <c r="R162" s="149"/>
      <c r="S162" s="149"/>
      <c r="T162" s="149"/>
      <c r="U162" s="149"/>
      <c r="V162" s="149"/>
      <c r="W162" s="149"/>
      <c r="X162" s="149"/>
      <c r="Y162" s="149"/>
      <c r="Z162" s="149"/>
    </row>
    <row r="163" customFormat="false" ht="15.75" hidden="true" customHeight="true" outlineLevel="0" collapsed="false">
      <c r="A163" s="156"/>
      <c r="B163" s="157"/>
      <c r="C163" s="157"/>
      <c r="D163" s="157"/>
      <c r="E163" s="157"/>
      <c r="F163" s="157"/>
      <c r="G163" s="157"/>
      <c r="H163" s="157"/>
      <c r="I163" s="157"/>
      <c r="J163" s="149"/>
      <c r="K163" s="149"/>
      <c r="L163" s="149"/>
      <c r="M163" s="149"/>
      <c r="N163" s="149"/>
      <c r="O163" s="149"/>
      <c r="P163" s="149"/>
      <c r="Q163" s="149"/>
      <c r="R163" s="149"/>
      <c r="S163" s="149"/>
      <c r="T163" s="149"/>
      <c r="U163" s="149"/>
      <c r="V163" s="149"/>
      <c r="W163" s="149"/>
      <c r="X163" s="149"/>
      <c r="Y163" s="149"/>
      <c r="Z163" s="149"/>
    </row>
    <row r="164" customFormat="false" ht="15.75" hidden="true" customHeight="true" outlineLevel="0" collapsed="false">
      <c r="A164" s="156"/>
      <c r="B164" s="157" t="s">
        <v>232</v>
      </c>
      <c r="C164" s="164" t="n">
        <v>3044000</v>
      </c>
      <c r="D164" s="173" t="s">
        <v>491</v>
      </c>
      <c r="E164" s="178" t="n">
        <v>2728</v>
      </c>
      <c r="F164" s="175" t="s">
        <v>492</v>
      </c>
      <c r="G164" s="176"/>
      <c r="H164" s="167"/>
      <c r="I164" s="157" t="s">
        <v>493</v>
      </c>
      <c r="J164" s="149"/>
      <c r="K164" s="149"/>
      <c r="L164" s="149"/>
      <c r="M164" s="149"/>
      <c r="N164" s="149"/>
      <c r="O164" s="149"/>
      <c r="P164" s="149"/>
      <c r="Q164" s="149"/>
      <c r="R164" s="149"/>
      <c r="S164" s="149"/>
      <c r="T164" s="149"/>
      <c r="U164" s="149"/>
      <c r="V164" s="149"/>
      <c r="W164" s="149"/>
      <c r="X164" s="149"/>
      <c r="Y164" s="149"/>
      <c r="Z164" s="149"/>
    </row>
    <row r="165" customFormat="false" ht="15.75" hidden="true" customHeight="true" outlineLevel="0" collapsed="false">
      <c r="A165" s="156"/>
      <c r="B165" s="163" t="s">
        <v>236</v>
      </c>
      <c r="C165" s="164" t="s">
        <v>237</v>
      </c>
      <c r="D165" s="173" t="s">
        <v>494</v>
      </c>
      <c r="E165" s="178" t="n">
        <v>2728</v>
      </c>
      <c r="F165" s="175" t="s">
        <v>495</v>
      </c>
      <c r="G165" s="176"/>
      <c r="H165" s="167"/>
      <c r="I165" s="157" t="s">
        <v>239</v>
      </c>
      <c r="J165" s="149"/>
      <c r="K165" s="149"/>
      <c r="L165" s="149"/>
      <c r="M165" s="149"/>
      <c r="N165" s="149"/>
      <c r="O165" s="149"/>
      <c r="P165" s="149"/>
      <c r="Q165" s="149"/>
      <c r="R165" s="149"/>
      <c r="S165" s="149"/>
      <c r="T165" s="149"/>
      <c r="U165" s="149"/>
      <c r="V165" s="149"/>
      <c r="W165" s="149"/>
      <c r="X165" s="149"/>
      <c r="Y165" s="149"/>
      <c r="Z165" s="149"/>
    </row>
    <row r="166" customFormat="false" ht="15.75" hidden="true" customHeight="true" outlineLevel="0" collapsed="false">
      <c r="A166" s="156"/>
      <c r="B166" s="163" t="s">
        <v>240</v>
      </c>
      <c r="C166" s="164" t="s">
        <v>406</v>
      </c>
      <c r="D166" s="173" t="s">
        <v>496</v>
      </c>
      <c r="E166" s="178" t="n">
        <v>2728</v>
      </c>
      <c r="F166" s="175" t="s">
        <v>497</v>
      </c>
      <c r="G166" s="176"/>
      <c r="H166" s="167"/>
      <c r="I166" s="157" t="s">
        <v>244</v>
      </c>
      <c r="J166" s="149"/>
      <c r="K166" s="149"/>
      <c r="L166" s="149"/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  <c r="W166" s="149"/>
      <c r="X166" s="149"/>
      <c r="Y166" s="149"/>
      <c r="Z166" s="149"/>
    </row>
    <row r="167" customFormat="false" ht="15.75" hidden="true" customHeight="true" outlineLevel="0" collapsed="false">
      <c r="A167" s="156"/>
      <c r="B167" s="163" t="s">
        <v>245</v>
      </c>
      <c r="C167" s="164" t="s">
        <v>409</v>
      </c>
      <c r="D167" s="173" t="s">
        <v>498</v>
      </c>
      <c r="E167" s="178" t="n">
        <v>2728</v>
      </c>
      <c r="F167" s="175" t="s">
        <v>499</v>
      </c>
      <c r="G167" s="176" t="s">
        <v>500</v>
      </c>
      <c r="H167" s="167"/>
      <c r="I167" s="157" t="s">
        <v>249</v>
      </c>
      <c r="J167" s="149"/>
      <c r="K167" s="149"/>
      <c r="L167" s="149"/>
      <c r="M167" s="149"/>
      <c r="N167" s="149"/>
      <c r="O167" s="149"/>
      <c r="P167" s="149"/>
      <c r="Q167" s="149"/>
      <c r="R167" s="149"/>
      <c r="S167" s="149"/>
      <c r="T167" s="149"/>
      <c r="U167" s="149"/>
      <c r="V167" s="149"/>
      <c r="W167" s="149"/>
      <c r="X167" s="149"/>
      <c r="Y167" s="149"/>
      <c r="Z167" s="149"/>
    </row>
    <row r="168" customFormat="false" ht="15.75" hidden="true" customHeight="true" outlineLevel="0" collapsed="false">
      <c r="A168" s="156"/>
      <c r="B168" s="163" t="s">
        <v>250</v>
      </c>
      <c r="C168" s="164" t="s">
        <v>251</v>
      </c>
      <c r="D168" s="173" t="s">
        <v>501</v>
      </c>
      <c r="E168" s="178" t="n">
        <v>2728</v>
      </c>
      <c r="F168" s="175" t="s">
        <v>495</v>
      </c>
      <c r="G168" s="176"/>
      <c r="H168" s="167"/>
      <c r="I168" s="157" t="s">
        <v>239</v>
      </c>
      <c r="J168" s="149"/>
      <c r="K168" s="149"/>
      <c r="L168" s="149"/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W168" s="149"/>
      <c r="X168" s="149"/>
      <c r="Y168" s="149"/>
      <c r="Z168" s="149"/>
    </row>
    <row r="169" customFormat="false" ht="15.75" hidden="true" customHeight="true" outlineLevel="0" collapsed="false">
      <c r="A169" s="156"/>
      <c r="B169" s="163" t="s">
        <v>252</v>
      </c>
      <c r="C169" s="164" t="s">
        <v>253</v>
      </c>
      <c r="D169" s="173" t="s">
        <v>502</v>
      </c>
      <c r="E169" s="178" t="n">
        <v>2728</v>
      </c>
      <c r="F169" s="175" t="s">
        <v>495</v>
      </c>
      <c r="G169" s="176"/>
      <c r="H169" s="167"/>
      <c r="I169" s="157" t="s">
        <v>239</v>
      </c>
      <c r="J169" s="149"/>
      <c r="K169" s="149"/>
      <c r="L169" s="149"/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  <c r="W169" s="149"/>
      <c r="X169" s="149"/>
      <c r="Y169" s="149"/>
      <c r="Z169" s="149"/>
    </row>
    <row r="170" customFormat="false" ht="15.75" hidden="true" customHeight="true" outlineLevel="0" collapsed="false">
      <c r="A170" s="156"/>
      <c r="B170" s="163" t="s">
        <v>255</v>
      </c>
      <c r="C170" s="164" t="s">
        <v>352</v>
      </c>
      <c r="D170" s="173" t="s">
        <v>503</v>
      </c>
      <c r="E170" s="178" t="n">
        <v>2728</v>
      </c>
      <c r="F170" s="175" t="s">
        <v>504</v>
      </c>
      <c r="G170" s="176"/>
      <c r="H170" s="167"/>
      <c r="I170" s="157" t="s">
        <v>244</v>
      </c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</row>
    <row r="171" customFormat="false" ht="15.75" hidden="true" customHeight="true" outlineLevel="0" collapsed="false">
      <c r="A171" s="156"/>
      <c r="B171" s="163" t="s">
        <v>259</v>
      </c>
      <c r="C171" s="164" t="s">
        <v>505</v>
      </c>
      <c r="D171" s="173" t="s">
        <v>506</v>
      </c>
      <c r="E171" s="178" t="n">
        <v>2728</v>
      </c>
      <c r="F171" s="175" t="s">
        <v>507</v>
      </c>
      <c r="G171" s="176"/>
      <c r="H171" s="167"/>
      <c r="I171" s="157" t="s">
        <v>244</v>
      </c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</row>
    <row r="172" customFormat="false" ht="15.75" hidden="true" customHeight="true" outlineLevel="0" collapsed="false">
      <c r="A172" s="156"/>
      <c r="B172" s="163" t="s">
        <v>262</v>
      </c>
      <c r="C172" s="164" t="s">
        <v>263</v>
      </c>
      <c r="D172" s="173" t="s">
        <v>508</v>
      </c>
      <c r="E172" s="178" t="n">
        <v>2728</v>
      </c>
      <c r="F172" s="183" t="s">
        <v>509</v>
      </c>
      <c r="G172" s="175" t="s">
        <v>510</v>
      </c>
      <c r="H172" s="167"/>
      <c r="I172" s="157" t="s">
        <v>266</v>
      </c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</row>
    <row r="173" customFormat="false" ht="15.75" hidden="true" customHeight="true" outlineLevel="0" collapsed="false">
      <c r="A173" s="156"/>
      <c r="B173" s="163" t="s">
        <v>267</v>
      </c>
      <c r="C173" s="164" t="s">
        <v>268</v>
      </c>
      <c r="D173" s="173" t="s">
        <v>511</v>
      </c>
      <c r="E173" s="178" t="n">
        <v>2728</v>
      </c>
      <c r="F173" s="175" t="s">
        <v>512</v>
      </c>
      <c r="G173" s="176"/>
      <c r="H173" s="167"/>
      <c r="I173" s="157" t="s">
        <v>271</v>
      </c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</row>
    <row r="174" customFormat="false" ht="15.75" hidden="true" customHeight="true" outlineLevel="0" collapsed="false">
      <c r="A174" s="156"/>
      <c r="B174" s="163" t="s">
        <v>272</v>
      </c>
      <c r="C174" s="164" t="s">
        <v>273</v>
      </c>
      <c r="D174" s="166"/>
      <c r="E174" s="178" t="n">
        <v>2728</v>
      </c>
      <c r="F174" s="175" t="s">
        <v>513</v>
      </c>
      <c r="G174" s="176" t="s">
        <v>340</v>
      </c>
      <c r="H174" s="167"/>
      <c r="I174" s="182" t="s">
        <v>276</v>
      </c>
      <c r="J174" s="149"/>
      <c r="K174" s="149"/>
      <c r="L174" s="149"/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  <c r="W174" s="149"/>
      <c r="X174" s="149"/>
      <c r="Y174" s="149"/>
      <c r="Z174" s="149"/>
    </row>
    <row r="175" customFormat="false" ht="15.75" hidden="true" customHeight="true" outlineLevel="0" collapsed="false">
      <c r="A175" s="156"/>
      <c r="B175" s="163" t="s">
        <v>277</v>
      </c>
      <c r="C175" s="164" t="n">
        <v>3035302</v>
      </c>
      <c r="D175" s="166"/>
      <c r="E175" s="178" t="n">
        <v>2728</v>
      </c>
      <c r="F175" s="175" t="s">
        <v>514</v>
      </c>
      <c r="G175" s="176" t="s">
        <v>340</v>
      </c>
      <c r="H175" s="167"/>
      <c r="I175" s="182"/>
      <c r="J175" s="149"/>
      <c r="K175" s="149"/>
      <c r="L175" s="149"/>
      <c r="M175" s="149"/>
      <c r="N175" s="149"/>
      <c r="O175" s="149"/>
      <c r="P175" s="149"/>
      <c r="Q175" s="149"/>
      <c r="R175" s="149"/>
      <c r="S175" s="149"/>
      <c r="T175" s="149"/>
      <c r="U175" s="149"/>
      <c r="V175" s="149"/>
      <c r="W175" s="149"/>
      <c r="X175" s="149"/>
      <c r="Y175" s="149"/>
      <c r="Z175" s="149"/>
    </row>
    <row r="176" customFormat="false" ht="15.75" hidden="true" customHeight="true" outlineLevel="0" collapsed="false">
      <c r="A176" s="156"/>
      <c r="B176" s="163" t="s">
        <v>278</v>
      </c>
      <c r="C176" s="164" t="n">
        <v>3033736</v>
      </c>
      <c r="D176" s="166"/>
      <c r="E176" s="178" t="n">
        <v>2728</v>
      </c>
      <c r="F176" s="175" t="s">
        <v>515</v>
      </c>
      <c r="G176" s="176" t="s">
        <v>516</v>
      </c>
      <c r="H176" s="167"/>
      <c r="I176" s="182"/>
      <c r="J176" s="149"/>
      <c r="K176" s="149"/>
      <c r="L176" s="149"/>
      <c r="M176" s="149"/>
      <c r="N176" s="149"/>
      <c r="O176" s="149"/>
      <c r="P176" s="149"/>
      <c r="Q176" s="149"/>
      <c r="R176" s="149"/>
      <c r="S176" s="149"/>
      <c r="T176" s="149"/>
      <c r="U176" s="149"/>
      <c r="V176" s="149"/>
      <c r="W176" s="149"/>
      <c r="X176" s="149"/>
      <c r="Y176" s="149"/>
      <c r="Z176" s="149"/>
    </row>
    <row r="177" customFormat="false" ht="15.75" hidden="true" customHeight="true" outlineLevel="0" collapsed="false">
      <c r="A177" s="156"/>
      <c r="B177" s="163" t="s">
        <v>279</v>
      </c>
      <c r="C177" s="164" t="s">
        <v>280</v>
      </c>
      <c r="D177" s="166"/>
      <c r="E177" s="178" t="n">
        <v>2728</v>
      </c>
      <c r="F177" s="175" t="s">
        <v>513</v>
      </c>
      <c r="G177" s="176" t="s">
        <v>340</v>
      </c>
      <c r="H177" s="167"/>
      <c r="I177" s="182"/>
      <c r="J177" s="149"/>
      <c r="K177" s="149"/>
      <c r="L177" s="149"/>
      <c r="M177" s="149"/>
      <c r="N177" s="149"/>
      <c r="O177" s="149"/>
      <c r="P177" s="149"/>
      <c r="Q177" s="149"/>
      <c r="R177" s="149"/>
      <c r="S177" s="149"/>
      <c r="T177" s="149"/>
      <c r="U177" s="149"/>
      <c r="V177" s="149"/>
      <c r="W177" s="149"/>
      <c r="X177" s="149"/>
      <c r="Y177" s="149"/>
      <c r="Z177" s="149"/>
    </row>
    <row r="178" customFormat="false" ht="15.75" hidden="true" customHeight="true" outlineLevel="0" collapsed="false">
      <c r="A178" s="156"/>
      <c r="B178" s="163" t="s">
        <v>283</v>
      </c>
      <c r="C178" s="164" t="s">
        <v>284</v>
      </c>
      <c r="D178" s="166"/>
      <c r="E178" s="178" t="n">
        <v>2728</v>
      </c>
      <c r="F178" s="175" t="s">
        <v>517</v>
      </c>
      <c r="G178" s="176" t="s">
        <v>518</v>
      </c>
      <c r="H178" s="167"/>
      <c r="I178" s="182"/>
      <c r="J178" s="149"/>
      <c r="K178" s="149"/>
      <c r="L178" s="149"/>
      <c r="M178" s="149"/>
      <c r="N178" s="149"/>
      <c r="O178" s="149"/>
      <c r="P178" s="149"/>
      <c r="Q178" s="149"/>
      <c r="R178" s="149"/>
      <c r="S178" s="149"/>
      <c r="T178" s="149"/>
      <c r="U178" s="149"/>
      <c r="V178" s="149"/>
      <c r="W178" s="149"/>
      <c r="X178" s="149"/>
      <c r="Y178" s="149"/>
      <c r="Z178" s="149"/>
    </row>
    <row r="179" customFormat="false" ht="15.75" hidden="true" customHeight="true" outlineLevel="0" collapsed="false">
      <c r="A179" s="156"/>
      <c r="B179" s="163" t="s">
        <v>285</v>
      </c>
      <c r="C179" s="164" t="s">
        <v>286</v>
      </c>
      <c r="D179" s="166"/>
      <c r="E179" s="178" t="n">
        <v>2728</v>
      </c>
      <c r="F179" s="175" t="s">
        <v>519</v>
      </c>
      <c r="G179" s="176" t="s">
        <v>344</v>
      </c>
      <c r="H179" s="167"/>
      <c r="I179" s="182"/>
      <c r="J179" s="149"/>
      <c r="K179" s="149"/>
      <c r="L179" s="149"/>
      <c r="M179" s="149"/>
      <c r="N179" s="149"/>
      <c r="O179" s="149"/>
      <c r="P179" s="149"/>
      <c r="Q179" s="149"/>
      <c r="R179" s="149"/>
      <c r="S179" s="149"/>
      <c r="T179" s="149"/>
      <c r="U179" s="149"/>
      <c r="V179" s="149"/>
      <c r="W179" s="149"/>
      <c r="X179" s="149"/>
      <c r="Y179" s="149"/>
      <c r="Z179" s="149"/>
    </row>
    <row r="180" customFormat="false" ht="15.75" hidden="true" customHeight="true" outlineLevel="0" collapsed="false">
      <c r="A180" s="156"/>
      <c r="B180" s="163" t="s">
        <v>289</v>
      </c>
      <c r="C180" s="164" t="n">
        <v>3033735</v>
      </c>
      <c r="D180" s="166"/>
      <c r="E180" s="178" t="n">
        <v>2728</v>
      </c>
      <c r="F180" s="175" t="s">
        <v>520</v>
      </c>
      <c r="G180" s="176" t="s">
        <v>521</v>
      </c>
      <c r="H180" s="167"/>
      <c r="I180" s="182"/>
      <c r="J180" s="149"/>
      <c r="K180" s="149"/>
      <c r="L180" s="149"/>
      <c r="M180" s="149"/>
      <c r="N180" s="149"/>
      <c r="O180" s="149"/>
      <c r="P180" s="149"/>
      <c r="Q180" s="149"/>
      <c r="R180" s="149"/>
      <c r="S180" s="149"/>
      <c r="T180" s="149"/>
      <c r="U180" s="149"/>
      <c r="V180" s="149"/>
      <c r="W180" s="149"/>
      <c r="X180" s="149"/>
      <c r="Y180" s="149"/>
      <c r="Z180" s="149"/>
    </row>
    <row r="181" customFormat="false" ht="15.75" hidden="true" customHeight="true" outlineLevel="0" collapsed="false">
      <c r="A181" s="156"/>
      <c r="B181" s="163" t="s">
        <v>522</v>
      </c>
      <c r="C181" s="164" t="s">
        <v>291</v>
      </c>
      <c r="D181" s="166"/>
      <c r="E181" s="178" t="n">
        <v>2728</v>
      </c>
      <c r="F181" s="175" t="s">
        <v>523</v>
      </c>
      <c r="G181" s="176" t="s">
        <v>293</v>
      </c>
      <c r="H181" s="167"/>
      <c r="I181" s="182"/>
      <c r="J181" s="149"/>
      <c r="K181" s="149"/>
      <c r="L181" s="149"/>
      <c r="M181" s="149"/>
      <c r="N181" s="149"/>
      <c r="O181" s="149"/>
      <c r="P181" s="149"/>
      <c r="Q181" s="149"/>
      <c r="R181" s="149"/>
      <c r="S181" s="149"/>
      <c r="T181" s="149"/>
      <c r="U181" s="149"/>
      <c r="V181" s="149"/>
      <c r="W181" s="149"/>
      <c r="X181" s="149"/>
      <c r="Y181" s="149"/>
      <c r="Z181" s="149"/>
    </row>
    <row r="182" customFormat="false" ht="15.75" hidden="true" customHeight="true" outlineLevel="0" collapsed="false">
      <c r="A182" s="156"/>
      <c r="B182" s="163" t="s">
        <v>524</v>
      </c>
      <c r="C182" s="164" t="s">
        <v>291</v>
      </c>
      <c r="D182" s="166"/>
      <c r="E182" s="178" t="n">
        <v>2728</v>
      </c>
      <c r="F182" s="175" t="s">
        <v>348</v>
      </c>
      <c r="G182" s="175" t="s">
        <v>525</v>
      </c>
      <c r="H182" s="167"/>
      <c r="I182" s="182"/>
      <c r="J182" s="149"/>
      <c r="K182" s="149"/>
      <c r="L182" s="149"/>
      <c r="M182" s="149"/>
      <c r="N182" s="149"/>
      <c r="O182" s="149"/>
      <c r="P182" s="149"/>
      <c r="Q182" s="149"/>
      <c r="R182" s="149"/>
      <c r="S182" s="149"/>
      <c r="T182" s="149"/>
      <c r="U182" s="149"/>
      <c r="V182" s="149"/>
      <c r="W182" s="149"/>
      <c r="X182" s="149"/>
      <c r="Y182" s="149"/>
      <c r="Z182" s="149"/>
    </row>
    <row r="183" customFormat="false" ht="15.75" hidden="true" customHeight="true" outlineLevel="0" collapsed="false">
      <c r="A183" s="156"/>
      <c r="B183" s="163" t="s">
        <v>294</v>
      </c>
      <c r="C183" s="164" t="s">
        <v>295</v>
      </c>
      <c r="D183" s="166"/>
      <c r="E183" s="178" t="n">
        <v>2728</v>
      </c>
      <c r="F183" s="184" t="s">
        <v>526</v>
      </c>
      <c r="G183" s="184"/>
      <c r="H183" s="167"/>
      <c r="I183" s="182"/>
      <c r="J183" s="149"/>
      <c r="K183" s="149"/>
      <c r="L183" s="149"/>
      <c r="M183" s="149"/>
      <c r="N183" s="149"/>
      <c r="O183" s="149"/>
      <c r="P183" s="149"/>
      <c r="Q183" s="149"/>
      <c r="R183" s="149"/>
      <c r="S183" s="149"/>
      <c r="T183" s="149"/>
      <c r="U183" s="149"/>
      <c r="V183" s="149"/>
      <c r="W183" s="149"/>
      <c r="X183" s="149"/>
      <c r="Y183" s="149"/>
      <c r="Z183" s="149"/>
    </row>
    <row r="184" customFormat="false" ht="15.75" hidden="true" customHeight="true" outlineLevel="0" collapsed="false">
      <c r="A184" s="156"/>
      <c r="B184" s="163" t="s">
        <v>296</v>
      </c>
      <c r="C184" s="164" t="s">
        <v>297</v>
      </c>
      <c r="D184" s="166"/>
      <c r="E184" s="178" t="n">
        <v>2728</v>
      </c>
      <c r="F184" s="175" t="s">
        <v>527</v>
      </c>
      <c r="G184" s="176" t="s">
        <v>528</v>
      </c>
      <c r="H184" s="167"/>
      <c r="I184" s="182"/>
      <c r="J184" s="149"/>
      <c r="K184" s="149"/>
      <c r="L184" s="149"/>
      <c r="M184" s="149"/>
      <c r="N184" s="149"/>
      <c r="O184" s="149"/>
      <c r="P184" s="149"/>
      <c r="Q184" s="149"/>
      <c r="R184" s="149"/>
      <c r="S184" s="149"/>
      <c r="T184" s="149"/>
      <c r="U184" s="149"/>
      <c r="V184" s="149"/>
      <c r="W184" s="149"/>
      <c r="X184" s="149"/>
      <c r="Y184" s="149"/>
      <c r="Z184" s="149"/>
    </row>
    <row r="185" customFormat="false" ht="15.75" hidden="true" customHeight="true" outlineLevel="0" collapsed="false">
      <c r="A185" s="156"/>
      <c r="B185" s="163" t="s">
        <v>300</v>
      </c>
      <c r="C185" s="164" t="s">
        <v>297</v>
      </c>
      <c r="D185" s="166"/>
      <c r="E185" s="178" t="n">
        <v>2728</v>
      </c>
      <c r="F185" s="175" t="s">
        <v>529</v>
      </c>
      <c r="G185" s="176" t="s">
        <v>435</v>
      </c>
      <c r="H185" s="167"/>
      <c r="I185" s="182"/>
      <c r="J185" s="149"/>
      <c r="K185" s="149"/>
      <c r="L185" s="149"/>
      <c r="M185" s="149"/>
      <c r="N185" s="149"/>
      <c r="O185" s="149"/>
      <c r="P185" s="149"/>
      <c r="Q185" s="149"/>
      <c r="R185" s="149"/>
      <c r="S185" s="149"/>
      <c r="T185" s="149"/>
      <c r="U185" s="149"/>
      <c r="V185" s="149"/>
      <c r="W185" s="149"/>
      <c r="X185" s="149"/>
      <c r="Y185" s="149"/>
      <c r="Z185" s="149"/>
    </row>
    <row r="186" customFormat="false" ht="15.75" hidden="true" customHeight="true" outlineLevel="0" collapsed="false">
      <c r="A186" s="156"/>
      <c r="B186" s="157" t="s">
        <v>303</v>
      </c>
      <c r="C186" s="164" t="s">
        <v>304</v>
      </c>
      <c r="D186" s="166"/>
      <c r="E186" s="178" t="n">
        <v>2728</v>
      </c>
      <c r="F186" s="175" t="s">
        <v>520</v>
      </c>
      <c r="G186" s="176" t="s">
        <v>521</v>
      </c>
      <c r="H186" s="167"/>
      <c r="I186" s="182"/>
      <c r="J186" s="149"/>
      <c r="K186" s="149"/>
      <c r="L186" s="149"/>
      <c r="M186" s="149"/>
      <c r="N186" s="149"/>
      <c r="O186" s="149"/>
      <c r="P186" s="149"/>
      <c r="Q186" s="149"/>
      <c r="R186" s="149"/>
      <c r="S186" s="149"/>
      <c r="T186" s="149"/>
      <c r="U186" s="149"/>
      <c r="V186" s="149"/>
      <c r="W186" s="149"/>
      <c r="X186" s="149"/>
      <c r="Y186" s="149"/>
      <c r="Z186" s="149"/>
    </row>
    <row r="187" customFormat="false" ht="15.75" hidden="true" customHeight="true" outlineLevel="0" collapsed="false">
      <c r="A187" s="156"/>
      <c r="B187" s="157" t="s">
        <v>303</v>
      </c>
      <c r="C187" s="164" t="s">
        <v>307</v>
      </c>
      <c r="D187" s="166"/>
      <c r="E187" s="178" t="n">
        <v>2728</v>
      </c>
      <c r="F187" s="175" t="s">
        <v>520</v>
      </c>
      <c r="G187" s="176" t="s">
        <v>521</v>
      </c>
      <c r="H187" s="167"/>
      <c r="I187" s="182"/>
      <c r="J187" s="149"/>
      <c r="K187" s="149"/>
      <c r="L187" s="149"/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  <c r="W187" s="149"/>
      <c r="X187" s="149"/>
      <c r="Y187" s="149"/>
      <c r="Z187" s="149"/>
    </row>
    <row r="188" customFormat="false" ht="15" hidden="false" customHeight="true" outlineLevel="0" collapsed="false">
      <c r="A188" s="156"/>
      <c r="B188" s="185"/>
      <c r="C188" s="185"/>
      <c r="D188" s="185"/>
      <c r="E188" s="185"/>
      <c r="F188" s="185"/>
      <c r="G188" s="185"/>
      <c r="H188" s="185"/>
      <c r="I188" s="185"/>
      <c r="J188" s="149"/>
      <c r="K188" s="149"/>
      <c r="L188" s="149"/>
      <c r="M188" s="149"/>
      <c r="N188" s="149"/>
      <c r="O188" s="149"/>
      <c r="P188" s="149"/>
      <c r="Q188" s="149"/>
      <c r="R188" s="149"/>
      <c r="S188" s="149"/>
      <c r="T188" s="149"/>
      <c r="U188" s="149"/>
      <c r="V188" s="149"/>
      <c r="W188" s="149"/>
      <c r="X188" s="149"/>
      <c r="Y188" s="149"/>
      <c r="Z188" s="149"/>
    </row>
    <row r="189" customFormat="false" ht="15.75" hidden="false" customHeight="true" outlineLevel="0" collapsed="false">
      <c r="A189" s="156"/>
      <c r="B189" s="186" t="s">
        <v>232</v>
      </c>
      <c r="C189" s="178" t="n">
        <v>3044000</v>
      </c>
      <c r="D189" s="187" t="s">
        <v>530</v>
      </c>
      <c r="E189" s="178" t="n">
        <v>2729</v>
      </c>
      <c r="F189" s="188" t="s">
        <v>531</v>
      </c>
      <c r="G189" s="189" t="s">
        <v>532</v>
      </c>
      <c r="H189" s="167"/>
      <c r="I189" s="157" t="s">
        <v>493</v>
      </c>
      <c r="J189" s="149"/>
      <c r="K189" s="149"/>
      <c r="L189" s="149"/>
      <c r="M189" s="149"/>
      <c r="N189" s="149"/>
      <c r="O189" s="149"/>
      <c r="P189" s="149"/>
      <c r="Q189" s="149"/>
      <c r="R189" s="149"/>
      <c r="S189" s="149"/>
      <c r="T189" s="149"/>
      <c r="U189" s="149"/>
      <c r="V189" s="149"/>
      <c r="W189" s="149"/>
      <c r="X189" s="149"/>
      <c r="Y189" s="149"/>
      <c r="Z189" s="149"/>
    </row>
    <row r="190" customFormat="false" ht="15.75" hidden="false" customHeight="true" outlineLevel="0" collapsed="false">
      <c r="A190" s="156"/>
      <c r="B190" s="186" t="s">
        <v>236</v>
      </c>
      <c r="C190" s="178" t="s">
        <v>237</v>
      </c>
      <c r="D190" s="187" t="s">
        <v>533</v>
      </c>
      <c r="E190" s="178" t="n">
        <v>2729</v>
      </c>
      <c r="F190" s="175" t="s">
        <v>534</v>
      </c>
      <c r="G190" s="176"/>
      <c r="H190" s="167"/>
      <c r="I190" s="157" t="s">
        <v>239</v>
      </c>
      <c r="J190" s="149"/>
      <c r="K190" s="149"/>
      <c r="L190" s="149"/>
      <c r="M190" s="149"/>
      <c r="N190" s="149"/>
      <c r="O190" s="149"/>
      <c r="P190" s="149"/>
      <c r="Q190" s="149"/>
      <c r="R190" s="149"/>
      <c r="S190" s="149"/>
      <c r="T190" s="149"/>
      <c r="U190" s="149"/>
      <c r="V190" s="149"/>
      <c r="W190" s="149"/>
      <c r="X190" s="149"/>
      <c r="Y190" s="149"/>
      <c r="Z190" s="149"/>
    </row>
    <row r="191" customFormat="false" ht="15.75" hidden="false" customHeight="true" outlineLevel="0" collapsed="false">
      <c r="A191" s="156"/>
      <c r="B191" s="186" t="s">
        <v>240</v>
      </c>
      <c r="C191" s="164" t="n">
        <v>3034792</v>
      </c>
      <c r="D191" s="173" t="s">
        <v>535</v>
      </c>
      <c r="E191" s="178" t="n">
        <v>2729</v>
      </c>
      <c r="F191" s="160" t="s">
        <v>536</v>
      </c>
      <c r="G191" s="161"/>
      <c r="H191" s="167"/>
      <c r="I191" s="157" t="s">
        <v>244</v>
      </c>
      <c r="J191" s="149"/>
      <c r="K191" s="149"/>
      <c r="L191" s="149"/>
      <c r="M191" s="149"/>
      <c r="N191" s="149"/>
      <c r="O191" s="149"/>
      <c r="P191" s="149"/>
      <c r="Q191" s="149"/>
      <c r="R191" s="149"/>
      <c r="S191" s="149"/>
      <c r="T191" s="149"/>
      <c r="U191" s="149"/>
      <c r="V191" s="149"/>
      <c r="W191" s="149"/>
      <c r="X191" s="149"/>
      <c r="Y191" s="149"/>
      <c r="Z191" s="149"/>
    </row>
    <row r="192" customFormat="false" ht="15.75" hidden="false" customHeight="true" outlineLevel="0" collapsed="false">
      <c r="A192" s="156"/>
      <c r="B192" s="186" t="s">
        <v>245</v>
      </c>
      <c r="C192" s="164" t="s">
        <v>443</v>
      </c>
      <c r="D192" s="173" t="s">
        <v>537</v>
      </c>
      <c r="E192" s="178" t="n">
        <v>2729</v>
      </c>
      <c r="F192" s="160" t="s">
        <v>538</v>
      </c>
      <c r="G192" s="160"/>
      <c r="H192" s="174"/>
      <c r="I192" s="157" t="s">
        <v>249</v>
      </c>
      <c r="J192" s="149"/>
      <c r="K192" s="149"/>
      <c r="L192" s="149"/>
      <c r="M192" s="149"/>
      <c r="N192" s="149"/>
      <c r="O192" s="149"/>
      <c r="P192" s="149"/>
      <c r="Q192" s="149"/>
      <c r="R192" s="149"/>
      <c r="S192" s="149"/>
      <c r="T192" s="149"/>
      <c r="U192" s="149"/>
      <c r="V192" s="149"/>
      <c r="W192" s="149"/>
      <c r="X192" s="149"/>
      <c r="Y192" s="149"/>
      <c r="Z192" s="149"/>
    </row>
    <row r="193" customFormat="false" ht="15.75" hidden="false" customHeight="true" outlineLevel="0" collapsed="false">
      <c r="A193" s="156"/>
      <c r="B193" s="186" t="s">
        <v>250</v>
      </c>
      <c r="C193" s="178" t="s">
        <v>251</v>
      </c>
      <c r="D193" s="187" t="s">
        <v>539</v>
      </c>
      <c r="E193" s="178" t="n">
        <v>2729</v>
      </c>
      <c r="F193" s="175" t="s">
        <v>540</v>
      </c>
      <c r="G193" s="176"/>
      <c r="H193" s="167"/>
      <c r="I193" s="157" t="s">
        <v>239</v>
      </c>
      <c r="J193" s="149"/>
      <c r="K193" s="149"/>
      <c r="L193" s="149"/>
      <c r="M193" s="149"/>
      <c r="N193" s="149"/>
      <c r="O193" s="149"/>
      <c r="P193" s="149"/>
      <c r="Q193" s="149"/>
      <c r="R193" s="149"/>
      <c r="S193" s="149"/>
      <c r="T193" s="149"/>
      <c r="U193" s="149"/>
      <c r="V193" s="149"/>
      <c r="W193" s="149"/>
      <c r="X193" s="149"/>
      <c r="Y193" s="149"/>
      <c r="Z193" s="149"/>
    </row>
    <row r="194" customFormat="false" ht="15.75" hidden="false" customHeight="true" outlineLevel="0" collapsed="false">
      <c r="A194" s="156"/>
      <c r="B194" s="186" t="s">
        <v>252</v>
      </c>
      <c r="C194" s="178" t="s">
        <v>253</v>
      </c>
      <c r="D194" s="187" t="s">
        <v>541</v>
      </c>
      <c r="E194" s="178" t="n">
        <v>2729</v>
      </c>
      <c r="F194" s="175" t="s">
        <v>542</v>
      </c>
      <c r="G194" s="176"/>
      <c r="H194" s="167"/>
      <c r="I194" s="157" t="s">
        <v>239</v>
      </c>
      <c r="J194" s="149"/>
      <c r="K194" s="149"/>
      <c r="L194" s="149"/>
      <c r="M194" s="149"/>
      <c r="N194" s="149"/>
      <c r="O194" s="149"/>
      <c r="P194" s="149"/>
      <c r="Q194" s="149"/>
      <c r="R194" s="149"/>
      <c r="S194" s="149"/>
      <c r="T194" s="149"/>
      <c r="U194" s="149"/>
      <c r="V194" s="149"/>
      <c r="W194" s="149"/>
      <c r="X194" s="149"/>
      <c r="Y194" s="149"/>
      <c r="Z194" s="149"/>
    </row>
    <row r="195" customFormat="false" ht="15.75" hidden="false" customHeight="true" outlineLevel="0" collapsed="false">
      <c r="A195" s="156"/>
      <c r="B195" s="186" t="s">
        <v>255</v>
      </c>
      <c r="C195" s="178" t="s">
        <v>328</v>
      </c>
      <c r="D195" s="187" t="s">
        <v>543</v>
      </c>
      <c r="E195" s="178" t="n">
        <v>2729</v>
      </c>
      <c r="F195" s="175" t="s">
        <v>544</v>
      </c>
      <c r="G195" s="176"/>
      <c r="H195" s="167"/>
      <c r="I195" s="157" t="s">
        <v>244</v>
      </c>
      <c r="J195" s="149"/>
      <c r="K195" s="149"/>
      <c r="L195" s="149"/>
      <c r="M195" s="149"/>
      <c r="N195" s="149"/>
      <c r="O195" s="149"/>
      <c r="P195" s="149"/>
      <c r="Q195" s="149"/>
      <c r="R195" s="149"/>
      <c r="S195" s="149"/>
      <c r="T195" s="149"/>
      <c r="U195" s="149"/>
      <c r="V195" s="149"/>
      <c r="W195" s="149"/>
      <c r="X195" s="149"/>
      <c r="Y195" s="149"/>
      <c r="Z195" s="149"/>
    </row>
    <row r="196" customFormat="false" ht="15.75" hidden="false" customHeight="true" outlineLevel="0" collapsed="false">
      <c r="A196" s="156"/>
      <c r="B196" s="186" t="s">
        <v>259</v>
      </c>
      <c r="C196" s="178" t="s">
        <v>260</v>
      </c>
      <c r="D196" s="187" t="s">
        <v>545</v>
      </c>
      <c r="E196" s="178" t="n">
        <v>2729</v>
      </c>
      <c r="F196" s="175" t="s">
        <v>546</v>
      </c>
      <c r="G196" s="176"/>
      <c r="H196" s="167"/>
      <c r="I196" s="157" t="s">
        <v>244</v>
      </c>
      <c r="J196" s="149"/>
      <c r="K196" s="149"/>
      <c r="L196" s="149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149"/>
      <c r="X196" s="149"/>
      <c r="Y196" s="149"/>
      <c r="Z196" s="149"/>
    </row>
    <row r="197" customFormat="false" ht="15.75" hidden="false" customHeight="true" outlineLevel="0" collapsed="false">
      <c r="A197" s="156"/>
      <c r="B197" s="186" t="s">
        <v>262</v>
      </c>
      <c r="C197" s="178" t="s">
        <v>263</v>
      </c>
      <c r="D197" s="187" t="s">
        <v>547</v>
      </c>
      <c r="E197" s="178" t="n">
        <v>2729</v>
      </c>
      <c r="F197" s="175" t="s">
        <v>548</v>
      </c>
      <c r="G197" s="175" t="s">
        <v>549</v>
      </c>
      <c r="H197" s="167"/>
      <c r="I197" s="157" t="s">
        <v>266</v>
      </c>
      <c r="J197" s="149"/>
      <c r="K197" s="149"/>
      <c r="L197" s="149"/>
      <c r="M197" s="149"/>
      <c r="N197" s="149"/>
      <c r="O197" s="149"/>
      <c r="P197" s="149"/>
      <c r="Q197" s="149"/>
      <c r="R197" s="149"/>
      <c r="S197" s="149"/>
      <c r="T197" s="149"/>
      <c r="U197" s="149"/>
      <c r="V197" s="149"/>
      <c r="W197" s="149"/>
      <c r="X197" s="149"/>
      <c r="Y197" s="149"/>
      <c r="Z197" s="149"/>
    </row>
    <row r="198" customFormat="false" ht="15.75" hidden="false" customHeight="true" outlineLevel="0" collapsed="false">
      <c r="A198" s="156"/>
      <c r="B198" s="186" t="s">
        <v>267</v>
      </c>
      <c r="C198" s="178"/>
      <c r="D198" s="187"/>
      <c r="E198" s="178" t="n">
        <v>2729</v>
      </c>
      <c r="F198" s="175"/>
      <c r="G198" s="175"/>
      <c r="H198" s="167"/>
      <c r="I198" s="157" t="s">
        <v>271</v>
      </c>
      <c r="J198" s="149"/>
      <c r="K198" s="149"/>
      <c r="L198" s="149"/>
      <c r="M198" s="149"/>
      <c r="N198" s="149"/>
      <c r="O198" s="149"/>
      <c r="P198" s="149"/>
      <c r="Q198" s="149"/>
      <c r="R198" s="149"/>
      <c r="S198" s="149"/>
      <c r="T198" s="149"/>
      <c r="U198" s="149"/>
      <c r="V198" s="149"/>
      <c r="W198" s="149"/>
      <c r="X198" s="149"/>
      <c r="Y198" s="149"/>
      <c r="Z198" s="149"/>
    </row>
    <row r="199" customFormat="false" ht="15.75" hidden="false" customHeight="true" outlineLevel="0" collapsed="false">
      <c r="A199" s="156"/>
      <c r="B199" s="186" t="s">
        <v>272</v>
      </c>
      <c r="C199" s="178" t="s">
        <v>273</v>
      </c>
      <c r="D199" s="190"/>
      <c r="E199" s="178" t="n">
        <v>2729</v>
      </c>
      <c r="F199" s="175" t="s">
        <v>339</v>
      </c>
      <c r="G199" s="175" t="s">
        <v>340</v>
      </c>
      <c r="H199" s="167"/>
      <c r="I199" s="182" t="s">
        <v>276</v>
      </c>
      <c r="J199" s="149"/>
      <c r="K199" s="149"/>
      <c r="L199" s="149"/>
      <c r="M199" s="149"/>
      <c r="N199" s="149"/>
      <c r="O199" s="149"/>
      <c r="P199" s="149"/>
      <c r="Q199" s="149"/>
      <c r="R199" s="149"/>
      <c r="S199" s="149"/>
      <c r="T199" s="149"/>
      <c r="U199" s="149"/>
      <c r="V199" s="149"/>
      <c r="W199" s="149"/>
      <c r="X199" s="149"/>
      <c r="Y199" s="149"/>
      <c r="Z199" s="149"/>
    </row>
    <row r="200" customFormat="false" ht="15.75" hidden="false" customHeight="true" outlineLevel="0" collapsed="false">
      <c r="A200" s="156"/>
      <c r="B200" s="186" t="s">
        <v>277</v>
      </c>
      <c r="C200" s="178" t="n">
        <v>3021653</v>
      </c>
      <c r="D200" s="190"/>
      <c r="E200" s="178" t="n">
        <v>2729</v>
      </c>
      <c r="F200" s="175" t="s">
        <v>550</v>
      </c>
      <c r="G200" s="175" t="s">
        <v>551</v>
      </c>
      <c r="H200" s="167"/>
      <c r="I200" s="182"/>
      <c r="J200" s="149"/>
      <c r="K200" s="149"/>
      <c r="L200" s="149"/>
      <c r="M200" s="149"/>
      <c r="N200" s="149"/>
      <c r="O200" s="149"/>
      <c r="P200" s="149"/>
      <c r="Q200" s="149"/>
      <c r="R200" s="149"/>
      <c r="S200" s="149"/>
      <c r="T200" s="149"/>
      <c r="U200" s="149"/>
      <c r="V200" s="149"/>
      <c r="W200" s="149"/>
      <c r="X200" s="149"/>
      <c r="Y200" s="149"/>
      <c r="Z200" s="149"/>
    </row>
    <row r="201" customFormat="false" ht="15.75" hidden="false" customHeight="true" outlineLevel="0" collapsed="false">
      <c r="A201" s="156"/>
      <c r="B201" s="186" t="s">
        <v>278</v>
      </c>
      <c r="C201" s="178" t="n">
        <v>3033736</v>
      </c>
      <c r="D201" s="190"/>
      <c r="E201" s="178" t="n">
        <v>2729</v>
      </c>
      <c r="F201" s="175" t="s">
        <v>489</v>
      </c>
      <c r="G201" s="175" t="s">
        <v>490</v>
      </c>
      <c r="H201" s="167"/>
      <c r="I201" s="182"/>
      <c r="J201" s="149"/>
      <c r="K201" s="149"/>
      <c r="L201" s="149"/>
      <c r="M201" s="149"/>
      <c r="N201" s="149"/>
      <c r="O201" s="149"/>
      <c r="P201" s="149"/>
      <c r="Q201" s="149"/>
      <c r="R201" s="149"/>
      <c r="S201" s="149"/>
      <c r="T201" s="149"/>
      <c r="U201" s="149"/>
      <c r="V201" s="149"/>
      <c r="W201" s="149"/>
      <c r="X201" s="149"/>
      <c r="Y201" s="149"/>
      <c r="Z201" s="149"/>
    </row>
    <row r="202" customFormat="false" ht="15.75" hidden="false" customHeight="true" outlineLevel="0" collapsed="false">
      <c r="A202" s="156"/>
      <c r="B202" s="186" t="s">
        <v>279</v>
      </c>
      <c r="C202" s="178" t="s">
        <v>280</v>
      </c>
      <c r="D202" s="190"/>
      <c r="E202" s="178" t="n">
        <v>2729</v>
      </c>
      <c r="F202" s="175" t="s">
        <v>339</v>
      </c>
      <c r="G202" s="175" t="s">
        <v>340</v>
      </c>
      <c r="H202" s="167"/>
      <c r="I202" s="182"/>
      <c r="J202" s="149"/>
      <c r="K202" s="149"/>
      <c r="L202" s="149"/>
      <c r="M202" s="149"/>
      <c r="N202" s="149"/>
      <c r="O202" s="149"/>
      <c r="P202" s="149"/>
      <c r="Q202" s="149"/>
      <c r="R202" s="149"/>
      <c r="S202" s="149"/>
      <c r="T202" s="149"/>
      <c r="U202" s="149"/>
      <c r="V202" s="149"/>
      <c r="W202" s="149"/>
      <c r="X202" s="149"/>
      <c r="Y202" s="149"/>
      <c r="Z202" s="149"/>
    </row>
    <row r="203" customFormat="false" ht="15.75" hidden="false" customHeight="true" outlineLevel="0" collapsed="false">
      <c r="A203" s="156"/>
      <c r="B203" s="186" t="s">
        <v>283</v>
      </c>
      <c r="C203" s="178" t="s">
        <v>284</v>
      </c>
      <c r="D203" s="190"/>
      <c r="E203" s="178" t="n">
        <v>2729</v>
      </c>
      <c r="F203" s="175" t="s">
        <v>552</v>
      </c>
      <c r="G203" s="175" t="s">
        <v>553</v>
      </c>
      <c r="H203" s="167"/>
      <c r="I203" s="182"/>
      <c r="J203" s="149"/>
      <c r="K203" s="149"/>
      <c r="L203" s="149"/>
      <c r="M203" s="149"/>
      <c r="N203" s="149"/>
      <c r="O203" s="149"/>
      <c r="P203" s="149"/>
      <c r="Q203" s="149"/>
      <c r="R203" s="149"/>
      <c r="S203" s="149"/>
      <c r="T203" s="149"/>
      <c r="U203" s="149"/>
      <c r="V203" s="149"/>
      <c r="W203" s="149"/>
      <c r="X203" s="149"/>
      <c r="Y203" s="149"/>
      <c r="Z203" s="149"/>
    </row>
    <row r="204" customFormat="false" ht="15.75" hidden="false" customHeight="true" outlineLevel="0" collapsed="false">
      <c r="A204" s="156"/>
      <c r="B204" s="186" t="s">
        <v>285</v>
      </c>
      <c r="C204" s="178" t="s">
        <v>286</v>
      </c>
      <c r="D204" s="190"/>
      <c r="E204" s="178" t="n">
        <v>2729</v>
      </c>
      <c r="F204" s="175" t="s">
        <v>554</v>
      </c>
      <c r="G204" s="175" t="s">
        <v>435</v>
      </c>
      <c r="H204" s="167"/>
      <c r="I204" s="182"/>
      <c r="J204" s="149"/>
      <c r="K204" s="149"/>
      <c r="L204" s="149"/>
      <c r="M204" s="149"/>
      <c r="N204" s="149"/>
      <c r="O204" s="149"/>
      <c r="P204" s="149"/>
      <c r="Q204" s="149"/>
      <c r="R204" s="149"/>
      <c r="S204" s="149"/>
      <c r="T204" s="149"/>
      <c r="U204" s="149"/>
      <c r="V204" s="149"/>
      <c r="W204" s="149"/>
      <c r="X204" s="149"/>
      <c r="Y204" s="149"/>
      <c r="Z204" s="149"/>
    </row>
    <row r="205" customFormat="false" ht="15.75" hidden="false" customHeight="true" outlineLevel="0" collapsed="false">
      <c r="A205" s="156"/>
      <c r="B205" s="186" t="s">
        <v>289</v>
      </c>
      <c r="C205" s="178" t="n">
        <v>3033735</v>
      </c>
      <c r="D205" s="190"/>
      <c r="E205" s="178" t="n">
        <v>2729</v>
      </c>
      <c r="F205" s="175" t="s">
        <v>555</v>
      </c>
      <c r="G205" s="175" t="s">
        <v>556</v>
      </c>
      <c r="H205" s="167"/>
      <c r="I205" s="182"/>
      <c r="J205" s="149"/>
      <c r="K205" s="149"/>
      <c r="L205" s="149"/>
      <c r="M205" s="149"/>
      <c r="N205" s="149"/>
      <c r="O205" s="149"/>
      <c r="P205" s="149"/>
      <c r="Q205" s="149"/>
      <c r="R205" s="149"/>
      <c r="S205" s="149"/>
      <c r="T205" s="149"/>
      <c r="U205" s="149"/>
      <c r="V205" s="149"/>
      <c r="W205" s="149"/>
      <c r="X205" s="149"/>
      <c r="Y205" s="149"/>
      <c r="Z205" s="149"/>
    </row>
    <row r="206" customFormat="false" ht="15.75" hidden="false" customHeight="true" outlineLevel="0" collapsed="false">
      <c r="A206" s="156"/>
      <c r="B206" s="186" t="s">
        <v>522</v>
      </c>
      <c r="C206" s="178" t="s">
        <v>291</v>
      </c>
      <c r="D206" s="190"/>
      <c r="E206" s="178" t="n">
        <v>2729</v>
      </c>
      <c r="F206" s="175" t="s">
        <v>557</v>
      </c>
      <c r="G206" s="175" t="s">
        <v>525</v>
      </c>
      <c r="H206" s="167"/>
      <c r="I206" s="182"/>
      <c r="J206" s="149"/>
      <c r="K206" s="149"/>
      <c r="L206" s="149"/>
      <c r="M206" s="149"/>
      <c r="N206" s="149"/>
      <c r="O206" s="149"/>
      <c r="P206" s="149"/>
      <c r="Q206" s="149"/>
      <c r="R206" s="149"/>
      <c r="S206" s="149"/>
      <c r="T206" s="149"/>
      <c r="U206" s="149"/>
      <c r="V206" s="149"/>
      <c r="W206" s="149"/>
      <c r="X206" s="149"/>
      <c r="Y206" s="149"/>
      <c r="Z206" s="149"/>
    </row>
    <row r="207" customFormat="false" ht="15.75" hidden="false" customHeight="true" outlineLevel="0" collapsed="false">
      <c r="A207" s="156"/>
      <c r="B207" s="186" t="s">
        <v>558</v>
      </c>
      <c r="C207" s="178" t="s">
        <v>291</v>
      </c>
      <c r="D207" s="190"/>
      <c r="E207" s="178" t="n">
        <v>2729</v>
      </c>
      <c r="F207" s="175" t="s">
        <v>559</v>
      </c>
      <c r="G207" s="175" t="s">
        <v>560</v>
      </c>
      <c r="H207" s="167"/>
      <c r="I207" s="182"/>
      <c r="J207" s="149"/>
      <c r="K207" s="149"/>
      <c r="L207" s="149"/>
      <c r="M207" s="149"/>
      <c r="N207" s="149"/>
      <c r="O207" s="149"/>
      <c r="P207" s="149"/>
      <c r="Q207" s="149"/>
      <c r="R207" s="149"/>
      <c r="S207" s="149"/>
      <c r="T207" s="149"/>
      <c r="U207" s="149"/>
      <c r="V207" s="149"/>
      <c r="W207" s="149"/>
      <c r="X207" s="149"/>
      <c r="Y207" s="149"/>
      <c r="Z207" s="149"/>
    </row>
    <row r="208" customFormat="false" ht="15.75" hidden="false" customHeight="true" outlineLevel="0" collapsed="false">
      <c r="A208" s="156"/>
      <c r="B208" s="186" t="s">
        <v>561</v>
      </c>
      <c r="C208" s="178" t="s">
        <v>295</v>
      </c>
      <c r="D208" s="190"/>
      <c r="E208" s="178" t="n">
        <v>2729</v>
      </c>
      <c r="F208" s="184" t="s">
        <v>526</v>
      </c>
      <c r="G208" s="184"/>
      <c r="H208" s="167"/>
      <c r="I208" s="182"/>
      <c r="J208" s="149"/>
      <c r="K208" s="149"/>
      <c r="L208" s="149"/>
      <c r="M208" s="149"/>
      <c r="N208" s="149"/>
      <c r="O208" s="149"/>
      <c r="P208" s="149"/>
      <c r="Q208" s="149"/>
      <c r="R208" s="149"/>
      <c r="S208" s="149"/>
      <c r="T208" s="149"/>
      <c r="U208" s="149"/>
      <c r="V208" s="149"/>
      <c r="W208" s="149"/>
      <c r="X208" s="149"/>
      <c r="Y208" s="149"/>
      <c r="Z208" s="149"/>
    </row>
    <row r="209" customFormat="false" ht="15.75" hidden="false" customHeight="true" outlineLevel="0" collapsed="false">
      <c r="A209" s="156"/>
      <c r="B209" s="186" t="s">
        <v>296</v>
      </c>
      <c r="C209" s="178" t="s">
        <v>297</v>
      </c>
      <c r="D209" s="190"/>
      <c r="E209" s="178" t="n">
        <v>2729</v>
      </c>
      <c r="F209" s="175" t="s">
        <v>554</v>
      </c>
      <c r="G209" s="175" t="s">
        <v>435</v>
      </c>
      <c r="H209" s="167"/>
      <c r="I209" s="182"/>
      <c r="J209" s="149"/>
      <c r="K209" s="149"/>
      <c r="L209" s="149"/>
      <c r="M209" s="149"/>
      <c r="N209" s="149"/>
      <c r="O209" s="149"/>
      <c r="P209" s="149"/>
      <c r="Q209" s="149"/>
      <c r="R209" s="149"/>
      <c r="S209" s="149"/>
      <c r="T209" s="149"/>
      <c r="U209" s="149"/>
      <c r="V209" s="149"/>
      <c r="W209" s="149"/>
      <c r="X209" s="149"/>
      <c r="Y209" s="149"/>
      <c r="Z209" s="149"/>
    </row>
    <row r="210" customFormat="false" ht="15.75" hidden="false" customHeight="true" outlineLevel="0" collapsed="false">
      <c r="A210" s="156"/>
      <c r="B210" s="186" t="s">
        <v>300</v>
      </c>
      <c r="C210" s="178" t="s">
        <v>297</v>
      </c>
      <c r="D210" s="190"/>
      <c r="E210" s="178" t="n">
        <v>2729</v>
      </c>
      <c r="F210" s="175" t="s">
        <v>562</v>
      </c>
      <c r="G210" s="175" t="s">
        <v>563</v>
      </c>
      <c r="H210" s="167"/>
      <c r="I210" s="182"/>
      <c r="J210" s="149"/>
      <c r="K210" s="149"/>
      <c r="L210" s="149"/>
      <c r="M210" s="149"/>
      <c r="N210" s="149"/>
      <c r="O210" s="149"/>
      <c r="P210" s="149"/>
      <c r="Q210" s="149"/>
      <c r="R210" s="149"/>
      <c r="S210" s="149"/>
      <c r="T210" s="149"/>
      <c r="U210" s="149"/>
      <c r="V210" s="149"/>
      <c r="W210" s="149"/>
      <c r="X210" s="149"/>
      <c r="Y210" s="149"/>
      <c r="Z210" s="149"/>
    </row>
    <row r="211" customFormat="false" ht="15.75" hidden="false" customHeight="true" outlineLevel="0" collapsed="false">
      <c r="A211" s="156"/>
      <c r="B211" s="186" t="s">
        <v>303</v>
      </c>
      <c r="C211" s="178" t="s">
        <v>304</v>
      </c>
      <c r="D211" s="190"/>
      <c r="E211" s="178" t="n">
        <v>2729</v>
      </c>
      <c r="F211" s="175" t="s">
        <v>436</v>
      </c>
      <c r="G211" s="175" t="s">
        <v>306</v>
      </c>
      <c r="H211" s="167"/>
      <c r="I211" s="182"/>
      <c r="J211" s="149"/>
      <c r="K211" s="149"/>
      <c r="L211" s="149"/>
      <c r="M211" s="149"/>
      <c r="N211" s="149"/>
      <c r="O211" s="149"/>
      <c r="P211" s="149"/>
      <c r="Q211" s="149"/>
      <c r="R211" s="149"/>
      <c r="S211" s="149"/>
      <c r="T211" s="149"/>
      <c r="U211" s="149"/>
      <c r="V211" s="149"/>
      <c r="W211" s="149"/>
      <c r="X211" s="149"/>
      <c r="Y211" s="149"/>
      <c r="Z211" s="149"/>
    </row>
    <row r="212" customFormat="false" ht="15.75" hidden="false" customHeight="true" outlineLevel="0" collapsed="false">
      <c r="A212" s="156"/>
      <c r="B212" s="186" t="s">
        <v>303</v>
      </c>
      <c r="C212" s="178" t="s">
        <v>307</v>
      </c>
      <c r="D212" s="190"/>
      <c r="E212" s="178" t="n">
        <v>2729</v>
      </c>
      <c r="F212" s="175" t="s">
        <v>436</v>
      </c>
      <c r="G212" s="175" t="s">
        <v>306</v>
      </c>
      <c r="H212" s="167"/>
      <c r="I212" s="182"/>
      <c r="J212" s="149"/>
      <c r="K212" s="149"/>
      <c r="L212" s="149"/>
      <c r="M212" s="149"/>
      <c r="N212" s="149"/>
      <c r="O212" s="149"/>
      <c r="P212" s="149"/>
      <c r="Q212" s="149"/>
      <c r="R212" s="149"/>
      <c r="S212" s="149"/>
      <c r="T212" s="149"/>
      <c r="U212" s="149"/>
      <c r="V212" s="149"/>
      <c r="W212" s="149"/>
      <c r="X212" s="149"/>
      <c r="Y212" s="149"/>
      <c r="Z212" s="149"/>
    </row>
    <row r="213" customFormat="false" ht="15.75" hidden="false" customHeight="true" outlineLevel="0" collapsed="false">
      <c r="A213" s="191"/>
      <c r="B213" s="191"/>
      <c r="C213" s="191"/>
      <c r="D213" s="191"/>
      <c r="E213" s="191"/>
      <c r="F213" s="191"/>
      <c r="G213" s="191"/>
      <c r="H213" s="191"/>
      <c r="I213" s="191"/>
      <c r="J213" s="149"/>
      <c r="K213" s="149"/>
      <c r="L213" s="149"/>
      <c r="M213" s="149"/>
      <c r="N213" s="149"/>
      <c r="O213" s="149"/>
      <c r="P213" s="149"/>
      <c r="Q213" s="149"/>
      <c r="R213" s="149"/>
      <c r="S213" s="149"/>
      <c r="T213" s="149"/>
      <c r="U213" s="149"/>
      <c r="V213" s="149"/>
      <c r="W213" s="149"/>
      <c r="X213" s="149"/>
      <c r="Y213" s="149"/>
      <c r="Z213" s="149"/>
    </row>
    <row r="214" customFormat="false" ht="15.75" hidden="false" customHeight="true" outlineLevel="0" collapsed="false">
      <c r="A214" s="156" t="s">
        <v>564</v>
      </c>
      <c r="B214" s="157" t="s">
        <v>565</v>
      </c>
      <c r="C214" s="158" t="s">
        <v>566</v>
      </c>
      <c r="D214" s="166" t="s">
        <v>567</v>
      </c>
      <c r="E214" s="158" t="n">
        <v>2702</v>
      </c>
      <c r="F214" s="165" t="s">
        <v>568</v>
      </c>
      <c r="G214" s="166"/>
      <c r="H214" s="167"/>
      <c r="I214" s="157" t="s">
        <v>569</v>
      </c>
      <c r="J214" s="149"/>
      <c r="K214" s="149"/>
      <c r="L214" s="149"/>
      <c r="M214" s="149"/>
      <c r="N214" s="149"/>
      <c r="O214" s="149"/>
      <c r="P214" s="149"/>
      <c r="Q214" s="149"/>
      <c r="R214" s="149"/>
      <c r="S214" s="149"/>
      <c r="T214" s="149"/>
      <c r="U214" s="149"/>
      <c r="V214" s="149"/>
      <c r="W214" s="149"/>
      <c r="X214" s="149"/>
      <c r="Y214" s="149"/>
      <c r="Z214" s="149"/>
    </row>
    <row r="215" customFormat="false" ht="15.75" hidden="false" customHeight="true" outlineLevel="0" collapsed="false">
      <c r="A215" s="156"/>
      <c r="B215" s="157" t="s">
        <v>570</v>
      </c>
      <c r="C215" s="158" t="s">
        <v>571</v>
      </c>
      <c r="D215" s="166" t="s">
        <v>572</v>
      </c>
      <c r="E215" s="158" t="n">
        <v>2702</v>
      </c>
      <c r="F215" s="180" t="s">
        <v>573</v>
      </c>
      <c r="G215" s="169" t="s">
        <v>574</v>
      </c>
      <c r="H215" s="192"/>
      <c r="I215" s="157" t="s">
        <v>575</v>
      </c>
      <c r="J215" s="149"/>
      <c r="K215" s="149"/>
      <c r="L215" s="149"/>
      <c r="M215" s="149"/>
      <c r="N215" s="149"/>
      <c r="O215" s="149"/>
      <c r="P215" s="149"/>
      <c r="Q215" s="149"/>
      <c r="R215" s="149"/>
      <c r="S215" s="149"/>
      <c r="T215" s="149"/>
      <c r="U215" s="149"/>
      <c r="V215" s="149"/>
      <c r="W215" s="149"/>
      <c r="X215" s="149"/>
      <c r="Y215" s="149"/>
      <c r="Z215" s="149"/>
    </row>
    <row r="216" customFormat="false" ht="15.75" hidden="false" customHeight="true" outlineLevel="0" collapsed="false">
      <c r="A216" s="156"/>
      <c r="B216" s="157" t="s">
        <v>576</v>
      </c>
      <c r="C216" s="158" t="s">
        <v>571</v>
      </c>
      <c r="D216" s="166" t="s">
        <v>577</v>
      </c>
      <c r="E216" s="158" t="n">
        <v>2702</v>
      </c>
      <c r="F216" s="180" t="s">
        <v>573</v>
      </c>
      <c r="G216" s="169"/>
      <c r="H216" s="192"/>
      <c r="I216" s="157" t="s">
        <v>575</v>
      </c>
      <c r="J216" s="149"/>
      <c r="K216" s="149"/>
      <c r="L216" s="149"/>
      <c r="M216" s="149"/>
      <c r="N216" s="149"/>
      <c r="O216" s="149"/>
      <c r="P216" s="149"/>
      <c r="Q216" s="149"/>
      <c r="R216" s="149"/>
      <c r="S216" s="149"/>
      <c r="T216" s="149"/>
      <c r="U216" s="149"/>
      <c r="V216" s="149"/>
      <c r="W216" s="149"/>
      <c r="X216" s="149"/>
      <c r="Y216" s="149"/>
      <c r="Z216" s="149"/>
    </row>
    <row r="217" customFormat="false" ht="15.75" hidden="false" customHeight="true" outlineLevel="0" collapsed="false">
      <c r="A217" s="156"/>
      <c r="B217" s="157" t="s">
        <v>578</v>
      </c>
      <c r="C217" s="158" t="s">
        <v>579</v>
      </c>
      <c r="D217" s="166" t="s">
        <v>580</v>
      </c>
      <c r="E217" s="158" t="n">
        <v>2702</v>
      </c>
      <c r="F217" s="165" t="s">
        <v>581</v>
      </c>
      <c r="G217" s="166"/>
      <c r="H217" s="167"/>
      <c r="I217" s="193" t="s">
        <v>582</v>
      </c>
      <c r="J217" s="149"/>
      <c r="K217" s="149"/>
      <c r="L217" s="149"/>
      <c r="M217" s="149"/>
      <c r="N217" s="149"/>
      <c r="O217" s="149"/>
      <c r="P217" s="149"/>
      <c r="Q217" s="149"/>
      <c r="R217" s="149"/>
      <c r="S217" s="149"/>
      <c r="T217" s="149"/>
      <c r="U217" s="149"/>
      <c r="V217" s="149"/>
      <c r="W217" s="149"/>
      <c r="X217" s="149"/>
      <c r="Y217" s="149"/>
      <c r="Z217" s="149"/>
    </row>
    <row r="218" customFormat="false" ht="15.75" hidden="false" customHeight="true" outlineLevel="0" collapsed="false">
      <c r="A218" s="156"/>
      <c r="B218" s="157" t="s">
        <v>583</v>
      </c>
      <c r="C218" s="158" t="s">
        <v>584</v>
      </c>
      <c r="D218" s="166" t="s">
        <v>585</v>
      </c>
      <c r="E218" s="158" t="n">
        <v>2702</v>
      </c>
      <c r="F218" s="165" t="s">
        <v>586</v>
      </c>
      <c r="G218" s="166"/>
      <c r="H218" s="167"/>
      <c r="I218" s="193" t="s">
        <v>587</v>
      </c>
      <c r="J218" s="149"/>
      <c r="K218" s="149"/>
      <c r="L218" s="149"/>
      <c r="M218" s="149"/>
      <c r="N218" s="149"/>
      <c r="O218" s="149"/>
      <c r="P218" s="149"/>
      <c r="Q218" s="149"/>
      <c r="R218" s="149"/>
      <c r="S218" s="149"/>
      <c r="T218" s="149"/>
      <c r="U218" s="149"/>
      <c r="V218" s="149"/>
      <c r="W218" s="149"/>
      <c r="X218" s="149"/>
      <c r="Y218" s="149"/>
      <c r="Z218" s="149"/>
    </row>
    <row r="219" customFormat="false" ht="15.75" hidden="false" customHeight="true" outlineLevel="0" collapsed="false">
      <c r="A219" s="156"/>
      <c r="B219" s="157" t="s">
        <v>588</v>
      </c>
      <c r="C219" s="158" t="s">
        <v>589</v>
      </c>
      <c r="D219" s="166" t="s">
        <v>590</v>
      </c>
      <c r="E219" s="158" t="n">
        <v>2702</v>
      </c>
      <c r="F219" s="165" t="s">
        <v>591</v>
      </c>
      <c r="G219" s="166"/>
      <c r="H219" s="167"/>
      <c r="I219" s="193" t="s">
        <v>592</v>
      </c>
      <c r="J219" s="149"/>
      <c r="K219" s="149"/>
      <c r="L219" s="149"/>
      <c r="M219" s="149"/>
      <c r="N219" s="149"/>
      <c r="O219" s="149"/>
      <c r="P219" s="149"/>
      <c r="Q219" s="149"/>
      <c r="R219" s="149"/>
      <c r="S219" s="149"/>
      <c r="T219" s="149"/>
      <c r="U219" s="149"/>
      <c r="V219" s="149"/>
      <c r="W219" s="149"/>
      <c r="X219" s="149"/>
      <c r="Y219" s="149"/>
      <c r="Z219" s="149"/>
    </row>
    <row r="220" customFormat="false" ht="15.75" hidden="false" customHeight="true" outlineLevel="0" collapsed="false">
      <c r="A220" s="156"/>
      <c r="B220" s="157" t="s">
        <v>593</v>
      </c>
      <c r="C220" s="158" t="s">
        <v>594</v>
      </c>
      <c r="D220" s="166" t="s">
        <v>595</v>
      </c>
      <c r="E220" s="158" t="n">
        <v>2702</v>
      </c>
      <c r="F220" s="165" t="s">
        <v>591</v>
      </c>
      <c r="G220" s="166"/>
      <c r="H220" s="167"/>
      <c r="I220" s="193" t="s">
        <v>592</v>
      </c>
      <c r="J220" s="149"/>
      <c r="K220" s="149"/>
      <c r="L220" s="149"/>
      <c r="M220" s="149"/>
      <c r="N220" s="149"/>
      <c r="O220" s="149"/>
      <c r="P220" s="149"/>
      <c r="Q220" s="149"/>
      <c r="R220" s="149"/>
      <c r="S220" s="149"/>
      <c r="T220" s="149"/>
      <c r="U220" s="149"/>
      <c r="V220" s="149"/>
      <c r="W220" s="149"/>
      <c r="X220" s="149"/>
      <c r="Y220" s="149"/>
      <c r="Z220" s="149"/>
    </row>
    <row r="221" customFormat="false" ht="15.75" hidden="false" customHeight="true" outlineLevel="0" collapsed="false">
      <c r="A221" s="156"/>
      <c r="B221" s="157" t="s">
        <v>596</v>
      </c>
      <c r="C221" s="158" t="s">
        <v>597</v>
      </c>
      <c r="D221" s="166" t="s">
        <v>598</v>
      </c>
      <c r="E221" s="158" t="n">
        <v>2702</v>
      </c>
      <c r="F221" s="165" t="s">
        <v>599</v>
      </c>
      <c r="G221" s="166"/>
      <c r="H221" s="167"/>
      <c r="I221" s="157" t="s">
        <v>592</v>
      </c>
      <c r="J221" s="149"/>
      <c r="K221" s="149"/>
      <c r="L221" s="149"/>
      <c r="M221" s="149"/>
      <c r="N221" s="149"/>
      <c r="O221" s="149"/>
      <c r="P221" s="149"/>
      <c r="Q221" s="149"/>
      <c r="R221" s="149"/>
      <c r="S221" s="149"/>
      <c r="T221" s="149"/>
      <c r="U221" s="149"/>
      <c r="V221" s="149"/>
      <c r="W221" s="149"/>
      <c r="X221" s="149"/>
      <c r="Y221" s="149"/>
      <c r="Z221" s="149"/>
    </row>
    <row r="222" customFormat="false" ht="15.75" hidden="false" customHeight="true" outlineLevel="0" collapsed="false">
      <c r="A222" s="156"/>
      <c r="B222" s="157" t="s">
        <v>600</v>
      </c>
      <c r="C222" s="158" t="s">
        <v>601</v>
      </c>
      <c r="D222" s="166" t="s">
        <v>602</v>
      </c>
      <c r="E222" s="158" t="n">
        <v>2702</v>
      </c>
      <c r="F222" s="165" t="s">
        <v>603</v>
      </c>
      <c r="G222" s="166"/>
      <c r="H222" s="167"/>
      <c r="I222" s="157" t="s">
        <v>604</v>
      </c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</row>
    <row r="223" customFormat="false" ht="15.75" hidden="false" customHeight="true" outlineLevel="0" collapsed="false">
      <c r="A223" s="156"/>
      <c r="B223" s="157" t="s">
        <v>605</v>
      </c>
      <c r="C223" s="158" t="s">
        <v>606</v>
      </c>
      <c r="D223" s="166" t="s">
        <v>607</v>
      </c>
      <c r="E223" s="158" t="n">
        <v>2702</v>
      </c>
      <c r="F223" s="165" t="s">
        <v>603</v>
      </c>
      <c r="G223" s="166"/>
      <c r="H223" s="167"/>
      <c r="I223" s="157" t="s">
        <v>604</v>
      </c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</row>
    <row r="224" customFormat="false" ht="15.75" hidden="false" customHeight="true" outlineLevel="0" collapsed="false">
      <c r="A224" s="156"/>
      <c r="B224" s="157" t="s">
        <v>608</v>
      </c>
      <c r="C224" s="158" t="s">
        <v>601</v>
      </c>
      <c r="D224" s="166" t="s">
        <v>609</v>
      </c>
      <c r="E224" s="158" t="n">
        <v>2702</v>
      </c>
      <c r="F224" s="160" t="s">
        <v>610</v>
      </c>
      <c r="G224" s="194"/>
      <c r="H224" s="167"/>
      <c r="I224" s="157" t="s">
        <v>604</v>
      </c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</row>
    <row r="225" customFormat="false" ht="15.75" hidden="false" customHeight="true" outlineLevel="0" collapsed="false">
      <c r="A225" s="156"/>
      <c r="B225" s="157" t="s">
        <v>611</v>
      </c>
      <c r="C225" s="158" t="s">
        <v>606</v>
      </c>
      <c r="D225" s="166" t="s">
        <v>612</v>
      </c>
      <c r="E225" s="158" t="n">
        <v>2702</v>
      </c>
      <c r="F225" s="160" t="s">
        <v>610</v>
      </c>
      <c r="G225" s="195"/>
      <c r="H225" s="167"/>
      <c r="I225" s="157" t="s">
        <v>604</v>
      </c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</row>
    <row r="226" customFormat="false" ht="15.75" hidden="false" customHeight="true" outlineLevel="0" collapsed="false">
      <c r="A226" s="156"/>
      <c r="B226" s="157" t="s">
        <v>613</v>
      </c>
      <c r="C226" s="158" t="s">
        <v>614</v>
      </c>
      <c r="D226" s="166" t="s">
        <v>615</v>
      </c>
      <c r="E226" s="158" t="n">
        <v>2702</v>
      </c>
      <c r="F226" s="165" t="s">
        <v>616</v>
      </c>
      <c r="G226" s="166"/>
      <c r="H226" s="167"/>
      <c r="I226" s="157" t="s">
        <v>604</v>
      </c>
      <c r="J226" s="149"/>
      <c r="K226" s="149"/>
      <c r="L226" s="149"/>
      <c r="M226" s="149"/>
      <c r="N226" s="149"/>
      <c r="O226" s="149"/>
      <c r="P226" s="149"/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</row>
    <row r="227" customFormat="false" ht="15.75" hidden="false" customHeight="true" outlineLevel="0" collapsed="false">
      <c r="A227" s="156"/>
      <c r="B227" s="157" t="s">
        <v>617</v>
      </c>
      <c r="C227" s="158" t="s">
        <v>618</v>
      </c>
      <c r="D227" s="166" t="s">
        <v>619</v>
      </c>
      <c r="E227" s="158" t="n">
        <v>2702</v>
      </c>
      <c r="F227" s="165" t="s">
        <v>616</v>
      </c>
      <c r="G227" s="166"/>
      <c r="H227" s="167"/>
      <c r="I227" s="157" t="s">
        <v>604</v>
      </c>
      <c r="J227" s="149"/>
      <c r="K227" s="149"/>
      <c r="L227" s="149"/>
      <c r="M227" s="149"/>
      <c r="N227" s="149"/>
      <c r="O227" s="149"/>
      <c r="P227" s="149"/>
      <c r="Q227" s="149"/>
      <c r="R227" s="149"/>
      <c r="S227" s="149"/>
      <c r="T227" s="149"/>
      <c r="U227" s="149"/>
      <c r="V227" s="149"/>
      <c r="W227" s="149"/>
      <c r="X227" s="149"/>
      <c r="Y227" s="149"/>
      <c r="Z227" s="149"/>
    </row>
    <row r="228" customFormat="false" ht="15.75" hidden="false" customHeight="true" outlineLevel="0" collapsed="false">
      <c r="A228" s="156"/>
      <c r="B228" s="157" t="s">
        <v>620</v>
      </c>
      <c r="C228" s="158" t="s">
        <v>621</v>
      </c>
      <c r="D228" s="166" t="s">
        <v>622</v>
      </c>
      <c r="E228" s="158" t="n">
        <v>2702</v>
      </c>
      <c r="F228" s="165" t="s">
        <v>623</v>
      </c>
      <c r="G228" s="166"/>
      <c r="H228" s="167"/>
      <c r="I228" s="157" t="s">
        <v>569</v>
      </c>
      <c r="J228" s="149"/>
      <c r="K228" s="149"/>
      <c r="L228" s="149"/>
      <c r="M228" s="149"/>
      <c r="N228" s="149"/>
      <c r="O228" s="149"/>
      <c r="P228" s="149"/>
      <c r="Q228" s="149"/>
      <c r="R228" s="149"/>
      <c r="S228" s="149"/>
      <c r="T228" s="149"/>
      <c r="U228" s="149"/>
      <c r="V228" s="149"/>
      <c r="W228" s="149"/>
      <c r="X228" s="149"/>
      <c r="Y228" s="149"/>
      <c r="Z228" s="149"/>
    </row>
    <row r="229" customFormat="false" ht="15.75" hidden="false" customHeight="true" outlineLevel="0" collapsed="false">
      <c r="A229" s="156"/>
      <c r="B229" s="157" t="s">
        <v>624</v>
      </c>
      <c r="C229" s="158" t="s">
        <v>625</v>
      </c>
      <c r="D229" s="166" t="s">
        <v>626</v>
      </c>
      <c r="E229" s="158" t="n">
        <v>2702</v>
      </c>
      <c r="F229" s="165" t="s">
        <v>627</v>
      </c>
      <c r="G229" s="166"/>
      <c r="H229" s="167"/>
      <c r="I229" s="157" t="s">
        <v>569</v>
      </c>
      <c r="J229" s="149"/>
      <c r="K229" s="149"/>
      <c r="L229" s="149"/>
      <c r="M229" s="149"/>
      <c r="N229" s="149"/>
      <c r="O229" s="149"/>
      <c r="P229" s="149"/>
      <c r="Q229" s="149"/>
      <c r="R229" s="149"/>
      <c r="S229" s="149"/>
      <c r="T229" s="149"/>
      <c r="U229" s="149"/>
      <c r="V229" s="149"/>
      <c r="W229" s="149"/>
      <c r="X229" s="149"/>
      <c r="Y229" s="149"/>
      <c r="Z229" s="149"/>
    </row>
    <row r="230" customFormat="false" ht="15.75" hidden="false" customHeight="true" outlineLevel="0" collapsed="false">
      <c r="A230" s="156"/>
      <c r="B230" s="157" t="s">
        <v>628</v>
      </c>
      <c r="C230" s="158" t="s">
        <v>625</v>
      </c>
      <c r="D230" s="166" t="s">
        <v>629</v>
      </c>
      <c r="E230" s="158" t="n">
        <v>2702</v>
      </c>
      <c r="F230" s="165" t="s">
        <v>627</v>
      </c>
      <c r="G230" s="166"/>
      <c r="H230" s="167"/>
      <c r="I230" s="157" t="s">
        <v>569</v>
      </c>
      <c r="J230" s="149"/>
      <c r="K230" s="149"/>
      <c r="L230" s="149"/>
      <c r="M230" s="149"/>
      <c r="N230" s="149"/>
      <c r="O230" s="149"/>
      <c r="P230" s="149"/>
      <c r="Q230" s="149"/>
      <c r="R230" s="149"/>
      <c r="S230" s="149"/>
      <c r="T230" s="149"/>
      <c r="U230" s="149"/>
      <c r="V230" s="149"/>
      <c r="W230" s="149"/>
      <c r="X230" s="149"/>
      <c r="Y230" s="149"/>
      <c r="Z230" s="149"/>
    </row>
    <row r="231" customFormat="false" ht="15.75" hidden="false" customHeight="true" outlineLevel="0" collapsed="false">
      <c r="A231" s="156"/>
      <c r="B231" s="157" t="s">
        <v>630</v>
      </c>
      <c r="C231" s="158" t="s">
        <v>631</v>
      </c>
      <c r="D231" s="166" t="s">
        <v>632</v>
      </c>
      <c r="E231" s="158" t="n">
        <v>2702</v>
      </c>
      <c r="F231" s="165" t="s">
        <v>623</v>
      </c>
      <c r="G231" s="166"/>
      <c r="H231" s="167"/>
      <c r="I231" s="157" t="s">
        <v>569</v>
      </c>
      <c r="J231" s="149"/>
      <c r="K231" s="149"/>
      <c r="L231" s="149"/>
      <c r="M231" s="149"/>
      <c r="N231" s="149"/>
      <c r="O231" s="149"/>
      <c r="P231" s="149"/>
      <c r="Q231" s="149"/>
      <c r="R231" s="149"/>
      <c r="S231" s="149"/>
      <c r="T231" s="149"/>
      <c r="U231" s="149"/>
      <c r="V231" s="149"/>
      <c r="W231" s="149"/>
      <c r="X231" s="149"/>
      <c r="Y231" s="149"/>
      <c r="Z231" s="149"/>
    </row>
    <row r="232" customFormat="false" ht="15.75" hidden="false" customHeight="true" outlineLevel="0" collapsed="false">
      <c r="A232" s="156"/>
      <c r="B232" s="157" t="s">
        <v>633</v>
      </c>
      <c r="C232" s="158" t="s">
        <v>634</v>
      </c>
      <c r="D232" s="166" t="s">
        <v>635</v>
      </c>
      <c r="E232" s="158" t="n">
        <v>2702</v>
      </c>
      <c r="F232" s="165" t="s">
        <v>623</v>
      </c>
      <c r="G232" s="166"/>
      <c r="H232" s="167"/>
      <c r="I232" s="157" t="s">
        <v>569</v>
      </c>
      <c r="J232" s="149"/>
      <c r="K232" s="149"/>
      <c r="L232" s="149"/>
      <c r="M232" s="149"/>
      <c r="N232" s="149"/>
      <c r="O232" s="149"/>
      <c r="P232" s="149"/>
      <c r="Q232" s="149"/>
      <c r="R232" s="149"/>
      <c r="S232" s="149"/>
      <c r="T232" s="149"/>
      <c r="U232" s="149"/>
      <c r="V232" s="149"/>
      <c r="W232" s="149"/>
      <c r="X232" s="149"/>
      <c r="Y232" s="149"/>
      <c r="Z232" s="149"/>
    </row>
    <row r="233" customFormat="false" ht="15.75" hidden="false" customHeight="true" outlineLevel="0" collapsed="false">
      <c r="A233" s="156"/>
      <c r="B233" s="157" t="s">
        <v>636</v>
      </c>
      <c r="C233" s="158" t="s">
        <v>637</v>
      </c>
      <c r="D233" s="166" t="s">
        <v>638</v>
      </c>
      <c r="E233" s="158" t="n">
        <v>2702</v>
      </c>
      <c r="F233" s="165" t="s">
        <v>623</v>
      </c>
      <c r="G233" s="166"/>
      <c r="H233" s="167"/>
      <c r="I233" s="157" t="s">
        <v>569</v>
      </c>
      <c r="J233" s="149"/>
      <c r="K233" s="149"/>
      <c r="L233" s="149"/>
      <c r="M233" s="149"/>
      <c r="N233" s="149"/>
      <c r="O233" s="149"/>
      <c r="P233" s="149"/>
      <c r="Q233" s="149"/>
      <c r="R233" s="149"/>
      <c r="S233" s="149"/>
      <c r="T233" s="149"/>
      <c r="U233" s="149"/>
      <c r="V233" s="149"/>
      <c r="W233" s="149"/>
      <c r="X233" s="149"/>
      <c r="Y233" s="149"/>
      <c r="Z233" s="149"/>
    </row>
    <row r="234" customFormat="false" ht="15.75" hidden="false" customHeight="true" outlineLevel="0" collapsed="false">
      <c r="A234" s="156"/>
      <c r="B234" s="157" t="s">
        <v>639</v>
      </c>
      <c r="C234" s="158" t="s">
        <v>637</v>
      </c>
      <c r="D234" s="166" t="s">
        <v>640</v>
      </c>
      <c r="E234" s="158" t="n">
        <v>2702</v>
      </c>
      <c r="F234" s="165" t="s">
        <v>623</v>
      </c>
      <c r="G234" s="166"/>
      <c r="H234" s="167"/>
      <c r="I234" s="157" t="s">
        <v>569</v>
      </c>
      <c r="J234" s="149"/>
      <c r="K234" s="149"/>
      <c r="L234" s="149"/>
      <c r="M234" s="149"/>
      <c r="N234" s="149"/>
      <c r="O234" s="149"/>
      <c r="P234" s="149"/>
      <c r="Q234" s="149"/>
      <c r="R234" s="149"/>
      <c r="S234" s="149"/>
      <c r="T234" s="149"/>
      <c r="U234" s="149"/>
      <c r="V234" s="149"/>
      <c r="W234" s="149"/>
      <c r="X234" s="149"/>
      <c r="Y234" s="149"/>
      <c r="Z234" s="149"/>
    </row>
    <row r="235" customFormat="false" ht="15.75" hidden="false" customHeight="true" outlineLevel="0" collapsed="false">
      <c r="A235" s="156"/>
      <c r="B235" s="157" t="s">
        <v>641</v>
      </c>
      <c r="C235" s="158" t="s">
        <v>642</v>
      </c>
      <c r="D235" s="166" t="s">
        <v>635</v>
      </c>
      <c r="E235" s="158" t="n">
        <v>2702</v>
      </c>
      <c r="F235" s="165" t="s">
        <v>643</v>
      </c>
      <c r="G235" s="166"/>
      <c r="H235" s="167"/>
      <c r="I235" s="157" t="s">
        <v>569</v>
      </c>
      <c r="J235" s="149"/>
      <c r="K235" s="149"/>
      <c r="L235" s="149"/>
      <c r="M235" s="149"/>
      <c r="N235" s="149"/>
      <c r="O235" s="149"/>
      <c r="P235" s="149"/>
      <c r="Q235" s="149"/>
      <c r="R235" s="149"/>
      <c r="S235" s="149"/>
      <c r="T235" s="149"/>
      <c r="U235" s="149"/>
      <c r="V235" s="149"/>
      <c r="W235" s="149"/>
      <c r="X235" s="149"/>
      <c r="Y235" s="149"/>
      <c r="Z235" s="149"/>
    </row>
    <row r="236" customFormat="false" ht="15.75" hidden="false" customHeight="true" outlineLevel="0" collapsed="false">
      <c r="A236" s="156"/>
      <c r="B236" s="157" t="s">
        <v>644</v>
      </c>
      <c r="C236" s="158" t="s">
        <v>642</v>
      </c>
      <c r="D236" s="166" t="s">
        <v>632</v>
      </c>
      <c r="E236" s="158" t="n">
        <v>2702</v>
      </c>
      <c r="F236" s="165" t="s">
        <v>643</v>
      </c>
      <c r="G236" s="166"/>
      <c r="H236" s="167"/>
      <c r="I236" s="157" t="s">
        <v>569</v>
      </c>
      <c r="J236" s="149"/>
      <c r="K236" s="149"/>
      <c r="L236" s="149"/>
      <c r="M236" s="149"/>
      <c r="N236" s="149"/>
      <c r="O236" s="149"/>
      <c r="P236" s="149"/>
      <c r="Q236" s="149"/>
      <c r="R236" s="149"/>
      <c r="S236" s="149"/>
      <c r="T236" s="149"/>
      <c r="U236" s="149"/>
      <c r="V236" s="149"/>
      <c r="W236" s="149"/>
      <c r="X236" s="149"/>
      <c r="Y236" s="149"/>
      <c r="Z236" s="149"/>
    </row>
    <row r="237" customFormat="false" ht="15.75" hidden="false" customHeight="true" outlineLevel="0" collapsed="false">
      <c r="A237" s="156"/>
      <c r="B237" s="157"/>
      <c r="C237" s="157"/>
      <c r="D237" s="157"/>
      <c r="E237" s="157"/>
      <c r="F237" s="157"/>
      <c r="G237" s="157"/>
      <c r="H237" s="157"/>
      <c r="I237" s="157"/>
      <c r="J237" s="149"/>
      <c r="K237" s="149"/>
      <c r="L237" s="149"/>
      <c r="M237" s="149"/>
      <c r="N237" s="149"/>
      <c r="O237" s="149"/>
      <c r="P237" s="149"/>
      <c r="Q237" s="149"/>
      <c r="R237" s="149"/>
      <c r="S237" s="149"/>
      <c r="T237" s="149"/>
      <c r="U237" s="149"/>
      <c r="V237" s="149"/>
      <c r="W237" s="149"/>
      <c r="X237" s="149"/>
      <c r="Y237" s="149"/>
      <c r="Z237" s="149"/>
    </row>
    <row r="238" customFormat="false" ht="15.75" hidden="false" customHeight="true" outlineLevel="0" collapsed="false">
      <c r="A238" s="156"/>
      <c r="B238" s="157" t="s">
        <v>565</v>
      </c>
      <c r="C238" s="158" t="s">
        <v>566</v>
      </c>
      <c r="D238" s="166" t="s">
        <v>635</v>
      </c>
      <c r="E238" s="158" t="n">
        <v>2703</v>
      </c>
      <c r="F238" s="165" t="s">
        <v>645</v>
      </c>
      <c r="G238" s="166"/>
      <c r="H238" s="167"/>
      <c r="I238" s="157" t="s">
        <v>569</v>
      </c>
      <c r="J238" s="149"/>
      <c r="K238" s="149"/>
      <c r="L238" s="149"/>
      <c r="M238" s="149"/>
      <c r="N238" s="149"/>
      <c r="O238" s="149"/>
      <c r="P238" s="149"/>
      <c r="Q238" s="149"/>
      <c r="R238" s="149"/>
      <c r="S238" s="149"/>
      <c r="T238" s="149"/>
      <c r="U238" s="149"/>
      <c r="V238" s="149"/>
      <c r="W238" s="149"/>
      <c r="X238" s="149"/>
      <c r="Y238" s="149"/>
      <c r="Z238" s="149"/>
    </row>
    <row r="239" customFormat="false" ht="15.75" hidden="false" customHeight="true" outlineLevel="0" collapsed="false">
      <c r="A239" s="156"/>
      <c r="B239" s="157" t="s">
        <v>570</v>
      </c>
      <c r="C239" s="158" t="s">
        <v>571</v>
      </c>
      <c r="D239" s="166" t="s">
        <v>646</v>
      </c>
      <c r="E239" s="158" t="n">
        <v>2703</v>
      </c>
      <c r="F239" s="160" t="s">
        <v>647</v>
      </c>
      <c r="G239" s="161"/>
      <c r="H239" s="192"/>
      <c r="I239" s="157" t="s">
        <v>648</v>
      </c>
      <c r="J239" s="149"/>
      <c r="K239" s="149"/>
      <c r="L239" s="149"/>
      <c r="M239" s="149"/>
      <c r="N239" s="149"/>
      <c r="O239" s="149"/>
      <c r="P239" s="149"/>
      <c r="Q239" s="149"/>
      <c r="R239" s="149"/>
      <c r="S239" s="149"/>
      <c r="T239" s="149"/>
      <c r="U239" s="149"/>
      <c r="V239" s="149"/>
      <c r="W239" s="149"/>
      <c r="X239" s="149"/>
      <c r="Y239" s="149"/>
      <c r="Z239" s="149"/>
    </row>
    <row r="240" customFormat="false" ht="15.75" hidden="false" customHeight="true" outlineLevel="0" collapsed="false">
      <c r="A240" s="156"/>
      <c r="B240" s="157" t="s">
        <v>576</v>
      </c>
      <c r="C240" s="158" t="s">
        <v>571</v>
      </c>
      <c r="D240" s="166" t="s">
        <v>649</v>
      </c>
      <c r="E240" s="158" t="n">
        <v>2703</v>
      </c>
      <c r="F240" s="160" t="s">
        <v>650</v>
      </c>
      <c r="G240" s="161"/>
      <c r="H240" s="192"/>
      <c r="I240" s="157" t="s">
        <v>575</v>
      </c>
      <c r="J240" s="149"/>
      <c r="K240" s="149"/>
      <c r="L240" s="149"/>
      <c r="M240" s="149"/>
      <c r="N240" s="149"/>
      <c r="O240" s="149"/>
      <c r="P240" s="149"/>
      <c r="Q240" s="149"/>
      <c r="R240" s="149"/>
      <c r="S240" s="149"/>
      <c r="T240" s="149"/>
      <c r="U240" s="149"/>
      <c r="V240" s="149"/>
      <c r="W240" s="149"/>
      <c r="X240" s="149"/>
      <c r="Y240" s="149"/>
      <c r="Z240" s="149"/>
    </row>
    <row r="241" customFormat="false" ht="15.75" hidden="false" customHeight="true" outlineLevel="0" collapsed="false">
      <c r="A241" s="156"/>
      <c r="B241" s="157" t="s">
        <v>578</v>
      </c>
      <c r="C241" s="158" t="s">
        <v>579</v>
      </c>
      <c r="D241" s="166" t="s">
        <v>651</v>
      </c>
      <c r="E241" s="158" t="n">
        <v>2703</v>
      </c>
      <c r="F241" s="165" t="s">
        <v>652</v>
      </c>
      <c r="G241" s="166"/>
      <c r="H241" s="167"/>
      <c r="I241" s="193" t="s">
        <v>582</v>
      </c>
      <c r="J241" s="149"/>
      <c r="K241" s="149"/>
      <c r="L241" s="149"/>
      <c r="M241" s="149"/>
      <c r="N241" s="149"/>
      <c r="O241" s="149"/>
      <c r="P241" s="149"/>
      <c r="Q241" s="149"/>
      <c r="R241" s="149"/>
      <c r="S241" s="149"/>
      <c r="T241" s="149"/>
      <c r="U241" s="149"/>
      <c r="V241" s="149"/>
      <c r="W241" s="149"/>
      <c r="X241" s="149"/>
      <c r="Y241" s="149"/>
      <c r="Z241" s="149"/>
    </row>
    <row r="242" customFormat="false" ht="15.75" hidden="false" customHeight="true" outlineLevel="0" collapsed="false">
      <c r="A242" s="156"/>
      <c r="B242" s="157" t="s">
        <v>583</v>
      </c>
      <c r="C242" s="158" t="s">
        <v>653</v>
      </c>
      <c r="D242" s="166" t="s">
        <v>654</v>
      </c>
      <c r="E242" s="158" t="n">
        <v>2703</v>
      </c>
      <c r="F242" s="165" t="s">
        <v>655</v>
      </c>
      <c r="G242" s="166"/>
      <c r="H242" s="167"/>
      <c r="I242" s="193" t="s">
        <v>587</v>
      </c>
      <c r="J242" s="149"/>
      <c r="K242" s="149"/>
      <c r="L242" s="149"/>
      <c r="M242" s="149"/>
      <c r="N242" s="149"/>
      <c r="O242" s="149"/>
      <c r="P242" s="149"/>
      <c r="Q242" s="149"/>
      <c r="R242" s="149"/>
      <c r="S242" s="149"/>
      <c r="T242" s="149"/>
      <c r="U242" s="149"/>
      <c r="V242" s="149"/>
      <c r="W242" s="149"/>
      <c r="X242" s="149"/>
      <c r="Y242" s="149"/>
      <c r="Z242" s="149"/>
    </row>
    <row r="243" customFormat="false" ht="15.75" hidden="false" customHeight="true" outlineLevel="0" collapsed="false">
      <c r="A243" s="156"/>
      <c r="B243" s="157" t="s">
        <v>588</v>
      </c>
      <c r="C243" s="158" t="s">
        <v>656</v>
      </c>
      <c r="D243" s="166" t="s">
        <v>657</v>
      </c>
      <c r="E243" s="158" t="n">
        <v>2703</v>
      </c>
      <c r="F243" s="165" t="s">
        <v>658</v>
      </c>
      <c r="G243" s="166"/>
      <c r="H243" s="167"/>
      <c r="I243" s="193" t="s">
        <v>592</v>
      </c>
      <c r="J243" s="149"/>
      <c r="K243" s="149"/>
      <c r="L243" s="149"/>
      <c r="M243" s="149"/>
      <c r="N243" s="149"/>
      <c r="O243" s="149"/>
      <c r="P243" s="149"/>
      <c r="Q243" s="149"/>
      <c r="R243" s="149"/>
      <c r="S243" s="149"/>
      <c r="T243" s="149"/>
      <c r="U243" s="149"/>
      <c r="V243" s="149"/>
      <c r="W243" s="149"/>
      <c r="X243" s="149"/>
      <c r="Y243" s="149"/>
      <c r="Z243" s="149"/>
    </row>
    <row r="244" customFormat="false" ht="15.75" hidden="false" customHeight="true" outlineLevel="0" collapsed="false">
      <c r="A244" s="156"/>
      <c r="B244" s="157" t="s">
        <v>593</v>
      </c>
      <c r="C244" s="158" t="s">
        <v>594</v>
      </c>
      <c r="D244" s="166" t="s">
        <v>659</v>
      </c>
      <c r="E244" s="158" t="n">
        <v>2703</v>
      </c>
      <c r="F244" s="165" t="s">
        <v>660</v>
      </c>
      <c r="G244" s="166"/>
      <c r="H244" s="167"/>
      <c r="I244" s="193" t="s">
        <v>592</v>
      </c>
      <c r="J244" s="149"/>
      <c r="K244" s="149"/>
      <c r="L244" s="149"/>
      <c r="M244" s="149"/>
      <c r="N244" s="149"/>
      <c r="O244" s="149"/>
      <c r="P244" s="149"/>
      <c r="Q244" s="149"/>
      <c r="R244" s="149"/>
      <c r="S244" s="149"/>
      <c r="T244" s="149"/>
      <c r="U244" s="149"/>
      <c r="V244" s="149"/>
      <c r="W244" s="149"/>
      <c r="X244" s="149"/>
      <c r="Y244" s="149"/>
      <c r="Z244" s="149"/>
    </row>
    <row r="245" customFormat="false" ht="15.75" hidden="false" customHeight="true" outlineLevel="0" collapsed="false">
      <c r="A245" s="156"/>
      <c r="B245" s="157" t="s">
        <v>596</v>
      </c>
      <c r="C245" s="158" t="s">
        <v>597</v>
      </c>
      <c r="D245" s="166" t="s">
        <v>661</v>
      </c>
      <c r="E245" s="158" t="n">
        <v>2703</v>
      </c>
      <c r="F245" s="165" t="s">
        <v>662</v>
      </c>
      <c r="G245" s="166"/>
      <c r="H245" s="167"/>
      <c r="I245" s="157" t="s">
        <v>592</v>
      </c>
      <c r="J245" s="149"/>
      <c r="K245" s="149"/>
      <c r="L245" s="149"/>
      <c r="M245" s="149"/>
      <c r="N245" s="149"/>
      <c r="O245" s="149"/>
      <c r="P245" s="149"/>
      <c r="Q245" s="149"/>
      <c r="R245" s="149"/>
      <c r="S245" s="149"/>
      <c r="T245" s="149"/>
      <c r="U245" s="149"/>
      <c r="V245" s="149"/>
      <c r="W245" s="149"/>
      <c r="X245" s="149"/>
      <c r="Y245" s="149"/>
      <c r="Z245" s="149"/>
    </row>
    <row r="246" customFormat="false" ht="15.75" hidden="false" customHeight="true" outlineLevel="0" collapsed="false">
      <c r="A246" s="156"/>
      <c r="B246" s="157" t="s">
        <v>600</v>
      </c>
      <c r="C246" s="158" t="s">
        <v>601</v>
      </c>
      <c r="D246" s="166" t="s">
        <v>663</v>
      </c>
      <c r="E246" s="158" t="n">
        <v>2703</v>
      </c>
      <c r="F246" s="165" t="s">
        <v>664</v>
      </c>
      <c r="G246" s="166"/>
      <c r="H246" s="167"/>
      <c r="I246" s="157" t="s">
        <v>604</v>
      </c>
      <c r="J246" s="149"/>
      <c r="K246" s="149"/>
      <c r="L246" s="149"/>
      <c r="M246" s="149"/>
      <c r="N246" s="149"/>
      <c r="O246" s="149"/>
      <c r="P246" s="149"/>
      <c r="Q246" s="149"/>
      <c r="R246" s="149"/>
      <c r="S246" s="149"/>
      <c r="T246" s="149"/>
      <c r="U246" s="149"/>
      <c r="V246" s="149"/>
      <c r="W246" s="149"/>
      <c r="X246" s="149"/>
      <c r="Y246" s="149"/>
      <c r="Z246" s="149"/>
    </row>
    <row r="247" customFormat="false" ht="15.75" hidden="false" customHeight="true" outlineLevel="0" collapsed="false">
      <c r="A247" s="156"/>
      <c r="B247" s="157" t="s">
        <v>605</v>
      </c>
      <c r="C247" s="158" t="s">
        <v>606</v>
      </c>
      <c r="D247" s="166" t="s">
        <v>665</v>
      </c>
      <c r="E247" s="158" t="n">
        <v>2703</v>
      </c>
      <c r="F247" s="165" t="s">
        <v>664</v>
      </c>
      <c r="G247" s="166"/>
      <c r="H247" s="167"/>
      <c r="I247" s="157" t="s">
        <v>604</v>
      </c>
      <c r="J247" s="149"/>
      <c r="K247" s="149"/>
      <c r="L247" s="149"/>
      <c r="M247" s="149"/>
      <c r="N247" s="149"/>
      <c r="O247" s="149"/>
      <c r="P247" s="149"/>
      <c r="Q247" s="149"/>
      <c r="R247" s="149"/>
      <c r="S247" s="149"/>
      <c r="T247" s="149"/>
      <c r="U247" s="149"/>
      <c r="V247" s="149"/>
      <c r="W247" s="149"/>
      <c r="X247" s="149"/>
      <c r="Y247" s="149"/>
      <c r="Z247" s="149"/>
    </row>
    <row r="248" customFormat="false" ht="15.75" hidden="false" customHeight="true" outlineLevel="0" collapsed="false">
      <c r="A248" s="156"/>
      <c r="B248" s="157" t="s">
        <v>608</v>
      </c>
      <c r="C248" s="158" t="s">
        <v>601</v>
      </c>
      <c r="D248" s="166" t="s">
        <v>666</v>
      </c>
      <c r="E248" s="158" t="n">
        <v>2703</v>
      </c>
      <c r="F248" s="180" t="s">
        <v>667</v>
      </c>
      <c r="G248" s="169" t="s">
        <v>668</v>
      </c>
      <c r="H248" s="170" t="s">
        <v>669</v>
      </c>
      <c r="I248" s="157" t="s">
        <v>604</v>
      </c>
      <c r="J248" s="149"/>
      <c r="K248" s="149"/>
      <c r="L248" s="149"/>
      <c r="M248" s="149"/>
      <c r="N248" s="149"/>
      <c r="O248" s="149"/>
      <c r="P248" s="149"/>
      <c r="Q248" s="149"/>
      <c r="R248" s="149"/>
      <c r="S248" s="149"/>
      <c r="T248" s="149"/>
      <c r="U248" s="149"/>
      <c r="V248" s="149"/>
      <c r="W248" s="149"/>
      <c r="X248" s="149"/>
      <c r="Y248" s="149"/>
      <c r="Z248" s="149"/>
    </row>
    <row r="249" customFormat="false" ht="15.75" hidden="false" customHeight="true" outlineLevel="0" collapsed="false">
      <c r="A249" s="156"/>
      <c r="B249" s="157" t="s">
        <v>611</v>
      </c>
      <c r="C249" s="158" t="s">
        <v>606</v>
      </c>
      <c r="D249" s="166" t="s">
        <v>670</v>
      </c>
      <c r="E249" s="158" t="n">
        <v>2703</v>
      </c>
      <c r="F249" s="180" t="s">
        <v>671</v>
      </c>
      <c r="G249" s="169" t="s">
        <v>668</v>
      </c>
      <c r="H249" s="167"/>
      <c r="I249" s="157" t="s">
        <v>604</v>
      </c>
      <c r="J249" s="149"/>
      <c r="K249" s="149"/>
      <c r="L249" s="149"/>
      <c r="M249" s="149"/>
      <c r="N249" s="149"/>
      <c r="O249" s="149"/>
      <c r="P249" s="149"/>
      <c r="Q249" s="149"/>
      <c r="R249" s="149"/>
      <c r="S249" s="149"/>
      <c r="T249" s="149"/>
      <c r="U249" s="149"/>
      <c r="V249" s="149"/>
      <c r="W249" s="149"/>
      <c r="X249" s="149"/>
      <c r="Y249" s="149"/>
      <c r="Z249" s="149"/>
    </row>
    <row r="250" customFormat="false" ht="15.75" hidden="false" customHeight="true" outlineLevel="0" collapsed="false">
      <c r="A250" s="156"/>
      <c r="B250" s="157" t="s">
        <v>613</v>
      </c>
      <c r="C250" s="158" t="s">
        <v>614</v>
      </c>
      <c r="D250" s="166" t="s">
        <v>672</v>
      </c>
      <c r="E250" s="158" t="n">
        <v>2703</v>
      </c>
      <c r="F250" s="165" t="s">
        <v>673</v>
      </c>
      <c r="G250" s="166"/>
      <c r="H250" s="167"/>
      <c r="I250" s="157" t="s">
        <v>604</v>
      </c>
      <c r="J250" s="149"/>
      <c r="K250" s="149"/>
      <c r="L250" s="149"/>
      <c r="M250" s="149"/>
      <c r="N250" s="149"/>
      <c r="O250" s="149"/>
      <c r="P250" s="149"/>
      <c r="Q250" s="149"/>
      <c r="R250" s="149"/>
      <c r="S250" s="149"/>
      <c r="T250" s="149"/>
      <c r="U250" s="149"/>
      <c r="V250" s="149"/>
      <c r="W250" s="149"/>
      <c r="X250" s="149"/>
      <c r="Y250" s="149"/>
      <c r="Z250" s="149"/>
    </row>
    <row r="251" customFormat="false" ht="15.75" hidden="false" customHeight="true" outlineLevel="0" collapsed="false">
      <c r="A251" s="156"/>
      <c r="B251" s="157" t="s">
        <v>617</v>
      </c>
      <c r="C251" s="158" t="s">
        <v>618</v>
      </c>
      <c r="D251" s="166" t="s">
        <v>674</v>
      </c>
      <c r="E251" s="158" t="n">
        <v>2703</v>
      </c>
      <c r="F251" s="165" t="s">
        <v>673</v>
      </c>
      <c r="G251" s="166"/>
      <c r="H251" s="167"/>
      <c r="I251" s="157" t="s">
        <v>604</v>
      </c>
      <c r="J251" s="149"/>
      <c r="K251" s="149"/>
      <c r="L251" s="149"/>
      <c r="M251" s="149"/>
      <c r="N251" s="149"/>
      <c r="O251" s="149"/>
      <c r="P251" s="149"/>
      <c r="Q251" s="149"/>
      <c r="R251" s="149"/>
      <c r="S251" s="149"/>
      <c r="T251" s="149"/>
      <c r="U251" s="149"/>
      <c r="V251" s="149"/>
      <c r="W251" s="149"/>
      <c r="X251" s="149"/>
      <c r="Y251" s="149"/>
      <c r="Z251" s="149"/>
    </row>
    <row r="252" customFormat="false" ht="15.75" hidden="false" customHeight="true" outlineLevel="0" collapsed="false">
      <c r="A252" s="156"/>
      <c r="B252" s="157" t="s">
        <v>620</v>
      </c>
      <c r="C252" s="158" t="s">
        <v>675</v>
      </c>
      <c r="D252" s="166" t="s">
        <v>676</v>
      </c>
      <c r="E252" s="158" t="n">
        <v>2703</v>
      </c>
      <c r="F252" s="165" t="s">
        <v>677</v>
      </c>
      <c r="G252" s="166"/>
      <c r="H252" s="167"/>
      <c r="I252" s="157" t="s">
        <v>569</v>
      </c>
      <c r="J252" s="149"/>
      <c r="K252" s="149"/>
      <c r="L252" s="149"/>
      <c r="M252" s="149"/>
      <c r="N252" s="149"/>
      <c r="O252" s="149"/>
      <c r="P252" s="149"/>
      <c r="Q252" s="149"/>
      <c r="R252" s="149"/>
      <c r="S252" s="149"/>
      <c r="T252" s="149"/>
      <c r="U252" s="149"/>
      <c r="V252" s="149"/>
      <c r="W252" s="149"/>
      <c r="X252" s="149"/>
      <c r="Y252" s="149"/>
      <c r="Z252" s="149"/>
    </row>
    <row r="253" customFormat="false" ht="15.75" hidden="false" customHeight="true" outlineLevel="0" collapsed="false">
      <c r="A253" s="156"/>
      <c r="B253" s="157" t="s">
        <v>624</v>
      </c>
      <c r="C253" s="158" t="s">
        <v>678</v>
      </c>
      <c r="D253" s="166" t="s">
        <v>679</v>
      </c>
      <c r="E253" s="158" t="n">
        <v>2703</v>
      </c>
      <c r="F253" s="165" t="s">
        <v>677</v>
      </c>
      <c r="G253" s="166"/>
      <c r="H253" s="167"/>
      <c r="I253" s="157" t="s">
        <v>569</v>
      </c>
      <c r="J253" s="149"/>
      <c r="K253" s="149"/>
      <c r="L253" s="149"/>
      <c r="M253" s="149"/>
      <c r="N253" s="149"/>
      <c r="O253" s="149"/>
      <c r="P253" s="149"/>
      <c r="Q253" s="149"/>
      <c r="R253" s="149"/>
      <c r="S253" s="149"/>
      <c r="T253" s="149"/>
      <c r="U253" s="149"/>
      <c r="V253" s="149"/>
      <c r="W253" s="149"/>
      <c r="X253" s="149"/>
      <c r="Y253" s="149"/>
      <c r="Z253" s="149"/>
    </row>
    <row r="254" customFormat="false" ht="15.75" hidden="false" customHeight="true" outlineLevel="0" collapsed="false">
      <c r="A254" s="156"/>
      <c r="B254" s="157" t="s">
        <v>628</v>
      </c>
      <c r="C254" s="158" t="s">
        <v>678</v>
      </c>
      <c r="D254" s="166" t="s">
        <v>680</v>
      </c>
      <c r="E254" s="158" t="n">
        <v>2703</v>
      </c>
      <c r="F254" s="165" t="s">
        <v>677</v>
      </c>
      <c r="G254" s="166"/>
      <c r="H254" s="167"/>
      <c r="I254" s="157" t="s">
        <v>569</v>
      </c>
      <c r="J254" s="149"/>
      <c r="K254" s="149"/>
      <c r="L254" s="149"/>
      <c r="M254" s="149"/>
      <c r="N254" s="149"/>
      <c r="O254" s="149"/>
      <c r="P254" s="149"/>
      <c r="Q254" s="149"/>
      <c r="R254" s="149"/>
      <c r="S254" s="149"/>
      <c r="T254" s="149"/>
      <c r="U254" s="149"/>
      <c r="V254" s="149"/>
      <c r="W254" s="149"/>
      <c r="X254" s="149"/>
      <c r="Y254" s="149"/>
      <c r="Z254" s="149"/>
    </row>
    <row r="255" customFormat="false" ht="15.75" hidden="false" customHeight="true" outlineLevel="0" collapsed="false">
      <c r="A255" s="156"/>
      <c r="B255" s="157" t="s">
        <v>630</v>
      </c>
      <c r="C255" s="158" t="s">
        <v>681</v>
      </c>
      <c r="D255" s="166" t="s">
        <v>682</v>
      </c>
      <c r="E255" s="158" t="n">
        <v>2703</v>
      </c>
      <c r="F255" s="165" t="s">
        <v>677</v>
      </c>
      <c r="G255" s="166"/>
      <c r="H255" s="167"/>
      <c r="I255" s="157" t="s">
        <v>569</v>
      </c>
      <c r="J255" s="149"/>
      <c r="K255" s="149"/>
      <c r="L255" s="149"/>
      <c r="M255" s="149"/>
      <c r="N255" s="149"/>
      <c r="O255" s="149"/>
      <c r="P255" s="149"/>
      <c r="Q255" s="149"/>
      <c r="R255" s="149"/>
      <c r="S255" s="149"/>
      <c r="T255" s="149"/>
      <c r="U255" s="149"/>
      <c r="V255" s="149"/>
      <c r="W255" s="149"/>
      <c r="X255" s="149"/>
      <c r="Y255" s="149"/>
      <c r="Z255" s="149"/>
    </row>
    <row r="256" customFormat="false" ht="15.75" hidden="false" customHeight="true" outlineLevel="0" collapsed="false">
      <c r="A256" s="156"/>
      <c r="B256" s="157" t="s">
        <v>633</v>
      </c>
      <c r="C256" s="158" t="s">
        <v>683</v>
      </c>
      <c r="D256" s="166" t="s">
        <v>684</v>
      </c>
      <c r="E256" s="158" t="n">
        <v>2703</v>
      </c>
      <c r="F256" s="165" t="s">
        <v>685</v>
      </c>
      <c r="G256" s="166"/>
      <c r="H256" s="167"/>
      <c r="I256" s="157" t="s">
        <v>569</v>
      </c>
      <c r="J256" s="149"/>
      <c r="K256" s="149"/>
      <c r="L256" s="149"/>
      <c r="M256" s="149"/>
      <c r="N256" s="149"/>
      <c r="O256" s="149"/>
      <c r="P256" s="149"/>
      <c r="Q256" s="149"/>
      <c r="R256" s="149"/>
      <c r="S256" s="149"/>
      <c r="T256" s="149"/>
      <c r="U256" s="149"/>
      <c r="V256" s="149"/>
      <c r="W256" s="149"/>
      <c r="X256" s="149"/>
      <c r="Y256" s="149"/>
      <c r="Z256" s="149"/>
    </row>
    <row r="257" customFormat="false" ht="15.75" hidden="false" customHeight="true" outlineLevel="0" collapsed="false">
      <c r="A257" s="156"/>
      <c r="B257" s="157" t="s">
        <v>636</v>
      </c>
      <c r="C257" s="158" t="s">
        <v>686</v>
      </c>
      <c r="D257" s="166" t="s">
        <v>687</v>
      </c>
      <c r="E257" s="158" t="n">
        <v>2703</v>
      </c>
      <c r="F257" s="165" t="s">
        <v>645</v>
      </c>
      <c r="G257" s="166"/>
      <c r="H257" s="167"/>
      <c r="I257" s="157" t="s">
        <v>569</v>
      </c>
      <c r="J257" s="149"/>
      <c r="K257" s="149"/>
      <c r="L257" s="149"/>
      <c r="M257" s="149"/>
      <c r="N257" s="149"/>
      <c r="O257" s="149"/>
      <c r="P257" s="149"/>
      <c r="Q257" s="149"/>
      <c r="R257" s="149"/>
      <c r="S257" s="149"/>
      <c r="T257" s="149"/>
      <c r="U257" s="149"/>
      <c r="V257" s="149"/>
      <c r="W257" s="149"/>
      <c r="X257" s="149"/>
      <c r="Y257" s="149"/>
      <c r="Z257" s="149"/>
    </row>
    <row r="258" customFormat="false" ht="15.75" hidden="false" customHeight="true" outlineLevel="0" collapsed="false">
      <c r="A258" s="156"/>
      <c r="B258" s="157" t="s">
        <v>639</v>
      </c>
      <c r="C258" s="158" t="s">
        <v>686</v>
      </c>
      <c r="D258" s="166" t="s">
        <v>688</v>
      </c>
      <c r="E258" s="158" t="n">
        <v>2703</v>
      </c>
      <c r="F258" s="165" t="s">
        <v>645</v>
      </c>
      <c r="G258" s="166"/>
      <c r="H258" s="167"/>
      <c r="I258" s="157" t="s">
        <v>569</v>
      </c>
      <c r="J258" s="149"/>
      <c r="K258" s="149"/>
      <c r="L258" s="149"/>
      <c r="M258" s="149"/>
      <c r="N258" s="149"/>
      <c r="O258" s="149"/>
      <c r="P258" s="149"/>
      <c r="Q258" s="149"/>
      <c r="R258" s="149"/>
      <c r="S258" s="149"/>
      <c r="T258" s="149"/>
      <c r="U258" s="149"/>
      <c r="V258" s="149"/>
      <c r="W258" s="149"/>
      <c r="X258" s="149"/>
      <c r="Y258" s="149"/>
      <c r="Z258" s="149"/>
    </row>
    <row r="259" customFormat="false" ht="15.75" hidden="false" customHeight="true" outlineLevel="0" collapsed="false">
      <c r="A259" s="156"/>
      <c r="B259" s="157" t="s">
        <v>641</v>
      </c>
      <c r="C259" s="158" t="s">
        <v>689</v>
      </c>
      <c r="D259" s="166" t="s">
        <v>690</v>
      </c>
      <c r="E259" s="158" t="n">
        <v>2703</v>
      </c>
      <c r="F259" s="165" t="s">
        <v>691</v>
      </c>
      <c r="G259" s="166"/>
      <c r="H259" s="167"/>
      <c r="I259" s="157" t="s">
        <v>569</v>
      </c>
      <c r="J259" s="149"/>
      <c r="K259" s="149"/>
      <c r="L259" s="149"/>
      <c r="M259" s="149"/>
      <c r="N259" s="149"/>
      <c r="O259" s="149"/>
      <c r="P259" s="149"/>
      <c r="Q259" s="149"/>
      <c r="R259" s="149"/>
      <c r="S259" s="149"/>
      <c r="T259" s="149"/>
      <c r="U259" s="149"/>
      <c r="V259" s="149"/>
      <c r="W259" s="149"/>
      <c r="X259" s="149"/>
      <c r="Y259" s="149"/>
      <c r="Z259" s="149"/>
    </row>
    <row r="260" customFormat="false" ht="15.75" hidden="false" customHeight="true" outlineLevel="0" collapsed="false">
      <c r="A260" s="156"/>
      <c r="B260" s="157" t="s">
        <v>644</v>
      </c>
      <c r="C260" s="158" t="s">
        <v>689</v>
      </c>
      <c r="D260" s="166" t="s">
        <v>692</v>
      </c>
      <c r="E260" s="158" t="n">
        <v>2703</v>
      </c>
      <c r="F260" s="165" t="s">
        <v>691</v>
      </c>
      <c r="G260" s="166"/>
      <c r="H260" s="167"/>
      <c r="I260" s="157" t="s">
        <v>569</v>
      </c>
      <c r="J260" s="149"/>
      <c r="K260" s="149"/>
      <c r="L260" s="149"/>
      <c r="M260" s="149"/>
      <c r="N260" s="149"/>
      <c r="O260" s="149"/>
      <c r="P260" s="149"/>
      <c r="Q260" s="149"/>
      <c r="R260" s="149"/>
      <c r="S260" s="149"/>
      <c r="T260" s="149"/>
      <c r="U260" s="149"/>
      <c r="V260" s="149"/>
      <c r="W260" s="149"/>
      <c r="X260" s="149"/>
      <c r="Y260" s="149"/>
      <c r="Z260" s="149"/>
    </row>
    <row r="261" customFormat="false" ht="15.75" hidden="false" customHeight="true" outlineLevel="0" collapsed="false">
      <c r="A261" s="156"/>
      <c r="B261" s="157"/>
      <c r="C261" s="157"/>
      <c r="D261" s="157"/>
      <c r="E261" s="157"/>
      <c r="F261" s="157"/>
      <c r="G261" s="157"/>
      <c r="H261" s="157"/>
      <c r="I261" s="157"/>
      <c r="J261" s="149"/>
      <c r="K261" s="149"/>
      <c r="L261" s="149"/>
      <c r="M261" s="149"/>
      <c r="N261" s="149"/>
      <c r="O261" s="149"/>
      <c r="P261" s="149"/>
      <c r="Q261" s="149"/>
      <c r="R261" s="149"/>
      <c r="S261" s="149"/>
      <c r="T261" s="149"/>
      <c r="U261" s="149"/>
      <c r="V261" s="149"/>
      <c r="W261" s="149"/>
      <c r="X261" s="149"/>
      <c r="Y261" s="149"/>
      <c r="Z261" s="149"/>
    </row>
    <row r="262" customFormat="false" ht="15.75" hidden="false" customHeight="true" outlineLevel="0" collapsed="false">
      <c r="A262" s="156"/>
      <c r="B262" s="157" t="s">
        <v>565</v>
      </c>
      <c r="C262" s="158" t="s">
        <v>566</v>
      </c>
      <c r="D262" s="166"/>
      <c r="E262" s="158" t="n">
        <v>2706</v>
      </c>
      <c r="F262" s="165"/>
      <c r="G262" s="166"/>
      <c r="H262" s="167"/>
      <c r="I262" s="157" t="s">
        <v>569</v>
      </c>
      <c r="J262" s="149"/>
      <c r="K262" s="149"/>
      <c r="L262" s="149"/>
      <c r="M262" s="149"/>
      <c r="N262" s="149"/>
      <c r="O262" s="149"/>
      <c r="P262" s="149"/>
      <c r="Q262" s="149"/>
      <c r="R262" s="149"/>
      <c r="S262" s="149"/>
      <c r="T262" s="149"/>
      <c r="U262" s="149"/>
      <c r="V262" s="149"/>
      <c r="W262" s="149"/>
      <c r="X262" s="149"/>
      <c r="Y262" s="149"/>
      <c r="Z262" s="149"/>
    </row>
    <row r="263" customFormat="false" ht="15.75" hidden="false" customHeight="true" outlineLevel="0" collapsed="false">
      <c r="A263" s="156"/>
      <c r="B263" s="157" t="s">
        <v>570</v>
      </c>
      <c r="C263" s="158" t="s">
        <v>571</v>
      </c>
      <c r="D263" s="166"/>
      <c r="E263" s="158" t="n">
        <v>2706</v>
      </c>
      <c r="F263" s="165"/>
      <c r="G263" s="166"/>
      <c r="H263" s="167"/>
      <c r="I263" s="157" t="s">
        <v>569</v>
      </c>
      <c r="J263" s="149"/>
      <c r="K263" s="149"/>
      <c r="L263" s="149"/>
      <c r="M263" s="149"/>
      <c r="N263" s="149"/>
      <c r="O263" s="149"/>
      <c r="P263" s="149"/>
      <c r="Q263" s="149"/>
      <c r="R263" s="149"/>
      <c r="S263" s="149"/>
      <c r="T263" s="149"/>
      <c r="U263" s="149"/>
      <c r="V263" s="149"/>
      <c r="W263" s="149"/>
      <c r="X263" s="149"/>
      <c r="Y263" s="149"/>
      <c r="Z263" s="149"/>
    </row>
    <row r="264" customFormat="false" ht="15.75" hidden="false" customHeight="true" outlineLevel="0" collapsed="false">
      <c r="A264" s="156"/>
      <c r="B264" s="157" t="s">
        <v>576</v>
      </c>
      <c r="C264" s="158" t="s">
        <v>571</v>
      </c>
      <c r="D264" s="166"/>
      <c r="E264" s="158" t="n">
        <v>2706</v>
      </c>
      <c r="F264" s="165"/>
      <c r="G264" s="166"/>
      <c r="H264" s="167"/>
      <c r="I264" s="157" t="s">
        <v>569</v>
      </c>
      <c r="J264" s="149"/>
      <c r="K264" s="149"/>
      <c r="L264" s="149"/>
      <c r="M264" s="149"/>
      <c r="N264" s="149"/>
      <c r="O264" s="149"/>
      <c r="P264" s="149"/>
      <c r="Q264" s="149"/>
      <c r="R264" s="149"/>
      <c r="S264" s="149"/>
      <c r="T264" s="149"/>
      <c r="U264" s="149"/>
      <c r="V264" s="149"/>
      <c r="W264" s="149"/>
      <c r="X264" s="149"/>
      <c r="Y264" s="149"/>
      <c r="Z264" s="149"/>
    </row>
    <row r="265" customFormat="false" ht="15.75" hidden="false" customHeight="true" outlineLevel="0" collapsed="false">
      <c r="A265" s="156"/>
      <c r="B265" s="157" t="s">
        <v>578</v>
      </c>
      <c r="C265" s="167"/>
      <c r="D265" s="166"/>
      <c r="E265" s="159"/>
      <c r="F265" s="165"/>
      <c r="G265" s="166"/>
      <c r="H265" s="167"/>
      <c r="I265" s="193" t="s">
        <v>582</v>
      </c>
      <c r="J265" s="149"/>
      <c r="K265" s="149"/>
      <c r="L265" s="149"/>
      <c r="M265" s="149"/>
      <c r="N265" s="149"/>
      <c r="O265" s="149"/>
      <c r="P265" s="149"/>
      <c r="Q265" s="149"/>
      <c r="R265" s="149"/>
      <c r="S265" s="149"/>
      <c r="T265" s="149"/>
      <c r="U265" s="149"/>
      <c r="V265" s="149"/>
      <c r="W265" s="149"/>
      <c r="X265" s="149"/>
      <c r="Y265" s="149"/>
      <c r="Z265" s="149"/>
    </row>
    <row r="266" customFormat="false" ht="15.75" hidden="false" customHeight="true" outlineLevel="0" collapsed="false">
      <c r="A266" s="156"/>
      <c r="B266" s="157" t="s">
        <v>583</v>
      </c>
      <c r="C266" s="158" t="s">
        <v>653</v>
      </c>
      <c r="D266" s="165" t="s">
        <v>693</v>
      </c>
      <c r="E266" s="158" t="n">
        <v>2706</v>
      </c>
      <c r="F266" s="165" t="s">
        <v>694</v>
      </c>
      <c r="G266" s="166"/>
      <c r="H266" s="167"/>
      <c r="I266" s="193" t="s">
        <v>587</v>
      </c>
      <c r="J266" s="149"/>
      <c r="K266" s="149"/>
      <c r="L266" s="149"/>
      <c r="M266" s="149"/>
      <c r="N266" s="149"/>
      <c r="O266" s="149"/>
      <c r="P266" s="149"/>
      <c r="Q266" s="149"/>
      <c r="R266" s="149"/>
      <c r="S266" s="149"/>
      <c r="T266" s="149"/>
      <c r="U266" s="149"/>
      <c r="V266" s="149"/>
      <c r="W266" s="149"/>
      <c r="X266" s="149"/>
      <c r="Y266" s="149"/>
      <c r="Z266" s="149"/>
    </row>
    <row r="267" customFormat="false" ht="15.75" hidden="false" customHeight="true" outlineLevel="0" collapsed="false">
      <c r="A267" s="156"/>
      <c r="B267" s="157" t="s">
        <v>588</v>
      </c>
      <c r="C267" s="158" t="s">
        <v>589</v>
      </c>
      <c r="D267" s="165" t="s">
        <v>695</v>
      </c>
      <c r="E267" s="158" t="n">
        <v>2706</v>
      </c>
      <c r="F267" s="165" t="s">
        <v>696</v>
      </c>
      <c r="G267" s="166"/>
      <c r="H267" s="167"/>
      <c r="I267" s="193" t="s">
        <v>592</v>
      </c>
      <c r="J267" s="149"/>
      <c r="K267" s="149"/>
      <c r="L267" s="149"/>
      <c r="M267" s="149"/>
      <c r="N267" s="149"/>
      <c r="O267" s="149"/>
      <c r="P267" s="149"/>
      <c r="Q267" s="149"/>
      <c r="R267" s="149"/>
      <c r="S267" s="149"/>
      <c r="T267" s="149"/>
      <c r="U267" s="149"/>
      <c r="V267" s="149"/>
      <c r="W267" s="149"/>
      <c r="X267" s="149"/>
      <c r="Y267" s="149"/>
      <c r="Z267" s="149"/>
    </row>
    <row r="268" customFormat="false" ht="15.75" hidden="false" customHeight="true" outlineLevel="0" collapsed="false">
      <c r="A268" s="156"/>
      <c r="B268" s="157" t="s">
        <v>593</v>
      </c>
      <c r="C268" s="158" t="s">
        <v>697</v>
      </c>
      <c r="D268" s="165" t="s">
        <v>698</v>
      </c>
      <c r="E268" s="158" t="n">
        <v>2706</v>
      </c>
      <c r="F268" s="165" t="s">
        <v>696</v>
      </c>
      <c r="G268" s="166"/>
      <c r="H268" s="167"/>
      <c r="I268" s="193" t="s">
        <v>592</v>
      </c>
      <c r="J268" s="149"/>
      <c r="K268" s="149"/>
      <c r="L268" s="149"/>
      <c r="M268" s="149"/>
      <c r="N268" s="149"/>
      <c r="O268" s="149"/>
      <c r="P268" s="149"/>
      <c r="Q268" s="149"/>
      <c r="R268" s="149"/>
      <c r="S268" s="149"/>
      <c r="T268" s="149"/>
      <c r="U268" s="149"/>
      <c r="V268" s="149"/>
      <c r="W268" s="149"/>
      <c r="X268" s="149"/>
      <c r="Y268" s="149"/>
      <c r="Z268" s="149"/>
    </row>
    <row r="269" customFormat="false" ht="15.75" hidden="false" customHeight="true" outlineLevel="0" collapsed="false">
      <c r="A269" s="156"/>
      <c r="B269" s="157" t="s">
        <v>596</v>
      </c>
      <c r="C269" s="158" t="s">
        <v>699</v>
      </c>
      <c r="D269" s="165" t="s">
        <v>700</v>
      </c>
      <c r="E269" s="158" t="n">
        <v>2706</v>
      </c>
      <c r="F269" s="165" t="s">
        <v>696</v>
      </c>
      <c r="G269" s="166"/>
      <c r="H269" s="167"/>
      <c r="I269" s="157" t="s">
        <v>592</v>
      </c>
      <c r="J269" s="149"/>
      <c r="K269" s="149"/>
      <c r="L269" s="149"/>
      <c r="M269" s="149"/>
      <c r="N269" s="149"/>
      <c r="O269" s="149"/>
      <c r="P269" s="149"/>
      <c r="Q269" s="149"/>
      <c r="R269" s="149"/>
      <c r="S269" s="149"/>
      <c r="T269" s="149"/>
      <c r="U269" s="149"/>
      <c r="V269" s="149"/>
      <c r="W269" s="149"/>
      <c r="X269" s="149"/>
      <c r="Y269" s="149"/>
      <c r="Z269" s="149"/>
    </row>
    <row r="270" customFormat="false" ht="15.75" hidden="false" customHeight="true" outlineLevel="0" collapsed="false">
      <c r="A270" s="156"/>
      <c r="B270" s="157" t="s">
        <v>600</v>
      </c>
      <c r="C270" s="158" t="s">
        <v>601</v>
      </c>
      <c r="D270" s="166"/>
      <c r="E270" s="158" t="n">
        <v>2706</v>
      </c>
      <c r="F270" s="165" t="s">
        <v>526</v>
      </c>
      <c r="G270" s="165"/>
      <c r="H270" s="167"/>
      <c r="I270" s="157" t="s">
        <v>604</v>
      </c>
      <c r="J270" s="149"/>
      <c r="K270" s="149"/>
      <c r="L270" s="149"/>
      <c r="M270" s="149"/>
      <c r="N270" s="149"/>
      <c r="O270" s="149"/>
      <c r="P270" s="149"/>
      <c r="Q270" s="149"/>
      <c r="R270" s="149"/>
      <c r="S270" s="149"/>
      <c r="T270" s="149"/>
      <c r="U270" s="149"/>
      <c r="V270" s="149"/>
      <c r="W270" s="149"/>
      <c r="X270" s="149"/>
      <c r="Y270" s="149"/>
      <c r="Z270" s="149"/>
    </row>
    <row r="271" customFormat="false" ht="15.75" hidden="false" customHeight="true" outlineLevel="0" collapsed="false">
      <c r="A271" s="156"/>
      <c r="B271" s="157" t="s">
        <v>605</v>
      </c>
      <c r="C271" s="158" t="s">
        <v>606</v>
      </c>
      <c r="D271" s="166"/>
      <c r="E271" s="158" t="n">
        <v>2706</v>
      </c>
      <c r="F271" s="165" t="s">
        <v>526</v>
      </c>
      <c r="G271" s="165"/>
      <c r="H271" s="167"/>
      <c r="I271" s="157" t="s">
        <v>604</v>
      </c>
      <c r="J271" s="149"/>
      <c r="K271" s="149"/>
      <c r="L271" s="149"/>
      <c r="M271" s="149"/>
      <c r="N271" s="149"/>
      <c r="O271" s="149"/>
      <c r="P271" s="149"/>
      <c r="Q271" s="149"/>
      <c r="R271" s="149"/>
      <c r="S271" s="149"/>
      <c r="T271" s="149"/>
      <c r="U271" s="149"/>
      <c r="V271" s="149"/>
      <c r="W271" s="149"/>
      <c r="X271" s="149"/>
      <c r="Y271" s="149"/>
      <c r="Z271" s="149"/>
    </row>
    <row r="272" customFormat="false" ht="15.75" hidden="false" customHeight="true" outlineLevel="0" collapsed="false">
      <c r="A272" s="156"/>
      <c r="B272" s="157" t="s">
        <v>608</v>
      </c>
      <c r="C272" s="158" t="s">
        <v>601</v>
      </c>
      <c r="D272" s="166"/>
      <c r="E272" s="158" t="n">
        <v>2706</v>
      </c>
      <c r="F272" s="165" t="s">
        <v>526</v>
      </c>
      <c r="G272" s="165"/>
      <c r="H272" s="167"/>
      <c r="I272" s="157" t="s">
        <v>604</v>
      </c>
      <c r="J272" s="149"/>
      <c r="K272" s="149"/>
      <c r="L272" s="149"/>
      <c r="M272" s="149"/>
      <c r="N272" s="149"/>
      <c r="O272" s="149"/>
      <c r="P272" s="149"/>
      <c r="Q272" s="149"/>
      <c r="R272" s="149"/>
      <c r="S272" s="149"/>
      <c r="T272" s="149"/>
      <c r="U272" s="149"/>
      <c r="V272" s="149"/>
      <c r="W272" s="149"/>
      <c r="X272" s="149"/>
      <c r="Y272" s="149"/>
      <c r="Z272" s="149"/>
    </row>
    <row r="273" customFormat="false" ht="15.75" hidden="false" customHeight="true" outlineLevel="0" collapsed="false">
      <c r="A273" s="156"/>
      <c r="B273" s="157" t="s">
        <v>611</v>
      </c>
      <c r="C273" s="158" t="s">
        <v>606</v>
      </c>
      <c r="D273" s="166"/>
      <c r="E273" s="158" t="n">
        <v>2706</v>
      </c>
      <c r="F273" s="165" t="s">
        <v>526</v>
      </c>
      <c r="G273" s="165"/>
      <c r="H273" s="167"/>
      <c r="I273" s="157" t="s">
        <v>604</v>
      </c>
      <c r="J273" s="149"/>
      <c r="K273" s="149"/>
      <c r="L273" s="149"/>
      <c r="M273" s="149"/>
      <c r="N273" s="149"/>
      <c r="O273" s="149"/>
      <c r="P273" s="149"/>
      <c r="Q273" s="149"/>
      <c r="R273" s="149"/>
      <c r="S273" s="149"/>
      <c r="T273" s="149"/>
      <c r="U273" s="149"/>
      <c r="V273" s="149"/>
      <c r="W273" s="149"/>
      <c r="X273" s="149"/>
      <c r="Y273" s="149"/>
      <c r="Z273" s="149"/>
    </row>
    <row r="274" customFormat="false" ht="15.75" hidden="false" customHeight="true" outlineLevel="0" collapsed="false">
      <c r="A274" s="156"/>
      <c r="B274" s="157" t="s">
        <v>613</v>
      </c>
      <c r="C274" s="158" t="s">
        <v>614</v>
      </c>
      <c r="D274" s="166"/>
      <c r="E274" s="158" t="n">
        <v>2706</v>
      </c>
      <c r="F274" s="165" t="s">
        <v>526</v>
      </c>
      <c r="G274" s="165"/>
      <c r="H274" s="167"/>
      <c r="I274" s="157" t="s">
        <v>604</v>
      </c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</row>
    <row r="275" customFormat="false" ht="15.75" hidden="false" customHeight="true" outlineLevel="0" collapsed="false">
      <c r="A275" s="156"/>
      <c r="B275" s="157" t="s">
        <v>617</v>
      </c>
      <c r="C275" s="158" t="s">
        <v>618</v>
      </c>
      <c r="D275" s="166"/>
      <c r="E275" s="158" t="n">
        <v>2706</v>
      </c>
      <c r="F275" s="165" t="s">
        <v>526</v>
      </c>
      <c r="G275" s="165"/>
      <c r="H275" s="167"/>
      <c r="I275" s="157" t="s">
        <v>604</v>
      </c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</row>
    <row r="276" customFormat="false" ht="15.75" hidden="false" customHeight="true" outlineLevel="0" collapsed="false">
      <c r="A276" s="156"/>
      <c r="B276" s="157" t="s">
        <v>620</v>
      </c>
      <c r="C276" s="158" t="s">
        <v>621</v>
      </c>
      <c r="D276" s="165" t="s">
        <v>701</v>
      </c>
      <c r="E276" s="158" t="n">
        <v>2706</v>
      </c>
      <c r="F276" s="165" t="s">
        <v>702</v>
      </c>
      <c r="G276" s="166"/>
      <c r="H276" s="167"/>
      <c r="I276" s="157" t="s">
        <v>569</v>
      </c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</row>
    <row r="277" customFormat="false" ht="15.75" hidden="false" customHeight="true" outlineLevel="0" collapsed="false">
      <c r="A277" s="156"/>
      <c r="B277" s="157" t="s">
        <v>624</v>
      </c>
      <c r="C277" s="158" t="s">
        <v>703</v>
      </c>
      <c r="D277" s="165" t="s">
        <v>704</v>
      </c>
      <c r="E277" s="158" t="n">
        <v>2706</v>
      </c>
      <c r="F277" s="165" t="s">
        <v>705</v>
      </c>
      <c r="G277" s="166"/>
      <c r="H277" s="167"/>
      <c r="I277" s="157" t="s">
        <v>569</v>
      </c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</row>
    <row r="278" customFormat="false" ht="15.75" hidden="false" customHeight="true" outlineLevel="0" collapsed="false">
      <c r="A278" s="156"/>
      <c r="B278" s="157" t="s">
        <v>628</v>
      </c>
      <c r="C278" s="158" t="s">
        <v>625</v>
      </c>
      <c r="D278" s="165" t="s">
        <v>706</v>
      </c>
      <c r="E278" s="158" t="n">
        <v>2706</v>
      </c>
      <c r="F278" s="165" t="s">
        <v>707</v>
      </c>
      <c r="G278" s="166"/>
      <c r="H278" s="167"/>
      <c r="I278" s="157" t="s">
        <v>569</v>
      </c>
      <c r="J278" s="149"/>
      <c r="K278" s="149"/>
      <c r="L278" s="149"/>
      <c r="M278" s="149"/>
      <c r="N278" s="149"/>
      <c r="O278" s="149"/>
      <c r="P278" s="149"/>
      <c r="Q278" s="149"/>
      <c r="R278" s="149"/>
      <c r="S278" s="149"/>
      <c r="T278" s="149"/>
      <c r="U278" s="149"/>
      <c r="V278" s="149"/>
      <c r="W278" s="149"/>
      <c r="X278" s="149"/>
      <c r="Y278" s="149"/>
      <c r="Z278" s="149"/>
    </row>
    <row r="279" customFormat="false" ht="15.75" hidden="false" customHeight="true" outlineLevel="0" collapsed="false">
      <c r="A279" s="156"/>
      <c r="B279" s="157" t="s">
        <v>630</v>
      </c>
      <c r="C279" s="158" t="s">
        <v>681</v>
      </c>
      <c r="D279" s="165" t="s">
        <v>708</v>
      </c>
      <c r="E279" s="158" t="n">
        <v>2706</v>
      </c>
      <c r="F279" s="165" t="s">
        <v>709</v>
      </c>
      <c r="G279" s="166"/>
      <c r="H279" s="167"/>
      <c r="I279" s="157" t="s">
        <v>569</v>
      </c>
      <c r="J279" s="149"/>
      <c r="K279" s="149"/>
      <c r="L279" s="149"/>
      <c r="M279" s="149"/>
      <c r="N279" s="149"/>
      <c r="O279" s="149"/>
      <c r="P279" s="149"/>
      <c r="Q279" s="149"/>
      <c r="R279" s="149"/>
      <c r="S279" s="149"/>
      <c r="T279" s="149"/>
      <c r="U279" s="149"/>
      <c r="V279" s="149"/>
      <c r="W279" s="149"/>
      <c r="X279" s="149"/>
      <c r="Y279" s="149"/>
      <c r="Z279" s="149"/>
    </row>
    <row r="280" customFormat="false" ht="15.75" hidden="false" customHeight="true" outlineLevel="0" collapsed="false">
      <c r="A280" s="156"/>
      <c r="B280" s="157" t="s">
        <v>633</v>
      </c>
      <c r="C280" s="158" t="s">
        <v>634</v>
      </c>
      <c r="D280" s="165" t="s">
        <v>710</v>
      </c>
      <c r="E280" s="158" t="n">
        <v>2706</v>
      </c>
      <c r="F280" s="165" t="s">
        <v>709</v>
      </c>
      <c r="G280" s="166"/>
      <c r="H280" s="167"/>
      <c r="I280" s="157" t="s">
        <v>569</v>
      </c>
      <c r="J280" s="149"/>
      <c r="K280" s="149"/>
      <c r="L280" s="149"/>
      <c r="M280" s="149"/>
      <c r="N280" s="149"/>
      <c r="O280" s="149"/>
      <c r="P280" s="149"/>
      <c r="Q280" s="149"/>
      <c r="R280" s="149"/>
      <c r="S280" s="149"/>
      <c r="T280" s="149"/>
      <c r="U280" s="149"/>
      <c r="V280" s="149"/>
      <c r="W280" s="149"/>
      <c r="X280" s="149"/>
      <c r="Y280" s="149"/>
      <c r="Z280" s="149"/>
    </row>
    <row r="281" customFormat="false" ht="15.75" hidden="false" customHeight="true" outlineLevel="0" collapsed="false">
      <c r="A281" s="156"/>
      <c r="B281" s="157" t="s">
        <v>636</v>
      </c>
      <c r="C281" s="158" t="s">
        <v>637</v>
      </c>
      <c r="D281" s="165" t="s">
        <v>711</v>
      </c>
      <c r="E281" s="158" t="n">
        <v>2706</v>
      </c>
      <c r="F281" s="165" t="s">
        <v>709</v>
      </c>
      <c r="G281" s="166"/>
      <c r="H281" s="167"/>
      <c r="I281" s="157" t="s">
        <v>569</v>
      </c>
      <c r="J281" s="149"/>
      <c r="K281" s="149"/>
      <c r="L281" s="149"/>
      <c r="M281" s="149"/>
      <c r="N281" s="149"/>
      <c r="O281" s="149"/>
      <c r="P281" s="149"/>
      <c r="Q281" s="149"/>
      <c r="R281" s="149"/>
      <c r="S281" s="149"/>
      <c r="T281" s="149"/>
      <c r="U281" s="149"/>
      <c r="V281" s="149"/>
      <c r="W281" s="149"/>
      <c r="X281" s="149"/>
      <c r="Y281" s="149"/>
      <c r="Z281" s="149"/>
    </row>
    <row r="282" customFormat="false" ht="15.75" hidden="false" customHeight="true" outlineLevel="0" collapsed="false">
      <c r="A282" s="156"/>
      <c r="B282" s="157" t="s">
        <v>639</v>
      </c>
      <c r="C282" s="158" t="s">
        <v>712</v>
      </c>
      <c r="D282" s="165" t="s">
        <v>713</v>
      </c>
      <c r="E282" s="158" t="n">
        <v>2706</v>
      </c>
      <c r="F282" s="165" t="s">
        <v>709</v>
      </c>
      <c r="G282" s="166"/>
      <c r="H282" s="167"/>
      <c r="I282" s="157" t="s">
        <v>569</v>
      </c>
      <c r="J282" s="149"/>
      <c r="K282" s="149"/>
      <c r="L282" s="149"/>
      <c r="M282" s="149"/>
      <c r="N282" s="149"/>
      <c r="O282" s="149"/>
      <c r="P282" s="149"/>
      <c r="Q282" s="149"/>
      <c r="R282" s="149"/>
      <c r="S282" s="149"/>
      <c r="T282" s="149"/>
      <c r="U282" s="149"/>
      <c r="V282" s="149"/>
      <c r="W282" s="149"/>
      <c r="X282" s="149"/>
      <c r="Y282" s="149"/>
      <c r="Z282" s="149"/>
    </row>
    <row r="283" customFormat="false" ht="15.75" hidden="false" customHeight="true" outlineLevel="0" collapsed="false">
      <c r="A283" s="156"/>
      <c r="B283" s="157" t="s">
        <v>641</v>
      </c>
      <c r="C283" s="158" t="s">
        <v>689</v>
      </c>
      <c r="D283" s="165" t="s">
        <v>672</v>
      </c>
      <c r="E283" s="158" t="n">
        <v>2706</v>
      </c>
      <c r="F283" s="165" t="s">
        <v>714</v>
      </c>
      <c r="G283" s="166"/>
      <c r="H283" s="167"/>
      <c r="I283" s="157" t="s">
        <v>569</v>
      </c>
      <c r="J283" s="149"/>
      <c r="K283" s="149"/>
      <c r="L283" s="149"/>
      <c r="M283" s="149"/>
      <c r="N283" s="149"/>
      <c r="O283" s="149"/>
      <c r="P283" s="149"/>
      <c r="Q283" s="149"/>
      <c r="R283" s="149"/>
      <c r="S283" s="149"/>
      <c r="T283" s="149"/>
      <c r="U283" s="149"/>
      <c r="V283" s="149"/>
      <c r="W283" s="149"/>
      <c r="X283" s="149"/>
      <c r="Y283" s="149"/>
      <c r="Z283" s="149"/>
    </row>
    <row r="284" customFormat="false" ht="15.75" hidden="false" customHeight="true" outlineLevel="0" collapsed="false">
      <c r="A284" s="156"/>
      <c r="B284" s="157" t="s">
        <v>644</v>
      </c>
      <c r="C284" s="158" t="s">
        <v>689</v>
      </c>
      <c r="D284" s="165" t="s">
        <v>715</v>
      </c>
      <c r="E284" s="158" t="n">
        <v>2706</v>
      </c>
      <c r="F284" s="165" t="s">
        <v>714</v>
      </c>
      <c r="G284" s="166"/>
      <c r="H284" s="167"/>
      <c r="I284" s="157" t="s">
        <v>569</v>
      </c>
      <c r="J284" s="149"/>
      <c r="K284" s="149"/>
      <c r="L284" s="149"/>
      <c r="M284" s="149"/>
      <c r="N284" s="149"/>
      <c r="O284" s="149"/>
      <c r="P284" s="149"/>
      <c r="Q284" s="149"/>
      <c r="R284" s="149"/>
      <c r="S284" s="149"/>
      <c r="T284" s="149"/>
      <c r="U284" s="149"/>
      <c r="V284" s="149"/>
      <c r="W284" s="149"/>
      <c r="X284" s="149"/>
      <c r="Y284" s="149"/>
      <c r="Z284" s="149"/>
    </row>
    <row r="285" customFormat="false" ht="15.75" hidden="false" customHeight="true" outlineLevel="0" collapsed="false">
      <c r="A285" s="156"/>
      <c r="B285" s="167"/>
      <c r="C285" s="167"/>
      <c r="D285" s="167"/>
      <c r="E285" s="167"/>
      <c r="F285" s="167"/>
      <c r="G285" s="167"/>
      <c r="H285" s="167"/>
      <c r="I285" s="167"/>
      <c r="J285" s="149"/>
      <c r="K285" s="149"/>
      <c r="L285" s="149"/>
      <c r="M285" s="149"/>
      <c r="N285" s="149"/>
      <c r="O285" s="149"/>
      <c r="P285" s="149"/>
      <c r="Q285" s="149"/>
      <c r="R285" s="149"/>
      <c r="S285" s="149"/>
      <c r="T285" s="149"/>
      <c r="U285" s="149"/>
      <c r="V285" s="149"/>
      <c r="W285" s="149"/>
      <c r="X285" s="149"/>
      <c r="Y285" s="149"/>
      <c r="Z285" s="149"/>
    </row>
    <row r="286" customFormat="false" ht="15.75" hidden="false" customHeight="true" outlineLevel="0" collapsed="false">
      <c r="A286" s="156"/>
      <c r="B286" s="157" t="s">
        <v>565</v>
      </c>
      <c r="C286" s="158" t="s">
        <v>566</v>
      </c>
      <c r="D286" s="160" t="s">
        <v>713</v>
      </c>
      <c r="E286" s="196" t="n">
        <v>2708</v>
      </c>
      <c r="F286" s="160" t="s">
        <v>716</v>
      </c>
      <c r="G286" s="161"/>
      <c r="H286" s="167"/>
      <c r="I286" s="157" t="s">
        <v>569</v>
      </c>
      <c r="J286" s="149"/>
      <c r="K286" s="149"/>
      <c r="L286" s="149"/>
      <c r="M286" s="149"/>
      <c r="N286" s="149"/>
      <c r="O286" s="149"/>
      <c r="P286" s="149"/>
      <c r="Q286" s="149"/>
      <c r="R286" s="149"/>
      <c r="S286" s="149"/>
      <c r="T286" s="149"/>
      <c r="U286" s="149"/>
      <c r="V286" s="149"/>
      <c r="W286" s="149"/>
      <c r="X286" s="149"/>
      <c r="Y286" s="149"/>
      <c r="Z286" s="149"/>
    </row>
    <row r="287" customFormat="false" ht="15.75" hidden="false" customHeight="true" outlineLevel="0" collapsed="false">
      <c r="A287" s="156"/>
      <c r="B287" s="157" t="s">
        <v>570</v>
      </c>
      <c r="C287" s="158" t="s">
        <v>571</v>
      </c>
      <c r="D287" s="160" t="s">
        <v>717</v>
      </c>
      <c r="E287" s="196" t="n">
        <v>2708</v>
      </c>
      <c r="F287" s="160" t="s">
        <v>718</v>
      </c>
      <c r="G287" s="160"/>
      <c r="H287" s="162"/>
      <c r="I287" s="157" t="s">
        <v>575</v>
      </c>
      <c r="J287" s="149"/>
      <c r="K287" s="149"/>
      <c r="L287" s="149"/>
      <c r="M287" s="149"/>
      <c r="N287" s="149"/>
      <c r="O287" s="149"/>
      <c r="P287" s="149"/>
      <c r="Q287" s="149"/>
      <c r="R287" s="149"/>
      <c r="S287" s="149"/>
      <c r="T287" s="149"/>
      <c r="U287" s="149"/>
      <c r="V287" s="149"/>
      <c r="W287" s="149"/>
      <c r="X287" s="149"/>
      <c r="Y287" s="149"/>
      <c r="Z287" s="149"/>
    </row>
    <row r="288" customFormat="false" ht="15.75" hidden="false" customHeight="true" outlineLevel="0" collapsed="false">
      <c r="A288" s="156"/>
      <c r="B288" s="157" t="s">
        <v>576</v>
      </c>
      <c r="C288" s="158" t="s">
        <v>571</v>
      </c>
      <c r="D288" s="160" t="s">
        <v>719</v>
      </c>
      <c r="E288" s="196" t="n">
        <v>2708</v>
      </c>
      <c r="F288" s="160" t="s">
        <v>718</v>
      </c>
      <c r="G288" s="160"/>
      <c r="H288" s="162"/>
      <c r="I288" s="157" t="s">
        <v>575</v>
      </c>
      <c r="J288" s="149"/>
      <c r="K288" s="149"/>
      <c r="L288" s="149"/>
      <c r="M288" s="149"/>
      <c r="N288" s="149"/>
      <c r="O288" s="149"/>
      <c r="P288" s="149"/>
      <c r="Q288" s="149"/>
      <c r="R288" s="149"/>
      <c r="S288" s="149"/>
      <c r="T288" s="149"/>
      <c r="U288" s="149"/>
      <c r="V288" s="149"/>
      <c r="W288" s="149"/>
      <c r="X288" s="149"/>
      <c r="Y288" s="149"/>
      <c r="Z288" s="149"/>
    </row>
    <row r="289" customFormat="false" ht="15.75" hidden="false" customHeight="true" outlineLevel="0" collapsed="false">
      <c r="A289" s="156"/>
      <c r="B289" s="157" t="s">
        <v>578</v>
      </c>
      <c r="C289" s="158" t="s">
        <v>720</v>
      </c>
      <c r="D289" s="160" t="s">
        <v>721</v>
      </c>
      <c r="E289" s="196" t="n">
        <v>2708</v>
      </c>
      <c r="F289" s="160" t="s">
        <v>722</v>
      </c>
      <c r="G289" s="161"/>
      <c r="H289" s="167"/>
      <c r="I289" s="193" t="s">
        <v>582</v>
      </c>
      <c r="J289" s="149"/>
      <c r="K289" s="149"/>
      <c r="L289" s="149"/>
      <c r="M289" s="149"/>
      <c r="N289" s="149"/>
      <c r="O289" s="149"/>
      <c r="P289" s="149"/>
      <c r="Q289" s="149"/>
      <c r="R289" s="149"/>
      <c r="S289" s="149"/>
      <c r="T289" s="149"/>
      <c r="U289" s="149"/>
      <c r="V289" s="149"/>
      <c r="W289" s="149"/>
      <c r="X289" s="149"/>
      <c r="Y289" s="149"/>
      <c r="Z289" s="149"/>
    </row>
    <row r="290" customFormat="false" ht="15.75" hidden="false" customHeight="true" outlineLevel="0" collapsed="false">
      <c r="A290" s="156"/>
      <c r="B290" s="157" t="s">
        <v>583</v>
      </c>
      <c r="C290" s="158" t="s">
        <v>653</v>
      </c>
      <c r="D290" s="160" t="s">
        <v>723</v>
      </c>
      <c r="E290" s="196" t="n">
        <v>2708</v>
      </c>
      <c r="F290" s="160" t="s">
        <v>724</v>
      </c>
      <c r="G290" s="161"/>
      <c r="H290" s="167"/>
      <c r="I290" s="193" t="s">
        <v>587</v>
      </c>
      <c r="J290" s="149"/>
      <c r="K290" s="149"/>
      <c r="L290" s="149"/>
      <c r="M290" s="149"/>
      <c r="N290" s="149"/>
      <c r="O290" s="149"/>
      <c r="P290" s="149"/>
      <c r="Q290" s="149"/>
      <c r="R290" s="149"/>
      <c r="S290" s="149"/>
      <c r="T290" s="149"/>
      <c r="U290" s="149"/>
      <c r="V290" s="149"/>
      <c r="W290" s="149"/>
      <c r="X290" s="149"/>
      <c r="Y290" s="149"/>
      <c r="Z290" s="149"/>
    </row>
    <row r="291" customFormat="false" ht="15.75" hidden="false" customHeight="true" outlineLevel="0" collapsed="false">
      <c r="A291" s="156"/>
      <c r="B291" s="157" t="s">
        <v>588</v>
      </c>
      <c r="C291" s="158" t="s">
        <v>656</v>
      </c>
      <c r="D291" s="160" t="s">
        <v>725</v>
      </c>
      <c r="E291" s="196" t="n">
        <v>2708</v>
      </c>
      <c r="F291" s="160" t="s">
        <v>726</v>
      </c>
      <c r="G291" s="161"/>
      <c r="H291" s="167"/>
      <c r="I291" s="193" t="s">
        <v>592</v>
      </c>
      <c r="J291" s="149"/>
      <c r="K291" s="149"/>
      <c r="L291" s="149"/>
      <c r="M291" s="149"/>
      <c r="N291" s="149"/>
      <c r="O291" s="149"/>
      <c r="P291" s="149"/>
      <c r="Q291" s="149"/>
      <c r="R291" s="149"/>
      <c r="S291" s="149"/>
      <c r="T291" s="149"/>
      <c r="U291" s="149"/>
      <c r="V291" s="149"/>
      <c r="W291" s="149"/>
      <c r="X291" s="149"/>
      <c r="Y291" s="149"/>
      <c r="Z291" s="149"/>
    </row>
    <row r="292" customFormat="false" ht="15.75" hidden="false" customHeight="true" outlineLevel="0" collapsed="false">
      <c r="A292" s="156"/>
      <c r="B292" s="157" t="s">
        <v>593</v>
      </c>
      <c r="C292" s="158" t="s">
        <v>697</v>
      </c>
      <c r="D292" s="160" t="s">
        <v>727</v>
      </c>
      <c r="E292" s="196" t="n">
        <v>2708</v>
      </c>
      <c r="F292" s="160" t="s">
        <v>728</v>
      </c>
      <c r="G292" s="161"/>
      <c r="H292" s="167"/>
      <c r="I292" s="193" t="s">
        <v>592</v>
      </c>
      <c r="J292" s="149"/>
      <c r="K292" s="149"/>
      <c r="L292" s="149"/>
      <c r="M292" s="149"/>
      <c r="N292" s="149"/>
      <c r="O292" s="149"/>
      <c r="P292" s="149"/>
      <c r="Q292" s="149"/>
      <c r="R292" s="149"/>
      <c r="S292" s="149"/>
      <c r="T292" s="149"/>
      <c r="U292" s="149"/>
      <c r="V292" s="149"/>
      <c r="W292" s="149"/>
      <c r="X292" s="149"/>
      <c r="Y292" s="149"/>
      <c r="Z292" s="149"/>
    </row>
    <row r="293" customFormat="false" ht="15.75" hidden="false" customHeight="true" outlineLevel="0" collapsed="false">
      <c r="A293" s="156"/>
      <c r="B293" s="157" t="s">
        <v>596</v>
      </c>
      <c r="C293" s="158" t="s">
        <v>597</v>
      </c>
      <c r="D293" s="160" t="s">
        <v>672</v>
      </c>
      <c r="E293" s="196" t="n">
        <v>2708</v>
      </c>
      <c r="F293" s="160" t="s">
        <v>728</v>
      </c>
      <c r="G293" s="161"/>
      <c r="H293" s="167"/>
      <c r="I293" s="157" t="s">
        <v>592</v>
      </c>
      <c r="J293" s="149"/>
      <c r="K293" s="149"/>
      <c r="L293" s="149"/>
      <c r="M293" s="149"/>
      <c r="N293" s="149"/>
      <c r="O293" s="149"/>
      <c r="P293" s="149"/>
      <c r="Q293" s="149"/>
      <c r="R293" s="149"/>
      <c r="S293" s="149"/>
      <c r="T293" s="149"/>
      <c r="U293" s="149"/>
      <c r="V293" s="149"/>
      <c r="W293" s="149"/>
      <c r="X293" s="149"/>
      <c r="Y293" s="149"/>
      <c r="Z293" s="149"/>
    </row>
    <row r="294" customFormat="false" ht="15.75" hidden="false" customHeight="true" outlineLevel="0" collapsed="false">
      <c r="A294" s="156"/>
      <c r="B294" s="157" t="s">
        <v>600</v>
      </c>
      <c r="C294" s="158" t="s">
        <v>601</v>
      </c>
      <c r="D294" s="176" t="s">
        <v>729</v>
      </c>
      <c r="E294" s="196" t="n">
        <v>2708</v>
      </c>
      <c r="F294" s="176" t="s">
        <v>730</v>
      </c>
      <c r="G294" s="160"/>
      <c r="H294" s="167"/>
      <c r="I294" s="157" t="s">
        <v>604</v>
      </c>
      <c r="J294" s="149"/>
      <c r="K294" s="149"/>
      <c r="L294" s="149"/>
      <c r="M294" s="149"/>
      <c r="N294" s="149"/>
      <c r="O294" s="149"/>
      <c r="P294" s="149"/>
      <c r="Q294" s="149"/>
      <c r="R294" s="149"/>
      <c r="S294" s="149"/>
      <c r="T294" s="149"/>
      <c r="U294" s="149"/>
      <c r="V294" s="149"/>
      <c r="W294" s="149"/>
      <c r="X294" s="149"/>
      <c r="Y294" s="149"/>
      <c r="Z294" s="149"/>
    </row>
    <row r="295" customFormat="false" ht="15.75" hidden="false" customHeight="true" outlineLevel="0" collapsed="false">
      <c r="A295" s="156"/>
      <c r="B295" s="157" t="s">
        <v>605</v>
      </c>
      <c r="C295" s="158" t="s">
        <v>606</v>
      </c>
      <c r="D295" s="176" t="s">
        <v>731</v>
      </c>
      <c r="E295" s="196" t="n">
        <v>2708</v>
      </c>
      <c r="F295" s="176" t="s">
        <v>730</v>
      </c>
      <c r="G295" s="160"/>
      <c r="H295" s="167"/>
      <c r="I295" s="157" t="s">
        <v>604</v>
      </c>
      <c r="J295" s="149"/>
      <c r="K295" s="149"/>
      <c r="L295" s="149"/>
      <c r="M295" s="149"/>
      <c r="N295" s="149"/>
      <c r="O295" s="149"/>
      <c r="P295" s="149"/>
      <c r="Q295" s="149"/>
      <c r="R295" s="149"/>
      <c r="S295" s="149"/>
      <c r="T295" s="149"/>
      <c r="U295" s="149"/>
      <c r="V295" s="149"/>
      <c r="W295" s="149"/>
      <c r="X295" s="149"/>
      <c r="Y295" s="149"/>
      <c r="Z295" s="149"/>
    </row>
    <row r="296" customFormat="false" ht="15.75" hidden="false" customHeight="true" outlineLevel="0" collapsed="false">
      <c r="A296" s="156"/>
      <c r="B296" s="157" t="s">
        <v>608</v>
      </c>
      <c r="C296" s="158" t="s">
        <v>601</v>
      </c>
      <c r="D296" s="160" t="s">
        <v>732</v>
      </c>
      <c r="E296" s="196" t="n">
        <v>2708</v>
      </c>
      <c r="F296" s="196" t="s">
        <v>733</v>
      </c>
      <c r="G296" s="161"/>
      <c r="H296" s="167"/>
      <c r="I296" s="157" t="s">
        <v>604</v>
      </c>
      <c r="J296" s="149"/>
      <c r="K296" s="149"/>
      <c r="L296" s="149"/>
      <c r="M296" s="149"/>
      <c r="N296" s="149"/>
      <c r="O296" s="149"/>
      <c r="P296" s="149"/>
      <c r="Q296" s="149"/>
      <c r="R296" s="149"/>
      <c r="S296" s="149"/>
      <c r="T296" s="149"/>
      <c r="U296" s="149"/>
      <c r="V296" s="149"/>
      <c r="W296" s="149"/>
      <c r="X296" s="149"/>
      <c r="Y296" s="149"/>
      <c r="Z296" s="149"/>
    </row>
    <row r="297" customFormat="false" ht="15.75" hidden="false" customHeight="true" outlineLevel="0" collapsed="false">
      <c r="A297" s="156"/>
      <c r="B297" s="157" t="s">
        <v>611</v>
      </c>
      <c r="C297" s="158" t="s">
        <v>606</v>
      </c>
      <c r="D297" s="160" t="s">
        <v>734</v>
      </c>
      <c r="E297" s="196" t="n">
        <v>2708</v>
      </c>
      <c r="F297" s="196" t="s">
        <v>733</v>
      </c>
      <c r="G297" s="161"/>
      <c r="H297" s="167"/>
      <c r="I297" s="157" t="s">
        <v>604</v>
      </c>
      <c r="J297" s="149"/>
      <c r="K297" s="149"/>
      <c r="L297" s="149"/>
      <c r="M297" s="149"/>
      <c r="N297" s="149"/>
      <c r="O297" s="149"/>
      <c r="P297" s="149"/>
      <c r="Q297" s="149"/>
      <c r="R297" s="149"/>
      <c r="S297" s="149"/>
      <c r="T297" s="149"/>
      <c r="U297" s="149"/>
      <c r="V297" s="149"/>
      <c r="W297" s="149"/>
      <c r="X297" s="149"/>
      <c r="Y297" s="149"/>
      <c r="Z297" s="149"/>
    </row>
    <row r="298" customFormat="false" ht="15.75" hidden="false" customHeight="true" outlineLevel="0" collapsed="false">
      <c r="A298" s="156"/>
      <c r="B298" s="157" t="s">
        <v>613</v>
      </c>
      <c r="C298" s="158" t="s">
        <v>614</v>
      </c>
      <c r="D298" s="160" t="s">
        <v>735</v>
      </c>
      <c r="E298" s="196" t="n">
        <v>2708</v>
      </c>
      <c r="F298" s="160" t="s">
        <v>736</v>
      </c>
      <c r="G298" s="161"/>
      <c r="H298" s="167"/>
      <c r="I298" s="157" t="s">
        <v>604</v>
      </c>
      <c r="J298" s="149"/>
      <c r="K298" s="149"/>
      <c r="L298" s="149"/>
      <c r="M298" s="149"/>
      <c r="N298" s="149"/>
      <c r="O298" s="149"/>
      <c r="P298" s="149"/>
      <c r="Q298" s="149"/>
      <c r="R298" s="149"/>
      <c r="S298" s="149"/>
      <c r="T298" s="149"/>
      <c r="U298" s="149"/>
      <c r="V298" s="149"/>
      <c r="W298" s="149"/>
      <c r="X298" s="149"/>
      <c r="Y298" s="149"/>
      <c r="Z298" s="149"/>
    </row>
    <row r="299" customFormat="false" ht="15.75" hidden="false" customHeight="true" outlineLevel="0" collapsed="false">
      <c r="A299" s="156"/>
      <c r="B299" s="157" t="s">
        <v>617</v>
      </c>
      <c r="C299" s="158" t="s">
        <v>618</v>
      </c>
      <c r="D299" s="160" t="s">
        <v>737</v>
      </c>
      <c r="E299" s="196" t="n">
        <v>2708</v>
      </c>
      <c r="F299" s="160" t="s">
        <v>736</v>
      </c>
      <c r="G299" s="161"/>
      <c r="H299" s="167"/>
      <c r="I299" s="157" t="s">
        <v>604</v>
      </c>
      <c r="J299" s="149"/>
      <c r="K299" s="149"/>
      <c r="L299" s="149"/>
      <c r="M299" s="149"/>
      <c r="N299" s="149"/>
      <c r="O299" s="149"/>
      <c r="P299" s="149"/>
      <c r="Q299" s="149"/>
      <c r="R299" s="149"/>
      <c r="S299" s="149"/>
      <c r="T299" s="149"/>
      <c r="U299" s="149"/>
      <c r="V299" s="149"/>
      <c r="W299" s="149"/>
      <c r="X299" s="149"/>
      <c r="Y299" s="149"/>
      <c r="Z299" s="149"/>
    </row>
    <row r="300" customFormat="false" ht="15.75" hidden="false" customHeight="true" outlineLevel="0" collapsed="false">
      <c r="A300" s="156"/>
      <c r="B300" s="157" t="s">
        <v>620</v>
      </c>
      <c r="C300" s="158" t="s">
        <v>738</v>
      </c>
      <c r="D300" s="160" t="s">
        <v>739</v>
      </c>
      <c r="E300" s="196" t="n">
        <v>2708</v>
      </c>
      <c r="F300" s="160" t="s">
        <v>740</v>
      </c>
      <c r="G300" s="161"/>
      <c r="H300" s="167"/>
      <c r="I300" s="157" t="s">
        <v>569</v>
      </c>
      <c r="J300" s="149"/>
      <c r="K300" s="149"/>
      <c r="L300" s="149"/>
      <c r="M300" s="149"/>
      <c r="N300" s="149"/>
      <c r="O300" s="149"/>
      <c r="P300" s="149"/>
      <c r="Q300" s="149"/>
      <c r="R300" s="149"/>
      <c r="S300" s="149"/>
      <c r="T300" s="149"/>
      <c r="U300" s="149"/>
      <c r="V300" s="149"/>
      <c r="W300" s="149"/>
      <c r="X300" s="149"/>
      <c r="Y300" s="149"/>
      <c r="Z300" s="149"/>
    </row>
    <row r="301" customFormat="false" ht="15.75" hidden="false" customHeight="true" outlineLevel="0" collapsed="false">
      <c r="A301" s="156"/>
      <c r="B301" s="157" t="s">
        <v>624</v>
      </c>
      <c r="C301" s="158" t="s">
        <v>741</v>
      </c>
      <c r="D301" s="160" t="s">
        <v>742</v>
      </c>
      <c r="E301" s="196" t="n">
        <v>2708</v>
      </c>
      <c r="F301" s="160" t="s">
        <v>740</v>
      </c>
      <c r="G301" s="161"/>
      <c r="H301" s="167"/>
      <c r="I301" s="157" t="s">
        <v>569</v>
      </c>
      <c r="J301" s="149"/>
      <c r="K301" s="149"/>
      <c r="L301" s="149"/>
      <c r="M301" s="149"/>
      <c r="N301" s="149"/>
      <c r="O301" s="149"/>
      <c r="P301" s="149"/>
      <c r="Q301" s="149"/>
      <c r="R301" s="149"/>
      <c r="S301" s="149"/>
      <c r="T301" s="149"/>
      <c r="U301" s="149"/>
      <c r="V301" s="149"/>
      <c r="W301" s="149"/>
      <c r="X301" s="149"/>
      <c r="Y301" s="149"/>
      <c r="Z301" s="149"/>
    </row>
    <row r="302" customFormat="false" ht="15.75" hidden="false" customHeight="true" outlineLevel="0" collapsed="false">
      <c r="A302" s="156"/>
      <c r="B302" s="157" t="s">
        <v>628</v>
      </c>
      <c r="C302" s="158" t="s">
        <v>741</v>
      </c>
      <c r="D302" s="160" t="s">
        <v>743</v>
      </c>
      <c r="E302" s="196" t="n">
        <v>2708</v>
      </c>
      <c r="F302" s="160" t="s">
        <v>740</v>
      </c>
      <c r="G302" s="161"/>
      <c r="H302" s="167"/>
      <c r="I302" s="157" t="s">
        <v>569</v>
      </c>
      <c r="J302" s="149"/>
      <c r="K302" s="149"/>
      <c r="L302" s="149"/>
      <c r="M302" s="149"/>
      <c r="N302" s="149"/>
      <c r="O302" s="149"/>
      <c r="P302" s="149"/>
      <c r="Q302" s="149"/>
      <c r="R302" s="149"/>
      <c r="S302" s="149"/>
      <c r="T302" s="149"/>
      <c r="U302" s="149"/>
      <c r="V302" s="149"/>
      <c r="W302" s="149"/>
      <c r="X302" s="149"/>
      <c r="Y302" s="149"/>
      <c r="Z302" s="149"/>
    </row>
    <row r="303" customFormat="false" ht="15.75" hidden="false" customHeight="true" outlineLevel="0" collapsed="false">
      <c r="A303" s="156"/>
      <c r="B303" s="157" t="s">
        <v>630</v>
      </c>
      <c r="C303" s="158" t="s">
        <v>681</v>
      </c>
      <c r="D303" s="160" t="s">
        <v>744</v>
      </c>
      <c r="E303" s="196" t="n">
        <v>2708</v>
      </c>
      <c r="F303" s="160" t="s">
        <v>716</v>
      </c>
      <c r="G303" s="161"/>
      <c r="H303" s="167"/>
      <c r="I303" s="157" t="s">
        <v>569</v>
      </c>
      <c r="J303" s="149"/>
      <c r="K303" s="149"/>
      <c r="L303" s="149"/>
      <c r="M303" s="149"/>
      <c r="N303" s="149"/>
      <c r="O303" s="149"/>
      <c r="P303" s="149"/>
      <c r="Q303" s="149"/>
      <c r="R303" s="149"/>
      <c r="S303" s="149"/>
      <c r="T303" s="149"/>
      <c r="U303" s="149"/>
      <c r="V303" s="149"/>
      <c r="W303" s="149"/>
      <c r="X303" s="149"/>
      <c r="Y303" s="149"/>
      <c r="Z303" s="149"/>
    </row>
    <row r="304" customFormat="false" ht="15.75" hidden="false" customHeight="true" outlineLevel="0" collapsed="false">
      <c r="A304" s="156"/>
      <c r="B304" s="157" t="s">
        <v>633</v>
      </c>
      <c r="C304" s="158" t="s">
        <v>683</v>
      </c>
      <c r="D304" s="160" t="s">
        <v>745</v>
      </c>
      <c r="E304" s="196" t="n">
        <v>2708</v>
      </c>
      <c r="F304" s="160" t="s">
        <v>716</v>
      </c>
      <c r="G304" s="161"/>
      <c r="H304" s="167"/>
      <c r="I304" s="157" t="s">
        <v>569</v>
      </c>
      <c r="J304" s="149"/>
      <c r="K304" s="149"/>
      <c r="L304" s="149"/>
      <c r="M304" s="149"/>
      <c r="N304" s="149"/>
      <c r="O304" s="149"/>
      <c r="P304" s="149"/>
      <c r="Q304" s="149"/>
      <c r="R304" s="149"/>
      <c r="S304" s="149"/>
      <c r="T304" s="149"/>
      <c r="U304" s="149"/>
      <c r="V304" s="149"/>
      <c r="W304" s="149"/>
      <c r="X304" s="149"/>
      <c r="Y304" s="149"/>
      <c r="Z304" s="149"/>
    </row>
    <row r="305" customFormat="false" ht="15.75" hidden="false" customHeight="true" outlineLevel="0" collapsed="false">
      <c r="A305" s="156"/>
      <c r="B305" s="157" t="s">
        <v>636</v>
      </c>
      <c r="C305" s="158" t="s">
        <v>712</v>
      </c>
      <c r="D305" s="160" t="s">
        <v>746</v>
      </c>
      <c r="E305" s="196" t="n">
        <v>2708</v>
      </c>
      <c r="F305" s="160" t="s">
        <v>716</v>
      </c>
      <c r="G305" s="161"/>
      <c r="H305" s="167"/>
      <c r="I305" s="157" t="s">
        <v>569</v>
      </c>
      <c r="J305" s="149"/>
      <c r="K305" s="149"/>
      <c r="L305" s="149"/>
      <c r="M305" s="149"/>
      <c r="N305" s="149"/>
      <c r="O305" s="149"/>
      <c r="P305" s="149"/>
      <c r="Q305" s="149"/>
      <c r="R305" s="149"/>
      <c r="S305" s="149"/>
      <c r="T305" s="149"/>
      <c r="U305" s="149"/>
      <c r="V305" s="149"/>
      <c r="W305" s="149"/>
      <c r="X305" s="149"/>
      <c r="Y305" s="149"/>
      <c r="Z305" s="149"/>
    </row>
    <row r="306" customFormat="false" ht="15.75" hidden="false" customHeight="true" outlineLevel="0" collapsed="false">
      <c r="A306" s="156"/>
      <c r="B306" s="157" t="s">
        <v>639</v>
      </c>
      <c r="C306" s="158" t="s">
        <v>712</v>
      </c>
      <c r="D306" s="160" t="s">
        <v>747</v>
      </c>
      <c r="E306" s="196" t="n">
        <v>2708</v>
      </c>
      <c r="F306" s="160" t="s">
        <v>716</v>
      </c>
      <c r="G306" s="161"/>
      <c r="H306" s="167"/>
      <c r="I306" s="157" t="s">
        <v>569</v>
      </c>
      <c r="J306" s="149"/>
      <c r="K306" s="149"/>
      <c r="L306" s="149"/>
      <c r="M306" s="149"/>
      <c r="N306" s="149"/>
      <c r="O306" s="149"/>
      <c r="P306" s="149"/>
      <c r="Q306" s="149"/>
      <c r="R306" s="149"/>
      <c r="S306" s="149"/>
      <c r="T306" s="149"/>
      <c r="U306" s="149"/>
      <c r="V306" s="149"/>
      <c r="W306" s="149"/>
      <c r="X306" s="149"/>
      <c r="Y306" s="149"/>
      <c r="Z306" s="149"/>
    </row>
    <row r="307" customFormat="false" ht="15.75" hidden="false" customHeight="true" outlineLevel="0" collapsed="false">
      <c r="A307" s="156"/>
      <c r="B307" s="157" t="s">
        <v>641</v>
      </c>
      <c r="C307" s="158" t="s">
        <v>748</v>
      </c>
      <c r="D307" s="160" t="s">
        <v>749</v>
      </c>
      <c r="E307" s="196" t="n">
        <v>2708</v>
      </c>
      <c r="F307" s="160" t="s">
        <v>716</v>
      </c>
      <c r="G307" s="161"/>
      <c r="H307" s="167"/>
      <c r="I307" s="157" t="s">
        <v>569</v>
      </c>
      <c r="J307" s="149"/>
      <c r="K307" s="149"/>
      <c r="L307" s="149"/>
      <c r="M307" s="149"/>
      <c r="N307" s="149"/>
      <c r="O307" s="149"/>
      <c r="P307" s="149"/>
      <c r="Q307" s="149"/>
      <c r="R307" s="149"/>
      <c r="S307" s="149"/>
      <c r="T307" s="149"/>
      <c r="U307" s="149"/>
      <c r="V307" s="149"/>
      <c r="W307" s="149"/>
      <c r="X307" s="149"/>
      <c r="Y307" s="149"/>
      <c r="Z307" s="149"/>
    </row>
    <row r="308" customFormat="false" ht="15.75" hidden="false" customHeight="true" outlineLevel="0" collapsed="false">
      <c r="A308" s="156"/>
      <c r="B308" s="157" t="s">
        <v>644</v>
      </c>
      <c r="C308" s="158" t="s">
        <v>748</v>
      </c>
      <c r="D308" s="160" t="s">
        <v>750</v>
      </c>
      <c r="E308" s="196" t="n">
        <v>2708</v>
      </c>
      <c r="F308" s="160" t="s">
        <v>716</v>
      </c>
      <c r="G308" s="161"/>
      <c r="H308" s="167"/>
      <c r="I308" s="157" t="s">
        <v>569</v>
      </c>
      <c r="J308" s="149"/>
      <c r="K308" s="149"/>
      <c r="L308" s="149"/>
      <c r="M308" s="149"/>
      <c r="N308" s="149"/>
      <c r="O308" s="149"/>
      <c r="P308" s="149"/>
      <c r="Q308" s="149"/>
      <c r="R308" s="149"/>
      <c r="S308" s="149"/>
      <c r="T308" s="149"/>
      <c r="U308" s="149"/>
      <c r="V308" s="149"/>
      <c r="W308" s="149"/>
      <c r="X308" s="149"/>
      <c r="Y308" s="149"/>
      <c r="Z308" s="149"/>
    </row>
    <row r="309" customFormat="false" ht="15.75" hidden="false" customHeight="true" outlineLevel="0" collapsed="false">
      <c r="A309" s="156"/>
      <c r="B309" s="157"/>
      <c r="C309" s="157"/>
      <c r="D309" s="157"/>
      <c r="E309" s="157"/>
      <c r="F309" s="157"/>
      <c r="G309" s="157"/>
      <c r="H309" s="157"/>
      <c r="I309" s="157"/>
      <c r="J309" s="149"/>
      <c r="K309" s="149"/>
      <c r="L309" s="149"/>
      <c r="M309" s="149"/>
      <c r="N309" s="149"/>
      <c r="O309" s="149"/>
      <c r="P309" s="149"/>
      <c r="Q309" s="149"/>
      <c r="R309" s="149"/>
      <c r="S309" s="149"/>
      <c r="T309" s="149"/>
      <c r="U309" s="149"/>
      <c r="V309" s="149"/>
      <c r="W309" s="149"/>
      <c r="X309" s="149"/>
      <c r="Y309" s="149"/>
      <c r="Z309" s="149"/>
    </row>
    <row r="310" customFormat="false" ht="15.75" hidden="false" customHeight="true" outlineLevel="0" collapsed="false">
      <c r="A310" s="156"/>
      <c r="B310" s="157" t="s">
        <v>565</v>
      </c>
      <c r="C310" s="158" t="s">
        <v>566</v>
      </c>
      <c r="D310" s="165" t="s">
        <v>751</v>
      </c>
      <c r="E310" s="158" t="n">
        <v>2719</v>
      </c>
      <c r="F310" s="165" t="s">
        <v>752</v>
      </c>
      <c r="G310" s="166"/>
      <c r="H310" s="167"/>
      <c r="I310" s="157" t="s">
        <v>569</v>
      </c>
      <c r="J310" s="149"/>
      <c r="K310" s="149"/>
      <c r="L310" s="149"/>
      <c r="M310" s="149"/>
      <c r="N310" s="149"/>
      <c r="O310" s="149"/>
      <c r="P310" s="149"/>
      <c r="Q310" s="149"/>
      <c r="R310" s="149"/>
      <c r="S310" s="149"/>
      <c r="T310" s="149"/>
      <c r="U310" s="149"/>
      <c r="V310" s="149"/>
      <c r="W310" s="149"/>
      <c r="X310" s="149"/>
      <c r="Y310" s="149"/>
      <c r="Z310" s="149"/>
    </row>
    <row r="311" customFormat="false" ht="15.75" hidden="false" customHeight="true" outlineLevel="0" collapsed="false">
      <c r="A311" s="156"/>
      <c r="B311" s="157" t="s">
        <v>570</v>
      </c>
      <c r="C311" s="158" t="s">
        <v>571</v>
      </c>
      <c r="D311" s="165" t="s">
        <v>753</v>
      </c>
      <c r="E311" s="158" t="n">
        <v>2719</v>
      </c>
      <c r="F311" s="165" t="s">
        <v>754</v>
      </c>
      <c r="G311" s="166"/>
      <c r="H311" s="167"/>
      <c r="I311" s="157" t="s">
        <v>648</v>
      </c>
      <c r="J311" s="149"/>
      <c r="K311" s="149"/>
      <c r="L311" s="149"/>
      <c r="M311" s="149"/>
      <c r="N311" s="149"/>
      <c r="O311" s="149"/>
      <c r="P311" s="149"/>
      <c r="Q311" s="149"/>
      <c r="R311" s="149"/>
      <c r="S311" s="149"/>
      <c r="T311" s="149"/>
      <c r="U311" s="149"/>
      <c r="V311" s="149"/>
      <c r="W311" s="149"/>
      <c r="X311" s="149"/>
      <c r="Y311" s="149"/>
      <c r="Z311" s="149"/>
    </row>
    <row r="312" customFormat="false" ht="15.75" hidden="false" customHeight="true" outlineLevel="0" collapsed="false">
      <c r="A312" s="156"/>
      <c r="B312" s="157" t="s">
        <v>576</v>
      </c>
      <c r="C312" s="158" t="s">
        <v>571</v>
      </c>
      <c r="D312" s="165" t="s">
        <v>755</v>
      </c>
      <c r="E312" s="158" t="n">
        <v>2719</v>
      </c>
      <c r="F312" s="160" t="s">
        <v>756</v>
      </c>
      <c r="G312" s="161"/>
      <c r="H312" s="167"/>
      <c r="I312" s="157" t="s">
        <v>648</v>
      </c>
      <c r="J312" s="149"/>
      <c r="K312" s="149"/>
      <c r="L312" s="149"/>
      <c r="M312" s="149"/>
      <c r="N312" s="149"/>
      <c r="O312" s="149"/>
      <c r="P312" s="149"/>
      <c r="Q312" s="149"/>
      <c r="R312" s="149"/>
      <c r="S312" s="149"/>
      <c r="T312" s="149"/>
      <c r="U312" s="149"/>
      <c r="V312" s="149"/>
      <c r="W312" s="149"/>
      <c r="X312" s="149"/>
      <c r="Y312" s="149"/>
      <c r="Z312" s="149"/>
    </row>
    <row r="313" customFormat="false" ht="15.75" hidden="false" customHeight="true" outlineLevel="0" collapsed="false">
      <c r="A313" s="156"/>
      <c r="B313" s="157" t="s">
        <v>578</v>
      </c>
      <c r="C313" s="158" t="s">
        <v>720</v>
      </c>
      <c r="D313" s="165" t="s">
        <v>757</v>
      </c>
      <c r="E313" s="158" t="n">
        <v>2719</v>
      </c>
      <c r="F313" s="165" t="s">
        <v>758</v>
      </c>
      <c r="G313" s="166"/>
      <c r="H313" s="167"/>
      <c r="I313" s="193" t="s">
        <v>582</v>
      </c>
      <c r="J313" s="149"/>
      <c r="K313" s="149"/>
      <c r="L313" s="149"/>
      <c r="M313" s="149"/>
      <c r="N313" s="149"/>
      <c r="O313" s="149"/>
      <c r="P313" s="149"/>
      <c r="Q313" s="149"/>
      <c r="R313" s="149"/>
      <c r="S313" s="149"/>
      <c r="T313" s="149"/>
      <c r="U313" s="149"/>
      <c r="V313" s="149"/>
      <c r="W313" s="149"/>
      <c r="X313" s="149"/>
      <c r="Y313" s="149"/>
      <c r="Z313" s="149"/>
    </row>
    <row r="314" customFormat="false" ht="15.75" hidden="false" customHeight="true" outlineLevel="0" collapsed="false">
      <c r="A314" s="156"/>
      <c r="B314" s="157" t="s">
        <v>583</v>
      </c>
      <c r="C314" s="158" t="s">
        <v>759</v>
      </c>
      <c r="D314" s="165" t="s">
        <v>760</v>
      </c>
      <c r="E314" s="158" t="n">
        <v>2719</v>
      </c>
      <c r="F314" s="165" t="s">
        <v>761</v>
      </c>
      <c r="G314" s="166"/>
      <c r="H314" s="167"/>
      <c r="I314" s="193" t="s">
        <v>587</v>
      </c>
      <c r="J314" s="149"/>
      <c r="K314" s="149"/>
      <c r="L314" s="149"/>
      <c r="M314" s="149"/>
      <c r="N314" s="149"/>
      <c r="O314" s="149"/>
      <c r="P314" s="149"/>
      <c r="Q314" s="149"/>
      <c r="R314" s="149"/>
      <c r="S314" s="149"/>
      <c r="T314" s="149"/>
      <c r="U314" s="149"/>
      <c r="V314" s="149"/>
      <c r="W314" s="149"/>
      <c r="X314" s="149"/>
      <c r="Y314" s="149"/>
      <c r="Z314" s="149"/>
    </row>
    <row r="315" customFormat="false" ht="15.75" hidden="false" customHeight="true" outlineLevel="0" collapsed="false">
      <c r="A315" s="156"/>
      <c r="B315" s="157" t="s">
        <v>588</v>
      </c>
      <c r="C315" s="158" t="s">
        <v>656</v>
      </c>
      <c r="D315" s="165" t="s">
        <v>762</v>
      </c>
      <c r="E315" s="158" t="n">
        <v>2719</v>
      </c>
      <c r="F315" s="165" t="s">
        <v>763</v>
      </c>
      <c r="G315" s="166"/>
      <c r="H315" s="167"/>
      <c r="I315" s="193" t="s">
        <v>592</v>
      </c>
      <c r="J315" s="149"/>
      <c r="K315" s="149"/>
      <c r="L315" s="149"/>
      <c r="M315" s="149"/>
      <c r="N315" s="149"/>
      <c r="O315" s="149"/>
      <c r="P315" s="149"/>
      <c r="Q315" s="149"/>
      <c r="R315" s="149"/>
      <c r="S315" s="149"/>
      <c r="T315" s="149"/>
      <c r="U315" s="149"/>
      <c r="V315" s="149"/>
      <c r="W315" s="149"/>
      <c r="X315" s="149"/>
      <c r="Y315" s="149"/>
      <c r="Z315" s="149"/>
    </row>
    <row r="316" customFormat="false" ht="15.75" hidden="false" customHeight="true" outlineLevel="0" collapsed="false">
      <c r="A316" s="156"/>
      <c r="B316" s="157" t="s">
        <v>593</v>
      </c>
      <c r="C316" s="158" t="s">
        <v>697</v>
      </c>
      <c r="D316" s="165" t="s">
        <v>732</v>
      </c>
      <c r="E316" s="158" t="n">
        <v>2719</v>
      </c>
      <c r="F316" s="165" t="s">
        <v>764</v>
      </c>
      <c r="G316" s="166"/>
      <c r="H316" s="167"/>
      <c r="I316" s="193" t="s">
        <v>592</v>
      </c>
      <c r="J316" s="149"/>
      <c r="K316" s="149"/>
      <c r="L316" s="149"/>
      <c r="M316" s="149"/>
      <c r="N316" s="149"/>
      <c r="O316" s="149"/>
      <c r="P316" s="149"/>
      <c r="Q316" s="149"/>
      <c r="R316" s="149"/>
      <c r="S316" s="149"/>
      <c r="T316" s="149"/>
      <c r="U316" s="149"/>
      <c r="V316" s="149"/>
      <c r="W316" s="149"/>
      <c r="X316" s="149"/>
      <c r="Y316" s="149"/>
      <c r="Z316" s="149"/>
    </row>
    <row r="317" customFormat="false" ht="15.75" hidden="false" customHeight="true" outlineLevel="0" collapsed="false">
      <c r="A317" s="156"/>
      <c r="B317" s="157" t="s">
        <v>596</v>
      </c>
      <c r="C317" s="158" t="s">
        <v>597</v>
      </c>
      <c r="D317" s="165" t="s">
        <v>765</v>
      </c>
      <c r="E317" s="158" t="n">
        <v>2719</v>
      </c>
      <c r="F317" s="165" t="s">
        <v>763</v>
      </c>
      <c r="G317" s="166"/>
      <c r="H317" s="167"/>
      <c r="I317" s="157" t="s">
        <v>592</v>
      </c>
      <c r="J317" s="149"/>
      <c r="K317" s="149"/>
      <c r="L317" s="149"/>
      <c r="M317" s="149"/>
      <c r="N317" s="149"/>
      <c r="O317" s="149"/>
      <c r="P317" s="149"/>
      <c r="Q317" s="149"/>
      <c r="R317" s="149"/>
      <c r="S317" s="149"/>
      <c r="T317" s="149"/>
      <c r="U317" s="149"/>
      <c r="V317" s="149"/>
      <c r="W317" s="149"/>
      <c r="X317" s="149"/>
      <c r="Y317" s="149"/>
      <c r="Z317" s="149"/>
    </row>
    <row r="318" customFormat="false" ht="15.75" hidden="false" customHeight="true" outlineLevel="0" collapsed="false">
      <c r="A318" s="156"/>
      <c r="B318" s="157" t="s">
        <v>600</v>
      </c>
      <c r="C318" s="158" t="s">
        <v>601</v>
      </c>
      <c r="D318" s="190" t="s">
        <v>766</v>
      </c>
      <c r="E318" s="158" t="n">
        <v>2719</v>
      </c>
      <c r="F318" s="189" t="s">
        <v>767</v>
      </c>
      <c r="G318" s="180" t="s">
        <v>768</v>
      </c>
      <c r="H318" s="167"/>
      <c r="I318" s="157" t="s">
        <v>604</v>
      </c>
      <c r="J318" s="149"/>
      <c r="K318" s="149"/>
      <c r="L318" s="149"/>
      <c r="M318" s="149"/>
      <c r="N318" s="149"/>
      <c r="O318" s="149"/>
      <c r="P318" s="149"/>
      <c r="Q318" s="149"/>
      <c r="R318" s="149"/>
      <c r="S318" s="149"/>
      <c r="T318" s="149"/>
      <c r="U318" s="149"/>
      <c r="V318" s="149"/>
      <c r="W318" s="149"/>
      <c r="X318" s="149"/>
      <c r="Y318" s="149"/>
      <c r="Z318" s="149"/>
    </row>
    <row r="319" customFormat="false" ht="15.75" hidden="false" customHeight="true" outlineLevel="0" collapsed="false">
      <c r="A319" s="156"/>
      <c r="B319" s="157" t="s">
        <v>605</v>
      </c>
      <c r="C319" s="158" t="s">
        <v>606</v>
      </c>
      <c r="D319" s="190" t="s">
        <v>769</v>
      </c>
      <c r="E319" s="158" t="n">
        <v>2719</v>
      </c>
      <c r="F319" s="189" t="s">
        <v>767</v>
      </c>
      <c r="G319" s="180"/>
      <c r="H319" s="167"/>
      <c r="I319" s="157" t="s">
        <v>604</v>
      </c>
      <c r="J319" s="149"/>
      <c r="K319" s="149"/>
      <c r="L319" s="149"/>
      <c r="M319" s="149"/>
      <c r="N319" s="149"/>
      <c r="O319" s="149"/>
      <c r="P319" s="149"/>
      <c r="Q319" s="149"/>
      <c r="R319" s="149"/>
      <c r="S319" s="149"/>
      <c r="T319" s="149"/>
      <c r="U319" s="149"/>
      <c r="V319" s="149"/>
      <c r="W319" s="149"/>
      <c r="X319" s="149"/>
      <c r="Y319" s="149"/>
      <c r="Z319" s="149"/>
    </row>
    <row r="320" customFormat="false" ht="15.75" hidden="false" customHeight="true" outlineLevel="0" collapsed="false">
      <c r="A320" s="156"/>
      <c r="B320" s="157" t="s">
        <v>608</v>
      </c>
      <c r="C320" s="158" t="s">
        <v>601</v>
      </c>
      <c r="D320" s="165" t="s">
        <v>770</v>
      </c>
      <c r="E320" s="158" t="n">
        <v>2719</v>
      </c>
      <c r="F320" s="158" t="s">
        <v>771</v>
      </c>
      <c r="G320" s="161"/>
      <c r="H320" s="167"/>
      <c r="I320" s="157" t="s">
        <v>604</v>
      </c>
      <c r="J320" s="149"/>
      <c r="K320" s="149"/>
      <c r="L320" s="149"/>
      <c r="M320" s="149"/>
      <c r="N320" s="149"/>
      <c r="O320" s="149"/>
      <c r="P320" s="149"/>
      <c r="Q320" s="149"/>
      <c r="R320" s="149"/>
      <c r="S320" s="149"/>
      <c r="T320" s="149"/>
      <c r="U320" s="149"/>
      <c r="V320" s="149"/>
      <c r="W320" s="149"/>
      <c r="X320" s="149"/>
      <c r="Y320" s="149"/>
      <c r="Z320" s="149"/>
    </row>
    <row r="321" customFormat="false" ht="15.75" hidden="false" customHeight="true" outlineLevel="0" collapsed="false">
      <c r="A321" s="156"/>
      <c r="B321" s="157" t="s">
        <v>611</v>
      </c>
      <c r="C321" s="158" t="s">
        <v>606</v>
      </c>
      <c r="D321" s="165" t="s">
        <v>690</v>
      </c>
      <c r="E321" s="158" t="n">
        <v>2719</v>
      </c>
      <c r="F321" s="158" t="s">
        <v>771</v>
      </c>
      <c r="G321" s="166"/>
      <c r="H321" s="167"/>
      <c r="I321" s="157" t="s">
        <v>604</v>
      </c>
      <c r="J321" s="149"/>
      <c r="K321" s="149"/>
      <c r="L321" s="149"/>
      <c r="M321" s="149"/>
      <c r="N321" s="149"/>
      <c r="O321" s="149"/>
      <c r="P321" s="149"/>
      <c r="Q321" s="149"/>
      <c r="R321" s="149"/>
      <c r="S321" s="149"/>
      <c r="T321" s="149"/>
      <c r="U321" s="149"/>
      <c r="V321" s="149"/>
      <c r="W321" s="149"/>
      <c r="X321" s="149"/>
      <c r="Y321" s="149"/>
      <c r="Z321" s="149"/>
    </row>
    <row r="322" customFormat="false" ht="15.75" hidden="false" customHeight="true" outlineLevel="0" collapsed="false">
      <c r="A322" s="156"/>
      <c r="B322" s="157" t="s">
        <v>613</v>
      </c>
      <c r="C322" s="158" t="s">
        <v>614</v>
      </c>
      <c r="D322" s="160" t="s">
        <v>772</v>
      </c>
      <c r="E322" s="158" t="n">
        <v>2719</v>
      </c>
      <c r="F322" s="180" t="s">
        <v>773</v>
      </c>
      <c r="G322" s="169" t="s">
        <v>452</v>
      </c>
      <c r="H322" s="170" t="s">
        <v>774</v>
      </c>
      <c r="I322" s="157" t="s">
        <v>604</v>
      </c>
      <c r="J322" s="149"/>
      <c r="K322" s="149"/>
      <c r="L322" s="149"/>
      <c r="M322" s="149"/>
      <c r="N322" s="149"/>
      <c r="O322" s="149"/>
      <c r="P322" s="149"/>
      <c r="Q322" s="149"/>
      <c r="R322" s="149"/>
      <c r="S322" s="149"/>
      <c r="T322" s="149"/>
      <c r="U322" s="149"/>
      <c r="V322" s="149"/>
      <c r="W322" s="149"/>
      <c r="X322" s="149"/>
      <c r="Y322" s="149"/>
      <c r="Z322" s="149"/>
    </row>
    <row r="323" customFormat="false" ht="15.75" hidden="false" customHeight="true" outlineLevel="0" collapsed="false">
      <c r="A323" s="156"/>
      <c r="B323" s="157" t="s">
        <v>617</v>
      </c>
      <c r="C323" s="158" t="s">
        <v>618</v>
      </c>
      <c r="D323" s="160" t="s">
        <v>775</v>
      </c>
      <c r="E323" s="158" t="n">
        <v>2719</v>
      </c>
      <c r="F323" s="180" t="s">
        <v>773</v>
      </c>
      <c r="G323" s="169"/>
      <c r="H323" s="169"/>
      <c r="I323" s="157" t="s">
        <v>604</v>
      </c>
      <c r="J323" s="149"/>
      <c r="K323" s="149"/>
      <c r="L323" s="149"/>
      <c r="M323" s="149"/>
      <c r="N323" s="149"/>
      <c r="O323" s="149"/>
      <c r="P323" s="149"/>
      <c r="Q323" s="149"/>
      <c r="R323" s="149"/>
      <c r="S323" s="149"/>
      <c r="T323" s="149"/>
      <c r="U323" s="149"/>
      <c r="V323" s="149"/>
      <c r="W323" s="149"/>
      <c r="X323" s="149"/>
      <c r="Y323" s="149"/>
      <c r="Z323" s="149"/>
    </row>
    <row r="324" customFormat="false" ht="15.75" hidden="false" customHeight="true" outlineLevel="0" collapsed="false">
      <c r="A324" s="156"/>
      <c r="B324" s="157" t="s">
        <v>620</v>
      </c>
      <c r="C324" s="158" t="s">
        <v>776</v>
      </c>
      <c r="D324" s="165" t="s">
        <v>777</v>
      </c>
      <c r="E324" s="158" t="n">
        <v>2719</v>
      </c>
      <c r="F324" s="165" t="s">
        <v>778</v>
      </c>
      <c r="G324" s="166"/>
      <c r="H324" s="167"/>
      <c r="I324" s="157" t="s">
        <v>569</v>
      </c>
      <c r="J324" s="149"/>
      <c r="K324" s="149"/>
      <c r="L324" s="149"/>
      <c r="M324" s="149"/>
      <c r="N324" s="149"/>
      <c r="O324" s="149"/>
      <c r="P324" s="149"/>
      <c r="Q324" s="149"/>
      <c r="R324" s="149"/>
      <c r="S324" s="149"/>
      <c r="T324" s="149"/>
      <c r="U324" s="149"/>
      <c r="V324" s="149"/>
      <c r="W324" s="149"/>
      <c r="X324" s="149"/>
      <c r="Y324" s="149"/>
      <c r="Z324" s="149"/>
    </row>
    <row r="325" customFormat="false" ht="15.75" hidden="false" customHeight="true" outlineLevel="0" collapsed="false">
      <c r="A325" s="156"/>
      <c r="B325" s="157" t="s">
        <v>624</v>
      </c>
      <c r="C325" s="158" t="s">
        <v>779</v>
      </c>
      <c r="D325" s="165" t="s">
        <v>780</v>
      </c>
      <c r="E325" s="158" t="n">
        <v>2719</v>
      </c>
      <c r="F325" s="165" t="s">
        <v>781</v>
      </c>
      <c r="G325" s="166"/>
      <c r="H325" s="167"/>
      <c r="I325" s="157" t="s">
        <v>569</v>
      </c>
      <c r="J325" s="149"/>
      <c r="K325" s="149"/>
      <c r="L325" s="149"/>
      <c r="M325" s="149"/>
      <c r="N325" s="149"/>
      <c r="O325" s="149"/>
      <c r="P325" s="149"/>
      <c r="Q325" s="149"/>
      <c r="R325" s="149"/>
      <c r="S325" s="149"/>
      <c r="T325" s="149"/>
      <c r="U325" s="149"/>
      <c r="V325" s="149"/>
      <c r="W325" s="149"/>
      <c r="X325" s="149"/>
      <c r="Y325" s="149"/>
      <c r="Z325" s="149"/>
    </row>
    <row r="326" customFormat="false" ht="15.75" hidden="false" customHeight="true" outlineLevel="0" collapsed="false">
      <c r="A326" s="156"/>
      <c r="B326" s="157" t="s">
        <v>628</v>
      </c>
      <c r="C326" s="158" t="s">
        <v>782</v>
      </c>
      <c r="D326" s="165" t="s">
        <v>783</v>
      </c>
      <c r="E326" s="158" t="n">
        <v>2719</v>
      </c>
      <c r="F326" s="165" t="s">
        <v>784</v>
      </c>
      <c r="G326" s="161"/>
      <c r="H326" s="167"/>
      <c r="I326" s="157" t="s">
        <v>569</v>
      </c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</row>
    <row r="327" customFormat="false" ht="15.75" hidden="false" customHeight="true" outlineLevel="0" collapsed="false">
      <c r="A327" s="156"/>
      <c r="B327" s="157" t="s">
        <v>630</v>
      </c>
      <c r="C327" s="158" t="s">
        <v>681</v>
      </c>
      <c r="D327" s="165" t="s">
        <v>785</v>
      </c>
      <c r="E327" s="158" t="n">
        <v>2719</v>
      </c>
      <c r="F327" s="165" t="s">
        <v>786</v>
      </c>
      <c r="G327" s="166"/>
      <c r="H327" s="167"/>
      <c r="I327" s="157" t="s">
        <v>569</v>
      </c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</row>
    <row r="328" customFormat="false" ht="15.75" hidden="false" customHeight="true" outlineLevel="0" collapsed="false">
      <c r="A328" s="156"/>
      <c r="B328" s="157" t="s">
        <v>633</v>
      </c>
      <c r="C328" s="158" t="s">
        <v>634</v>
      </c>
      <c r="D328" s="165" t="s">
        <v>787</v>
      </c>
      <c r="E328" s="158" t="n">
        <v>2719</v>
      </c>
      <c r="F328" s="165" t="s">
        <v>788</v>
      </c>
      <c r="G328" s="166"/>
      <c r="H328" s="167"/>
      <c r="I328" s="157" t="s">
        <v>569</v>
      </c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</row>
    <row r="329" customFormat="false" ht="15.75" hidden="false" customHeight="true" outlineLevel="0" collapsed="false">
      <c r="A329" s="156"/>
      <c r="B329" s="157" t="s">
        <v>636</v>
      </c>
      <c r="C329" s="158" t="s">
        <v>686</v>
      </c>
      <c r="D329" s="165" t="s">
        <v>789</v>
      </c>
      <c r="E329" s="158" t="n">
        <v>2719</v>
      </c>
      <c r="F329" s="165" t="s">
        <v>790</v>
      </c>
      <c r="G329" s="166"/>
      <c r="H329" s="167"/>
      <c r="I329" s="157" t="s">
        <v>569</v>
      </c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</row>
    <row r="330" customFormat="false" ht="15.75" hidden="false" customHeight="true" outlineLevel="0" collapsed="false">
      <c r="A330" s="156"/>
      <c r="B330" s="157" t="s">
        <v>639</v>
      </c>
      <c r="C330" s="158" t="s">
        <v>637</v>
      </c>
      <c r="D330" s="165" t="s">
        <v>791</v>
      </c>
      <c r="E330" s="158" t="n">
        <v>2719</v>
      </c>
      <c r="F330" s="165" t="s">
        <v>792</v>
      </c>
      <c r="G330" s="166"/>
      <c r="H330" s="167"/>
      <c r="I330" s="157" t="s">
        <v>569</v>
      </c>
      <c r="J330" s="149"/>
      <c r="K330" s="149"/>
      <c r="L330" s="149"/>
      <c r="M330" s="149"/>
      <c r="N330" s="149"/>
      <c r="O330" s="149"/>
      <c r="P330" s="149"/>
      <c r="Q330" s="149"/>
      <c r="R330" s="149"/>
      <c r="S330" s="149"/>
      <c r="T330" s="149"/>
      <c r="U330" s="149"/>
      <c r="V330" s="149"/>
      <c r="W330" s="149"/>
      <c r="X330" s="149"/>
      <c r="Y330" s="149"/>
      <c r="Z330" s="149"/>
    </row>
    <row r="331" customFormat="false" ht="15.75" hidden="false" customHeight="true" outlineLevel="0" collapsed="false">
      <c r="A331" s="156"/>
      <c r="B331" s="157" t="s">
        <v>641</v>
      </c>
      <c r="C331" s="158" t="s">
        <v>689</v>
      </c>
      <c r="D331" s="165" t="s">
        <v>793</v>
      </c>
      <c r="E331" s="158" t="n">
        <v>2719</v>
      </c>
      <c r="F331" s="165" t="s">
        <v>794</v>
      </c>
      <c r="G331" s="166"/>
      <c r="H331" s="167"/>
      <c r="I331" s="157" t="s">
        <v>569</v>
      </c>
      <c r="J331" s="149"/>
      <c r="K331" s="149"/>
      <c r="L331" s="149"/>
      <c r="M331" s="149"/>
      <c r="N331" s="149"/>
      <c r="O331" s="149"/>
      <c r="P331" s="149"/>
      <c r="Q331" s="149"/>
      <c r="R331" s="149"/>
      <c r="S331" s="149"/>
      <c r="T331" s="149"/>
      <c r="U331" s="149"/>
      <c r="V331" s="149"/>
      <c r="W331" s="149"/>
      <c r="X331" s="149"/>
      <c r="Y331" s="149"/>
      <c r="Z331" s="149"/>
    </row>
    <row r="332" customFormat="false" ht="15.75" hidden="false" customHeight="true" outlineLevel="0" collapsed="false">
      <c r="A332" s="156"/>
      <c r="B332" s="157" t="s">
        <v>644</v>
      </c>
      <c r="C332" s="158" t="s">
        <v>689</v>
      </c>
      <c r="D332" s="165" t="s">
        <v>795</v>
      </c>
      <c r="E332" s="158" t="n">
        <v>2719</v>
      </c>
      <c r="F332" s="165" t="s">
        <v>794</v>
      </c>
      <c r="G332" s="166"/>
      <c r="H332" s="167"/>
      <c r="I332" s="157" t="s">
        <v>569</v>
      </c>
      <c r="J332" s="149"/>
      <c r="K332" s="149"/>
      <c r="L332" s="149"/>
      <c r="M332" s="149"/>
      <c r="N332" s="149"/>
      <c r="O332" s="149"/>
      <c r="P332" s="149"/>
      <c r="Q332" s="149"/>
      <c r="R332" s="149"/>
      <c r="S332" s="149"/>
      <c r="T332" s="149"/>
      <c r="U332" s="149"/>
      <c r="V332" s="149"/>
      <c r="W332" s="149"/>
      <c r="X332" s="149"/>
      <c r="Y332" s="149"/>
      <c r="Z332" s="149"/>
    </row>
    <row r="333" customFormat="false" ht="15.75" hidden="false" customHeight="true" outlineLevel="0" collapsed="false">
      <c r="A333" s="156"/>
      <c r="B333" s="167"/>
      <c r="C333" s="167"/>
      <c r="D333" s="167"/>
      <c r="E333" s="167"/>
      <c r="F333" s="167"/>
      <c r="G333" s="167"/>
      <c r="H333" s="167"/>
      <c r="I333" s="167"/>
      <c r="J333" s="149"/>
      <c r="K333" s="149"/>
      <c r="L333" s="149"/>
      <c r="M333" s="149"/>
      <c r="N333" s="149"/>
      <c r="O333" s="149"/>
      <c r="P333" s="149"/>
      <c r="Q333" s="149"/>
      <c r="R333" s="149"/>
      <c r="S333" s="149"/>
      <c r="T333" s="149"/>
      <c r="U333" s="149"/>
      <c r="V333" s="149"/>
      <c r="W333" s="149"/>
      <c r="X333" s="149"/>
      <c r="Y333" s="149"/>
      <c r="Z333" s="149"/>
    </row>
    <row r="334" customFormat="false" ht="15.75" hidden="true" customHeight="true" outlineLevel="0" collapsed="false">
      <c r="A334" s="156"/>
      <c r="B334" s="157" t="s">
        <v>565</v>
      </c>
      <c r="C334" s="158" t="s">
        <v>566</v>
      </c>
      <c r="D334" s="159"/>
      <c r="E334" s="159" t="n">
        <v>2721</v>
      </c>
      <c r="F334" s="159"/>
      <c r="G334" s="159"/>
      <c r="H334" s="167"/>
      <c r="I334" s="157" t="s">
        <v>569</v>
      </c>
      <c r="J334" s="149"/>
      <c r="K334" s="149"/>
      <c r="L334" s="149"/>
      <c r="M334" s="149"/>
      <c r="N334" s="149"/>
      <c r="O334" s="149"/>
      <c r="P334" s="149"/>
      <c r="Q334" s="149"/>
      <c r="R334" s="149"/>
      <c r="S334" s="149"/>
      <c r="T334" s="149"/>
      <c r="U334" s="149"/>
      <c r="V334" s="149"/>
      <c r="W334" s="149"/>
      <c r="X334" s="149"/>
      <c r="Y334" s="149"/>
      <c r="Z334" s="149"/>
    </row>
    <row r="335" customFormat="false" ht="15.75" hidden="true" customHeight="true" outlineLevel="0" collapsed="false">
      <c r="A335" s="156"/>
      <c r="B335" s="157" t="s">
        <v>570</v>
      </c>
      <c r="C335" s="158" t="s">
        <v>571</v>
      </c>
      <c r="D335" s="197" t="n">
        <v>285377</v>
      </c>
      <c r="E335" s="159" t="n">
        <v>2721</v>
      </c>
      <c r="F335" s="159" t="s">
        <v>796</v>
      </c>
      <c r="G335" s="159"/>
      <c r="H335" s="167"/>
      <c r="I335" s="157" t="s">
        <v>575</v>
      </c>
      <c r="J335" s="149"/>
      <c r="K335" s="149"/>
      <c r="L335" s="149"/>
      <c r="M335" s="149"/>
      <c r="N335" s="149"/>
      <c r="O335" s="149"/>
      <c r="P335" s="149"/>
      <c r="Q335" s="149"/>
      <c r="R335" s="149"/>
      <c r="S335" s="149"/>
      <c r="T335" s="149"/>
      <c r="U335" s="149"/>
      <c r="V335" s="149"/>
      <c r="W335" s="149"/>
      <c r="X335" s="149"/>
      <c r="Y335" s="149"/>
      <c r="Z335" s="149"/>
    </row>
    <row r="336" customFormat="false" ht="15.75" hidden="true" customHeight="true" outlineLevel="0" collapsed="false">
      <c r="A336" s="156"/>
      <c r="B336" s="157" t="s">
        <v>576</v>
      </c>
      <c r="C336" s="158" t="s">
        <v>571</v>
      </c>
      <c r="D336" s="197" t="n">
        <v>278802</v>
      </c>
      <c r="E336" s="159" t="n">
        <v>2721</v>
      </c>
      <c r="F336" s="159" t="s">
        <v>796</v>
      </c>
      <c r="G336" s="159"/>
      <c r="H336" s="167"/>
      <c r="I336" s="157" t="s">
        <v>575</v>
      </c>
      <c r="J336" s="149"/>
      <c r="K336" s="149"/>
      <c r="L336" s="149"/>
      <c r="M336" s="149"/>
      <c r="N336" s="149"/>
      <c r="O336" s="149"/>
      <c r="P336" s="149"/>
      <c r="Q336" s="149"/>
      <c r="R336" s="149"/>
      <c r="S336" s="149"/>
      <c r="T336" s="149"/>
      <c r="U336" s="149"/>
      <c r="V336" s="149"/>
      <c r="W336" s="149"/>
      <c r="X336" s="149"/>
      <c r="Y336" s="149"/>
      <c r="Z336" s="149"/>
    </row>
    <row r="337" customFormat="false" ht="15.75" hidden="true" customHeight="true" outlineLevel="0" collapsed="false">
      <c r="A337" s="156"/>
      <c r="B337" s="157" t="s">
        <v>578</v>
      </c>
      <c r="C337" s="158" t="s">
        <v>797</v>
      </c>
      <c r="D337" s="159" t="s">
        <v>798</v>
      </c>
      <c r="E337" s="159" t="n">
        <v>2721</v>
      </c>
      <c r="F337" s="159" t="s">
        <v>799</v>
      </c>
      <c r="G337" s="159"/>
      <c r="H337" s="167"/>
      <c r="I337" s="193" t="s">
        <v>582</v>
      </c>
      <c r="J337" s="149"/>
      <c r="K337" s="149"/>
      <c r="L337" s="149"/>
      <c r="M337" s="149"/>
      <c r="N337" s="149"/>
      <c r="O337" s="149"/>
      <c r="P337" s="149"/>
      <c r="Q337" s="149"/>
      <c r="R337" s="149"/>
      <c r="S337" s="149"/>
      <c r="T337" s="149"/>
      <c r="U337" s="149"/>
      <c r="V337" s="149"/>
      <c r="W337" s="149"/>
      <c r="X337" s="149"/>
      <c r="Y337" s="149"/>
      <c r="Z337" s="149"/>
    </row>
    <row r="338" customFormat="false" ht="15.75" hidden="true" customHeight="true" outlineLevel="0" collapsed="false">
      <c r="A338" s="156"/>
      <c r="B338" s="157" t="s">
        <v>583</v>
      </c>
      <c r="C338" s="158" t="s">
        <v>584</v>
      </c>
      <c r="D338" s="159" t="s">
        <v>800</v>
      </c>
      <c r="E338" s="159" t="n">
        <v>2721</v>
      </c>
      <c r="F338" s="159" t="s">
        <v>801</v>
      </c>
      <c r="G338" s="159"/>
      <c r="H338" s="167"/>
      <c r="I338" s="193" t="s">
        <v>587</v>
      </c>
      <c r="J338" s="149"/>
      <c r="K338" s="149"/>
      <c r="L338" s="149"/>
      <c r="M338" s="149"/>
      <c r="N338" s="149"/>
      <c r="O338" s="149"/>
      <c r="P338" s="149"/>
      <c r="Q338" s="149"/>
      <c r="R338" s="149"/>
      <c r="S338" s="149"/>
      <c r="T338" s="149"/>
      <c r="U338" s="149"/>
      <c r="V338" s="149"/>
      <c r="W338" s="149"/>
      <c r="X338" s="149"/>
      <c r="Y338" s="149"/>
      <c r="Z338" s="149"/>
    </row>
    <row r="339" customFormat="false" ht="15.75" hidden="true" customHeight="true" outlineLevel="0" collapsed="false">
      <c r="A339" s="156"/>
      <c r="B339" s="157" t="s">
        <v>588</v>
      </c>
      <c r="C339" s="158" t="s">
        <v>802</v>
      </c>
      <c r="D339" s="166" t="s">
        <v>635</v>
      </c>
      <c r="E339" s="159" t="n">
        <v>2721</v>
      </c>
      <c r="F339" s="159" t="s">
        <v>803</v>
      </c>
      <c r="G339" s="159"/>
      <c r="H339" s="167"/>
      <c r="I339" s="193" t="s">
        <v>592</v>
      </c>
      <c r="J339" s="149"/>
      <c r="K339" s="149"/>
      <c r="L339" s="149"/>
      <c r="M339" s="149"/>
      <c r="N339" s="149"/>
      <c r="O339" s="149"/>
      <c r="P339" s="149"/>
      <c r="Q339" s="149"/>
      <c r="R339" s="149"/>
      <c r="S339" s="149"/>
      <c r="T339" s="149"/>
      <c r="U339" s="149"/>
      <c r="V339" s="149"/>
      <c r="W339" s="149"/>
      <c r="X339" s="149"/>
      <c r="Y339" s="149"/>
      <c r="Z339" s="149"/>
    </row>
    <row r="340" customFormat="false" ht="15.75" hidden="true" customHeight="true" outlineLevel="0" collapsed="false">
      <c r="A340" s="156"/>
      <c r="B340" s="157" t="s">
        <v>593</v>
      </c>
      <c r="C340" s="158" t="s">
        <v>697</v>
      </c>
      <c r="D340" s="166" t="s">
        <v>640</v>
      </c>
      <c r="E340" s="159" t="n">
        <v>2721</v>
      </c>
      <c r="F340" s="159" t="s">
        <v>803</v>
      </c>
      <c r="G340" s="159"/>
      <c r="H340" s="167"/>
      <c r="I340" s="193" t="s">
        <v>592</v>
      </c>
      <c r="J340" s="149"/>
      <c r="K340" s="149"/>
      <c r="L340" s="149"/>
      <c r="M340" s="149"/>
      <c r="N340" s="149"/>
      <c r="O340" s="149"/>
      <c r="P340" s="149"/>
      <c r="Q340" s="149"/>
      <c r="R340" s="149"/>
      <c r="S340" s="149"/>
      <c r="T340" s="149"/>
      <c r="U340" s="149"/>
      <c r="V340" s="149"/>
      <c r="W340" s="149"/>
      <c r="X340" s="149"/>
      <c r="Y340" s="149"/>
      <c r="Z340" s="149"/>
    </row>
    <row r="341" customFormat="false" ht="15.75" hidden="true" customHeight="true" outlineLevel="0" collapsed="false">
      <c r="A341" s="156"/>
      <c r="B341" s="157" t="s">
        <v>596</v>
      </c>
      <c r="C341" s="158" t="s">
        <v>699</v>
      </c>
      <c r="D341" s="159" t="n">
        <v>717</v>
      </c>
      <c r="E341" s="159" t="n">
        <v>2721</v>
      </c>
      <c r="F341" s="159" t="s">
        <v>804</v>
      </c>
      <c r="G341" s="159"/>
      <c r="H341" s="167"/>
      <c r="I341" s="157" t="s">
        <v>592</v>
      </c>
      <c r="J341" s="149"/>
      <c r="K341" s="149"/>
      <c r="L341" s="149"/>
      <c r="M341" s="149"/>
      <c r="N341" s="149"/>
      <c r="O341" s="149"/>
      <c r="P341" s="149"/>
      <c r="Q341" s="149"/>
      <c r="R341" s="149"/>
      <c r="S341" s="149"/>
      <c r="T341" s="149"/>
      <c r="U341" s="149"/>
      <c r="V341" s="149"/>
      <c r="W341" s="149"/>
      <c r="X341" s="149"/>
      <c r="Y341" s="149"/>
      <c r="Z341" s="149"/>
    </row>
    <row r="342" customFormat="false" ht="15.75" hidden="true" customHeight="true" outlineLevel="0" collapsed="false">
      <c r="A342" s="156"/>
      <c r="B342" s="157" t="s">
        <v>600</v>
      </c>
      <c r="C342" s="158" t="s">
        <v>601</v>
      </c>
      <c r="D342" s="159" t="n">
        <v>966</v>
      </c>
      <c r="E342" s="159" t="n">
        <v>2721</v>
      </c>
      <c r="F342" s="159" t="s">
        <v>805</v>
      </c>
      <c r="G342" s="159"/>
      <c r="H342" s="167"/>
      <c r="I342" s="157" t="s">
        <v>604</v>
      </c>
      <c r="J342" s="149"/>
      <c r="K342" s="149"/>
      <c r="L342" s="149"/>
      <c r="M342" s="149"/>
      <c r="N342" s="149"/>
      <c r="O342" s="149"/>
      <c r="P342" s="149"/>
      <c r="Q342" s="149"/>
      <c r="R342" s="149"/>
      <c r="S342" s="149"/>
      <c r="T342" s="149"/>
      <c r="U342" s="149"/>
      <c r="V342" s="149"/>
      <c r="W342" s="149"/>
      <c r="X342" s="149"/>
      <c r="Y342" s="149"/>
      <c r="Z342" s="149"/>
    </row>
    <row r="343" customFormat="false" ht="15.75" hidden="true" customHeight="true" outlineLevel="0" collapsed="false">
      <c r="A343" s="156"/>
      <c r="B343" s="157" t="s">
        <v>605</v>
      </c>
      <c r="C343" s="158" t="s">
        <v>606</v>
      </c>
      <c r="D343" s="159" t="n">
        <v>277</v>
      </c>
      <c r="E343" s="159" t="n">
        <v>2721</v>
      </c>
      <c r="F343" s="159" t="s">
        <v>806</v>
      </c>
      <c r="G343" s="159"/>
      <c r="H343" s="167"/>
      <c r="I343" s="157" t="s">
        <v>604</v>
      </c>
      <c r="J343" s="149"/>
      <c r="K343" s="149"/>
      <c r="L343" s="149"/>
      <c r="M343" s="149"/>
      <c r="N343" s="149"/>
      <c r="O343" s="149"/>
      <c r="P343" s="149"/>
      <c r="Q343" s="149"/>
      <c r="R343" s="149"/>
      <c r="S343" s="149"/>
      <c r="T343" s="149"/>
      <c r="U343" s="149"/>
      <c r="V343" s="149"/>
      <c r="W343" s="149"/>
      <c r="X343" s="149"/>
      <c r="Y343" s="149"/>
      <c r="Z343" s="149"/>
    </row>
    <row r="344" customFormat="false" ht="15.75" hidden="true" customHeight="true" outlineLevel="0" collapsed="false">
      <c r="A344" s="156"/>
      <c r="B344" s="157" t="s">
        <v>608</v>
      </c>
      <c r="C344" s="158" t="s">
        <v>601</v>
      </c>
      <c r="D344" s="166" t="s">
        <v>807</v>
      </c>
      <c r="E344" s="159" t="n">
        <v>2721</v>
      </c>
      <c r="F344" s="159" t="s">
        <v>806</v>
      </c>
      <c r="G344" s="159"/>
      <c r="H344" s="167"/>
      <c r="I344" s="157" t="s">
        <v>604</v>
      </c>
      <c r="J344" s="149"/>
      <c r="K344" s="149"/>
      <c r="L344" s="149"/>
      <c r="M344" s="149"/>
      <c r="N344" s="149"/>
      <c r="O344" s="149"/>
      <c r="P344" s="149"/>
      <c r="Q344" s="149"/>
      <c r="R344" s="149"/>
      <c r="S344" s="149"/>
      <c r="T344" s="149"/>
      <c r="U344" s="149"/>
      <c r="V344" s="149"/>
      <c r="W344" s="149"/>
      <c r="X344" s="149"/>
      <c r="Y344" s="149"/>
      <c r="Z344" s="149"/>
    </row>
    <row r="345" customFormat="false" ht="15.75" hidden="true" customHeight="true" outlineLevel="0" collapsed="false">
      <c r="A345" s="156"/>
      <c r="B345" s="157" t="s">
        <v>611</v>
      </c>
      <c r="C345" s="158" t="s">
        <v>606</v>
      </c>
      <c r="D345" s="159" t="n">
        <v>291</v>
      </c>
      <c r="E345" s="159" t="n">
        <v>2721</v>
      </c>
      <c r="F345" s="159" t="s">
        <v>808</v>
      </c>
      <c r="G345" s="159"/>
      <c r="H345" s="167"/>
      <c r="I345" s="157" t="s">
        <v>604</v>
      </c>
      <c r="J345" s="149"/>
      <c r="K345" s="149"/>
      <c r="L345" s="149"/>
      <c r="M345" s="149"/>
      <c r="N345" s="149"/>
      <c r="O345" s="149"/>
      <c r="P345" s="149"/>
      <c r="Q345" s="149"/>
      <c r="R345" s="149"/>
      <c r="S345" s="149"/>
      <c r="T345" s="149"/>
      <c r="U345" s="149"/>
      <c r="V345" s="149"/>
      <c r="W345" s="149"/>
      <c r="X345" s="149"/>
      <c r="Y345" s="149"/>
      <c r="Z345" s="149"/>
    </row>
    <row r="346" customFormat="false" ht="15.75" hidden="true" customHeight="true" outlineLevel="0" collapsed="false">
      <c r="A346" s="156"/>
      <c r="B346" s="157" t="s">
        <v>613</v>
      </c>
      <c r="C346" s="158" t="s">
        <v>614</v>
      </c>
      <c r="D346" s="159" t="s">
        <v>615</v>
      </c>
      <c r="E346" s="159" t="n">
        <v>2721</v>
      </c>
      <c r="F346" s="159" t="s">
        <v>809</v>
      </c>
      <c r="G346" s="159"/>
      <c r="H346" s="167"/>
      <c r="I346" s="157" t="s">
        <v>604</v>
      </c>
      <c r="J346" s="149"/>
      <c r="K346" s="149"/>
      <c r="L346" s="149"/>
      <c r="M346" s="149"/>
      <c r="N346" s="149"/>
      <c r="O346" s="149"/>
      <c r="P346" s="149"/>
      <c r="Q346" s="149"/>
      <c r="R346" s="149"/>
      <c r="S346" s="149"/>
      <c r="T346" s="149"/>
      <c r="U346" s="149"/>
      <c r="V346" s="149"/>
      <c r="W346" s="149"/>
      <c r="X346" s="149"/>
      <c r="Y346" s="149"/>
      <c r="Z346" s="149"/>
    </row>
    <row r="347" customFormat="false" ht="15.75" hidden="true" customHeight="true" outlineLevel="0" collapsed="false">
      <c r="A347" s="156"/>
      <c r="B347" s="157" t="s">
        <v>617</v>
      </c>
      <c r="C347" s="158" t="s">
        <v>618</v>
      </c>
      <c r="D347" s="159" t="s">
        <v>619</v>
      </c>
      <c r="E347" s="159" t="n">
        <v>2721</v>
      </c>
      <c r="F347" s="159" t="s">
        <v>809</v>
      </c>
      <c r="G347" s="159"/>
      <c r="H347" s="167"/>
      <c r="I347" s="157" t="s">
        <v>604</v>
      </c>
      <c r="J347" s="149"/>
      <c r="K347" s="149"/>
      <c r="L347" s="149"/>
      <c r="M347" s="149"/>
      <c r="N347" s="149"/>
      <c r="O347" s="149"/>
      <c r="P347" s="149"/>
      <c r="Q347" s="149"/>
      <c r="R347" s="149"/>
      <c r="S347" s="149"/>
      <c r="T347" s="149"/>
      <c r="U347" s="149"/>
      <c r="V347" s="149"/>
      <c r="W347" s="149"/>
      <c r="X347" s="149"/>
      <c r="Y347" s="149"/>
      <c r="Z347" s="149"/>
    </row>
    <row r="348" customFormat="false" ht="15.75" hidden="true" customHeight="true" outlineLevel="0" collapsed="false">
      <c r="A348" s="156"/>
      <c r="B348" s="157" t="s">
        <v>620</v>
      </c>
      <c r="C348" s="158" t="s">
        <v>675</v>
      </c>
      <c r="D348" s="159" t="n">
        <v>909</v>
      </c>
      <c r="E348" s="159" t="n">
        <v>2721</v>
      </c>
      <c r="F348" s="159" t="s">
        <v>810</v>
      </c>
      <c r="G348" s="159"/>
      <c r="H348" s="167"/>
      <c r="I348" s="157" t="s">
        <v>569</v>
      </c>
      <c r="J348" s="149"/>
      <c r="K348" s="149"/>
      <c r="L348" s="149"/>
      <c r="M348" s="149"/>
      <c r="N348" s="149"/>
      <c r="O348" s="149"/>
      <c r="P348" s="149"/>
      <c r="Q348" s="149"/>
      <c r="R348" s="149"/>
      <c r="S348" s="149"/>
      <c r="T348" s="149"/>
      <c r="U348" s="149"/>
      <c r="V348" s="149"/>
      <c r="W348" s="149"/>
      <c r="X348" s="149"/>
      <c r="Y348" s="149"/>
      <c r="Z348" s="149"/>
    </row>
    <row r="349" customFormat="false" ht="15.75" hidden="true" customHeight="true" outlineLevel="0" collapsed="false">
      <c r="A349" s="156"/>
      <c r="B349" s="157" t="s">
        <v>624</v>
      </c>
      <c r="C349" s="158" t="s">
        <v>678</v>
      </c>
      <c r="D349" s="159" t="n">
        <v>2168</v>
      </c>
      <c r="E349" s="159" t="n">
        <v>2721</v>
      </c>
      <c r="F349" s="159" t="s">
        <v>811</v>
      </c>
      <c r="G349" s="159"/>
      <c r="H349" s="167"/>
      <c r="I349" s="157" t="s">
        <v>569</v>
      </c>
      <c r="J349" s="149"/>
      <c r="K349" s="149"/>
      <c r="L349" s="149"/>
      <c r="M349" s="149"/>
      <c r="N349" s="149"/>
      <c r="O349" s="149"/>
      <c r="P349" s="149"/>
      <c r="Q349" s="149"/>
      <c r="R349" s="149"/>
      <c r="S349" s="149"/>
      <c r="T349" s="149"/>
      <c r="U349" s="149"/>
      <c r="V349" s="149"/>
      <c r="W349" s="149"/>
      <c r="X349" s="149"/>
      <c r="Y349" s="149"/>
      <c r="Z349" s="149"/>
    </row>
    <row r="350" customFormat="false" ht="15.75" hidden="true" customHeight="true" outlineLevel="0" collapsed="false">
      <c r="A350" s="156"/>
      <c r="B350" s="157" t="s">
        <v>628</v>
      </c>
      <c r="C350" s="158" t="s">
        <v>678</v>
      </c>
      <c r="D350" s="159" t="n">
        <v>2121</v>
      </c>
      <c r="E350" s="159" t="n">
        <v>2721</v>
      </c>
      <c r="F350" s="159" t="s">
        <v>811</v>
      </c>
      <c r="G350" s="159"/>
      <c r="H350" s="167"/>
      <c r="I350" s="157" t="s">
        <v>569</v>
      </c>
      <c r="J350" s="149"/>
      <c r="K350" s="149"/>
      <c r="L350" s="149"/>
      <c r="M350" s="149"/>
      <c r="N350" s="149"/>
      <c r="O350" s="149"/>
      <c r="P350" s="149"/>
      <c r="Q350" s="149"/>
      <c r="R350" s="149"/>
      <c r="S350" s="149"/>
      <c r="T350" s="149"/>
      <c r="U350" s="149"/>
      <c r="V350" s="149"/>
      <c r="W350" s="149"/>
      <c r="X350" s="149"/>
      <c r="Y350" s="149"/>
      <c r="Z350" s="149"/>
    </row>
    <row r="351" customFormat="false" ht="15.75" hidden="true" customHeight="true" outlineLevel="0" collapsed="false">
      <c r="A351" s="156"/>
      <c r="B351" s="157" t="s">
        <v>630</v>
      </c>
      <c r="C351" s="158" t="s">
        <v>631</v>
      </c>
      <c r="D351" s="166" t="s">
        <v>812</v>
      </c>
      <c r="E351" s="159" t="n">
        <v>2721</v>
      </c>
      <c r="F351" s="159" t="s">
        <v>813</v>
      </c>
      <c r="G351" s="159"/>
      <c r="H351" s="167"/>
      <c r="I351" s="157" t="s">
        <v>569</v>
      </c>
      <c r="J351" s="149"/>
      <c r="K351" s="149"/>
      <c r="L351" s="149"/>
      <c r="M351" s="149"/>
      <c r="N351" s="149"/>
      <c r="O351" s="149"/>
      <c r="P351" s="149"/>
      <c r="Q351" s="149"/>
      <c r="R351" s="149"/>
      <c r="S351" s="149"/>
      <c r="T351" s="149"/>
      <c r="U351" s="149"/>
      <c r="V351" s="149"/>
      <c r="W351" s="149"/>
      <c r="X351" s="149"/>
      <c r="Y351" s="149"/>
      <c r="Z351" s="149"/>
    </row>
    <row r="352" customFormat="false" ht="15.75" hidden="true" customHeight="true" outlineLevel="0" collapsed="false">
      <c r="A352" s="156"/>
      <c r="B352" s="157" t="s">
        <v>633</v>
      </c>
      <c r="C352" s="158" t="s">
        <v>814</v>
      </c>
      <c r="D352" s="159" t="s">
        <v>815</v>
      </c>
      <c r="E352" s="159" t="n">
        <v>2721</v>
      </c>
      <c r="F352" s="159" t="s">
        <v>816</v>
      </c>
      <c r="G352" s="159"/>
      <c r="H352" s="167"/>
      <c r="I352" s="157" t="s">
        <v>569</v>
      </c>
      <c r="J352" s="149"/>
      <c r="K352" s="149"/>
      <c r="L352" s="149"/>
      <c r="M352" s="149"/>
      <c r="N352" s="149"/>
      <c r="O352" s="149"/>
      <c r="P352" s="149"/>
      <c r="Q352" s="149"/>
      <c r="R352" s="149"/>
      <c r="S352" s="149"/>
      <c r="T352" s="149"/>
      <c r="U352" s="149"/>
      <c r="V352" s="149"/>
      <c r="W352" s="149"/>
      <c r="X352" s="149"/>
      <c r="Y352" s="149"/>
      <c r="Z352" s="149"/>
    </row>
    <row r="353" customFormat="false" ht="15.75" hidden="true" customHeight="true" outlineLevel="0" collapsed="false">
      <c r="A353" s="156"/>
      <c r="B353" s="157" t="s">
        <v>636</v>
      </c>
      <c r="C353" s="158" t="s">
        <v>637</v>
      </c>
      <c r="D353" s="159" t="n">
        <v>21</v>
      </c>
      <c r="E353" s="159" t="n">
        <v>2721</v>
      </c>
      <c r="F353" s="159" t="s">
        <v>817</v>
      </c>
      <c r="G353" s="159"/>
      <c r="H353" s="167"/>
      <c r="I353" s="157" t="s">
        <v>569</v>
      </c>
      <c r="J353" s="149"/>
      <c r="K353" s="149"/>
      <c r="L353" s="149"/>
      <c r="M353" s="149"/>
      <c r="N353" s="149"/>
      <c r="O353" s="149"/>
      <c r="P353" s="149"/>
      <c r="Q353" s="149"/>
      <c r="R353" s="149"/>
      <c r="S353" s="149"/>
      <c r="T353" s="149"/>
      <c r="U353" s="149"/>
      <c r="V353" s="149"/>
      <c r="W353" s="149"/>
      <c r="X353" s="149"/>
      <c r="Y353" s="149"/>
      <c r="Z353" s="149"/>
    </row>
    <row r="354" customFormat="false" ht="15.75" hidden="true" customHeight="true" outlineLevel="0" collapsed="false">
      <c r="A354" s="156"/>
      <c r="B354" s="157" t="s">
        <v>639</v>
      </c>
      <c r="C354" s="158" t="s">
        <v>686</v>
      </c>
      <c r="D354" s="159" t="n">
        <v>33</v>
      </c>
      <c r="E354" s="159" t="n">
        <v>2721</v>
      </c>
      <c r="F354" s="159" t="s">
        <v>818</v>
      </c>
      <c r="G354" s="159"/>
      <c r="H354" s="167"/>
      <c r="I354" s="157" t="s">
        <v>569</v>
      </c>
      <c r="J354" s="149"/>
      <c r="K354" s="149"/>
      <c r="L354" s="149"/>
      <c r="M354" s="149"/>
      <c r="N354" s="149"/>
      <c r="O354" s="149"/>
      <c r="P354" s="149"/>
      <c r="Q354" s="149"/>
      <c r="R354" s="149"/>
      <c r="S354" s="149"/>
      <c r="T354" s="149"/>
      <c r="U354" s="149"/>
      <c r="V354" s="149"/>
      <c r="W354" s="149"/>
      <c r="X354" s="149"/>
      <c r="Y354" s="149"/>
      <c r="Z354" s="149"/>
    </row>
    <row r="355" customFormat="false" ht="15.75" hidden="true" customHeight="true" outlineLevel="0" collapsed="false">
      <c r="A355" s="156"/>
      <c r="B355" s="157" t="s">
        <v>641</v>
      </c>
      <c r="C355" s="158" t="s">
        <v>689</v>
      </c>
      <c r="D355" s="159" t="n">
        <v>30</v>
      </c>
      <c r="E355" s="159" t="n">
        <v>2721</v>
      </c>
      <c r="F355" s="159" t="s">
        <v>819</v>
      </c>
      <c r="G355" s="159"/>
      <c r="H355" s="167"/>
      <c r="I355" s="157" t="s">
        <v>569</v>
      </c>
      <c r="J355" s="149"/>
      <c r="K355" s="149"/>
      <c r="L355" s="149"/>
      <c r="M355" s="149"/>
      <c r="N355" s="149"/>
      <c r="O355" s="149"/>
      <c r="P355" s="149"/>
      <c r="Q355" s="149"/>
      <c r="R355" s="149"/>
      <c r="S355" s="149"/>
      <c r="T355" s="149"/>
      <c r="U355" s="149"/>
      <c r="V355" s="149"/>
      <c r="W355" s="149"/>
      <c r="X355" s="149"/>
      <c r="Y355" s="149"/>
      <c r="Z355" s="149"/>
    </row>
    <row r="356" customFormat="false" ht="15.75" hidden="true" customHeight="true" outlineLevel="0" collapsed="false">
      <c r="A356" s="156"/>
      <c r="B356" s="157" t="s">
        <v>644</v>
      </c>
      <c r="C356" s="158" t="s">
        <v>642</v>
      </c>
      <c r="D356" s="159" t="n">
        <v>28</v>
      </c>
      <c r="E356" s="159" t="n">
        <v>2721</v>
      </c>
      <c r="F356" s="159" t="s">
        <v>820</v>
      </c>
      <c r="G356" s="159"/>
      <c r="H356" s="167"/>
      <c r="I356" s="157" t="s">
        <v>569</v>
      </c>
      <c r="J356" s="149"/>
      <c r="K356" s="149"/>
      <c r="L356" s="149"/>
      <c r="M356" s="149"/>
      <c r="N356" s="149"/>
      <c r="O356" s="149"/>
      <c r="P356" s="149"/>
      <c r="Q356" s="149"/>
      <c r="R356" s="149"/>
      <c r="S356" s="149"/>
      <c r="T356" s="149"/>
      <c r="U356" s="149"/>
      <c r="V356" s="149"/>
      <c r="W356" s="149"/>
      <c r="X356" s="149"/>
      <c r="Y356" s="149"/>
      <c r="Z356" s="149"/>
    </row>
    <row r="357" customFormat="false" ht="15.75" hidden="true" customHeight="true" outlineLevel="0" collapsed="false">
      <c r="A357" s="156"/>
      <c r="B357" s="167"/>
      <c r="C357" s="167"/>
      <c r="D357" s="167"/>
      <c r="E357" s="167"/>
      <c r="F357" s="167"/>
      <c r="G357" s="167"/>
      <c r="H357" s="167"/>
      <c r="I357" s="167"/>
      <c r="J357" s="149"/>
      <c r="K357" s="149"/>
      <c r="L357" s="149"/>
      <c r="M357" s="149"/>
      <c r="N357" s="149"/>
      <c r="O357" s="149"/>
      <c r="P357" s="149"/>
      <c r="Q357" s="149"/>
      <c r="R357" s="149"/>
      <c r="S357" s="149"/>
      <c r="T357" s="149"/>
      <c r="U357" s="149"/>
      <c r="V357" s="149"/>
      <c r="W357" s="149"/>
      <c r="X357" s="149"/>
      <c r="Y357" s="149"/>
      <c r="Z357" s="149"/>
    </row>
    <row r="358" customFormat="false" ht="15.75" hidden="false" customHeight="true" outlineLevel="0" collapsed="false">
      <c r="A358" s="156"/>
      <c r="B358" s="157" t="s">
        <v>565</v>
      </c>
      <c r="C358" s="158" t="s">
        <v>566</v>
      </c>
      <c r="D358" s="165" t="s">
        <v>672</v>
      </c>
      <c r="E358" s="158" t="n">
        <v>2722</v>
      </c>
      <c r="F358" s="165" t="s">
        <v>821</v>
      </c>
      <c r="G358" s="166"/>
      <c r="H358" s="167"/>
      <c r="I358" s="157" t="s">
        <v>569</v>
      </c>
      <c r="J358" s="149"/>
      <c r="K358" s="149"/>
      <c r="L358" s="149"/>
      <c r="M358" s="149"/>
      <c r="N358" s="149"/>
      <c r="O358" s="149"/>
      <c r="P358" s="149"/>
      <c r="Q358" s="149"/>
      <c r="R358" s="149"/>
      <c r="S358" s="149"/>
      <c r="T358" s="149"/>
      <c r="U358" s="149"/>
      <c r="V358" s="149"/>
      <c r="W358" s="149"/>
      <c r="X358" s="149"/>
      <c r="Y358" s="149"/>
      <c r="Z358" s="149"/>
    </row>
    <row r="359" customFormat="false" ht="15.75" hidden="false" customHeight="true" outlineLevel="0" collapsed="false">
      <c r="A359" s="156"/>
      <c r="B359" s="157" t="s">
        <v>570</v>
      </c>
      <c r="C359" s="158" t="s">
        <v>571</v>
      </c>
      <c r="D359" s="165" t="s">
        <v>822</v>
      </c>
      <c r="E359" s="158" t="n">
        <v>2722</v>
      </c>
      <c r="F359" s="180" t="s">
        <v>823</v>
      </c>
      <c r="G359" s="169" t="s">
        <v>668</v>
      </c>
      <c r="H359" s="167"/>
      <c r="I359" s="157" t="s">
        <v>648</v>
      </c>
      <c r="J359" s="149"/>
      <c r="K359" s="149"/>
      <c r="L359" s="149"/>
      <c r="M359" s="149"/>
      <c r="N359" s="149"/>
      <c r="O359" s="149"/>
      <c r="P359" s="149"/>
      <c r="Q359" s="149"/>
      <c r="R359" s="149"/>
      <c r="S359" s="149"/>
      <c r="T359" s="149"/>
      <c r="U359" s="149"/>
      <c r="V359" s="149"/>
      <c r="W359" s="149"/>
      <c r="X359" s="149"/>
      <c r="Y359" s="149"/>
      <c r="Z359" s="149"/>
    </row>
    <row r="360" customFormat="false" ht="15.75" hidden="false" customHeight="true" outlineLevel="0" collapsed="false">
      <c r="A360" s="156"/>
      <c r="B360" s="157" t="s">
        <v>576</v>
      </c>
      <c r="C360" s="158" t="s">
        <v>571</v>
      </c>
      <c r="D360" s="165" t="s">
        <v>824</v>
      </c>
      <c r="E360" s="158" t="n">
        <v>2722</v>
      </c>
      <c r="F360" s="180" t="s">
        <v>823</v>
      </c>
      <c r="G360" s="169"/>
      <c r="H360" s="167"/>
      <c r="I360" s="157" t="s">
        <v>648</v>
      </c>
      <c r="J360" s="149"/>
      <c r="K360" s="149"/>
      <c r="L360" s="149"/>
      <c r="M360" s="149"/>
      <c r="N360" s="149"/>
      <c r="O360" s="149"/>
      <c r="P360" s="149"/>
      <c r="Q360" s="149"/>
      <c r="R360" s="149"/>
      <c r="S360" s="149"/>
      <c r="T360" s="149"/>
      <c r="U360" s="149"/>
      <c r="V360" s="149"/>
      <c r="W360" s="149"/>
      <c r="X360" s="149"/>
      <c r="Y360" s="149"/>
      <c r="Z360" s="149"/>
    </row>
    <row r="361" customFormat="false" ht="15.75" hidden="false" customHeight="true" outlineLevel="0" collapsed="false">
      <c r="A361" s="156"/>
      <c r="B361" s="157" t="s">
        <v>578</v>
      </c>
      <c r="C361" s="158" t="s">
        <v>579</v>
      </c>
      <c r="D361" s="165" t="s">
        <v>825</v>
      </c>
      <c r="E361" s="158" t="n">
        <v>2722</v>
      </c>
      <c r="F361" s="165" t="s">
        <v>826</v>
      </c>
      <c r="G361" s="166"/>
      <c r="H361" s="167"/>
      <c r="I361" s="193" t="s">
        <v>582</v>
      </c>
      <c r="J361" s="149"/>
      <c r="K361" s="149"/>
      <c r="L361" s="149"/>
      <c r="M361" s="149"/>
      <c r="N361" s="149"/>
      <c r="O361" s="149"/>
      <c r="P361" s="149"/>
      <c r="Q361" s="149"/>
      <c r="R361" s="149"/>
      <c r="S361" s="149"/>
      <c r="T361" s="149"/>
      <c r="U361" s="149"/>
      <c r="V361" s="149"/>
      <c r="W361" s="149"/>
      <c r="X361" s="149"/>
      <c r="Y361" s="149"/>
      <c r="Z361" s="149"/>
    </row>
    <row r="362" customFormat="false" ht="15.75" hidden="false" customHeight="true" outlineLevel="0" collapsed="false">
      <c r="A362" s="156"/>
      <c r="B362" s="157" t="s">
        <v>583</v>
      </c>
      <c r="C362" s="158" t="s">
        <v>759</v>
      </c>
      <c r="D362" s="165" t="s">
        <v>827</v>
      </c>
      <c r="E362" s="158" t="n">
        <v>2722</v>
      </c>
      <c r="F362" s="165" t="s">
        <v>828</v>
      </c>
      <c r="G362" s="166"/>
      <c r="H362" s="167"/>
      <c r="I362" s="193" t="s">
        <v>587</v>
      </c>
      <c r="J362" s="149"/>
      <c r="K362" s="149"/>
      <c r="L362" s="149"/>
      <c r="M362" s="149"/>
      <c r="N362" s="149"/>
      <c r="O362" s="149"/>
      <c r="P362" s="149"/>
      <c r="Q362" s="149"/>
      <c r="R362" s="149"/>
      <c r="S362" s="149"/>
      <c r="T362" s="149"/>
      <c r="U362" s="149"/>
      <c r="V362" s="149"/>
      <c r="W362" s="149"/>
      <c r="X362" s="149"/>
      <c r="Y362" s="149"/>
      <c r="Z362" s="149"/>
    </row>
    <row r="363" customFormat="false" ht="15.75" hidden="false" customHeight="true" outlineLevel="0" collapsed="false">
      <c r="A363" s="156"/>
      <c r="B363" s="157" t="s">
        <v>588</v>
      </c>
      <c r="C363" s="158" t="s">
        <v>656</v>
      </c>
      <c r="D363" s="166"/>
      <c r="E363" s="158" t="n">
        <v>2722</v>
      </c>
      <c r="F363" s="165" t="s">
        <v>829</v>
      </c>
      <c r="G363" s="166"/>
      <c r="H363" s="167"/>
      <c r="I363" s="193" t="s">
        <v>592</v>
      </c>
      <c r="J363" s="149"/>
      <c r="K363" s="149"/>
      <c r="L363" s="149"/>
      <c r="M363" s="149"/>
      <c r="N363" s="149"/>
      <c r="O363" s="149"/>
      <c r="P363" s="149"/>
      <c r="Q363" s="149"/>
      <c r="R363" s="149"/>
      <c r="S363" s="149"/>
      <c r="T363" s="149"/>
      <c r="U363" s="149"/>
      <c r="V363" s="149"/>
      <c r="W363" s="149"/>
      <c r="X363" s="149"/>
      <c r="Y363" s="149"/>
      <c r="Z363" s="149"/>
    </row>
    <row r="364" customFormat="false" ht="15.75" hidden="false" customHeight="true" outlineLevel="0" collapsed="false">
      <c r="A364" s="156"/>
      <c r="B364" s="157" t="s">
        <v>593</v>
      </c>
      <c r="C364" s="158" t="s">
        <v>697</v>
      </c>
      <c r="D364" s="166"/>
      <c r="E364" s="158" t="n">
        <v>2722</v>
      </c>
      <c r="F364" s="165" t="s">
        <v>829</v>
      </c>
      <c r="G364" s="166"/>
      <c r="H364" s="167"/>
      <c r="I364" s="193" t="s">
        <v>592</v>
      </c>
      <c r="J364" s="149"/>
      <c r="K364" s="149"/>
      <c r="L364" s="149"/>
      <c r="M364" s="149"/>
      <c r="N364" s="149"/>
      <c r="O364" s="149"/>
      <c r="P364" s="149"/>
      <c r="Q364" s="149"/>
      <c r="R364" s="149"/>
      <c r="S364" s="149"/>
      <c r="T364" s="149"/>
      <c r="U364" s="149"/>
      <c r="V364" s="149"/>
      <c r="W364" s="149"/>
      <c r="X364" s="149"/>
      <c r="Y364" s="149"/>
      <c r="Z364" s="149"/>
    </row>
    <row r="365" customFormat="false" ht="15.75" hidden="false" customHeight="true" outlineLevel="0" collapsed="false">
      <c r="A365" s="156"/>
      <c r="B365" s="157" t="s">
        <v>596</v>
      </c>
      <c r="C365" s="158" t="s">
        <v>597</v>
      </c>
      <c r="D365" s="166"/>
      <c r="E365" s="158" t="n">
        <v>2722</v>
      </c>
      <c r="F365" s="165" t="s">
        <v>829</v>
      </c>
      <c r="G365" s="166"/>
      <c r="H365" s="167"/>
      <c r="I365" s="157" t="s">
        <v>592</v>
      </c>
      <c r="J365" s="149"/>
      <c r="K365" s="149"/>
      <c r="L365" s="149"/>
      <c r="M365" s="149"/>
      <c r="N365" s="149"/>
      <c r="O365" s="149"/>
      <c r="P365" s="149"/>
      <c r="Q365" s="149"/>
      <c r="R365" s="149"/>
      <c r="S365" s="149"/>
      <c r="T365" s="149"/>
      <c r="U365" s="149"/>
      <c r="V365" s="149"/>
      <c r="W365" s="149"/>
      <c r="X365" s="149"/>
      <c r="Y365" s="149"/>
      <c r="Z365" s="149"/>
    </row>
    <row r="366" customFormat="false" ht="15.75" hidden="false" customHeight="true" outlineLevel="0" collapsed="false">
      <c r="A366" s="156"/>
      <c r="B366" s="157" t="s">
        <v>600</v>
      </c>
      <c r="C366" s="158" t="s">
        <v>601</v>
      </c>
      <c r="D366" s="165" t="s">
        <v>812</v>
      </c>
      <c r="E366" s="158" t="n">
        <v>2722</v>
      </c>
      <c r="F366" s="160" t="s">
        <v>830</v>
      </c>
      <c r="G366" s="160"/>
      <c r="H366" s="174"/>
      <c r="I366" s="157" t="s">
        <v>604</v>
      </c>
      <c r="J366" s="149"/>
      <c r="K366" s="149"/>
      <c r="L366" s="149"/>
      <c r="M366" s="149"/>
      <c r="N366" s="149"/>
      <c r="O366" s="149"/>
      <c r="P366" s="149"/>
      <c r="Q366" s="149"/>
      <c r="R366" s="149"/>
      <c r="S366" s="149"/>
      <c r="T366" s="149"/>
      <c r="U366" s="149"/>
      <c r="V366" s="149"/>
      <c r="W366" s="149"/>
      <c r="X366" s="149"/>
      <c r="Y366" s="149"/>
      <c r="Z366" s="149"/>
    </row>
    <row r="367" customFormat="false" ht="15.75" hidden="false" customHeight="true" outlineLevel="0" collapsed="false">
      <c r="A367" s="156"/>
      <c r="B367" s="157" t="s">
        <v>605</v>
      </c>
      <c r="C367" s="158" t="s">
        <v>606</v>
      </c>
      <c r="D367" s="165" t="s">
        <v>831</v>
      </c>
      <c r="E367" s="158" t="n">
        <v>2722</v>
      </c>
      <c r="F367" s="160" t="s">
        <v>830</v>
      </c>
      <c r="G367" s="160"/>
      <c r="H367" s="174"/>
      <c r="I367" s="157" t="s">
        <v>604</v>
      </c>
      <c r="J367" s="149"/>
      <c r="K367" s="149"/>
      <c r="L367" s="149"/>
      <c r="M367" s="149"/>
      <c r="N367" s="149"/>
      <c r="O367" s="149"/>
      <c r="P367" s="149"/>
      <c r="Q367" s="149"/>
      <c r="R367" s="149"/>
      <c r="S367" s="149"/>
      <c r="T367" s="149"/>
      <c r="U367" s="149"/>
      <c r="V367" s="149"/>
      <c r="W367" s="149"/>
      <c r="X367" s="149"/>
      <c r="Y367" s="149"/>
      <c r="Z367" s="149"/>
    </row>
    <row r="368" customFormat="false" ht="15.75" hidden="false" customHeight="true" outlineLevel="0" collapsed="false">
      <c r="A368" s="156"/>
      <c r="B368" s="157" t="s">
        <v>608</v>
      </c>
      <c r="C368" s="158" t="s">
        <v>601</v>
      </c>
      <c r="D368" s="165" t="s">
        <v>832</v>
      </c>
      <c r="E368" s="158" t="n">
        <v>2722</v>
      </c>
      <c r="F368" s="160" t="s">
        <v>833</v>
      </c>
      <c r="G368" s="161"/>
      <c r="H368" s="167"/>
      <c r="I368" s="157" t="s">
        <v>604</v>
      </c>
      <c r="J368" s="149"/>
      <c r="K368" s="149"/>
      <c r="L368" s="149"/>
      <c r="M368" s="149"/>
      <c r="N368" s="149"/>
      <c r="O368" s="149"/>
      <c r="P368" s="149"/>
      <c r="Q368" s="149"/>
      <c r="R368" s="149"/>
      <c r="S368" s="149"/>
      <c r="T368" s="149"/>
      <c r="U368" s="149"/>
      <c r="V368" s="149"/>
      <c r="W368" s="149"/>
      <c r="X368" s="149"/>
      <c r="Y368" s="149"/>
      <c r="Z368" s="149"/>
    </row>
    <row r="369" customFormat="false" ht="15.75" hidden="false" customHeight="true" outlineLevel="0" collapsed="false">
      <c r="A369" s="156"/>
      <c r="B369" s="157" t="s">
        <v>611</v>
      </c>
      <c r="C369" s="158" t="s">
        <v>606</v>
      </c>
      <c r="D369" s="165" t="s">
        <v>834</v>
      </c>
      <c r="E369" s="158" t="n">
        <v>2722</v>
      </c>
      <c r="F369" s="160" t="s">
        <v>833</v>
      </c>
      <c r="G369" s="161"/>
      <c r="H369" s="167"/>
      <c r="I369" s="157" t="s">
        <v>604</v>
      </c>
      <c r="J369" s="149"/>
      <c r="K369" s="149"/>
      <c r="L369" s="149"/>
      <c r="M369" s="149"/>
      <c r="N369" s="149"/>
      <c r="O369" s="149"/>
      <c r="P369" s="149"/>
      <c r="Q369" s="149"/>
      <c r="R369" s="149"/>
      <c r="S369" s="149"/>
      <c r="T369" s="149"/>
      <c r="U369" s="149"/>
      <c r="V369" s="149"/>
      <c r="W369" s="149"/>
      <c r="X369" s="149"/>
      <c r="Y369" s="149"/>
      <c r="Z369" s="149"/>
    </row>
    <row r="370" customFormat="false" ht="15.75" hidden="false" customHeight="true" outlineLevel="0" collapsed="false">
      <c r="A370" s="156"/>
      <c r="B370" s="157" t="s">
        <v>613</v>
      </c>
      <c r="C370" s="158" t="s">
        <v>614</v>
      </c>
      <c r="D370" s="165" t="s">
        <v>835</v>
      </c>
      <c r="E370" s="158" t="n">
        <v>2722</v>
      </c>
      <c r="F370" s="160" t="s">
        <v>833</v>
      </c>
      <c r="G370" s="160"/>
      <c r="H370" s="167"/>
      <c r="I370" s="157" t="s">
        <v>604</v>
      </c>
      <c r="J370" s="149"/>
      <c r="K370" s="149"/>
      <c r="L370" s="149"/>
      <c r="M370" s="149"/>
      <c r="N370" s="149"/>
      <c r="O370" s="149"/>
      <c r="P370" s="149"/>
      <c r="Q370" s="149"/>
      <c r="R370" s="149"/>
      <c r="S370" s="149"/>
      <c r="T370" s="149"/>
      <c r="U370" s="149"/>
      <c r="V370" s="149"/>
      <c r="W370" s="149"/>
      <c r="X370" s="149"/>
      <c r="Y370" s="149"/>
      <c r="Z370" s="149"/>
    </row>
    <row r="371" customFormat="false" ht="15.75" hidden="false" customHeight="true" outlineLevel="0" collapsed="false">
      <c r="A371" s="156"/>
      <c r="B371" s="157" t="s">
        <v>617</v>
      </c>
      <c r="C371" s="158" t="s">
        <v>618</v>
      </c>
      <c r="D371" s="165" t="s">
        <v>836</v>
      </c>
      <c r="E371" s="158" t="n">
        <v>2722</v>
      </c>
      <c r="F371" s="160" t="s">
        <v>833</v>
      </c>
      <c r="G371" s="160"/>
      <c r="H371" s="167"/>
      <c r="I371" s="157" t="s">
        <v>604</v>
      </c>
      <c r="J371" s="149"/>
      <c r="K371" s="149"/>
      <c r="L371" s="149"/>
      <c r="M371" s="149"/>
      <c r="N371" s="149"/>
      <c r="O371" s="149"/>
      <c r="P371" s="149"/>
      <c r="Q371" s="149"/>
      <c r="R371" s="149"/>
      <c r="S371" s="149"/>
      <c r="T371" s="149"/>
      <c r="U371" s="149"/>
      <c r="V371" s="149"/>
      <c r="W371" s="149"/>
      <c r="X371" s="149"/>
      <c r="Y371" s="149"/>
      <c r="Z371" s="149"/>
    </row>
    <row r="372" customFormat="false" ht="15.75" hidden="false" customHeight="true" outlineLevel="0" collapsed="false">
      <c r="A372" s="156"/>
      <c r="B372" s="157" t="s">
        <v>620</v>
      </c>
      <c r="C372" s="158" t="s">
        <v>675</v>
      </c>
      <c r="D372" s="165" t="s">
        <v>837</v>
      </c>
      <c r="E372" s="158" t="n">
        <v>2722</v>
      </c>
      <c r="F372" s="165" t="s">
        <v>821</v>
      </c>
      <c r="G372" s="166"/>
      <c r="H372" s="167"/>
      <c r="I372" s="157" t="s">
        <v>569</v>
      </c>
      <c r="J372" s="149"/>
      <c r="K372" s="149"/>
      <c r="L372" s="149"/>
      <c r="M372" s="149"/>
      <c r="N372" s="149"/>
      <c r="O372" s="149"/>
      <c r="P372" s="149"/>
      <c r="Q372" s="149"/>
      <c r="R372" s="149"/>
      <c r="S372" s="149"/>
      <c r="T372" s="149"/>
      <c r="U372" s="149"/>
      <c r="V372" s="149"/>
      <c r="W372" s="149"/>
      <c r="X372" s="149"/>
      <c r="Y372" s="149"/>
      <c r="Z372" s="149"/>
    </row>
    <row r="373" customFormat="false" ht="15.75" hidden="false" customHeight="true" outlineLevel="0" collapsed="false">
      <c r="A373" s="156"/>
      <c r="B373" s="157" t="s">
        <v>624</v>
      </c>
      <c r="C373" s="158" t="s">
        <v>678</v>
      </c>
      <c r="D373" s="165" t="s">
        <v>838</v>
      </c>
      <c r="E373" s="158" t="n">
        <v>2722</v>
      </c>
      <c r="F373" s="165" t="s">
        <v>821</v>
      </c>
      <c r="G373" s="166"/>
      <c r="H373" s="167"/>
      <c r="I373" s="157" t="s">
        <v>569</v>
      </c>
      <c r="J373" s="149"/>
      <c r="K373" s="149"/>
      <c r="L373" s="149"/>
      <c r="M373" s="149"/>
      <c r="N373" s="149"/>
      <c r="O373" s="149"/>
      <c r="P373" s="149"/>
      <c r="Q373" s="149"/>
      <c r="R373" s="149"/>
      <c r="S373" s="149"/>
      <c r="T373" s="149"/>
      <c r="U373" s="149"/>
      <c r="V373" s="149"/>
      <c r="W373" s="149"/>
      <c r="X373" s="149"/>
      <c r="Y373" s="149"/>
      <c r="Z373" s="149"/>
    </row>
    <row r="374" customFormat="false" ht="15.75" hidden="false" customHeight="true" outlineLevel="0" collapsed="false">
      <c r="A374" s="156"/>
      <c r="B374" s="157" t="s">
        <v>628</v>
      </c>
      <c r="C374" s="158" t="s">
        <v>678</v>
      </c>
      <c r="D374" s="165" t="s">
        <v>839</v>
      </c>
      <c r="E374" s="158" t="n">
        <v>2722</v>
      </c>
      <c r="F374" s="165" t="s">
        <v>821</v>
      </c>
      <c r="G374" s="166"/>
      <c r="H374" s="167"/>
      <c r="I374" s="157" t="s">
        <v>569</v>
      </c>
      <c r="J374" s="149"/>
      <c r="K374" s="149"/>
      <c r="L374" s="149"/>
      <c r="M374" s="149"/>
      <c r="N374" s="149"/>
      <c r="O374" s="149"/>
      <c r="P374" s="149"/>
      <c r="Q374" s="149"/>
      <c r="R374" s="149"/>
      <c r="S374" s="149"/>
      <c r="T374" s="149"/>
      <c r="U374" s="149"/>
      <c r="V374" s="149"/>
      <c r="W374" s="149"/>
      <c r="X374" s="149"/>
      <c r="Y374" s="149"/>
      <c r="Z374" s="149"/>
    </row>
    <row r="375" customFormat="false" ht="15.75" hidden="false" customHeight="true" outlineLevel="0" collapsed="false">
      <c r="A375" s="156"/>
      <c r="B375" s="157" t="s">
        <v>630</v>
      </c>
      <c r="C375" s="158" t="s">
        <v>681</v>
      </c>
      <c r="D375" s="165" t="s">
        <v>840</v>
      </c>
      <c r="E375" s="158" t="n">
        <v>2722</v>
      </c>
      <c r="F375" s="165" t="s">
        <v>821</v>
      </c>
      <c r="G375" s="166"/>
      <c r="H375" s="167"/>
      <c r="I375" s="157" t="s">
        <v>569</v>
      </c>
      <c r="J375" s="149"/>
      <c r="K375" s="149"/>
      <c r="L375" s="149"/>
      <c r="M375" s="149"/>
      <c r="N375" s="149"/>
      <c r="O375" s="149"/>
      <c r="P375" s="149"/>
      <c r="Q375" s="149"/>
      <c r="R375" s="149"/>
      <c r="S375" s="149"/>
      <c r="T375" s="149"/>
      <c r="U375" s="149"/>
      <c r="V375" s="149"/>
      <c r="W375" s="149"/>
      <c r="X375" s="149"/>
      <c r="Y375" s="149"/>
      <c r="Z375" s="149"/>
    </row>
    <row r="376" customFormat="false" ht="15.75" hidden="false" customHeight="true" outlineLevel="0" collapsed="false">
      <c r="A376" s="156"/>
      <c r="B376" s="157" t="s">
        <v>633</v>
      </c>
      <c r="C376" s="158" t="s">
        <v>814</v>
      </c>
      <c r="D376" s="165" t="s">
        <v>841</v>
      </c>
      <c r="E376" s="158" t="n">
        <v>2722</v>
      </c>
      <c r="F376" s="165" t="s">
        <v>842</v>
      </c>
      <c r="G376" s="166"/>
      <c r="H376" s="167"/>
      <c r="I376" s="157" t="s">
        <v>569</v>
      </c>
      <c r="J376" s="149"/>
      <c r="K376" s="149"/>
      <c r="L376" s="149"/>
      <c r="M376" s="149"/>
      <c r="N376" s="149"/>
      <c r="O376" s="149"/>
      <c r="P376" s="149"/>
      <c r="Q376" s="149"/>
      <c r="R376" s="149"/>
      <c r="S376" s="149"/>
      <c r="T376" s="149"/>
      <c r="U376" s="149"/>
      <c r="V376" s="149"/>
      <c r="W376" s="149"/>
      <c r="X376" s="149"/>
      <c r="Y376" s="149"/>
      <c r="Z376" s="149"/>
    </row>
    <row r="377" customFormat="false" ht="15.75" hidden="false" customHeight="true" outlineLevel="0" collapsed="false">
      <c r="A377" s="156"/>
      <c r="B377" s="157" t="s">
        <v>636</v>
      </c>
      <c r="C377" s="158" t="s">
        <v>712</v>
      </c>
      <c r="D377" s="165" t="s">
        <v>843</v>
      </c>
      <c r="E377" s="158" t="n">
        <v>2722</v>
      </c>
      <c r="F377" s="165" t="s">
        <v>821</v>
      </c>
      <c r="G377" s="166"/>
      <c r="H377" s="167"/>
      <c r="I377" s="157" t="s">
        <v>569</v>
      </c>
      <c r="J377" s="149"/>
      <c r="K377" s="149"/>
      <c r="L377" s="149"/>
      <c r="M377" s="149"/>
      <c r="N377" s="149"/>
      <c r="O377" s="149"/>
      <c r="P377" s="149"/>
      <c r="Q377" s="149"/>
      <c r="R377" s="149"/>
      <c r="S377" s="149"/>
      <c r="T377" s="149"/>
      <c r="U377" s="149"/>
      <c r="V377" s="149"/>
      <c r="W377" s="149"/>
      <c r="X377" s="149"/>
      <c r="Y377" s="149"/>
      <c r="Z377" s="149"/>
    </row>
    <row r="378" customFormat="false" ht="15.75" hidden="false" customHeight="true" outlineLevel="0" collapsed="false">
      <c r="A378" s="156"/>
      <c r="B378" s="157" t="s">
        <v>639</v>
      </c>
      <c r="C378" s="158" t="s">
        <v>712</v>
      </c>
      <c r="D378" s="165" t="s">
        <v>844</v>
      </c>
      <c r="E378" s="158" t="n">
        <v>2722</v>
      </c>
      <c r="F378" s="165" t="s">
        <v>821</v>
      </c>
      <c r="G378" s="166"/>
      <c r="H378" s="167"/>
      <c r="I378" s="157" t="s">
        <v>569</v>
      </c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</row>
    <row r="379" customFormat="false" ht="15.75" hidden="false" customHeight="true" outlineLevel="0" collapsed="false">
      <c r="A379" s="156"/>
      <c r="B379" s="157" t="s">
        <v>641</v>
      </c>
      <c r="C379" s="158" t="s">
        <v>748</v>
      </c>
      <c r="D379" s="165" t="s">
        <v>845</v>
      </c>
      <c r="E379" s="158" t="n">
        <v>2722</v>
      </c>
      <c r="F379" s="165" t="s">
        <v>821</v>
      </c>
      <c r="G379" s="166"/>
      <c r="H379" s="167"/>
      <c r="I379" s="157" t="s">
        <v>569</v>
      </c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</row>
    <row r="380" customFormat="false" ht="15.75" hidden="false" customHeight="true" outlineLevel="0" collapsed="false">
      <c r="A380" s="156"/>
      <c r="B380" s="157" t="s">
        <v>644</v>
      </c>
      <c r="C380" s="158" t="s">
        <v>748</v>
      </c>
      <c r="D380" s="165" t="s">
        <v>846</v>
      </c>
      <c r="E380" s="158" t="n">
        <v>2722</v>
      </c>
      <c r="F380" s="165" t="s">
        <v>821</v>
      </c>
      <c r="G380" s="166"/>
      <c r="H380" s="167"/>
      <c r="I380" s="157" t="s">
        <v>569</v>
      </c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</row>
    <row r="381" customFormat="false" ht="15.75" hidden="true" customHeight="true" outlineLevel="0" collapsed="false">
      <c r="A381" s="156"/>
      <c r="B381" s="157"/>
      <c r="C381" s="157"/>
      <c r="D381" s="157"/>
      <c r="E381" s="157"/>
      <c r="F381" s="157"/>
      <c r="G381" s="157"/>
      <c r="H381" s="157"/>
      <c r="I381" s="157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</row>
    <row r="382" customFormat="false" ht="15.75" hidden="true" customHeight="true" outlineLevel="0" collapsed="false">
      <c r="A382" s="156"/>
      <c r="B382" s="157" t="s">
        <v>565</v>
      </c>
      <c r="C382" s="158" t="s">
        <v>566</v>
      </c>
      <c r="D382" s="190" t="s">
        <v>711</v>
      </c>
      <c r="E382" s="178" t="n">
        <v>2728</v>
      </c>
      <c r="F382" s="190" t="s">
        <v>847</v>
      </c>
      <c r="G382" s="190"/>
      <c r="H382" s="167"/>
      <c r="I382" s="157" t="s">
        <v>569</v>
      </c>
      <c r="J382" s="149"/>
      <c r="K382" s="149"/>
      <c r="L382" s="149"/>
      <c r="M382" s="149"/>
      <c r="N382" s="149"/>
      <c r="O382" s="149"/>
      <c r="P382" s="149"/>
      <c r="Q382" s="149"/>
      <c r="R382" s="149"/>
      <c r="S382" s="149"/>
      <c r="T382" s="149"/>
      <c r="U382" s="149"/>
      <c r="V382" s="149"/>
      <c r="W382" s="149"/>
      <c r="X382" s="149"/>
      <c r="Y382" s="149"/>
      <c r="Z382" s="149"/>
    </row>
    <row r="383" customFormat="false" ht="15.75" hidden="true" customHeight="true" outlineLevel="0" collapsed="false">
      <c r="A383" s="156"/>
      <c r="B383" s="157" t="s">
        <v>570</v>
      </c>
      <c r="C383" s="158" t="s">
        <v>571</v>
      </c>
      <c r="D383" s="190" t="s">
        <v>848</v>
      </c>
      <c r="E383" s="178" t="n">
        <v>2728</v>
      </c>
      <c r="F383" s="189" t="s">
        <v>849</v>
      </c>
      <c r="G383" s="175"/>
      <c r="H383" s="167"/>
      <c r="I383" s="157" t="s">
        <v>648</v>
      </c>
      <c r="J383" s="149"/>
      <c r="K383" s="149"/>
      <c r="L383" s="149"/>
      <c r="M383" s="149"/>
      <c r="N383" s="149"/>
      <c r="O383" s="149"/>
      <c r="P383" s="149"/>
      <c r="Q383" s="149"/>
      <c r="R383" s="149"/>
      <c r="S383" s="149"/>
      <c r="T383" s="149"/>
      <c r="U383" s="149"/>
      <c r="V383" s="149"/>
      <c r="W383" s="149"/>
      <c r="X383" s="149"/>
      <c r="Y383" s="149"/>
      <c r="Z383" s="149"/>
    </row>
    <row r="384" customFormat="false" ht="15.75" hidden="true" customHeight="true" outlineLevel="0" collapsed="false">
      <c r="A384" s="156"/>
      <c r="B384" s="157" t="s">
        <v>576</v>
      </c>
      <c r="C384" s="158" t="s">
        <v>571</v>
      </c>
      <c r="D384" s="190" t="s">
        <v>850</v>
      </c>
      <c r="E384" s="178" t="n">
        <v>2728</v>
      </c>
      <c r="F384" s="190" t="s">
        <v>851</v>
      </c>
      <c r="G384" s="190"/>
      <c r="H384" s="167"/>
      <c r="I384" s="157" t="s">
        <v>648</v>
      </c>
      <c r="J384" s="149"/>
      <c r="K384" s="149"/>
      <c r="L384" s="149"/>
      <c r="M384" s="149"/>
      <c r="N384" s="149"/>
      <c r="O384" s="149"/>
      <c r="P384" s="149"/>
      <c r="Q384" s="149"/>
      <c r="R384" s="149"/>
      <c r="S384" s="149"/>
      <c r="T384" s="149"/>
      <c r="U384" s="149"/>
      <c r="V384" s="149"/>
      <c r="W384" s="149"/>
      <c r="X384" s="149"/>
      <c r="Y384" s="149"/>
      <c r="Z384" s="149"/>
    </row>
    <row r="385" customFormat="false" ht="15.75" hidden="true" customHeight="true" outlineLevel="0" collapsed="false">
      <c r="A385" s="156"/>
      <c r="B385" s="157" t="s">
        <v>578</v>
      </c>
      <c r="C385" s="158" t="s">
        <v>797</v>
      </c>
      <c r="D385" s="190" t="s">
        <v>693</v>
      </c>
      <c r="E385" s="178" t="n">
        <v>2728</v>
      </c>
      <c r="F385" s="190" t="s">
        <v>852</v>
      </c>
      <c r="G385" s="190"/>
      <c r="H385" s="167"/>
      <c r="I385" s="193" t="s">
        <v>582</v>
      </c>
      <c r="J385" s="149"/>
      <c r="K385" s="149"/>
      <c r="L385" s="149"/>
      <c r="M385" s="149"/>
      <c r="N385" s="149"/>
      <c r="O385" s="149"/>
      <c r="P385" s="149"/>
      <c r="Q385" s="149"/>
      <c r="R385" s="149"/>
      <c r="S385" s="149"/>
      <c r="T385" s="149"/>
      <c r="U385" s="149"/>
      <c r="V385" s="149"/>
      <c r="W385" s="149"/>
      <c r="X385" s="149"/>
      <c r="Y385" s="149"/>
      <c r="Z385" s="149"/>
    </row>
    <row r="386" customFormat="false" ht="15.75" hidden="true" customHeight="true" outlineLevel="0" collapsed="false">
      <c r="A386" s="156"/>
      <c r="B386" s="157" t="s">
        <v>583</v>
      </c>
      <c r="C386" s="158" t="s">
        <v>584</v>
      </c>
      <c r="D386" s="190" t="s">
        <v>853</v>
      </c>
      <c r="E386" s="178" t="n">
        <v>2728</v>
      </c>
      <c r="F386" s="190" t="s">
        <v>854</v>
      </c>
      <c r="G386" s="190"/>
      <c r="H386" s="167"/>
      <c r="I386" s="193" t="s">
        <v>587</v>
      </c>
      <c r="J386" s="149"/>
      <c r="K386" s="149"/>
      <c r="L386" s="149"/>
      <c r="M386" s="149"/>
      <c r="N386" s="149"/>
      <c r="O386" s="149"/>
      <c r="P386" s="149"/>
      <c r="Q386" s="149"/>
      <c r="R386" s="149"/>
      <c r="S386" s="149"/>
      <c r="T386" s="149"/>
      <c r="U386" s="149"/>
      <c r="V386" s="149"/>
      <c r="W386" s="149"/>
      <c r="X386" s="149"/>
      <c r="Y386" s="149"/>
      <c r="Z386" s="149"/>
    </row>
    <row r="387" customFormat="false" ht="15.75" hidden="true" customHeight="true" outlineLevel="0" collapsed="false">
      <c r="A387" s="156"/>
      <c r="B387" s="157" t="s">
        <v>588</v>
      </c>
      <c r="C387" s="158" t="s">
        <v>855</v>
      </c>
      <c r="D387" s="190" t="s">
        <v>856</v>
      </c>
      <c r="E387" s="178" t="n">
        <v>2728</v>
      </c>
      <c r="F387" s="190" t="s">
        <v>857</v>
      </c>
      <c r="G387" s="190"/>
      <c r="H387" s="167"/>
      <c r="I387" s="193" t="s">
        <v>592</v>
      </c>
      <c r="J387" s="149"/>
      <c r="K387" s="149"/>
      <c r="L387" s="149"/>
      <c r="M387" s="149"/>
      <c r="N387" s="149"/>
      <c r="O387" s="149"/>
      <c r="P387" s="149"/>
      <c r="Q387" s="149"/>
      <c r="R387" s="149"/>
      <c r="S387" s="149"/>
      <c r="T387" s="149"/>
      <c r="U387" s="149"/>
      <c r="V387" s="149"/>
      <c r="W387" s="149"/>
      <c r="X387" s="149"/>
      <c r="Y387" s="149"/>
      <c r="Z387" s="149"/>
    </row>
    <row r="388" customFormat="false" ht="15.75" hidden="true" customHeight="true" outlineLevel="0" collapsed="false">
      <c r="A388" s="156"/>
      <c r="B388" s="157" t="s">
        <v>593</v>
      </c>
      <c r="C388" s="158" t="s">
        <v>594</v>
      </c>
      <c r="D388" s="190" t="s">
        <v>858</v>
      </c>
      <c r="E388" s="178" t="n">
        <v>2728</v>
      </c>
      <c r="F388" s="190" t="s">
        <v>859</v>
      </c>
      <c r="G388" s="190"/>
      <c r="H388" s="167"/>
      <c r="I388" s="193" t="s">
        <v>592</v>
      </c>
      <c r="J388" s="149"/>
      <c r="K388" s="149"/>
      <c r="L388" s="149"/>
      <c r="M388" s="149"/>
      <c r="N388" s="149"/>
      <c r="O388" s="149"/>
      <c r="P388" s="149"/>
      <c r="Q388" s="149"/>
      <c r="R388" s="149"/>
      <c r="S388" s="149"/>
      <c r="T388" s="149"/>
      <c r="U388" s="149"/>
      <c r="V388" s="149"/>
      <c r="W388" s="149"/>
      <c r="X388" s="149"/>
      <c r="Y388" s="149"/>
      <c r="Z388" s="149"/>
    </row>
    <row r="389" customFormat="false" ht="15.75" hidden="true" customHeight="true" outlineLevel="0" collapsed="false">
      <c r="A389" s="156"/>
      <c r="B389" s="157" t="s">
        <v>596</v>
      </c>
      <c r="C389" s="158" t="s">
        <v>597</v>
      </c>
      <c r="D389" s="190" t="s">
        <v>860</v>
      </c>
      <c r="E389" s="178" t="n">
        <v>2728</v>
      </c>
      <c r="F389" s="190" t="s">
        <v>859</v>
      </c>
      <c r="G389" s="190"/>
      <c r="H389" s="167"/>
      <c r="I389" s="157" t="s">
        <v>592</v>
      </c>
      <c r="J389" s="149"/>
      <c r="K389" s="149"/>
      <c r="L389" s="149"/>
      <c r="M389" s="149"/>
      <c r="N389" s="149"/>
      <c r="O389" s="149"/>
      <c r="P389" s="149"/>
      <c r="Q389" s="149"/>
      <c r="R389" s="149"/>
      <c r="S389" s="149"/>
      <c r="T389" s="149"/>
      <c r="U389" s="149"/>
      <c r="V389" s="149"/>
      <c r="W389" s="149"/>
      <c r="X389" s="149"/>
      <c r="Y389" s="149"/>
      <c r="Z389" s="149"/>
    </row>
    <row r="390" customFormat="false" ht="15.75" hidden="true" customHeight="true" outlineLevel="0" collapsed="false">
      <c r="A390" s="156"/>
      <c r="B390" s="157" t="s">
        <v>600</v>
      </c>
      <c r="C390" s="158" t="s">
        <v>601</v>
      </c>
      <c r="D390" s="190" t="s">
        <v>861</v>
      </c>
      <c r="E390" s="178" t="n">
        <v>2728</v>
      </c>
      <c r="F390" s="176" t="s">
        <v>862</v>
      </c>
      <c r="G390" s="176"/>
      <c r="H390" s="167"/>
      <c r="I390" s="157" t="s">
        <v>604</v>
      </c>
      <c r="J390" s="149"/>
      <c r="K390" s="149"/>
      <c r="L390" s="149"/>
      <c r="M390" s="149"/>
      <c r="N390" s="149"/>
      <c r="O390" s="149"/>
      <c r="P390" s="149"/>
      <c r="Q390" s="149"/>
      <c r="R390" s="149"/>
      <c r="S390" s="149"/>
      <c r="T390" s="149"/>
      <c r="U390" s="149"/>
      <c r="V390" s="149"/>
      <c r="W390" s="149"/>
      <c r="X390" s="149"/>
      <c r="Y390" s="149"/>
      <c r="Z390" s="149"/>
    </row>
    <row r="391" customFormat="false" ht="15.75" hidden="true" customHeight="true" outlineLevel="0" collapsed="false">
      <c r="A391" s="156"/>
      <c r="B391" s="157" t="s">
        <v>605</v>
      </c>
      <c r="C391" s="158" t="s">
        <v>606</v>
      </c>
      <c r="D391" s="190" t="s">
        <v>863</v>
      </c>
      <c r="E391" s="178" t="n">
        <v>2728</v>
      </c>
      <c r="F391" s="189" t="s">
        <v>864</v>
      </c>
      <c r="G391" s="176"/>
      <c r="H391" s="167"/>
      <c r="I391" s="157" t="s">
        <v>604</v>
      </c>
      <c r="J391" s="149"/>
      <c r="K391" s="149"/>
      <c r="L391" s="149"/>
      <c r="M391" s="149"/>
      <c r="N391" s="149"/>
      <c r="O391" s="149"/>
      <c r="P391" s="149"/>
      <c r="Q391" s="149"/>
      <c r="R391" s="149"/>
      <c r="S391" s="149"/>
      <c r="T391" s="149"/>
      <c r="U391" s="149"/>
      <c r="V391" s="149"/>
      <c r="W391" s="149"/>
      <c r="X391" s="149"/>
      <c r="Y391" s="149"/>
      <c r="Z391" s="149"/>
    </row>
    <row r="392" customFormat="false" ht="15.75" hidden="true" customHeight="true" outlineLevel="0" collapsed="false">
      <c r="A392" s="156"/>
      <c r="B392" s="157" t="s">
        <v>608</v>
      </c>
      <c r="C392" s="158" t="s">
        <v>601</v>
      </c>
      <c r="D392" s="190" t="s">
        <v>865</v>
      </c>
      <c r="E392" s="178" t="n">
        <v>2728</v>
      </c>
      <c r="F392" s="176" t="s">
        <v>866</v>
      </c>
      <c r="G392" s="176"/>
      <c r="H392" s="167"/>
      <c r="I392" s="157" t="s">
        <v>604</v>
      </c>
      <c r="J392" s="149"/>
      <c r="K392" s="149"/>
      <c r="L392" s="149"/>
      <c r="M392" s="149"/>
      <c r="N392" s="149"/>
      <c r="O392" s="149"/>
      <c r="P392" s="149"/>
      <c r="Q392" s="149"/>
      <c r="R392" s="149"/>
      <c r="S392" s="149"/>
      <c r="T392" s="149"/>
      <c r="U392" s="149"/>
      <c r="V392" s="149"/>
      <c r="W392" s="149"/>
      <c r="X392" s="149"/>
      <c r="Y392" s="149"/>
      <c r="Z392" s="149"/>
    </row>
    <row r="393" customFormat="false" ht="15.75" hidden="true" customHeight="true" outlineLevel="0" collapsed="false">
      <c r="A393" s="156"/>
      <c r="B393" s="157" t="s">
        <v>611</v>
      </c>
      <c r="C393" s="158" t="s">
        <v>606</v>
      </c>
      <c r="D393" s="190" t="s">
        <v>867</v>
      </c>
      <c r="E393" s="178" t="n">
        <v>2728</v>
      </c>
      <c r="F393" s="176" t="s">
        <v>866</v>
      </c>
      <c r="G393" s="176"/>
      <c r="H393" s="167"/>
      <c r="I393" s="157" t="s">
        <v>604</v>
      </c>
      <c r="J393" s="149"/>
      <c r="K393" s="149"/>
      <c r="L393" s="149"/>
      <c r="M393" s="149"/>
      <c r="N393" s="149"/>
      <c r="O393" s="149"/>
      <c r="P393" s="149"/>
      <c r="Q393" s="149"/>
      <c r="R393" s="149"/>
      <c r="S393" s="149"/>
      <c r="T393" s="149"/>
      <c r="U393" s="149"/>
      <c r="V393" s="149"/>
      <c r="W393" s="149"/>
      <c r="X393" s="149"/>
      <c r="Y393" s="149"/>
      <c r="Z393" s="149"/>
    </row>
    <row r="394" customFormat="false" ht="15.75" hidden="true" customHeight="true" outlineLevel="0" collapsed="false">
      <c r="A394" s="156"/>
      <c r="B394" s="157" t="s">
        <v>613</v>
      </c>
      <c r="C394" s="158" t="s">
        <v>614</v>
      </c>
      <c r="D394" s="190" t="s">
        <v>868</v>
      </c>
      <c r="E394" s="178" t="n">
        <v>2728</v>
      </c>
      <c r="F394" s="189" t="s">
        <v>869</v>
      </c>
      <c r="G394" s="160"/>
      <c r="H394" s="167"/>
      <c r="I394" s="157" t="s">
        <v>604</v>
      </c>
      <c r="J394" s="149"/>
      <c r="K394" s="149"/>
      <c r="L394" s="149"/>
      <c r="M394" s="149"/>
      <c r="N394" s="149"/>
      <c r="O394" s="149"/>
      <c r="P394" s="149"/>
      <c r="Q394" s="149"/>
      <c r="R394" s="149"/>
      <c r="S394" s="149"/>
      <c r="T394" s="149"/>
      <c r="U394" s="149"/>
      <c r="V394" s="149"/>
      <c r="W394" s="149"/>
      <c r="X394" s="149"/>
      <c r="Y394" s="149"/>
      <c r="Z394" s="149"/>
    </row>
    <row r="395" customFormat="false" ht="15.75" hidden="true" customHeight="true" outlineLevel="0" collapsed="false">
      <c r="A395" s="156"/>
      <c r="B395" s="157" t="s">
        <v>617</v>
      </c>
      <c r="C395" s="158" t="s">
        <v>618</v>
      </c>
      <c r="D395" s="190" t="s">
        <v>868</v>
      </c>
      <c r="E395" s="178" t="n">
        <v>2728</v>
      </c>
      <c r="F395" s="189" t="s">
        <v>869</v>
      </c>
      <c r="G395" s="160"/>
      <c r="H395" s="167"/>
      <c r="I395" s="157" t="s">
        <v>604</v>
      </c>
      <c r="J395" s="149"/>
      <c r="K395" s="149"/>
      <c r="L395" s="149"/>
      <c r="M395" s="149"/>
      <c r="N395" s="149"/>
      <c r="O395" s="149"/>
      <c r="P395" s="149"/>
      <c r="Q395" s="149"/>
      <c r="R395" s="149"/>
      <c r="S395" s="149"/>
      <c r="T395" s="149"/>
      <c r="U395" s="149"/>
      <c r="V395" s="149"/>
      <c r="W395" s="149"/>
      <c r="X395" s="149"/>
      <c r="Y395" s="149"/>
      <c r="Z395" s="149"/>
    </row>
    <row r="396" customFormat="false" ht="15.75" hidden="true" customHeight="true" outlineLevel="0" collapsed="false">
      <c r="A396" s="156"/>
      <c r="B396" s="157" t="s">
        <v>620</v>
      </c>
      <c r="C396" s="158" t="s">
        <v>870</v>
      </c>
      <c r="D396" s="190" t="s">
        <v>871</v>
      </c>
      <c r="E396" s="178" t="n">
        <v>2728</v>
      </c>
      <c r="F396" s="190" t="s">
        <v>872</v>
      </c>
      <c r="G396" s="176"/>
      <c r="H396" s="167"/>
      <c r="I396" s="157" t="s">
        <v>569</v>
      </c>
      <c r="J396" s="149"/>
      <c r="K396" s="149"/>
      <c r="L396" s="149"/>
      <c r="M396" s="149"/>
      <c r="N396" s="149"/>
      <c r="O396" s="149"/>
      <c r="P396" s="149"/>
      <c r="Q396" s="149"/>
      <c r="R396" s="149"/>
      <c r="S396" s="149"/>
      <c r="T396" s="149"/>
      <c r="U396" s="149"/>
      <c r="V396" s="149"/>
      <c r="W396" s="149"/>
      <c r="X396" s="149"/>
      <c r="Y396" s="149"/>
      <c r="Z396" s="149"/>
    </row>
    <row r="397" customFormat="false" ht="15.75" hidden="true" customHeight="true" outlineLevel="0" collapsed="false">
      <c r="A397" s="156"/>
      <c r="B397" s="157" t="s">
        <v>624</v>
      </c>
      <c r="C397" s="158" t="s">
        <v>625</v>
      </c>
      <c r="D397" s="190" t="s">
        <v>873</v>
      </c>
      <c r="E397" s="178" t="n">
        <v>2728</v>
      </c>
      <c r="F397" s="190" t="s">
        <v>874</v>
      </c>
      <c r="G397" s="190"/>
      <c r="H397" s="167"/>
      <c r="I397" s="157" t="s">
        <v>569</v>
      </c>
      <c r="J397" s="149"/>
      <c r="K397" s="149"/>
      <c r="L397" s="149"/>
      <c r="M397" s="149"/>
      <c r="N397" s="149"/>
      <c r="O397" s="149"/>
      <c r="P397" s="149"/>
      <c r="Q397" s="149"/>
      <c r="R397" s="149"/>
      <c r="S397" s="149"/>
      <c r="T397" s="149"/>
      <c r="U397" s="149"/>
      <c r="V397" s="149"/>
      <c r="W397" s="149"/>
      <c r="X397" s="149"/>
      <c r="Y397" s="149"/>
      <c r="Z397" s="149"/>
    </row>
    <row r="398" customFormat="false" ht="15.75" hidden="true" customHeight="true" outlineLevel="0" collapsed="false">
      <c r="A398" s="156"/>
      <c r="B398" s="157" t="s">
        <v>628</v>
      </c>
      <c r="C398" s="158" t="s">
        <v>875</v>
      </c>
      <c r="D398" s="190" t="s">
        <v>876</v>
      </c>
      <c r="E398" s="178" t="n">
        <v>2728</v>
      </c>
      <c r="F398" s="190" t="s">
        <v>877</v>
      </c>
      <c r="G398" s="190"/>
      <c r="H398" s="167"/>
      <c r="I398" s="157" t="s">
        <v>569</v>
      </c>
      <c r="J398" s="149"/>
      <c r="K398" s="149"/>
      <c r="L398" s="149"/>
      <c r="M398" s="149"/>
      <c r="N398" s="149"/>
      <c r="O398" s="149"/>
      <c r="P398" s="149"/>
      <c r="Q398" s="149"/>
      <c r="R398" s="149"/>
      <c r="S398" s="149"/>
      <c r="T398" s="149"/>
      <c r="U398" s="149"/>
      <c r="V398" s="149"/>
      <c r="W398" s="149"/>
      <c r="X398" s="149"/>
      <c r="Y398" s="149"/>
      <c r="Z398" s="149"/>
    </row>
    <row r="399" customFormat="false" ht="15.75" hidden="true" customHeight="true" outlineLevel="0" collapsed="false">
      <c r="A399" s="156"/>
      <c r="B399" s="157" t="s">
        <v>630</v>
      </c>
      <c r="C399" s="158" t="s">
        <v>681</v>
      </c>
      <c r="D399" s="190" t="s">
        <v>878</v>
      </c>
      <c r="E399" s="178" t="n">
        <v>2728</v>
      </c>
      <c r="F399" s="190" t="s">
        <v>879</v>
      </c>
      <c r="G399" s="190"/>
      <c r="H399" s="167"/>
      <c r="I399" s="157" t="s">
        <v>569</v>
      </c>
      <c r="J399" s="149"/>
      <c r="K399" s="149"/>
      <c r="L399" s="149"/>
      <c r="M399" s="149"/>
      <c r="N399" s="149"/>
      <c r="O399" s="149"/>
      <c r="P399" s="149"/>
      <c r="Q399" s="149"/>
      <c r="R399" s="149"/>
      <c r="S399" s="149"/>
      <c r="T399" s="149"/>
      <c r="U399" s="149"/>
      <c r="V399" s="149"/>
      <c r="W399" s="149"/>
      <c r="X399" s="149"/>
      <c r="Y399" s="149"/>
      <c r="Z399" s="149"/>
    </row>
    <row r="400" customFormat="false" ht="15.75" hidden="true" customHeight="true" outlineLevel="0" collapsed="false">
      <c r="A400" s="156"/>
      <c r="B400" s="157" t="s">
        <v>633</v>
      </c>
      <c r="C400" s="158" t="s">
        <v>814</v>
      </c>
      <c r="D400" s="190" t="s">
        <v>880</v>
      </c>
      <c r="E400" s="178" t="n">
        <v>2728</v>
      </c>
      <c r="F400" s="190" t="s">
        <v>881</v>
      </c>
      <c r="G400" s="190"/>
      <c r="H400" s="167"/>
      <c r="I400" s="157" t="s">
        <v>569</v>
      </c>
      <c r="J400" s="149"/>
      <c r="K400" s="149"/>
      <c r="L400" s="149"/>
      <c r="M400" s="149"/>
      <c r="N400" s="149"/>
      <c r="O400" s="149"/>
      <c r="P400" s="149"/>
      <c r="Q400" s="149"/>
      <c r="R400" s="149"/>
      <c r="S400" s="149"/>
      <c r="T400" s="149"/>
      <c r="U400" s="149"/>
      <c r="V400" s="149"/>
      <c r="W400" s="149"/>
      <c r="X400" s="149"/>
      <c r="Y400" s="149"/>
      <c r="Z400" s="149"/>
    </row>
    <row r="401" customFormat="false" ht="15.75" hidden="true" customHeight="true" outlineLevel="0" collapsed="false">
      <c r="A401" s="156"/>
      <c r="B401" s="157" t="s">
        <v>636</v>
      </c>
      <c r="C401" s="158" t="s">
        <v>686</v>
      </c>
      <c r="D401" s="190" t="s">
        <v>882</v>
      </c>
      <c r="E401" s="178" t="n">
        <v>2728</v>
      </c>
      <c r="F401" s="190" t="s">
        <v>879</v>
      </c>
      <c r="G401" s="190"/>
      <c r="H401" s="167"/>
      <c r="I401" s="157" t="s">
        <v>569</v>
      </c>
      <c r="J401" s="149"/>
      <c r="K401" s="149"/>
      <c r="L401" s="149"/>
      <c r="M401" s="149"/>
      <c r="N401" s="149"/>
      <c r="O401" s="149"/>
      <c r="P401" s="149"/>
      <c r="Q401" s="149"/>
      <c r="R401" s="149"/>
      <c r="S401" s="149"/>
      <c r="T401" s="149"/>
      <c r="U401" s="149"/>
      <c r="V401" s="149"/>
      <c r="W401" s="149"/>
      <c r="X401" s="149"/>
      <c r="Y401" s="149"/>
      <c r="Z401" s="149"/>
    </row>
    <row r="402" customFormat="false" ht="15.75" hidden="true" customHeight="true" outlineLevel="0" collapsed="false">
      <c r="A402" s="156"/>
      <c r="B402" s="157" t="s">
        <v>639</v>
      </c>
      <c r="C402" s="158" t="s">
        <v>686</v>
      </c>
      <c r="D402" s="190" t="s">
        <v>883</v>
      </c>
      <c r="E402" s="178" t="n">
        <v>2728</v>
      </c>
      <c r="F402" s="190" t="s">
        <v>879</v>
      </c>
      <c r="G402" s="190"/>
      <c r="H402" s="167"/>
      <c r="I402" s="157" t="s">
        <v>569</v>
      </c>
      <c r="J402" s="149"/>
      <c r="K402" s="149"/>
      <c r="L402" s="149"/>
      <c r="M402" s="149"/>
      <c r="N402" s="149"/>
      <c r="O402" s="149"/>
      <c r="P402" s="149"/>
      <c r="Q402" s="149"/>
      <c r="R402" s="149"/>
      <c r="S402" s="149"/>
      <c r="T402" s="149"/>
      <c r="U402" s="149"/>
      <c r="V402" s="149"/>
      <c r="W402" s="149"/>
      <c r="X402" s="149"/>
      <c r="Y402" s="149"/>
      <c r="Z402" s="149"/>
    </row>
    <row r="403" customFormat="false" ht="15.75" hidden="true" customHeight="true" outlineLevel="0" collapsed="false">
      <c r="A403" s="156"/>
      <c r="B403" s="157" t="s">
        <v>641</v>
      </c>
      <c r="C403" s="158" t="s">
        <v>748</v>
      </c>
      <c r="D403" s="190" t="s">
        <v>884</v>
      </c>
      <c r="E403" s="198" t="n">
        <v>2728</v>
      </c>
      <c r="F403" s="190" t="s">
        <v>885</v>
      </c>
      <c r="G403" s="190"/>
      <c r="H403" s="167"/>
      <c r="I403" s="157" t="s">
        <v>569</v>
      </c>
      <c r="J403" s="149"/>
      <c r="K403" s="149"/>
      <c r="L403" s="149"/>
      <c r="M403" s="149"/>
      <c r="N403" s="149"/>
      <c r="O403" s="149"/>
      <c r="P403" s="149"/>
      <c r="Q403" s="149"/>
      <c r="R403" s="149"/>
      <c r="S403" s="149"/>
      <c r="T403" s="149"/>
      <c r="U403" s="149"/>
      <c r="V403" s="149"/>
      <c r="W403" s="149"/>
      <c r="X403" s="149"/>
      <c r="Y403" s="149"/>
      <c r="Z403" s="149"/>
    </row>
    <row r="404" customFormat="false" ht="15.75" hidden="true" customHeight="true" outlineLevel="0" collapsed="false">
      <c r="A404" s="156"/>
      <c r="B404" s="157" t="s">
        <v>644</v>
      </c>
      <c r="C404" s="158" t="s">
        <v>748</v>
      </c>
      <c r="D404" s="190" t="s">
        <v>886</v>
      </c>
      <c r="E404" s="198" t="n">
        <v>2728</v>
      </c>
      <c r="F404" s="190" t="s">
        <v>885</v>
      </c>
      <c r="G404" s="190"/>
      <c r="H404" s="167"/>
      <c r="I404" s="157" t="s">
        <v>569</v>
      </c>
      <c r="J404" s="149"/>
      <c r="K404" s="149"/>
      <c r="L404" s="149"/>
      <c r="M404" s="149"/>
      <c r="N404" s="149"/>
      <c r="O404" s="149"/>
      <c r="P404" s="149"/>
      <c r="Q404" s="149"/>
      <c r="R404" s="149"/>
      <c r="S404" s="149"/>
      <c r="T404" s="149"/>
      <c r="U404" s="149"/>
      <c r="V404" s="149"/>
      <c r="W404" s="149"/>
      <c r="X404" s="149"/>
      <c r="Y404" s="149"/>
      <c r="Z404" s="149"/>
    </row>
    <row r="405" customFormat="false" ht="15.75" hidden="false" customHeight="true" outlineLevel="0" collapsed="false">
      <c r="A405" s="156"/>
      <c r="B405" s="185"/>
      <c r="C405" s="185"/>
      <c r="D405" s="185"/>
      <c r="E405" s="185"/>
      <c r="F405" s="185"/>
      <c r="G405" s="185"/>
      <c r="H405" s="185"/>
      <c r="I405" s="185"/>
      <c r="J405" s="149"/>
      <c r="K405" s="149"/>
      <c r="L405" s="149"/>
      <c r="M405" s="149"/>
      <c r="N405" s="149"/>
      <c r="O405" s="149"/>
      <c r="P405" s="149"/>
      <c r="Q405" s="149"/>
      <c r="R405" s="149"/>
      <c r="S405" s="149"/>
      <c r="T405" s="149"/>
      <c r="U405" s="149"/>
      <c r="V405" s="149"/>
      <c r="W405" s="149"/>
      <c r="X405" s="149"/>
      <c r="Y405" s="149"/>
      <c r="Z405" s="149"/>
    </row>
    <row r="406" customFormat="false" ht="15.75" hidden="false" customHeight="true" outlineLevel="0" collapsed="false">
      <c r="A406" s="156"/>
      <c r="B406" s="186" t="s">
        <v>565</v>
      </c>
      <c r="C406" s="198"/>
      <c r="D406" s="190"/>
      <c r="E406" s="198"/>
      <c r="F406" s="190"/>
      <c r="G406" s="190"/>
      <c r="H406" s="167"/>
      <c r="I406" s="157" t="s">
        <v>569</v>
      </c>
      <c r="J406" s="149"/>
      <c r="K406" s="149"/>
      <c r="L406" s="149"/>
      <c r="M406" s="149"/>
      <c r="N406" s="149"/>
      <c r="O406" s="149"/>
      <c r="P406" s="149"/>
      <c r="Q406" s="149"/>
      <c r="R406" s="149"/>
      <c r="S406" s="149"/>
      <c r="T406" s="149"/>
      <c r="U406" s="149"/>
      <c r="V406" s="149"/>
      <c r="W406" s="149"/>
      <c r="X406" s="149"/>
      <c r="Y406" s="149"/>
      <c r="Z406" s="149"/>
    </row>
    <row r="407" customFormat="false" ht="15.75" hidden="false" customHeight="true" outlineLevel="0" collapsed="false">
      <c r="A407" s="156"/>
      <c r="B407" s="186" t="s">
        <v>570</v>
      </c>
      <c r="C407" s="178" t="s">
        <v>571</v>
      </c>
      <c r="D407" s="187" t="s">
        <v>887</v>
      </c>
      <c r="E407" s="178" t="n">
        <v>2729</v>
      </c>
      <c r="F407" s="188" t="s">
        <v>888</v>
      </c>
      <c r="G407" s="189" t="s">
        <v>889</v>
      </c>
      <c r="H407" s="199"/>
      <c r="I407" s="157" t="s">
        <v>575</v>
      </c>
      <c r="J407" s="149"/>
      <c r="K407" s="149"/>
      <c r="L407" s="149"/>
      <c r="M407" s="149"/>
      <c r="N407" s="149"/>
      <c r="O407" s="149"/>
      <c r="P407" s="149"/>
      <c r="Q407" s="149"/>
      <c r="R407" s="149"/>
      <c r="S407" s="149"/>
      <c r="T407" s="149"/>
      <c r="U407" s="149"/>
      <c r="V407" s="149"/>
      <c r="W407" s="149"/>
      <c r="X407" s="149"/>
      <c r="Y407" s="149"/>
      <c r="Z407" s="149"/>
    </row>
    <row r="408" customFormat="false" ht="15.75" hidden="false" customHeight="true" outlineLevel="0" collapsed="false">
      <c r="A408" s="156"/>
      <c r="B408" s="186" t="s">
        <v>576</v>
      </c>
      <c r="C408" s="178" t="s">
        <v>571</v>
      </c>
      <c r="D408" s="187" t="s">
        <v>890</v>
      </c>
      <c r="E408" s="178" t="n">
        <v>2729</v>
      </c>
      <c r="F408" s="187" t="s">
        <v>891</v>
      </c>
      <c r="G408" s="190"/>
      <c r="H408" s="167"/>
      <c r="I408" s="157" t="s">
        <v>648</v>
      </c>
      <c r="J408" s="149"/>
      <c r="K408" s="149"/>
      <c r="L408" s="149"/>
      <c r="M408" s="149"/>
      <c r="N408" s="149"/>
      <c r="O408" s="149"/>
      <c r="P408" s="149"/>
      <c r="Q408" s="149"/>
      <c r="R408" s="149"/>
      <c r="S408" s="149"/>
      <c r="T408" s="149"/>
      <c r="U408" s="149"/>
      <c r="V408" s="149"/>
      <c r="W408" s="149"/>
      <c r="X408" s="149"/>
      <c r="Y408" s="149"/>
      <c r="Z408" s="149"/>
    </row>
    <row r="409" customFormat="false" ht="15.75" hidden="false" customHeight="true" outlineLevel="0" collapsed="false">
      <c r="A409" s="156"/>
      <c r="B409" s="186" t="s">
        <v>578</v>
      </c>
      <c r="C409" s="178" t="s">
        <v>579</v>
      </c>
      <c r="D409" s="187" t="s">
        <v>723</v>
      </c>
      <c r="E409" s="178" t="n">
        <v>2729</v>
      </c>
      <c r="F409" s="187" t="s">
        <v>892</v>
      </c>
      <c r="G409" s="190"/>
      <c r="H409" s="167"/>
      <c r="I409" s="193" t="s">
        <v>582</v>
      </c>
      <c r="J409" s="149"/>
      <c r="K409" s="149"/>
      <c r="L409" s="149"/>
      <c r="M409" s="149"/>
      <c r="N409" s="149"/>
      <c r="O409" s="149"/>
      <c r="P409" s="149"/>
      <c r="Q409" s="149"/>
      <c r="R409" s="149"/>
      <c r="S409" s="149"/>
      <c r="T409" s="149"/>
      <c r="U409" s="149"/>
      <c r="V409" s="149"/>
      <c r="W409" s="149"/>
      <c r="X409" s="149"/>
      <c r="Y409" s="149"/>
      <c r="Z409" s="149"/>
    </row>
    <row r="410" customFormat="false" ht="15.75" hidden="false" customHeight="true" outlineLevel="0" collapsed="false">
      <c r="A410" s="156"/>
      <c r="B410" s="186" t="s">
        <v>583</v>
      </c>
      <c r="C410" s="178" t="s">
        <v>759</v>
      </c>
      <c r="D410" s="187" t="s">
        <v>893</v>
      </c>
      <c r="E410" s="178" t="n">
        <v>2729</v>
      </c>
      <c r="F410" s="187" t="s">
        <v>894</v>
      </c>
      <c r="G410" s="190"/>
      <c r="H410" s="167"/>
      <c r="I410" s="193" t="s">
        <v>587</v>
      </c>
      <c r="J410" s="149"/>
      <c r="K410" s="149"/>
      <c r="L410" s="149"/>
      <c r="M410" s="149"/>
      <c r="N410" s="149"/>
      <c r="O410" s="149"/>
      <c r="P410" s="149"/>
      <c r="Q410" s="149"/>
      <c r="R410" s="149"/>
      <c r="S410" s="149"/>
      <c r="T410" s="149"/>
      <c r="U410" s="149"/>
      <c r="V410" s="149"/>
      <c r="W410" s="149"/>
      <c r="X410" s="149"/>
      <c r="Y410" s="149"/>
      <c r="Z410" s="149"/>
    </row>
    <row r="411" customFormat="false" ht="15.75" hidden="false" customHeight="true" outlineLevel="0" collapsed="false">
      <c r="A411" s="156"/>
      <c r="B411" s="186" t="s">
        <v>588</v>
      </c>
      <c r="C411" s="178" t="s">
        <v>855</v>
      </c>
      <c r="D411" s="187" t="s">
        <v>895</v>
      </c>
      <c r="E411" s="178" t="n">
        <v>2729</v>
      </c>
      <c r="F411" s="187" t="s">
        <v>896</v>
      </c>
      <c r="G411" s="190"/>
      <c r="H411" s="167"/>
      <c r="I411" s="193" t="s">
        <v>592</v>
      </c>
      <c r="J411" s="149"/>
      <c r="K411" s="149"/>
      <c r="L411" s="149"/>
      <c r="M411" s="149"/>
      <c r="N411" s="149"/>
      <c r="O411" s="149"/>
      <c r="P411" s="149"/>
      <c r="Q411" s="149"/>
      <c r="R411" s="149"/>
      <c r="S411" s="149"/>
      <c r="T411" s="149"/>
      <c r="U411" s="149"/>
      <c r="V411" s="149"/>
      <c r="W411" s="149"/>
      <c r="X411" s="149"/>
      <c r="Y411" s="149"/>
      <c r="Z411" s="149"/>
    </row>
    <row r="412" customFormat="false" ht="15.75" hidden="false" customHeight="true" outlineLevel="0" collapsed="false">
      <c r="A412" s="156"/>
      <c r="B412" s="186" t="s">
        <v>593</v>
      </c>
      <c r="C412" s="178" t="s">
        <v>697</v>
      </c>
      <c r="D412" s="187" t="s">
        <v>897</v>
      </c>
      <c r="E412" s="178" t="n">
        <v>2729</v>
      </c>
      <c r="F412" s="187" t="s">
        <v>898</v>
      </c>
      <c r="G412" s="190"/>
      <c r="H412" s="167"/>
      <c r="I412" s="193" t="s">
        <v>592</v>
      </c>
      <c r="J412" s="149"/>
      <c r="K412" s="149"/>
      <c r="L412" s="149"/>
      <c r="M412" s="149"/>
      <c r="N412" s="149"/>
      <c r="O412" s="149"/>
      <c r="P412" s="149"/>
      <c r="Q412" s="149"/>
      <c r="R412" s="149"/>
      <c r="S412" s="149"/>
      <c r="T412" s="149"/>
      <c r="U412" s="149"/>
      <c r="V412" s="149"/>
      <c r="W412" s="149"/>
      <c r="X412" s="149"/>
      <c r="Y412" s="149"/>
      <c r="Z412" s="149"/>
    </row>
    <row r="413" customFormat="false" ht="15.75" hidden="false" customHeight="true" outlineLevel="0" collapsed="false">
      <c r="A413" s="156"/>
      <c r="B413" s="186" t="s">
        <v>596</v>
      </c>
      <c r="C413" s="178" t="s">
        <v>597</v>
      </c>
      <c r="D413" s="187" t="s">
        <v>899</v>
      </c>
      <c r="E413" s="178" t="n">
        <v>2729</v>
      </c>
      <c r="F413" s="187" t="s">
        <v>900</v>
      </c>
      <c r="G413" s="190"/>
      <c r="H413" s="167"/>
      <c r="I413" s="157" t="s">
        <v>592</v>
      </c>
      <c r="J413" s="149"/>
      <c r="K413" s="149"/>
      <c r="L413" s="149"/>
      <c r="M413" s="149"/>
      <c r="N413" s="149"/>
      <c r="O413" s="149"/>
      <c r="P413" s="149"/>
      <c r="Q413" s="149"/>
      <c r="R413" s="149"/>
      <c r="S413" s="149"/>
      <c r="T413" s="149"/>
      <c r="U413" s="149"/>
      <c r="V413" s="149"/>
      <c r="W413" s="149"/>
      <c r="X413" s="149"/>
      <c r="Y413" s="149"/>
      <c r="Z413" s="149"/>
    </row>
    <row r="414" customFormat="false" ht="15.75" hidden="false" customHeight="true" outlineLevel="0" collapsed="false">
      <c r="A414" s="156"/>
      <c r="B414" s="186" t="s">
        <v>600</v>
      </c>
      <c r="C414" s="178" t="s">
        <v>601</v>
      </c>
      <c r="D414" s="187" t="s">
        <v>692</v>
      </c>
      <c r="E414" s="178" t="n">
        <v>2729</v>
      </c>
      <c r="F414" s="54" t="s">
        <v>901</v>
      </c>
      <c r="G414" s="54"/>
      <c r="H414" s="159"/>
      <c r="I414" s="157" t="s">
        <v>604</v>
      </c>
      <c r="J414" s="149"/>
      <c r="K414" s="149"/>
      <c r="L414" s="149"/>
      <c r="M414" s="149"/>
      <c r="N414" s="149"/>
      <c r="O414" s="149"/>
      <c r="P414" s="149"/>
      <c r="Q414" s="149"/>
      <c r="R414" s="149"/>
      <c r="S414" s="149"/>
      <c r="T414" s="149"/>
      <c r="U414" s="149"/>
      <c r="V414" s="149"/>
      <c r="W414" s="149"/>
      <c r="X414" s="149"/>
      <c r="Y414" s="149"/>
      <c r="Z414" s="149"/>
    </row>
    <row r="415" customFormat="false" ht="15.75" hidden="false" customHeight="true" outlineLevel="0" collapsed="false">
      <c r="A415" s="156"/>
      <c r="B415" s="186" t="s">
        <v>605</v>
      </c>
      <c r="C415" s="178" t="s">
        <v>606</v>
      </c>
      <c r="D415" s="190" t="s">
        <v>711</v>
      </c>
      <c r="E415" s="178" t="n">
        <v>2729</v>
      </c>
      <c r="F415" s="54" t="s">
        <v>901</v>
      </c>
      <c r="G415" s="54"/>
      <c r="H415" s="159"/>
      <c r="I415" s="157" t="s">
        <v>604</v>
      </c>
      <c r="J415" s="149"/>
      <c r="K415" s="149"/>
      <c r="L415" s="149"/>
      <c r="M415" s="149"/>
      <c r="N415" s="149"/>
      <c r="O415" s="149"/>
      <c r="P415" s="149"/>
      <c r="Q415" s="149"/>
      <c r="R415" s="149"/>
      <c r="S415" s="149"/>
      <c r="T415" s="149"/>
      <c r="U415" s="149"/>
      <c r="V415" s="149"/>
      <c r="W415" s="149"/>
      <c r="X415" s="149"/>
      <c r="Y415" s="149"/>
      <c r="Z415" s="149"/>
    </row>
    <row r="416" customFormat="false" ht="15.75" hidden="false" customHeight="true" outlineLevel="0" collapsed="false">
      <c r="A416" s="156"/>
      <c r="B416" s="186" t="s">
        <v>608</v>
      </c>
      <c r="C416" s="178" t="s">
        <v>601</v>
      </c>
      <c r="D416" s="190" t="s">
        <v>729</v>
      </c>
      <c r="E416" s="178" t="n">
        <v>2729</v>
      </c>
      <c r="F416" s="54" t="s">
        <v>902</v>
      </c>
      <c r="G416" s="176"/>
      <c r="H416" s="159"/>
      <c r="I416" s="157" t="s">
        <v>604</v>
      </c>
      <c r="J416" s="149"/>
      <c r="K416" s="149"/>
      <c r="L416" s="149"/>
      <c r="M416" s="149"/>
      <c r="N416" s="149"/>
      <c r="O416" s="149"/>
      <c r="P416" s="149"/>
      <c r="Q416" s="149"/>
      <c r="R416" s="149"/>
      <c r="S416" s="149"/>
      <c r="T416" s="149"/>
      <c r="U416" s="149"/>
      <c r="V416" s="149"/>
      <c r="W416" s="149"/>
      <c r="X416" s="149"/>
      <c r="Y416" s="149"/>
      <c r="Z416" s="149"/>
    </row>
    <row r="417" customFormat="false" ht="15.75" hidden="false" customHeight="true" outlineLevel="0" collapsed="false">
      <c r="A417" s="156"/>
      <c r="B417" s="186" t="s">
        <v>611</v>
      </c>
      <c r="C417" s="178" t="s">
        <v>606</v>
      </c>
      <c r="D417" s="187" t="s">
        <v>731</v>
      </c>
      <c r="E417" s="178" t="n">
        <v>2729</v>
      </c>
      <c r="F417" s="54" t="s">
        <v>902</v>
      </c>
      <c r="G417" s="176"/>
      <c r="H417" s="159"/>
      <c r="I417" s="157" t="s">
        <v>604</v>
      </c>
      <c r="J417" s="149"/>
      <c r="K417" s="149"/>
      <c r="L417" s="149"/>
      <c r="M417" s="149"/>
      <c r="N417" s="149"/>
      <c r="O417" s="149"/>
      <c r="P417" s="149"/>
      <c r="Q417" s="149"/>
      <c r="R417" s="149"/>
      <c r="S417" s="149"/>
      <c r="T417" s="149"/>
      <c r="U417" s="149"/>
      <c r="V417" s="149"/>
      <c r="W417" s="149"/>
      <c r="X417" s="149"/>
      <c r="Y417" s="149"/>
      <c r="Z417" s="149"/>
    </row>
    <row r="418" customFormat="false" ht="15.75" hidden="false" customHeight="true" outlineLevel="0" collapsed="false">
      <c r="A418" s="156"/>
      <c r="B418" s="186" t="s">
        <v>613</v>
      </c>
      <c r="C418" s="178" t="s">
        <v>614</v>
      </c>
      <c r="D418" s="187" t="s">
        <v>903</v>
      </c>
      <c r="E418" s="178" t="n">
        <v>2729</v>
      </c>
      <c r="F418" s="159" t="s">
        <v>904</v>
      </c>
      <c r="G418" s="176"/>
      <c r="H418" s="159"/>
      <c r="I418" s="157" t="s">
        <v>604</v>
      </c>
      <c r="J418" s="149"/>
      <c r="K418" s="149"/>
      <c r="L418" s="149"/>
      <c r="M418" s="149"/>
      <c r="N418" s="149"/>
      <c r="O418" s="149"/>
      <c r="P418" s="149"/>
      <c r="Q418" s="149"/>
      <c r="R418" s="149"/>
      <c r="S418" s="149"/>
      <c r="T418" s="149"/>
      <c r="U418" s="149"/>
      <c r="V418" s="149"/>
      <c r="W418" s="149"/>
      <c r="X418" s="149"/>
      <c r="Y418" s="149"/>
      <c r="Z418" s="149"/>
    </row>
    <row r="419" customFormat="false" ht="15.75" hidden="false" customHeight="true" outlineLevel="0" collapsed="false">
      <c r="A419" s="156"/>
      <c r="B419" s="186" t="s">
        <v>617</v>
      </c>
      <c r="C419" s="178" t="s">
        <v>618</v>
      </c>
      <c r="D419" s="187" t="s">
        <v>666</v>
      </c>
      <c r="E419" s="178" t="n">
        <v>2729</v>
      </c>
      <c r="F419" s="159" t="s">
        <v>904</v>
      </c>
      <c r="G419" s="176"/>
      <c r="H419" s="159"/>
      <c r="I419" s="157" t="s">
        <v>604</v>
      </c>
      <c r="J419" s="149"/>
      <c r="K419" s="149"/>
      <c r="L419" s="149"/>
      <c r="M419" s="149"/>
      <c r="N419" s="149"/>
      <c r="O419" s="149"/>
      <c r="P419" s="149"/>
      <c r="Q419" s="149"/>
      <c r="R419" s="149"/>
      <c r="S419" s="149"/>
      <c r="T419" s="149"/>
      <c r="U419" s="149"/>
      <c r="V419" s="149"/>
      <c r="W419" s="149"/>
      <c r="X419" s="149"/>
      <c r="Y419" s="149"/>
      <c r="Z419" s="149"/>
    </row>
    <row r="420" customFormat="false" ht="15.75" hidden="false" customHeight="true" outlineLevel="0" collapsed="false">
      <c r="A420" s="156"/>
      <c r="B420" s="186" t="s">
        <v>620</v>
      </c>
      <c r="C420" s="178" t="s">
        <v>675</v>
      </c>
      <c r="D420" s="187" t="s">
        <v>905</v>
      </c>
      <c r="E420" s="178" t="n">
        <v>2729</v>
      </c>
      <c r="F420" s="187" t="s">
        <v>906</v>
      </c>
      <c r="G420" s="190"/>
      <c r="H420" s="167"/>
      <c r="I420" s="157" t="s">
        <v>569</v>
      </c>
      <c r="J420" s="149"/>
      <c r="K420" s="149"/>
      <c r="L420" s="149"/>
      <c r="M420" s="149"/>
      <c r="N420" s="149"/>
      <c r="O420" s="149"/>
      <c r="P420" s="149"/>
      <c r="Q420" s="149"/>
      <c r="R420" s="149"/>
      <c r="S420" s="149"/>
      <c r="T420" s="149"/>
      <c r="U420" s="149"/>
      <c r="V420" s="149"/>
      <c r="W420" s="149"/>
      <c r="X420" s="149"/>
      <c r="Y420" s="149"/>
      <c r="Z420" s="149"/>
    </row>
    <row r="421" customFormat="false" ht="15.75" hidden="false" customHeight="true" outlineLevel="0" collapsed="false">
      <c r="A421" s="156"/>
      <c r="B421" s="186" t="s">
        <v>624</v>
      </c>
      <c r="C421" s="178" t="s">
        <v>678</v>
      </c>
      <c r="D421" s="187" t="s">
        <v>907</v>
      </c>
      <c r="E421" s="178" t="n">
        <v>2729</v>
      </c>
      <c r="F421" s="187" t="s">
        <v>906</v>
      </c>
      <c r="G421" s="190"/>
      <c r="H421" s="167"/>
      <c r="I421" s="157" t="s">
        <v>569</v>
      </c>
      <c r="J421" s="149"/>
      <c r="K421" s="149"/>
      <c r="L421" s="149"/>
      <c r="M421" s="149"/>
      <c r="N421" s="149"/>
      <c r="O421" s="149"/>
      <c r="P421" s="149"/>
      <c r="Q421" s="149"/>
      <c r="R421" s="149"/>
      <c r="S421" s="149"/>
      <c r="T421" s="149"/>
      <c r="U421" s="149"/>
      <c r="V421" s="149"/>
      <c r="W421" s="149"/>
      <c r="X421" s="149"/>
      <c r="Y421" s="149"/>
      <c r="Z421" s="149"/>
    </row>
    <row r="422" customFormat="false" ht="15.75" hidden="false" customHeight="true" outlineLevel="0" collapsed="false">
      <c r="A422" s="156"/>
      <c r="B422" s="186" t="s">
        <v>628</v>
      </c>
      <c r="C422" s="178" t="s">
        <v>678</v>
      </c>
      <c r="D422" s="187" t="s">
        <v>908</v>
      </c>
      <c r="E422" s="178" t="n">
        <v>2729</v>
      </c>
      <c r="F422" s="187" t="s">
        <v>906</v>
      </c>
      <c r="G422" s="190"/>
      <c r="H422" s="167"/>
      <c r="I422" s="157" t="s">
        <v>569</v>
      </c>
      <c r="J422" s="149"/>
      <c r="K422" s="149"/>
      <c r="L422" s="149"/>
      <c r="M422" s="149"/>
      <c r="N422" s="149"/>
      <c r="O422" s="149"/>
      <c r="P422" s="149"/>
      <c r="Q422" s="149"/>
      <c r="R422" s="149"/>
      <c r="S422" s="149"/>
      <c r="T422" s="149"/>
      <c r="U422" s="149"/>
      <c r="V422" s="149"/>
      <c r="W422" s="149"/>
      <c r="X422" s="149"/>
      <c r="Y422" s="149"/>
      <c r="Z422" s="149"/>
    </row>
    <row r="423" customFormat="false" ht="15.75" hidden="false" customHeight="true" outlineLevel="0" collapsed="false">
      <c r="A423" s="156"/>
      <c r="B423" s="186" t="s">
        <v>630</v>
      </c>
      <c r="C423" s="178" t="s">
        <v>681</v>
      </c>
      <c r="D423" s="187" t="s">
        <v>909</v>
      </c>
      <c r="E423" s="178" t="n">
        <v>2729</v>
      </c>
      <c r="F423" s="187" t="s">
        <v>910</v>
      </c>
      <c r="G423" s="190"/>
      <c r="H423" s="167"/>
      <c r="I423" s="157" t="s">
        <v>569</v>
      </c>
      <c r="J423" s="149"/>
      <c r="K423" s="149"/>
      <c r="L423" s="149"/>
      <c r="M423" s="149"/>
      <c r="N423" s="149"/>
      <c r="O423" s="149"/>
      <c r="P423" s="149"/>
      <c r="Q423" s="149"/>
      <c r="R423" s="149"/>
      <c r="S423" s="149"/>
      <c r="T423" s="149"/>
      <c r="U423" s="149"/>
      <c r="V423" s="149"/>
      <c r="W423" s="149"/>
      <c r="X423" s="149"/>
      <c r="Y423" s="149"/>
      <c r="Z423" s="149"/>
    </row>
    <row r="424" customFormat="false" ht="15.75" hidden="false" customHeight="true" outlineLevel="0" collapsed="false">
      <c r="A424" s="156"/>
      <c r="B424" s="186" t="s">
        <v>633</v>
      </c>
      <c r="C424" s="178" t="s">
        <v>683</v>
      </c>
      <c r="D424" s="187" t="s">
        <v>911</v>
      </c>
      <c r="E424" s="178" t="n">
        <v>2729</v>
      </c>
      <c r="F424" s="187" t="s">
        <v>910</v>
      </c>
      <c r="G424" s="190"/>
      <c r="H424" s="167"/>
      <c r="I424" s="157" t="s">
        <v>569</v>
      </c>
      <c r="J424" s="149"/>
      <c r="K424" s="149"/>
      <c r="L424" s="149"/>
      <c r="M424" s="149"/>
      <c r="N424" s="149"/>
      <c r="O424" s="149"/>
      <c r="P424" s="149"/>
      <c r="Q424" s="149"/>
      <c r="R424" s="149"/>
      <c r="S424" s="149"/>
      <c r="T424" s="149"/>
      <c r="U424" s="149"/>
      <c r="V424" s="149"/>
      <c r="W424" s="149"/>
      <c r="X424" s="149"/>
      <c r="Y424" s="149"/>
      <c r="Z424" s="149"/>
    </row>
    <row r="425" customFormat="false" ht="15.75" hidden="false" customHeight="true" outlineLevel="0" collapsed="false">
      <c r="A425" s="156"/>
      <c r="B425" s="186" t="s">
        <v>636</v>
      </c>
      <c r="C425" s="178" t="s">
        <v>686</v>
      </c>
      <c r="D425" s="187" t="s">
        <v>912</v>
      </c>
      <c r="E425" s="178" t="n">
        <v>2729</v>
      </c>
      <c r="F425" s="187" t="s">
        <v>910</v>
      </c>
      <c r="G425" s="190"/>
      <c r="H425" s="167"/>
      <c r="I425" s="157" t="s">
        <v>569</v>
      </c>
      <c r="J425" s="149"/>
      <c r="K425" s="149"/>
      <c r="L425" s="149"/>
      <c r="M425" s="149"/>
      <c r="N425" s="149"/>
      <c r="O425" s="149"/>
      <c r="P425" s="149"/>
      <c r="Q425" s="149"/>
      <c r="R425" s="149"/>
      <c r="S425" s="149"/>
      <c r="T425" s="149"/>
      <c r="U425" s="149"/>
      <c r="V425" s="149"/>
      <c r="W425" s="149"/>
      <c r="X425" s="149"/>
      <c r="Y425" s="149"/>
      <c r="Z425" s="149"/>
    </row>
    <row r="426" customFormat="false" ht="15.75" hidden="false" customHeight="true" outlineLevel="0" collapsed="false">
      <c r="A426" s="156"/>
      <c r="B426" s="186" t="s">
        <v>639</v>
      </c>
      <c r="C426" s="178" t="s">
        <v>686</v>
      </c>
      <c r="D426" s="187" t="s">
        <v>913</v>
      </c>
      <c r="E426" s="178" t="n">
        <v>2729</v>
      </c>
      <c r="F426" s="187" t="s">
        <v>910</v>
      </c>
      <c r="G426" s="190"/>
      <c r="H426" s="167"/>
      <c r="I426" s="157" t="s">
        <v>569</v>
      </c>
      <c r="J426" s="149"/>
      <c r="K426" s="149"/>
      <c r="L426" s="149"/>
      <c r="M426" s="149"/>
      <c r="N426" s="149"/>
      <c r="O426" s="149"/>
      <c r="P426" s="149"/>
      <c r="Q426" s="149"/>
      <c r="R426" s="149"/>
      <c r="S426" s="149"/>
      <c r="T426" s="149"/>
      <c r="U426" s="149"/>
      <c r="V426" s="149"/>
      <c r="W426" s="149"/>
      <c r="X426" s="149"/>
      <c r="Y426" s="149"/>
      <c r="Z426" s="149"/>
    </row>
    <row r="427" customFormat="false" ht="15.75" hidden="false" customHeight="true" outlineLevel="0" collapsed="false">
      <c r="A427" s="156"/>
      <c r="B427" s="186" t="s">
        <v>641</v>
      </c>
      <c r="C427" s="178" t="s">
        <v>748</v>
      </c>
      <c r="D427" s="187" t="s">
        <v>914</v>
      </c>
      <c r="E427" s="178" t="n">
        <v>2729</v>
      </c>
      <c r="F427" s="187" t="s">
        <v>915</v>
      </c>
      <c r="G427" s="190"/>
      <c r="H427" s="167"/>
      <c r="I427" s="157" t="s">
        <v>569</v>
      </c>
      <c r="J427" s="149"/>
      <c r="K427" s="149"/>
      <c r="L427" s="149"/>
      <c r="M427" s="149"/>
      <c r="N427" s="149"/>
      <c r="O427" s="149"/>
      <c r="P427" s="149"/>
      <c r="Q427" s="149"/>
      <c r="R427" s="149"/>
      <c r="S427" s="149"/>
      <c r="T427" s="149"/>
      <c r="U427" s="149"/>
      <c r="V427" s="149"/>
      <c r="W427" s="149"/>
      <c r="X427" s="149"/>
      <c r="Y427" s="149"/>
      <c r="Z427" s="149"/>
    </row>
    <row r="428" customFormat="false" ht="15.75" hidden="false" customHeight="true" outlineLevel="0" collapsed="false">
      <c r="A428" s="156"/>
      <c r="B428" s="186" t="s">
        <v>644</v>
      </c>
      <c r="C428" s="178" t="s">
        <v>748</v>
      </c>
      <c r="D428" s="187" t="s">
        <v>916</v>
      </c>
      <c r="E428" s="178" t="n">
        <v>2729</v>
      </c>
      <c r="F428" s="187" t="s">
        <v>906</v>
      </c>
      <c r="G428" s="190"/>
      <c r="H428" s="167"/>
      <c r="I428" s="157" t="s">
        <v>569</v>
      </c>
      <c r="J428" s="149"/>
      <c r="K428" s="149"/>
      <c r="L428" s="149"/>
      <c r="M428" s="149"/>
      <c r="N428" s="149"/>
      <c r="O428" s="149"/>
      <c r="P428" s="149"/>
      <c r="Q428" s="149"/>
      <c r="R428" s="149"/>
      <c r="S428" s="149"/>
      <c r="T428" s="149"/>
      <c r="U428" s="149"/>
      <c r="V428" s="149"/>
      <c r="W428" s="149"/>
      <c r="X428" s="149"/>
      <c r="Y428" s="149"/>
      <c r="Z428" s="149"/>
    </row>
    <row r="429" customFormat="false" ht="15.75" hidden="false" customHeight="true" outlineLevel="0" collapsed="false">
      <c r="A429" s="191"/>
      <c r="B429" s="191"/>
      <c r="C429" s="191"/>
      <c r="D429" s="191"/>
      <c r="E429" s="191"/>
      <c r="F429" s="191"/>
      <c r="G429" s="191"/>
      <c r="H429" s="191"/>
      <c r="I429" s="191"/>
      <c r="J429" s="149"/>
      <c r="K429" s="149"/>
      <c r="L429" s="149"/>
      <c r="M429" s="149"/>
      <c r="N429" s="149"/>
      <c r="O429" s="149"/>
      <c r="P429" s="149"/>
      <c r="Q429" s="149"/>
      <c r="R429" s="149"/>
      <c r="S429" s="149"/>
      <c r="T429" s="149"/>
      <c r="U429" s="149"/>
      <c r="V429" s="149"/>
      <c r="W429" s="149"/>
      <c r="X429" s="149"/>
      <c r="Y429" s="149"/>
      <c r="Z429" s="149"/>
    </row>
    <row r="430" customFormat="false" ht="15.75" hidden="false" customHeight="true" outlineLevel="0" collapsed="false">
      <c r="A430" s="200" t="s">
        <v>917</v>
      </c>
      <c r="B430" s="201" t="s">
        <v>918</v>
      </c>
      <c r="C430" s="196" t="s">
        <v>919</v>
      </c>
      <c r="D430" s="196" t="s">
        <v>920</v>
      </c>
      <c r="E430" s="196" t="n">
        <v>2702</v>
      </c>
      <c r="F430" s="196" t="s">
        <v>921</v>
      </c>
      <c r="G430" s="196"/>
      <c r="H430" s="196"/>
      <c r="I430" s="201" t="s">
        <v>922</v>
      </c>
      <c r="J430" s="202"/>
      <c r="K430" s="202"/>
      <c r="L430" s="202"/>
      <c r="M430" s="202"/>
      <c r="N430" s="202"/>
      <c r="O430" s="202"/>
      <c r="P430" s="202"/>
      <c r="Q430" s="202"/>
      <c r="R430" s="202"/>
      <c r="S430" s="202"/>
      <c r="T430" s="202"/>
      <c r="U430" s="202"/>
      <c r="V430" s="202"/>
      <c r="W430" s="202"/>
      <c r="X430" s="202"/>
      <c r="Y430" s="202"/>
      <c r="Z430" s="202"/>
    </row>
    <row r="431" customFormat="false" ht="15.75" hidden="false" customHeight="true" outlineLevel="0" collapsed="false">
      <c r="A431" s="200"/>
      <c r="B431" s="201" t="s">
        <v>923</v>
      </c>
      <c r="C431" s="196" t="s">
        <v>924</v>
      </c>
      <c r="D431" s="196"/>
      <c r="E431" s="196" t="n">
        <v>2702</v>
      </c>
      <c r="F431" s="196"/>
      <c r="G431" s="203" t="n">
        <v>46570</v>
      </c>
      <c r="H431" s="196"/>
      <c r="I431" s="201" t="s">
        <v>276</v>
      </c>
      <c r="J431" s="202"/>
      <c r="K431" s="202"/>
      <c r="L431" s="202"/>
      <c r="M431" s="202"/>
      <c r="N431" s="202"/>
      <c r="O431" s="202"/>
      <c r="P431" s="202"/>
      <c r="Q431" s="202"/>
      <c r="R431" s="202"/>
      <c r="S431" s="202"/>
      <c r="T431" s="202"/>
      <c r="U431" s="202"/>
      <c r="V431" s="202"/>
      <c r="W431" s="202"/>
      <c r="X431" s="202"/>
      <c r="Y431" s="202"/>
      <c r="Z431" s="202"/>
    </row>
    <row r="432" customFormat="false" ht="15.75" hidden="false" customHeight="true" outlineLevel="0" collapsed="false">
      <c r="A432" s="200"/>
      <c r="B432" s="201" t="s">
        <v>925</v>
      </c>
      <c r="C432" s="196" t="s">
        <v>926</v>
      </c>
      <c r="D432" s="196"/>
      <c r="E432" s="196" t="n">
        <v>2702</v>
      </c>
      <c r="F432" s="196"/>
      <c r="G432" s="203" t="n">
        <v>46570</v>
      </c>
      <c r="H432" s="196"/>
      <c r="I432" s="201" t="s">
        <v>276</v>
      </c>
      <c r="J432" s="202"/>
      <c r="K432" s="202"/>
      <c r="L432" s="202"/>
      <c r="M432" s="202"/>
      <c r="N432" s="202"/>
      <c r="O432" s="202"/>
      <c r="P432" s="202"/>
      <c r="Q432" s="202"/>
      <c r="R432" s="202"/>
      <c r="S432" s="202"/>
      <c r="T432" s="202"/>
      <c r="U432" s="202"/>
      <c r="V432" s="202"/>
      <c r="W432" s="202"/>
      <c r="X432" s="202"/>
      <c r="Y432" s="202"/>
      <c r="Z432" s="202"/>
    </row>
    <row r="433" customFormat="false" ht="15.75" hidden="false" customHeight="true" outlineLevel="0" collapsed="false">
      <c r="A433" s="200"/>
      <c r="B433" s="201"/>
      <c r="C433" s="201"/>
      <c r="D433" s="201"/>
      <c r="E433" s="201"/>
      <c r="F433" s="201"/>
      <c r="G433" s="201"/>
      <c r="H433" s="201"/>
      <c r="I433" s="201"/>
      <c r="J433" s="202"/>
      <c r="K433" s="202"/>
      <c r="L433" s="202"/>
      <c r="M433" s="202"/>
      <c r="N433" s="202"/>
      <c r="O433" s="202"/>
      <c r="P433" s="202"/>
      <c r="Q433" s="202"/>
      <c r="R433" s="202"/>
      <c r="S433" s="202"/>
      <c r="T433" s="202"/>
      <c r="U433" s="202"/>
      <c r="V433" s="202"/>
      <c r="W433" s="202"/>
      <c r="X433" s="202"/>
      <c r="Y433" s="202"/>
      <c r="Z433" s="202"/>
    </row>
    <row r="434" customFormat="false" ht="15.75" hidden="false" customHeight="true" outlineLevel="0" collapsed="false">
      <c r="A434" s="200"/>
      <c r="B434" s="201" t="s">
        <v>918</v>
      </c>
      <c r="C434" s="196" t="s">
        <v>919</v>
      </c>
      <c r="D434" s="196" t="s">
        <v>927</v>
      </c>
      <c r="E434" s="196" t="n">
        <v>2703</v>
      </c>
      <c r="F434" s="204" t="n">
        <v>26.3159722222222</v>
      </c>
      <c r="G434" s="196"/>
      <c r="H434" s="196"/>
      <c r="I434" s="201" t="s">
        <v>922</v>
      </c>
      <c r="J434" s="202"/>
      <c r="K434" s="202"/>
      <c r="L434" s="202"/>
      <c r="M434" s="202"/>
      <c r="N434" s="202"/>
      <c r="O434" s="202"/>
      <c r="P434" s="202"/>
      <c r="Q434" s="202"/>
      <c r="R434" s="202"/>
      <c r="S434" s="202"/>
      <c r="T434" s="202"/>
      <c r="U434" s="202"/>
      <c r="V434" s="202"/>
      <c r="W434" s="202"/>
      <c r="X434" s="202"/>
      <c r="Y434" s="202"/>
      <c r="Z434" s="202"/>
    </row>
    <row r="435" customFormat="false" ht="15.75" hidden="false" customHeight="true" outlineLevel="0" collapsed="false">
      <c r="A435" s="200"/>
      <c r="B435" s="201" t="s">
        <v>923</v>
      </c>
      <c r="C435" s="196" t="s">
        <v>924</v>
      </c>
      <c r="D435" s="196"/>
      <c r="E435" s="196" t="n">
        <v>2703</v>
      </c>
      <c r="F435" s="196"/>
      <c r="G435" s="205" t="n">
        <v>11637</v>
      </c>
      <c r="H435" s="196"/>
      <c r="I435" s="201" t="s">
        <v>276</v>
      </c>
      <c r="J435" s="202"/>
      <c r="K435" s="202"/>
      <c r="L435" s="202"/>
      <c r="M435" s="202"/>
      <c r="N435" s="202"/>
      <c r="O435" s="202"/>
      <c r="P435" s="202"/>
      <c r="Q435" s="202"/>
      <c r="R435" s="202"/>
      <c r="S435" s="202"/>
      <c r="T435" s="202"/>
      <c r="U435" s="202"/>
      <c r="V435" s="202"/>
      <c r="W435" s="202"/>
      <c r="X435" s="202"/>
      <c r="Y435" s="202"/>
      <c r="Z435" s="202"/>
    </row>
    <row r="436" customFormat="false" ht="15.75" hidden="false" customHeight="true" outlineLevel="0" collapsed="false">
      <c r="A436" s="200"/>
      <c r="B436" s="201" t="s">
        <v>925</v>
      </c>
      <c r="C436" s="196" t="s">
        <v>926</v>
      </c>
      <c r="D436" s="196"/>
      <c r="E436" s="196" t="n">
        <v>2703</v>
      </c>
      <c r="F436" s="196"/>
      <c r="G436" s="205" t="n">
        <v>11637</v>
      </c>
      <c r="H436" s="196"/>
      <c r="I436" s="201" t="s">
        <v>276</v>
      </c>
      <c r="J436" s="202"/>
      <c r="K436" s="202"/>
      <c r="L436" s="202"/>
      <c r="M436" s="202"/>
      <c r="N436" s="202"/>
      <c r="O436" s="202"/>
      <c r="P436" s="202"/>
      <c r="Q436" s="202"/>
      <c r="R436" s="202"/>
      <c r="S436" s="202"/>
      <c r="T436" s="202"/>
      <c r="U436" s="202"/>
      <c r="V436" s="202"/>
      <c r="W436" s="202"/>
      <c r="X436" s="202"/>
      <c r="Y436" s="202"/>
      <c r="Z436" s="202"/>
    </row>
    <row r="437" customFormat="false" ht="15.75" hidden="false" customHeight="true" outlineLevel="0" collapsed="false">
      <c r="A437" s="200"/>
      <c r="B437" s="201"/>
      <c r="C437" s="201"/>
      <c r="D437" s="201"/>
      <c r="E437" s="201"/>
      <c r="F437" s="201"/>
      <c r="G437" s="201"/>
      <c r="H437" s="201"/>
      <c r="I437" s="201"/>
      <c r="J437" s="202"/>
      <c r="K437" s="202"/>
      <c r="L437" s="202"/>
      <c r="M437" s="202"/>
      <c r="N437" s="202"/>
      <c r="O437" s="202"/>
      <c r="P437" s="202"/>
      <c r="Q437" s="202"/>
      <c r="R437" s="202"/>
      <c r="S437" s="202"/>
      <c r="T437" s="202"/>
      <c r="U437" s="202"/>
      <c r="V437" s="202"/>
      <c r="W437" s="202"/>
      <c r="X437" s="202"/>
      <c r="Y437" s="202"/>
      <c r="Z437" s="202"/>
    </row>
    <row r="438" customFormat="false" ht="15.75" hidden="false" customHeight="true" outlineLevel="0" collapsed="false">
      <c r="A438" s="200"/>
      <c r="B438" s="201" t="s">
        <v>918</v>
      </c>
      <c r="C438" s="196" t="s">
        <v>928</v>
      </c>
      <c r="D438" s="196" t="s">
        <v>929</v>
      </c>
      <c r="E438" s="196" t="n">
        <v>2708</v>
      </c>
      <c r="F438" s="196" t="s">
        <v>930</v>
      </c>
      <c r="G438" s="196"/>
      <c r="H438" s="196"/>
      <c r="I438" s="201" t="s">
        <v>922</v>
      </c>
      <c r="J438" s="202"/>
      <c r="K438" s="202"/>
      <c r="L438" s="202"/>
      <c r="M438" s="202"/>
      <c r="N438" s="202"/>
      <c r="O438" s="202"/>
      <c r="P438" s="202"/>
      <c r="Q438" s="202"/>
      <c r="R438" s="202"/>
      <c r="S438" s="202"/>
      <c r="T438" s="202"/>
      <c r="U438" s="202"/>
      <c r="V438" s="202"/>
      <c r="W438" s="202"/>
      <c r="X438" s="202"/>
      <c r="Y438" s="202"/>
      <c r="Z438" s="202"/>
    </row>
    <row r="439" customFormat="false" ht="15.75" hidden="false" customHeight="true" outlineLevel="0" collapsed="false">
      <c r="A439" s="200"/>
      <c r="B439" s="201" t="s">
        <v>923</v>
      </c>
      <c r="C439" s="196" t="s">
        <v>924</v>
      </c>
      <c r="D439" s="196"/>
      <c r="E439" s="196" t="n">
        <v>2708</v>
      </c>
      <c r="F439" s="196"/>
      <c r="G439" s="203" t="n">
        <v>46963</v>
      </c>
      <c r="H439" s="196"/>
      <c r="I439" s="201" t="s">
        <v>276</v>
      </c>
      <c r="J439" s="202"/>
      <c r="K439" s="202"/>
      <c r="L439" s="202"/>
      <c r="M439" s="202"/>
      <c r="N439" s="202"/>
      <c r="O439" s="202"/>
      <c r="P439" s="202"/>
      <c r="Q439" s="202"/>
      <c r="R439" s="202"/>
      <c r="S439" s="202"/>
      <c r="T439" s="202"/>
      <c r="U439" s="202"/>
      <c r="V439" s="202"/>
      <c r="W439" s="202"/>
      <c r="X439" s="202"/>
      <c r="Y439" s="202"/>
      <c r="Z439" s="202"/>
    </row>
    <row r="440" customFormat="false" ht="15.75" hidden="false" customHeight="true" outlineLevel="0" collapsed="false">
      <c r="A440" s="200"/>
      <c r="B440" s="201" t="s">
        <v>925</v>
      </c>
      <c r="C440" s="196" t="s">
        <v>926</v>
      </c>
      <c r="D440" s="196"/>
      <c r="E440" s="196" t="n">
        <v>2708</v>
      </c>
      <c r="F440" s="196"/>
      <c r="G440" s="203" t="n">
        <v>46963</v>
      </c>
      <c r="H440" s="196"/>
      <c r="I440" s="201" t="s">
        <v>276</v>
      </c>
      <c r="J440" s="202"/>
      <c r="K440" s="202"/>
      <c r="L440" s="202"/>
      <c r="M440" s="202"/>
      <c r="N440" s="202"/>
      <c r="O440" s="202"/>
      <c r="P440" s="202"/>
      <c r="Q440" s="202"/>
      <c r="R440" s="202"/>
      <c r="S440" s="202"/>
      <c r="T440" s="202"/>
      <c r="U440" s="202"/>
      <c r="V440" s="202"/>
      <c r="W440" s="202"/>
      <c r="X440" s="202"/>
      <c r="Y440" s="202"/>
      <c r="Z440" s="202"/>
    </row>
    <row r="441" customFormat="false" ht="15.75" hidden="false" customHeight="true" outlineLevel="0" collapsed="false">
      <c r="A441" s="200"/>
      <c r="B441" s="201"/>
      <c r="C441" s="201"/>
      <c r="D441" s="201"/>
      <c r="E441" s="201"/>
      <c r="F441" s="201"/>
      <c r="G441" s="201"/>
      <c r="H441" s="201"/>
      <c r="I441" s="201"/>
      <c r="J441" s="202"/>
      <c r="K441" s="202"/>
      <c r="L441" s="202"/>
      <c r="M441" s="202"/>
      <c r="N441" s="202"/>
      <c r="O441" s="202"/>
      <c r="P441" s="202"/>
      <c r="Q441" s="202"/>
      <c r="R441" s="202"/>
      <c r="S441" s="202"/>
      <c r="T441" s="202"/>
      <c r="U441" s="202"/>
      <c r="V441" s="202"/>
      <c r="W441" s="202"/>
      <c r="X441" s="202"/>
      <c r="Y441" s="202"/>
      <c r="Z441" s="202"/>
    </row>
    <row r="442" customFormat="false" ht="15.75" hidden="false" customHeight="true" outlineLevel="0" collapsed="false">
      <c r="A442" s="200"/>
      <c r="B442" s="201" t="s">
        <v>918</v>
      </c>
      <c r="C442" s="196" t="s">
        <v>919</v>
      </c>
      <c r="D442" s="196" t="s">
        <v>931</v>
      </c>
      <c r="E442" s="196" t="n">
        <v>2719</v>
      </c>
      <c r="F442" s="196" t="s">
        <v>932</v>
      </c>
      <c r="G442" s="196"/>
      <c r="H442" s="196"/>
      <c r="I442" s="201" t="s">
        <v>922</v>
      </c>
      <c r="J442" s="202"/>
      <c r="K442" s="202"/>
      <c r="L442" s="202"/>
      <c r="M442" s="202"/>
      <c r="N442" s="202"/>
      <c r="O442" s="202"/>
      <c r="P442" s="202"/>
      <c r="Q442" s="202"/>
      <c r="R442" s="202"/>
      <c r="S442" s="202"/>
      <c r="T442" s="202"/>
      <c r="U442" s="202"/>
      <c r="V442" s="202"/>
      <c r="W442" s="202"/>
      <c r="X442" s="202"/>
      <c r="Y442" s="202"/>
      <c r="Z442" s="202"/>
    </row>
    <row r="443" customFormat="false" ht="15.75" hidden="false" customHeight="true" outlineLevel="0" collapsed="false">
      <c r="A443" s="200"/>
      <c r="B443" s="201" t="s">
        <v>923</v>
      </c>
      <c r="C443" s="196" t="s">
        <v>924</v>
      </c>
      <c r="D443" s="196"/>
      <c r="E443" s="196" t="n">
        <v>2719</v>
      </c>
      <c r="F443" s="196"/>
      <c r="G443" s="205" t="n">
        <v>12747</v>
      </c>
      <c r="H443" s="196"/>
      <c r="I443" s="201" t="s">
        <v>276</v>
      </c>
      <c r="J443" s="202"/>
      <c r="K443" s="202"/>
      <c r="L443" s="202"/>
      <c r="M443" s="202"/>
      <c r="N443" s="202"/>
      <c r="O443" s="202"/>
      <c r="P443" s="202"/>
      <c r="Q443" s="202"/>
      <c r="R443" s="202"/>
      <c r="S443" s="202"/>
      <c r="T443" s="202"/>
      <c r="U443" s="202"/>
      <c r="V443" s="202"/>
      <c r="W443" s="202"/>
      <c r="X443" s="202"/>
      <c r="Y443" s="202"/>
      <c r="Z443" s="202"/>
    </row>
    <row r="444" customFormat="false" ht="15.75" hidden="false" customHeight="true" outlineLevel="0" collapsed="false">
      <c r="A444" s="200"/>
      <c r="B444" s="201" t="s">
        <v>925</v>
      </c>
      <c r="C444" s="196" t="s">
        <v>926</v>
      </c>
      <c r="D444" s="196"/>
      <c r="E444" s="196" t="n">
        <v>2719</v>
      </c>
      <c r="F444" s="196"/>
      <c r="G444" s="205" t="n">
        <v>12747</v>
      </c>
      <c r="H444" s="196"/>
      <c r="I444" s="201" t="s">
        <v>276</v>
      </c>
      <c r="J444" s="202"/>
      <c r="K444" s="202"/>
      <c r="L444" s="202"/>
      <c r="M444" s="202"/>
      <c r="N444" s="202"/>
      <c r="O444" s="202"/>
      <c r="P444" s="202"/>
      <c r="Q444" s="202"/>
      <c r="R444" s="202"/>
      <c r="S444" s="202"/>
      <c r="T444" s="202"/>
      <c r="U444" s="202"/>
      <c r="V444" s="202"/>
      <c r="W444" s="202"/>
      <c r="X444" s="202"/>
      <c r="Y444" s="202"/>
      <c r="Z444" s="202"/>
    </row>
    <row r="445" customFormat="false" ht="15.75" hidden="false" customHeight="true" outlineLevel="0" collapsed="false">
      <c r="A445" s="200"/>
      <c r="B445" s="201"/>
      <c r="C445" s="201"/>
      <c r="D445" s="201"/>
      <c r="E445" s="201"/>
      <c r="F445" s="201"/>
      <c r="G445" s="201"/>
      <c r="H445" s="201"/>
      <c r="I445" s="201"/>
      <c r="J445" s="202"/>
      <c r="K445" s="202"/>
      <c r="L445" s="202"/>
      <c r="M445" s="202"/>
      <c r="N445" s="202"/>
      <c r="O445" s="202"/>
      <c r="P445" s="202"/>
      <c r="Q445" s="202"/>
      <c r="R445" s="202"/>
      <c r="S445" s="202"/>
      <c r="T445" s="202"/>
      <c r="U445" s="202"/>
      <c r="V445" s="202"/>
      <c r="W445" s="202"/>
      <c r="X445" s="202"/>
      <c r="Y445" s="202"/>
      <c r="Z445" s="202"/>
    </row>
    <row r="446" customFormat="false" ht="15.75" hidden="false" customHeight="true" outlineLevel="0" collapsed="false">
      <c r="A446" s="200"/>
      <c r="B446" s="201" t="s">
        <v>918</v>
      </c>
      <c r="C446" s="196" t="s">
        <v>933</v>
      </c>
      <c r="D446" s="196" t="s">
        <v>934</v>
      </c>
      <c r="E446" s="196" t="n">
        <v>2722</v>
      </c>
      <c r="F446" s="196" t="s">
        <v>935</v>
      </c>
      <c r="G446" s="196"/>
      <c r="H446" s="196"/>
      <c r="I446" s="201" t="s">
        <v>922</v>
      </c>
      <c r="J446" s="202"/>
      <c r="K446" s="202"/>
      <c r="L446" s="202"/>
      <c r="M446" s="202"/>
      <c r="N446" s="202"/>
      <c r="O446" s="202"/>
      <c r="P446" s="202"/>
      <c r="Q446" s="202"/>
      <c r="R446" s="202"/>
      <c r="S446" s="202"/>
      <c r="T446" s="202"/>
      <c r="U446" s="202"/>
      <c r="V446" s="202"/>
      <c r="W446" s="202"/>
      <c r="X446" s="202"/>
      <c r="Y446" s="202"/>
      <c r="Z446" s="202"/>
    </row>
    <row r="447" customFormat="false" ht="15.75" hidden="false" customHeight="true" outlineLevel="0" collapsed="false">
      <c r="A447" s="200"/>
      <c r="B447" s="201" t="s">
        <v>923</v>
      </c>
      <c r="C447" s="196" t="s">
        <v>924</v>
      </c>
      <c r="D447" s="196"/>
      <c r="E447" s="196" t="n">
        <v>2722</v>
      </c>
      <c r="F447" s="196"/>
      <c r="G447" s="203" t="n">
        <v>12651</v>
      </c>
      <c r="H447" s="196"/>
      <c r="I447" s="201" t="s">
        <v>276</v>
      </c>
      <c r="J447" s="202"/>
      <c r="K447" s="202"/>
      <c r="L447" s="202"/>
      <c r="M447" s="202"/>
      <c r="N447" s="202"/>
      <c r="O447" s="202"/>
      <c r="P447" s="202"/>
      <c r="Q447" s="202"/>
      <c r="R447" s="202"/>
      <c r="S447" s="202"/>
      <c r="T447" s="202"/>
      <c r="U447" s="202"/>
      <c r="V447" s="202"/>
      <c r="W447" s="202"/>
      <c r="X447" s="202"/>
      <c r="Y447" s="202"/>
      <c r="Z447" s="202"/>
    </row>
    <row r="448" customFormat="false" ht="15.75" hidden="false" customHeight="true" outlineLevel="0" collapsed="false">
      <c r="A448" s="200"/>
      <c r="B448" s="201" t="s">
        <v>925</v>
      </c>
      <c r="C448" s="196" t="s">
        <v>926</v>
      </c>
      <c r="D448" s="196"/>
      <c r="E448" s="196" t="n">
        <v>2722</v>
      </c>
      <c r="F448" s="196"/>
      <c r="G448" s="203" t="n">
        <v>12651</v>
      </c>
      <c r="H448" s="196"/>
      <c r="I448" s="201" t="s">
        <v>276</v>
      </c>
      <c r="J448" s="202"/>
      <c r="K448" s="202"/>
      <c r="L448" s="202"/>
      <c r="M448" s="202"/>
      <c r="N448" s="202"/>
      <c r="O448" s="202"/>
      <c r="P448" s="202"/>
      <c r="Q448" s="202"/>
      <c r="R448" s="202"/>
      <c r="S448" s="202"/>
      <c r="T448" s="202"/>
      <c r="U448" s="202"/>
      <c r="V448" s="202"/>
      <c r="W448" s="202"/>
      <c r="X448" s="202"/>
      <c r="Y448" s="202"/>
      <c r="Z448" s="202"/>
    </row>
    <row r="449" customFormat="false" ht="15.75" hidden="false" customHeight="true" outlineLevel="0" collapsed="false">
      <c r="A449" s="200"/>
      <c r="B449" s="201"/>
      <c r="C449" s="201"/>
      <c r="D449" s="201"/>
      <c r="E449" s="201"/>
      <c r="F449" s="201"/>
      <c r="G449" s="201"/>
      <c r="H449" s="201"/>
      <c r="I449" s="201"/>
      <c r="J449" s="202"/>
      <c r="K449" s="202"/>
      <c r="L449" s="202"/>
      <c r="M449" s="202"/>
      <c r="N449" s="202"/>
      <c r="O449" s="202"/>
      <c r="P449" s="202"/>
      <c r="Q449" s="202"/>
      <c r="R449" s="202"/>
      <c r="S449" s="202"/>
      <c r="T449" s="202"/>
      <c r="U449" s="202"/>
      <c r="V449" s="202"/>
      <c r="W449" s="202"/>
      <c r="X449" s="202"/>
      <c r="Y449" s="202"/>
      <c r="Z449" s="202"/>
    </row>
    <row r="450" customFormat="false" ht="15.75" hidden="false" customHeight="true" outlineLevel="0" collapsed="false">
      <c r="A450" s="200"/>
      <c r="B450" s="201" t="s">
        <v>918</v>
      </c>
      <c r="C450" s="196"/>
      <c r="D450" s="196"/>
      <c r="E450" s="196" t="n">
        <v>2729</v>
      </c>
      <c r="F450" s="196"/>
      <c r="G450" s="196"/>
      <c r="H450" s="196"/>
      <c r="I450" s="201" t="s">
        <v>922</v>
      </c>
      <c r="J450" s="202"/>
      <c r="K450" s="202"/>
      <c r="L450" s="202"/>
      <c r="M450" s="202"/>
      <c r="N450" s="202"/>
      <c r="O450" s="202"/>
      <c r="P450" s="202"/>
      <c r="Q450" s="202"/>
      <c r="R450" s="202"/>
      <c r="S450" s="202"/>
      <c r="T450" s="202"/>
      <c r="U450" s="202"/>
      <c r="V450" s="202"/>
      <c r="W450" s="202"/>
      <c r="X450" s="202"/>
      <c r="Y450" s="202"/>
      <c r="Z450" s="202"/>
    </row>
    <row r="451" customFormat="false" ht="15.75" hidden="false" customHeight="true" outlineLevel="0" collapsed="false">
      <c r="A451" s="200"/>
      <c r="B451" s="201" t="s">
        <v>923</v>
      </c>
      <c r="C451" s="196" t="s">
        <v>924</v>
      </c>
      <c r="D451" s="196"/>
      <c r="E451" s="196" t="n">
        <v>2729</v>
      </c>
      <c r="F451" s="196"/>
      <c r="G451" s="205" t="n">
        <v>12771</v>
      </c>
      <c r="H451" s="196"/>
      <c r="I451" s="201" t="s">
        <v>276</v>
      </c>
      <c r="J451" s="202"/>
      <c r="K451" s="202"/>
      <c r="L451" s="202"/>
      <c r="M451" s="202"/>
      <c r="N451" s="202"/>
      <c r="O451" s="202"/>
      <c r="P451" s="202"/>
      <c r="Q451" s="202"/>
      <c r="R451" s="202"/>
      <c r="S451" s="202"/>
      <c r="T451" s="202"/>
      <c r="U451" s="202"/>
      <c r="V451" s="202"/>
      <c r="W451" s="202"/>
      <c r="X451" s="202"/>
      <c r="Y451" s="202"/>
      <c r="Z451" s="202"/>
    </row>
    <row r="452" customFormat="false" ht="15.75" hidden="false" customHeight="true" outlineLevel="0" collapsed="false">
      <c r="A452" s="200"/>
      <c r="B452" s="201" t="s">
        <v>925</v>
      </c>
      <c r="C452" s="196" t="s">
        <v>926</v>
      </c>
      <c r="D452" s="196"/>
      <c r="E452" s="196" t="n">
        <v>2729</v>
      </c>
      <c r="F452" s="196"/>
      <c r="G452" s="205" t="n">
        <v>12771</v>
      </c>
      <c r="H452" s="196"/>
      <c r="I452" s="201" t="s">
        <v>276</v>
      </c>
      <c r="J452" s="202"/>
      <c r="K452" s="202"/>
      <c r="L452" s="202"/>
      <c r="M452" s="202"/>
      <c r="N452" s="202"/>
      <c r="O452" s="202"/>
      <c r="P452" s="202"/>
      <c r="Q452" s="202"/>
      <c r="R452" s="202"/>
      <c r="S452" s="202"/>
      <c r="T452" s="202"/>
      <c r="U452" s="202"/>
      <c r="V452" s="202"/>
      <c r="W452" s="202"/>
      <c r="X452" s="202"/>
      <c r="Y452" s="202"/>
      <c r="Z452" s="202"/>
    </row>
    <row r="453" customFormat="false" ht="15.75" hidden="false" customHeight="true" outlineLevel="0" collapsed="false">
      <c r="A453" s="191"/>
      <c r="B453" s="191"/>
      <c r="C453" s="191"/>
      <c r="D453" s="191"/>
      <c r="E453" s="191"/>
      <c r="F453" s="191"/>
      <c r="G453" s="191"/>
      <c r="H453" s="191"/>
      <c r="I453" s="191"/>
      <c r="J453" s="149"/>
      <c r="K453" s="149"/>
      <c r="L453" s="149"/>
      <c r="M453" s="149"/>
      <c r="N453" s="149"/>
      <c r="O453" s="149"/>
      <c r="P453" s="149"/>
      <c r="Q453" s="149"/>
      <c r="R453" s="149"/>
      <c r="S453" s="149"/>
      <c r="T453" s="149"/>
      <c r="U453" s="149"/>
      <c r="V453" s="149"/>
      <c r="W453" s="149"/>
      <c r="X453" s="149"/>
      <c r="Y453" s="149"/>
      <c r="Z453" s="149"/>
    </row>
    <row r="454" customFormat="false" ht="15.75" hidden="false" customHeight="true" outlineLevel="0" collapsed="false">
      <c r="A454" s="206" t="s">
        <v>936</v>
      </c>
      <c r="B454" s="157" t="s">
        <v>937</v>
      </c>
      <c r="C454" s="158" t="s">
        <v>938</v>
      </c>
      <c r="D454" s="166" t="s">
        <v>939</v>
      </c>
      <c r="E454" s="158" t="n">
        <v>2702</v>
      </c>
      <c r="F454" s="165" t="s">
        <v>940</v>
      </c>
      <c r="G454" s="165" t="s">
        <v>941</v>
      </c>
      <c r="H454" s="167"/>
      <c r="I454" s="157" t="s">
        <v>942</v>
      </c>
      <c r="J454" s="149"/>
      <c r="K454" s="149"/>
      <c r="L454" s="149"/>
      <c r="M454" s="149"/>
      <c r="N454" s="149"/>
      <c r="O454" s="149"/>
      <c r="P454" s="149"/>
      <c r="Q454" s="149"/>
      <c r="R454" s="149"/>
      <c r="S454" s="149"/>
      <c r="T454" s="149"/>
      <c r="U454" s="149"/>
      <c r="V454" s="149"/>
      <c r="W454" s="149"/>
      <c r="X454" s="149"/>
      <c r="Y454" s="149"/>
      <c r="Z454" s="149"/>
    </row>
    <row r="455" customFormat="false" ht="15.75" hidden="false" customHeight="true" outlineLevel="0" collapsed="false">
      <c r="A455" s="206"/>
      <c r="B455" s="157"/>
      <c r="C455" s="157"/>
      <c r="D455" s="157"/>
      <c r="E455" s="157"/>
      <c r="F455" s="157"/>
      <c r="G455" s="157"/>
      <c r="H455" s="157"/>
      <c r="I455" s="157"/>
      <c r="J455" s="149"/>
      <c r="K455" s="149"/>
      <c r="L455" s="149"/>
      <c r="M455" s="149"/>
      <c r="N455" s="149"/>
      <c r="O455" s="149"/>
      <c r="P455" s="149"/>
      <c r="Q455" s="149"/>
      <c r="R455" s="149"/>
      <c r="S455" s="149"/>
      <c r="T455" s="149"/>
      <c r="U455" s="149"/>
      <c r="V455" s="149"/>
      <c r="W455" s="149"/>
      <c r="X455" s="149"/>
      <c r="Y455" s="149"/>
      <c r="Z455" s="149"/>
    </row>
    <row r="456" customFormat="false" ht="15.75" hidden="false" customHeight="true" outlineLevel="0" collapsed="false">
      <c r="A456" s="206"/>
      <c r="B456" s="157" t="s">
        <v>937</v>
      </c>
      <c r="C456" s="158" t="s">
        <v>938</v>
      </c>
      <c r="D456" s="166"/>
      <c r="E456" s="158" t="n">
        <v>2703</v>
      </c>
      <c r="F456" s="165" t="s">
        <v>943</v>
      </c>
      <c r="G456" s="165" t="s">
        <v>944</v>
      </c>
      <c r="H456" s="167"/>
      <c r="I456" s="157" t="s">
        <v>942</v>
      </c>
      <c r="J456" s="149"/>
      <c r="K456" s="149"/>
      <c r="L456" s="149"/>
      <c r="M456" s="149"/>
      <c r="N456" s="149"/>
      <c r="O456" s="149"/>
      <c r="P456" s="149"/>
      <c r="Q456" s="149"/>
      <c r="R456" s="149"/>
      <c r="S456" s="149"/>
      <c r="T456" s="149"/>
      <c r="U456" s="149"/>
      <c r="V456" s="149"/>
      <c r="W456" s="149"/>
      <c r="X456" s="149"/>
      <c r="Y456" s="149"/>
      <c r="Z456" s="149"/>
    </row>
    <row r="457" customFormat="false" ht="15.75" hidden="false" customHeight="true" outlineLevel="0" collapsed="false">
      <c r="A457" s="206"/>
      <c r="B457" s="157"/>
      <c r="C457" s="157"/>
      <c r="D457" s="157"/>
      <c r="E457" s="157"/>
      <c r="F457" s="157"/>
      <c r="G457" s="157"/>
      <c r="H457" s="157"/>
      <c r="I457" s="157"/>
      <c r="J457" s="149"/>
      <c r="K457" s="149"/>
      <c r="L457" s="149"/>
      <c r="M457" s="149"/>
      <c r="N457" s="149"/>
      <c r="O457" s="149"/>
      <c r="P457" s="149"/>
      <c r="Q457" s="149"/>
      <c r="R457" s="149"/>
      <c r="S457" s="149"/>
      <c r="T457" s="149"/>
      <c r="U457" s="149"/>
      <c r="V457" s="149"/>
      <c r="W457" s="149"/>
      <c r="X457" s="149"/>
      <c r="Y457" s="149"/>
      <c r="Z457" s="149"/>
    </row>
    <row r="458" customFormat="false" ht="15.75" hidden="false" customHeight="true" outlineLevel="0" collapsed="false">
      <c r="A458" s="206"/>
      <c r="B458" s="157" t="s">
        <v>937</v>
      </c>
      <c r="C458" s="158" t="s">
        <v>938</v>
      </c>
      <c r="D458" s="166"/>
      <c r="E458" s="158" t="n">
        <v>2706</v>
      </c>
      <c r="F458" s="165" t="s">
        <v>526</v>
      </c>
      <c r="G458" s="165"/>
      <c r="H458" s="167"/>
      <c r="I458" s="157" t="s">
        <v>942</v>
      </c>
      <c r="J458" s="149"/>
      <c r="K458" s="149"/>
      <c r="L458" s="149"/>
      <c r="M458" s="149"/>
      <c r="N458" s="149"/>
      <c r="O458" s="149"/>
      <c r="P458" s="149"/>
      <c r="Q458" s="149"/>
      <c r="R458" s="149"/>
      <c r="S458" s="149"/>
      <c r="T458" s="149"/>
      <c r="U458" s="149"/>
      <c r="V458" s="149"/>
      <c r="W458" s="149"/>
      <c r="X458" s="149"/>
      <c r="Y458" s="149"/>
      <c r="Z458" s="149"/>
    </row>
    <row r="459" customFormat="false" ht="15.75" hidden="false" customHeight="true" outlineLevel="0" collapsed="false">
      <c r="A459" s="206"/>
      <c r="B459" s="167"/>
      <c r="C459" s="167"/>
      <c r="D459" s="167"/>
      <c r="E459" s="167"/>
      <c r="F459" s="167"/>
      <c r="G459" s="167"/>
      <c r="H459" s="167"/>
      <c r="I459" s="167"/>
      <c r="J459" s="149"/>
      <c r="K459" s="149"/>
      <c r="L459" s="149"/>
      <c r="M459" s="149"/>
      <c r="N459" s="149"/>
      <c r="O459" s="149"/>
      <c r="P459" s="149"/>
      <c r="Q459" s="149"/>
      <c r="R459" s="149"/>
      <c r="S459" s="149"/>
      <c r="T459" s="149"/>
      <c r="U459" s="149"/>
      <c r="V459" s="149"/>
      <c r="W459" s="149"/>
      <c r="X459" s="149"/>
      <c r="Y459" s="149"/>
      <c r="Z459" s="149"/>
    </row>
    <row r="460" customFormat="false" ht="15.75" hidden="false" customHeight="true" outlineLevel="0" collapsed="false">
      <c r="A460" s="206"/>
      <c r="B460" s="157" t="s">
        <v>937</v>
      </c>
      <c r="C460" s="158" t="s">
        <v>938</v>
      </c>
      <c r="D460" s="165" t="s">
        <v>945</v>
      </c>
      <c r="E460" s="158" t="n">
        <v>2708</v>
      </c>
      <c r="F460" s="165" t="s">
        <v>946</v>
      </c>
      <c r="G460" s="165" t="s">
        <v>947</v>
      </c>
      <c r="H460" s="167"/>
      <c r="I460" s="157" t="s">
        <v>942</v>
      </c>
      <c r="J460" s="149"/>
      <c r="K460" s="149"/>
      <c r="L460" s="149"/>
      <c r="M460" s="149"/>
      <c r="N460" s="149"/>
      <c r="O460" s="149"/>
      <c r="P460" s="149"/>
      <c r="Q460" s="149"/>
      <c r="R460" s="149"/>
      <c r="S460" s="149"/>
      <c r="T460" s="149"/>
      <c r="U460" s="149"/>
      <c r="V460" s="149"/>
      <c r="W460" s="149"/>
      <c r="X460" s="149"/>
      <c r="Y460" s="149"/>
      <c r="Z460" s="149"/>
    </row>
    <row r="461" customFormat="false" ht="15.75" hidden="false" customHeight="true" outlineLevel="0" collapsed="false">
      <c r="A461" s="206"/>
      <c r="B461" s="157"/>
      <c r="C461" s="157"/>
      <c r="D461" s="157"/>
      <c r="E461" s="157"/>
      <c r="F461" s="157"/>
      <c r="G461" s="157"/>
      <c r="H461" s="157"/>
      <c r="I461" s="157"/>
      <c r="J461" s="149"/>
      <c r="K461" s="149"/>
      <c r="L461" s="149"/>
      <c r="M461" s="149"/>
      <c r="N461" s="149"/>
      <c r="O461" s="149"/>
      <c r="P461" s="149"/>
      <c r="Q461" s="149"/>
      <c r="R461" s="149"/>
      <c r="S461" s="149"/>
      <c r="T461" s="149"/>
      <c r="U461" s="149"/>
      <c r="V461" s="149"/>
      <c r="W461" s="149"/>
      <c r="X461" s="149"/>
      <c r="Y461" s="149"/>
      <c r="Z461" s="149"/>
    </row>
    <row r="462" customFormat="false" ht="15.75" hidden="false" customHeight="true" outlineLevel="0" collapsed="false">
      <c r="A462" s="206"/>
      <c r="B462" s="157" t="s">
        <v>937</v>
      </c>
      <c r="C462" s="158" t="s">
        <v>938</v>
      </c>
      <c r="D462" s="165" t="s">
        <v>948</v>
      </c>
      <c r="E462" s="158" t="n">
        <v>2719</v>
      </c>
      <c r="F462" s="165" t="s">
        <v>949</v>
      </c>
      <c r="G462" s="165" t="s">
        <v>950</v>
      </c>
      <c r="H462" s="167"/>
      <c r="I462" s="157" t="s">
        <v>942</v>
      </c>
      <c r="J462" s="149"/>
      <c r="K462" s="149"/>
      <c r="L462" s="149"/>
      <c r="M462" s="149"/>
      <c r="N462" s="149"/>
      <c r="O462" s="149"/>
      <c r="P462" s="149"/>
      <c r="Q462" s="149"/>
      <c r="R462" s="149"/>
      <c r="S462" s="149"/>
      <c r="T462" s="149"/>
      <c r="U462" s="149"/>
      <c r="V462" s="149"/>
      <c r="W462" s="149"/>
      <c r="X462" s="149"/>
      <c r="Y462" s="149"/>
      <c r="Z462" s="149"/>
    </row>
    <row r="463" customFormat="false" ht="15.75" hidden="false" customHeight="true" outlineLevel="0" collapsed="false">
      <c r="A463" s="206"/>
      <c r="B463" s="167"/>
      <c r="C463" s="167"/>
      <c r="D463" s="167"/>
      <c r="E463" s="167"/>
      <c r="F463" s="167"/>
      <c r="G463" s="167"/>
      <c r="H463" s="167"/>
      <c r="I463" s="167"/>
      <c r="J463" s="149"/>
      <c r="K463" s="149"/>
      <c r="L463" s="149"/>
      <c r="M463" s="149"/>
      <c r="N463" s="149"/>
      <c r="O463" s="149"/>
      <c r="P463" s="149"/>
      <c r="Q463" s="149"/>
      <c r="R463" s="149"/>
      <c r="S463" s="149"/>
      <c r="T463" s="149"/>
      <c r="U463" s="149"/>
      <c r="V463" s="149"/>
      <c r="W463" s="149"/>
      <c r="X463" s="149"/>
      <c r="Y463" s="149"/>
      <c r="Z463" s="149"/>
    </row>
    <row r="464" customFormat="false" ht="15.75" hidden="false" customHeight="true" outlineLevel="0" collapsed="false">
      <c r="A464" s="206"/>
      <c r="B464" s="157" t="s">
        <v>937</v>
      </c>
      <c r="C464" s="158" t="s">
        <v>938</v>
      </c>
      <c r="D464" s="165" t="s">
        <v>951</v>
      </c>
      <c r="E464" s="158" t="n">
        <v>2722</v>
      </c>
      <c r="F464" s="196" t="s">
        <v>952</v>
      </c>
      <c r="G464" s="160" t="s">
        <v>953</v>
      </c>
      <c r="H464" s="164"/>
      <c r="I464" s="157" t="s">
        <v>942</v>
      </c>
      <c r="J464" s="149"/>
      <c r="K464" s="149"/>
      <c r="L464" s="149"/>
      <c r="M464" s="149"/>
      <c r="N464" s="149"/>
      <c r="O464" s="149"/>
      <c r="P464" s="149"/>
      <c r="Q464" s="149"/>
      <c r="R464" s="149"/>
      <c r="S464" s="149"/>
      <c r="T464" s="149"/>
      <c r="U464" s="149"/>
      <c r="V464" s="149"/>
      <c r="W464" s="149"/>
      <c r="X464" s="149"/>
      <c r="Y464" s="149"/>
      <c r="Z464" s="149"/>
    </row>
    <row r="465" customFormat="false" ht="15.75" hidden="false" customHeight="true" outlineLevel="0" collapsed="false">
      <c r="A465" s="206"/>
      <c r="B465" s="157"/>
      <c r="C465" s="157"/>
      <c r="D465" s="157"/>
      <c r="E465" s="157"/>
      <c r="F465" s="157"/>
      <c r="G465" s="157"/>
      <c r="H465" s="157"/>
      <c r="I465" s="157"/>
      <c r="J465" s="149"/>
      <c r="K465" s="149"/>
      <c r="L465" s="149"/>
      <c r="M465" s="149"/>
      <c r="N465" s="149"/>
      <c r="O465" s="149"/>
      <c r="P465" s="149"/>
      <c r="Q465" s="149"/>
      <c r="R465" s="149"/>
      <c r="S465" s="149"/>
      <c r="T465" s="149"/>
      <c r="U465" s="149"/>
      <c r="V465" s="149"/>
      <c r="W465" s="149"/>
      <c r="X465" s="149"/>
      <c r="Y465" s="149"/>
      <c r="Z465" s="149"/>
    </row>
    <row r="466" customFormat="false" ht="15.75" hidden="true" customHeight="true" outlineLevel="0" collapsed="false">
      <c r="A466" s="206"/>
      <c r="B466" s="186" t="s">
        <v>937</v>
      </c>
      <c r="C466" s="178" t="s">
        <v>938</v>
      </c>
      <c r="D466" s="187" t="s">
        <v>954</v>
      </c>
      <c r="E466" s="178" t="n">
        <v>2728</v>
      </c>
      <c r="F466" s="207" t="s">
        <v>955</v>
      </c>
      <c r="G466" s="169" t="s">
        <v>956</v>
      </c>
      <c r="H466" s="167"/>
      <c r="I466" s="157" t="s">
        <v>942</v>
      </c>
      <c r="J466" s="149"/>
      <c r="K466" s="149"/>
      <c r="L466" s="149"/>
      <c r="M466" s="149"/>
      <c r="N466" s="149"/>
      <c r="O466" s="149"/>
      <c r="P466" s="149"/>
      <c r="Q466" s="149"/>
      <c r="R466" s="149"/>
      <c r="S466" s="149"/>
      <c r="T466" s="149"/>
      <c r="U466" s="149"/>
      <c r="V466" s="149"/>
      <c r="W466" s="149"/>
      <c r="X466" s="149"/>
      <c r="Y466" s="149"/>
      <c r="Z466" s="149"/>
    </row>
    <row r="467" customFormat="false" ht="15.75" hidden="true" customHeight="true" outlineLevel="0" collapsed="false">
      <c r="A467" s="206"/>
      <c r="B467" s="185"/>
      <c r="C467" s="185"/>
      <c r="D467" s="185"/>
      <c r="E467" s="185"/>
      <c r="F467" s="185"/>
      <c r="G467" s="185"/>
      <c r="H467" s="185"/>
      <c r="I467" s="185"/>
      <c r="J467" s="149"/>
      <c r="K467" s="149"/>
      <c r="L467" s="149"/>
      <c r="M467" s="149"/>
      <c r="N467" s="149"/>
      <c r="O467" s="149"/>
      <c r="P467" s="149"/>
      <c r="Q467" s="149"/>
      <c r="R467" s="149"/>
      <c r="S467" s="149"/>
      <c r="T467" s="149"/>
      <c r="U467" s="149"/>
      <c r="V467" s="149"/>
      <c r="W467" s="149"/>
      <c r="X467" s="149"/>
      <c r="Y467" s="149"/>
      <c r="Z467" s="149"/>
    </row>
    <row r="468" customFormat="false" ht="15.75" hidden="false" customHeight="true" outlineLevel="0" collapsed="false">
      <c r="A468" s="206"/>
      <c r="B468" s="186" t="s">
        <v>937</v>
      </c>
      <c r="C468" s="178" t="s">
        <v>938</v>
      </c>
      <c r="D468" s="187" t="s">
        <v>957</v>
      </c>
      <c r="E468" s="158" t="n">
        <v>2729</v>
      </c>
      <c r="F468" s="207" t="s">
        <v>958</v>
      </c>
      <c r="G468" s="161" t="s">
        <v>959</v>
      </c>
      <c r="H468" s="164"/>
      <c r="I468" s="157" t="s">
        <v>942</v>
      </c>
      <c r="J468" s="149"/>
      <c r="K468" s="149"/>
      <c r="L468" s="149"/>
      <c r="M468" s="149"/>
      <c r="N468" s="149"/>
      <c r="O468" s="149"/>
      <c r="P468" s="149"/>
      <c r="Q468" s="149"/>
      <c r="R468" s="149"/>
      <c r="S468" s="149"/>
      <c r="T468" s="149"/>
      <c r="U468" s="149"/>
      <c r="V468" s="149"/>
      <c r="W468" s="149"/>
      <c r="X468" s="149"/>
      <c r="Y468" s="149"/>
      <c r="Z468" s="149"/>
    </row>
    <row r="469" customFormat="false" ht="15.75" hidden="false" customHeight="true" outlineLevel="0" collapsed="false">
      <c r="A469" s="191"/>
      <c r="B469" s="191"/>
      <c r="C469" s="191"/>
      <c r="D469" s="191"/>
      <c r="E469" s="191"/>
      <c r="F469" s="191"/>
      <c r="G469" s="191"/>
      <c r="H469" s="191"/>
      <c r="I469" s="191"/>
      <c r="J469" s="149"/>
      <c r="K469" s="149"/>
      <c r="L469" s="149"/>
      <c r="M469" s="149"/>
      <c r="N469" s="149"/>
      <c r="O469" s="149"/>
      <c r="P469" s="149"/>
      <c r="Q469" s="149"/>
      <c r="R469" s="149"/>
      <c r="S469" s="149"/>
      <c r="T469" s="149"/>
      <c r="U469" s="149"/>
      <c r="V469" s="149"/>
      <c r="W469" s="149"/>
      <c r="X469" s="149"/>
      <c r="Y469" s="149"/>
      <c r="Z469" s="149"/>
    </row>
    <row r="470" customFormat="false" ht="15.75" hidden="false" customHeight="true" outlineLevel="0" collapsed="false">
      <c r="A470" s="156" t="s">
        <v>3</v>
      </c>
      <c r="B470" s="157" t="s">
        <v>960</v>
      </c>
      <c r="C470" s="158" t="s">
        <v>961</v>
      </c>
      <c r="D470" s="165" t="s">
        <v>962</v>
      </c>
      <c r="E470" s="158" t="n">
        <v>2702</v>
      </c>
      <c r="F470" s="158" t="s">
        <v>963</v>
      </c>
      <c r="G470" s="166"/>
      <c r="H470" s="167"/>
      <c r="I470" s="157" t="s">
        <v>592</v>
      </c>
      <c r="J470" s="149"/>
      <c r="K470" s="149"/>
      <c r="L470" s="149"/>
      <c r="M470" s="149"/>
      <c r="N470" s="149"/>
      <c r="O470" s="149"/>
      <c r="P470" s="149"/>
      <c r="Q470" s="149"/>
      <c r="R470" s="149"/>
      <c r="S470" s="149"/>
      <c r="T470" s="149"/>
      <c r="U470" s="149"/>
      <c r="V470" s="149"/>
      <c r="W470" s="149"/>
      <c r="X470" s="149"/>
      <c r="Y470" s="149"/>
      <c r="Z470" s="149"/>
    </row>
    <row r="471" customFormat="false" ht="15.75" hidden="false" customHeight="true" outlineLevel="0" collapsed="false">
      <c r="A471" s="156"/>
      <c r="B471" s="157" t="s">
        <v>964</v>
      </c>
      <c r="C471" s="158" t="s">
        <v>965</v>
      </c>
      <c r="D471" s="165"/>
      <c r="E471" s="158" t="n">
        <v>2702</v>
      </c>
      <c r="F471" s="158" t="s">
        <v>966</v>
      </c>
      <c r="G471" s="166"/>
      <c r="H471" s="167"/>
      <c r="I471" s="157" t="s">
        <v>967</v>
      </c>
      <c r="J471" s="149"/>
      <c r="K471" s="149"/>
      <c r="L471" s="149"/>
      <c r="M471" s="149"/>
      <c r="N471" s="149"/>
      <c r="O471" s="149"/>
      <c r="P471" s="149"/>
      <c r="Q471" s="149"/>
      <c r="R471" s="149"/>
      <c r="S471" s="149"/>
      <c r="T471" s="149"/>
      <c r="U471" s="149"/>
      <c r="V471" s="149"/>
      <c r="W471" s="149"/>
      <c r="X471" s="149"/>
      <c r="Y471" s="149"/>
      <c r="Z471" s="149"/>
    </row>
    <row r="472" customFormat="false" ht="15.75" hidden="false" customHeight="true" outlineLevel="0" collapsed="false">
      <c r="A472" s="156"/>
      <c r="B472" s="163" t="s">
        <v>968</v>
      </c>
      <c r="C472" s="164" t="s">
        <v>969</v>
      </c>
      <c r="D472" s="165"/>
      <c r="E472" s="158" t="n">
        <v>2702</v>
      </c>
      <c r="F472" s="158" t="s">
        <v>966</v>
      </c>
      <c r="G472" s="166"/>
      <c r="H472" s="167"/>
      <c r="I472" s="157" t="s">
        <v>967</v>
      </c>
      <c r="J472" s="149"/>
      <c r="K472" s="149"/>
      <c r="L472" s="149"/>
      <c r="M472" s="149"/>
      <c r="N472" s="149"/>
      <c r="O472" s="149"/>
      <c r="P472" s="149"/>
      <c r="Q472" s="149"/>
      <c r="R472" s="149"/>
      <c r="S472" s="149"/>
      <c r="T472" s="149"/>
      <c r="U472" s="149"/>
      <c r="V472" s="149"/>
      <c r="W472" s="149"/>
      <c r="X472" s="149"/>
      <c r="Y472" s="149"/>
      <c r="Z472" s="149"/>
    </row>
    <row r="473" customFormat="false" ht="15.75" hidden="false" customHeight="true" outlineLevel="0" collapsed="false">
      <c r="A473" s="156"/>
      <c r="B473" s="157" t="s">
        <v>970</v>
      </c>
      <c r="C473" s="158" t="s">
        <v>971</v>
      </c>
      <c r="D473" s="165" t="s">
        <v>972</v>
      </c>
      <c r="E473" s="158" t="n">
        <v>2702</v>
      </c>
      <c r="F473" s="158" t="s">
        <v>973</v>
      </c>
      <c r="G473" s="166"/>
      <c r="H473" s="167"/>
      <c r="I473" s="157" t="s">
        <v>974</v>
      </c>
      <c r="J473" s="149"/>
      <c r="K473" s="149"/>
      <c r="L473" s="149"/>
      <c r="M473" s="149"/>
      <c r="N473" s="149"/>
      <c r="O473" s="149"/>
      <c r="P473" s="149"/>
      <c r="Q473" s="149"/>
      <c r="R473" s="149"/>
      <c r="S473" s="149"/>
      <c r="T473" s="149"/>
      <c r="U473" s="149"/>
      <c r="V473" s="149"/>
      <c r="W473" s="149"/>
      <c r="X473" s="149"/>
      <c r="Y473" s="149"/>
      <c r="Z473" s="149"/>
    </row>
    <row r="474" customFormat="false" ht="15.75" hidden="false" customHeight="true" outlineLevel="0" collapsed="false">
      <c r="A474" s="156"/>
      <c r="B474" s="157" t="s">
        <v>975</v>
      </c>
      <c r="C474" s="158" t="s">
        <v>976</v>
      </c>
      <c r="D474" s="165" t="s">
        <v>711</v>
      </c>
      <c r="E474" s="158" t="n">
        <v>2702</v>
      </c>
      <c r="F474" s="158" t="s">
        <v>977</v>
      </c>
      <c r="G474" s="166"/>
      <c r="H474" s="167"/>
      <c r="I474" s="157" t="s">
        <v>592</v>
      </c>
      <c r="J474" s="149"/>
      <c r="K474" s="149"/>
      <c r="L474" s="149"/>
      <c r="M474" s="149"/>
      <c r="N474" s="149"/>
      <c r="O474" s="149"/>
      <c r="P474" s="149"/>
      <c r="Q474" s="149"/>
      <c r="R474" s="149"/>
      <c r="S474" s="149"/>
      <c r="T474" s="149"/>
      <c r="U474" s="149"/>
      <c r="V474" s="149"/>
      <c r="W474" s="149"/>
      <c r="X474" s="149"/>
      <c r="Y474" s="149"/>
      <c r="Z474" s="149"/>
    </row>
    <row r="475" customFormat="false" ht="15.75" hidden="false" customHeight="true" outlineLevel="0" collapsed="false">
      <c r="A475" s="156"/>
      <c r="B475" s="157" t="s">
        <v>978</v>
      </c>
      <c r="C475" s="158" t="s">
        <v>979</v>
      </c>
      <c r="D475" s="165" t="s">
        <v>980</v>
      </c>
      <c r="E475" s="158" t="n">
        <v>2702</v>
      </c>
      <c r="F475" s="158" t="s">
        <v>981</v>
      </c>
      <c r="G475" s="166" t="s">
        <v>982</v>
      </c>
      <c r="H475" s="167"/>
      <c r="I475" s="157" t="s">
        <v>983</v>
      </c>
      <c r="J475" s="149"/>
      <c r="K475" s="149"/>
      <c r="L475" s="149"/>
      <c r="M475" s="149"/>
      <c r="N475" s="149"/>
      <c r="O475" s="149"/>
      <c r="P475" s="149"/>
      <c r="Q475" s="149"/>
      <c r="R475" s="149"/>
      <c r="S475" s="149"/>
      <c r="T475" s="149"/>
      <c r="U475" s="149"/>
      <c r="V475" s="149"/>
      <c r="W475" s="149"/>
      <c r="X475" s="149"/>
      <c r="Y475" s="149"/>
      <c r="Z475" s="149"/>
    </row>
    <row r="476" customFormat="false" ht="15.75" hidden="false" customHeight="true" outlineLevel="0" collapsed="false">
      <c r="A476" s="156"/>
      <c r="B476" s="157" t="s">
        <v>984</v>
      </c>
      <c r="C476" s="158" t="s">
        <v>985</v>
      </c>
      <c r="D476" s="165"/>
      <c r="E476" s="158" t="n">
        <v>2702</v>
      </c>
      <c r="F476" s="158" t="s">
        <v>517</v>
      </c>
      <c r="G476" s="166" t="s">
        <v>986</v>
      </c>
      <c r="H476" s="167"/>
      <c r="I476" s="157" t="s">
        <v>276</v>
      </c>
      <c r="J476" s="149"/>
      <c r="K476" s="149"/>
      <c r="L476" s="149"/>
      <c r="M476" s="149"/>
      <c r="N476" s="149"/>
      <c r="O476" s="149"/>
      <c r="P476" s="149"/>
      <c r="Q476" s="149"/>
      <c r="R476" s="149"/>
      <c r="S476" s="149"/>
      <c r="T476" s="149"/>
      <c r="U476" s="149"/>
      <c r="V476" s="149"/>
      <c r="W476" s="149"/>
      <c r="X476" s="149"/>
      <c r="Y476" s="149"/>
      <c r="Z476" s="149"/>
    </row>
    <row r="477" customFormat="false" ht="15.75" hidden="false" customHeight="true" outlineLevel="0" collapsed="false">
      <c r="A477" s="156"/>
      <c r="B477" s="157" t="s">
        <v>987</v>
      </c>
      <c r="C477" s="158" t="s">
        <v>988</v>
      </c>
      <c r="D477" s="165"/>
      <c r="E477" s="158" t="n">
        <v>2702</v>
      </c>
      <c r="F477" s="158" t="s">
        <v>517</v>
      </c>
      <c r="G477" s="166" t="s">
        <v>986</v>
      </c>
      <c r="H477" s="167"/>
      <c r="I477" s="157" t="s">
        <v>276</v>
      </c>
      <c r="J477" s="149"/>
      <c r="K477" s="149"/>
      <c r="L477" s="149"/>
      <c r="M477" s="149"/>
      <c r="N477" s="149"/>
      <c r="O477" s="149"/>
      <c r="P477" s="149"/>
      <c r="Q477" s="149"/>
      <c r="R477" s="149"/>
      <c r="S477" s="149"/>
      <c r="T477" s="149"/>
      <c r="U477" s="149"/>
      <c r="V477" s="149"/>
      <c r="W477" s="149"/>
      <c r="X477" s="149"/>
      <c r="Y477" s="149"/>
      <c r="Z477" s="149"/>
    </row>
    <row r="478" customFormat="false" ht="15.75" hidden="false" customHeight="true" outlineLevel="0" collapsed="false">
      <c r="A478" s="156"/>
      <c r="B478" s="208" t="s">
        <v>989</v>
      </c>
      <c r="C478" s="158" t="s">
        <v>990</v>
      </c>
      <c r="D478" s="165"/>
      <c r="E478" s="158" t="n">
        <v>2702</v>
      </c>
      <c r="F478" s="158" t="s">
        <v>517</v>
      </c>
      <c r="G478" s="166" t="s">
        <v>986</v>
      </c>
      <c r="H478" s="167"/>
      <c r="I478" s="157" t="s">
        <v>276</v>
      </c>
      <c r="J478" s="149"/>
      <c r="K478" s="149"/>
      <c r="L478" s="149"/>
      <c r="M478" s="149"/>
      <c r="N478" s="149"/>
      <c r="O478" s="149"/>
      <c r="P478" s="149"/>
      <c r="Q478" s="149"/>
      <c r="R478" s="149"/>
      <c r="S478" s="149"/>
      <c r="T478" s="149"/>
      <c r="U478" s="149"/>
      <c r="V478" s="149"/>
      <c r="W478" s="149"/>
      <c r="X478" s="149"/>
      <c r="Y478" s="149"/>
      <c r="Z478" s="149"/>
    </row>
    <row r="479" customFormat="false" ht="15.75" hidden="false" customHeight="true" outlineLevel="0" collapsed="false">
      <c r="A479" s="156"/>
      <c r="B479" s="157"/>
      <c r="C479" s="157"/>
      <c r="D479" s="157"/>
      <c r="E479" s="157"/>
      <c r="F479" s="157"/>
      <c r="G479" s="157"/>
      <c r="H479" s="157"/>
      <c r="I479" s="157"/>
      <c r="J479" s="149"/>
      <c r="K479" s="149"/>
      <c r="L479" s="149"/>
      <c r="M479" s="149"/>
      <c r="N479" s="149"/>
      <c r="O479" s="149"/>
      <c r="P479" s="149"/>
      <c r="Q479" s="149"/>
      <c r="R479" s="149"/>
      <c r="S479" s="149"/>
      <c r="T479" s="149"/>
      <c r="U479" s="149"/>
      <c r="V479" s="149"/>
      <c r="W479" s="149"/>
      <c r="X479" s="149"/>
      <c r="Y479" s="149"/>
      <c r="Z479" s="149"/>
    </row>
    <row r="480" customFormat="false" ht="15.75" hidden="false" customHeight="true" outlineLevel="0" collapsed="false">
      <c r="A480" s="156"/>
      <c r="B480" s="157" t="s">
        <v>960</v>
      </c>
      <c r="C480" s="158" t="s">
        <v>961</v>
      </c>
      <c r="D480" s="165" t="s">
        <v>991</v>
      </c>
      <c r="E480" s="158" t="n">
        <v>2703</v>
      </c>
      <c r="F480" s="158" t="s">
        <v>992</v>
      </c>
      <c r="G480" s="166"/>
      <c r="H480" s="167"/>
      <c r="I480" s="157" t="s">
        <v>592</v>
      </c>
      <c r="J480" s="149"/>
      <c r="K480" s="149"/>
      <c r="L480" s="149"/>
      <c r="M480" s="149"/>
      <c r="N480" s="149"/>
      <c r="O480" s="149"/>
      <c r="P480" s="149"/>
      <c r="Q480" s="149"/>
      <c r="R480" s="149"/>
      <c r="S480" s="149"/>
      <c r="T480" s="149"/>
      <c r="U480" s="149"/>
      <c r="V480" s="149"/>
      <c r="W480" s="149"/>
      <c r="X480" s="149"/>
      <c r="Y480" s="149"/>
      <c r="Z480" s="149"/>
    </row>
    <row r="481" customFormat="false" ht="15.75" hidden="false" customHeight="true" outlineLevel="0" collapsed="false">
      <c r="A481" s="156"/>
      <c r="B481" s="157" t="s">
        <v>964</v>
      </c>
      <c r="C481" s="158" t="s">
        <v>965</v>
      </c>
      <c r="D481" s="165"/>
      <c r="E481" s="158" t="n">
        <v>2703</v>
      </c>
      <c r="F481" s="158" t="s">
        <v>993</v>
      </c>
      <c r="G481" s="166"/>
      <c r="H481" s="167"/>
      <c r="I481" s="157" t="s">
        <v>967</v>
      </c>
      <c r="J481" s="149"/>
      <c r="K481" s="149"/>
      <c r="L481" s="149"/>
      <c r="M481" s="149"/>
      <c r="N481" s="149"/>
      <c r="O481" s="149"/>
      <c r="P481" s="149"/>
      <c r="Q481" s="149"/>
      <c r="R481" s="149"/>
      <c r="S481" s="149"/>
      <c r="T481" s="149"/>
      <c r="U481" s="149"/>
      <c r="V481" s="149"/>
      <c r="W481" s="149"/>
      <c r="X481" s="149"/>
      <c r="Y481" s="149"/>
      <c r="Z481" s="149"/>
    </row>
    <row r="482" customFormat="false" ht="15.75" hidden="false" customHeight="true" outlineLevel="0" collapsed="false">
      <c r="A482" s="156"/>
      <c r="B482" s="163" t="s">
        <v>968</v>
      </c>
      <c r="C482" s="164" t="s">
        <v>969</v>
      </c>
      <c r="D482" s="165"/>
      <c r="E482" s="158" t="n">
        <v>2703</v>
      </c>
      <c r="F482" s="158" t="s">
        <v>993</v>
      </c>
      <c r="G482" s="166"/>
      <c r="H482" s="167"/>
      <c r="I482" s="157" t="s">
        <v>967</v>
      </c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</row>
    <row r="483" customFormat="false" ht="15.75" hidden="false" customHeight="true" outlineLevel="0" collapsed="false">
      <c r="A483" s="156"/>
      <c r="B483" s="157" t="s">
        <v>970</v>
      </c>
      <c r="C483" s="158" t="s">
        <v>971</v>
      </c>
      <c r="D483" s="165" t="s">
        <v>994</v>
      </c>
      <c r="E483" s="158" t="n">
        <v>2703</v>
      </c>
      <c r="F483" s="158" t="s">
        <v>995</v>
      </c>
      <c r="G483" s="166"/>
      <c r="H483" s="167"/>
      <c r="I483" s="157" t="s">
        <v>974</v>
      </c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</row>
    <row r="484" customFormat="false" ht="15.75" hidden="false" customHeight="true" outlineLevel="0" collapsed="false">
      <c r="A484" s="156"/>
      <c r="B484" s="157" t="s">
        <v>975</v>
      </c>
      <c r="C484" s="158" t="s">
        <v>996</v>
      </c>
      <c r="D484" s="165" t="s">
        <v>997</v>
      </c>
      <c r="E484" s="158" t="n">
        <v>2703</v>
      </c>
      <c r="F484" s="158" t="s">
        <v>992</v>
      </c>
      <c r="G484" s="166"/>
      <c r="H484" s="167"/>
      <c r="I484" s="157" t="s">
        <v>592</v>
      </c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</row>
    <row r="485" customFormat="false" ht="15.75" hidden="false" customHeight="true" outlineLevel="0" collapsed="false">
      <c r="A485" s="156"/>
      <c r="B485" s="157" t="s">
        <v>978</v>
      </c>
      <c r="C485" s="158" t="s">
        <v>998</v>
      </c>
      <c r="D485" s="165" t="s">
        <v>999</v>
      </c>
      <c r="E485" s="158" t="n">
        <v>2703</v>
      </c>
      <c r="F485" s="158" t="s">
        <v>1000</v>
      </c>
      <c r="G485" s="166" t="s">
        <v>1001</v>
      </c>
      <c r="H485" s="167"/>
      <c r="I485" s="157" t="s">
        <v>983</v>
      </c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</row>
    <row r="486" customFormat="false" ht="15.75" hidden="false" customHeight="true" outlineLevel="0" collapsed="false">
      <c r="A486" s="156"/>
      <c r="B486" s="157" t="s">
        <v>984</v>
      </c>
      <c r="C486" s="158" t="s">
        <v>985</v>
      </c>
      <c r="D486" s="165"/>
      <c r="E486" s="158" t="n">
        <v>2703</v>
      </c>
      <c r="F486" s="158" t="s">
        <v>1002</v>
      </c>
      <c r="G486" s="166" t="s">
        <v>1003</v>
      </c>
      <c r="H486" s="167"/>
      <c r="I486" s="157" t="s">
        <v>276</v>
      </c>
      <c r="J486" s="149"/>
      <c r="K486" s="149"/>
      <c r="L486" s="149"/>
      <c r="M486" s="149"/>
      <c r="N486" s="149"/>
      <c r="O486" s="149"/>
      <c r="P486" s="149"/>
      <c r="Q486" s="149"/>
      <c r="R486" s="149"/>
      <c r="S486" s="149"/>
      <c r="T486" s="149"/>
      <c r="U486" s="149"/>
      <c r="V486" s="149"/>
      <c r="W486" s="149"/>
      <c r="X486" s="149"/>
      <c r="Y486" s="149"/>
      <c r="Z486" s="149"/>
    </row>
    <row r="487" customFormat="false" ht="15.75" hidden="false" customHeight="true" outlineLevel="0" collapsed="false">
      <c r="A487" s="156"/>
      <c r="B487" s="157" t="s">
        <v>987</v>
      </c>
      <c r="C487" s="158" t="s">
        <v>988</v>
      </c>
      <c r="D487" s="165"/>
      <c r="E487" s="158" t="n">
        <v>2703</v>
      </c>
      <c r="F487" s="158" t="s">
        <v>1002</v>
      </c>
      <c r="G487" s="166" t="s">
        <v>1003</v>
      </c>
      <c r="H487" s="167"/>
      <c r="I487" s="157" t="s">
        <v>276</v>
      </c>
      <c r="J487" s="149"/>
      <c r="K487" s="149"/>
      <c r="L487" s="149"/>
      <c r="M487" s="149"/>
      <c r="N487" s="149"/>
      <c r="O487" s="149"/>
      <c r="P487" s="149"/>
      <c r="Q487" s="149"/>
      <c r="R487" s="149"/>
      <c r="S487" s="149"/>
      <c r="T487" s="149"/>
      <c r="U487" s="149"/>
      <c r="V487" s="149"/>
      <c r="W487" s="149"/>
      <c r="X487" s="149"/>
      <c r="Y487" s="149"/>
      <c r="Z487" s="149"/>
    </row>
    <row r="488" customFormat="false" ht="15.75" hidden="false" customHeight="true" outlineLevel="0" collapsed="false">
      <c r="A488" s="156"/>
      <c r="B488" s="208" t="s">
        <v>989</v>
      </c>
      <c r="C488" s="158" t="s">
        <v>990</v>
      </c>
      <c r="D488" s="165"/>
      <c r="E488" s="158" t="n">
        <v>2703</v>
      </c>
      <c r="F488" s="158" t="s">
        <v>1002</v>
      </c>
      <c r="G488" s="166" t="s">
        <v>1003</v>
      </c>
      <c r="H488" s="167"/>
      <c r="I488" s="157" t="s">
        <v>276</v>
      </c>
      <c r="J488" s="149"/>
      <c r="K488" s="149"/>
      <c r="L488" s="149"/>
      <c r="M488" s="149"/>
      <c r="N488" s="149"/>
      <c r="O488" s="149"/>
      <c r="P488" s="149"/>
      <c r="Q488" s="149"/>
      <c r="R488" s="149"/>
      <c r="S488" s="149"/>
      <c r="T488" s="149"/>
      <c r="U488" s="149"/>
      <c r="V488" s="149"/>
      <c r="W488" s="149"/>
      <c r="X488" s="149"/>
      <c r="Y488" s="149"/>
      <c r="Z488" s="149"/>
    </row>
    <row r="489" customFormat="false" ht="15.75" hidden="false" customHeight="true" outlineLevel="0" collapsed="false">
      <c r="A489" s="156"/>
      <c r="B489" s="157"/>
      <c r="C489" s="157"/>
      <c r="D489" s="157"/>
      <c r="E489" s="157"/>
      <c r="F489" s="157"/>
      <c r="G489" s="157"/>
      <c r="H489" s="157"/>
      <c r="I489" s="157"/>
      <c r="J489" s="149"/>
      <c r="K489" s="149"/>
      <c r="L489" s="149"/>
      <c r="M489" s="149"/>
      <c r="N489" s="149"/>
      <c r="O489" s="149"/>
      <c r="P489" s="149"/>
      <c r="Q489" s="149"/>
      <c r="R489" s="149"/>
      <c r="S489" s="149"/>
      <c r="T489" s="149"/>
      <c r="U489" s="149"/>
      <c r="V489" s="149"/>
      <c r="W489" s="149"/>
      <c r="X489" s="149"/>
      <c r="Y489" s="149"/>
      <c r="Z489" s="149"/>
    </row>
    <row r="490" customFormat="false" ht="15.75" hidden="false" customHeight="true" outlineLevel="0" collapsed="false">
      <c r="A490" s="156"/>
      <c r="B490" s="157" t="s">
        <v>960</v>
      </c>
      <c r="C490" s="158" t="s">
        <v>961</v>
      </c>
      <c r="D490" s="165" t="s">
        <v>1004</v>
      </c>
      <c r="E490" s="158" t="n">
        <v>2706</v>
      </c>
      <c r="F490" s="209" t="s">
        <v>696</v>
      </c>
      <c r="G490" s="166"/>
      <c r="H490" s="167"/>
      <c r="I490" s="157" t="s">
        <v>592</v>
      </c>
      <c r="J490" s="149"/>
      <c r="K490" s="149"/>
      <c r="L490" s="149"/>
      <c r="M490" s="149"/>
      <c r="N490" s="149"/>
      <c r="O490" s="149"/>
      <c r="P490" s="149"/>
      <c r="Q490" s="149"/>
      <c r="R490" s="149"/>
      <c r="S490" s="149"/>
      <c r="T490" s="149"/>
      <c r="U490" s="149"/>
      <c r="V490" s="149"/>
      <c r="W490" s="149"/>
      <c r="X490" s="149"/>
      <c r="Y490" s="149"/>
      <c r="Z490" s="149"/>
    </row>
    <row r="491" customFormat="false" ht="15.75" hidden="false" customHeight="true" outlineLevel="0" collapsed="false">
      <c r="A491" s="156"/>
      <c r="B491" s="157" t="s">
        <v>964</v>
      </c>
      <c r="C491" s="158" t="s">
        <v>965</v>
      </c>
      <c r="D491" s="166"/>
      <c r="E491" s="158" t="n">
        <v>2706</v>
      </c>
      <c r="F491" s="209"/>
      <c r="G491" s="161"/>
      <c r="H491" s="167"/>
      <c r="I491" s="157" t="s">
        <v>967</v>
      </c>
      <c r="J491" s="149"/>
      <c r="K491" s="149"/>
      <c r="L491" s="149"/>
      <c r="M491" s="149"/>
      <c r="N491" s="149"/>
      <c r="O491" s="149"/>
      <c r="P491" s="149"/>
      <c r="Q491" s="149"/>
      <c r="R491" s="149"/>
      <c r="S491" s="149"/>
      <c r="T491" s="149"/>
      <c r="U491" s="149"/>
      <c r="V491" s="149"/>
      <c r="W491" s="149"/>
      <c r="X491" s="149"/>
      <c r="Y491" s="149"/>
      <c r="Z491" s="149"/>
    </row>
    <row r="492" customFormat="false" ht="15.75" hidden="false" customHeight="true" outlineLevel="0" collapsed="false">
      <c r="A492" s="156"/>
      <c r="B492" s="163" t="s">
        <v>968</v>
      </c>
      <c r="C492" s="164" t="s">
        <v>969</v>
      </c>
      <c r="D492" s="166"/>
      <c r="E492" s="158" t="n">
        <v>2706</v>
      </c>
      <c r="F492" s="209"/>
      <c r="G492" s="161"/>
      <c r="H492" s="167"/>
      <c r="I492" s="157" t="s">
        <v>967</v>
      </c>
      <c r="J492" s="149"/>
      <c r="K492" s="149"/>
      <c r="L492" s="149"/>
      <c r="M492" s="149"/>
      <c r="N492" s="149"/>
      <c r="O492" s="149"/>
      <c r="P492" s="149"/>
      <c r="Q492" s="149"/>
      <c r="R492" s="149"/>
      <c r="S492" s="149"/>
      <c r="T492" s="149"/>
      <c r="U492" s="149"/>
      <c r="V492" s="149"/>
      <c r="W492" s="149"/>
      <c r="X492" s="149"/>
      <c r="Y492" s="149"/>
      <c r="Z492" s="149"/>
    </row>
    <row r="493" customFormat="false" ht="15.75" hidden="false" customHeight="true" outlineLevel="0" collapsed="false">
      <c r="A493" s="156"/>
      <c r="B493" s="157" t="s">
        <v>970</v>
      </c>
      <c r="C493" s="158" t="s">
        <v>971</v>
      </c>
      <c r="D493" s="165"/>
      <c r="E493" s="158" t="n">
        <v>2706</v>
      </c>
      <c r="F493" s="209"/>
      <c r="G493" s="166"/>
      <c r="H493" s="167"/>
      <c r="I493" s="157" t="s">
        <v>974</v>
      </c>
      <c r="J493" s="149"/>
      <c r="K493" s="149"/>
      <c r="L493" s="149"/>
      <c r="M493" s="149"/>
      <c r="N493" s="149"/>
      <c r="O493" s="149"/>
      <c r="P493" s="149"/>
      <c r="Q493" s="149"/>
      <c r="R493" s="149"/>
      <c r="S493" s="149"/>
      <c r="T493" s="149"/>
      <c r="U493" s="149"/>
      <c r="V493" s="149"/>
      <c r="W493" s="149"/>
      <c r="X493" s="149"/>
      <c r="Y493" s="149"/>
      <c r="Z493" s="149"/>
    </row>
    <row r="494" customFormat="false" ht="15.75" hidden="false" customHeight="true" outlineLevel="0" collapsed="false">
      <c r="A494" s="156"/>
      <c r="B494" s="157" t="s">
        <v>975</v>
      </c>
      <c r="C494" s="158" t="s">
        <v>1005</v>
      </c>
      <c r="D494" s="165" t="s">
        <v>1006</v>
      </c>
      <c r="E494" s="158" t="n">
        <v>2706</v>
      </c>
      <c r="F494" s="209" t="s">
        <v>1007</v>
      </c>
      <c r="G494" s="166"/>
      <c r="H494" s="167"/>
      <c r="I494" s="157" t="s">
        <v>592</v>
      </c>
      <c r="J494" s="149"/>
      <c r="K494" s="149"/>
      <c r="L494" s="149"/>
      <c r="M494" s="149"/>
      <c r="N494" s="149"/>
      <c r="O494" s="149"/>
      <c r="P494" s="149"/>
      <c r="Q494" s="149"/>
      <c r="R494" s="149"/>
      <c r="S494" s="149"/>
      <c r="T494" s="149"/>
      <c r="U494" s="149"/>
      <c r="V494" s="149"/>
      <c r="W494" s="149"/>
      <c r="X494" s="149"/>
      <c r="Y494" s="149"/>
      <c r="Z494" s="149"/>
    </row>
    <row r="495" customFormat="false" ht="15.75" hidden="false" customHeight="true" outlineLevel="0" collapsed="false">
      <c r="A495" s="156"/>
      <c r="B495" s="157" t="s">
        <v>978</v>
      </c>
      <c r="C495" s="158" t="s">
        <v>1008</v>
      </c>
      <c r="D495" s="166"/>
      <c r="E495" s="158" t="n">
        <v>2706</v>
      </c>
      <c r="F495" s="165" t="s">
        <v>1009</v>
      </c>
      <c r="G495" s="165"/>
      <c r="H495" s="167"/>
      <c r="I495" s="157" t="s">
        <v>983</v>
      </c>
      <c r="J495" s="149"/>
      <c r="K495" s="149"/>
      <c r="L495" s="149"/>
      <c r="M495" s="149"/>
      <c r="N495" s="149"/>
      <c r="O495" s="149"/>
      <c r="P495" s="149"/>
      <c r="Q495" s="149"/>
      <c r="R495" s="149"/>
      <c r="S495" s="149"/>
      <c r="T495" s="149"/>
      <c r="U495" s="149"/>
      <c r="V495" s="149"/>
      <c r="W495" s="149"/>
      <c r="X495" s="149"/>
      <c r="Y495" s="149"/>
      <c r="Z495" s="149"/>
    </row>
    <row r="496" customFormat="false" ht="15" hidden="false" customHeight="true" outlineLevel="0" collapsed="false">
      <c r="A496" s="156"/>
      <c r="B496" s="157" t="s">
        <v>984</v>
      </c>
      <c r="C496" s="158" t="s">
        <v>985</v>
      </c>
      <c r="D496" s="166"/>
      <c r="E496" s="158" t="n">
        <v>2706</v>
      </c>
      <c r="F496" s="181" t="s">
        <v>1010</v>
      </c>
      <c r="G496" s="210" t="s">
        <v>1011</v>
      </c>
      <c r="H496" s="164" t="s">
        <v>1012</v>
      </c>
      <c r="I496" s="157" t="s">
        <v>276</v>
      </c>
      <c r="J496" s="149"/>
      <c r="K496" s="149"/>
      <c r="L496" s="149"/>
      <c r="M496" s="149"/>
      <c r="N496" s="149"/>
      <c r="O496" s="149"/>
      <c r="P496" s="149"/>
      <c r="Q496" s="149"/>
      <c r="R496" s="149"/>
      <c r="S496" s="149"/>
      <c r="T496" s="149"/>
      <c r="U496" s="149"/>
      <c r="V496" s="149"/>
      <c r="W496" s="149"/>
      <c r="X496" s="149"/>
      <c r="Y496" s="149"/>
      <c r="Z496" s="149"/>
    </row>
    <row r="497" customFormat="false" ht="15.75" hidden="false" customHeight="true" outlineLevel="0" collapsed="false">
      <c r="A497" s="156"/>
      <c r="B497" s="157" t="s">
        <v>987</v>
      </c>
      <c r="C497" s="158" t="s">
        <v>988</v>
      </c>
      <c r="D497" s="166"/>
      <c r="E497" s="158" t="n">
        <v>2706</v>
      </c>
      <c r="F497" s="181" t="s">
        <v>1010</v>
      </c>
      <c r="G497" s="210" t="s">
        <v>1011</v>
      </c>
      <c r="H497" s="164"/>
      <c r="I497" s="157" t="s">
        <v>276</v>
      </c>
      <c r="J497" s="149"/>
      <c r="K497" s="149"/>
      <c r="L497" s="149"/>
      <c r="M497" s="149"/>
      <c r="N497" s="149"/>
      <c r="O497" s="149"/>
      <c r="P497" s="149"/>
      <c r="Q497" s="149"/>
      <c r="R497" s="149"/>
      <c r="S497" s="149"/>
      <c r="T497" s="149"/>
      <c r="U497" s="149"/>
      <c r="V497" s="149"/>
      <c r="W497" s="149"/>
      <c r="X497" s="149"/>
      <c r="Y497" s="149"/>
      <c r="Z497" s="149"/>
    </row>
    <row r="498" customFormat="false" ht="15.75" hidden="false" customHeight="true" outlineLevel="0" collapsed="false">
      <c r="A498" s="156"/>
      <c r="B498" s="208" t="s">
        <v>989</v>
      </c>
      <c r="C498" s="158" t="s">
        <v>990</v>
      </c>
      <c r="D498" s="166"/>
      <c r="E498" s="158" t="n">
        <v>2706</v>
      </c>
      <c r="F498" s="181" t="s">
        <v>1010</v>
      </c>
      <c r="G498" s="210" t="s">
        <v>1011</v>
      </c>
      <c r="H498" s="164"/>
      <c r="I498" s="157" t="s">
        <v>276</v>
      </c>
      <c r="J498" s="149"/>
      <c r="K498" s="149"/>
      <c r="L498" s="149"/>
      <c r="M498" s="149"/>
      <c r="N498" s="149"/>
      <c r="O498" s="149"/>
      <c r="P498" s="149"/>
      <c r="Q498" s="149"/>
      <c r="R498" s="149"/>
      <c r="S498" s="149"/>
      <c r="T498" s="149"/>
      <c r="U498" s="149"/>
      <c r="V498" s="149"/>
      <c r="W498" s="149"/>
      <c r="X498" s="149"/>
      <c r="Y498" s="149"/>
      <c r="Z498" s="149"/>
    </row>
    <row r="499" customFormat="false" ht="15.75" hidden="false" customHeight="true" outlineLevel="0" collapsed="false">
      <c r="A499" s="156"/>
      <c r="B499" s="167"/>
      <c r="C499" s="167"/>
      <c r="D499" s="167"/>
      <c r="E499" s="167"/>
      <c r="F499" s="167"/>
      <c r="G499" s="167"/>
      <c r="H499" s="167"/>
      <c r="I499" s="167"/>
      <c r="J499" s="149"/>
      <c r="K499" s="149"/>
      <c r="L499" s="149"/>
      <c r="M499" s="149"/>
      <c r="N499" s="149"/>
      <c r="O499" s="149"/>
      <c r="P499" s="149"/>
      <c r="Q499" s="149"/>
      <c r="R499" s="149"/>
      <c r="S499" s="149"/>
      <c r="T499" s="149"/>
      <c r="U499" s="149"/>
      <c r="V499" s="149"/>
      <c r="W499" s="149"/>
      <c r="X499" s="149"/>
      <c r="Y499" s="149"/>
      <c r="Z499" s="149"/>
    </row>
    <row r="500" customFormat="false" ht="15.75" hidden="false" customHeight="true" outlineLevel="0" collapsed="false">
      <c r="A500" s="156"/>
      <c r="B500" s="157" t="s">
        <v>960</v>
      </c>
      <c r="C500" s="158" t="s">
        <v>961</v>
      </c>
      <c r="D500" s="165" t="s">
        <v>1013</v>
      </c>
      <c r="E500" s="158" t="n">
        <v>2708</v>
      </c>
      <c r="F500" s="158" t="s">
        <v>1014</v>
      </c>
      <c r="G500" s="166"/>
      <c r="H500" s="167"/>
      <c r="I500" s="157" t="s">
        <v>592</v>
      </c>
      <c r="J500" s="149"/>
      <c r="K500" s="149"/>
      <c r="L500" s="149"/>
      <c r="M500" s="149"/>
      <c r="N500" s="149"/>
      <c r="O500" s="149"/>
      <c r="P500" s="149"/>
      <c r="Q500" s="149"/>
      <c r="R500" s="149"/>
      <c r="S500" s="149"/>
      <c r="T500" s="149"/>
      <c r="U500" s="149"/>
      <c r="V500" s="149"/>
      <c r="W500" s="149"/>
      <c r="X500" s="149"/>
      <c r="Y500" s="149"/>
      <c r="Z500" s="149"/>
    </row>
    <row r="501" customFormat="false" ht="15.75" hidden="false" customHeight="true" outlineLevel="0" collapsed="false">
      <c r="A501" s="156"/>
      <c r="B501" s="157" t="s">
        <v>964</v>
      </c>
      <c r="C501" s="158" t="s">
        <v>965</v>
      </c>
      <c r="D501" s="165"/>
      <c r="E501" s="158" t="n">
        <v>2708</v>
      </c>
      <c r="F501" s="211" t="s">
        <v>1015</v>
      </c>
      <c r="G501" s="166"/>
      <c r="H501" s="167"/>
      <c r="I501" s="157" t="s">
        <v>967</v>
      </c>
      <c r="J501" s="149"/>
      <c r="K501" s="149"/>
      <c r="L501" s="149"/>
      <c r="M501" s="149"/>
      <c r="N501" s="149"/>
      <c r="O501" s="149"/>
      <c r="P501" s="149"/>
      <c r="Q501" s="149"/>
      <c r="R501" s="149"/>
      <c r="S501" s="149"/>
      <c r="T501" s="149"/>
      <c r="U501" s="149"/>
      <c r="V501" s="149"/>
      <c r="W501" s="149"/>
      <c r="X501" s="149"/>
      <c r="Y501" s="149"/>
      <c r="Z501" s="149"/>
    </row>
    <row r="502" customFormat="false" ht="15.75" hidden="false" customHeight="true" outlineLevel="0" collapsed="false">
      <c r="A502" s="156"/>
      <c r="B502" s="163" t="s">
        <v>968</v>
      </c>
      <c r="C502" s="164" t="s">
        <v>969</v>
      </c>
      <c r="D502" s="165"/>
      <c r="E502" s="158" t="n">
        <v>2708</v>
      </c>
      <c r="F502" s="158" t="s">
        <v>1015</v>
      </c>
      <c r="G502" s="166"/>
      <c r="H502" s="167"/>
      <c r="I502" s="157" t="s">
        <v>967</v>
      </c>
      <c r="J502" s="149"/>
      <c r="K502" s="149"/>
      <c r="L502" s="149"/>
      <c r="M502" s="149"/>
      <c r="N502" s="149"/>
      <c r="O502" s="149"/>
      <c r="P502" s="149"/>
      <c r="Q502" s="149"/>
      <c r="R502" s="149"/>
      <c r="S502" s="149"/>
      <c r="T502" s="149"/>
      <c r="U502" s="149"/>
      <c r="V502" s="149"/>
      <c r="W502" s="149"/>
      <c r="X502" s="149"/>
      <c r="Y502" s="149"/>
      <c r="Z502" s="149"/>
    </row>
    <row r="503" customFormat="false" ht="15.75" hidden="false" customHeight="true" outlineLevel="0" collapsed="false">
      <c r="A503" s="156"/>
      <c r="B503" s="157" t="s">
        <v>970</v>
      </c>
      <c r="C503" s="158" t="s">
        <v>971</v>
      </c>
      <c r="D503" s="165" t="s">
        <v>1016</v>
      </c>
      <c r="E503" s="158" t="n">
        <v>2708</v>
      </c>
      <c r="F503" s="211" t="s">
        <v>1017</v>
      </c>
      <c r="G503" s="166"/>
      <c r="H503" s="167"/>
      <c r="I503" s="157" t="s">
        <v>974</v>
      </c>
      <c r="J503" s="149"/>
      <c r="K503" s="149"/>
      <c r="L503" s="149"/>
      <c r="M503" s="149"/>
      <c r="N503" s="149"/>
      <c r="O503" s="149"/>
      <c r="P503" s="149"/>
      <c r="Q503" s="149"/>
      <c r="R503" s="149"/>
      <c r="S503" s="149"/>
      <c r="T503" s="149"/>
      <c r="U503" s="149"/>
      <c r="V503" s="149"/>
      <c r="W503" s="149"/>
      <c r="X503" s="149"/>
      <c r="Y503" s="149"/>
      <c r="Z503" s="149"/>
    </row>
    <row r="504" customFormat="false" ht="15.75" hidden="false" customHeight="true" outlineLevel="0" collapsed="false">
      <c r="A504" s="156"/>
      <c r="B504" s="157" t="s">
        <v>975</v>
      </c>
      <c r="C504" s="158" t="s">
        <v>996</v>
      </c>
      <c r="D504" s="165" t="s">
        <v>1018</v>
      </c>
      <c r="E504" s="158" t="n">
        <v>2708</v>
      </c>
      <c r="F504" s="158" t="s">
        <v>728</v>
      </c>
      <c r="G504" s="166"/>
      <c r="H504" s="167"/>
      <c r="I504" s="157" t="s">
        <v>592</v>
      </c>
      <c r="J504" s="149"/>
      <c r="K504" s="149"/>
      <c r="L504" s="149"/>
      <c r="M504" s="149"/>
      <c r="N504" s="149"/>
      <c r="O504" s="149"/>
      <c r="P504" s="149"/>
      <c r="Q504" s="149"/>
      <c r="R504" s="149"/>
      <c r="S504" s="149"/>
      <c r="T504" s="149"/>
      <c r="U504" s="149"/>
      <c r="V504" s="149"/>
      <c r="W504" s="149"/>
      <c r="X504" s="149"/>
      <c r="Y504" s="149"/>
      <c r="Z504" s="149"/>
    </row>
    <row r="505" customFormat="false" ht="15.75" hidden="false" customHeight="true" outlineLevel="0" collapsed="false">
      <c r="A505" s="156"/>
      <c r="B505" s="157" t="s">
        <v>978</v>
      </c>
      <c r="C505" s="158" t="s">
        <v>1008</v>
      </c>
      <c r="D505" s="165" t="s">
        <v>1019</v>
      </c>
      <c r="E505" s="158" t="n">
        <v>2708</v>
      </c>
      <c r="F505" s="158" t="s">
        <v>1020</v>
      </c>
      <c r="G505" s="166" t="s">
        <v>1021</v>
      </c>
      <c r="H505" s="167"/>
      <c r="I505" s="157" t="s">
        <v>983</v>
      </c>
      <c r="J505" s="149"/>
      <c r="K505" s="149"/>
      <c r="L505" s="149"/>
      <c r="M505" s="149"/>
      <c r="N505" s="149"/>
      <c r="O505" s="149"/>
      <c r="P505" s="149"/>
      <c r="Q505" s="149"/>
      <c r="R505" s="149"/>
      <c r="S505" s="149"/>
      <c r="T505" s="149"/>
      <c r="U505" s="149"/>
      <c r="V505" s="149"/>
      <c r="W505" s="149"/>
      <c r="X505" s="149"/>
      <c r="Y505" s="149"/>
      <c r="Z505" s="149"/>
    </row>
    <row r="506" customFormat="false" ht="15.75" hidden="false" customHeight="true" outlineLevel="0" collapsed="false">
      <c r="A506" s="156"/>
      <c r="B506" s="157" t="s">
        <v>984</v>
      </c>
      <c r="C506" s="158" t="s">
        <v>985</v>
      </c>
      <c r="D506" s="165"/>
      <c r="E506" s="158" t="n">
        <v>2708</v>
      </c>
      <c r="F506" s="158" t="s">
        <v>1022</v>
      </c>
      <c r="G506" s="166" t="s">
        <v>1023</v>
      </c>
      <c r="H506" s="167"/>
      <c r="I506" s="157" t="s">
        <v>276</v>
      </c>
      <c r="J506" s="149"/>
      <c r="K506" s="149"/>
      <c r="L506" s="149"/>
      <c r="M506" s="149"/>
      <c r="N506" s="149"/>
      <c r="O506" s="149"/>
      <c r="P506" s="149"/>
      <c r="Q506" s="149"/>
      <c r="R506" s="149"/>
      <c r="S506" s="149"/>
      <c r="T506" s="149"/>
      <c r="U506" s="149"/>
      <c r="V506" s="149"/>
      <c r="W506" s="149"/>
      <c r="X506" s="149"/>
      <c r="Y506" s="149"/>
      <c r="Z506" s="149"/>
    </row>
    <row r="507" customFormat="false" ht="15.75" hidden="false" customHeight="true" outlineLevel="0" collapsed="false">
      <c r="A507" s="156"/>
      <c r="B507" s="157" t="s">
        <v>987</v>
      </c>
      <c r="C507" s="158" t="s">
        <v>988</v>
      </c>
      <c r="D507" s="165"/>
      <c r="E507" s="158" t="n">
        <v>2708</v>
      </c>
      <c r="F507" s="158" t="s">
        <v>1022</v>
      </c>
      <c r="G507" s="166" t="s">
        <v>1023</v>
      </c>
      <c r="H507" s="167"/>
      <c r="I507" s="157" t="s">
        <v>276</v>
      </c>
      <c r="J507" s="149"/>
      <c r="K507" s="149"/>
      <c r="L507" s="149"/>
      <c r="M507" s="149"/>
      <c r="N507" s="149"/>
      <c r="O507" s="149"/>
      <c r="P507" s="149"/>
      <c r="Q507" s="149"/>
      <c r="R507" s="149"/>
      <c r="S507" s="149"/>
      <c r="T507" s="149"/>
      <c r="U507" s="149"/>
      <c r="V507" s="149"/>
      <c r="W507" s="149"/>
      <c r="X507" s="149"/>
      <c r="Y507" s="149"/>
      <c r="Z507" s="149"/>
    </row>
    <row r="508" customFormat="false" ht="15.75" hidden="false" customHeight="true" outlineLevel="0" collapsed="false">
      <c r="A508" s="156"/>
      <c r="B508" s="208" t="s">
        <v>989</v>
      </c>
      <c r="C508" s="158" t="s">
        <v>990</v>
      </c>
      <c r="D508" s="165"/>
      <c r="E508" s="158" t="n">
        <v>2708</v>
      </c>
      <c r="F508" s="158" t="s">
        <v>1022</v>
      </c>
      <c r="G508" s="166" t="s">
        <v>1023</v>
      </c>
      <c r="H508" s="167"/>
      <c r="I508" s="157" t="s">
        <v>276</v>
      </c>
      <c r="J508" s="149"/>
      <c r="K508" s="149"/>
      <c r="L508" s="149"/>
      <c r="M508" s="149"/>
      <c r="N508" s="149"/>
      <c r="O508" s="149"/>
      <c r="P508" s="149"/>
      <c r="Q508" s="149"/>
      <c r="R508" s="149"/>
      <c r="S508" s="149"/>
      <c r="T508" s="149"/>
      <c r="U508" s="149"/>
      <c r="V508" s="149"/>
      <c r="W508" s="149"/>
      <c r="X508" s="149"/>
      <c r="Y508" s="149"/>
      <c r="Z508" s="149"/>
    </row>
    <row r="509" customFormat="false" ht="15.75" hidden="false" customHeight="true" outlineLevel="0" collapsed="false">
      <c r="A509" s="156"/>
      <c r="B509" s="157"/>
      <c r="C509" s="157"/>
      <c r="D509" s="157"/>
      <c r="E509" s="157"/>
      <c r="F509" s="157"/>
      <c r="G509" s="157"/>
      <c r="H509" s="157"/>
      <c r="I509" s="157"/>
      <c r="J509" s="149"/>
      <c r="K509" s="149"/>
      <c r="L509" s="149"/>
      <c r="M509" s="149"/>
      <c r="N509" s="149"/>
      <c r="O509" s="149"/>
      <c r="P509" s="149"/>
      <c r="Q509" s="149"/>
      <c r="R509" s="149"/>
      <c r="S509" s="149"/>
      <c r="T509" s="149"/>
      <c r="U509" s="149"/>
      <c r="V509" s="149"/>
      <c r="W509" s="149"/>
      <c r="X509" s="149"/>
      <c r="Y509" s="149"/>
      <c r="Z509" s="149"/>
    </row>
    <row r="510" customFormat="false" ht="15.75" hidden="false" customHeight="true" outlineLevel="0" collapsed="false">
      <c r="A510" s="156"/>
      <c r="B510" s="157" t="s">
        <v>960</v>
      </c>
      <c r="C510" s="158" t="s">
        <v>961</v>
      </c>
      <c r="D510" s="165" t="s">
        <v>1024</v>
      </c>
      <c r="E510" s="158" t="n">
        <v>2719</v>
      </c>
      <c r="F510" s="158" t="s">
        <v>1025</v>
      </c>
      <c r="G510" s="166"/>
      <c r="H510" s="167"/>
      <c r="I510" s="157" t="s">
        <v>592</v>
      </c>
      <c r="J510" s="149"/>
      <c r="K510" s="149"/>
      <c r="L510" s="149"/>
      <c r="M510" s="149"/>
      <c r="N510" s="149"/>
      <c r="O510" s="149"/>
      <c r="P510" s="149"/>
      <c r="Q510" s="149"/>
      <c r="R510" s="149"/>
      <c r="S510" s="149"/>
      <c r="T510" s="149"/>
      <c r="U510" s="149"/>
      <c r="V510" s="149"/>
      <c r="W510" s="149"/>
      <c r="X510" s="149"/>
      <c r="Y510" s="149"/>
      <c r="Z510" s="149"/>
    </row>
    <row r="511" customFormat="false" ht="15.75" hidden="false" customHeight="true" outlineLevel="0" collapsed="false">
      <c r="A511" s="156"/>
      <c r="B511" s="157" t="s">
        <v>964</v>
      </c>
      <c r="C511" s="158" t="s">
        <v>965</v>
      </c>
      <c r="D511" s="166"/>
      <c r="E511" s="158" t="n">
        <v>2719</v>
      </c>
      <c r="F511" s="158" t="s">
        <v>1026</v>
      </c>
      <c r="G511" s="166"/>
      <c r="H511" s="167"/>
      <c r="I511" s="157" t="s">
        <v>967</v>
      </c>
      <c r="J511" s="149"/>
      <c r="K511" s="149"/>
      <c r="L511" s="149"/>
      <c r="M511" s="149"/>
      <c r="N511" s="149"/>
      <c r="O511" s="149"/>
      <c r="P511" s="149"/>
      <c r="Q511" s="149"/>
      <c r="R511" s="149"/>
      <c r="S511" s="149"/>
      <c r="T511" s="149"/>
      <c r="U511" s="149"/>
      <c r="V511" s="149"/>
      <c r="W511" s="149"/>
      <c r="X511" s="149"/>
      <c r="Y511" s="149"/>
      <c r="Z511" s="149"/>
    </row>
    <row r="512" customFormat="false" ht="15.75" hidden="false" customHeight="true" outlineLevel="0" collapsed="false">
      <c r="A512" s="156"/>
      <c r="B512" s="163" t="s">
        <v>968</v>
      </c>
      <c r="C512" s="164" t="s">
        <v>969</v>
      </c>
      <c r="D512" s="166"/>
      <c r="E512" s="158" t="n">
        <v>2719</v>
      </c>
      <c r="F512" s="158" t="s">
        <v>1026</v>
      </c>
      <c r="G512" s="166"/>
      <c r="H512" s="167"/>
      <c r="I512" s="157" t="s">
        <v>967</v>
      </c>
      <c r="J512" s="149"/>
      <c r="K512" s="149"/>
      <c r="L512" s="149"/>
      <c r="M512" s="149"/>
      <c r="N512" s="149"/>
      <c r="O512" s="149"/>
      <c r="P512" s="149"/>
      <c r="Q512" s="149"/>
      <c r="R512" s="149"/>
      <c r="S512" s="149"/>
      <c r="T512" s="149"/>
      <c r="U512" s="149"/>
      <c r="V512" s="149"/>
      <c r="W512" s="149"/>
      <c r="X512" s="149"/>
      <c r="Y512" s="149"/>
      <c r="Z512" s="149"/>
    </row>
    <row r="513" customFormat="false" ht="15.75" hidden="false" customHeight="true" outlineLevel="0" collapsed="false">
      <c r="A513" s="156"/>
      <c r="B513" s="157" t="s">
        <v>970</v>
      </c>
      <c r="C513" s="158" t="s">
        <v>971</v>
      </c>
      <c r="D513" s="165" t="s">
        <v>1027</v>
      </c>
      <c r="E513" s="158" t="n">
        <v>2719</v>
      </c>
      <c r="F513" s="158" t="s">
        <v>1028</v>
      </c>
      <c r="G513" s="161"/>
      <c r="H513" s="167"/>
      <c r="I513" s="157" t="s">
        <v>974</v>
      </c>
      <c r="J513" s="149"/>
      <c r="K513" s="149"/>
      <c r="L513" s="149"/>
      <c r="M513" s="149"/>
      <c r="N513" s="149"/>
      <c r="O513" s="149"/>
      <c r="P513" s="149"/>
      <c r="Q513" s="149"/>
      <c r="R513" s="149"/>
      <c r="S513" s="149"/>
      <c r="T513" s="149"/>
      <c r="U513" s="149"/>
      <c r="V513" s="149"/>
      <c r="W513" s="149"/>
      <c r="X513" s="149"/>
      <c r="Y513" s="149"/>
      <c r="Z513" s="149"/>
    </row>
    <row r="514" customFormat="false" ht="15.75" hidden="false" customHeight="true" outlineLevel="0" collapsed="false">
      <c r="A514" s="156"/>
      <c r="B514" s="157" t="s">
        <v>975</v>
      </c>
      <c r="C514" s="158" t="s">
        <v>976</v>
      </c>
      <c r="D514" s="165" t="s">
        <v>1029</v>
      </c>
      <c r="E514" s="158" t="n">
        <v>2719</v>
      </c>
      <c r="F514" s="158" t="s">
        <v>1030</v>
      </c>
      <c r="G514" s="166"/>
      <c r="H514" s="167"/>
      <c r="I514" s="157" t="s">
        <v>592</v>
      </c>
      <c r="J514" s="149"/>
      <c r="K514" s="149"/>
      <c r="L514" s="149"/>
      <c r="M514" s="149"/>
      <c r="N514" s="149"/>
      <c r="O514" s="149"/>
      <c r="P514" s="149"/>
      <c r="Q514" s="149"/>
      <c r="R514" s="149"/>
      <c r="S514" s="149"/>
      <c r="T514" s="149"/>
      <c r="U514" s="149"/>
      <c r="V514" s="149"/>
      <c r="W514" s="149"/>
      <c r="X514" s="149"/>
      <c r="Y514" s="149"/>
      <c r="Z514" s="149"/>
    </row>
    <row r="515" customFormat="false" ht="15.75" hidden="false" customHeight="true" outlineLevel="0" collapsed="false">
      <c r="A515" s="156"/>
      <c r="B515" s="157" t="s">
        <v>978</v>
      </c>
      <c r="C515" s="158"/>
      <c r="D515" s="165"/>
      <c r="E515" s="158" t="n">
        <v>2719</v>
      </c>
      <c r="F515" s="165"/>
      <c r="G515" s="165"/>
      <c r="H515" s="167"/>
      <c r="I515" s="157" t="s">
        <v>983</v>
      </c>
      <c r="J515" s="149"/>
      <c r="K515" s="149"/>
      <c r="L515" s="149"/>
      <c r="M515" s="149"/>
      <c r="N515" s="149"/>
      <c r="O515" s="149"/>
      <c r="P515" s="149"/>
      <c r="Q515" s="149"/>
      <c r="R515" s="149"/>
      <c r="S515" s="149"/>
      <c r="T515" s="149"/>
      <c r="U515" s="149"/>
      <c r="V515" s="149"/>
      <c r="W515" s="149"/>
      <c r="X515" s="149"/>
      <c r="Y515" s="149"/>
      <c r="Z515" s="149"/>
    </row>
    <row r="516" customFormat="false" ht="15.75" hidden="false" customHeight="true" outlineLevel="0" collapsed="false">
      <c r="A516" s="156"/>
      <c r="B516" s="157" t="s">
        <v>984</v>
      </c>
      <c r="C516" s="158" t="s">
        <v>985</v>
      </c>
      <c r="D516" s="166"/>
      <c r="E516" s="158" t="n">
        <v>2719</v>
      </c>
      <c r="F516" s="196" t="s">
        <v>1031</v>
      </c>
      <c r="G516" s="160" t="s">
        <v>1032</v>
      </c>
      <c r="H516" s="174"/>
      <c r="I516" s="157" t="s">
        <v>276</v>
      </c>
      <c r="J516" s="149"/>
      <c r="K516" s="149"/>
      <c r="L516" s="149"/>
      <c r="M516" s="149"/>
      <c r="N516" s="149"/>
      <c r="O516" s="149"/>
      <c r="P516" s="149"/>
      <c r="Q516" s="149"/>
      <c r="R516" s="149"/>
      <c r="S516" s="149"/>
      <c r="T516" s="149"/>
      <c r="U516" s="149"/>
      <c r="V516" s="149"/>
      <c r="W516" s="149"/>
      <c r="X516" s="149"/>
      <c r="Y516" s="149"/>
      <c r="Z516" s="149"/>
    </row>
    <row r="517" customFormat="false" ht="15.75" hidden="false" customHeight="true" outlineLevel="0" collapsed="false">
      <c r="A517" s="156"/>
      <c r="B517" s="157" t="s">
        <v>987</v>
      </c>
      <c r="C517" s="158" t="s">
        <v>988</v>
      </c>
      <c r="D517" s="166"/>
      <c r="E517" s="158" t="n">
        <v>2719</v>
      </c>
      <c r="F517" s="196" t="s">
        <v>1031</v>
      </c>
      <c r="G517" s="160" t="s">
        <v>1032</v>
      </c>
      <c r="H517" s="174"/>
      <c r="I517" s="157" t="s">
        <v>276</v>
      </c>
      <c r="J517" s="149"/>
      <c r="K517" s="149"/>
      <c r="L517" s="149"/>
      <c r="M517" s="149"/>
      <c r="N517" s="149"/>
      <c r="O517" s="149"/>
      <c r="P517" s="149"/>
      <c r="Q517" s="149"/>
      <c r="R517" s="149"/>
      <c r="S517" s="149"/>
      <c r="T517" s="149"/>
      <c r="U517" s="149"/>
      <c r="V517" s="149"/>
      <c r="W517" s="149"/>
      <c r="X517" s="149"/>
      <c r="Y517" s="149"/>
      <c r="Z517" s="149"/>
    </row>
    <row r="518" customFormat="false" ht="15.75" hidden="false" customHeight="true" outlineLevel="0" collapsed="false">
      <c r="A518" s="156"/>
      <c r="B518" s="208" t="s">
        <v>989</v>
      </c>
      <c r="C518" s="158" t="s">
        <v>990</v>
      </c>
      <c r="D518" s="166"/>
      <c r="E518" s="158" t="n">
        <v>2719</v>
      </c>
      <c r="F518" s="196" t="s">
        <v>1031</v>
      </c>
      <c r="G518" s="160" t="s">
        <v>1032</v>
      </c>
      <c r="H518" s="174"/>
      <c r="I518" s="157" t="s">
        <v>276</v>
      </c>
      <c r="J518" s="149"/>
      <c r="K518" s="149"/>
      <c r="L518" s="149"/>
      <c r="M518" s="149"/>
      <c r="N518" s="149"/>
      <c r="O518" s="149"/>
      <c r="P518" s="149"/>
      <c r="Q518" s="149"/>
      <c r="R518" s="149"/>
      <c r="S518" s="149"/>
      <c r="T518" s="149"/>
      <c r="U518" s="149"/>
      <c r="V518" s="149"/>
      <c r="W518" s="149"/>
      <c r="X518" s="149"/>
      <c r="Y518" s="149"/>
      <c r="Z518" s="149"/>
    </row>
    <row r="519" customFormat="false" ht="15.75" hidden="false" customHeight="true" outlineLevel="0" collapsed="false">
      <c r="A519" s="156"/>
      <c r="B519" s="167"/>
      <c r="C519" s="167"/>
      <c r="D519" s="167"/>
      <c r="E519" s="167"/>
      <c r="F519" s="167"/>
      <c r="G519" s="167"/>
      <c r="H519" s="167"/>
      <c r="I519" s="167"/>
      <c r="J519" s="149"/>
      <c r="K519" s="149"/>
      <c r="L519" s="149"/>
      <c r="M519" s="149"/>
      <c r="N519" s="149"/>
      <c r="O519" s="149"/>
      <c r="P519" s="149"/>
      <c r="Q519" s="149"/>
      <c r="R519" s="149"/>
      <c r="S519" s="149"/>
      <c r="T519" s="149"/>
      <c r="U519" s="149"/>
      <c r="V519" s="149"/>
      <c r="W519" s="149"/>
      <c r="X519" s="149"/>
      <c r="Y519" s="149"/>
      <c r="Z519" s="149"/>
    </row>
    <row r="520" customFormat="false" ht="15.75" hidden="true" customHeight="true" outlineLevel="0" collapsed="false">
      <c r="A520" s="156"/>
      <c r="B520" s="157" t="s">
        <v>960</v>
      </c>
      <c r="C520" s="158" t="s">
        <v>1033</v>
      </c>
      <c r="D520" s="166" t="s">
        <v>1034</v>
      </c>
      <c r="E520" s="159" t="n">
        <v>2721</v>
      </c>
      <c r="F520" s="159" t="s">
        <v>803</v>
      </c>
      <c r="G520" s="166"/>
      <c r="H520" s="167"/>
      <c r="I520" s="157" t="s">
        <v>592</v>
      </c>
      <c r="J520" s="149"/>
      <c r="K520" s="149"/>
      <c r="L520" s="149"/>
      <c r="M520" s="149"/>
      <c r="N520" s="149"/>
      <c r="O520" s="149"/>
      <c r="P520" s="149"/>
      <c r="Q520" s="149"/>
      <c r="R520" s="149"/>
      <c r="S520" s="149"/>
      <c r="T520" s="149"/>
      <c r="U520" s="149"/>
      <c r="V520" s="149"/>
      <c r="W520" s="149"/>
      <c r="X520" s="149"/>
      <c r="Y520" s="149"/>
      <c r="Z520" s="149"/>
    </row>
    <row r="521" customFormat="false" ht="15.75" hidden="true" customHeight="true" outlineLevel="0" collapsed="false">
      <c r="A521" s="156"/>
      <c r="B521" s="157" t="s">
        <v>964</v>
      </c>
      <c r="C521" s="158" t="s">
        <v>965</v>
      </c>
      <c r="D521" s="166"/>
      <c r="E521" s="159" t="n">
        <v>2721</v>
      </c>
      <c r="F521" s="159" t="s">
        <v>805</v>
      </c>
      <c r="G521" s="166"/>
      <c r="H521" s="167"/>
      <c r="I521" s="157" t="s">
        <v>967</v>
      </c>
      <c r="J521" s="149"/>
      <c r="K521" s="149"/>
      <c r="L521" s="149"/>
      <c r="M521" s="149"/>
      <c r="N521" s="149"/>
      <c r="O521" s="149"/>
      <c r="P521" s="149"/>
      <c r="Q521" s="149"/>
      <c r="R521" s="149"/>
      <c r="S521" s="149"/>
      <c r="T521" s="149"/>
      <c r="U521" s="149"/>
      <c r="V521" s="149"/>
      <c r="W521" s="149"/>
      <c r="X521" s="149"/>
      <c r="Y521" s="149"/>
      <c r="Z521" s="149"/>
    </row>
    <row r="522" customFormat="false" ht="15.75" hidden="true" customHeight="true" outlineLevel="0" collapsed="false">
      <c r="A522" s="156"/>
      <c r="B522" s="163" t="s">
        <v>968</v>
      </c>
      <c r="C522" s="164" t="s">
        <v>969</v>
      </c>
      <c r="D522" s="166"/>
      <c r="E522" s="159" t="n">
        <v>2721</v>
      </c>
      <c r="F522" s="159" t="s">
        <v>805</v>
      </c>
      <c r="G522" s="166"/>
      <c r="H522" s="167"/>
      <c r="I522" s="157" t="s">
        <v>967</v>
      </c>
      <c r="J522" s="149"/>
      <c r="K522" s="149"/>
      <c r="L522" s="149"/>
      <c r="M522" s="149"/>
      <c r="N522" s="149"/>
      <c r="O522" s="149"/>
      <c r="P522" s="149"/>
      <c r="Q522" s="149"/>
      <c r="R522" s="149"/>
      <c r="S522" s="149"/>
      <c r="T522" s="149"/>
      <c r="U522" s="149"/>
      <c r="V522" s="149"/>
      <c r="W522" s="149"/>
      <c r="X522" s="149"/>
      <c r="Y522" s="149"/>
      <c r="Z522" s="149"/>
    </row>
    <row r="523" customFormat="false" ht="15.75" hidden="true" customHeight="true" outlineLevel="0" collapsed="false">
      <c r="A523" s="156"/>
      <c r="B523" s="157" t="s">
        <v>970</v>
      </c>
      <c r="C523" s="158" t="s">
        <v>971</v>
      </c>
      <c r="D523" s="166" t="s">
        <v>1035</v>
      </c>
      <c r="E523" s="159" t="n">
        <v>2721</v>
      </c>
      <c r="F523" s="159" t="s">
        <v>1036</v>
      </c>
      <c r="G523" s="166"/>
      <c r="H523" s="167"/>
      <c r="I523" s="157" t="s">
        <v>974</v>
      </c>
      <c r="J523" s="149"/>
      <c r="K523" s="149"/>
      <c r="L523" s="149"/>
      <c r="M523" s="149"/>
      <c r="N523" s="149"/>
      <c r="O523" s="149"/>
      <c r="P523" s="149"/>
      <c r="Q523" s="149"/>
      <c r="R523" s="149"/>
      <c r="S523" s="149"/>
      <c r="T523" s="149"/>
      <c r="U523" s="149"/>
      <c r="V523" s="149"/>
      <c r="W523" s="149"/>
      <c r="X523" s="149"/>
      <c r="Y523" s="149"/>
      <c r="Z523" s="149"/>
    </row>
    <row r="524" customFormat="false" ht="15.75" hidden="true" customHeight="true" outlineLevel="0" collapsed="false">
      <c r="A524" s="156"/>
      <c r="B524" s="157" t="s">
        <v>975</v>
      </c>
      <c r="C524" s="158" t="s">
        <v>976</v>
      </c>
      <c r="D524" s="166" t="s">
        <v>713</v>
      </c>
      <c r="E524" s="159" t="n">
        <v>2721</v>
      </c>
      <c r="F524" s="159" t="s">
        <v>803</v>
      </c>
      <c r="G524" s="166"/>
      <c r="H524" s="167"/>
      <c r="I524" s="157" t="s">
        <v>592</v>
      </c>
      <c r="J524" s="149"/>
      <c r="K524" s="149"/>
      <c r="L524" s="149"/>
      <c r="M524" s="149"/>
      <c r="N524" s="149"/>
      <c r="O524" s="149"/>
      <c r="P524" s="149"/>
      <c r="Q524" s="149"/>
      <c r="R524" s="149"/>
      <c r="S524" s="149"/>
      <c r="T524" s="149"/>
      <c r="U524" s="149"/>
      <c r="V524" s="149"/>
      <c r="W524" s="149"/>
      <c r="X524" s="149"/>
      <c r="Y524" s="149"/>
      <c r="Z524" s="149"/>
    </row>
    <row r="525" customFormat="false" ht="15.75" hidden="true" customHeight="true" outlineLevel="0" collapsed="false">
      <c r="A525" s="156"/>
      <c r="B525" s="157" t="s">
        <v>978</v>
      </c>
      <c r="C525" s="158" t="s">
        <v>1008</v>
      </c>
      <c r="D525" s="166" t="s">
        <v>1037</v>
      </c>
      <c r="E525" s="159" t="n">
        <v>2721</v>
      </c>
      <c r="F525" s="159" t="s">
        <v>1038</v>
      </c>
      <c r="G525" s="169" t="s">
        <v>1039</v>
      </c>
      <c r="H525" s="167"/>
      <c r="I525" s="157" t="s">
        <v>983</v>
      </c>
      <c r="J525" s="149"/>
      <c r="K525" s="149"/>
      <c r="L525" s="149"/>
      <c r="M525" s="149"/>
      <c r="N525" s="149"/>
      <c r="O525" s="149"/>
      <c r="P525" s="149"/>
      <c r="Q525" s="149"/>
      <c r="R525" s="149"/>
      <c r="S525" s="149"/>
      <c r="T525" s="149"/>
      <c r="U525" s="149"/>
      <c r="V525" s="149"/>
      <c r="W525" s="149"/>
      <c r="X525" s="149"/>
      <c r="Y525" s="149"/>
      <c r="Z525" s="149"/>
    </row>
    <row r="526" customFormat="false" ht="15.75" hidden="true" customHeight="true" outlineLevel="0" collapsed="false">
      <c r="A526" s="156"/>
      <c r="B526" s="157" t="s">
        <v>984</v>
      </c>
      <c r="C526" s="158" t="s">
        <v>985</v>
      </c>
      <c r="D526" s="166"/>
      <c r="E526" s="159" t="n">
        <v>2721</v>
      </c>
      <c r="F526" s="159" t="s">
        <v>1040</v>
      </c>
      <c r="G526" s="166" t="s">
        <v>1041</v>
      </c>
      <c r="H526" s="167"/>
      <c r="I526" s="157" t="s">
        <v>276</v>
      </c>
      <c r="J526" s="149"/>
      <c r="K526" s="149"/>
      <c r="L526" s="149"/>
      <c r="M526" s="149"/>
      <c r="N526" s="149"/>
      <c r="O526" s="149"/>
      <c r="P526" s="149"/>
      <c r="Q526" s="149"/>
      <c r="R526" s="149"/>
      <c r="S526" s="149"/>
      <c r="T526" s="149"/>
      <c r="U526" s="149"/>
      <c r="V526" s="149"/>
      <c r="W526" s="149"/>
      <c r="X526" s="149"/>
      <c r="Y526" s="149"/>
      <c r="Z526" s="149"/>
    </row>
    <row r="527" customFormat="false" ht="15.75" hidden="true" customHeight="true" outlineLevel="0" collapsed="false">
      <c r="A527" s="156"/>
      <c r="B527" s="157" t="s">
        <v>987</v>
      </c>
      <c r="C527" s="158" t="s">
        <v>988</v>
      </c>
      <c r="D527" s="166"/>
      <c r="E527" s="159" t="n">
        <v>2721</v>
      </c>
      <c r="F527" s="159" t="s">
        <v>1040</v>
      </c>
      <c r="G527" s="166" t="s">
        <v>1041</v>
      </c>
      <c r="H527" s="167"/>
      <c r="I527" s="157" t="s">
        <v>276</v>
      </c>
      <c r="J527" s="149"/>
      <c r="K527" s="149"/>
      <c r="L527" s="149"/>
      <c r="M527" s="149"/>
      <c r="N527" s="149"/>
      <c r="O527" s="149"/>
      <c r="P527" s="149"/>
      <c r="Q527" s="149"/>
      <c r="R527" s="149"/>
      <c r="S527" s="149"/>
      <c r="T527" s="149"/>
      <c r="U527" s="149"/>
      <c r="V527" s="149"/>
      <c r="W527" s="149"/>
      <c r="X527" s="149"/>
      <c r="Y527" s="149"/>
      <c r="Z527" s="149"/>
    </row>
    <row r="528" customFormat="false" ht="15.75" hidden="true" customHeight="true" outlineLevel="0" collapsed="false">
      <c r="A528" s="156"/>
      <c r="B528" s="208" t="s">
        <v>989</v>
      </c>
      <c r="C528" s="158" t="s">
        <v>990</v>
      </c>
      <c r="D528" s="166"/>
      <c r="E528" s="159" t="n">
        <v>2721</v>
      </c>
      <c r="F528" s="159" t="s">
        <v>1040</v>
      </c>
      <c r="G528" s="166" t="s">
        <v>1041</v>
      </c>
      <c r="H528" s="167"/>
      <c r="I528" s="157" t="s">
        <v>276</v>
      </c>
      <c r="J528" s="149"/>
      <c r="K528" s="149"/>
      <c r="L528" s="149"/>
      <c r="M528" s="149"/>
      <c r="N528" s="149"/>
      <c r="O528" s="149"/>
      <c r="P528" s="149"/>
      <c r="Q528" s="149"/>
      <c r="R528" s="149"/>
      <c r="S528" s="149"/>
      <c r="T528" s="149"/>
      <c r="U528" s="149"/>
      <c r="V528" s="149"/>
      <c r="W528" s="149"/>
      <c r="X528" s="149"/>
      <c r="Y528" s="149"/>
      <c r="Z528" s="149"/>
    </row>
    <row r="529" customFormat="false" ht="15.75" hidden="true" customHeight="true" outlineLevel="0" collapsed="false">
      <c r="A529" s="156"/>
      <c r="B529" s="167"/>
      <c r="C529" s="167"/>
      <c r="D529" s="167"/>
      <c r="E529" s="167"/>
      <c r="F529" s="167"/>
      <c r="G529" s="167"/>
      <c r="H529" s="167"/>
      <c r="I529" s="167"/>
      <c r="J529" s="149"/>
      <c r="K529" s="149"/>
      <c r="L529" s="149"/>
      <c r="M529" s="149"/>
      <c r="N529" s="149"/>
      <c r="O529" s="149"/>
      <c r="P529" s="149"/>
      <c r="Q529" s="149"/>
      <c r="R529" s="149"/>
      <c r="S529" s="149"/>
      <c r="T529" s="149"/>
      <c r="U529" s="149"/>
      <c r="V529" s="149"/>
      <c r="W529" s="149"/>
      <c r="X529" s="149"/>
      <c r="Y529" s="149"/>
      <c r="Z529" s="149"/>
    </row>
    <row r="530" customFormat="false" ht="15.75" hidden="false" customHeight="true" outlineLevel="0" collapsed="false">
      <c r="A530" s="156"/>
      <c r="B530" s="157" t="s">
        <v>960</v>
      </c>
      <c r="C530" s="158" t="s">
        <v>961</v>
      </c>
      <c r="D530" s="165" t="s">
        <v>1042</v>
      </c>
      <c r="E530" s="158" t="n">
        <v>2722</v>
      </c>
      <c r="F530" s="158" t="s">
        <v>1043</v>
      </c>
      <c r="G530" s="166"/>
      <c r="H530" s="167"/>
      <c r="I530" s="157" t="s">
        <v>592</v>
      </c>
      <c r="J530" s="149"/>
      <c r="K530" s="149"/>
      <c r="L530" s="149"/>
      <c r="M530" s="149"/>
      <c r="N530" s="149"/>
      <c r="O530" s="149"/>
      <c r="P530" s="149"/>
      <c r="Q530" s="149"/>
      <c r="R530" s="149"/>
      <c r="S530" s="149"/>
      <c r="T530" s="149"/>
      <c r="U530" s="149"/>
      <c r="V530" s="149"/>
      <c r="W530" s="149"/>
      <c r="X530" s="149"/>
      <c r="Y530" s="149"/>
      <c r="Z530" s="149"/>
    </row>
    <row r="531" customFormat="false" ht="15.75" hidden="false" customHeight="true" outlineLevel="0" collapsed="false">
      <c r="A531" s="156"/>
      <c r="B531" s="157" t="s">
        <v>964</v>
      </c>
      <c r="C531" s="158" t="s">
        <v>965</v>
      </c>
      <c r="D531" s="166"/>
      <c r="E531" s="158" t="n">
        <v>2722</v>
      </c>
      <c r="F531" s="158" t="s">
        <v>1044</v>
      </c>
      <c r="G531" s="166"/>
      <c r="H531" s="167"/>
      <c r="I531" s="157" t="s">
        <v>967</v>
      </c>
      <c r="J531" s="149"/>
      <c r="K531" s="149"/>
      <c r="L531" s="149"/>
      <c r="M531" s="149"/>
      <c r="N531" s="149"/>
      <c r="O531" s="149"/>
      <c r="P531" s="149"/>
      <c r="Q531" s="149"/>
      <c r="R531" s="149"/>
      <c r="S531" s="149"/>
      <c r="T531" s="149"/>
      <c r="U531" s="149"/>
      <c r="V531" s="149"/>
      <c r="W531" s="149"/>
      <c r="X531" s="149"/>
      <c r="Y531" s="149"/>
      <c r="Z531" s="149"/>
    </row>
    <row r="532" customFormat="false" ht="15.75" hidden="false" customHeight="true" outlineLevel="0" collapsed="false">
      <c r="A532" s="156"/>
      <c r="B532" s="163" t="s">
        <v>968</v>
      </c>
      <c r="C532" s="164" t="s">
        <v>969</v>
      </c>
      <c r="D532" s="166"/>
      <c r="E532" s="158" t="n">
        <v>2722</v>
      </c>
      <c r="F532" s="158" t="s">
        <v>1044</v>
      </c>
      <c r="G532" s="166"/>
      <c r="H532" s="167"/>
      <c r="I532" s="157" t="s">
        <v>967</v>
      </c>
      <c r="J532" s="149"/>
      <c r="K532" s="149"/>
      <c r="L532" s="149"/>
      <c r="M532" s="149"/>
      <c r="N532" s="149"/>
      <c r="O532" s="149"/>
      <c r="P532" s="149"/>
      <c r="Q532" s="149"/>
      <c r="R532" s="149"/>
      <c r="S532" s="149"/>
      <c r="T532" s="149"/>
      <c r="U532" s="149"/>
      <c r="V532" s="149"/>
      <c r="W532" s="149"/>
      <c r="X532" s="149"/>
      <c r="Y532" s="149"/>
      <c r="Z532" s="149"/>
    </row>
    <row r="533" customFormat="false" ht="15.75" hidden="false" customHeight="true" outlineLevel="0" collapsed="false">
      <c r="A533" s="156"/>
      <c r="B533" s="157" t="s">
        <v>970</v>
      </c>
      <c r="C533" s="158" t="s">
        <v>971</v>
      </c>
      <c r="D533" s="165" t="s">
        <v>1045</v>
      </c>
      <c r="E533" s="158" t="n">
        <v>2722</v>
      </c>
      <c r="F533" s="196" t="s">
        <v>1046</v>
      </c>
      <c r="G533" s="161"/>
      <c r="H533" s="167"/>
      <c r="I533" s="157" t="s">
        <v>974</v>
      </c>
      <c r="J533" s="149"/>
      <c r="K533" s="149"/>
      <c r="L533" s="149"/>
      <c r="M533" s="149"/>
      <c r="N533" s="149"/>
      <c r="O533" s="149"/>
      <c r="P533" s="149"/>
      <c r="Q533" s="149"/>
      <c r="R533" s="149"/>
      <c r="S533" s="149"/>
      <c r="T533" s="149"/>
      <c r="U533" s="149"/>
      <c r="V533" s="149"/>
      <c r="W533" s="149"/>
      <c r="X533" s="149"/>
      <c r="Y533" s="149"/>
      <c r="Z533" s="149"/>
    </row>
    <row r="534" customFormat="false" ht="15.75" hidden="false" customHeight="true" outlineLevel="0" collapsed="false">
      <c r="A534" s="156"/>
      <c r="B534" s="157" t="s">
        <v>975</v>
      </c>
      <c r="C534" s="158" t="s">
        <v>976</v>
      </c>
      <c r="D534" s="165" t="s">
        <v>831</v>
      </c>
      <c r="E534" s="158" t="n">
        <v>2722</v>
      </c>
      <c r="F534" s="158" t="s">
        <v>829</v>
      </c>
      <c r="G534" s="166"/>
      <c r="H534" s="167"/>
      <c r="I534" s="157" t="s">
        <v>592</v>
      </c>
      <c r="J534" s="149"/>
      <c r="K534" s="149"/>
      <c r="L534" s="149"/>
      <c r="M534" s="149"/>
      <c r="N534" s="149"/>
      <c r="O534" s="149"/>
      <c r="P534" s="149"/>
      <c r="Q534" s="149"/>
      <c r="R534" s="149"/>
      <c r="S534" s="149"/>
      <c r="T534" s="149"/>
      <c r="U534" s="149"/>
      <c r="V534" s="149"/>
      <c r="W534" s="149"/>
      <c r="X534" s="149"/>
      <c r="Y534" s="149"/>
      <c r="Z534" s="149"/>
    </row>
    <row r="535" customFormat="false" ht="15.75" hidden="false" customHeight="true" outlineLevel="0" collapsed="false">
      <c r="A535" s="156"/>
      <c r="B535" s="157" t="s">
        <v>978</v>
      </c>
      <c r="C535" s="158" t="s">
        <v>1008</v>
      </c>
      <c r="D535" s="165" t="s">
        <v>1047</v>
      </c>
      <c r="E535" s="158" t="n">
        <v>2722</v>
      </c>
      <c r="F535" s="158" t="s">
        <v>1020</v>
      </c>
      <c r="G535" s="165" t="s">
        <v>1021</v>
      </c>
      <c r="H535" s="167"/>
      <c r="I535" s="157" t="s">
        <v>983</v>
      </c>
      <c r="J535" s="149"/>
      <c r="K535" s="149"/>
      <c r="L535" s="149"/>
      <c r="M535" s="149"/>
      <c r="N535" s="149"/>
      <c r="O535" s="149"/>
      <c r="P535" s="149"/>
      <c r="Q535" s="149"/>
      <c r="R535" s="149"/>
      <c r="S535" s="149"/>
      <c r="T535" s="149"/>
      <c r="U535" s="149"/>
      <c r="V535" s="149"/>
      <c r="W535" s="149"/>
      <c r="X535" s="149"/>
      <c r="Y535" s="149"/>
      <c r="Z535" s="149"/>
    </row>
    <row r="536" customFormat="false" ht="15.75" hidden="false" customHeight="true" outlineLevel="0" collapsed="false">
      <c r="A536" s="156"/>
      <c r="B536" s="157" t="s">
        <v>984</v>
      </c>
      <c r="C536" s="158" t="s">
        <v>985</v>
      </c>
      <c r="D536" s="166"/>
      <c r="E536" s="158" t="n">
        <v>2722</v>
      </c>
      <c r="F536" s="158" t="s">
        <v>1048</v>
      </c>
      <c r="G536" s="160" t="s">
        <v>1049</v>
      </c>
      <c r="H536" s="167"/>
      <c r="I536" s="157" t="s">
        <v>276</v>
      </c>
      <c r="J536" s="149"/>
      <c r="K536" s="149"/>
      <c r="L536" s="149"/>
      <c r="M536" s="149"/>
      <c r="N536" s="149"/>
      <c r="O536" s="149"/>
      <c r="P536" s="149"/>
      <c r="Q536" s="149"/>
      <c r="R536" s="149"/>
      <c r="S536" s="149"/>
      <c r="T536" s="149"/>
      <c r="U536" s="149"/>
      <c r="V536" s="149"/>
      <c r="W536" s="149"/>
      <c r="X536" s="149"/>
      <c r="Y536" s="149"/>
      <c r="Z536" s="149"/>
    </row>
    <row r="537" customFormat="false" ht="15.75" hidden="false" customHeight="true" outlineLevel="0" collapsed="false">
      <c r="A537" s="156"/>
      <c r="B537" s="157" t="s">
        <v>987</v>
      </c>
      <c r="C537" s="158" t="s">
        <v>988</v>
      </c>
      <c r="D537" s="166"/>
      <c r="E537" s="158" t="n">
        <v>2722</v>
      </c>
      <c r="F537" s="158" t="s">
        <v>1048</v>
      </c>
      <c r="G537" s="160" t="s">
        <v>1049</v>
      </c>
      <c r="H537" s="167"/>
      <c r="I537" s="157" t="s">
        <v>276</v>
      </c>
      <c r="J537" s="149"/>
      <c r="K537" s="149"/>
      <c r="L537" s="149"/>
      <c r="M537" s="149"/>
      <c r="N537" s="149"/>
      <c r="O537" s="149"/>
      <c r="P537" s="149"/>
      <c r="Q537" s="149"/>
      <c r="R537" s="149"/>
      <c r="S537" s="149"/>
      <c r="T537" s="149"/>
      <c r="U537" s="149"/>
      <c r="V537" s="149"/>
      <c r="W537" s="149"/>
      <c r="X537" s="149"/>
      <c r="Y537" s="149"/>
      <c r="Z537" s="149"/>
    </row>
    <row r="538" customFormat="false" ht="15.75" hidden="false" customHeight="true" outlineLevel="0" collapsed="false">
      <c r="A538" s="156"/>
      <c r="B538" s="208" t="s">
        <v>989</v>
      </c>
      <c r="C538" s="158" t="s">
        <v>990</v>
      </c>
      <c r="D538" s="166"/>
      <c r="E538" s="158" t="n">
        <v>2722</v>
      </c>
      <c r="F538" s="158" t="s">
        <v>1048</v>
      </c>
      <c r="G538" s="160" t="s">
        <v>1049</v>
      </c>
      <c r="H538" s="167"/>
      <c r="I538" s="157" t="s">
        <v>276</v>
      </c>
      <c r="J538" s="149"/>
      <c r="K538" s="149"/>
      <c r="L538" s="149"/>
      <c r="M538" s="149"/>
      <c r="N538" s="149"/>
      <c r="O538" s="149"/>
      <c r="P538" s="149"/>
      <c r="Q538" s="149"/>
      <c r="R538" s="149"/>
      <c r="S538" s="149"/>
      <c r="T538" s="149"/>
      <c r="U538" s="149"/>
      <c r="V538" s="149"/>
      <c r="W538" s="149"/>
      <c r="X538" s="149"/>
      <c r="Y538" s="149"/>
      <c r="Z538" s="149"/>
    </row>
    <row r="539" customFormat="false" ht="15.75" hidden="true" customHeight="true" outlineLevel="0" collapsed="false">
      <c r="A539" s="156"/>
      <c r="B539" s="167"/>
      <c r="C539" s="167"/>
      <c r="D539" s="167"/>
      <c r="E539" s="167"/>
      <c r="F539" s="167"/>
      <c r="G539" s="167"/>
      <c r="H539" s="167"/>
      <c r="I539" s="167"/>
      <c r="J539" s="149"/>
      <c r="K539" s="149"/>
      <c r="L539" s="149"/>
      <c r="M539" s="149"/>
      <c r="N539" s="149"/>
      <c r="O539" s="149"/>
      <c r="P539" s="149"/>
      <c r="Q539" s="149"/>
      <c r="R539" s="149"/>
      <c r="S539" s="149"/>
      <c r="T539" s="149"/>
      <c r="U539" s="149"/>
      <c r="V539" s="149"/>
      <c r="W539" s="149"/>
      <c r="X539" s="149"/>
      <c r="Y539" s="149"/>
      <c r="Z539" s="149"/>
    </row>
    <row r="540" customFormat="false" ht="15.75" hidden="true" customHeight="true" outlineLevel="0" collapsed="false">
      <c r="A540" s="156"/>
      <c r="B540" s="212" t="s">
        <v>960</v>
      </c>
      <c r="C540" s="158" t="s">
        <v>961</v>
      </c>
      <c r="D540" s="165" t="s">
        <v>1050</v>
      </c>
      <c r="E540" s="178" t="n">
        <v>2728</v>
      </c>
      <c r="F540" s="158" t="s">
        <v>859</v>
      </c>
      <c r="G540" s="166"/>
      <c r="H540" s="167"/>
      <c r="I540" s="157" t="s">
        <v>592</v>
      </c>
      <c r="J540" s="149"/>
      <c r="K540" s="149"/>
      <c r="L540" s="149"/>
      <c r="M540" s="149"/>
      <c r="N540" s="149"/>
      <c r="O540" s="149"/>
      <c r="P540" s="149"/>
      <c r="Q540" s="149"/>
      <c r="R540" s="149"/>
      <c r="S540" s="149"/>
      <c r="T540" s="149"/>
      <c r="U540" s="149"/>
      <c r="V540" s="149"/>
      <c r="W540" s="149"/>
      <c r="X540" s="149"/>
      <c r="Y540" s="149"/>
      <c r="Z540" s="149"/>
    </row>
    <row r="541" customFormat="false" ht="15.75" hidden="true" customHeight="true" outlineLevel="0" collapsed="false">
      <c r="A541" s="156"/>
      <c r="B541" s="212" t="s">
        <v>964</v>
      </c>
      <c r="C541" s="158" t="s">
        <v>965</v>
      </c>
      <c r="D541" s="165"/>
      <c r="E541" s="178" t="n">
        <v>2728</v>
      </c>
      <c r="F541" s="158" t="s">
        <v>1051</v>
      </c>
      <c r="G541" s="166"/>
      <c r="H541" s="167"/>
      <c r="I541" s="157" t="s">
        <v>967</v>
      </c>
      <c r="J541" s="149"/>
      <c r="K541" s="149"/>
      <c r="L541" s="149"/>
      <c r="M541" s="149"/>
      <c r="N541" s="149"/>
      <c r="O541" s="149"/>
      <c r="P541" s="149"/>
      <c r="Q541" s="149"/>
      <c r="R541" s="149"/>
      <c r="S541" s="149"/>
      <c r="T541" s="149"/>
      <c r="U541" s="149"/>
      <c r="V541" s="149"/>
      <c r="W541" s="149"/>
      <c r="X541" s="149"/>
      <c r="Y541" s="149"/>
      <c r="Z541" s="149"/>
    </row>
    <row r="542" customFormat="false" ht="15.75" hidden="true" customHeight="true" outlineLevel="0" collapsed="false">
      <c r="A542" s="156"/>
      <c r="B542" s="212" t="s">
        <v>968</v>
      </c>
      <c r="C542" s="158" t="s">
        <v>969</v>
      </c>
      <c r="D542" s="165"/>
      <c r="E542" s="178" t="n">
        <v>2728</v>
      </c>
      <c r="F542" s="158" t="s">
        <v>1051</v>
      </c>
      <c r="G542" s="166"/>
      <c r="H542" s="167"/>
      <c r="I542" s="157" t="s">
        <v>967</v>
      </c>
      <c r="J542" s="149"/>
      <c r="K542" s="149"/>
      <c r="L542" s="149"/>
      <c r="M542" s="149"/>
      <c r="N542" s="149"/>
      <c r="O542" s="149"/>
      <c r="P542" s="149"/>
      <c r="Q542" s="149"/>
      <c r="R542" s="149"/>
      <c r="S542" s="149"/>
      <c r="T542" s="149"/>
      <c r="U542" s="149"/>
      <c r="V542" s="149"/>
      <c r="W542" s="149"/>
      <c r="X542" s="149"/>
      <c r="Y542" s="149"/>
      <c r="Z542" s="149"/>
    </row>
    <row r="543" customFormat="false" ht="15.75" hidden="true" customHeight="true" outlineLevel="0" collapsed="false">
      <c r="A543" s="156"/>
      <c r="B543" s="212" t="s">
        <v>970</v>
      </c>
      <c r="C543" s="158" t="s">
        <v>1052</v>
      </c>
      <c r="D543" s="165" t="s">
        <v>1053</v>
      </c>
      <c r="E543" s="178" t="n">
        <v>2728</v>
      </c>
      <c r="F543" s="158" t="s">
        <v>859</v>
      </c>
      <c r="G543" s="166"/>
      <c r="H543" s="167"/>
      <c r="I543" s="157" t="s">
        <v>592</v>
      </c>
      <c r="J543" s="149"/>
      <c r="K543" s="149"/>
      <c r="L543" s="149"/>
      <c r="M543" s="149"/>
      <c r="N543" s="149"/>
      <c r="O543" s="149"/>
      <c r="P543" s="149"/>
      <c r="Q543" s="149"/>
      <c r="R543" s="149"/>
      <c r="S543" s="149"/>
      <c r="T543" s="149"/>
      <c r="U543" s="149"/>
      <c r="V543" s="149"/>
      <c r="W543" s="149"/>
      <c r="X543" s="149"/>
      <c r="Y543" s="149"/>
      <c r="Z543" s="149"/>
    </row>
    <row r="544" customFormat="false" ht="15.75" hidden="true" customHeight="true" outlineLevel="0" collapsed="false">
      <c r="A544" s="156"/>
      <c r="B544" s="212" t="s">
        <v>975</v>
      </c>
      <c r="C544" s="158" t="s">
        <v>976</v>
      </c>
      <c r="D544" s="165" t="s">
        <v>1054</v>
      </c>
      <c r="E544" s="178" t="n">
        <v>2728</v>
      </c>
      <c r="F544" s="158" t="s">
        <v>859</v>
      </c>
      <c r="G544" s="166"/>
      <c r="H544" s="167"/>
      <c r="I544" s="157" t="s">
        <v>592</v>
      </c>
      <c r="J544" s="149"/>
      <c r="K544" s="149"/>
      <c r="L544" s="149"/>
      <c r="M544" s="149"/>
      <c r="N544" s="149"/>
      <c r="O544" s="149"/>
      <c r="P544" s="149"/>
      <c r="Q544" s="149"/>
      <c r="R544" s="149"/>
      <c r="S544" s="149"/>
      <c r="T544" s="149"/>
      <c r="U544" s="149"/>
      <c r="V544" s="149"/>
      <c r="W544" s="149"/>
      <c r="X544" s="149"/>
      <c r="Y544" s="149"/>
      <c r="Z544" s="149"/>
    </row>
    <row r="545" customFormat="false" ht="15" hidden="true" customHeight="true" outlineLevel="0" collapsed="false">
      <c r="A545" s="156"/>
      <c r="B545" s="212" t="s">
        <v>978</v>
      </c>
      <c r="C545" s="159" t="s">
        <v>1008</v>
      </c>
      <c r="D545" s="165" t="s">
        <v>1055</v>
      </c>
      <c r="E545" s="198" t="n">
        <v>2728</v>
      </c>
      <c r="F545" s="158" t="s">
        <v>1056</v>
      </c>
      <c r="G545" s="169" t="s">
        <v>1039</v>
      </c>
      <c r="H545" s="167"/>
      <c r="I545" s="157" t="s">
        <v>983</v>
      </c>
      <c r="J545" s="149"/>
      <c r="K545" s="149"/>
      <c r="L545" s="149"/>
      <c r="M545" s="149"/>
      <c r="N545" s="149"/>
      <c r="O545" s="149"/>
      <c r="P545" s="149"/>
      <c r="Q545" s="149"/>
      <c r="R545" s="149"/>
      <c r="S545" s="149"/>
      <c r="T545" s="149"/>
      <c r="U545" s="149"/>
      <c r="V545" s="149"/>
      <c r="W545" s="149"/>
      <c r="X545" s="149"/>
      <c r="Y545" s="149"/>
      <c r="Z545" s="149"/>
    </row>
    <row r="546" customFormat="false" ht="15.75" hidden="true" customHeight="true" outlineLevel="0" collapsed="false">
      <c r="A546" s="156"/>
      <c r="B546" s="212" t="s">
        <v>984</v>
      </c>
      <c r="C546" s="158" t="s">
        <v>985</v>
      </c>
      <c r="D546" s="165"/>
      <c r="E546" s="198" t="n">
        <v>2728</v>
      </c>
      <c r="F546" s="158" t="s">
        <v>1057</v>
      </c>
      <c r="G546" s="166" t="s">
        <v>1041</v>
      </c>
      <c r="H546" s="167"/>
      <c r="I546" s="157" t="s">
        <v>276</v>
      </c>
      <c r="J546" s="149"/>
      <c r="K546" s="149"/>
      <c r="L546" s="149"/>
      <c r="M546" s="149"/>
      <c r="N546" s="149"/>
      <c r="O546" s="149"/>
      <c r="P546" s="149"/>
      <c r="Q546" s="149"/>
      <c r="R546" s="149"/>
      <c r="S546" s="149"/>
      <c r="T546" s="149"/>
      <c r="U546" s="149"/>
      <c r="V546" s="149"/>
      <c r="W546" s="149"/>
      <c r="X546" s="149"/>
      <c r="Y546" s="149"/>
      <c r="Z546" s="149"/>
    </row>
    <row r="547" customFormat="false" ht="15.75" hidden="true" customHeight="true" outlineLevel="0" collapsed="false">
      <c r="A547" s="156"/>
      <c r="B547" s="212" t="s">
        <v>987</v>
      </c>
      <c r="C547" s="158" t="s">
        <v>988</v>
      </c>
      <c r="D547" s="165"/>
      <c r="E547" s="158" t="n">
        <v>2728</v>
      </c>
      <c r="F547" s="158" t="s">
        <v>1057</v>
      </c>
      <c r="G547" s="166" t="s">
        <v>1041</v>
      </c>
      <c r="H547" s="167"/>
      <c r="I547" s="157" t="s">
        <v>276</v>
      </c>
      <c r="J547" s="149"/>
      <c r="K547" s="149"/>
      <c r="L547" s="149"/>
      <c r="M547" s="149"/>
      <c r="N547" s="149"/>
      <c r="O547" s="149"/>
      <c r="P547" s="149"/>
      <c r="Q547" s="149"/>
      <c r="R547" s="149"/>
      <c r="S547" s="149"/>
      <c r="T547" s="149"/>
      <c r="U547" s="149"/>
      <c r="V547" s="149"/>
      <c r="W547" s="149"/>
      <c r="X547" s="149"/>
      <c r="Y547" s="149"/>
      <c r="Z547" s="149"/>
    </row>
    <row r="548" customFormat="false" ht="15.75" hidden="true" customHeight="true" outlineLevel="0" collapsed="false">
      <c r="A548" s="156"/>
      <c r="B548" s="213" t="s">
        <v>989</v>
      </c>
      <c r="C548" s="158" t="s">
        <v>990</v>
      </c>
      <c r="D548" s="165"/>
      <c r="E548" s="158" t="n">
        <v>2728</v>
      </c>
      <c r="F548" s="158" t="s">
        <v>1057</v>
      </c>
      <c r="G548" s="166" t="s">
        <v>1041</v>
      </c>
      <c r="H548" s="167"/>
      <c r="I548" s="157" t="s">
        <v>276</v>
      </c>
      <c r="J548" s="149"/>
      <c r="K548" s="149"/>
      <c r="L548" s="149"/>
      <c r="M548" s="149"/>
      <c r="N548" s="149"/>
      <c r="O548" s="149"/>
      <c r="P548" s="149"/>
      <c r="Q548" s="149"/>
      <c r="R548" s="149"/>
      <c r="S548" s="149"/>
      <c r="T548" s="149"/>
      <c r="U548" s="149"/>
      <c r="V548" s="149"/>
      <c r="W548" s="149"/>
      <c r="X548" s="149"/>
      <c r="Y548" s="149"/>
      <c r="Z548" s="149"/>
    </row>
    <row r="549" customFormat="false" ht="15.75" hidden="false" customHeight="true" outlineLevel="0" collapsed="false">
      <c r="A549" s="156"/>
      <c r="B549" s="212"/>
      <c r="C549" s="212"/>
      <c r="D549" s="212"/>
      <c r="E549" s="212"/>
      <c r="F549" s="212"/>
      <c r="G549" s="212"/>
      <c r="H549" s="212"/>
      <c r="I549" s="212"/>
      <c r="J549" s="149"/>
      <c r="K549" s="149"/>
      <c r="L549" s="149"/>
      <c r="M549" s="149"/>
      <c r="N549" s="149"/>
      <c r="O549" s="149"/>
      <c r="P549" s="149"/>
      <c r="Q549" s="149"/>
      <c r="R549" s="149"/>
      <c r="S549" s="149"/>
      <c r="T549" s="149"/>
      <c r="U549" s="149"/>
      <c r="V549" s="149"/>
      <c r="W549" s="149"/>
      <c r="X549" s="149"/>
      <c r="Y549" s="149"/>
      <c r="Z549" s="149"/>
    </row>
    <row r="550" customFormat="false" ht="15.75" hidden="false" customHeight="true" outlineLevel="0" collapsed="false">
      <c r="A550" s="156"/>
      <c r="B550" s="212" t="s">
        <v>960</v>
      </c>
      <c r="C550" s="158" t="s">
        <v>961</v>
      </c>
      <c r="D550" s="165" t="s">
        <v>1058</v>
      </c>
      <c r="E550" s="158" t="n">
        <v>2729</v>
      </c>
      <c r="F550" s="158" t="s">
        <v>1059</v>
      </c>
      <c r="G550" s="166"/>
      <c r="H550" s="167"/>
      <c r="I550" s="157" t="s">
        <v>592</v>
      </c>
      <c r="J550" s="149"/>
      <c r="K550" s="149"/>
      <c r="L550" s="149"/>
      <c r="M550" s="149"/>
      <c r="N550" s="149"/>
      <c r="O550" s="149"/>
      <c r="P550" s="149"/>
      <c r="Q550" s="149"/>
      <c r="R550" s="149"/>
      <c r="S550" s="149"/>
      <c r="T550" s="149"/>
      <c r="U550" s="149"/>
      <c r="V550" s="149"/>
      <c r="W550" s="149"/>
      <c r="X550" s="149"/>
      <c r="Y550" s="149"/>
      <c r="Z550" s="149"/>
    </row>
    <row r="551" customFormat="false" ht="15.75" hidden="false" customHeight="true" outlineLevel="0" collapsed="false">
      <c r="A551" s="156"/>
      <c r="B551" s="212" t="s">
        <v>964</v>
      </c>
      <c r="C551" s="158" t="s">
        <v>965</v>
      </c>
      <c r="D551" s="166"/>
      <c r="E551" s="158" t="n">
        <v>2729</v>
      </c>
      <c r="F551" s="158" t="s">
        <v>1060</v>
      </c>
      <c r="G551" s="166"/>
      <c r="H551" s="167"/>
      <c r="I551" s="157" t="s">
        <v>967</v>
      </c>
      <c r="J551" s="149"/>
      <c r="K551" s="149"/>
      <c r="L551" s="149"/>
      <c r="M551" s="149"/>
      <c r="N551" s="149"/>
      <c r="O551" s="149"/>
      <c r="P551" s="149"/>
      <c r="Q551" s="149"/>
      <c r="R551" s="149"/>
      <c r="S551" s="149"/>
      <c r="T551" s="149"/>
      <c r="U551" s="149"/>
      <c r="V551" s="149"/>
      <c r="W551" s="149"/>
      <c r="X551" s="149"/>
      <c r="Y551" s="149"/>
      <c r="Z551" s="149"/>
    </row>
    <row r="552" customFormat="false" ht="15.75" hidden="false" customHeight="true" outlineLevel="0" collapsed="false">
      <c r="A552" s="156"/>
      <c r="B552" s="212" t="s">
        <v>968</v>
      </c>
      <c r="C552" s="158" t="s">
        <v>969</v>
      </c>
      <c r="D552" s="166"/>
      <c r="E552" s="158" t="n">
        <v>2729</v>
      </c>
      <c r="F552" s="158" t="s">
        <v>1060</v>
      </c>
      <c r="G552" s="166"/>
      <c r="H552" s="167"/>
      <c r="I552" s="157" t="s">
        <v>967</v>
      </c>
      <c r="J552" s="149"/>
      <c r="K552" s="149"/>
      <c r="L552" s="149"/>
      <c r="M552" s="149"/>
      <c r="N552" s="149"/>
      <c r="O552" s="149"/>
      <c r="P552" s="149"/>
      <c r="Q552" s="149"/>
      <c r="R552" s="149"/>
      <c r="S552" s="149"/>
      <c r="T552" s="149"/>
      <c r="U552" s="149"/>
      <c r="V552" s="149"/>
      <c r="W552" s="149"/>
      <c r="X552" s="149"/>
      <c r="Y552" s="149"/>
      <c r="Z552" s="149"/>
    </row>
    <row r="553" customFormat="false" ht="15.75" hidden="false" customHeight="true" outlineLevel="0" collapsed="false">
      <c r="A553" s="156"/>
      <c r="B553" s="212" t="s">
        <v>970</v>
      </c>
      <c r="C553" s="158" t="s">
        <v>1052</v>
      </c>
      <c r="D553" s="165" t="s">
        <v>861</v>
      </c>
      <c r="E553" s="158" t="n">
        <v>2729</v>
      </c>
      <c r="F553" s="158" t="s">
        <v>1061</v>
      </c>
      <c r="G553" s="166"/>
      <c r="H553" s="167"/>
      <c r="I553" s="157" t="s">
        <v>592</v>
      </c>
      <c r="J553" s="149"/>
      <c r="K553" s="149"/>
      <c r="L553" s="149"/>
      <c r="M553" s="149"/>
      <c r="N553" s="149"/>
      <c r="O553" s="149"/>
      <c r="P553" s="149"/>
      <c r="Q553" s="149"/>
      <c r="R553" s="149"/>
      <c r="S553" s="149"/>
      <c r="T553" s="149"/>
      <c r="U553" s="149"/>
      <c r="V553" s="149"/>
      <c r="W553" s="149"/>
      <c r="X553" s="149"/>
      <c r="Y553" s="149"/>
      <c r="Z553" s="149"/>
    </row>
    <row r="554" customFormat="false" ht="15.75" hidden="false" customHeight="true" outlineLevel="0" collapsed="false">
      <c r="A554" s="156"/>
      <c r="B554" s="212" t="s">
        <v>975</v>
      </c>
      <c r="C554" s="158" t="s">
        <v>976</v>
      </c>
      <c r="D554" s="165" t="s">
        <v>1062</v>
      </c>
      <c r="E554" s="158" t="n">
        <v>2729</v>
      </c>
      <c r="F554" s="158" t="s">
        <v>1063</v>
      </c>
      <c r="G554" s="166"/>
      <c r="H554" s="167"/>
      <c r="I554" s="157" t="s">
        <v>592</v>
      </c>
      <c r="J554" s="149"/>
      <c r="K554" s="149"/>
      <c r="L554" s="149"/>
      <c r="M554" s="149"/>
      <c r="N554" s="149"/>
      <c r="O554" s="149"/>
      <c r="P554" s="149"/>
      <c r="Q554" s="149"/>
      <c r="R554" s="149"/>
      <c r="S554" s="149"/>
      <c r="T554" s="149"/>
      <c r="U554" s="149"/>
      <c r="V554" s="149"/>
      <c r="W554" s="149"/>
      <c r="X554" s="149"/>
      <c r="Y554" s="149"/>
      <c r="Z554" s="149"/>
    </row>
    <row r="555" customFormat="false" ht="15.75" hidden="false" customHeight="true" outlineLevel="0" collapsed="false">
      <c r="A555" s="156"/>
      <c r="B555" s="212" t="s">
        <v>978</v>
      </c>
      <c r="C555" s="159" t="s">
        <v>998</v>
      </c>
      <c r="D555" s="165" t="s">
        <v>1064</v>
      </c>
      <c r="E555" s="158" t="n">
        <v>2729</v>
      </c>
      <c r="F555" s="158" t="s">
        <v>1065</v>
      </c>
      <c r="G555" s="165" t="s">
        <v>1066</v>
      </c>
      <c r="H555" s="167"/>
      <c r="I555" s="157" t="s">
        <v>983</v>
      </c>
      <c r="J555" s="149"/>
      <c r="K555" s="149"/>
      <c r="L555" s="149"/>
      <c r="M555" s="149"/>
      <c r="N555" s="149"/>
      <c r="O555" s="149"/>
      <c r="P555" s="149"/>
      <c r="Q555" s="149"/>
      <c r="R555" s="149"/>
      <c r="S555" s="149"/>
      <c r="T555" s="149"/>
      <c r="U555" s="149"/>
      <c r="V555" s="149"/>
      <c r="W555" s="149"/>
      <c r="X555" s="149"/>
      <c r="Y555" s="149"/>
      <c r="Z555" s="149"/>
    </row>
    <row r="556" customFormat="false" ht="15.75" hidden="false" customHeight="true" outlineLevel="0" collapsed="false">
      <c r="A556" s="156"/>
      <c r="B556" s="212" t="s">
        <v>984</v>
      </c>
      <c r="C556" s="158" t="s">
        <v>985</v>
      </c>
      <c r="D556" s="166"/>
      <c r="E556" s="158" t="n">
        <v>2729</v>
      </c>
      <c r="F556" s="158" t="s">
        <v>1067</v>
      </c>
      <c r="G556" s="165" t="s">
        <v>1068</v>
      </c>
      <c r="H556" s="167"/>
      <c r="I556" s="157" t="s">
        <v>276</v>
      </c>
      <c r="J556" s="149"/>
      <c r="K556" s="149"/>
      <c r="L556" s="149"/>
      <c r="M556" s="149"/>
      <c r="N556" s="149"/>
      <c r="O556" s="149"/>
      <c r="P556" s="149"/>
      <c r="Q556" s="149"/>
      <c r="R556" s="149"/>
      <c r="S556" s="149"/>
      <c r="T556" s="149"/>
      <c r="U556" s="149"/>
      <c r="V556" s="149"/>
      <c r="W556" s="149"/>
      <c r="X556" s="149"/>
      <c r="Y556" s="149"/>
      <c r="Z556" s="149"/>
    </row>
    <row r="557" customFormat="false" ht="15.75" hidden="false" customHeight="true" outlineLevel="0" collapsed="false">
      <c r="A557" s="156"/>
      <c r="B557" s="212" t="s">
        <v>987</v>
      </c>
      <c r="C557" s="158" t="s">
        <v>988</v>
      </c>
      <c r="D557" s="166"/>
      <c r="E557" s="158" t="n">
        <v>2729</v>
      </c>
      <c r="F557" s="158" t="s">
        <v>1067</v>
      </c>
      <c r="G557" s="165" t="s">
        <v>1068</v>
      </c>
      <c r="H557" s="167"/>
      <c r="I557" s="157" t="s">
        <v>276</v>
      </c>
      <c r="J557" s="149"/>
      <c r="K557" s="149"/>
      <c r="L557" s="149"/>
      <c r="M557" s="149"/>
      <c r="N557" s="149"/>
      <c r="O557" s="149"/>
      <c r="P557" s="149"/>
      <c r="Q557" s="149"/>
      <c r="R557" s="149"/>
      <c r="S557" s="149"/>
      <c r="T557" s="149"/>
      <c r="U557" s="149"/>
      <c r="V557" s="149"/>
      <c r="W557" s="149"/>
      <c r="X557" s="149"/>
      <c r="Y557" s="149"/>
      <c r="Z557" s="149"/>
    </row>
    <row r="558" customFormat="false" ht="15.75" hidden="false" customHeight="true" outlineLevel="0" collapsed="false">
      <c r="A558" s="156"/>
      <c r="B558" s="213" t="s">
        <v>989</v>
      </c>
      <c r="C558" s="158" t="s">
        <v>990</v>
      </c>
      <c r="D558" s="166"/>
      <c r="E558" s="158" t="n">
        <v>2729</v>
      </c>
      <c r="F558" s="158" t="s">
        <v>1038</v>
      </c>
      <c r="G558" s="165" t="s">
        <v>1069</v>
      </c>
      <c r="H558" s="167"/>
      <c r="I558" s="157" t="s">
        <v>276</v>
      </c>
      <c r="J558" s="149"/>
      <c r="K558" s="149"/>
      <c r="L558" s="149"/>
      <c r="M558" s="149"/>
      <c r="N558" s="149"/>
      <c r="O558" s="149"/>
      <c r="P558" s="149"/>
      <c r="Q558" s="149"/>
      <c r="R558" s="149"/>
      <c r="S558" s="149"/>
      <c r="T558" s="149"/>
      <c r="U558" s="149"/>
      <c r="V558" s="149"/>
      <c r="W558" s="149"/>
      <c r="X558" s="149"/>
      <c r="Y558" s="149"/>
      <c r="Z558" s="149"/>
    </row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  <row r="1012" customFormat="false" ht="15.75" hidden="false" customHeight="true" outlineLevel="0" collapsed="false"/>
    <row r="1013" customFormat="false" ht="15.75" hidden="false" customHeight="true" outlineLevel="0" collapsed="false"/>
    <row r="1014" customFormat="false" ht="15.75" hidden="false" customHeight="true" outlineLevel="0" collapsed="false"/>
    <row r="1015" customFormat="false" ht="15.75" hidden="false" customHeight="true" outlineLevel="0" collapsed="false"/>
    <row r="1016" customFormat="false" ht="15.75" hidden="false" customHeight="true" outlineLevel="0" collapsed="false"/>
    <row r="1017" customFormat="false" ht="15.75" hidden="false" customHeight="true" outlineLevel="0" collapsed="false"/>
    <row r="1018" customFormat="false" ht="15.75" hidden="false" customHeight="true" outlineLevel="0" collapsed="false"/>
    <row r="1019" customFormat="false" ht="15.75" hidden="false" customHeight="true" outlineLevel="0" collapsed="false"/>
    <row r="1020" customFormat="false" ht="15.75" hidden="false" customHeight="true" outlineLevel="0" collapsed="false"/>
    <row r="1021" customFormat="false" ht="15.75" hidden="false" customHeight="true" outlineLevel="0" collapsed="false"/>
    <row r="1022" customFormat="false" ht="15.75" hidden="false" customHeight="true" outlineLevel="0" collapsed="false"/>
    <row r="1023" customFormat="false" ht="15.75" hidden="false" customHeight="true" outlineLevel="0" collapsed="false"/>
    <row r="1024" customFormat="false" ht="15.75" hidden="false" customHeight="true" outlineLevel="0" collapsed="false"/>
    <row r="1025" customFormat="false" ht="15.75" hidden="false" customHeight="true" outlineLevel="0" collapsed="false"/>
    <row r="1026" customFormat="false" ht="15.75" hidden="false" customHeight="true" outlineLevel="0" collapsed="false"/>
    <row r="1027" customFormat="false" ht="15.75" hidden="false" customHeight="true" outlineLevel="0" collapsed="false"/>
    <row r="1028" customFormat="false" ht="15.75" hidden="false" customHeight="true" outlineLevel="0" collapsed="false"/>
    <row r="1029" customFormat="false" ht="15.75" hidden="false" customHeight="true" outlineLevel="0" collapsed="false"/>
    <row r="1030" customFormat="false" ht="15.75" hidden="false" customHeight="true" outlineLevel="0" collapsed="false"/>
    <row r="1031" customFormat="false" ht="15.75" hidden="false" customHeight="true" outlineLevel="0" collapsed="false"/>
    <row r="1032" customFormat="false" ht="15.75" hidden="false" customHeight="true" outlineLevel="0" collapsed="false"/>
    <row r="1033" customFormat="false" ht="15.75" hidden="false" customHeight="true" outlineLevel="0" collapsed="false"/>
    <row r="1034" customFormat="false" ht="15.75" hidden="false" customHeight="true" outlineLevel="0" collapsed="false"/>
    <row r="1035" customFormat="false" ht="15.75" hidden="false" customHeight="true" outlineLevel="0" collapsed="false"/>
    <row r="1036" customFormat="false" ht="15.75" hidden="false" customHeight="true" outlineLevel="0" collapsed="false"/>
    <row r="1037" customFormat="false" ht="15.75" hidden="false" customHeight="true" outlineLevel="0" collapsed="false"/>
    <row r="1038" customFormat="false" ht="15.75" hidden="false" customHeight="true" outlineLevel="0" collapsed="false"/>
    <row r="1039" customFormat="false" ht="15.75" hidden="false" customHeight="true" outlineLevel="0" collapsed="false"/>
    <row r="1040" customFormat="false" ht="15.75" hidden="false" customHeight="true" outlineLevel="0" collapsed="false"/>
    <row r="1041" customFormat="false" ht="15.75" hidden="false" customHeight="true" outlineLevel="0" collapsed="false"/>
    <row r="1042" customFormat="false" ht="15.75" hidden="false" customHeight="true" outlineLevel="0" collapsed="false"/>
    <row r="1043" customFormat="false" ht="15.75" hidden="false" customHeight="true" outlineLevel="0" collapsed="false"/>
    <row r="1044" customFormat="false" ht="15.75" hidden="false" customHeight="true" outlineLevel="0" collapsed="false"/>
    <row r="1045" customFormat="false" ht="15.75" hidden="false" customHeight="true" outlineLevel="0" collapsed="false"/>
    <row r="1046" customFormat="false" ht="15.75" hidden="false" customHeight="true" outlineLevel="0" collapsed="false"/>
    <row r="1047" customFormat="false" ht="15.75" hidden="false" customHeight="true" outlineLevel="0" collapsed="false"/>
    <row r="1048" customFormat="false" ht="15.75" hidden="false" customHeight="true" outlineLevel="0" collapsed="false"/>
    <row r="1049" customFormat="false" ht="15.75" hidden="false" customHeight="true" outlineLevel="0" collapsed="false"/>
    <row r="1050" customFormat="false" ht="15.75" hidden="false" customHeight="true" outlineLevel="0" collapsed="false"/>
    <row r="1051" customFormat="false" ht="15.75" hidden="false" customHeight="true" outlineLevel="0" collapsed="false"/>
    <row r="1052" customFormat="false" ht="15.75" hidden="false" customHeight="true" outlineLevel="0" collapsed="false"/>
    <row r="1053" customFormat="false" ht="15.75" hidden="false" customHeight="true" outlineLevel="0" collapsed="false"/>
    <row r="1054" customFormat="false" ht="15.75" hidden="false" customHeight="true" outlineLevel="0" collapsed="false"/>
    <row r="1055" customFormat="false" ht="15.75" hidden="false" customHeight="true" outlineLevel="0" collapsed="false"/>
    <row r="1056" customFormat="false" ht="15.75" hidden="false" customHeight="true" outlineLevel="0" collapsed="false"/>
    <row r="1057" customFormat="false" ht="15.75" hidden="false" customHeight="true" outlineLevel="0" collapsed="false"/>
    <row r="1058" customFormat="false" ht="15.75" hidden="false" customHeight="true" outlineLevel="0" collapsed="false"/>
    <row r="1059" customFormat="false" ht="15.75" hidden="false" customHeight="true" outlineLevel="0" collapsed="false"/>
    <row r="1060" customFormat="false" ht="15.75" hidden="false" customHeight="true" outlineLevel="0" collapsed="false"/>
    <row r="1061" customFormat="false" ht="15.75" hidden="false" customHeight="true" outlineLevel="0" collapsed="false"/>
    <row r="1062" customFormat="false" ht="15.75" hidden="false" customHeight="true" outlineLevel="0" collapsed="false"/>
    <row r="1063" customFormat="false" ht="15.75" hidden="false" customHeight="true" outlineLevel="0" collapsed="false"/>
    <row r="1064" customFormat="false" ht="15.75" hidden="false" customHeight="true" outlineLevel="0" collapsed="false"/>
    <row r="1065" customFormat="false" ht="15.75" hidden="false" customHeight="true" outlineLevel="0" collapsed="false"/>
    <row r="1066" customFormat="false" ht="15.75" hidden="false" customHeight="true" outlineLevel="0" collapsed="false"/>
    <row r="1067" customFormat="false" ht="15.75" hidden="false" customHeight="true" outlineLevel="0" collapsed="false"/>
    <row r="1068" customFormat="false" ht="15.75" hidden="false" customHeight="true" outlineLevel="0" collapsed="false"/>
    <row r="1069" customFormat="false" ht="15.75" hidden="false" customHeight="true" outlineLevel="0" collapsed="false"/>
    <row r="1070" customFormat="false" ht="15.75" hidden="false" customHeight="true" outlineLevel="0" collapsed="false"/>
    <row r="1071" customFormat="false" ht="15.75" hidden="false" customHeight="true" outlineLevel="0" collapsed="false"/>
    <row r="1072" customFormat="false" ht="15.75" hidden="false" customHeight="true" outlineLevel="0" collapsed="false"/>
    <row r="1073" customFormat="false" ht="15.75" hidden="false" customHeight="true" outlineLevel="0" collapsed="false"/>
    <row r="1074" customFormat="false" ht="15.75" hidden="false" customHeight="true" outlineLevel="0" collapsed="false"/>
    <row r="1075" customFormat="false" ht="15.75" hidden="false" customHeight="true" outlineLevel="0" collapsed="false"/>
    <row r="1076" customFormat="false" ht="15.75" hidden="false" customHeight="true" outlineLevel="0" collapsed="false"/>
    <row r="1077" customFormat="false" ht="15.75" hidden="false" customHeight="true" outlineLevel="0" collapsed="false"/>
    <row r="1078" customFormat="false" ht="15.75" hidden="false" customHeight="true" outlineLevel="0" collapsed="false"/>
    <row r="1079" customFormat="false" ht="15.75" hidden="false" customHeight="true" outlineLevel="0" collapsed="false"/>
    <row r="1080" customFormat="false" ht="15.75" hidden="false" customHeight="true" outlineLevel="0" collapsed="false"/>
    <row r="1081" customFormat="false" ht="15.75" hidden="false" customHeight="true" outlineLevel="0" collapsed="false"/>
    <row r="1082" customFormat="false" ht="15.75" hidden="false" customHeight="true" outlineLevel="0" collapsed="false"/>
    <row r="1083" customFormat="false" ht="15.75" hidden="false" customHeight="true" outlineLevel="0" collapsed="false"/>
    <row r="1084" customFormat="false" ht="15.75" hidden="false" customHeight="true" outlineLevel="0" collapsed="false"/>
    <row r="1085" customFormat="false" ht="15.75" hidden="false" customHeight="true" outlineLevel="0" collapsed="false"/>
    <row r="1086" customFormat="false" ht="15.75" hidden="false" customHeight="true" outlineLevel="0" collapsed="false"/>
    <row r="1087" customFormat="false" ht="15.75" hidden="false" customHeight="true" outlineLevel="0" collapsed="false"/>
    <row r="1088" customFormat="false" ht="15.75" hidden="false" customHeight="true" outlineLevel="0" collapsed="false"/>
    <row r="1089" customFormat="false" ht="15.75" hidden="false" customHeight="true" outlineLevel="0" collapsed="false"/>
    <row r="1090" customFormat="false" ht="15.75" hidden="false" customHeight="true" outlineLevel="0" collapsed="false"/>
    <row r="1091" customFormat="false" ht="15.75" hidden="false" customHeight="true" outlineLevel="0" collapsed="false"/>
    <row r="1092" customFormat="false" ht="15.75" hidden="false" customHeight="true" outlineLevel="0" collapsed="false"/>
    <row r="1093" customFormat="false" ht="15.75" hidden="false" customHeight="true" outlineLevel="0" collapsed="false"/>
    <row r="1094" customFormat="false" ht="15.75" hidden="false" customHeight="true" outlineLevel="0" collapsed="false"/>
    <row r="1095" customFormat="false" ht="15.75" hidden="false" customHeight="true" outlineLevel="0" collapsed="false"/>
    <row r="1096" customFormat="false" ht="15.75" hidden="false" customHeight="true" outlineLevel="0" collapsed="false"/>
    <row r="1097" customFormat="false" ht="15.75" hidden="false" customHeight="true" outlineLevel="0" collapsed="false"/>
    <row r="1098" customFormat="false" ht="15.75" hidden="false" customHeight="true" outlineLevel="0" collapsed="false"/>
    <row r="1099" customFormat="false" ht="15.75" hidden="false" customHeight="true" outlineLevel="0" collapsed="false"/>
    <row r="1100" customFormat="false" ht="15.75" hidden="false" customHeight="true" outlineLevel="0" collapsed="false"/>
    <row r="1101" customFormat="false" ht="15.75" hidden="false" customHeight="true" outlineLevel="0" collapsed="false"/>
    <row r="1102" customFormat="false" ht="15.75" hidden="false" customHeight="true" outlineLevel="0" collapsed="false"/>
    <row r="1103" customFormat="false" ht="15.75" hidden="false" customHeight="true" outlineLevel="0" collapsed="false"/>
    <row r="1104" customFormat="false" ht="15.75" hidden="false" customHeight="true" outlineLevel="0" collapsed="false"/>
    <row r="1105" customFormat="false" ht="15.75" hidden="false" customHeight="true" outlineLevel="0" collapsed="false"/>
    <row r="1106" customFormat="false" ht="15.75" hidden="false" customHeight="true" outlineLevel="0" collapsed="false"/>
    <row r="1107" customFormat="false" ht="15.75" hidden="false" customHeight="true" outlineLevel="0" collapsed="false"/>
    <row r="1108" customFormat="false" ht="15.75" hidden="false" customHeight="true" outlineLevel="0" collapsed="false"/>
    <row r="1109" customFormat="false" ht="15.75" hidden="false" customHeight="true" outlineLevel="0" collapsed="false"/>
    <row r="1110" customFormat="false" ht="15.75" hidden="false" customHeight="true" outlineLevel="0" collapsed="false"/>
    <row r="1111" customFormat="false" ht="15.75" hidden="false" customHeight="true" outlineLevel="0" collapsed="false"/>
    <row r="1112" customFormat="false" ht="15.75" hidden="false" customHeight="true" outlineLevel="0" collapsed="false"/>
    <row r="1113" customFormat="false" ht="15.75" hidden="false" customHeight="true" outlineLevel="0" collapsed="false"/>
    <row r="1114" customFormat="false" ht="15.75" hidden="false" customHeight="true" outlineLevel="0" collapsed="false"/>
    <row r="1115" customFormat="false" ht="15.75" hidden="false" customHeight="true" outlineLevel="0" collapsed="false"/>
    <row r="1116" customFormat="false" ht="15.75" hidden="false" customHeight="true" outlineLevel="0" collapsed="false"/>
    <row r="1117" customFormat="false" ht="15.75" hidden="false" customHeight="true" outlineLevel="0" collapsed="false"/>
    <row r="1118" customFormat="false" ht="15.75" hidden="false" customHeight="true" outlineLevel="0" collapsed="false"/>
    <row r="1119" customFormat="false" ht="15.75" hidden="false" customHeight="true" outlineLevel="0" collapsed="false"/>
    <row r="1120" customFormat="false" ht="15.75" hidden="false" customHeight="true" outlineLevel="0" collapsed="false"/>
    <row r="1121" customFormat="false" ht="15.75" hidden="false" customHeight="true" outlineLevel="0" collapsed="false"/>
    <row r="1122" customFormat="false" ht="15.75" hidden="false" customHeight="true" outlineLevel="0" collapsed="false"/>
    <row r="1123" customFormat="false" ht="15.75" hidden="false" customHeight="true" outlineLevel="0" collapsed="false"/>
    <row r="1124" customFormat="false" ht="15.75" hidden="false" customHeight="true" outlineLevel="0" collapsed="false"/>
    <row r="1125" customFormat="false" ht="15.75" hidden="false" customHeight="true" outlineLevel="0" collapsed="false"/>
    <row r="1126" customFormat="false" ht="15.75" hidden="false" customHeight="true" outlineLevel="0" collapsed="false"/>
    <row r="1127" customFormat="false" ht="15.75" hidden="false" customHeight="true" outlineLevel="0" collapsed="false"/>
    <row r="1128" customFormat="false" ht="15.75" hidden="false" customHeight="true" outlineLevel="0" collapsed="false"/>
    <row r="1129" customFormat="false" ht="15.75" hidden="false" customHeight="true" outlineLevel="0" collapsed="false"/>
    <row r="1130" customFormat="false" ht="15.75" hidden="false" customHeight="true" outlineLevel="0" collapsed="false"/>
    <row r="1131" customFormat="false" ht="15.75" hidden="false" customHeight="true" outlineLevel="0" collapsed="false"/>
    <row r="1132" customFormat="false" ht="15.75" hidden="false" customHeight="true" outlineLevel="0" collapsed="false"/>
    <row r="1133" customFormat="false" ht="15.75" hidden="false" customHeight="true" outlineLevel="0" collapsed="false"/>
    <row r="1134" customFormat="false" ht="15.75" hidden="false" customHeight="true" outlineLevel="0" collapsed="false"/>
    <row r="1135" customFormat="false" ht="15.75" hidden="false" customHeight="true" outlineLevel="0" collapsed="false"/>
    <row r="1136" customFormat="false" ht="15.75" hidden="false" customHeight="true" outlineLevel="0" collapsed="false"/>
    <row r="1137" customFormat="false" ht="15.75" hidden="false" customHeight="true" outlineLevel="0" collapsed="false"/>
    <row r="1138" customFormat="false" ht="15.75" hidden="false" customHeight="true" outlineLevel="0" collapsed="false"/>
    <row r="1139" customFormat="false" ht="15.75" hidden="false" customHeight="true" outlineLevel="0" collapsed="false"/>
    <row r="1140" customFormat="false" ht="15.75" hidden="false" customHeight="true" outlineLevel="0" collapsed="false"/>
    <row r="1141" customFormat="false" ht="15.75" hidden="false" customHeight="true" outlineLevel="0" collapsed="false"/>
    <row r="1142" customFormat="false" ht="15.75" hidden="false" customHeight="true" outlineLevel="0" collapsed="false"/>
    <row r="1143" customFormat="false" ht="15.75" hidden="false" customHeight="true" outlineLevel="0" collapsed="false"/>
    <row r="1144" customFormat="false" ht="15.75" hidden="false" customHeight="true" outlineLevel="0" collapsed="false"/>
    <row r="1145" customFormat="false" ht="15.75" hidden="false" customHeight="true" outlineLevel="0" collapsed="false"/>
    <row r="1146" customFormat="false" ht="15.75" hidden="false" customHeight="true" outlineLevel="0" collapsed="false"/>
    <row r="1147" customFormat="false" ht="15.75" hidden="false" customHeight="true" outlineLevel="0" collapsed="false"/>
    <row r="1148" customFormat="false" ht="15.75" hidden="false" customHeight="true" outlineLevel="0" collapsed="false"/>
    <row r="1149" customFormat="false" ht="15.75" hidden="false" customHeight="true" outlineLevel="0" collapsed="false"/>
    <row r="1150" customFormat="false" ht="15.75" hidden="false" customHeight="true" outlineLevel="0" collapsed="false"/>
    <row r="1151" customFormat="false" ht="15.75" hidden="false" customHeight="true" outlineLevel="0" collapsed="false"/>
    <row r="1152" customFormat="false" ht="15.75" hidden="false" customHeight="true" outlineLevel="0" collapsed="false"/>
    <row r="1153" customFormat="false" ht="15.75" hidden="false" customHeight="true" outlineLevel="0" collapsed="false"/>
    <row r="1154" customFormat="false" ht="15.75" hidden="false" customHeight="true" outlineLevel="0" collapsed="false"/>
    <row r="1155" customFormat="false" ht="15.75" hidden="false" customHeight="true" outlineLevel="0" collapsed="false"/>
    <row r="1156" customFormat="false" ht="15.75" hidden="false" customHeight="true" outlineLevel="0" collapsed="false"/>
    <row r="1157" customFormat="false" ht="15.75" hidden="false" customHeight="true" outlineLevel="0" collapsed="false"/>
    <row r="1158" customFormat="false" ht="15.75" hidden="false" customHeight="true" outlineLevel="0" collapsed="false"/>
    <row r="1159" customFormat="false" ht="15.75" hidden="false" customHeight="true" outlineLevel="0" collapsed="false"/>
    <row r="1160" customFormat="false" ht="15.75" hidden="false" customHeight="true" outlineLevel="0" collapsed="false"/>
    <row r="1161" customFormat="false" ht="15.75" hidden="false" customHeight="true" outlineLevel="0" collapsed="false"/>
    <row r="1162" customFormat="false" ht="15.75" hidden="false" customHeight="true" outlineLevel="0" collapsed="false"/>
    <row r="1163" customFormat="false" ht="15.75" hidden="false" customHeight="true" outlineLevel="0" collapsed="false"/>
    <row r="1164" customFormat="false" ht="15.75" hidden="false" customHeight="true" outlineLevel="0" collapsed="false"/>
    <row r="1165" customFormat="false" ht="15.75" hidden="false" customHeight="true" outlineLevel="0" collapsed="false"/>
    <row r="1166" customFormat="false" ht="15.75" hidden="false" customHeight="true" outlineLevel="0" collapsed="false"/>
    <row r="1167" customFormat="false" ht="15.75" hidden="false" customHeight="true" outlineLevel="0" collapsed="false"/>
    <row r="1168" customFormat="false" ht="15.75" hidden="false" customHeight="true" outlineLevel="0" collapsed="false"/>
    <row r="1169" customFormat="false" ht="15.75" hidden="false" customHeight="true" outlineLevel="0" collapsed="false"/>
    <row r="1170" customFormat="false" ht="15.75" hidden="false" customHeight="true" outlineLevel="0" collapsed="false"/>
    <row r="1171" customFormat="false" ht="15.75" hidden="false" customHeight="true" outlineLevel="0" collapsed="false"/>
    <row r="1172" customFormat="false" ht="15.75" hidden="false" customHeight="true" outlineLevel="0" collapsed="false"/>
    <row r="1173" customFormat="false" ht="15.75" hidden="false" customHeight="true" outlineLevel="0" collapsed="false"/>
    <row r="1174" customFormat="false" ht="15.75" hidden="false" customHeight="true" outlineLevel="0" collapsed="false"/>
    <row r="1175" customFormat="false" ht="15.75" hidden="false" customHeight="true" outlineLevel="0" collapsed="false"/>
    <row r="1176" customFormat="false" ht="15.75" hidden="false" customHeight="true" outlineLevel="0" collapsed="false"/>
    <row r="1177" customFormat="false" ht="15.75" hidden="false" customHeight="true" outlineLevel="0" collapsed="false"/>
    <row r="1178" customFormat="false" ht="15.75" hidden="false" customHeight="true" outlineLevel="0" collapsed="false"/>
    <row r="1179" customFormat="false" ht="15.75" hidden="false" customHeight="true" outlineLevel="0" collapsed="false"/>
    <row r="1180" customFormat="false" ht="15.75" hidden="false" customHeight="true" outlineLevel="0" collapsed="false"/>
    <row r="1181" customFormat="false" ht="15.75" hidden="false" customHeight="true" outlineLevel="0" collapsed="false"/>
  </sheetData>
  <mergeCells count="76">
    <mergeCell ref="A1:I1"/>
    <mergeCell ref="A2:I2"/>
    <mergeCell ref="A3:I3"/>
    <mergeCell ref="A5:A212"/>
    <mergeCell ref="I15:I27"/>
    <mergeCell ref="B28:I28"/>
    <mergeCell ref="I39:I51"/>
    <mergeCell ref="B52:I52"/>
    <mergeCell ref="F53:F58"/>
    <mergeCell ref="F61:G62"/>
    <mergeCell ref="F63:F68"/>
    <mergeCell ref="I63:I68"/>
    <mergeCell ref="B69:I69"/>
    <mergeCell ref="I80:I92"/>
    <mergeCell ref="B93:I93"/>
    <mergeCell ref="I104:I115"/>
    <mergeCell ref="B116:I116"/>
    <mergeCell ref="I127:I138"/>
    <mergeCell ref="B139:I139"/>
    <mergeCell ref="I150:I162"/>
    <mergeCell ref="B163:I163"/>
    <mergeCell ref="I174:I187"/>
    <mergeCell ref="F183:G183"/>
    <mergeCell ref="B188:I188"/>
    <mergeCell ref="I199:I212"/>
    <mergeCell ref="F208:G208"/>
    <mergeCell ref="A213:I213"/>
    <mergeCell ref="A214:A428"/>
    <mergeCell ref="G215:G216"/>
    <mergeCell ref="B237:I237"/>
    <mergeCell ref="B261:I261"/>
    <mergeCell ref="F270:G270"/>
    <mergeCell ref="F271:G271"/>
    <mergeCell ref="F272:G272"/>
    <mergeCell ref="F273:G273"/>
    <mergeCell ref="F274:G274"/>
    <mergeCell ref="F275:G275"/>
    <mergeCell ref="B285:I285"/>
    <mergeCell ref="B309:I309"/>
    <mergeCell ref="G318:G319"/>
    <mergeCell ref="G322:G323"/>
    <mergeCell ref="H322:H323"/>
    <mergeCell ref="B333:I333"/>
    <mergeCell ref="B357:I357"/>
    <mergeCell ref="G359:G360"/>
    <mergeCell ref="B381:I381"/>
    <mergeCell ref="B405:I405"/>
    <mergeCell ref="A429:I429"/>
    <mergeCell ref="A430:A452"/>
    <mergeCell ref="B433:I433"/>
    <mergeCell ref="B437:I437"/>
    <mergeCell ref="B441:I441"/>
    <mergeCell ref="B445:I445"/>
    <mergeCell ref="B449:I449"/>
    <mergeCell ref="A453:I453"/>
    <mergeCell ref="A454:A468"/>
    <mergeCell ref="B455:I455"/>
    <mergeCell ref="B457:I457"/>
    <mergeCell ref="F458:G458"/>
    <mergeCell ref="B459:I459"/>
    <mergeCell ref="B461:I461"/>
    <mergeCell ref="B463:I463"/>
    <mergeCell ref="B465:I465"/>
    <mergeCell ref="B467:I467"/>
    <mergeCell ref="A469:I469"/>
    <mergeCell ref="A470:A558"/>
    <mergeCell ref="B479:I479"/>
    <mergeCell ref="B489:I489"/>
    <mergeCell ref="F495:G495"/>
    <mergeCell ref="H496:H498"/>
    <mergeCell ref="B499:I499"/>
    <mergeCell ref="B509:I509"/>
    <mergeCell ref="B519:I519"/>
    <mergeCell ref="B529:I529"/>
    <mergeCell ref="B539:I539"/>
    <mergeCell ref="B549:I549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13.13"/>
    <col collapsed="false" customWidth="true" hidden="false" outlineLevel="0" max="2" min="2" style="0" width="14.42"/>
    <col collapsed="false" customWidth="true" hidden="false" outlineLevel="0" max="3" min="3" style="0" width="28"/>
    <col collapsed="false" customWidth="true" hidden="false" outlineLevel="0" max="4" min="4" style="0" width="35.43"/>
    <col collapsed="false" customWidth="true" hidden="false" outlineLevel="0" max="5" min="5" style="0" width="55.71"/>
    <col collapsed="false" customWidth="true" hidden="false" outlineLevel="0" max="6" min="6" style="0" width="11.86"/>
    <col collapsed="false" customWidth="true" hidden="false" outlineLevel="0" max="26" min="7" style="0" width="8.71"/>
    <col collapsed="false" customWidth="true" hidden="false" outlineLevel="0" max="1025" min="27" style="0" width="14.42"/>
  </cols>
  <sheetData>
    <row r="1" customFormat="false" ht="12.75" hidden="false" customHeight="true" outlineLevel="0" collapsed="false">
      <c r="A1" s="214" t="s">
        <v>1070</v>
      </c>
      <c r="B1" s="214"/>
      <c r="C1" s="214"/>
      <c r="D1" s="214"/>
      <c r="E1" s="214"/>
    </row>
    <row r="2" customFormat="false" ht="12.75" hidden="false" customHeight="true" outlineLevel="0" collapsed="false">
      <c r="A2" s="215" t="s">
        <v>1071</v>
      </c>
      <c r="B2" s="215" t="s">
        <v>1072</v>
      </c>
      <c r="C2" s="216" t="s">
        <v>1073</v>
      </c>
      <c r="D2" s="216" t="s">
        <v>1074</v>
      </c>
      <c r="E2" s="216" t="s">
        <v>1075</v>
      </c>
    </row>
    <row r="3" customFormat="false" ht="63.75" hidden="false" customHeight="true" outlineLevel="0" collapsed="false">
      <c r="A3" s="217" t="n">
        <v>42038</v>
      </c>
      <c r="B3" s="217" t="n">
        <v>42058</v>
      </c>
      <c r="C3" s="218" t="s">
        <v>1076</v>
      </c>
      <c r="D3" s="218" t="s">
        <v>1077</v>
      </c>
      <c r="E3" s="218" t="s">
        <v>1078</v>
      </c>
    </row>
    <row r="4" customFormat="false" ht="25.5" hidden="false" customHeight="true" outlineLevel="0" collapsed="false">
      <c r="A4" s="219" t="n">
        <v>42109</v>
      </c>
      <c r="B4" s="220"/>
      <c r="C4" s="221" t="s">
        <v>1079</v>
      </c>
      <c r="D4" s="220"/>
      <c r="E4" s="222" t="s">
        <v>1080</v>
      </c>
    </row>
    <row r="5" customFormat="false" ht="12.75" hidden="false" customHeight="true" outlineLevel="0" collapsed="false">
      <c r="A5" s="223"/>
      <c r="B5" s="223"/>
      <c r="C5" s="223"/>
      <c r="D5" s="223"/>
      <c r="E5" s="223"/>
    </row>
    <row r="6" customFormat="false" ht="12.75" hidden="false" customHeight="true" outlineLevel="0" collapsed="false">
      <c r="A6" s="220"/>
      <c r="B6" s="220"/>
      <c r="C6" s="220"/>
      <c r="D6" s="220"/>
      <c r="E6" s="220"/>
    </row>
    <row r="7" customFormat="false" ht="12.75" hidden="false" customHeight="true" outlineLevel="0" collapsed="false">
      <c r="A7" s="223"/>
      <c r="B7" s="223"/>
      <c r="C7" s="223"/>
      <c r="D7" s="223"/>
      <c r="E7" s="223"/>
    </row>
    <row r="8" customFormat="false" ht="12.75" hidden="false" customHeight="true" outlineLevel="0" collapsed="false">
      <c r="A8" s="220"/>
      <c r="B8" s="220"/>
      <c r="C8" s="220"/>
      <c r="D8" s="220"/>
      <c r="E8" s="220"/>
    </row>
    <row r="9" customFormat="false" ht="12.75" hidden="false" customHeight="true" outlineLevel="0" collapsed="false">
      <c r="A9" s="223"/>
      <c r="B9" s="223"/>
      <c r="C9" s="223"/>
      <c r="D9" s="223"/>
      <c r="E9" s="223"/>
    </row>
    <row r="10" customFormat="false" ht="12.75" hidden="false" customHeight="true" outlineLevel="0" collapsed="false">
      <c r="A10" s="220"/>
      <c r="B10" s="220"/>
      <c r="C10" s="220"/>
      <c r="D10" s="220"/>
      <c r="E10" s="220"/>
    </row>
    <row r="11" customFormat="false" ht="12.75" hidden="false" customHeight="true" outlineLevel="0" collapsed="false">
      <c r="A11" s="223"/>
      <c r="B11" s="223"/>
      <c r="C11" s="223"/>
      <c r="D11" s="223"/>
      <c r="E11" s="223"/>
    </row>
    <row r="12" customFormat="false" ht="12.75" hidden="false" customHeight="true" outlineLevel="0" collapsed="false">
      <c r="A12" s="220"/>
      <c r="B12" s="220"/>
      <c r="C12" s="220"/>
      <c r="D12" s="220"/>
      <c r="E12" s="220"/>
    </row>
    <row r="13" customFormat="false" ht="12.75" hidden="false" customHeight="true" outlineLevel="0" collapsed="false">
      <c r="A13" s="223"/>
      <c r="B13" s="223"/>
      <c r="C13" s="223"/>
      <c r="D13" s="223"/>
      <c r="E13" s="223"/>
    </row>
    <row r="14" customFormat="false" ht="12.75" hidden="false" customHeight="true" outlineLevel="0" collapsed="false">
      <c r="A14" s="220"/>
      <c r="B14" s="220"/>
      <c r="C14" s="220"/>
      <c r="D14" s="220"/>
      <c r="E14" s="220"/>
    </row>
    <row r="15" customFormat="false" ht="12.75" hidden="false" customHeight="true" outlineLevel="0" collapsed="false">
      <c r="A15" s="223"/>
      <c r="B15" s="223"/>
      <c r="C15" s="223"/>
      <c r="D15" s="223"/>
      <c r="E15" s="223"/>
    </row>
    <row r="16" customFormat="false" ht="12.75" hidden="false" customHeight="true" outlineLevel="0" collapsed="false">
      <c r="A16" s="220"/>
      <c r="B16" s="220"/>
      <c r="C16" s="220"/>
      <c r="D16" s="220"/>
      <c r="E16" s="220"/>
    </row>
    <row r="17" customFormat="false" ht="12.75" hidden="false" customHeight="true" outlineLevel="0" collapsed="false">
      <c r="A17" s="223"/>
      <c r="B17" s="223"/>
      <c r="C17" s="223"/>
      <c r="D17" s="223"/>
      <c r="E17" s="223"/>
    </row>
    <row r="18" customFormat="false" ht="12.75" hidden="false" customHeight="true" outlineLevel="0" collapsed="false">
      <c r="A18" s="220"/>
      <c r="B18" s="220"/>
      <c r="C18" s="220"/>
      <c r="D18" s="220"/>
      <c r="E18" s="220"/>
    </row>
    <row r="19" customFormat="false" ht="12.75" hidden="false" customHeight="true" outlineLevel="0" collapsed="false">
      <c r="A19" s="223"/>
      <c r="B19" s="223"/>
      <c r="C19" s="223"/>
      <c r="D19" s="223"/>
      <c r="E19" s="223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" footer="0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1601-01-01T00:00:00Z</dcterms:created>
  <dc:creator/>
  <dc:description/>
  <dc:language>pt-BR</dc:language>
  <cp:lastModifiedBy/>
  <dcterms:modified xsi:type="dcterms:W3CDTF">2026-08-04T15:39:36Z</dcterms:modified>
  <cp:revision>1</cp:revision>
  <dc:subject/>
  <dc:title/>
</cp:coreProperties>
</file>
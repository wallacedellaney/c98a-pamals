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AGONAL C-98" sheetId="1" state="visible" r:id="rId2"/>
    <sheet name="Controle de Vencimento de Itens" sheetId="2" state="visible" r:id="rId3"/>
    <sheet name="Panes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T18" authorId="0">
      <text>
        <r>
          <rPr>
            <sz val="10"/>
            <color rgb="FF000000"/>
            <rFont val="Calibri"/>
            <family val="0"/>
            <charset val="1"/>
          </rPr>
          <t xml:space="preserve">INSP COR (17/02/26)
AT %1927 (EXT ATÉ 26/02)
======</t>
        </r>
      </text>
    </comment>
    <comment ref="AD15" authorId="0">
      <text>
        <r>
          <rPr>
            <sz val="10"/>
            <color rgb="FF000000"/>
            <rFont val="Calibri"/>
            <family val="0"/>
            <charset val="1"/>
          </rPr>
          <t xml:space="preserve">CALENDÁRICAS VENC 17/03
AT %1966 (EXT ATÉ 30/03)
======</t>
        </r>
      </text>
    </comment>
    <comment ref="AF18" authorId="0">
      <text>
        <r>
          <rPr>
            <sz val="10"/>
            <color rgb="FF000000"/>
            <rFont val="Calibri"/>
            <family val="0"/>
            <charset val="1"/>
          </rPr>
          <t xml:space="preserve">AT %2001 (EXT 10 H)
======</t>
        </r>
      </text>
    </comment>
    <comment ref="AH24" authorId="0">
      <text>
        <r>
          <rPr>
            <sz val="10"/>
            <color rgb="FF000000"/>
            <rFont val="Calibri"/>
            <family val="0"/>
            <charset val="1"/>
          </rPr>
          <t xml:space="preserve">ID 07  -  VENC 21/03
AT 377%0274 (EXT 20 D)
======</t>
        </r>
      </text>
    </comment>
    <comment ref="AJ9" authorId="0">
      <text>
        <r>
          <rPr>
            <sz val="10"/>
            <color rgb="FF000000"/>
            <rFont val="Calibri"/>
            <family val="0"/>
            <charset val="1"/>
          </rPr>
          <t xml:space="preserve">INSP COR 25/03
AT %1995 (EXT 15 D) - 09/04/26
AT %2013 (MAIS 15 D) - 24/04/24
AT%2014  (EXT 10 H ID 0A, 5 H ID 10)
AT%2012  (EXT 10 H MOT)
ID 01,09,20 - 24/04
TBO MOT DISP 120:35
======</t>
        </r>
      </text>
    </comment>
    <comment ref="AT12" authorId="0">
      <text>
        <r>
          <rPr>
            <sz val="10"/>
            <color rgb="FF000000"/>
            <rFont val="Calibri"/>
            <family val="0"/>
            <charset val="1"/>
          </rPr>
          <t xml:space="preserve">ANV SERÁ ENTREGUE  BABR
INSP COR 07/04
AT %1994 (EXT 30 D)
======</t>
        </r>
      </text>
    </comment>
    <comment ref="AT18" authorId="0">
      <text>
        <r>
          <rPr>
            <sz val="10"/>
            <color rgb="FF000000"/>
            <rFont val="Calibri"/>
            <family val="0"/>
            <charset val="1"/>
          </rPr>
          <t xml:space="preserve">ID 02,11,21,22  VENC  09/07
ID 10                  VENC  10/07
ID 07                  VENC 19/08
======</t>
        </r>
      </text>
    </comment>
    <comment ref="AV18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VENC 19/08
COR 48 M     VENC 03/09
======</t>
        </r>
      </text>
    </comment>
    <comment ref="AX9" authorId="0">
      <text>
        <r>
          <rPr>
            <sz val="10"/>
            <color rgb="FF000000"/>
            <rFont val="Calibri"/>
            <family val="0"/>
            <charset val="1"/>
          </rPr>
          <t xml:space="preserve">AT %2088  (EXT 9:40 ID 06)
======</t>
        </r>
      </text>
    </comment>
    <comment ref="AZ21" authorId="0">
      <text>
        <r>
          <rPr>
            <sz val="10"/>
            <color rgb="FF000000"/>
            <rFont val="Calibri"/>
            <family val="0"/>
            <charset val="1"/>
          </rPr>
          <t xml:space="preserve">AT %2097  (EXT 10 H ID 06)
AT %2108  (EXT 10 H MOT)
ID 07  -  25/06/26
======</t>
        </r>
      </text>
    </comment>
    <comment ref="BB15" authorId="0">
      <text>
        <r>
          <rPr>
            <sz val="10"/>
            <color rgb="FF000000"/>
            <rFont val="Calibri"/>
            <family val="0"/>
            <charset val="1"/>
          </rPr>
          <t xml:space="preserve">COR 42 M    20/05
AT %2066 (EXT 30 D)
PEDIR EXT MOT
======</t>
        </r>
      </text>
    </comment>
    <comment ref="BB24" authorId="0">
      <text>
        <r>
          <rPr>
            <sz val="10"/>
            <color rgb="FF000000"/>
            <rFont val="Calibri"/>
            <family val="0"/>
            <charset val="1"/>
          </rPr>
          <t xml:space="preserve">ID 20  -  29/07
ID 21,22 - 02/08
======</t>
        </r>
      </text>
    </comment>
    <comment ref="BD6" authorId="0">
      <text>
        <r>
          <rPr>
            <sz val="10"/>
            <color rgb="FF000000"/>
            <rFont val="Calibri"/>
            <family val="0"/>
            <charset val="1"/>
          </rPr>
          <t xml:space="preserve">ID 07,09   VENC 30/07
======</t>
        </r>
      </text>
    </comment>
    <comment ref="BD27" authorId="0">
      <text>
        <r>
          <rPr>
            <sz val="10"/>
            <color rgb="FF000000"/>
            <rFont val="Calibri"/>
            <family val="0"/>
            <charset val="1"/>
          </rPr>
          <t xml:space="preserve">ID 04   VENC 27/08
======</t>
        </r>
      </text>
    </comment>
    <comment ref="BN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07,20   07/10
======</t>
        </r>
      </text>
    </comment>
    <comment ref="BP12" authorId="0">
      <text>
        <r>
          <rPr>
            <sz val="10"/>
            <color rgb="FF000000"/>
            <rFont val="Calibri"/>
            <family val="0"/>
            <charset val="1"/>
          </rPr>
          <t xml:space="preserve">ID 03   02/08
ID 01,07,09,20   07/10
======</t>
        </r>
      </text>
    </comment>
    <comment ref="BZ21" authorId="0">
      <text>
        <r>
          <rPr>
            <sz val="10"/>
            <color rgb="FF000000"/>
            <rFont val="Calibri"/>
            <family val="0"/>
            <charset val="1"/>
          </rPr>
          <t xml:space="preserve">ID 20            19/11/26
COR 18 M   25/09/26
======</t>
        </r>
      </text>
    </comment>
    <comment ref="CD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21/10
======</t>
        </r>
      </text>
    </comment>
    <comment ref="CF12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07/10
COR 24 M      OUT
======</t>
        </r>
      </text>
    </comment>
    <comment ref="CH24" authorId="0">
      <text>
        <r>
          <rPr>
            <sz val="10"/>
            <color rgb="FF000000"/>
            <rFont val="Calibri"/>
            <family val="0"/>
            <charset val="1"/>
          </rPr>
          <t xml:space="preserve">ID 01,09       VENC 17/11
COR 6 M      VENC  07/10
======</t>
        </r>
      </text>
    </comment>
    <comment ref="CL9" authorId="0">
      <text>
        <r>
          <rPr>
            <sz val="10"/>
            <color rgb="FF000000"/>
            <rFont val="Calibri"/>
            <family val="0"/>
            <charset val="1"/>
          </rPr>
          <t xml:space="preserve">COR 60 M   VENC 29/10
======</t>
        </r>
      </text>
    </comment>
    <comment ref="CP27" authorId="0">
      <text>
        <r>
          <rPr>
            <sz val="10"/>
            <color rgb="FF000000"/>
            <rFont val="Calibri"/>
            <family val="0"/>
            <charset val="1"/>
          </rPr>
          <t xml:space="preserve">COR 60 M VENCE  08/12
======</t>
        </r>
      </text>
    </comment>
    <comment ref="CX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CZ15" authorId="0">
      <text>
        <r>
          <rPr>
            <sz val="10"/>
            <color rgb="FF000000"/>
            <rFont val="Calibri"/>
            <family val="0"/>
            <charset val="1"/>
          </rPr>
          <t xml:space="preserve">COR 48 M   - DEZ
======</t>
        </r>
      </text>
    </comment>
    <comment ref="DN9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  29/04/27
AT %2046 (EXT 400 H MOT)
======</t>
        </r>
      </text>
    </comment>
    <comment ref="DZ24" authorId="0">
      <text>
        <r>
          <rPr>
            <sz val="10"/>
            <color rgb="FF000000"/>
            <rFont val="Calibri"/>
            <family val="0"/>
            <charset val="1"/>
          </rPr>
          <t xml:space="preserve">ID 12   VENC 30/03
ID 10   VENC 14/05
======</t>
        </r>
      </text>
    </comment>
    <comment ref="ED21" authorId="0">
      <text>
        <r>
          <rPr>
            <sz val="10"/>
            <color rgb="FF000000"/>
            <rFont val="Calibri"/>
            <family val="0"/>
            <charset val="1"/>
          </rPr>
          <t xml:space="preserve">ID 01,09  -  25/03/27
COR 24 M  -  30/03/27
======</t>
        </r>
      </text>
    </comment>
    <comment ref="EJ18" authorId="0">
      <text>
        <r>
          <rPr>
            <sz val="10"/>
            <color rgb="FF000000"/>
            <rFont val="Calibri"/>
            <family val="0"/>
            <charset val="1"/>
          </rPr>
          <t xml:space="preserve">ID 07  VENC 20/06
======</t>
        </r>
      </text>
    </comment>
    <comment ref="EP15" authorId="0">
      <text>
        <r>
          <rPr>
            <sz val="10"/>
            <color rgb="FF000000"/>
            <rFont val="Calibri"/>
            <family val="0"/>
            <charset val="1"/>
          </rPr>
          <t xml:space="preserve">ID 01,09  VENC 06/05
======</t>
        </r>
      </text>
    </comment>
    <comment ref="EV6" authorId="0">
      <text>
        <r>
          <rPr>
            <sz val="10"/>
            <color rgb="FF000000"/>
            <rFont val="Calibri"/>
            <family val="0"/>
            <charset val="1"/>
          </rPr>
          <t xml:space="preserve">ID 10,22    VENC 20/05
ID 20   VENC 30/05
======</t>
        </r>
      </text>
    </comment>
    <comment ref="EX21" authorId="0">
      <text>
        <r>
          <rPr>
            <sz val="10"/>
            <color rgb="FF000000"/>
            <rFont val="Calibri"/>
            <family val="0"/>
            <charset val="1"/>
          </rPr>
          <t xml:space="preserve">ID 22    VENC 25/06
======</t>
        </r>
      </text>
    </comment>
    <comment ref="EX24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20/7
======</t>
        </r>
      </text>
    </comment>
    <comment ref="FL6" authorId="0">
      <text>
        <r>
          <rPr>
            <sz val="10"/>
            <color rgb="FF000000"/>
            <rFont val="Calibri"/>
            <family val="0"/>
            <charset val="1"/>
          </rPr>
          <t xml:space="preserve">ID 09   VENC 25/07
ID 21   VENC 30/07
======</t>
        </r>
      </text>
    </comment>
    <comment ref="FN9" authorId="0">
      <text>
        <r>
          <rPr>
            <sz val="10"/>
            <color rgb="FF000000"/>
            <rFont val="Calibri"/>
            <family val="0"/>
            <charset val="1"/>
          </rPr>
          <t xml:space="preserve">ID 21,22    VENC 25/09
======</t>
        </r>
      </text>
    </comment>
    <comment ref="FP21" authorId="0">
      <text>
        <r>
          <rPr>
            <sz val="10"/>
            <color rgb="FF000000"/>
            <rFont val="Calibri"/>
            <family val="0"/>
            <charset val="1"/>
          </rPr>
          <t xml:space="preserve">ID 20   VENC 01/10
ID 21   VENC 11/08
======</t>
        </r>
      </text>
    </comment>
    <comment ref="FR18" authorId="0">
      <text>
        <r>
          <rPr>
            <sz val="10"/>
            <color rgb="FF000000"/>
            <rFont val="Calibri"/>
            <family val="0"/>
            <charset val="1"/>
          </rPr>
          <t xml:space="preserve">ID 01,09,20   VENC 30/08
======</t>
        </r>
      </text>
    </comment>
    <comment ref="FZ6" authorId="0">
      <text>
        <r>
          <rPr>
            <sz val="10"/>
            <color rgb="FF000000"/>
            <rFont val="Calibri"/>
            <family val="0"/>
            <charset val="1"/>
          </rPr>
          <t xml:space="preserve">ID 01   VENC 13/09
ID 02,11   VENC 21/10
======</t>
        </r>
      </text>
    </comment>
    <comment ref="GF9" authorId="0">
      <text>
        <r>
          <rPr>
            <sz val="10"/>
            <color rgb="FF000000"/>
            <rFont val="Calibri"/>
            <family val="0"/>
            <charset val="1"/>
          </rPr>
          <t xml:space="preserve">ID 02,11   VENC 25/09
ID 03   VENC 09/11
======</t>
        </r>
      </text>
    </comment>
  </commentList>
</comments>
</file>

<file path=xl/sharedStrings.xml><?xml version="1.0" encoding="utf-8"?>
<sst xmlns="http://schemas.openxmlformats.org/spreadsheetml/2006/main" count="2809" uniqueCount="1090">
  <si>
    <t xml:space="preserve">ANV</t>
  </si>
  <si>
    <t xml:space="preserve">DISP           HSI / TBO</t>
  </si>
  <si>
    <t xml:space="preserve">MOTOR</t>
  </si>
  <si>
    <t xml:space="preserve">CÉLULA</t>
  </si>
  <si>
    <t xml:space="preserve">INFORMAÇÃO</t>
  </si>
  <si>
    <t xml:space="preserve">CONTROLE  DE  INSPEÇÕES  2026</t>
  </si>
  <si>
    <t xml:space="preserve">TSN</t>
  </si>
  <si>
    <t xml:space="preserve">CONTROLE  DE  INSPEÇÕES  2027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</si>
  <si>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</si>
  <si>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</si>
  <si>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</si>
  <si>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</si>
  <si>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</si>
  <si>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</si>
  <si>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</si>
  <si>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</si>
  <si>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</si>
  <si>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</si>
  <si>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</si>
  <si>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</si>
  <si>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</si>
  <si>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DISP       HSI / TBO</t>
  </si>
  <si>
    <t xml:space="preserve">DISP       HSI</t>
  </si>
  <si>
    <t xml:space="preserve">1 - 11</t>
  </si>
  <si>
    <t xml:space="preserve">12 - 18</t>
  </si>
  <si>
    <t xml:space="preserve">19 - 25</t>
  </si>
  <si>
    <t xml:space="preserve">26 - 31</t>
  </si>
  <si>
    <t xml:space="preserve">1 - 8</t>
  </si>
  <si>
    <t xml:space="preserve">9 - 15</t>
  </si>
  <si>
    <t xml:space="preserve">16 - 22</t>
  </si>
  <si>
    <t xml:space="preserve">23 - 28</t>
  </si>
  <si>
    <t xml:space="preserve">23 - 31</t>
  </si>
  <si>
    <t xml:space="preserve">1 - 5</t>
  </si>
  <si>
    <t xml:space="preserve">6 - 12</t>
  </si>
  <si>
    <t xml:space="preserve">13 - 19</t>
  </si>
  <si>
    <t xml:space="preserve">20 - 26</t>
  </si>
  <si>
    <t xml:space="preserve">27 - 30</t>
  </si>
  <si>
    <t xml:space="preserve">1 - 10</t>
  </si>
  <si>
    <t xml:space="preserve">11 - 17</t>
  </si>
  <si>
    <t xml:space="preserve">18 - 24</t>
  </si>
  <si>
    <t xml:space="preserve">25 - 31</t>
  </si>
  <si>
    <t xml:space="preserve">1 - 7</t>
  </si>
  <si>
    <t xml:space="preserve">8 - 14</t>
  </si>
  <si>
    <t xml:space="preserve">15 - 21</t>
  </si>
  <si>
    <t xml:space="preserve">22 - 30</t>
  </si>
  <si>
    <t xml:space="preserve">27 - 31</t>
  </si>
  <si>
    <t xml:space="preserve">1 - 9</t>
  </si>
  <si>
    <t xml:space="preserve">10 - 16</t>
  </si>
  <si>
    <t xml:space="preserve">17 - 23</t>
  </si>
  <si>
    <t xml:space="preserve">24 - 31</t>
  </si>
  <si>
    <t xml:space="preserve">1 - 6</t>
  </si>
  <si>
    <t xml:space="preserve">7 - 13</t>
  </si>
  <si>
    <t xml:space="preserve">14 - 20</t>
  </si>
  <si>
    <t xml:space="preserve">21 - 30</t>
  </si>
  <si>
    <t xml:space="preserve">23 - 30</t>
  </si>
  <si>
    <t xml:space="preserve">21 - 27</t>
  </si>
  <si>
    <t xml:space="preserve">28 - 31</t>
  </si>
  <si>
    <t xml:space="preserve">14 - 21</t>
  </si>
  <si>
    <t xml:space="preserve">2719</t>
  </si>
  <si>
    <t xml:space="preserve">403,1</t>
  </si>
  <si>
    <t xml:space="preserve">13026,75</t>
  </si>
  <si>
    <t xml:space="preserve">9942,75</t>
  </si>
  <si>
    <t xml:space="preserve">HORAS VOO</t>
  </si>
  <si>
    <t xml:space="preserve">INSP. PROG.</t>
  </si>
  <si>
    <t xml:space="preserve">0A,15       20,MG         4300 FH          COR 54 M</t>
  </si>
  <si>
    <t xml:space="preserve">0A,07,09            15,20,MG         4300 FH          COR 54 M</t>
  </si>
  <si>
    <r>
      <rPr>
        <b val="true"/>
        <sz val="8"/>
        <color rgb="FFFFFFFF"/>
        <rFont val="Calibri"/>
        <family val="0"/>
        <charset val="1"/>
      </rPr>
      <t xml:space="preserve">0A,07,09           15,20,</t>
    </r>
    <r>
      <rPr>
        <b val="true"/>
        <sz val="8"/>
        <color rgb="FF000000"/>
        <rFont val="Calibri"/>
        <family val="0"/>
        <charset val="1"/>
      </rPr>
      <t xml:space="preserve">MG </t>
    </r>
    <r>
      <rPr>
        <b val="true"/>
        <sz val="8"/>
        <color rgb="FFFFFFFF"/>
        <rFont val="Calibri"/>
        <family val="0"/>
        <charset val="1"/>
      </rPr>
      <t xml:space="preserve">        4300 FH          COR 54 M</t>
    </r>
  </si>
  <si>
    <t xml:space="preserve">06,08       4400 FH</t>
  </si>
  <si>
    <t xml:space="preserve">ID 0A,01        4500 FH </t>
  </si>
  <si>
    <t xml:space="preserve">ID 06       4600 FH       COR 60 M</t>
  </si>
  <si>
    <t xml:space="preserve">TBO          MOTOR        4700 H</t>
  </si>
  <si>
    <r>
      <rPr>
        <b val="true"/>
        <sz val="8"/>
        <color rgb="FFFFFFFF"/>
        <rFont val="Calibri"/>
        <family val="0"/>
        <charset val="1"/>
      </rPr>
      <t xml:space="preserve">ID 0A    4700 FH      </t>
    </r>
    <r>
      <rPr>
        <b val="true"/>
        <sz val="7"/>
        <color rgb="FFFFFFFF"/>
        <rFont val="Calibri"/>
        <family val="0"/>
        <charset val="1"/>
      </rPr>
      <t xml:space="preserve">TBO MOTOR </t>
    </r>
    <r>
      <rPr>
        <b val="true"/>
        <sz val="8"/>
        <color rgb="FFFFFFFF"/>
        <rFont val="Calibri"/>
        <family val="0"/>
        <charset val="1"/>
      </rPr>
      <t xml:space="preserve">  </t>
    </r>
  </si>
  <si>
    <r>
      <rPr>
        <b val="true"/>
        <sz val="8"/>
        <color rgb="FFFFFFFF"/>
        <rFont val="Calibri"/>
        <family val="0"/>
        <charset val="1"/>
      </rPr>
      <t xml:space="preserve">ID 0A    4700 FH      </t>
    </r>
    <r>
      <rPr>
        <b val="true"/>
        <sz val="7"/>
        <color rgb="FFFFFFFF"/>
        <rFont val="Calibri"/>
        <family val="0"/>
        <charset val="1"/>
      </rPr>
      <t xml:space="preserve">TBO MOTOR </t>
    </r>
  </si>
  <si>
    <t xml:space="preserve">06,07,08         10,20,22         100 FH</t>
  </si>
  <si>
    <t xml:space="preserve">ID 0A           200 FH</t>
  </si>
  <si>
    <t xml:space="preserve">06,09,21           300 FH</t>
  </si>
  <si>
    <t xml:space="preserve">0A,01        02,11          400 FH          COR 72 M</t>
  </si>
  <si>
    <t xml:space="preserve">ID 06          500 FH</t>
  </si>
  <si>
    <t xml:space="preserve">IMPACTO DIAG.</t>
  </si>
  <si>
    <t xml:space="preserve">CT DISK, FCU, HELICE, BOMBA COMB</t>
  </si>
  <si>
    <t xml:space="preserve">HSI, CT DISK, FCU, GOV SOBRE, GERADOR, TREM AUX. VHF, MANG, BUCHA TPA, ARAME DETEC FOGO MOT, MOTOR ELETR FLAP</t>
  </si>
  <si>
    <t xml:space="preserve">2722</t>
  </si>
  <si>
    <t xml:space="preserve">220,15</t>
  </si>
  <si>
    <t xml:space="preserve">3779,45</t>
  </si>
  <si>
    <t xml:space="preserve">10405,5</t>
  </si>
  <si>
    <t xml:space="preserve">0A,01       09,10,20        3900 FH            COR 54 M</t>
  </si>
  <si>
    <t xml:space="preserve">06,08         4000 FH </t>
  </si>
  <si>
    <t xml:space="preserve"> 0A,07        4100 FH </t>
  </si>
  <si>
    <t xml:space="preserve">ID 06           4200 FH</t>
  </si>
  <si>
    <r>
      <rPr>
        <b val="true"/>
        <sz val="8"/>
        <color rgb="FFFFFFFF"/>
        <rFont val="Calibri"/>
        <family val="0"/>
        <charset val="1"/>
      </rPr>
      <t xml:space="preserve">ID 0A,</t>
    </r>
    <r>
      <rPr>
        <b val="true"/>
        <sz val="8"/>
        <color rgb="FF000000"/>
        <rFont val="Calibri"/>
        <family val="0"/>
        <charset val="1"/>
      </rPr>
      <t xml:space="preserve">MG</t>
    </r>
    <r>
      <rPr>
        <b val="true"/>
        <sz val="8"/>
        <color rgb="FFFFFFFF"/>
        <rFont val="Calibri"/>
        <family val="0"/>
        <charset val="1"/>
      </rPr>
      <t xml:space="preserve">      4300 FH       COR 60 M</t>
    </r>
  </si>
  <si>
    <t xml:space="preserve">ID 0A,MG      4300 FH       COR 60 M</t>
  </si>
  <si>
    <t xml:space="preserve">TBO          MOTOR</t>
  </si>
  <si>
    <r>
      <rPr>
        <b val="true"/>
        <sz val="8"/>
        <color rgb="FFFFFFFF"/>
        <rFont val="Calibri"/>
        <family val="0"/>
        <charset val="1"/>
      </rPr>
      <t xml:space="preserve">01,06,08       09,20       4400 FH     </t>
    </r>
    <r>
      <rPr>
        <b val="true"/>
        <sz val="7"/>
        <color rgb="FFFFFFFF"/>
        <rFont val="Calibri"/>
        <family val="0"/>
        <charset val="1"/>
      </rPr>
      <t xml:space="preserve"> TBO MOTOR</t>
    </r>
  </si>
  <si>
    <r>
      <rPr>
        <b val="true"/>
        <sz val="8"/>
        <color rgb="FFFFFFFF"/>
        <rFont val="Calibri"/>
        <family val="0"/>
        <charset val="1"/>
      </rPr>
      <t xml:space="preserve">ID 01,06,08        09,20       4400 FH      </t>
    </r>
    <r>
      <rPr>
        <b val="true"/>
        <sz val="7"/>
        <color rgb="FFFFFFFF"/>
        <rFont val="Calibri"/>
        <family val="0"/>
        <charset val="1"/>
      </rPr>
      <t xml:space="preserve">TBO MOTOR</t>
    </r>
  </si>
  <si>
    <t xml:space="preserve">0A,07           100 FH      COR 66 M</t>
  </si>
  <si>
    <t xml:space="preserve">06,21,22        200 FH</t>
  </si>
  <si>
    <t xml:space="preserve">0A,02       03,11        300 FH</t>
  </si>
  <si>
    <t xml:space="preserve">STALL / FLAP</t>
  </si>
  <si>
    <t xml:space="preserve">2721</t>
  </si>
  <si>
    <t xml:space="preserve">1300,1</t>
  </si>
  <si>
    <t xml:space="preserve">5190,55</t>
  </si>
  <si>
    <t xml:space="preserve">9392,7</t>
  </si>
  <si>
    <t xml:space="preserve">06,02,10        11,21,22       200 FH </t>
  </si>
  <si>
    <t xml:space="preserve">ANV ENTREGUE A BABR  -  ETA 6</t>
  </si>
  <si>
    <t xml:space="preserve">ID 0A            300 FH           COR 18 M</t>
  </si>
  <si>
    <t xml:space="preserve">03,06       07,08,20           400 FH </t>
  </si>
  <si>
    <t xml:space="preserve">0A,01,09       500 FH      COR 24 M</t>
  </si>
  <si>
    <t xml:space="preserve">SIST HSI</t>
  </si>
  <si>
    <t xml:space="preserve">2728</t>
  </si>
  <si>
    <t xml:space="preserve">1363,95</t>
  </si>
  <si>
    <t xml:space="preserve">5028,25</t>
  </si>
  <si>
    <t xml:space="preserve">7460,65</t>
  </si>
  <si>
    <t xml:space="preserve">ID 20   </t>
  </si>
  <si>
    <t xml:space="preserve">01,06,07         08,09,10      </t>
  </si>
  <si>
    <t xml:space="preserve">RECOLHIDA</t>
  </si>
  <si>
    <t xml:space="preserve">ID 0A        100 FH         COR 42 M</t>
  </si>
  <si>
    <t xml:space="preserve">PAMA-LS</t>
  </si>
  <si>
    <t xml:space="preserve">ID 06           200 FH     </t>
  </si>
  <si>
    <t xml:space="preserve">ID 0A         300 FH</t>
  </si>
  <si>
    <t xml:space="preserve">ID 06         400 FH       COR 48 M</t>
  </si>
  <si>
    <t xml:space="preserve">LIMALHA MOTOR  -  (TROCA MOTOR)</t>
  </si>
  <si>
    <t xml:space="preserve">HSI TRAVADO</t>
  </si>
  <si>
    <t xml:space="preserve">GIRO / HSI</t>
  </si>
  <si>
    <t xml:space="preserve">HSI</t>
  </si>
  <si>
    <t xml:space="preserve">ANV ACIDENTADA</t>
  </si>
  <si>
    <t xml:space="preserve">2729</t>
  </si>
  <si>
    <t xml:space="preserve">467,45</t>
  </si>
  <si>
    <t xml:space="preserve">2678,85</t>
  </si>
  <si>
    <t xml:space="preserve">6535,55</t>
  </si>
  <si>
    <t xml:space="preserve"> COR 42 M</t>
  </si>
  <si>
    <t xml:space="preserve">ID 06            2800 FH</t>
  </si>
  <si>
    <t xml:space="preserve">0A,02       07,10,11      21,22     2900 FH</t>
  </si>
  <si>
    <t xml:space="preserve">01,09,20        HSI             COR 48 M</t>
  </si>
  <si>
    <t xml:space="preserve">0A,02      07,10,11      21,22     2900 FH</t>
  </si>
  <si>
    <t xml:space="preserve">ID 06           3000 FH      </t>
  </si>
  <si>
    <t xml:space="preserve">0A,08      3100 FH       COR 54 M</t>
  </si>
  <si>
    <t xml:space="preserve">TBO           4000 H</t>
  </si>
  <si>
    <t xml:space="preserve">ID 06,07           3200 FH  </t>
  </si>
  <si>
    <t xml:space="preserve">0A,01         09,20        3300 FH</t>
  </si>
  <si>
    <t xml:space="preserve">ID 06           3400 FH  </t>
  </si>
  <si>
    <t xml:space="preserve">DISP TBO</t>
  </si>
  <si>
    <t xml:space="preserve">0A,08      3500 FH</t>
  </si>
  <si>
    <t xml:space="preserve">T5 ALTA</t>
  </si>
  <si>
    <t xml:space="preserve">2708</t>
  </si>
  <si>
    <t xml:space="preserve">906,5</t>
  </si>
  <si>
    <t xml:space="preserve">2094</t>
  </si>
  <si>
    <t xml:space="preserve">12746,15</t>
  </si>
  <si>
    <t xml:space="preserve">RECEBIMENTO PAMA-LS</t>
  </si>
  <si>
    <t xml:space="preserve">01,02,09,11          COR 12 M        LPS3       MOLAS</t>
  </si>
  <si>
    <t xml:space="preserve">ID 06,07           2200 FH
</t>
  </si>
  <si>
    <t xml:space="preserve">ID 0A,08          2300 FH</t>
  </si>
  <si>
    <t xml:space="preserve">ID 06,20        2400 FH      COR 18 M</t>
  </si>
  <si>
    <t xml:space="preserve">ID 0A,12           2500 FH  </t>
  </si>
  <si>
    <t xml:space="preserve">01,06,09           2600 FH      COR 24 M</t>
  </si>
  <si>
    <t xml:space="preserve">0A,10,22          2700 FH</t>
  </si>
  <si>
    <t xml:space="preserve">06,20,21          2800 FH</t>
  </si>
  <si>
    <t xml:space="preserve">ID 0A          2900 FH</t>
  </si>
  <si>
    <t xml:space="preserve">EEXD</t>
  </si>
  <si>
    <t xml:space="preserve">CB IND FLAP</t>
  </si>
  <si>
    <t xml:space="preserve">2703</t>
  </si>
  <si>
    <t xml:space="preserve">582</t>
  </si>
  <si>
    <t xml:space="preserve">9396,65</t>
  </si>
  <si>
    <t xml:space="preserve">11338,25</t>
  </si>
  <si>
    <t xml:space="preserve">RECEBIDO  DA  EEAR</t>
  </si>
  <si>
    <t xml:space="preserve">EEAR</t>
  </si>
  <si>
    <t xml:space="preserve">ID 07 </t>
  </si>
  <si>
    <t xml:space="preserve">ID 06        4000 FH </t>
  </si>
  <si>
    <t xml:space="preserve">0A,20        21,22        4100 FH </t>
  </si>
  <si>
    <r>
      <rPr>
        <b val="true"/>
        <sz val="8"/>
        <color rgb="FFFFFFFF"/>
        <rFont val="Calibri"/>
        <family val="0"/>
        <charset val="1"/>
      </rPr>
      <t xml:space="preserve">06,08,</t>
    </r>
    <r>
      <rPr>
        <b val="true"/>
        <sz val="8"/>
        <color rgb="FF000000"/>
        <rFont val="Calibri"/>
        <family val="0"/>
        <charset val="1"/>
      </rPr>
      <t xml:space="preserve">MG</t>
    </r>
    <r>
      <rPr>
        <b val="true"/>
        <sz val="8"/>
        <color rgb="FFFFFFFF"/>
        <rFont val="Calibri"/>
        <family val="0"/>
        <charset val="1"/>
      </rPr>
      <t xml:space="preserve">        4200 FH</t>
    </r>
  </si>
  <si>
    <t xml:space="preserve">0A,01             07,09             4300 FH        COR 6 M</t>
  </si>
  <si>
    <t xml:space="preserve">TBO        4500 FH</t>
  </si>
  <si>
    <t xml:space="preserve">06,10,12       4400 FH  </t>
  </si>
  <si>
    <r>
      <rPr>
        <b val="true"/>
        <sz val="8"/>
        <color rgb="FFFFFFFF"/>
        <rFont val="Calibri"/>
        <family val="0"/>
        <charset val="1"/>
      </rPr>
      <t xml:space="preserve">0A,20        4500 FH      </t>
    </r>
    <r>
      <rPr>
        <b val="true"/>
        <sz val="7"/>
        <color rgb="FFFFFFFF"/>
        <rFont val="Calibri"/>
        <family val="0"/>
        <charset val="1"/>
      </rPr>
      <t xml:space="preserve">TBO MOTOR </t>
    </r>
    <r>
      <rPr>
        <b val="true"/>
        <sz val="8"/>
        <color rgb="FFFFFFFF"/>
        <rFont val="Calibri"/>
        <family val="0"/>
        <charset val="1"/>
      </rPr>
      <t xml:space="preserve"> </t>
    </r>
  </si>
  <si>
    <t xml:space="preserve">06,08        100 FH  </t>
  </si>
  <si>
    <t xml:space="preserve">ID 0A,07        200 FH  </t>
  </si>
  <si>
    <t xml:space="preserve">2702</t>
  </si>
  <si>
    <t xml:space="preserve">1144,75</t>
  </si>
  <si>
    <t xml:space="preserve">11919,35</t>
  </si>
  <si>
    <t xml:space="preserve">12430,65</t>
  </si>
  <si>
    <t xml:space="preserve">RECEBIDO  DO    PAMA-LS            </t>
  </si>
  <si>
    <t xml:space="preserve">ID 0A           500 FH </t>
  </si>
  <si>
    <r>
      <rPr>
        <b val="true"/>
        <sz val="8"/>
        <color rgb="FFFFFFFF"/>
        <rFont val="Calibri"/>
        <family val="0"/>
        <charset val="1"/>
      </rPr>
      <t xml:space="preserve">ID 04,06</t>
    </r>
    <r>
      <rPr>
        <b val="true"/>
        <sz val="8"/>
        <color rgb="FF000000"/>
        <rFont val="Calibri"/>
        <family val="0"/>
        <charset val="1"/>
      </rPr>
      <t xml:space="preserve"> </t>
    </r>
    <r>
      <rPr>
        <b val="true"/>
        <sz val="8"/>
        <color rgb="FFFFFFFF"/>
        <rFont val="Calibri"/>
        <family val="0"/>
        <charset val="1"/>
      </rPr>
      <t xml:space="preserve">          600 FH      </t>
    </r>
  </si>
  <si>
    <r>
      <rPr>
        <b val="true"/>
        <sz val="8"/>
        <color rgb="FFFFFFFF"/>
        <rFont val="Calibri"/>
        <family val="0"/>
        <charset val="1"/>
      </rPr>
      <t xml:space="preserve">0A,</t>
    </r>
    <r>
      <rPr>
        <b val="true"/>
        <sz val="8"/>
        <color rgb="FF000000"/>
        <rFont val="Calibri"/>
        <family val="0"/>
        <charset val="1"/>
      </rPr>
      <t xml:space="preserve">ME,MG</t>
    </r>
    <r>
      <rPr>
        <b val="true"/>
        <sz val="8"/>
        <color rgb="FFFFFFFF"/>
        <rFont val="Calibri"/>
        <family val="0"/>
        <charset val="1"/>
      </rPr>
      <t xml:space="preserve">           700 FH      COR 60 M</t>
    </r>
  </si>
  <si>
    <t xml:space="preserve">ID 06         800 FH </t>
  </si>
  <si>
    <t xml:space="preserve">ESFORÇO C-98 2026  ETA 2</t>
  </si>
  <si>
    <t xml:space="preserve">JAN</t>
  </si>
  <si>
    <t xml:space="preserve">FEV</t>
  </si>
  <si>
    <t xml:space="preserve">MAR</t>
  </si>
  <si>
    <t xml:space="preserve">ABR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</si>
  <si>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</si>
  <si>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</si>
  <si>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</si>
  <si>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</si>
  <si>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</si>
  <si>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</si>
  <si>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</si>
  <si>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PLANEJADO / REFERENCIA</t>
  </si>
  <si>
    <t xml:space="preserve">PLANEJADO / EXECUTADO</t>
  </si>
  <si>
    <t xml:space="preserve">ESFORÇO C-98 2026  1/5 GAV</t>
  </si>
  <si>
    <t xml:space="preserve">ESFORÇO C-98 2027  1/5 GAV</t>
  </si>
  <si>
    <t xml:space="preserve">CONVERSÃO HORAS</t>
  </si>
  <si>
    <t xml:space="preserve">05 – 0,10</t>
  </si>
  <si>
    <t xml:space="preserve">10 – 0,15</t>
  </si>
  <si>
    <t xml:space="preserve">15 – 0,25</t>
  </si>
  <si>
    <t xml:space="preserve">20 – 0,35</t>
  </si>
  <si>
    <t xml:space="preserve">25 - 0,40</t>
  </si>
  <si>
    <t xml:space="preserve">30 - 0,50</t>
  </si>
  <si>
    <t xml:space="preserve">35 - 0,60</t>
  </si>
  <si>
    <t xml:space="preserve">40 - 0,65</t>
  </si>
  <si>
    <t xml:space="preserve">45 - 0,75</t>
  </si>
  <si>
    <t xml:space="preserve">50 - 0,85</t>
  </si>
  <si>
    <t xml:space="preserve">55 - 0,90</t>
  </si>
  <si>
    <t xml:space="preserve">OM: BANT  - 02/JULHO/2026</t>
  </si>
  <si>
    <t xml:space="preserve">2) O PRIMEIRO ITEM DA PLANILHA DEVE SER O MOTOR, COLOCANDO O SALDO DE HORAS PARA A PRÓXIMA INSP HSI OU TBO.</t>
  </si>
  <si>
    <t xml:space="preserve">3) SOMENTE PREENCHER OS VENCIMENTOS QUE ENVOLVEM TROCA OBRIGATÓRIA (TBO). NÃO COLOCAR INSPEÇÕES REGULARES.</t>
  </si>
  <si>
    <t xml:space="preserve">ESPECIALIDADE</t>
  </si>
  <si>
    <t xml:space="preserve">NOMENCLATURA
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</si>
  <si>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</si>
  <si>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</si>
  <si>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</si>
  <si>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</si>
  <si>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
VENCIMENTO</t>
  </si>
  <si>
    <t xml:space="preserve">N° EMERGÊNCIA / N° PEDIDO NORMAL / N° PEDIDO DE TRANSFERÊNCIA</t>
  </si>
  <si>
    <t xml:space="preserve">OBS</t>
  </si>
  <si>
    <t xml:space="preserve">MOTORES</t>
  </si>
  <si>
    <t xml:space="preserve">ENGINE PT6A-114A</t>
  </si>
  <si>
    <t xml:space="preserve">PCE-PC2050</t>
  </si>
  <si>
    <t xml:space="preserve">1.051:00</t>
  </si>
  <si>
    <t xml:space="preserve">HSI DE 1.500H</t>
  </si>
  <si>
    <t xml:space="preserve">VALVE,HEAT,OIL FUEL</t>
  </si>
  <si>
    <t xml:space="preserve">10552E</t>
  </si>
  <si>
    <t xml:space="preserve">5.051:00</t>
  </si>
  <si>
    <t xml:space="preserve">TBO 5.500H</t>
  </si>
  <si>
    <t xml:space="preserve">FUEL PUMP</t>
  </si>
  <si>
    <t xml:space="preserve">702801-5</t>
  </si>
  <si>
    <t xml:space="preserve">0086</t>
  </si>
  <si>
    <t xml:space="preserve">4.551:00</t>
  </si>
  <si>
    <t xml:space="preserve">TBO 5.000H</t>
  </si>
  <si>
    <t xml:space="preserve">FUEL CONTROL UNIT</t>
  </si>
  <si>
    <t xml:space="preserve">3244809-7</t>
  </si>
  <si>
    <t xml:space="preserve">B10392</t>
  </si>
  <si>
    <t xml:space="preserve">1.351:00 (48,5 M)</t>
  </si>
  <si>
    <t xml:space="preserve">I.C. 1.800H / 6 ANOS</t>
  </si>
  <si>
    <t xml:space="preserve">GOVERNOR PROPELLER</t>
  </si>
  <si>
    <t xml:space="preserve">8210-002-01</t>
  </si>
  <si>
    <t xml:space="preserve">VALVE,BLEED</t>
  </si>
  <si>
    <t xml:space="preserve">540-1407-4</t>
  </si>
  <si>
    <t xml:space="preserve">BERÇO DO MOTOR</t>
  </si>
  <si>
    <t xml:space="preserve">2651040-2</t>
  </si>
  <si>
    <t xml:space="preserve">JHZ-23-074</t>
  </si>
  <si>
    <t xml:space="preserve">4.894:10</t>
  </si>
  <si>
    <t xml:space="preserve">ANEL DO BERÇO</t>
  </si>
  <si>
    <t xml:space="preserve">2651022-20-1</t>
  </si>
  <si>
    <t xml:space="preserve">JHZ-24-071</t>
  </si>
  <si>
    <t xml:space="preserve">HÉLICE</t>
  </si>
  <si>
    <t xml:space="preserve">P7036368-01</t>
  </si>
  <si>
    <t xml:space="preserve">110111</t>
  </si>
  <si>
    <t xml:space="preserve">3.894:10 (69,9 M)</t>
  </si>
  <si>
    <t xml:space="preserve">TBO 4.000H / 6 ANOS</t>
  </si>
  <si>
    <t xml:space="preserve">GOVERNADOR DE SOBREVELOCIDADE</t>
  </si>
  <si>
    <t xml:space="preserve">D210507</t>
  </si>
  <si>
    <t xml:space="preserve">115006-48</t>
  </si>
  <si>
    <t xml:space="preserve">3.014:55</t>
  </si>
  <si>
    <t xml:space="preserve">TBO 6.500H</t>
  </si>
  <si>
    <t xml:space="preserve">MANG. COMBUSTÍVEL</t>
  </si>
  <si>
    <t xml:space="preserve">AE3663724G0330</t>
  </si>
  <si>
    <t xml:space="preserve">11,0 M</t>
  </si>
  <si>
    <t xml:space="preserve">29/05/27</t>
  </si>
  <si>
    <t xml:space="preserve">TLV 10 ANOS</t>
  </si>
  <si>
    <t xml:space="preserve">MANG. FUEL HEATHER / BOMBA</t>
  </si>
  <si>
    <t xml:space="preserve">MANG. BOMBA / FCU</t>
  </si>
  <si>
    <t xml:space="preserve">MANG. COMB AQUECEDOR</t>
  </si>
  <si>
    <t xml:space="preserve">AE3663726H0520</t>
  </si>
  <si>
    <t xml:space="preserve">101,3 M</t>
  </si>
  <si>
    <t xml:space="preserve">28/10/34</t>
  </si>
  <si>
    <t xml:space="preserve">MANG. DRENO DIVISOR FLUXO</t>
  </si>
  <si>
    <t xml:space="preserve">AE3663724E0144</t>
  </si>
  <si>
    <t xml:space="preserve">MANG. IND. PRESSÃO ÓLEO</t>
  </si>
  <si>
    <t xml:space="preserve">AE3663163E0230</t>
  </si>
  <si>
    <t xml:space="preserve">34,3 M</t>
  </si>
  <si>
    <t xml:space="preserve">27/04/29</t>
  </si>
  <si>
    <t xml:space="preserve">MANG. RETORNO ÓLEO</t>
  </si>
  <si>
    <t xml:space="preserve">MANG. TORQUÍMETRO – 02 EA</t>
  </si>
  <si>
    <t xml:space="preserve">AE3663161E0113</t>
  </si>
  <si>
    <t xml:space="preserve">29,3 M</t>
  </si>
  <si>
    <t xml:space="preserve">27/11/28</t>
  </si>
  <si>
    <t xml:space="preserve">MANG. TORQUÍMETRO  TREND – 02 EA</t>
  </si>
  <si>
    <t xml:space="preserve">AE3663162E0120</t>
  </si>
  <si>
    <t xml:space="preserve">MANG. RADIADOR – SUPERIOR</t>
  </si>
  <si>
    <t xml:space="preserve">AE3663163K0600</t>
  </si>
  <si>
    <t xml:space="preserve">47,6 M</t>
  </si>
  <si>
    <t xml:space="preserve">29/05/30</t>
  </si>
  <si>
    <t xml:space="preserve">MANG. RADIADOR – INFERIOR</t>
  </si>
  <si>
    <t xml:space="preserve">59,7 M</t>
  </si>
  <si>
    <t xml:space="preserve">29/05/31</t>
  </si>
  <si>
    <t xml:space="preserve">MANG. SUSPIRO ÓLEO MOTOR</t>
  </si>
  <si>
    <t xml:space="preserve">S51-14</t>
  </si>
  <si>
    <t xml:space="preserve">98,3 M</t>
  </si>
  <si>
    <t xml:space="preserve">29/07/34</t>
  </si>
  <si>
    <t xml:space="preserve">S51-14-8</t>
  </si>
  <si>
    <t xml:space="preserve">3104100-01</t>
  </si>
  <si>
    <t xml:space="preserve">PC-E17377</t>
  </si>
  <si>
    <t xml:space="preserve">412:55</t>
  </si>
  <si>
    <t xml:space="preserve">JUL / 27</t>
  </si>
  <si>
    <t xml:space="preserve">AT 377%0274 (EXT ATÉ 4500 FH)</t>
  </si>
  <si>
    <t xml:space="preserve">TBO 4000H</t>
  </si>
  <si>
    <t xml:space="preserve">WA61341</t>
  </si>
  <si>
    <t xml:space="preserve">4.881:00</t>
  </si>
  <si>
    <t xml:space="preserve">004201</t>
  </si>
  <si>
    <t xml:space="preserve">2.631:25</t>
  </si>
  <si>
    <t xml:space="preserve">3244897-4</t>
  </si>
  <si>
    <t xml:space="preserve">F67014</t>
  </si>
  <si>
    <t xml:space="preserve">1.280:20 (18,8 M)</t>
  </si>
  <si>
    <t xml:space="preserve">20/01/28</t>
  </si>
  <si>
    <t xml:space="preserve">8210-002Y</t>
  </si>
  <si>
    <t xml:space="preserve">2175114AC</t>
  </si>
  <si>
    <t xml:space="preserve">1.928:20</t>
  </si>
  <si>
    <t xml:space="preserve">3100829-03</t>
  </si>
  <si>
    <t xml:space="preserve">A9353</t>
  </si>
  <si>
    <t xml:space="preserve">4.435:30</t>
  </si>
  <si>
    <t xml:space="preserve">2651023-19</t>
  </si>
  <si>
    <t xml:space="preserve">LSEAS0435</t>
  </si>
  <si>
    <t xml:space="preserve">4.489:50</t>
  </si>
  <si>
    <t xml:space="preserve">JHZ-16-005</t>
  </si>
  <si>
    <t xml:space="preserve">3.925:50</t>
  </si>
  <si>
    <t xml:space="preserve">000562</t>
  </si>
  <si>
    <t xml:space="preserve">2814:40 (17,2 M)</t>
  </si>
  <si>
    <t xml:space="preserve">03/11/27</t>
  </si>
  <si>
    <t xml:space="preserve">A210507</t>
  </si>
  <si>
    <t xml:space="preserve">2483159V</t>
  </si>
  <si>
    <t xml:space="preserve">451:25</t>
  </si>
  <si>
    <t xml:space="preserve">27,2 M</t>
  </si>
  <si>
    <t xml:space="preserve">27/09/28</t>
  </si>
  <si>
    <t xml:space="preserve">40,3 M</t>
  </si>
  <si>
    <t xml:space="preserve">27/10/29</t>
  </si>
  <si>
    <t xml:space="preserve">19,1 M</t>
  </si>
  <si>
    <t xml:space="preserve">29/01/28</t>
  </si>
  <si>
    <t xml:space="preserve">29,2 M</t>
  </si>
  <si>
    <t xml:space="preserve">45,4 M</t>
  </si>
  <si>
    <t xml:space="preserve">29/03/20</t>
  </si>
  <si>
    <t xml:space="preserve">59,6 M</t>
  </si>
  <si>
    <t xml:space="preserve">ANV S/ MOTOR</t>
  </si>
  <si>
    <t xml:space="preserve">2651023-23</t>
  </si>
  <si>
    <t xml:space="preserve">370</t>
  </si>
  <si>
    <t xml:space="preserve">1.487:15</t>
  </si>
  <si>
    <t xml:space="preserve">NÃO INSTALADOS</t>
  </si>
  <si>
    <t xml:space="preserve">TBO 4.000H /  6 ANOS</t>
  </si>
  <si>
    <t xml:space="preserve">TBO 6.000H</t>
  </si>
  <si>
    <t xml:space="preserve">MANG. COMB FCU</t>
  </si>
  <si>
    <t xml:space="preserve">MANG. RADIADOR – 02 EA</t>
  </si>
  <si>
    <t xml:space="preserve">PCE-PC2360</t>
  </si>
  <si>
    <t xml:space="preserve">810:05</t>
  </si>
  <si>
    <t xml:space="preserve">WA60640</t>
  </si>
  <si>
    <t xml:space="preserve">3.309:35</t>
  </si>
  <si>
    <t xml:space="preserve">004473</t>
  </si>
  <si>
    <t xml:space="preserve">2.809:35</t>
  </si>
  <si>
    <t xml:space="preserve">F67018</t>
  </si>
  <si>
    <t xml:space="preserve">809:35 (19,1 M)</t>
  </si>
  <si>
    <t xml:space="preserve">23/01/28</t>
  </si>
  <si>
    <t xml:space="preserve">I.C. 3.000H / 8 ANOS</t>
  </si>
  <si>
    <t xml:space="preserve">21922876</t>
  </si>
  <si>
    <t xml:space="preserve">540-1407-3</t>
  </si>
  <si>
    <t xml:space="preserve">GA1188</t>
  </si>
  <si>
    <t xml:space="preserve">2.577:25</t>
  </si>
  <si>
    <t xml:space="preserve">LSEAS0438</t>
  </si>
  <si>
    <t xml:space="preserve">1403:05</t>
  </si>
  <si>
    <t xml:space="preserve">LSEAS0465</t>
  </si>
  <si>
    <t xml:space="preserve">4.515:35</t>
  </si>
  <si>
    <t xml:space="preserve">960707</t>
  </si>
  <si>
    <t xml:space="preserve">2.226:00 (11,3 M)</t>
  </si>
  <si>
    <t xml:space="preserve">10/06/27</t>
  </si>
  <si>
    <t xml:space="preserve">15022593</t>
  </si>
  <si>
    <t xml:space="preserve">2.898:15</t>
  </si>
  <si>
    <t xml:space="preserve">44,5 M</t>
  </si>
  <si>
    <t xml:space="preserve">25/02/30</t>
  </si>
  <si>
    <t xml:space="preserve">17,4 M</t>
  </si>
  <si>
    <t xml:space="preserve">10/12/27</t>
  </si>
  <si>
    <t xml:space="preserve">31,4 M</t>
  </si>
  <si>
    <t xml:space="preserve">01/02/29</t>
  </si>
  <si>
    <t xml:space="preserve">46,5 M</t>
  </si>
  <si>
    <t xml:space="preserve">01/05/30</t>
  </si>
  <si>
    <t xml:space="preserve">49,8 M</t>
  </si>
  <si>
    <t xml:space="preserve">28/08/30</t>
  </si>
  <si>
    <t xml:space="preserve">57,5 M</t>
  </si>
  <si>
    <t xml:space="preserve">01/05/31</t>
  </si>
  <si>
    <t xml:space="preserve">20,3 M</t>
  </si>
  <si>
    <t xml:space="preserve">01/03/28</t>
  </si>
  <si>
    <t xml:space="preserve">96,4 M</t>
  </si>
  <si>
    <t xml:space="preserve">04/06/34</t>
  </si>
  <si>
    <t xml:space="preserve">PC-EPC0431</t>
  </si>
  <si>
    <t xml:space="preserve">403:00</t>
  </si>
  <si>
    <t xml:space="preserve">MAR / 27</t>
  </si>
  <si>
    <t xml:space="preserve">AT 685%1688 (EXT ATÉ 4700 FH)</t>
  </si>
  <si>
    <t xml:space="preserve">TBO 4.200H</t>
  </si>
  <si>
    <t xml:space="preserve">AV-0012</t>
  </si>
  <si>
    <t xml:space="preserve">1.237:30</t>
  </si>
  <si>
    <t xml:space="preserve">025323-150</t>
  </si>
  <si>
    <t xml:space="preserve">1439</t>
  </si>
  <si>
    <t xml:space="preserve">4.996:15</t>
  </si>
  <si>
    <t xml:space="preserve">3244809-8</t>
  </si>
  <si>
    <t xml:space="preserve">C25994</t>
  </si>
  <si>
    <t xml:space="preserve">1.040:00 (31,1 M)</t>
  </si>
  <si>
    <t xml:space="preserve">16787398</t>
  </si>
  <si>
    <t xml:space="preserve">4.112:10</t>
  </si>
  <si>
    <t xml:space="preserve">9081</t>
  </si>
  <si>
    <t xml:space="preserve">2.641:45</t>
  </si>
  <si>
    <t xml:space="preserve">1173</t>
  </si>
  <si>
    <t xml:space="preserve">725:05</t>
  </si>
  <si>
    <t xml:space="preserve">JHZ-16-047</t>
  </si>
  <si>
    <t xml:space="preserve">1.878:55</t>
  </si>
  <si>
    <t xml:space="preserve">250419</t>
  </si>
  <si>
    <t xml:space="preserve">4.000:00 (42,5 M)</t>
  </si>
  <si>
    <t xml:space="preserve">30/12/29</t>
  </si>
  <si>
    <t xml:space="preserve">16206310W</t>
  </si>
  <si>
    <t xml:space="preserve">851:05</t>
  </si>
  <si>
    <t xml:space="preserve">33,2 M</t>
  </si>
  <si>
    <t xml:space="preserve">30/05/29</t>
  </si>
  <si>
    <t xml:space="preserve">10,8 M</t>
  </si>
  <si>
    <t xml:space="preserve">28/04/27</t>
  </si>
  <si>
    <t xml:space="preserve">30/01/28</t>
  </si>
  <si>
    <t xml:space="preserve">46,3 M</t>
  </si>
  <si>
    <t xml:space="preserve">30/06/29</t>
  </si>
  <si>
    <t xml:space="preserve">61,6 M</t>
  </si>
  <si>
    <t xml:space="preserve">28/07/31</t>
  </si>
  <si>
    <t xml:space="preserve">13,9 M</t>
  </si>
  <si>
    <t xml:space="preserve">28/06/27</t>
  </si>
  <si>
    <t xml:space="preserve">98,2 M</t>
  </si>
  <si>
    <t xml:space="preserve">PCE-PC1734</t>
  </si>
  <si>
    <t xml:space="preserve">1.241:05</t>
  </si>
  <si>
    <t xml:space="preserve">HSI 1.500H</t>
  </si>
  <si>
    <t xml:space="preserve">5.241:05</t>
  </si>
  <si>
    <t xml:space="preserve">004955</t>
  </si>
  <si>
    <t xml:space="preserve">4.741:05</t>
  </si>
  <si>
    <t xml:space="preserve">3122678-04</t>
  </si>
  <si>
    <t xml:space="preserve">C66726</t>
  </si>
  <si>
    <t xml:space="preserve">1.537:20 (30,4 M)</t>
  </si>
  <si>
    <t xml:space="preserve">1.625:35</t>
  </si>
  <si>
    <t xml:space="preserve">GA1526</t>
  </si>
  <si>
    <t xml:space="preserve">304-000052</t>
  </si>
  <si>
    <t xml:space="preserve">4.278:00</t>
  </si>
  <si>
    <t xml:space="preserve">2651022-15</t>
  </si>
  <si>
    <t xml:space="preserve">185:40</t>
  </si>
  <si>
    <t xml:space="preserve">JUL / 26</t>
  </si>
  <si>
    <t xml:space="preserve">3.741:05 (61,8 M)</t>
  </si>
  <si>
    <t xml:space="preserve">2.675:10</t>
  </si>
  <si>
    <t xml:space="preserve">47,3 M</t>
  </si>
  <si>
    <t xml:space="preserve">35,2 M</t>
  </si>
  <si>
    <t xml:space="preserve">14,9 M</t>
  </si>
  <si>
    <t xml:space="preserve">39,2 M</t>
  </si>
  <si>
    <t xml:space="preserve">115,4 M</t>
  </si>
  <si>
    <t xml:space="preserve">PCE-PC2055</t>
  </si>
  <si>
    <t xml:space="preserve">379:35</t>
  </si>
  <si>
    <t xml:space="preserve">JAN / 27</t>
  </si>
  <si>
    <t xml:space="preserve">AT %2046 (EXT 400 H)</t>
  </si>
  <si>
    <t xml:space="preserve">TBO 4.000H</t>
  </si>
  <si>
    <t xml:space="preserve">WA45322</t>
  </si>
  <si>
    <t xml:space="preserve">1.479:35</t>
  </si>
  <si>
    <t xml:space="preserve">004284</t>
  </si>
  <si>
    <t xml:space="preserve">1.983:35</t>
  </si>
  <si>
    <t xml:space="preserve">C25361</t>
  </si>
  <si>
    <t xml:space="preserve">544:05 (8,2 M)</t>
  </si>
  <si>
    <t xml:space="preserve">07/03/27</t>
  </si>
  <si>
    <t xml:space="preserve">18418109</t>
  </si>
  <si>
    <t xml:space="preserve">5385</t>
  </si>
  <si>
    <t xml:space="preserve">2.089:50</t>
  </si>
  <si>
    <t xml:space="preserve">PZL/07/088</t>
  </si>
  <si>
    <t xml:space="preserve">751:35</t>
  </si>
  <si>
    <t xml:space="preserve">430</t>
  </si>
  <si>
    <t xml:space="preserve">4.570:10</t>
  </si>
  <si>
    <t xml:space="preserve">000929</t>
  </si>
  <si>
    <t xml:space="preserve">2.544:15 (4,4 M)</t>
  </si>
  <si>
    <t xml:space="preserve">15/11/26</t>
  </si>
  <si>
    <t xml:space="preserve">12330951</t>
  </si>
  <si>
    <t xml:space="preserve">2.251:35</t>
  </si>
  <si>
    <t xml:space="preserve">28/01/28</t>
  </si>
  <si>
    <t xml:space="preserve">50,5 M</t>
  </si>
  <si>
    <t xml:space="preserve">37,3 M</t>
  </si>
  <si>
    <t xml:space="preserve">27/07/29</t>
  </si>
  <si>
    <t xml:space="preserve">39,3 M</t>
  </si>
  <si>
    <t xml:space="preserve">27/09/29</t>
  </si>
  <si>
    <t xml:space="preserve">PCE-PC0499</t>
  </si>
  <si>
    <t xml:space="preserve">1.440:50</t>
  </si>
  <si>
    <t xml:space="preserve">HSI 1500:00</t>
  </si>
  <si>
    <t xml:space="preserve">WA8585</t>
  </si>
  <si>
    <t xml:space="preserve">5.440:50</t>
  </si>
  <si>
    <t xml:space="preserve">954</t>
  </si>
  <si>
    <t xml:space="preserve">4.940:50</t>
  </si>
  <si>
    <t xml:space="preserve">C25771</t>
  </si>
  <si>
    <t xml:space="preserve">1.740:50 (58,6 M)</t>
  </si>
  <si>
    <t xml:space="preserve">29/04/31</t>
  </si>
  <si>
    <t xml:space="preserve">1567708</t>
  </si>
  <si>
    <t xml:space="preserve">5459</t>
  </si>
  <si>
    <t xml:space="preserve">PZL/06/022</t>
  </si>
  <si>
    <t xml:space="preserve">2.566:30</t>
  </si>
  <si>
    <t xml:space="preserve">2651022-18</t>
  </si>
  <si>
    <t xml:space="preserve">PZL-10/070</t>
  </si>
  <si>
    <t xml:space="preserve">4.807:25</t>
  </si>
  <si>
    <t xml:space="preserve">070339</t>
  </si>
  <si>
    <t xml:space="preserve">3.807:25 (59,8 M)</t>
  </si>
  <si>
    <t xml:space="preserve">05/06/31</t>
  </si>
  <si>
    <t xml:space="preserve">791:55</t>
  </si>
  <si>
    <t xml:space="preserve">27,2M</t>
  </si>
  <si>
    <t xml:space="preserve">36,2 M</t>
  </si>
  <si>
    <t xml:space="preserve">27/06/29</t>
  </si>
  <si>
    <t xml:space="preserve">64,7 M</t>
  </si>
  <si>
    <t xml:space="preserve">29/10/31</t>
  </si>
  <si>
    <t xml:space="preserve">103,6 M</t>
  </si>
  <si>
    <t xml:space="preserve">08/01/35</t>
  </si>
  <si>
    <t xml:space="preserve">MANG. TORQUÍMETRO – PRESS</t>
  </si>
  <si>
    <t xml:space="preserve">MANG. TORQUÍMETRO – SUCÇÃO</t>
  </si>
  <si>
    <t xml:space="preserve">58,6 M</t>
  </si>
  <si>
    <t xml:space="preserve">28/04/31</t>
  </si>
  <si>
    <t xml:space="preserve">NÃO INSTALADA</t>
  </si>
  <si>
    <t xml:space="preserve">29/03/30</t>
  </si>
  <si>
    <t xml:space="preserve">11,9 M</t>
  </si>
  <si>
    <t xml:space="preserve">PCE-DC2290</t>
  </si>
  <si>
    <t xml:space="preserve">313:30</t>
  </si>
  <si>
    <t xml:space="preserve">ABR / 27</t>
  </si>
  <si>
    <t xml:space="preserve">WA57998</t>
  </si>
  <si>
    <t xml:space="preserve">2.667:10</t>
  </si>
  <si>
    <t xml:space="preserve">003342</t>
  </si>
  <si>
    <t xml:space="preserve">4.928:55</t>
  </si>
  <si>
    <t xml:space="preserve">F66933</t>
  </si>
  <si>
    <t xml:space="preserve">1.728:55 (67,8 M)</t>
  </si>
  <si>
    <t xml:space="preserve">21326525</t>
  </si>
  <si>
    <t xml:space="preserve">2.947:55</t>
  </si>
  <si>
    <t xml:space="preserve">GA1292</t>
  </si>
  <si>
    <t xml:space="preserve">1.632:15</t>
  </si>
  <si>
    <t xml:space="preserve">1215</t>
  </si>
  <si>
    <t xml:space="preserve">3.267:45</t>
  </si>
  <si>
    <t xml:space="preserve">JHZ-16-045</t>
  </si>
  <si>
    <t xml:space="preserve">2.167:10</t>
  </si>
  <si>
    <t xml:space="preserve">930171</t>
  </si>
  <si>
    <t xml:space="preserve">3.283:10 (40,2 M)</t>
  </si>
  <si>
    <t xml:space="preserve">22/10/29</t>
  </si>
  <si>
    <t xml:space="preserve">2135973W</t>
  </si>
  <si>
    <t xml:space="preserve">6.231:55</t>
  </si>
  <si>
    <t xml:space="preserve">33,5 M</t>
  </si>
  <si>
    <t xml:space="preserve">05/04/29</t>
  </si>
  <si>
    <t xml:space="preserve">97,8 M</t>
  </si>
  <si>
    <t xml:space="preserve">17/07/34</t>
  </si>
  <si>
    <t xml:space="preserve">102,6 M</t>
  </si>
  <si>
    <t xml:space="preserve">08/12/34</t>
  </si>
  <si>
    <t xml:space="preserve">MANG. TORQUÍMETRO – VENT</t>
  </si>
  <si>
    <t xml:space="preserve">72,8 M</t>
  </si>
  <si>
    <t xml:space="preserve">27/06/32</t>
  </si>
  <si>
    <t xml:space="preserve">MANG. TORQUÍMETRO TREND – 02 EA</t>
  </si>
  <si>
    <t xml:space="preserve">73,8 M</t>
  </si>
  <si>
    <t xml:space="preserve">28/07/32</t>
  </si>
  <si>
    <t xml:space="preserve">HIDRÁULICA</t>
  </si>
  <si>
    <t xml:space="preserve">CONJ.TREM DE POUSO</t>
  </si>
  <si>
    <t xml:space="preserve">DLS4-02314</t>
  </si>
  <si>
    <t xml:space="preserve">77</t>
  </si>
  <si>
    <t xml:space="preserve">26.910 P</t>
  </si>
  <si>
    <t xml:space="preserve">TLV 31.500 POUSOS</t>
  </si>
  <si>
    <t xml:space="preserve">AXLE-MAIN GEAR ESQ</t>
  </si>
  <si>
    <t xml:space="preserve">2641011-5</t>
  </si>
  <si>
    <t xml:space="preserve">449</t>
  </si>
  <si>
    <t xml:space="preserve">236 P</t>
  </si>
  <si>
    <t xml:space="preserve">DEZ / 26</t>
  </si>
  <si>
    <t xml:space="preserve">I.C. 1.000 POUSOS</t>
  </si>
  <si>
    <t xml:space="preserve">AXLE-MAIN GEAR DIR</t>
  </si>
  <si>
    <t xml:space="preserve">448</t>
  </si>
  <si>
    <t xml:space="preserve">TREM AUXILIAR</t>
  </si>
  <si>
    <t xml:space="preserve">2643100-201</t>
  </si>
  <si>
    <t xml:space="preserve">B4H-013</t>
  </si>
  <si>
    <t xml:space="preserve">9.119 P</t>
  </si>
  <si>
    <t xml:space="preserve">TBO 10.000 POUSOS </t>
  </si>
  <si>
    <t xml:space="preserve">MOLA TREM NARIZ</t>
  </si>
  <si>
    <t xml:space="preserve">2643062-3</t>
  </si>
  <si>
    <t xml:space="preserve">B53203-4</t>
  </si>
  <si>
    <t xml:space="preserve">10.410 P</t>
  </si>
  <si>
    <t xml:space="preserve">TLV 15.000 POUSOS</t>
  </si>
  <si>
    <t xml:space="preserve">SUPORTE DA MOLA DO TPA FWR</t>
  </si>
  <si>
    <t xml:space="preserve">2643099-1</t>
  </si>
  <si>
    <t xml:space="preserve">792</t>
  </si>
  <si>
    <t xml:space="preserve">34.607 P</t>
  </si>
  <si>
    <t xml:space="preserve">TLV 40.000 POUSOS</t>
  </si>
  <si>
    <t xml:space="preserve">SUPORTE DA MOLA DO TPA AFT</t>
  </si>
  <si>
    <t xml:space="preserve">2643055-5</t>
  </si>
  <si>
    <t xml:space="preserve">008</t>
  </si>
  <si>
    <t xml:space="preserve">CONJ.GARFO DA MOLA DO TPA</t>
  </si>
  <si>
    <t xml:space="preserve">2643031-7</t>
  </si>
  <si>
    <t xml:space="preserve">883</t>
  </si>
  <si>
    <t xml:space="preserve">36.693 P</t>
  </si>
  <si>
    <t xml:space="preserve">SEMI CUBO PRINC. EXTERNO ESQ</t>
  </si>
  <si>
    <t xml:space="preserve">162-11800</t>
  </si>
  <si>
    <t xml:space="preserve">AN65</t>
  </si>
  <si>
    <t xml:space="preserve">1.755 P</t>
  </si>
  <si>
    <t xml:space="preserve">TBO 2.000 POUSOS</t>
  </si>
  <si>
    <t xml:space="preserve">SEMI CUBO PRINC. INTERNO ESQ</t>
  </si>
  <si>
    <t xml:space="preserve">161-12800</t>
  </si>
  <si>
    <t xml:space="preserve">AE28</t>
  </si>
  <si>
    <t xml:space="preserve">SEMI CUBO PRINC. EXTERNO DIR</t>
  </si>
  <si>
    <t xml:space="preserve">30649</t>
  </si>
  <si>
    <t xml:space="preserve">914 P</t>
  </si>
  <si>
    <t xml:space="preserve">SEMI CUBO PRINC. INTERNO DIR</t>
  </si>
  <si>
    <t xml:space="preserve">AD16</t>
  </si>
  <si>
    <t xml:space="preserve">SEMI CUBO AUXILIAR. EXTERNO</t>
  </si>
  <si>
    <t xml:space="preserve">162-10700</t>
  </si>
  <si>
    <t xml:space="preserve">U755</t>
  </si>
  <si>
    <t xml:space="preserve">1.583 P</t>
  </si>
  <si>
    <t xml:space="preserve">SEMI CUBO AUXILIAR. INTERNO</t>
  </si>
  <si>
    <t xml:space="preserve">161-11700</t>
  </si>
  <si>
    <t xml:space="preserve">Z22L22B</t>
  </si>
  <si>
    <t xml:space="preserve">MOLA CENTRAL</t>
  </si>
  <si>
    <t xml:space="preserve">2641014-6</t>
  </si>
  <si>
    <t xml:space="preserve">376594</t>
  </si>
  <si>
    <t xml:space="preserve">17.529 P</t>
  </si>
  <si>
    <t xml:space="preserve">MOLA LATERAL ESQ</t>
  </si>
  <si>
    <t xml:space="preserve">2641013-1</t>
  </si>
  <si>
    <t xml:space="preserve">450863</t>
  </si>
  <si>
    <t xml:space="preserve">21.180 P</t>
  </si>
  <si>
    <t xml:space="preserve">MOLA LATERAL DIR</t>
  </si>
  <si>
    <t xml:space="preserve">450872</t>
  </si>
  <si>
    <t xml:space="preserve">TRUNNION DIREITO</t>
  </si>
  <si>
    <t xml:space="preserve">2641012-8</t>
  </si>
  <si>
    <t xml:space="preserve">03</t>
  </si>
  <si>
    <t xml:space="preserve">TRUNNION ESQUERDO</t>
  </si>
  <si>
    <t xml:space="preserve">2641012-9</t>
  </si>
  <si>
    <t xml:space="preserve">04</t>
  </si>
  <si>
    <t xml:space="preserve">ATTACH PIN ESQ</t>
  </si>
  <si>
    <t xml:space="preserve">2641008-1</t>
  </si>
  <si>
    <t xml:space="preserve">06</t>
  </si>
  <si>
    <t xml:space="preserve">ATTACH PIN DIR</t>
  </si>
  <si>
    <t xml:space="preserve">05</t>
  </si>
  <si>
    <t xml:space="preserve">AXLE FITTING ESQ</t>
  </si>
  <si>
    <t xml:space="preserve">2641010-1</t>
  </si>
  <si>
    <t xml:space="preserve">21.644 P</t>
  </si>
  <si>
    <t xml:space="preserve">AXLE FITTING DIR</t>
  </si>
  <si>
    <t xml:space="preserve">27.358 P</t>
  </si>
  <si>
    <t xml:space="preserve">6147-5</t>
  </si>
  <si>
    <t xml:space="preserve">5.000 P</t>
  </si>
  <si>
    <t xml:space="preserve">I.C. 5.000 POUSOS</t>
  </si>
  <si>
    <t xml:space="preserve">1469-5</t>
  </si>
  <si>
    <t xml:space="preserve">1.000 P</t>
  </si>
  <si>
    <t xml:space="preserve">B4H-004</t>
  </si>
  <si>
    <t xml:space="preserve">4.353 P</t>
  </si>
  <si>
    <t xml:space="preserve">2643062-1</t>
  </si>
  <si>
    <t xml:space="preserve">B4H-001</t>
  </si>
  <si>
    <t xml:space="preserve">2.245 P</t>
  </si>
  <si>
    <t xml:space="preserve">2643030-1</t>
  </si>
  <si>
    <t xml:space="preserve">718</t>
  </si>
  <si>
    <t xml:space="preserve">27.245 P</t>
  </si>
  <si>
    <t xml:space="preserve">NIL</t>
  </si>
  <si>
    <t xml:space="preserve">27.222 P</t>
  </si>
  <si>
    <t xml:space="preserve">880</t>
  </si>
  <si>
    <t xml:space="preserve">35.858 P</t>
  </si>
  <si>
    <t xml:space="preserve">B4H-033</t>
  </si>
  <si>
    <t xml:space="preserve">964 P</t>
  </si>
  <si>
    <t xml:space="preserve">964</t>
  </si>
  <si>
    <t xml:space="preserve">13</t>
  </si>
  <si>
    <t xml:space="preserve">1.069 P</t>
  </si>
  <si>
    <t xml:space="preserve">V152</t>
  </si>
  <si>
    <t xml:space="preserve">2641014-9</t>
  </si>
  <si>
    <t xml:space="preserve">627</t>
  </si>
  <si>
    <t xml:space="preserve">26.086 P</t>
  </si>
  <si>
    <t xml:space="preserve">2641013-8</t>
  </si>
  <si>
    <t xml:space="preserve">1519</t>
  </si>
  <si>
    <t xml:space="preserve">1517</t>
  </si>
  <si>
    <t xml:space="preserve">2641012-14</t>
  </si>
  <si>
    <t xml:space="preserve">891</t>
  </si>
  <si>
    <t xml:space="preserve">2641012-13</t>
  </si>
  <si>
    <t xml:space="preserve">1073</t>
  </si>
  <si>
    <t xml:space="preserve">28.948 P</t>
  </si>
  <si>
    <t xml:space="preserve">2641008-200</t>
  </si>
  <si>
    <t xml:space="preserve">48</t>
  </si>
  <si>
    <t xml:space="preserve">45</t>
  </si>
  <si>
    <t xml:space="preserve">2641010-3</t>
  </si>
  <si>
    <t xml:space="preserve">12</t>
  </si>
  <si>
    <t xml:space="preserve">26.384 P</t>
  </si>
  <si>
    <t xml:space="preserve">11</t>
  </si>
  <si>
    <t xml:space="preserve">B4H-006</t>
  </si>
  <si>
    <t xml:space="preserve">5.289 P</t>
  </si>
  <si>
    <t xml:space="preserve">14002</t>
  </si>
  <si>
    <t xml:space="preserve">30.286 P</t>
  </si>
  <si>
    <t xml:space="preserve">2643055-1</t>
  </si>
  <si>
    <t xml:space="preserve">14001</t>
  </si>
  <si>
    <t xml:space="preserve">2643031-1</t>
  </si>
  <si>
    <t xml:space="preserve">14003</t>
  </si>
  <si>
    <t xml:space="preserve">375629</t>
  </si>
  <si>
    <t xml:space="preserve">21.664 P</t>
  </si>
  <si>
    <t xml:space="preserve">2641013-3</t>
  </si>
  <si>
    <t xml:space="preserve">450807</t>
  </si>
  <si>
    <t xml:space="preserve">27.957 P</t>
  </si>
  <si>
    <t xml:space="preserve">451663</t>
  </si>
  <si>
    <t xml:space="preserve">26.963 P</t>
  </si>
  <si>
    <t xml:space="preserve">1005</t>
  </si>
  <si>
    <t xml:space="preserve">29.113 P</t>
  </si>
  <si>
    <t xml:space="preserve">384-001335</t>
  </si>
  <si>
    <t xml:space="preserve">01</t>
  </si>
  <si>
    <t xml:space="preserve">2641008-2</t>
  </si>
  <si>
    <t xml:space="preserve">02</t>
  </si>
  <si>
    <t xml:space="preserve">22.121 P</t>
  </si>
  <si>
    <t xml:space="preserve">14</t>
  </si>
  <si>
    <t xml:space="preserve">22.891 P</t>
  </si>
  <si>
    <t xml:space="preserve">1588-5</t>
  </si>
  <si>
    <t xml:space="preserve">3454</t>
  </si>
  <si>
    <t xml:space="preserve">2643100-206</t>
  </si>
  <si>
    <t xml:space="preserve">626</t>
  </si>
  <si>
    <t xml:space="preserve">6.135 P</t>
  </si>
  <si>
    <t xml:space="preserve">B4H-008</t>
  </si>
  <si>
    <t xml:space="preserve">4.627 P</t>
  </si>
  <si>
    <t xml:space="preserve">1140</t>
  </si>
  <si>
    <t xml:space="preserve">23.156 P</t>
  </si>
  <si>
    <t xml:space="preserve">007</t>
  </si>
  <si>
    <t xml:space="preserve">28.342 P</t>
  </si>
  <si>
    <t xml:space="preserve">28</t>
  </si>
  <si>
    <t xml:space="preserve">393 P</t>
  </si>
  <si>
    <t xml:space="preserve">2005</t>
  </si>
  <si>
    <t xml:space="preserve">651</t>
  </si>
  <si>
    <t xml:space="preserve">578 P</t>
  </si>
  <si>
    <t xml:space="preserve">AD29</t>
  </si>
  <si>
    <t xml:space="preserve">Z25M22A</t>
  </si>
  <si>
    <t xml:space="preserve">665 P</t>
  </si>
  <si>
    <t xml:space="preserve">Z22L22A</t>
  </si>
  <si>
    <t xml:space="preserve">2641014-3</t>
  </si>
  <si>
    <t xml:space="preserve">376285</t>
  </si>
  <si>
    <t xml:space="preserve">23.454 P</t>
  </si>
  <si>
    <t xml:space="preserve">2641013-10</t>
  </si>
  <si>
    <t xml:space="preserve">67</t>
  </si>
  <si>
    <t xml:space="preserve">25.854 P</t>
  </si>
  <si>
    <t xml:space="preserve">99</t>
  </si>
  <si>
    <t xml:space="preserve">464</t>
  </si>
  <si>
    <t xml:space="preserve">463</t>
  </si>
  <si>
    <t xml:space="preserve">141</t>
  </si>
  <si>
    <t xml:space="preserve">704</t>
  </si>
  <si>
    <t xml:space="preserve">2641010-7</t>
  </si>
  <si>
    <t xml:space="preserve">861</t>
  </si>
  <si>
    <t xml:space="preserve">1024</t>
  </si>
  <si>
    <t xml:space="preserve">16</t>
  </si>
  <si>
    <t xml:space="preserve">27.336 P</t>
  </si>
  <si>
    <t xml:space="preserve">5324-5</t>
  </si>
  <si>
    <t xml:space="preserve">3.936 P</t>
  </si>
  <si>
    <t xml:space="preserve">5816-5</t>
  </si>
  <si>
    <t xml:space="preserve">3.380 P</t>
  </si>
  <si>
    <t xml:space="preserve">2643062-2</t>
  </si>
  <si>
    <t xml:space="preserve">850905</t>
  </si>
  <si>
    <t xml:space="preserve">5.930 P</t>
  </si>
  <si>
    <t xml:space="preserve">652</t>
  </si>
  <si>
    <t xml:space="preserve">30.930 P</t>
  </si>
  <si>
    <t xml:space="preserve">33.654 P</t>
  </si>
  <si>
    <t xml:space="preserve">653</t>
  </si>
  <si>
    <t xml:space="preserve">B4H-051</t>
  </si>
  <si>
    <t xml:space="preserve">276 P</t>
  </si>
  <si>
    <t xml:space="preserve">NOV / 26</t>
  </si>
  <si>
    <t xml:space="preserve">480</t>
  </si>
  <si>
    <t xml:space="preserve">687</t>
  </si>
  <si>
    <t xml:space="preserve">855 P</t>
  </si>
  <si>
    <t xml:space="preserve">775</t>
  </si>
  <si>
    <t xml:space="preserve">73 P</t>
  </si>
  <si>
    <t xml:space="preserve">797</t>
  </si>
  <si>
    <t xml:space="preserve">2641014-7</t>
  </si>
  <si>
    <t xml:space="preserve">376238</t>
  </si>
  <si>
    <t xml:space="preserve">21.905 P</t>
  </si>
  <si>
    <t xml:space="preserve">2641013-4</t>
  </si>
  <si>
    <t xml:space="preserve">452609</t>
  </si>
  <si>
    <t xml:space="preserve">21.669 P</t>
  </si>
  <si>
    <t xml:space="preserve">2641013-6</t>
  </si>
  <si>
    <t xml:space="preserve">453286</t>
  </si>
  <si>
    <t xml:space="preserve">24.140 P</t>
  </si>
  <si>
    <t xml:space="preserve">729</t>
  </si>
  <si>
    <t xml:space="preserve">30.421 P</t>
  </si>
  <si>
    <t xml:space="preserve">10</t>
  </si>
  <si>
    <t xml:space="preserve">23.898 P</t>
  </si>
  <si>
    <t xml:space="preserve">LSEAM3244</t>
  </si>
  <si>
    <t xml:space="preserve">29.312 P</t>
  </si>
  <si>
    <t xml:space="preserve">08</t>
  </si>
  <si>
    <t xml:space="preserve">25.165 P</t>
  </si>
  <si>
    <t xml:space="preserve">20</t>
  </si>
  <si>
    <t xml:space="preserve">14.993 P</t>
  </si>
  <si>
    <t xml:space="preserve">19</t>
  </si>
  <si>
    <t xml:space="preserve">678 P</t>
  </si>
  <si>
    <t xml:space="preserve">2643100-200</t>
  </si>
  <si>
    <t xml:space="preserve">B4H-005</t>
  </si>
  <si>
    <t xml:space="preserve">9.768 P</t>
  </si>
  <si>
    <t xml:space="preserve">853237-4</t>
  </si>
  <si>
    <t xml:space="preserve">12.861 P</t>
  </si>
  <si>
    <t xml:space="preserve">2643099-2</t>
  </si>
  <si>
    <t xml:space="preserve">31.717 P</t>
  </si>
  <si>
    <t xml:space="preserve">31.155 P</t>
  </si>
  <si>
    <t xml:space="preserve">1.717 P</t>
  </si>
  <si>
    <t xml:space="preserve">730 P</t>
  </si>
  <si>
    <t xml:space="preserve">277</t>
  </si>
  <si>
    <t xml:space="preserve">1.930 P</t>
  </si>
  <si>
    <t xml:space="preserve">1.768 P</t>
  </si>
  <si>
    <t xml:space="preserve">25.181 P</t>
  </si>
  <si>
    <t xml:space="preserve">25.175 P</t>
  </si>
  <si>
    <t xml:space="preserve">09</t>
  </si>
  <si>
    <t xml:space="preserve">23.819 P</t>
  </si>
  <si>
    <t xml:space="preserve">2641012-15</t>
  </si>
  <si>
    <t xml:space="preserve">26689542C</t>
  </si>
  <si>
    <t xml:space="preserve">31.268 P</t>
  </si>
  <si>
    <t xml:space="preserve">18.925 P</t>
  </si>
  <si>
    <t xml:space="preserve">26.151 P</t>
  </si>
  <si>
    <t xml:space="preserve">23.811 P</t>
  </si>
  <si>
    <t xml:space="preserve">24.268 P</t>
  </si>
  <si>
    <t xml:space="preserve">25.523 P</t>
  </si>
  <si>
    <t xml:space="preserve">2545-5</t>
  </si>
  <si>
    <t xml:space="preserve">175 P</t>
  </si>
  <si>
    <t xml:space="preserve">SET / 26</t>
  </si>
  <si>
    <t xml:space="preserve">2514-5</t>
  </si>
  <si>
    <t xml:space="preserve">00003</t>
  </si>
  <si>
    <t xml:space="preserve">8.635 P</t>
  </si>
  <si>
    <t xml:space="preserve">B4H-0160</t>
  </si>
  <si>
    <t xml:space="preserve">4.026 P</t>
  </si>
  <si>
    <t xml:space="preserve">29.026 P</t>
  </si>
  <si>
    <t xml:space="preserve">1.593 P</t>
  </si>
  <si>
    <t xml:space="preserve">966</t>
  </si>
  <si>
    <t xml:space="preserve">63</t>
  </si>
  <si>
    <t xml:space="preserve">1.576 P</t>
  </si>
  <si>
    <t xml:space="preserve">AP61</t>
  </si>
  <si>
    <t xml:space="preserve">Z22D24B</t>
  </si>
  <si>
    <t xml:space="preserve">Z04D24B</t>
  </si>
  <si>
    <t xml:space="preserve">374819</t>
  </si>
  <si>
    <t xml:space="preserve">455390</t>
  </si>
  <si>
    <t xml:space="preserve">455388</t>
  </si>
  <si>
    <t xml:space="preserve">1038</t>
  </si>
  <si>
    <t xml:space="preserve">26689542A</t>
  </si>
  <si>
    <t xml:space="preserve">30.044 P</t>
  </si>
  <si>
    <t xml:space="preserve">920</t>
  </si>
  <si>
    <t xml:space="preserve">919</t>
  </si>
  <si>
    <t xml:space="preserve">1687</t>
  </si>
  <si>
    <t xml:space="preserve">1692</t>
  </si>
  <si>
    <t xml:space="preserve">26.511 P</t>
  </si>
  <si>
    <t xml:space="preserve">5351</t>
  </si>
  <si>
    <t xml:space="preserve">162 P</t>
  </si>
  <si>
    <t xml:space="preserve">4910-5</t>
  </si>
  <si>
    <t xml:space="preserve">4.091 P</t>
  </si>
  <si>
    <t xml:space="preserve">9.680 P</t>
  </si>
  <si>
    <t xml:space="preserve">8522783</t>
  </si>
  <si>
    <t xml:space="preserve">7.048 P</t>
  </si>
  <si>
    <t xml:space="preserve">2643103-1</t>
  </si>
  <si>
    <t xml:space="preserve">29324709K</t>
  </si>
  <si>
    <t xml:space="preserve">39.680 P</t>
  </si>
  <si>
    <t xml:space="preserve">293</t>
  </si>
  <si>
    <t xml:space="preserve">32.048 P</t>
  </si>
  <si>
    <t xml:space="preserve">305</t>
  </si>
  <si>
    <t xml:space="preserve">967</t>
  </si>
  <si>
    <t xml:space="preserve">1.803 P</t>
  </si>
  <si>
    <t xml:space="preserve">755</t>
  </si>
  <si>
    <t xml:space="preserve">337 P</t>
  </si>
  <si>
    <t xml:space="preserve">05B</t>
  </si>
  <si>
    <t xml:space="preserve">1.520 P</t>
  </si>
  <si>
    <t xml:space="preserve">17</t>
  </si>
  <si>
    <t xml:space="preserve">38</t>
  </si>
  <si>
    <t xml:space="preserve">43 P</t>
  </si>
  <si>
    <t xml:space="preserve">2641014-4</t>
  </si>
  <si>
    <t xml:space="preserve">375766</t>
  </si>
  <si>
    <t xml:space="preserve">28.073 P</t>
  </si>
  <si>
    <t xml:space="preserve">450804</t>
  </si>
  <si>
    <t xml:space="preserve">24.089 P</t>
  </si>
  <si>
    <t xml:space="preserve">2641013-5</t>
  </si>
  <si>
    <t xml:space="preserve">451372</t>
  </si>
  <si>
    <t xml:space="preserve">24.093 P</t>
  </si>
  <si>
    <t xml:space="preserve">962</t>
  </si>
  <si>
    <t xml:space="preserve">29.002 P</t>
  </si>
  <si>
    <t xml:space="preserve">32784468F</t>
  </si>
  <si>
    <t xml:space="preserve">31.303 P</t>
  </si>
  <si>
    <t xml:space="preserve">46</t>
  </si>
  <si>
    <t xml:space="preserve">47</t>
  </si>
  <si>
    <t xml:space="preserve">2339</t>
  </si>
  <si>
    <t xml:space="preserve">29.370 P</t>
  </si>
  <si>
    <t xml:space="preserve">2336</t>
  </si>
  <si>
    <t xml:space="preserve">3203-5</t>
  </si>
  <si>
    <t xml:space="preserve">134 P</t>
  </si>
  <si>
    <t xml:space="preserve">OUT / 26</t>
  </si>
  <si>
    <t xml:space="preserve">4928-5</t>
  </si>
  <si>
    <t xml:space="preserve">2.204 P</t>
  </si>
  <si>
    <t xml:space="preserve">8.826 P</t>
  </si>
  <si>
    <t xml:space="preserve">8523153</t>
  </si>
  <si>
    <t xml:space="preserve">7.152 P</t>
  </si>
  <si>
    <t xml:space="preserve">28790162Z</t>
  </si>
  <si>
    <t xml:space="preserve">39.725 P</t>
  </si>
  <si>
    <t xml:space="preserve">656</t>
  </si>
  <si>
    <t xml:space="preserve">37.725 P</t>
  </si>
  <si>
    <t xml:space="preserve">534</t>
  </si>
  <si>
    <t xml:space="preserve">36.567 P</t>
  </si>
  <si>
    <t xml:space="preserve">400 P</t>
  </si>
  <si>
    <t xml:space="preserve">949</t>
  </si>
  <si>
    <t xml:space="preserve">740 P</t>
  </si>
  <si>
    <t xml:space="preserve">07</t>
  </si>
  <si>
    <t xml:space="preserve">574736</t>
  </si>
  <si>
    <t xml:space="preserve">25.611 P</t>
  </si>
  <si>
    <t xml:space="preserve">455184</t>
  </si>
  <si>
    <t xml:space="preserve">455183</t>
  </si>
  <si>
    <t xml:space="preserve">1523</t>
  </si>
  <si>
    <t xml:space="preserve">30.355 P</t>
  </si>
  <si>
    <t xml:space="preserve">1018</t>
  </si>
  <si>
    <t xml:space="preserve">64</t>
  </si>
  <si>
    <t xml:space="preserve">65</t>
  </si>
  <si>
    <t xml:space="preserve">1558</t>
  </si>
  <si>
    <t xml:space="preserve">30.269 P</t>
  </si>
  <si>
    <t xml:space="preserve">1545</t>
  </si>
  <si>
    <t xml:space="preserve">ELÉTRICA</t>
  </si>
  <si>
    <t xml:space="preserve">ARRANQUE GERADOR</t>
  </si>
  <si>
    <t xml:space="preserve">200SGL119Q</t>
  </si>
  <si>
    <t xml:space="preserve">3237XL</t>
  </si>
  <si>
    <t xml:space="preserve">1.493:10</t>
  </si>
  <si>
    <t xml:space="preserve">TBO 1.600H</t>
  </si>
  <si>
    <t xml:space="preserve">MANG. SIST PITOT ESTÁTICO</t>
  </si>
  <si>
    <t xml:space="preserve">S1495-4</t>
  </si>
  <si>
    <t xml:space="preserve">107,2 M</t>
  </si>
  <si>
    <t xml:space="preserve">23/04/35</t>
  </si>
  <si>
    <t xml:space="preserve">MANG. SIST VÁCUO</t>
  </si>
  <si>
    <t xml:space="preserve">S1495-6</t>
  </si>
  <si>
    <t xml:space="preserve">3704XL</t>
  </si>
  <si>
    <t xml:space="preserve">948:35</t>
  </si>
  <si>
    <t xml:space="preserve">65,1 M</t>
  </si>
  <si>
    <t xml:space="preserve">10/11/31</t>
  </si>
  <si>
    <t xml:space="preserve">NÃO INSTALADO</t>
  </si>
  <si>
    <t xml:space="preserve">TBO 2.000H</t>
  </si>
  <si>
    <t xml:space="preserve">200SGL153Q</t>
  </si>
  <si>
    <t xml:space="preserve">S00537</t>
  </si>
  <si>
    <t xml:space="preserve">1.251:35</t>
  </si>
  <si>
    <t xml:space="preserve">25,1 M</t>
  </si>
  <si>
    <t xml:space="preserve">29/07/28</t>
  </si>
  <si>
    <t xml:space="preserve">102,1 M</t>
  </si>
  <si>
    <t xml:space="preserve">24/11/34</t>
  </si>
  <si>
    <t xml:space="preserve">200SGL119Q-2</t>
  </si>
  <si>
    <t xml:space="preserve">S00088XL</t>
  </si>
  <si>
    <t xml:space="preserve">1.336:15</t>
  </si>
  <si>
    <t xml:space="preserve">69,4 M</t>
  </si>
  <si>
    <t xml:space="preserve">20/12/31</t>
  </si>
  <si>
    <t xml:space="preserve">2461XL</t>
  </si>
  <si>
    <t xml:space="preserve">213:10</t>
  </si>
  <si>
    <t xml:space="preserve">AGO / 26</t>
  </si>
  <si>
    <t xml:space="preserve">200SGL119Q-1</t>
  </si>
  <si>
    <t xml:space="preserve">S00392</t>
  </si>
  <si>
    <t xml:space="preserve">1.659:10</t>
  </si>
  <si>
    <t xml:space="preserve">98,9 M</t>
  </si>
  <si>
    <t xml:space="preserve">20/08/34</t>
  </si>
  <si>
    <t xml:space="preserve">3202XL</t>
  </si>
  <si>
    <t xml:space="preserve">922:05</t>
  </si>
  <si>
    <t xml:space="preserve">30,2 M</t>
  </si>
  <si>
    <t xml:space="preserve">28/12/28</t>
  </si>
  <si>
    <t xml:space="preserve">:55</t>
  </si>
  <si>
    <t xml:space="preserve">200SGL1190-2</t>
  </si>
  <si>
    <t xml:space="preserve">S00116XL</t>
  </si>
  <si>
    <t xml:space="preserve">649:55</t>
  </si>
  <si>
    <t xml:space="preserve">102,9 M</t>
  </si>
  <si>
    <t xml:space="preserve">18/12/34</t>
  </si>
  <si>
    <t xml:space="preserve">ELETRÔNICA</t>
  </si>
  <si>
    <t xml:space="preserve">BATERIA DO ELT</t>
  </si>
  <si>
    <t xml:space="preserve">452-0133</t>
  </si>
  <si>
    <t xml:space="preserve">391590-010</t>
  </si>
  <si>
    <t xml:space="preserve">10,7 M</t>
  </si>
  <si>
    <t xml:space="preserve">21/05/27</t>
  </si>
  <si>
    <t xml:space="preserve">TLV 5 ANOS</t>
  </si>
  <si>
    <t xml:space="preserve">23,2 M</t>
  </si>
  <si>
    <t xml:space="preserve">30/05/28</t>
  </si>
  <si>
    <t xml:space="preserve">394339-026</t>
  </si>
  <si>
    <t xml:space="preserve">10,5 M</t>
  </si>
  <si>
    <t xml:space="preserve">30/05/27</t>
  </si>
  <si>
    <t xml:space="preserve">397401-011</t>
  </si>
  <si>
    <t xml:space="preserve">16,0 M</t>
  </si>
  <si>
    <t xml:space="preserve">30/10/27</t>
  </si>
  <si>
    <t xml:space="preserve">1012821-019</t>
  </si>
  <si>
    <t xml:space="preserve">44,4 M</t>
  </si>
  <si>
    <t xml:space="preserve">30/11/29</t>
  </si>
  <si>
    <t xml:space="preserve">1014784-018</t>
  </si>
  <si>
    <t xml:space="preserve">28/02/30</t>
  </si>
  <si>
    <t xml:space="preserve">393069-038</t>
  </si>
  <si>
    <t xml:space="preserve">5,9 M</t>
  </si>
  <si>
    <t xml:space="preserve">31/12/26</t>
  </si>
  <si>
    <t xml:space="preserve">1019151-002</t>
  </si>
  <si>
    <t xml:space="preserve">48,5 M</t>
  </si>
  <si>
    <t xml:space="preserve">29/06/30</t>
  </si>
  <si>
    <t xml:space="preserve">FLAP BELCRANK ASSY-RH INBD</t>
  </si>
  <si>
    <t xml:space="preserve">2622311-16</t>
  </si>
  <si>
    <t xml:space="preserve">888</t>
  </si>
  <si>
    <t xml:space="preserve">34.171 P</t>
  </si>
  <si>
    <t xml:space="preserve">ROLAMENTO GUINHOL FLAP</t>
  </si>
  <si>
    <t xml:space="preserve">MS27641-5</t>
  </si>
  <si>
    <t xml:space="preserve">4.171 P</t>
  </si>
  <si>
    <t xml:space="preserve">TLV 10.000 POUSOS</t>
  </si>
  <si>
    <t xml:space="preserve">PARAFUSO GUINHOL FLAP</t>
  </si>
  <si>
    <t xml:space="preserve">AN5-77</t>
  </si>
  <si>
    <t xml:space="preserve">HASTE DIANTEIRA PROFUNDOR</t>
  </si>
  <si>
    <t xml:space="preserve">2613440-1</t>
  </si>
  <si>
    <t xml:space="preserve">4527692</t>
  </si>
  <si>
    <t xml:space="preserve">4.910 P</t>
  </si>
  <si>
    <t xml:space="preserve">TLV 9.500 POUSOS</t>
  </si>
  <si>
    <t xml:space="preserve">HASTE TRASEIRA PROFUNDOR</t>
  </si>
  <si>
    <t xml:space="preserve">2634027-1</t>
  </si>
  <si>
    <t xml:space="preserve">22.501 P</t>
  </si>
  <si>
    <t xml:space="preserve">EXTINTOR PORTÁTIL</t>
  </si>
  <si>
    <t xml:space="preserve">C352</t>
  </si>
  <si>
    <t xml:space="preserve">G-40532536</t>
  </si>
  <si>
    <t xml:space="preserve">83,7 M</t>
  </si>
  <si>
    <t xml:space="preserve">18/05/33</t>
  </si>
  <si>
    <t xml:space="preserve">TLV 12 ANOS</t>
  </si>
  <si>
    <t xml:space="preserve">MANG. COMB. BORRACHA – ASA</t>
  </si>
  <si>
    <t xml:space="preserve">S51-10-12</t>
  </si>
  <si>
    <t xml:space="preserve">65,7 M</t>
  </si>
  <si>
    <t xml:space="preserve">24/11/31</t>
  </si>
  <si>
    <t xml:space="preserve">MANG. COMB. BORRACHA – TANQUINHO</t>
  </si>
  <si>
    <t xml:space="preserve">S51-10-10</t>
  </si>
  <si>
    <t xml:space="preserve">MANG. COMB. BORRACHA – SAÍDA TANQUINHO</t>
  </si>
  <si>
    <t xml:space="preserve">S51-8</t>
  </si>
  <si>
    <t xml:space="preserve">928</t>
  </si>
  <si>
    <t xml:space="preserve">35.460 P</t>
  </si>
  <si>
    <t xml:space="preserve">5.460 P</t>
  </si>
  <si>
    <t xml:space="preserve">LS01</t>
  </si>
  <si>
    <t xml:space="preserve">5.584 P</t>
  </si>
  <si>
    <t xml:space="preserve">2634009-1</t>
  </si>
  <si>
    <t xml:space="preserve">0256</t>
  </si>
  <si>
    <t xml:space="preserve">RT-A1200</t>
  </si>
  <si>
    <t xml:space="preserve">D58293653</t>
  </si>
  <si>
    <t xml:space="preserve">100,9 M</t>
  </si>
  <si>
    <t xml:space="preserve">18/10/34</t>
  </si>
  <si>
    <t xml:space="preserve">92,8 M</t>
  </si>
  <si>
    <t xml:space="preserve">17/02/34</t>
  </si>
  <si>
    <t xml:space="preserve">82</t>
  </si>
  <si>
    <t xml:space="preserve">2634027-3</t>
  </si>
  <si>
    <t xml:space="preserve">86</t>
  </si>
  <si>
    <t xml:space="preserve">30.289 P</t>
  </si>
  <si>
    <t xml:space="preserve">C352TS</t>
  </si>
  <si>
    <t xml:space="preserve">VENCIDA</t>
  </si>
  <si>
    <t xml:space="preserve">14/06/23</t>
  </si>
  <si>
    <t xml:space="preserve">ANV ESTOCADA</t>
  </si>
  <si>
    <t xml:space="preserve">788</t>
  </si>
  <si>
    <t xml:space="preserve">33.756 P</t>
  </si>
  <si>
    <t xml:space="preserve">3.756 P</t>
  </si>
  <si>
    <t xml:space="preserve">510</t>
  </si>
  <si>
    <t xml:space="preserve">4.262 P</t>
  </si>
  <si>
    <t xml:space="preserve">0257</t>
  </si>
  <si>
    <t xml:space="preserve">I-01810654</t>
  </si>
  <si>
    <t xml:space="preserve">103,3 M</t>
  </si>
  <si>
    <t xml:space="preserve">29/12/34</t>
  </si>
  <si>
    <t xml:space="preserve">109,1 M</t>
  </si>
  <si>
    <t xml:space="preserve">28/06/35</t>
  </si>
  <si>
    <t xml:space="preserve">1045</t>
  </si>
  <si>
    <t xml:space="preserve">34.060 P</t>
  </si>
  <si>
    <t xml:space="preserve">4.060 P</t>
  </si>
  <si>
    <t xml:space="preserve">350</t>
  </si>
  <si>
    <t xml:space="preserve">8.836 P</t>
  </si>
  <si>
    <t xml:space="preserve">208-2719-2</t>
  </si>
  <si>
    <t xml:space="preserve">30.285P</t>
  </si>
  <si>
    <t xml:space="preserve">84,9 M</t>
  </si>
  <si>
    <t xml:space="preserve">27/06/33</t>
  </si>
  <si>
    <t xml:space="preserve">2622311-7</t>
  </si>
  <si>
    <t xml:space="preserve">325</t>
  </si>
  <si>
    <t xml:space="preserve">7327</t>
  </si>
  <si>
    <t xml:space="preserve">1.217 P</t>
  </si>
  <si>
    <t xml:space="preserve">A-24022580</t>
  </si>
  <si>
    <t xml:space="preserve">7,9 M</t>
  </si>
  <si>
    <t xml:space="preserve">01/12/26</t>
  </si>
  <si>
    <t xml:space="preserve">73,7 M</t>
  </si>
  <si>
    <t xml:space="preserve">27/04/32</t>
  </si>
  <si>
    <t xml:space="preserve">904</t>
  </si>
  <si>
    <t xml:space="preserve">33.038 P</t>
  </si>
  <si>
    <t xml:space="preserve">3.038 P</t>
  </si>
  <si>
    <t xml:space="preserve">4257692</t>
  </si>
  <si>
    <t xml:space="preserve">7.958 P</t>
  </si>
  <si>
    <t xml:space="preserve">I-01810651</t>
  </si>
  <si>
    <t xml:space="preserve">75,0 M</t>
  </si>
  <si>
    <t xml:space="preserve">02/09/32</t>
  </si>
  <si>
    <t xml:space="preserve">526</t>
  </si>
  <si>
    <t xml:space="preserve">2.048 P</t>
  </si>
  <si>
    <t xml:space="preserve">2613440-3</t>
  </si>
  <si>
    <t xml:space="preserve">208-2728-1</t>
  </si>
  <si>
    <t xml:space="preserve">208-2728-2</t>
  </si>
  <si>
    <t xml:space="preserve">A-24022576</t>
  </si>
  <si>
    <t xml:space="preserve">4,9 M</t>
  </si>
  <si>
    <t xml:space="preserve">70,7 M</t>
  </si>
  <si>
    <t xml:space="preserve">2138</t>
  </si>
  <si>
    <t xml:space="preserve">38.957 P</t>
  </si>
  <si>
    <t xml:space="preserve">8.947 P</t>
  </si>
  <si>
    <t xml:space="preserve">32.152P</t>
  </si>
  <si>
    <t xml:space="preserve">968</t>
  </si>
  <si>
    <t xml:space="preserve">32.152 P</t>
  </si>
  <si>
    <t xml:space="preserve">D58293973</t>
  </si>
  <si>
    <t xml:space="preserve">105,8 M</t>
  </si>
  <si>
    <t xml:space="preserve">14/02/35</t>
  </si>
  <si>
    <t xml:space="preserve">24,1 M</t>
  </si>
  <si>
    <t xml:space="preserve">27/06/28</t>
  </si>
  <si>
    <t xml:space="preserve">8,9 M</t>
  </si>
  <si>
    <t xml:space="preserve">29/03/27</t>
  </si>
  <si>
    <t xml:space="preserve">Panes na Aeronave C-98 2704</t>
  </si>
  <si>
    <t xml:space="preserve">Data da pane</t>
  </si>
  <si>
    <t xml:space="preserve">Data resolução</t>
  </si>
  <si>
    <t xml:space="preserve">Pane </t>
  </si>
  <si>
    <t xml:space="preserve">Solução</t>
  </si>
  <si>
    <t xml:space="preserve">Observação</t>
  </si>
  <si>
    <t xml:space="preserve">Bússola elétrica parou de funcionar em função de pane no SLAVING.</t>
  </si>
  <si>
    <t xml:space="preserve">Substituído o giro direcional, Slaving (pn 071-1242-06 sn 22890) e Diretor de voo (pn 060-0017-00 sn 18821) Solucionada as panes de bússola elétrica e de PA.</t>
  </si>
  <si>
    <t xml:space="preserve">No dia 04/02, SO Novaes conversou, por telefone, com o SO Jacinto (PAMALS) que instruiu que aeronave ficasse limitada a voo local visual. No dia 12/02  foi feito um AT %675 solicitando antecipando as inspeções, mesmo a anv tendo ainda 20 horas disponíveis. </t>
  </si>
  <si>
    <t xml:space="preserve">VOR1 não liga.</t>
  </si>
  <si>
    <r>
      <rPr>
        <sz val="10"/>
        <color rgb="FF000000"/>
        <rFont val="Arial"/>
        <family val="0"/>
        <charset val="1"/>
      </rPr>
      <t xml:space="preserve">Feito o pedido do VOR1 </t>
    </r>
    <r>
      <rPr>
        <b val="true"/>
        <sz val="10"/>
        <color rgb="FF000000"/>
        <rFont val="Arial"/>
        <family val="0"/>
        <charset val="1"/>
      </rPr>
      <t xml:space="preserve">pn 066-4010-12</t>
    </r>
    <r>
      <rPr>
        <sz val="10"/>
        <color rgb="FF000000"/>
        <rFont val="Arial"/>
        <family val="0"/>
        <charset val="1"/>
      </rPr>
      <t xml:space="preserve"> nº 407000064392 em 16/04/15 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</si>
</sst>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/MM/YY"/>
    <numFmt numFmtId="167" formatCode="YYYY\-M"/>
    <numFmt numFmtId="168" formatCode="#,##0"/>
    <numFmt numFmtId="169" formatCode="DD/MM/YYYY"/>
  </numFmts>
  <fonts count="56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7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i val="true"/>
      <sz val="10"/>
      <color rgb="FF5B0F00"/>
      <name val="Arial"/>
      <family val="0"/>
      <charset val="1"/>
    </font>
    <font>
      <b val="true"/>
      <sz val="10"/>
      <color rgb="FF5B0F00"/>
      <name val="Arial"/>
      <family val="0"/>
      <charset val="1"/>
    </font>
    <font>
      <b val="true"/>
      <sz val="10"/>
      <color rgb="FF5B0F00"/>
      <name val="Calibri"/>
      <family val="0"/>
      <charset val="1"/>
    </font>
    <font>
      <b val="true"/>
      <i val="true"/>
      <sz val="10"/>
      <color rgb="FF5B0F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  <font>
      <b val="true"/>
      <sz val="8"/>
      <color rgb="FFCC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9"/>
      <color rgb="FFFF0000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2"/>
      <color rgb="FF0000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8"/>
      <color rgb="FF0000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b val="true"/>
      <sz val="15"/>
      <color rgb="FF00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4"/>
      <color rgb="FFCC0000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5"/>
      <color rgb="FF000000"/>
      <name val="Arial"/>
      <family val="0"/>
      <charset val="1"/>
    </font>
    <font>
      <b val="true"/>
      <i val="true"/>
      <sz val="14"/>
      <color rgb="FF000000"/>
      <name val="Arial"/>
      <family val="0"/>
      <charset val="1"/>
    </font>
    <font>
      <sz val="36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FF0000"/>
      <name val="Times New Roman"/>
      <family val="0"/>
      <charset val="1"/>
    </font>
    <font>
      <sz val="11"/>
      <color rgb="FFFF0000"/>
      <name val="Times New Roman"/>
      <family val="0"/>
      <charset val="1"/>
    </font>
    <font>
      <sz val="11"/>
      <color rgb="FFFF0000"/>
      <name val="Calibri"/>
      <family val="0"/>
      <charset val="1"/>
    </font>
    <font>
      <sz val="30"/>
      <color rgb="FF000000"/>
      <name val="Times New Roman"/>
      <family val="0"/>
      <charset val="1"/>
    </font>
    <font>
      <sz val="24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C0C0C0"/>
        <bgColor rgb="FFB7B7B7"/>
      </patternFill>
    </fill>
    <fill>
      <patternFill patternType="solid">
        <fgColor rgb="FFEFEFEF"/>
        <bgColor rgb="FFF3F3F3"/>
      </patternFill>
    </fill>
    <fill>
      <patternFill patternType="solid">
        <fgColor rgb="FF999999"/>
        <bgColor rgb="FFB7B7B7"/>
      </patternFill>
    </fill>
    <fill>
      <patternFill patternType="solid">
        <fgColor rgb="FFF3F3F3"/>
        <bgColor rgb="FFEFEFEF"/>
      </patternFill>
    </fill>
    <fill>
      <patternFill patternType="solid">
        <fgColor rgb="FFFFFF99"/>
        <bgColor rgb="FFFFFF66"/>
      </patternFill>
    </fill>
    <fill>
      <patternFill patternType="solid">
        <fgColor rgb="FFFFFF00"/>
        <bgColor rgb="FFFFFF66"/>
      </patternFill>
    </fill>
    <fill>
      <patternFill patternType="solid">
        <fgColor rgb="FFFCE5CD"/>
        <bgColor rgb="FFEFEFEF"/>
      </patternFill>
    </fill>
    <fill>
      <patternFill patternType="solid">
        <fgColor rgb="FF008000"/>
        <bgColor rgb="FF008080"/>
      </patternFill>
    </fill>
    <fill>
      <patternFill patternType="solid">
        <fgColor rgb="FFFF0000"/>
        <bgColor rgb="FFCC0000"/>
      </patternFill>
    </fill>
    <fill>
      <patternFill patternType="solid">
        <fgColor rgb="FFD9D9D9"/>
        <bgColor rgb="FFEAD1DC"/>
      </patternFill>
    </fill>
    <fill>
      <patternFill patternType="solid">
        <fgColor rgb="FF66CC00"/>
        <bgColor rgb="FF93C47D"/>
      </patternFill>
    </fill>
    <fill>
      <patternFill patternType="solid">
        <fgColor rgb="FF99CCFF"/>
        <bgColor rgb="FFC0C0C0"/>
      </patternFill>
    </fill>
    <fill>
      <patternFill patternType="solid">
        <fgColor rgb="FF93C47D"/>
        <bgColor rgb="FFB7B7B7"/>
      </patternFill>
    </fill>
    <fill>
      <patternFill patternType="solid">
        <fgColor rgb="FFB7B7B7"/>
        <bgColor rgb="FFC0C0C0"/>
      </patternFill>
    </fill>
    <fill>
      <patternFill patternType="solid">
        <fgColor rgb="FFEAD1DC"/>
        <bgColor rgb="FFD9D9D9"/>
      </patternFill>
    </fill>
    <fill>
      <patternFill patternType="solid">
        <fgColor rgb="FF00FF00"/>
        <bgColor rgb="FF66CC00"/>
      </patternFill>
    </fill>
    <fill>
      <patternFill patternType="solid">
        <fgColor rgb="FFFE3534"/>
        <bgColor rgb="FFFF0000"/>
      </patternFill>
    </fill>
    <fill>
      <patternFill patternType="solid">
        <fgColor rgb="FFFFFF66"/>
        <bgColor rgb="FFFFFF99"/>
      </patternFill>
    </fill>
    <fill>
      <patternFill patternType="solid">
        <fgColor rgb="FFCCCCCC"/>
        <bgColor rgb="FFC0C0C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1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4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5" fillId="2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1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5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21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B0F00"/>
      <rgbColor rgb="FF008000"/>
      <rgbColor rgb="FF000080"/>
      <rgbColor rgb="FF808000"/>
      <rgbColor rgb="FF800080"/>
      <rgbColor rgb="FF008080"/>
      <rgbColor rgb="FFC0C0C0"/>
      <rgbColor rgb="FF93C47D"/>
      <rgbColor rgb="FF9999FF"/>
      <rgbColor rgb="FF993366"/>
      <rgbColor rgb="FFF3F3F3"/>
      <rgbColor rgb="FFEFEFEF"/>
      <rgbColor rgb="FF660066"/>
      <rgbColor rgb="FFFF8080"/>
      <rgbColor rgb="FF0066CC"/>
      <rgbColor rgb="FFCCCCCC"/>
      <rgbColor rgb="FF000080"/>
      <rgbColor rgb="FFFF00FF"/>
      <rgbColor rgb="FFFFFF66"/>
      <rgbColor rgb="FF00FFFF"/>
      <rgbColor rgb="FF800080"/>
      <rgbColor rgb="FFCC0000"/>
      <rgbColor rgb="FF008080"/>
      <rgbColor rgb="FF0000FF"/>
      <rgbColor rgb="FF00CCFF"/>
      <rgbColor rgb="FFFCE5CD"/>
      <rgbColor rgb="FFD9D9D9"/>
      <rgbColor rgb="FFFFFF99"/>
      <rgbColor rgb="FF99CCFF"/>
      <rgbColor rgb="FFFF99CC"/>
      <rgbColor rgb="FFB7B7B7"/>
      <rgbColor rgb="FFEAD1DC"/>
      <rgbColor rgb="FF3366FF"/>
      <rgbColor rgb="FF33CCCC"/>
      <rgbColor rgb="FF66CC00"/>
      <rgbColor rgb="FFFFCC00"/>
      <rgbColor rgb="FFFF9900"/>
      <rgbColor rgb="FFFE3534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1.86"/>
    <col collapsed="false" customWidth="true" hidden="false" outlineLevel="0" max="3" min="3" style="0" width="12.42"/>
    <col collapsed="false" customWidth="true" hidden="false" outlineLevel="0" max="4" min="4" style="0" width="12"/>
    <col collapsed="false" customWidth="true" hidden="false" outlineLevel="0" max="5" min="5" style="0" width="17.71"/>
    <col collapsed="false" customWidth="true" hidden="false" outlineLevel="0" max="107" min="6" style="0" width="4.29"/>
    <col collapsed="false" customWidth="true" hidden="false" outlineLevel="0" max="108" min="108" style="0" width="10.29"/>
    <col collapsed="false" customWidth="true" hidden="false" outlineLevel="0" max="110" min="109" style="0" width="10.42"/>
    <col collapsed="false" customWidth="true" hidden="false" outlineLevel="0" max="111" min="111" style="0" width="10.13"/>
    <col collapsed="false" customWidth="true" hidden="false" outlineLevel="0" max="213" min="112" style="0" width="4.29"/>
    <col collapsed="false" customWidth="true" hidden="false" outlineLevel="0" max="214" min="214" style="0" width="10.29"/>
    <col collapsed="false" customWidth="true" hidden="false" outlineLevel="0" max="215" min="215" style="0" width="8.71"/>
    <col collapsed="false" customWidth="true" hidden="false" outlineLevel="0" max="216" min="216" style="0" width="10"/>
    <col collapsed="false" customWidth="true" hidden="false" outlineLevel="0" max="217" min="217" style="0" width="10.71"/>
    <col collapsed="false" customWidth="true" hidden="false" outlineLevel="0" max="241" min="218" style="0" width="13.86"/>
    <col collapsed="false" customWidth="true" hidden="false" outlineLevel="0" max="1025" min="242" style="0" width="14.42"/>
  </cols>
  <sheetData>
    <row r="1" customFormat="false" ht="15" hidden="false" customHeight="false" outlineLevel="0" collapsed="false">
      <c r="A1" s="1"/>
      <c r="B1" s="2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</row>
    <row r="2" customFormat="false" ht="31.5" hidden="false" customHeight="true" outlineLevel="0" collapsed="false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7" t="s">
        <v>6</v>
      </c>
      <c r="DG2" s="7"/>
      <c r="DH2" s="6" t="s">
        <v>7</v>
      </c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7" t="s">
        <v>6</v>
      </c>
      <c r="HI2" s="7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</row>
    <row r="3" customFormat="false" ht="15" hidden="false" customHeight="true" outlineLevel="0" collapsed="false">
      <c r="A3" s="5"/>
      <c r="B3" s="5"/>
      <c r="C3" s="5"/>
      <c r="D3" s="5"/>
      <c r="E3" s="5"/>
      <c r="F3" s="9" t="s">
        <v>8</v>
      </c>
      <c r="G3" s="9"/>
      <c r="H3" s="9"/>
      <c r="I3" s="9"/>
      <c r="J3" s="9"/>
      <c r="K3" s="9"/>
      <c r="L3" s="9"/>
      <c r="M3" s="9"/>
      <c r="N3" s="9" t="s">
        <v>9</v>
      </c>
      <c r="O3" s="9"/>
      <c r="P3" s="9"/>
      <c r="Q3" s="9"/>
      <c r="R3" s="9"/>
      <c r="S3" s="9"/>
      <c r="T3" s="9"/>
      <c r="U3" s="9"/>
      <c r="V3" s="9" t="s">
        <v>10</v>
      </c>
      <c r="W3" s="9"/>
      <c r="X3" s="9"/>
      <c r="Y3" s="9"/>
      <c r="Z3" s="9"/>
      <c r="AA3" s="9"/>
      <c r="AB3" s="9"/>
      <c r="AC3" s="9"/>
      <c r="AD3" s="9" t="s">
        <v>11</v>
      </c>
      <c r="AE3" s="9"/>
      <c r="AF3" s="9"/>
      <c r="AG3" s="9"/>
      <c r="AH3" s="9"/>
      <c r="AI3" s="9"/>
      <c r="AJ3" s="9"/>
      <c r="AK3" s="9"/>
      <c r="AL3" s="9"/>
      <c r="AM3" s="9"/>
      <c r="AN3" s="9" t="s">
        <v>12</v>
      </c>
      <c r="AO3" s="9"/>
      <c r="AP3" s="9"/>
      <c r="AQ3" s="9"/>
      <c r="AR3" s="9"/>
      <c r="AS3" s="9"/>
      <c r="AT3" s="9"/>
      <c r="AU3" s="9"/>
      <c r="AV3" s="9" t="s">
        <v>13</v>
      </c>
      <c r="AW3" s="9"/>
      <c r="AX3" s="9"/>
      <c r="AY3" s="9"/>
      <c r="AZ3" s="9"/>
      <c r="BA3" s="9"/>
      <c r="BB3" s="9"/>
      <c r="BC3" s="9"/>
      <c r="BD3" s="9" t="s">
        <v>14</v>
      </c>
      <c r="BE3" s="9"/>
      <c r="BF3" s="9"/>
      <c r="BG3" s="9"/>
      <c r="BH3" s="9"/>
      <c r="BI3" s="9"/>
      <c r="BJ3" s="9"/>
      <c r="BK3" s="9"/>
      <c r="BL3" s="9"/>
      <c r="BM3" s="9"/>
      <c r="BN3" s="9" t="s">
        <v>15</v>
      </c>
      <c r="BO3" s="9"/>
      <c r="BP3" s="9"/>
      <c r="BQ3" s="9"/>
      <c r="BR3" s="9"/>
      <c r="BS3" s="9"/>
      <c r="BT3" s="9"/>
      <c r="BU3" s="9"/>
      <c r="BV3" s="9" t="s">
        <v>16</v>
      </c>
      <c r="BW3" s="9"/>
      <c r="BX3" s="9"/>
      <c r="BY3" s="9"/>
      <c r="BZ3" s="9"/>
      <c r="CA3" s="9"/>
      <c r="CB3" s="9"/>
      <c r="CC3" s="9"/>
      <c r="CD3" s="9" t="s">
        <v>17</v>
      </c>
      <c r="CE3" s="9"/>
      <c r="CF3" s="9"/>
      <c r="CG3" s="9"/>
      <c r="CH3" s="9"/>
      <c r="CI3" s="9"/>
      <c r="CJ3" s="9"/>
      <c r="CK3" s="9"/>
      <c r="CL3" s="9" t="s">
        <v>18</v>
      </c>
      <c r="CM3" s="9"/>
      <c r="CN3" s="9"/>
      <c r="CO3" s="9"/>
      <c r="CP3" s="9"/>
      <c r="CQ3" s="9"/>
      <c r="CR3" s="9"/>
      <c r="CS3" s="9"/>
      <c r="CT3" s="9" t="s">
        <v>19</v>
      </c>
      <c r="CU3" s="9"/>
      <c r="CV3" s="9"/>
      <c r="CW3" s="9"/>
      <c r="CX3" s="9"/>
      <c r="CY3" s="9"/>
      <c r="CZ3" s="9"/>
      <c r="DA3" s="9"/>
      <c r="DB3" s="9"/>
      <c r="DC3" s="9"/>
      <c r="DD3" s="10" t="s">
        <v>20</v>
      </c>
      <c r="DE3" s="11" t="s">
        <v>21</v>
      </c>
      <c r="DF3" s="12" t="s">
        <v>2</v>
      </c>
      <c r="DG3" s="12" t="s">
        <v>3</v>
      </c>
      <c r="DH3" s="9" t="s">
        <v>8</v>
      </c>
      <c r="DI3" s="9"/>
      <c r="DJ3" s="9"/>
      <c r="DK3" s="9"/>
      <c r="DL3" s="9"/>
      <c r="DM3" s="9"/>
      <c r="DN3" s="9"/>
      <c r="DO3" s="9"/>
      <c r="DP3" s="9" t="s">
        <v>9</v>
      </c>
      <c r="DQ3" s="9"/>
      <c r="DR3" s="9"/>
      <c r="DS3" s="9"/>
      <c r="DT3" s="9"/>
      <c r="DU3" s="9"/>
      <c r="DV3" s="9"/>
      <c r="DW3" s="9"/>
      <c r="DX3" s="9" t="s">
        <v>10</v>
      </c>
      <c r="DY3" s="9"/>
      <c r="DZ3" s="9"/>
      <c r="EA3" s="9"/>
      <c r="EB3" s="9"/>
      <c r="EC3" s="9"/>
      <c r="ED3" s="9"/>
      <c r="EE3" s="9"/>
      <c r="EF3" s="9" t="s">
        <v>11</v>
      </c>
      <c r="EG3" s="9"/>
      <c r="EH3" s="9"/>
      <c r="EI3" s="9"/>
      <c r="EJ3" s="9"/>
      <c r="EK3" s="9"/>
      <c r="EL3" s="9"/>
      <c r="EM3" s="9"/>
      <c r="EN3" s="9"/>
      <c r="EO3" s="9"/>
      <c r="EP3" s="9" t="s">
        <v>12</v>
      </c>
      <c r="EQ3" s="9"/>
      <c r="ER3" s="9"/>
      <c r="ES3" s="9"/>
      <c r="ET3" s="9"/>
      <c r="EU3" s="9"/>
      <c r="EV3" s="9"/>
      <c r="EW3" s="9"/>
      <c r="EX3" s="9" t="s">
        <v>13</v>
      </c>
      <c r="EY3" s="9"/>
      <c r="EZ3" s="9"/>
      <c r="FA3" s="9"/>
      <c r="FB3" s="9"/>
      <c r="FC3" s="9"/>
      <c r="FD3" s="9"/>
      <c r="FE3" s="9"/>
      <c r="FF3" s="9" t="s">
        <v>14</v>
      </c>
      <c r="FG3" s="9"/>
      <c r="FH3" s="9"/>
      <c r="FI3" s="9"/>
      <c r="FJ3" s="9"/>
      <c r="FK3" s="9"/>
      <c r="FL3" s="9"/>
      <c r="FM3" s="9"/>
      <c r="FN3" s="9"/>
      <c r="FO3" s="9"/>
      <c r="FP3" s="9" t="s">
        <v>15</v>
      </c>
      <c r="FQ3" s="9"/>
      <c r="FR3" s="9"/>
      <c r="FS3" s="9"/>
      <c r="FT3" s="9"/>
      <c r="FU3" s="9"/>
      <c r="FV3" s="9"/>
      <c r="FW3" s="9"/>
      <c r="FX3" s="9" t="s">
        <v>16</v>
      </c>
      <c r="FY3" s="9"/>
      <c r="FZ3" s="9"/>
      <c r="GA3" s="9"/>
      <c r="GB3" s="9"/>
      <c r="GC3" s="9"/>
      <c r="GD3" s="9"/>
      <c r="GE3" s="9"/>
      <c r="GF3" s="9" t="s">
        <v>17</v>
      </c>
      <c r="GG3" s="9"/>
      <c r="GH3" s="9"/>
      <c r="GI3" s="9"/>
      <c r="GJ3" s="9"/>
      <c r="GK3" s="9"/>
      <c r="GL3" s="9"/>
      <c r="GM3" s="9"/>
      <c r="GN3" s="9" t="s">
        <v>18</v>
      </c>
      <c r="GO3" s="9"/>
      <c r="GP3" s="9"/>
      <c r="GQ3" s="9"/>
      <c r="GR3" s="9"/>
      <c r="GS3" s="9"/>
      <c r="GT3" s="9"/>
      <c r="GU3" s="9"/>
      <c r="GV3" s="9" t="s">
        <v>19</v>
      </c>
      <c r="GW3" s="9"/>
      <c r="GX3" s="9"/>
      <c r="GY3" s="9"/>
      <c r="GZ3" s="9"/>
      <c r="HA3" s="9"/>
      <c r="HB3" s="9"/>
      <c r="HC3" s="9"/>
      <c r="HD3" s="9"/>
      <c r="HE3" s="9"/>
      <c r="HF3" s="10" t="s">
        <v>20</v>
      </c>
      <c r="HG3" s="11" t="s">
        <v>22</v>
      </c>
      <c r="HH3" s="12" t="s">
        <v>2</v>
      </c>
      <c r="HI3" s="13" t="s">
        <v>3</v>
      </c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</row>
    <row r="4" customFormat="false" ht="15" hidden="false" customHeight="false" outlineLevel="0" collapsed="false">
      <c r="A4" s="15"/>
      <c r="B4" s="15"/>
      <c r="C4" s="15"/>
      <c r="D4" s="15"/>
      <c r="E4" s="15"/>
      <c r="F4" s="16" t="s">
        <v>23</v>
      </c>
      <c r="G4" s="16"/>
      <c r="H4" s="16" t="s">
        <v>24</v>
      </c>
      <c r="I4" s="16"/>
      <c r="J4" s="16" t="s">
        <v>25</v>
      </c>
      <c r="K4" s="16"/>
      <c r="L4" s="16" t="s">
        <v>26</v>
      </c>
      <c r="M4" s="16"/>
      <c r="N4" s="16" t="s">
        <v>27</v>
      </c>
      <c r="O4" s="16"/>
      <c r="P4" s="16" t="s">
        <v>28</v>
      </c>
      <c r="Q4" s="16"/>
      <c r="R4" s="16" t="s">
        <v>29</v>
      </c>
      <c r="S4" s="16"/>
      <c r="T4" s="16" t="s">
        <v>30</v>
      </c>
      <c r="U4" s="16"/>
      <c r="V4" s="16" t="s">
        <v>27</v>
      </c>
      <c r="W4" s="16"/>
      <c r="X4" s="16" t="s">
        <v>28</v>
      </c>
      <c r="Y4" s="16"/>
      <c r="Z4" s="16" t="s">
        <v>29</v>
      </c>
      <c r="AA4" s="16"/>
      <c r="AB4" s="16" t="s">
        <v>31</v>
      </c>
      <c r="AC4" s="16"/>
      <c r="AD4" s="17" t="s">
        <v>32</v>
      </c>
      <c r="AE4" s="17"/>
      <c r="AF4" s="17" t="s">
        <v>33</v>
      </c>
      <c r="AG4" s="17"/>
      <c r="AH4" s="18" t="s">
        <v>34</v>
      </c>
      <c r="AI4" s="18"/>
      <c r="AJ4" s="18" t="s">
        <v>35</v>
      </c>
      <c r="AK4" s="18"/>
      <c r="AL4" s="18" t="s">
        <v>36</v>
      </c>
      <c r="AM4" s="18"/>
      <c r="AN4" s="19" t="s">
        <v>37</v>
      </c>
      <c r="AO4" s="19"/>
      <c r="AP4" s="19" t="s">
        <v>38</v>
      </c>
      <c r="AQ4" s="19"/>
      <c r="AR4" s="19" t="s">
        <v>39</v>
      </c>
      <c r="AS4" s="19"/>
      <c r="AT4" s="19" t="s">
        <v>40</v>
      </c>
      <c r="AU4" s="19"/>
      <c r="AV4" s="19" t="s">
        <v>41</v>
      </c>
      <c r="AW4" s="19"/>
      <c r="AX4" s="19" t="s">
        <v>42</v>
      </c>
      <c r="AY4" s="19"/>
      <c r="AZ4" s="19" t="s">
        <v>43</v>
      </c>
      <c r="BA4" s="19"/>
      <c r="BB4" s="19" t="s">
        <v>44</v>
      </c>
      <c r="BC4" s="19"/>
      <c r="BD4" s="19" t="s">
        <v>32</v>
      </c>
      <c r="BE4" s="19"/>
      <c r="BF4" s="19" t="s">
        <v>33</v>
      </c>
      <c r="BG4" s="19"/>
      <c r="BH4" s="19" t="s">
        <v>34</v>
      </c>
      <c r="BI4" s="19"/>
      <c r="BJ4" s="19" t="s">
        <v>35</v>
      </c>
      <c r="BK4" s="19"/>
      <c r="BL4" s="19" t="s">
        <v>45</v>
      </c>
      <c r="BM4" s="19"/>
      <c r="BN4" s="19" t="s">
        <v>46</v>
      </c>
      <c r="BO4" s="19"/>
      <c r="BP4" s="19" t="s">
        <v>47</v>
      </c>
      <c r="BQ4" s="19"/>
      <c r="BR4" s="19" t="s">
        <v>48</v>
      </c>
      <c r="BS4" s="19"/>
      <c r="BT4" s="19" t="s">
        <v>49</v>
      </c>
      <c r="BU4" s="19"/>
      <c r="BV4" s="19" t="s">
        <v>50</v>
      </c>
      <c r="BW4" s="19"/>
      <c r="BX4" s="19" t="s">
        <v>51</v>
      </c>
      <c r="BY4" s="19"/>
      <c r="BZ4" s="19" t="s">
        <v>52</v>
      </c>
      <c r="CA4" s="19"/>
      <c r="CB4" s="19" t="s">
        <v>53</v>
      </c>
      <c r="CC4" s="19"/>
      <c r="CD4" s="19" t="s">
        <v>23</v>
      </c>
      <c r="CE4" s="19"/>
      <c r="CF4" s="19" t="s">
        <v>24</v>
      </c>
      <c r="CG4" s="19"/>
      <c r="CH4" s="19" t="s">
        <v>25</v>
      </c>
      <c r="CI4" s="19"/>
      <c r="CJ4" s="19" t="s">
        <v>26</v>
      </c>
      <c r="CK4" s="19"/>
      <c r="CL4" s="19" t="s">
        <v>27</v>
      </c>
      <c r="CM4" s="19"/>
      <c r="CN4" s="19" t="s">
        <v>28</v>
      </c>
      <c r="CO4" s="19"/>
      <c r="CP4" s="19" t="s">
        <v>29</v>
      </c>
      <c r="CQ4" s="19"/>
      <c r="CR4" s="19" t="s">
        <v>54</v>
      </c>
      <c r="CS4" s="19"/>
      <c r="CT4" s="19" t="s">
        <v>50</v>
      </c>
      <c r="CU4" s="19"/>
      <c r="CV4" s="19" t="s">
        <v>51</v>
      </c>
      <c r="CW4" s="19"/>
      <c r="CX4" s="19" t="s">
        <v>52</v>
      </c>
      <c r="CY4" s="19"/>
      <c r="CZ4" s="19" t="s">
        <v>55</v>
      </c>
      <c r="DA4" s="19"/>
      <c r="DB4" s="19" t="s">
        <v>56</v>
      </c>
      <c r="DC4" s="19"/>
      <c r="DD4" s="10"/>
      <c r="DE4" s="10"/>
      <c r="DF4" s="10"/>
      <c r="DG4" s="10"/>
      <c r="DH4" s="16" t="s">
        <v>23</v>
      </c>
      <c r="DI4" s="16"/>
      <c r="DJ4" s="16" t="s">
        <v>24</v>
      </c>
      <c r="DK4" s="16"/>
      <c r="DL4" s="16" t="s">
        <v>25</v>
      </c>
      <c r="DM4" s="16"/>
      <c r="DN4" s="16" t="s">
        <v>26</v>
      </c>
      <c r="DO4" s="16"/>
      <c r="DP4" s="16" t="s">
        <v>27</v>
      </c>
      <c r="DQ4" s="16"/>
      <c r="DR4" s="16" t="s">
        <v>28</v>
      </c>
      <c r="DS4" s="16"/>
      <c r="DT4" s="16" t="s">
        <v>29</v>
      </c>
      <c r="DU4" s="16"/>
      <c r="DV4" s="16" t="s">
        <v>30</v>
      </c>
      <c r="DW4" s="16"/>
      <c r="DX4" s="16" t="s">
        <v>27</v>
      </c>
      <c r="DY4" s="16"/>
      <c r="DZ4" s="16" t="s">
        <v>28</v>
      </c>
      <c r="EA4" s="16"/>
      <c r="EB4" s="16" t="s">
        <v>29</v>
      </c>
      <c r="EC4" s="16"/>
      <c r="ED4" s="16" t="s">
        <v>31</v>
      </c>
      <c r="EE4" s="16"/>
      <c r="EF4" s="17" t="s">
        <v>32</v>
      </c>
      <c r="EG4" s="17"/>
      <c r="EH4" s="17" t="s">
        <v>33</v>
      </c>
      <c r="EI4" s="17"/>
      <c r="EJ4" s="18" t="s">
        <v>34</v>
      </c>
      <c r="EK4" s="18"/>
      <c r="EL4" s="18" t="s">
        <v>35</v>
      </c>
      <c r="EM4" s="18"/>
      <c r="EN4" s="18" t="s">
        <v>36</v>
      </c>
      <c r="EO4" s="18"/>
      <c r="EP4" s="19" t="s">
        <v>37</v>
      </c>
      <c r="EQ4" s="19"/>
      <c r="ER4" s="19" t="s">
        <v>38</v>
      </c>
      <c r="ES4" s="19"/>
      <c r="ET4" s="19" t="s">
        <v>39</v>
      </c>
      <c r="EU4" s="19"/>
      <c r="EV4" s="19" t="s">
        <v>40</v>
      </c>
      <c r="EW4" s="19"/>
      <c r="EX4" s="19" t="s">
        <v>41</v>
      </c>
      <c r="EY4" s="19"/>
      <c r="EZ4" s="19" t="s">
        <v>42</v>
      </c>
      <c r="FA4" s="19"/>
      <c r="FB4" s="19" t="s">
        <v>43</v>
      </c>
      <c r="FC4" s="19"/>
      <c r="FD4" s="19" t="s">
        <v>44</v>
      </c>
      <c r="FE4" s="19"/>
      <c r="FF4" s="19" t="s">
        <v>32</v>
      </c>
      <c r="FG4" s="19"/>
      <c r="FH4" s="19" t="s">
        <v>33</v>
      </c>
      <c r="FI4" s="19"/>
      <c r="FJ4" s="19" t="s">
        <v>34</v>
      </c>
      <c r="FK4" s="19"/>
      <c r="FL4" s="19" t="s">
        <v>35</v>
      </c>
      <c r="FM4" s="19"/>
      <c r="FN4" s="19" t="s">
        <v>45</v>
      </c>
      <c r="FO4" s="19"/>
      <c r="FP4" s="19" t="s">
        <v>46</v>
      </c>
      <c r="FQ4" s="19"/>
      <c r="FR4" s="19" t="s">
        <v>47</v>
      </c>
      <c r="FS4" s="19"/>
      <c r="FT4" s="19" t="s">
        <v>48</v>
      </c>
      <c r="FU4" s="19"/>
      <c r="FV4" s="19" t="s">
        <v>49</v>
      </c>
      <c r="FW4" s="19"/>
      <c r="FX4" s="19" t="s">
        <v>50</v>
      </c>
      <c r="FY4" s="19"/>
      <c r="FZ4" s="19" t="s">
        <v>51</v>
      </c>
      <c r="GA4" s="19"/>
      <c r="GB4" s="19" t="s">
        <v>57</v>
      </c>
      <c r="GC4" s="19"/>
      <c r="GD4" s="19" t="s">
        <v>53</v>
      </c>
      <c r="GE4" s="19"/>
      <c r="GF4" s="19" t="s">
        <v>23</v>
      </c>
      <c r="GG4" s="19"/>
      <c r="GH4" s="19" t="s">
        <v>24</v>
      </c>
      <c r="GI4" s="19"/>
      <c r="GJ4" s="19" t="s">
        <v>25</v>
      </c>
      <c r="GK4" s="19"/>
      <c r="GL4" s="19" t="s">
        <v>26</v>
      </c>
      <c r="GM4" s="19"/>
      <c r="GN4" s="19" t="s">
        <v>27</v>
      </c>
      <c r="GO4" s="19"/>
      <c r="GP4" s="19" t="s">
        <v>28</v>
      </c>
      <c r="GQ4" s="19"/>
      <c r="GR4" s="19" t="s">
        <v>29</v>
      </c>
      <c r="GS4" s="19"/>
      <c r="GT4" s="19" t="s">
        <v>54</v>
      </c>
      <c r="GU4" s="19"/>
      <c r="GV4" s="19" t="s">
        <v>50</v>
      </c>
      <c r="GW4" s="19"/>
      <c r="GX4" s="19" t="s">
        <v>51</v>
      </c>
      <c r="GY4" s="19"/>
      <c r="GZ4" s="19" t="s">
        <v>52</v>
      </c>
      <c r="HA4" s="19"/>
      <c r="HB4" s="19" t="s">
        <v>55</v>
      </c>
      <c r="HC4" s="19"/>
      <c r="HD4" s="19" t="s">
        <v>56</v>
      </c>
      <c r="HE4" s="19"/>
      <c r="HF4" s="10"/>
      <c r="HG4" s="10"/>
      <c r="HH4" s="10"/>
      <c r="HI4" s="13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</row>
    <row r="5" customFormat="false" ht="18.75" hidden="false" customHeight="true" outlineLevel="0" collapsed="false">
      <c r="A5" s="21" t="s">
        <v>58</v>
      </c>
      <c r="B5" s="22" t="s">
        <v>59</v>
      </c>
      <c r="C5" s="22" t="s">
        <v>60</v>
      </c>
      <c r="D5" s="22" t="s">
        <v>61</v>
      </c>
      <c r="E5" s="23" t="s">
        <v>62</v>
      </c>
      <c r="F5" s="24" t="n">
        <v>0</v>
      </c>
      <c r="G5" s="25" t="n">
        <v>0</v>
      </c>
      <c r="H5" s="24" t="n">
        <v>0</v>
      </c>
      <c r="I5" s="25" t="n">
        <v>0</v>
      </c>
      <c r="J5" s="24" t="n">
        <v>0</v>
      </c>
      <c r="K5" s="25" t="n">
        <v>0</v>
      </c>
      <c r="L5" s="24" t="n">
        <v>0</v>
      </c>
      <c r="M5" s="25" t="n">
        <v>0</v>
      </c>
      <c r="N5" s="24" t="n">
        <v>0</v>
      </c>
      <c r="O5" s="25" t="n">
        <v>0</v>
      </c>
      <c r="P5" s="24" t="n">
        <v>0</v>
      </c>
      <c r="Q5" s="25" t="n">
        <v>0</v>
      </c>
      <c r="R5" s="24" t="n">
        <v>0</v>
      </c>
      <c r="S5" s="25" t="n">
        <v>0</v>
      </c>
      <c r="T5" s="24" t="n">
        <v>0</v>
      </c>
      <c r="U5" s="25" t="n">
        <v>0</v>
      </c>
      <c r="V5" s="24" t="n">
        <v>0</v>
      </c>
      <c r="W5" s="25" t="n">
        <v>0</v>
      </c>
      <c r="X5" s="24" t="n">
        <v>0</v>
      </c>
      <c r="Y5" s="25" t="n">
        <v>0</v>
      </c>
      <c r="Z5" s="24" t="n">
        <v>0</v>
      </c>
      <c r="AA5" s="25" t="n">
        <v>0</v>
      </c>
      <c r="AB5" s="24" t="n">
        <v>0</v>
      </c>
      <c r="AC5" s="25" t="n">
        <v>0</v>
      </c>
      <c r="AD5" s="24" t="n">
        <v>0</v>
      </c>
      <c r="AE5" s="25" t="n">
        <v>0</v>
      </c>
      <c r="AF5" s="24" t="n">
        <v>0</v>
      </c>
      <c r="AG5" s="25" t="n">
        <v>0</v>
      </c>
      <c r="AH5" s="24" t="n">
        <v>0</v>
      </c>
      <c r="AI5" s="25" t="n">
        <v>0</v>
      </c>
      <c r="AJ5" s="24" t="n">
        <v>0</v>
      </c>
      <c r="AK5" s="25" t="n">
        <v>0</v>
      </c>
      <c r="AL5" s="24" t="n">
        <v>0</v>
      </c>
      <c r="AM5" s="25" t="n">
        <v>0</v>
      </c>
      <c r="AN5" s="24" t="n">
        <v>0</v>
      </c>
      <c r="AO5" s="25" t="n">
        <v>0</v>
      </c>
      <c r="AP5" s="24" t="n">
        <v>0</v>
      </c>
      <c r="AQ5" s="25" t="n">
        <v>0</v>
      </c>
      <c r="AR5" s="24" t="n">
        <v>0</v>
      </c>
      <c r="AS5" s="25" t="n">
        <v>0</v>
      </c>
      <c r="AT5" s="24" t="n">
        <v>0</v>
      </c>
      <c r="AU5" s="25" t="n">
        <v>0</v>
      </c>
      <c r="AV5" s="24" t="n">
        <v>0</v>
      </c>
      <c r="AW5" s="25" t="n">
        <v>0</v>
      </c>
      <c r="AX5" s="24" t="n">
        <v>0</v>
      </c>
      <c r="AY5" s="25" t="n">
        <v>0</v>
      </c>
      <c r="AZ5" s="24" t="n">
        <v>0</v>
      </c>
      <c r="BA5" s="25" t="n">
        <v>0</v>
      </c>
      <c r="BB5" s="26" t="n">
        <v>0</v>
      </c>
      <c r="BC5" s="25" t="n">
        <v>0</v>
      </c>
      <c r="BD5" s="26" t="n">
        <v>0</v>
      </c>
      <c r="BE5" s="27" t="n">
        <v>0</v>
      </c>
      <c r="BF5" s="26" t="n">
        <v>0</v>
      </c>
      <c r="BG5" s="27" t="n">
        <v>0</v>
      </c>
      <c r="BH5" s="26" t="n">
        <v>15</v>
      </c>
      <c r="BI5" s="27"/>
      <c r="BJ5" s="26" t="n">
        <v>25</v>
      </c>
      <c r="BK5" s="27"/>
      <c r="BL5" s="26" t="n">
        <v>10</v>
      </c>
      <c r="BM5" s="27" t="n">
        <v>10</v>
      </c>
      <c r="BN5" s="26" t="n">
        <v>20</v>
      </c>
      <c r="BO5" s="27"/>
      <c r="BP5" s="26" t="n">
        <v>20</v>
      </c>
      <c r="BQ5" s="27"/>
      <c r="BR5" s="26" t="n">
        <v>0</v>
      </c>
      <c r="BS5" s="27" t="n">
        <v>0</v>
      </c>
      <c r="BT5" s="26" t="n">
        <v>20</v>
      </c>
      <c r="BU5" s="27"/>
      <c r="BV5" s="26" t="n">
        <v>20</v>
      </c>
      <c r="BW5" s="27"/>
      <c r="BX5" s="26" t="n">
        <v>20</v>
      </c>
      <c r="BY5" s="27"/>
      <c r="BZ5" s="26" t="n">
        <v>20</v>
      </c>
      <c r="CA5" s="27"/>
      <c r="CB5" s="26" t="n">
        <v>20</v>
      </c>
      <c r="CC5" s="27"/>
      <c r="CD5" s="26" t="n">
        <v>0</v>
      </c>
      <c r="CE5" s="27" t="n">
        <v>0</v>
      </c>
      <c r="CF5" s="26" t="n">
        <v>15</v>
      </c>
      <c r="CG5" s="27"/>
      <c r="CH5" s="26" t="n">
        <v>20</v>
      </c>
      <c r="CI5" s="27"/>
      <c r="CJ5" s="26" t="n">
        <v>15</v>
      </c>
      <c r="CK5" s="27"/>
      <c r="CL5" s="26" t="n">
        <v>20</v>
      </c>
      <c r="CM5" s="27"/>
      <c r="CN5" s="26" t="n">
        <v>20</v>
      </c>
      <c r="CO5" s="27"/>
      <c r="CP5" s="26" t="n">
        <v>10</v>
      </c>
      <c r="CQ5" s="27"/>
      <c r="CR5" s="26" t="n">
        <v>10</v>
      </c>
      <c r="CS5" s="27"/>
      <c r="CT5" s="26" t="n">
        <v>0</v>
      </c>
      <c r="CU5" s="27" t="n">
        <v>0</v>
      </c>
      <c r="CV5" s="26" t="n">
        <v>0</v>
      </c>
      <c r="CW5" s="27" t="n">
        <v>0</v>
      </c>
      <c r="CX5" s="26" t="n">
        <v>10</v>
      </c>
      <c r="CY5" s="27"/>
      <c r="CZ5" s="26" t="n">
        <v>5</v>
      </c>
      <c r="DA5" s="27"/>
      <c r="DB5" s="26" t="n">
        <v>5</v>
      </c>
      <c r="DC5" s="27"/>
      <c r="DD5" s="28" t="n">
        <f aca="false">SUM(F5:DC5)</f>
        <v>330</v>
      </c>
      <c r="DE5" s="29" t="n">
        <f aca="false">B5-DD5</f>
        <v>73.1</v>
      </c>
      <c r="DF5" s="30" t="n">
        <f aca="false">C5+DD5</f>
        <v>13356.75</v>
      </c>
      <c r="DG5" s="30" t="n">
        <f aca="false">D5+DD5</f>
        <v>10272.75</v>
      </c>
      <c r="DH5" s="26" t="n">
        <v>5</v>
      </c>
      <c r="DI5" s="27"/>
      <c r="DJ5" s="26" t="n">
        <v>5</v>
      </c>
      <c r="DK5" s="27"/>
      <c r="DL5" s="26" t="n">
        <v>5</v>
      </c>
      <c r="DM5" s="27"/>
      <c r="DN5" s="26" t="n">
        <v>5</v>
      </c>
      <c r="DO5" s="27"/>
      <c r="DP5" s="26" t="n">
        <v>10</v>
      </c>
      <c r="DQ5" s="27"/>
      <c r="DR5" s="26" t="n">
        <v>10</v>
      </c>
      <c r="DS5" s="27"/>
      <c r="DT5" s="26" t="n">
        <v>10</v>
      </c>
      <c r="DU5" s="27"/>
      <c r="DV5" s="26" t="n">
        <v>10</v>
      </c>
      <c r="DW5" s="27"/>
      <c r="DX5" s="26" t="n">
        <v>10</v>
      </c>
      <c r="DY5" s="27"/>
      <c r="DZ5" s="26" t="n">
        <v>10</v>
      </c>
      <c r="EA5" s="27"/>
      <c r="EB5" s="26" t="n">
        <v>0</v>
      </c>
      <c r="EC5" s="27" t="n">
        <v>0</v>
      </c>
      <c r="ED5" s="26" t="n">
        <v>0</v>
      </c>
      <c r="EE5" s="27" t="n">
        <v>0</v>
      </c>
      <c r="EF5" s="26" t="n">
        <v>0</v>
      </c>
      <c r="EG5" s="27" t="n">
        <v>0</v>
      </c>
      <c r="EH5" s="26" t="n">
        <v>0</v>
      </c>
      <c r="EI5" s="27" t="n">
        <v>0</v>
      </c>
      <c r="EJ5" s="26" t="n">
        <v>0</v>
      </c>
      <c r="EK5" s="27" t="n">
        <v>0</v>
      </c>
      <c r="EL5" s="26" t="n">
        <v>0</v>
      </c>
      <c r="EM5" s="27" t="n">
        <v>0</v>
      </c>
      <c r="EN5" s="26" t="n">
        <v>0</v>
      </c>
      <c r="EO5" s="27" t="n">
        <v>0</v>
      </c>
      <c r="EP5" s="26" t="n">
        <v>10</v>
      </c>
      <c r="EQ5" s="27"/>
      <c r="ER5" s="26" t="n">
        <v>20</v>
      </c>
      <c r="ES5" s="27"/>
      <c r="ET5" s="26" t="n">
        <v>20</v>
      </c>
      <c r="EU5" s="27"/>
      <c r="EV5" s="26" t="n">
        <v>20</v>
      </c>
      <c r="EW5" s="27"/>
      <c r="EX5" s="26" t="n">
        <v>20</v>
      </c>
      <c r="EY5" s="27"/>
      <c r="EZ5" s="26" t="n">
        <v>0</v>
      </c>
      <c r="FA5" s="27" t="n">
        <v>0</v>
      </c>
      <c r="FB5" s="26" t="n">
        <v>20</v>
      </c>
      <c r="FC5" s="27"/>
      <c r="FD5" s="26" t="n">
        <v>20</v>
      </c>
      <c r="FE5" s="27"/>
      <c r="FF5" s="26" t="n">
        <v>20</v>
      </c>
      <c r="FG5" s="27"/>
      <c r="FH5" s="26" t="n">
        <v>20</v>
      </c>
      <c r="FI5" s="27"/>
      <c r="FJ5" s="26" t="n">
        <v>20</v>
      </c>
      <c r="FK5" s="27"/>
      <c r="FL5" s="26" t="n">
        <v>0</v>
      </c>
      <c r="FM5" s="27" t="n">
        <v>0</v>
      </c>
      <c r="FN5" s="26" t="n">
        <v>20</v>
      </c>
      <c r="FO5" s="27"/>
      <c r="FP5" s="26" t="n">
        <v>20</v>
      </c>
      <c r="FQ5" s="27"/>
      <c r="FR5" s="26" t="n">
        <v>15</v>
      </c>
      <c r="FS5" s="27"/>
      <c r="FT5" s="26" t="n">
        <v>15</v>
      </c>
      <c r="FU5" s="27"/>
      <c r="FV5" s="26" t="n">
        <v>15</v>
      </c>
      <c r="FW5" s="27"/>
      <c r="FX5" s="26" t="n">
        <v>15</v>
      </c>
      <c r="FY5" s="27"/>
      <c r="FZ5" s="26" t="n">
        <v>0</v>
      </c>
      <c r="GA5" s="27" t="n">
        <v>0</v>
      </c>
      <c r="GB5" s="26" t="n">
        <v>0</v>
      </c>
      <c r="GC5" s="27" t="n">
        <v>0</v>
      </c>
      <c r="GD5" s="26" t="n">
        <v>15</v>
      </c>
      <c r="GE5" s="27"/>
      <c r="GF5" s="26" t="n">
        <v>20</v>
      </c>
      <c r="GG5" s="27"/>
      <c r="GH5" s="26" t="n">
        <v>15</v>
      </c>
      <c r="GI5" s="27"/>
      <c r="GJ5" s="26" t="n">
        <v>15</v>
      </c>
      <c r="GK5" s="27"/>
      <c r="GL5" s="26" t="n">
        <v>10</v>
      </c>
      <c r="GM5" s="27"/>
      <c r="GN5" s="26" t="n">
        <v>10</v>
      </c>
      <c r="GO5" s="27"/>
      <c r="GP5" s="26" t="n">
        <v>10</v>
      </c>
      <c r="GQ5" s="27"/>
      <c r="GR5" s="26" t="n">
        <v>0</v>
      </c>
      <c r="GS5" s="27" t="n">
        <v>0</v>
      </c>
      <c r="GT5" s="26" t="n">
        <v>15</v>
      </c>
      <c r="GU5" s="27"/>
      <c r="GV5" s="26" t="n">
        <v>10</v>
      </c>
      <c r="GW5" s="27"/>
      <c r="GX5" s="26" t="n">
        <v>10</v>
      </c>
      <c r="GY5" s="27"/>
      <c r="GZ5" s="26" t="n">
        <v>10</v>
      </c>
      <c r="HA5" s="27"/>
      <c r="HB5" s="26" t="n">
        <v>5</v>
      </c>
      <c r="HC5" s="27"/>
      <c r="HD5" s="26" t="n">
        <v>5</v>
      </c>
      <c r="HE5" s="27"/>
      <c r="HF5" s="28" t="n">
        <f aca="false">SUM(DH5:HE5)</f>
        <v>520</v>
      </c>
      <c r="HG5" s="29" t="n">
        <f aca="false">1500-SUM(DX5:HE5)</f>
        <v>1040</v>
      </c>
      <c r="HH5" s="30"/>
      <c r="HI5" s="31" t="n">
        <f aca="false">DG5+HF5</f>
        <v>10792.75</v>
      </c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</row>
    <row r="6" customFormat="false" ht="45" hidden="false" customHeight="true" outlineLevel="0" collapsed="false">
      <c r="A6" s="21"/>
      <c r="B6" s="22"/>
      <c r="C6" s="22"/>
      <c r="D6" s="22"/>
      <c r="E6" s="23" t="s">
        <v>63</v>
      </c>
      <c r="F6" s="33" t="s">
        <v>64</v>
      </c>
      <c r="G6" s="33"/>
      <c r="H6" s="34"/>
      <c r="I6" s="34"/>
      <c r="J6" s="34"/>
      <c r="K6" s="34"/>
      <c r="L6" s="34"/>
      <c r="M6" s="34"/>
      <c r="N6" s="34"/>
      <c r="O6" s="34"/>
      <c r="P6" s="35"/>
      <c r="Q6" s="35"/>
      <c r="R6" s="34"/>
      <c r="S6" s="34"/>
      <c r="T6" s="34"/>
      <c r="U6" s="34"/>
      <c r="V6" s="34"/>
      <c r="W6" s="34"/>
      <c r="X6" s="35"/>
      <c r="Y6" s="35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3" t="s">
        <v>64</v>
      </c>
      <c r="AU6" s="33"/>
      <c r="AV6" s="33" t="s">
        <v>64</v>
      </c>
      <c r="AW6" s="33"/>
      <c r="AX6" s="33" t="s">
        <v>64</v>
      </c>
      <c r="AY6" s="33"/>
      <c r="AZ6" s="33" t="s">
        <v>64</v>
      </c>
      <c r="BA6" s="33"/>
      <c r="BB6" s="33" t="s">
        <v>64</v>
      </c>
      <c r="BC6" s="33"/>
      <c r="BD6" s="33" t="s">
        <v>65</v>
      </c>
      <c r="BE6" s="33"/>
      <c r="BF6" s="33" t="s">
        <v>66</v>
      </c>
      <c r="BG6" s="33"/>
      <c r="BH6" s="26"/>
      <c r="BI6" s="26"/>
      <c r="BJ6" s="36"/>
      <c r="BK6" s="36"/>
      <c r="BL6" s="37"/>
      <c r="BM6" s="37"/>
      <c r="BN6" s="37"/>
      <c r="BO6" s="37"/>
      <c r="BR6" s="33" t="s">
        <v>67</v>
      </c>
      <c r="BS6" s="33"/>
      <c r="BT6" s="36"/>
      <c r="BU6" s="36"/>
      <c r="BV6" s="37"/>
      <c r="BW6" s="37"/>
      <c r="BX6" s="36"/>
      <c r="BY6" s="36"/>
      <c r="BZ6" s="37"/>
      <c r="CA6" s="37"/>
      <c r="CB6" s="37"/>
      <c r="CC6" s="37"/>
      <c r="CD6" s="33" t="s">
        <v>68</v>
      </c>
      <c r="CE6" s="33"/>
      <c r="CF6" s="38"/>
      <c r="CG6" s="38"/>
      <c r="CH6" s="38"/>
      <c r="CI6" s="38"/>
      <c r="CJ6" s="26"/>
      <c r="CK6" s="26"/>
      <c r="CL6" s="36"/>
      <c r="CM6" s="36"/>
      <c r="CN6" s="37"/>
      <c r="CO6" s="37"/>
      <c r="CT6" s="33" t="s">
        <v>69</v>
      </c>
      <c r="CU6" s="33"/>
      <c r="CV6" s="33" t="s">
        <v>69</v>
      </c>
      <c r="CW6" s="33"/>
      <c r="CX6" s="37"/>
      <c r="CY6" s="37"/>
      <c r="CZ6" s="38"/>
      <c r="DA6" s="38"/>
      <c r="DB6" s="39"/>
      <c r="DC6" s="39"/>
      <c r="DD6" s="40" t="s">
        <v>70</v>
      </c>
      <c r="DE6" s="41"/>
      <c r="DF6" s="42"/>
      <c r="DG6" s="43"/>
      <c r="DH6" s="26"/>
      <c r="DI6" s="26"/>
      <c r="DJ6" s="38"/>
      <c r="DK6" s="38"/>
      <c r="EB6" s="44" t="s">
        <v>71</v>
      </c>
      <c r="EC6" s="44"/>
      <c r="ED6" s="44" t="s">
        <v>72</v>
      </c>
      <c r="EE6" s="44"/>
      <c r="EF6" s="44" t="s">
        <v>72</v>
      </c>
      <c r="EG6" s="44"/>
      <c r="EH6" s="44" t="s">
        <v>72</v>
      </c>
      <c r="EI6" s="44"/>
      <c r="EJ6" s="44" t="s">
        <v>72</v>
      </c>
      <c r="EK6" s="44"/>
      <c r="EL6" s="44" t="s">
        <v>72</v>
      </c>
      <c r="EM6" s="44"/>
      <c r="EN6" s="44" t="s">
        <v>72</v>
      </c>
      <c r="EO6" s="44"/>
      <c r="ER6" s="38"/>
      <c r="ES6" s="38"/>
      <c r="ET6" s="38"/>
      <c r="EU6" s="38"/>
      <c r="EV6" s="33" t="s">
        <v>73</v>
      </c>
      <c r="EW6" s="33"/>
      <c r="EX6" s="45"/>
      <c r="EY6" s="45"/>
      <c r="EZ6" s="33" t="s">
        <v>74</v>
      </c>
      <c r="FA6" s="33"/>
      <c r="FB6" s="45"/>
      <c r="FC6" s="45"/>
      <c r="FD6" s="38"/>
      <c r="FE6" s="38"/>
      <c r="FF6" s="46"/>
      <c r="FG6" s="46"/>
      <c r="FH6" s="38"/>
      <c r="FI6" s="38"/>
      <c r="FJ6" s="38"/>
      <c r="FK6" s="38"/>
      <c r="FL6" s="33" t="s">
        <v>75</v>
      </c>
      <c r="FM6" s="33"/>
      <c r="FN6" s="26"/>
      <c r="FO6" s="26"/>
      <c r="FP6" s="38"/>
      <c r="FQ6" s="38"/>
      <c r="FR6" s="38"/>
      <c r="FS6" s="38"/>
      <c r="FT6" s="38"/>
      <c r="FU6" s="38"/>
      <c r="FV6" s="26"/>
      <c r="FW6" s="26"/>
      <c r="FX6" s="38"/>
      <c r="FY6" s="38"/>
      <c r="FZ6" s="33" t="s">
        <v>76</v>
      </c>
      <c r="GA6" s="33"/>
      <c r="GB6" s="33" t="s">
        <v>76</v>
      </c>
      <c r="GC6" s="33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R6" s="33" t="s">
        <v>77</v>
      </c>
      <c r="GS6" s="33"/>
      <c r="GT6" s="38"/>
      <c r="GU6" s="38"/>
      <c r="GV6" s="38"/>
      <c r="GW6" s="38"/>
      <c r="GX6" s="38"/>
      <c r="GY6" s="38"/>
      <c r="GZ6" s="26"/>
      <c r="HA6" s="26"/>
      <c r="HB6" s="38"/>
      <c r="HC6" s="38"/>
      <c r="HD6" s="38"/>
      <c r="HE6" s="38"/>
      <c r="HF6" s="38"/>
      <c r="HG6" s="38"/>
      <c r="HH6" s="26"/>
      <c r="HI6" s="26"/>
      <c r="HJ6" s="47"/>
      <c r="HK6" s="47"/>
      <c r="HL6" s="47"/>
      <c r="HM6" s="47"/>
      <c r="HN6" s="48"/>
      <c r="HO6" s="48"/>
      <c r="HP6" s="47"/>
      <c r="HQ6" s="47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</row>
    <row r="7" customFormat="false" ht="15" hidden="false" customHeight="true" outlineLevel="0" collapsed="false">
      <c r="A7" s="21"/>
      <c r="B7" s="22"/>
      <c r="C7" s="22"/>
      <c r="D7" s="22"/>
      <c r="E7" s="50" t="s">
        <v>78</v>
      </c>
      <c r="F7" s="51" t="s">
        <v>79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 t="s">
        <v>80</v>
      </c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4"/>
      <c r="BS7" s="54"/>
      <c r="BT7" s="53"/>
      <c r="BU7" s="53"/>
      <c r="BV7" s="53"/>
      <c r="BW7" s="53"/>
      <c r="BX7" s="54"/>
      <c r="BY7" s="54"/>
      <c r="BZ7" s="53"/>
      <c r="CA7" s="53"/>
      <c r="CB7" s="53"/>
      <c r="CC7" s="53"/>
      <c r="CD7" s="54"/>
      <c r="CE7" s="54"/>
      <c r="CF7" s="53"/>
      <c r="CG7" s="53"/>
      <c r="CH7" s="53"/>
      <c r="CI7" s="53"/>
      <c r="CJ7" s="53"/>
      <c r="CK7" s="53"/>
      <c r="CL7" s="54"/>
      <c r="CM7" s="54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4"/>
      <c r="CY7" s="54"/>
      <c r="CZ7" s="53"/>
      <c r="DA7" s="53"/>
      <c r="DB7" s="54"/>
      <c r="DC7" s="54"/>
      <c r="DD7" s="55"/>
      <c r="DE7" s="55"/>
      <c r="DF7" s="55"/>
      <c r="DG7" s="55"/>
      <c r="DH7" s="53"/>
      <c r="DI7" s="53"/>
      <c r="DJ7" s="56"/>
      <c r="DK7" s="56"/>
      <c r="DL7" s="53"/>
      <c r="DM7" s="53"/>
      <c r="DN7" s="53"/>
      <c r="DO7" s="53"/>
      <c r="DP7" s="53"/>
      <c r="DQ7" s="53"/>
      <c r="DR7" s="57"/>
      <c r="DS7" s="57"/>
      <c r="DT7" s="53"/>
      <c r="DU7" s="53"/>
      <c r="DV7" s="53"/>
      <c r="DW7" s="53"/>
      <c r="DX7" s="53"/>
      <c r="DY7" s="53"/>
      <c r="DZ7" s="57"/>
      <c r="EA7" s="57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4"/>
      <c r="EM7" s="54"/>
      <c r="EN7" s="53"/>
      <c r="EO7" s="53"/>
      <c r="EP7" s="53"/>
      <c r="EQ7" s="53"/>
      <c r="ER7" s="53"/>
      <c r="ES7" s="53"/>
      <c r="ET7" s="53"/>
      <c r="EU7" s="53"/>
      <c r="EV7" s="54"/>
      <c r="EW7" s="54"/>
      <c r="EX7" s="53"/>
      <c r="EY7" s="53"/>
      <c r="EZ7" s="53"/>
      <c r="FA7" s="53"/>
      <c r="FB7" s="53"/>
      <c r="FC7" s="53"/>
      <c r="FD7" s="53"/>
      <c r="FE7" s="53"/>
      <c r="FF7" s="54"/>
      <c r="FG7" s="54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4"/>
      <c r="FU7" s="54"/>
      <c r="FV7" s="53"/>
      <c r="FW7" s="53"/>
      <c r="FX7" s="53"/>
      <c r="FY7" s="53"/>
      <c r="FZ7" s="54"/>
      <c r="GA7" s="54"/>
      <c r="GB7" s="53"/>
      <c r="GC7" s="53"/>
      <c r="GD7" s="53"/>
      <c r="GE7" s="53"/>
      <c r="GF7" s="54"/>
      <c r="GG7" s="54"/>
      <c r="GH7" s="53"/>
      <c r="GI7" s="53"/>
      <c r="GJ7" s="53"/>
      <c r="GK7" s="53"/>
      <c r="GL7" s="53"/>
      <c r="GM7" s="53"/>
      <c r="GN7" s="54"/>
      <c r="GO7" s="54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4"/>
      <c r="HA7" s="54"/>
      <c r="HB7" s="53"/>
      <c r="HC7" s="53"/>
      <c r="HD7" s="54"/>
      <c r="HE7" s="54"/>
      <c r="HF7" s="55"/>
      <c r="HG7" s="55"/>
      <c r="HH7" s="55"/>
      <c r="HI7" s="55"/>
      <c r="HJ7" s="58"/>
      <c r="HK7" s="58"/>
      <c r="HL7" s="58"/>
      <c r="HM7" s="58"/>
      <c r="HN7" s="58"/>
      <c r="HO7" s="58"/>
      <c r="HP7" s="58"/>
      <c r="HQ7" s="58"/>
      <c r="HR7" s="58"/>
      <c r="HS7" s="58"/>
      <c r="HT7" s="58"/>
      <c r="HU7" s="58"/>
      <c r="HV7" s="58"/>
      <c r="HW7" s="58"/>
      <c r="HX7" s="58"/>
      <c r="HY7" s="58"/>
      <c r="HZ7" s="58"/>
      <c r="IA7" s="58"/>
      <c r="IB7" s="58"/>
      <c r="IC7" s="58"/>
      <c r="ID7" s="58"/>
      <c r="IE7" s="58"/>
      <c r="IF7" s="58"/>
      <c r="IG7" s="58"/>
    </row>
    <row r="8" customFormat="false" ht="18.75" hidden="false" customHeight="true" outlineLevel="0" collapsed="false">
      <c r="A8" s="59" t="s">
        <v>81</v>
      </c>
      <c r="B8" s="60" t="s">
        <v>82</v>
      </c>
      <c r="C8" s="60" t="s">
        <v>83</v>
      </c>
      <c r="D8" s="60" t="s">
        <v>84</v>
      </c>
      <c r="E8" s="61" t="s">
        <v>62</v>
      </c>
      <c r="F8" s="62" t="n">
        <v>1.35</v>
      </c>
      <c r="G8" s="63"/>
      <c r="H8" s="62" t="n">
        <v>0.15</v>
      </c>
      <c r="I8" s="63"/>
      <c r="J8" s="62" t="n">
        <v>23.25</v>
      </c>
      <c r="K8" s="63"/>
      <c r="L8" s="62" t="n">
        <v>6.9</v>
      </c>
      <c r="M8" s="64" t="n">
        <v>1.25</v>
      </c>
      <c r="N8" s="62" t="n">
        <v>8.25</v>
      </c>
      <c r="O8" s="64" t="n">
        <v>4.4</v>
      </c>
      <c r="P8" s="62" t="n">
        <v>2.25</v>
      </c>
      <c r="Q8" s="63"/>
      <c r="R8" s="62" t="n">
        <v>0</v>
      </c>
      <c r="S8" s="63"/>
      <c r="T8" s="62" t="n">
        <v>5.5</v>
      </c>
      <c r="U8" s="63"/>
      <c r="V8" s="62" t="n">
        <v>0.15</v>
      </c>
      <c r="W8" s="63"/>
      <c r="X8" s="62" t="n">
        <v>12.75</v>
      </c>
      <c r="Y8" s="63"/>
      <c r="Z8" s="62" t="n">
        <v>7.65</v>
      </c>
      <c r="AA8" s="63"/>
      <c r="AB8" s="62" t="n">
        <v>6.65</v>
      </c>
      <c r="AC8" s="63"/>
      <c r="AD8" s="62" t="n">
        <v>4.85</v>
      </c>
      <c r="AE8" s="63"/>
      <c r="AF8" s="62" t="n">
        <v>4.4</v>
      </c>
      <c r="AG8" s="64" t="n">
        <v>2.9</v>
      </c>
      <c r="AH8" s="62" t="n">
        <v>16.6</v>
      </c>
      <c r="AI8" s="63"/>
      <c r="AJ8" s="62" t="n">
        <v>0</v>
      </c>
      <c r="AK8" s="64" t="n">
        <v>0</v>
      </c>
      <c r="AL8" s="62" t="n">
        <v>0</v>
      </c>
      <c r="AM8" s="64" t="n">
        <v>0</v>
      </c>
      <c r="AN8" s="24" t="n">
        <v>18.35</v>
      </c>
      <c r="AO8" s="25" t="n">
        <v>6.4</v>
      </c>
      <c r="AP8" s="24" t="n">
        <v>6.85</v>
      </c>
      <c r="AQ8" s="25" t="n">
        <v>9.5</v>
      </c>
      <c r="AR8" s="24" t="n">
        <v>29.75</v>
      </c>
      <c r="AS8" s="25" t="n">
        <v>2.35</v>
      </c>
      <c r="AT8" s="24" t="n">
        <v>17</v>
      </c>
      <c r="AU8" s="27"/>
      <c r="AV8" s="24" t="n">
        <v>1.1</v>
      </c>
      <c r="AW8" s="25" t="n">
        <v>5</v>
      </c>
      <c r="AX8" s="24" t="n">
        <v>0.1</v>
      </c>
      <c r="AY8" s="25" t="n">
        <v>3.65</v>
      </c>
      <c r="AZ8" s="24" t="n">
        <v>0.75</v>
      </c>
      <c r="BA8" s="25" t="n">
        <v>0.65</v>
      </c>
      <c r="BB8" s="24" t="n">
        <v>18</v>
      </c>
      <c r="BC8" s="25" t="n">
        <v>11.9</v>
      </c>
      <c r="BD8" s="26" t="n">
        <v>20</v>
      </c>
      <c r="BE8" s="27" t="n">
        <v>10</v>
      </c>
      <c r="BF8" s="26" t="n">
        <v>20</v>
      </c>
      <c r="BG8" s="27"/>
      <c r="BH8" s="26" t="n">
        <v>10</v>
      </c>
      <c r="BI8" s="27"/>
      <c r="BJ8" s="26" t="n">
        <v>0</v>
      </c>
      <c r="BK8" s="27" t="n">
        <v>0</v>
      </c>
      <c r="BL8" s="26" t="n">
        <v>15</v>
      </c>
      <c r="BM8" s="27"/>
      <c r="BN8" s="26" t="n">
        <v>15</v>
      </c>
      <c r="BO8" s="27"/>
      <c r="BP8" s="26" t="n">
        <v>15</v>
      </c>
      <c r="BQ8" s="27"/>
      <c r="BR8" s="26" t="n">
        <v>25</v>
      </c>
      <c r="BS8" s="27"/>
      <c r="BT8" s="26" t="n">
        <v>15</v>
      </c>
      <c r="BU8" s="27"/>
      <c r="BV8" s="26" t="n">
        <v>15</v>
      </c>
      <c r="BW8" s="27"/>
      <c r="BX8" s="26" t="n">
        <v>0</v>
      </c>
      <c r="BY8" s="27" t="n">
        <v>0</v>
      </c>
      <c r="BZ8" s="26" t="n">
        <v>15</v>
      </c>
      <c r="CA8" s="27"/>
      <c r="CB8" s="26" t="n">
        <v>15</v>
      </c>
      <c r="CC8" s="27"/>
      <c r="CD8" s="26" t="n">
        <v>25</v>
      </c>
      <c r="CE8" s="27"/>
      <c r="CF8" s="26" t="n">
        <v>15</v>
      </c>
      <c r="CG8" s="27"/>
      <c r="CH8" s="26" t="n">
        <v>15</v>
      </c>
      <c r="CI8" s="27"/>
      <c r="CJ8" s="26" t="n">
        <v>15</v>
      </c>
      <c r="CK8" s="27"/>
      <c r="CL8" s="26" t="n">
        <v>0</v>
      </c>
      <c r="CM8" s="27" t="n">
        <v>0</v>
      </c>
      <c r="CN8" s="26" t="n">
        <v>0</v>
      </c>
      <c r="CO8" s="27" t="n">
        <v>0</v>
      </c>
      <c r="CP8" s="26" t="n">
        <v>15</v>
      </c>
      <c r="CQ8" s="27"/>
      <c r="CR8" s="26" t="n">
        <v>10</v>
      </c>
      <c r="CS8" s="27"/>
      <c r="CT8" s="26" t="n">
        <v>15</v>
      </c>
      <c r="CU8" s="27"/>
      <c r="CV8" s="26" t="n">
        <v>15</v>
      </c>
      <c r="CW8" s="27"/>
      <c r="CX8" s="26" t="n">
        <v>15</v>
      </c>
      <c r="CY8" s="27"/>
      <c r="CZ8" s="26" t="n">
        <v>10</v>
      </c>
      <c r="DA8" s="27"/>
      <c r="DB8" s="26" t="n">
        <v>5</v>
      </c>
      <c r="DC8" s="27"/>
      <c r="DD8" s="65" t="n">
        <f aca="false">SUM(F8:DC8)</f>
        <v>585.6</v>
      </c>
      <c r="DE8" s="66" t="n">
        <f aca="false">B8-DD8</f>
        <v>-365.45</v>
      </c>
      <c r="DF8" s="30" t="n">
        <f aca="false">C8+DD8</f>
        <v>4365.05</v>
      </c>
      <c r="DG8" s="30" t="n">
        <f aca="false">D8+DD8</f>
        <v>10991.1</v>
      </c>
      <c r="DH8" s="67" t="n">
        <v>5</v>
      </c>
      <c r="DI8" s="63"/>
      <c r="DJ8" s="26" t="n">
        <v>5</v>
      </c>
      <c r="DK8" s="27"/>
      <c r="DL8" s="26" t="n">
        <v>5</v>
      </c>
      <c r="DM8" s="27"/>
      <c r="DN8" s="26" t="n">
        <v>0</v>
      </c>
      <c r="DO8" s="27" t="n">
        <v>0</v>
      </c>
      <c r="DP8" s="26" t="n">
        <v>0</v>
      </c>
      <c r="DQ8" s="27" t="n">
        <v>0</v>
      </c>
      <c r="DR8" s="26" t="n">
        <v>0</v>
      </c>
      <c r="DS8" s="27" t="n">
        <v>0</v>
      </c>
      <c r="DT8" s="26" t="n">
        <v>0</v>
      </c>
      <c r="DU8" s="27" t="n">
        <v>0</v>
      </c>
      <c r="DV8" s="26" t="n">
        <v>0</v>
      </c>
      <c r="DW8" s="27" t="n">
        <v>0</v>
      </c>
      <c r="DX8" s="26" t="n">
        <v>0</v>
      </c>
      <c r="DY8" s="27" t="n">
        <v>0</v>
      </c>
      <c r="DZ8" s="26" t="n">
        <v>10</v>
      </c>
      <c r="EA8" s="27"/>
      <c r="EB8" s="26" t="n">
        <v>15</v>
      </c>
      <c r="EC8" s="27"/>
      <c r="ED8" s="67" t="n">
        <v>20</v>
      </c>
      <c r="EE8" s="63"/>
      <c r="EF8" s="26" t="n">
        <v>15</v>
      </c>
      <c r="EG8" s="27"/>
      <c r="EH8" s="26" t="n">
        <v>20</v>
      </c>
      <c r="EI8" s="27"/>
      <c r="EJ8" s="26" t="n">
        <v>20</v>
      </c>
      <c r="EK8" s="27"/>
      <c r="EL8" s="26" t="n">
        <v>0</v>
      </c>
      <c r="EM8" s="27" t="n">
        <v>0</v>
      </c>
      <c r="EN8" s="26" t="n">
        <v>20</v>
      </c>
      <c r="EO8" s="27"/>
      <c r="EP8" s="26" t="n">
        <v>15</v>
      </c>
      <c r="EQ8" s="27"/>
      <c r="ER8" s="26" t="n">
        <v>15</v>
      </c>
      <c r="ES8" s="27"/>
      <c r="ET8" s="26" t="n">
        <v>15</v>
      </c>
      <c r="EU8" s="27"/>
      <c r="EV8" s="26" t="n">
        <v>0</v>
      </c>
      <c r="EW8" s="27" t="n">
        <v>0</v>
      </c>
      <c r="EX8" s="26" t="n">
        <v>10</v>
      </c>
      <c r="EY8" s="27"/>
      <c r="EZ8" s="26" t="n">
        <v>20</v>
      </c>
      <c r="FA8" s="27"/>
      <c r="FB8" s="26" t="n">
        <v>10</v>
      </c>
      <c r="FC8" s="27"/>
      <c r="FD8" s="26" t="n">
        <v>10</v>
      </c>
      <c r="FE8" s="27"/>
      <c r="FF8" s="26" t="n">
        <v>10</v>
      </c>
      <c r="FG8" s="27"/>
      <c r="FH8" s="26" t="n">
        <v>10</v>
      </c>
      <c r="FI8" s="27"/>
      <c r="FJ8" s="26" t="n">
        <v>10</v>
      </c>
      <c r="FK8" s="27"/>
      <c r="FL8" s="26" t="n">
        <v>20</v>
      </c>
      <c r="FM8" s="27"/>
      <c r="FN8" s="26" t="n">
        <v>0</v>
      </c>
      <c r="FO8" s="27" t="n">
        <v>0</v>
      </c>
      <c r="FP8" s="26" t="n">
        <v>10</v>
      </c>
      <c r="FQ8" s="27"/>
      <c r="FR8" s="26" t="n">
        <v>10</v>
      </c>
      <c r="FS8" s="27"/>
      <c r="FT8" s="26" t="n">
        <v>10</v>
      </c>
      <c r="FU8" s="27"/>
      <c r="FV8" s="26" t="n">
        <v>10</v>
      </c>
      <c r="FW8" s="27"/>
      <c r="FX8" s="26" t="n">
        <v>10</v>
      </c>
      <c r="FY8" s="27"/>
      <c r="FZ8" s="26" t="n">
        <v>20</v>
      </c>
      <c r="GA8" s="27"/>
      <c r="GB8" s="26" t="n">
        <v>15</v>
      </c>
      <c r="GC8" s="27"/>
      <c r="GD8" s="26" t="n">
        <v>15</v>
      </c>
      <c r="GE8" s="27"/>
      <c r="GF8" s="26" t="n">
        <v>0</v>
      </c>
      <c r="GG8" s="27" t="n">
        <v>0</v>
      </c>
      <c r="GH8" s="26" t="n">
        <v>10</v>
      </c>
      <c r="GI8" s="27"/>
      <c r="GJ8" s="26" t="n">
        <v>10</v>
      </c>
      <c r="GK8" s="27"/>
      <c r="GL8" s="26" t="n">
        <v>10</v>
      </c>
      <c r="GM8" s="27"/>
      <c r="GN8" s="26" t="n">
        <v>10</v>
      </c>
      <c r="GO8" s="27"/>
      <c r="GP8" s="26" t="n">
        <v>15</v>
      </c>
      <c r="GQ8" s="27"/>
      <c r="GR8" s="26" t="n">
        <v>5</v>
      </c>
      <c r="GS8" s="27"/>
      <c r="GT8" s="26" t="n">
        <v>5</v>
      </c>
      <c r="GU8" s="27"/>
      <c r="GV8" s="26" t="n">
        <v>5</v>
      </c>
      <c r="GW8" s="27"/>
      <c r="GX8" s="26" t="n">
        <v>5</v>
      </c>
      <c r="GY8" s="27"/>
      <c r="GZ8" s="26" t="n">
        <v>5</v>
      </c>
      <c r="HA8" s="27"/>
      <c r="HB8" s="26" t="n">
        <v>5</v>
      </c>
      <c r="HC8" s="27"/>
      <c r="HD8" s="26" t="n">
        <v>0</v>
      </c>
      <c r="HE8" s="27"/>
      <c r="HF8" s="65" t="n">
        <f aca="false">SUM(DH8:HE8)</f>
        <v>465</v>
      </c>
      <c r="HG8" s="68" t="n">
        <f aca="false">1500-SUM(EH8:HE8)</f>
        <v>1110</v>
      </c>
      <c r="HH8" s="30"/>
      <c r="HI8" s="31" t="n">
        <f aca="false">DG8+HF8</f>
        <v>11456.1</v>
      </c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</row>
    <row r="9" customFormat="false" ht="45" hidden="false" customHeight="true" outlineLevel="0" collapsed="false">
      <c r="A9" s="59"/>
      <c r="B9" s="60"/>
      <c r="C9" s="60"/>
      <c r="D9" s="60"/>
      <c r="E9" s="61" t="s">
        <v>63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26"/>
      <c r="Q9" s="26"/>
      <c r="R9" s="38"/>
      <c r="S9" s="38"/>
      <c r="T9" s="38"/>
      <c r="U9" s="38"/>
      <c r="V9" s="38"/>
      <c r="W9" s="38"/>
      <c r="X9" s="26"/>
      <c r="Y9" s="26"/>
      <c r="Z9" s="38"/>
      <c r="AA9" s="38"/>
      <c r="AB9" s="26"/>
      <c r="AC9" s="26"/>
      <c r="AD9" s="38"/>
      <c r="AE9" s="38"/>
      <c r="AF9" s="38"/>
      <c r="AG9" s="38"/>
      <c r="AH9" s="38"/>
      <c r="AI9" s="38"/>
      <c r="AJ9" s="69" t="s">
        <v>85</v>
      </c>
      <c r="AK9" s="69"/>
      <c r="AL9" s="33" t="s">
        <v>85</v>
      </c>
      <c r="AM9" s="33"/>
      <c r="AN9" s="39"/>
      <c r="AO9" s="39"/>
      <c r="AP9" s="70"/>
      <c r="AQ9" s="70"/>
      <c r="AR9" s="70"/>
      <c r="AS9" s="70"/>
      <c r="AT9" s="39"/>
      <c r="AU9" s="39"/>
      <c r="AX9" s="33" t="s">
        <v>86</v>
      </c>
      <c r="AY9" s="33"/>
      <c r="AZ9" s="38"/>
      <c r="BA9" s="38"/>
      <c r="BB9" s="38"/>
      <c r="BC9" s="38"/>
      <c r="BD9" s="38"/>
      <c r="BE9" s="38"/>
      <c r="BF9" s="36"/>
      <c r="BG9" s="36"/>
      <c r="BH9" s="37"/>
      <c r="BI9" s="37"/>
      <c r="BJ9" s="33" t="s">
        <v>87</v>
      </c>
      <c r="BK9" s="33"/>
      <c r="BN9" s="36"/>
      <c r="BO9" s="36"/>
      <c r="BP9" s="37"/>
      <c r="BQ9" s="37"/>
      <c r="BR9" s="36"/>
      <c r="BS9" s="36"/>
      <c r="BT9" s="37"/>
      <c r="BU9" s="37"/>
      <c r="BV9" s="37"/>
      <c r="BW9" s="37"/>
      <c r="BX9" s="33" t="s">
        <v>88</v>
      </c>
      <c r="BY9" s="33"/>
      <c r="BZ9" s="36"/>
      <c r="CA9" s="36"/>
      <c r="CB9" s="37"/>
      <c r="CC9" s="37"/>
      <c r="CD9" s="37"/>
      <c r="CE9" s="37"/>
      <c r="CF9" s="36"/>
      <c r="CG9" s="36"/>
      <c r="CH9" s="37"/>
      <c r="CI9" s="37"/>
      <c r="CJ9" s="37"/>
      <c r="CK9" s="37"/>
      <c r="CL9" s="69" t="s">
        <v>89</v>
      </c>
      <c r="CM9" s="69"/>
      <c r="CN9" s="33" t="s">
        <v>90</v>
      </c>
      <c r="CO9" s="33"/>
      <c r="CP9" s="36"/>
      <c r="CQ9" s="36"/>
      <c r="CR9" s="37"/>
      <c r="CS9" s="37"/>
      <c r="CT9" s="37"/>
      <c r="CU9" s="37"/>
      <c r="CV9" s="26"/>
      <c r="CW9" s="26"/>
      <c r="CX9" s="38"/>
      <c r="CY9" s="38"/>
      <c r="CZ9" s="38"/>
      <c r="DA9" s="38"/>
      <c r="DB9" s="39"/>
      <c r="DC9" s="39"/>
      <c r="DD9" s="40" t="s">
        <v>91</v>
      </c>
      <c r="DE9" s="71"/>
      <c r="DF9" s="42"/>
      <c r="DG9" s="43"/>
      <c r="DH9" s="38"/>
      <c r="DI9" s="38"/>
      <c r="DJ9" s="26"/>
      <c r="DK9" s="26"/>
      <c r="DN9" s="44" t="s">
        <v>92</v>
      </c>
      <c r="DO9" s="44"/>
      <c r="DP9" s="44" t="s">
        <v>93</v>
      </c>
      <c r="DQ9" s="44"/>
      <c r="DR9" s="44" t="s">
        <v>93</v>
      </c>
      <c r="DS9" s="44"/>
      <c r="DT9" s="44" t="s">
        <v>93</v>
      </c>
      <c r="DU9" s="44"/>
      <c r="DV9" s="44" t="s">
        <v>93</v>
      </c>
      <c r="DW9" s="44"/>
      <c r="DX9" s="44" t="s">
        <v>93</v>
      </c>
      <c r="DY9" s="44"/>
      <c r="DZ9" s="26"/>
      <c r="EA9" s="26"/>
      <c r="EB9" s="38"/>
      <c r="EC9" s="38"/>
      <c r="ED9" s="38"/>
      <c r="EE9" s="38"/>
      <c r="EF9" s="26"/>
      <c r="EG9" s="26"/>
      <c r="EH9" s="38"/>
      <c r="EI9" s="38"/>
      <c r="EL9" s="33" t="s">
        <v>94</v>
      </c>
      <c r="EM9" s="33"/>
      <c r="EN9" s="45"/>
      <c r="EO9" s="45"/>
      <c r="EP9" s="46"/>
      <c r="EQ9" s="46"/>
      <c r="ET9" s="38"/>
      <c r="EU9" s="38"/>
      <c r="EX9" s="38"/>
      <c r="EY9" s="38"/>
      <c r="EZ9" s="38"/>
      <c r="FA9" s="38"/>
      <c r="FB9" s="38"/>
      <c r="FC9" s="38"/>
      <c r="FF9" s="26"/>
      <c r="FG9" s="26"/>
      <c r="FH9" s="38"/>
      <c r="FI9" s="38"/>
      <c r="FJ9" s="38"/>
      <c r="FK9" s="38"/>
      <c r="FN9" s="33" t="s">
        <v>95</v>
      </c>
      <c r="FO9" s="33"/>
      <c r="FP9" s="45"/>
      <c r="FQ9" s="45"/>
      <c r="FR9" s="45"/>
      <c r="FS9" s="45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69" t="s">
        <v>96</v>
      </c>
      <c r="GG9" s="69"/>
      <c r="GH9" s="38"/>
      <c r="GI9" s="38"/>
      <c r="GJ9" s="38"/>
      <c r="GK9" s="38"/>
      <c r="GL9" s="38"/>
      <c r="GM9" s="38"/>
      <c r="GN9" s="26"/>
      <c r="GO9" s="26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46"/>
      <c r="HI9" s="46"/>
      <c r="HJ9" s="47"/>
      <c r="HK9" s="47"/>
      <c r="HL9" s="47"/>
      <c r="HM9" s="47"/>
      <c r="HN9" s="47"/>
      <c r="HO9" s="47"/>
      <c r="HP9" s="48"/>
      <c r="HQ9" s="48"/>
      <c r="HR9" s="47"/>
      <c r="HS9" s="47"/>
      <c r="HT9" s="47"/>
      <c r="HU9" s="47"/>
      <c r="HV9" s="47"/>
      <c r="HW9" s="47"/>
      <c r="HX9" s="48"/>
      <c r="HY9" s="48"/>
      <c r="HZ9" s="47"/>
      <c r="IA9" s="47"/>
      <c r="IB9" s="47"/>
      <c r="IC9" s="47"/>
      <c r="ID9" s="48"/>
      <c r="IE9" s="48"/>
      <c r="IF9" s="47"/>
      <c r="IG9" s="47"/>
    </row>
    <row r="10" customFormat="false" ht="15" hidden="false" customHeight="true" outlineLevel="0" collapsed="false">
      <c r="A10" s="59"/>
      <c r="B10" s="60"/>
      <c r="C10" s="60"/>
      <c r="D10" s="60"/>
      <c r="E10" s="72" t="s">
        <v>78</v>
      </c>
      <c r="F10" s="53"/>
      <c r="G10" s="53"/>
      <c r="H10" s="54"/>
      <c r="I10" s="54"/>
      <c r="J10" s="53"/>
      <c r="K10" s="53"/>
      <c r="L10" s="53"/>
      <c r="M10" s="53"/>
      <c r="N10" s="53"/>
      <c r="O10" s="53"/>
      <c r="P10" s="54"/>
      <c r="Q10" s="54"/>
      <c r="R10" s="53"/>
      <c r="S10" s="53"/>
      <c r="T10" s="53"/>
      <c r="U10" s="53"/>
      <c r="V10" s="53"/>
      <c r="W10" s="53"/>
      <c r="X10" s="54"/>
      <c r="Y10" s="54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4"/>
      <c r="AK10" s="54"/>
      <c r="AL10" s="53"/>
      <c r="AM10" s="53"/>
      <c r="AN10" s="53"/>
      <c r="AO10" s="53"/>
      <c r="AP10" s="53"/>
      <c r="AQ10" s="53"/>
      <c r="AR10" s="53"/>
      <c r="AS10" s="53"/>
      <c r="AT10" s="54"/>
      <c r="AU10" s="54"/>
      <c r="AV10" s="53"/>
      <c r="AW10" s="53"/>
      <c r="AX10" s="53"/>
      <c r="AY10" s="53"/>
      <c r="AZ10" s="73" t="s">
        <v>97</v>
      </c>
      <c r="BA10" s="73"/>
      <c r="BB10" s="53"/>
      <c r="BC10" s="53"/>
      <c r="BD10" s="54"/>
      <c r="BE10" s="54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4"/>
      <c r="BS10" s="54"/>
      <c r="BT10" s="53"/>
      <c r="BU10" s="53"/>
      <c r="BV10" s="53"/>
      <c r="BW10" s="53"/>
      <c r="BX10" s="54"/>
      <c r="BY10" s="54"/>
      <c r="BZ10" s="53"/>
      <c r="CA10" s="53"/>
      <c r="CB10" s="53"/>
      <c r="CC10" s="53"/>
      <c r="CD10" s="53"/>
      <c r="CE10" s="53"/>
      <c r="CF10" s="54"/>
      <c r="CG10" s="54"/>
      <c r="CH10" s="53"/>
      <c r="CI10" s="53"/>
      <c r="CJ10" s="53"/>
      <c r="CK10" s="53"/>
      <c r="CL10" s="54"/>
      <c r="CM10" s="54"/>
      <c r="CN10" s="53"/>
      <c r="CO10" s="53"/>
      <c r="CP10" s="54"/>
      <c r="CQ10" s="54"/>
      <c r="CR10" s="53"/>
      <c r="CS10" s="53"/>
      <c r="CT10" s="53"/>
      <c r="CU10" s="53"/>
      <c r="CV10" s="53"/>
      <c r="CW10" s="53"/>
      <c r="CX10" s="54"/>
      <c r="CY10" s="54"/>
      <c r="CZ10" s="53"/>
      <c r="DA10" s="53"/>
      <c r="DB10" s="54"/>
      <c r="DC10" s="54"/>
      <c r="DD10" s="55"/>
      <c r="DE10" s="55"/>
      <c r="DF10" s="55"/>
      <c r="DG10" s="55"/>
      <c r="DH10" s="53"/>
      <c r="DI10" s="53"/>
      <c r="DJ10" s="74"/>
      <c r="DK10" s="74"/>
      <c r="DL10" s="53"/>
      <c r="DM10" s="53"/>
      <c r="DN10" s="53"/>
      <c r="DO10" s="53"/>
      <c r="DP10" s="53"/>
      <c r="DQ10" s="53"/>
      <c r="DR10" s="54"/>
      <c r="DS10" s="54"/>
      <c r="DT10" s="53"/>
      <c r="DU10" s="53"/>
      <c r="DV10" s="53"/>
      <c r="DW10" s="53"/>
      <c r="DX10" s="53"/>
      <c r="DY10" s="53"/>
      <c r="DZ10" s="54"/>
      <c r="EA10" s="54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4"/>
      <c r="EM10" s="54"/>
      <c r="EN10" s="53"/>
      <c r="EO10" s="53"/>
      <c r="EP10" s="53"/>
      <c r="EQ10" s="53"/>
      <c r="ER10" s="53"/>
      <c r="ES10" s="53"/>
      <c r="ET10" s="53"/>
      <c r="EU10" s="53"/>
      <c r="EV10" s="54"/>
      <c r="EW10" s="54"/>
      <c r="EX10" s="53"/>
      <c r="EY10" s="53"/>
      <c r="EZ10" s="53"/>
      <c r="FA10" s="53"/>
      <c r="FB10" s="53"/>
      <c r="FC10" s="53"/>
      <c r="FD10" s="53"/>
      <c r="FE10" s="53"/>
      <c r="FF10" s="54"/>
      <c r="FG10" s="54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4"/>
      <c r="FU10" s="54"/>
      <c r="FV10" s="53"/>
      <c r="FW10" s="53"/>
      <c r="FX10" s="53"/>
      <c r="FY10" s="53"/>
      <c r="FZ10" s="54"/>
      <c r="GA10" s="54"/>
      <c r="GB10" s="53"/>
      <c r="GC10" s="53"/>
      <c r="GD10" s="53"/>
      <c r="GE10" s="53"/>
      <c r="GF10" s="53"/>
      <c r="GG10" s="53"/>
      <c r="GH10" s="54"/>
      <c r="GI10" s="54"/>
      <c r="GJ10" s="53"/>
      <c r="GK10" s="53"/>
      <c r="GL10" s="53"/>
      <c r="GM10" s="53"/>
      <c r="GN10" s="54"/>
      <c r="GO10" s="54"/>
      <c r="GP10" s="53"/>
      <c r="GQ10" s="53"/>
      <c r="GR10" s="54"/>
      <c r="GS10" s="54"/>
      <c r="GT10" s="53"/>
      <c r="GU10" s="53"/>
      <c r="GV10" s="53"/>
      <c r="GW10" s="53"/>
      <c r="GX10" s="53"/>
      <c r="GY10" s="53"/>
      <c r="GZ10" s="54"/>
      <c r="HA10" s="54"/>
      <c r="HB10" s="53"/>
      <c r="HC10" s="53"/>
      <c r="HD10" s="54"/>
      <c r="HE10" s="54"/>
      <c r="HF10" s="55"/>
      <c r="HG10" s="55"/>
      <c r="HH10" s="55"/>
      <c r="HI10" s="55"/>
      <c r="HJ10" s="58"/>
      <c r="HK10" s="58"/>
      <c r="HL10" s="58"/>
      <c r="HM10" s="58"/>
      <c r="HN10" s="58"/>
      <c r="HO10" s="58"/>
      <c r="HP10" s="58"/>
      <c r="HQ10" s="58"/>
      <c r="HR10" s="58"/>
      <c r="HS10" s="58"/>
      <c r="HT10" s="58"/>
      <c r="HU10" s="58"/>
      <c r="HV10" s="58"/>
      <c r="HW10" s="58"/>
      <c r="HX10" s="58"/>
      <c r="HY10" s="58"/>
      <c r="HZ10" s="58"/>
      <c r="IA10" s="58"/>
      <c r="IB10" s="58"/>
      <c r="IC10" s="58"/>
      <c r="ID10" s="58"/>
      <c r="IE10" s="58"/>
      <c r="IF10" s="58"/>
      <c r="IG10" s="58"/>
    </row>
    <row r="11" customFormat="false" ht="18.75" hidden="false" customHeight="true" outlineLevel="0" collapsed="false">
      <c r="A11" s="75" t="s">
        <v>98</v>
      </c>
      <c r="B11" s="22" t="s">
        <v>99</v>
      </c>
      <c r="C11" s="22" t="s">
        <v>100</v>
      </c>
      <c r="D11" s="22" t="s">
        <v>101</v>
      </c>
      <c r="E11" s="23" t="s">
        <v>62</v>
      </c>
      <c r="F11" s="26"/>
      <c r="G11" s="25" t="n">
        <v>0</v>
      </c>
      <c r="H11" s="76"/>
      <c r="I11" s="77" t="n">
        <v>6.75</v>
      </c>
      <c r="J11" s="26"/>
      <c r="K11" s="25" t="n">
        <v>3.25</v>
      </c>
      <c r="L11" s="24" t="n">
        <v>0</v>
      </c>
      <c r="M11" s="25" t="n">
        <v>0</v>
      </c>
      <c r="N11" s="24" t="n">
        <v>0</v>
      </c>
      <c r="O11" s="25" t="n">
        <v>0</v>
      </c>
      <c r="P11" s="76"/>
      <c r="Q11" s="77" t="n">
        <v>1</v>
      </c>
      <c r="R11" s="26"/>
      <c r="S11" s="25" t="n">
        <v>0</v>
      </c>
      <c r="T11" s="26"/>
      <c r="U11" s="25" t="n">
        <v>0</v>
      </c>
      <c r="V11" s="26"/>
      <c r="W11" s="25" t="n">
        <v>2.1</v>
      </c>
      <c r="X11" s="24" t="n">
        <v>7.1</v>
      </c>
      <c r="Y11" s="25" t="n">
        <v>0.65</v>
      </c>
      <c r="Z11" s="24" t="n">
        <v>26.75</v>
      </c>
      <c r="AA11" s="25" t="n">
        <v>1.9</v>
      </c>
      <c r="AB11" s="24" t="n">
        <v>9.25</v>
      </c>
      <c r="AC11" s="25" t="n">
        <v>0.25</v>
      </c>
      <c r="AD11" s="24" t="n">
        <v>0</v>
      </c>
      <c r="AE11" s="25" t="n">
        <v>0</v>
      </c>
      <c r="AF11" s="26"/>
      <c r="AG11" s="25" t="n">
        <v>0.85</v>
      </c>
      <c r="AH11" s="26"/>
      <c r="AI11" s="27"/>
      <c r="AJ11" s="76"/>
      <c r="AK11" s="78"/>
      <c r="AL11" s="26"/>
      <c r="AM11" s="27"/>
      <c r="AN11" s="26"/>
      <c r="AO11" s="27"/>
      <c r="AP11" s="26"/>
      <c r="AQ11" s="27"/>
      <c r="AR11" s="26"/>
      <c r="AS11" s="27"/>
      <c r="AT11" s="26"/>
      <c r="AU11" s="27"/>
      <c r="AV11" s="26"/>
      <c r="AW11" s="27"/>
      <c r="AX11" s="26"/>
      <c r="AY11" s="27"/>
      <c r="AZ11" s="26"/>
      <c r="BA11" s="27"/>
      <c r="BB11" s="26"/>
      <c r="BC11" s="27"/>
      <c r="BD11" s="26"/>
      <c r="BE11" s="78"/>
      <c r="BF11" s="26"/>
      <c r="BG11" s="27"/>
      <c r="BH11" s="26"/>
      <c r="BI11" s="27"/>
      <c r="BJ11" s="26"/>
      <c r="BK11" s="27"/>
      <c r="BL11" s="26"/>
      <c r="BM11" s="27"/>
      <c r="BN11" s="26"/>
      <c r="BO11" s="27"/>
      <c r="BP11" s="26"/>
      <c r="BQ11" s="27"/>
      <c r="BR11" s="76"/>
      <c r="BS11" s="78"/>
      <c r="BT11" s="26"/>
      <c r="BU11" s="27"/>
      <c r="BV11" s="26"/>
      <c r="BW11" s="27"/>
      <c r="BX11" s="76"/>
      <c r="BY11" s="78"/>
      <c r="BZ11" s="26"/>
      <c r="CA11" s="27"/>
      <c r="CB11" s="26"/>
      <c r="CC11" s="27"/>
      <c r="CD11" s="26"/>
      <c r="CE11" s="27"/>
      <c r="CF11" s="76"/>
      <c r="CG11" s="78"/>
      <c r="CH11" s="26"/>
      <c r="CI11" s="27"/>
      <c r="CJ11" s="26"/>
      <c r="CK11" s="27"/>
      <c r="CL11" s="26"/>
      <c r="CM11" s="27"/>
      <c r="CN11" s="26"/>
      <c r="CO11" s="27"/>
      <c r="CP11" s="26"/>
      <c r="CQ11" s="27"/>
      <c r="CR11" s="26"/>
      <c r="CS11" s="27"/>
      <c r="CT11" s="26"/>
      <c r="CU11" s="27"/>
      <c r="CV11" s="26"/>
      <c r="CW11" s="27"/>
      <c r="CX11" s="76"/>
      <c r="CY11" s="78"/>
      <c r="CZ11" s="26"/>
      <c r="DA11" s="27"/>
      <c r="DB11" s="76"/>
      <c r="DC11" s="78"/>
      <c r="DD11" s="28" t="n">
        <f aca="false">SUM(F11:DC11)</f>
        <v>59.85</v>
      </c>
      <c r="DE11" s="29" t="n">
        <f aca="false">B11-DD11</f>
        <v>1240.25</v>
      </c>
      <c r="DF11" s="30" t="n">
        <f aca="false">C11+DD11</f>
        <v>5250.4</v>
      </c>
      <c r="DG11" s="30" t="n">
        <f aca="false">D11+DD11</f>
        <v>9452.55</v>
      </c>
      <c r="DH11" s="26"/>
      <c r="DI11" s="27"/>
      <c r="DJ11" s="76"/>
      <c r="DK11" s="78"/>
      <c r="DL11" s="26"/>
      <c r="DM11" s="27"/>
      <c r="DN11" s="26"/>
      <c r="DO11" s="27"/>
      <c r="DP11" s="26"/>
      <c r="DQ11" s="27"/>
      <c r="DR11" s="76"/>
      <c r="DS11" s="78"/>
      <c r="DT11" s="26"/>
      <c r="DU11" s="27"/>
      <c r="DV11" s="26"/>
      <c r="DW11" s="27"/>
      <c r="DX11" s="26"/>
      <c r="DY11" s="27"/>
      <c r="DZ11" s="26"/>
      <c r="EA11" s="27"/>
      <c r="EB11" s="26"/>
      <c r="EC11" s="27"/>
      <c r="ED11" s="26"/>
      <c r="EE11" s="27"/>
      <c r="EF11" s="26"/>
      <c r="EG11" s="27"/>
      <c r="EH11" s="26"/>
      <c r="EI11" s="27"/>
      <c r="EJ11" s="26"/>
      <c r="EK11" s="27"/>
      <c r="EL11" s="76"/>
      <c r="EM11" s="78"/>
      <c r="EN11" s="26"/>
      <c r="EO11" s="27"/>
      <c r="EP11" s="26"/>
      <c r="EQ11" s="27"/>
      <c r="ER11" s="26"/>
      <c r="ES11" s="27"/>
      <c r="ET11" s="26"/>
      <c r="EU11" s="27"/>
      <c r="EV11" s="26"/>
      <c r="EW11" s="27"/>
      <c r="EX11" s="26"/>
      <c r="EY11" s="27"/>
      <c r="EZ11" s="26"/>
      <c r="FA11" s="27"/>
      <c r="FB11" s="26"/>
      <c r="FC11" s="27"/>
      <c r="FD11" s="26"/>
      <c r="FE11" s="27"/>
      <c r="FF11" s="26"/>
      <c r="FG11" s="78"/>
      <c r="FH11" s="26"/>
      <c r="FI11" s="27"/>
      <c r="FJ11" s="26"/>
      <c r="FK11" s="27"/>
      <c r="FL11" s="26"/>
      <c r="FM11" s="27"/>
      <c r="FN11" s="26"/>
      <c r="FO11" s="27"/>
      <c r="FP11" s="26"/>
      <c r="FQ11" s="27"/>
      <c r="FR11" s="26"/>
      <c r="FS11" s="27"/>
      <c r="FT11" s="76"/>
      <c r="FU11" s="78"/>
      <c r="FV11" s="26"/>
      <c r="FW11" s="27"/>
      <c r="FX11" s="26"/>
      <c r="FY11" s="27"/>
      <c r="FZ11" s="76"/>
      <c r="GA11" s="78"/>
      <c r="GB11" s="26"/>
      <c r="GC11" s="27"/>
      <c r="GD11" s="26"/>
      <c r="GE11" s="27"/>
      <c r="GF11" s="26"/>
      <c r="GG11" s="27"/>
      <c r="GH11" s="76"/>
      <c r="GI11" s="78"/>
      <c r="GJ11" s="26"/>
      <c r="GK11" s="27"/>
      <c r="GL11" s="26"/>
      <c r="GM11" s="27"/>
      <c r="GN11" s="26"/>
      <c r="GO11" s="27"/>
      <c r="GP11" s="26"/>
      <c r="GQ11" s="27"/>
      <c r="GR11" s="26"/>
      <c r="GS11" s="27"/>
      <c r="GT11" s="26"/>
      <c r="GU11" s="27"/>
      <c r="GV11" s="26"/>
      <c r="GW11" s="27"/>
      <c r="GX11" s="26"/>
      <c r="GY11" s="27"/>
      <c r="GZ11" s="76"/>
      <c r="HA11" s="78"/>
      <c r="HB11" s="26"/>
      <c r="HC11" s="27"/>
      <c r="HD11" s="76"/>
      <c r="HE11" s="78"/>
      <c r="HF11" s="28" t="n">
        <f aca="false">SUM(DH11:HE11)</f>
        <v>0</v>
      </c>
      <c r="HG11" s="29" t="n">
        <f aca="false">DE11-HF11</f>
        <v>1240.25</v>
      </c>
      <c r="HH11" s="30" t="n">
        <f aca="false">DF11+HF11</f>
        <v>5250.4</v>
      </c>
      <c r="HI11" s="31" t="n">
        <f aca="false">DG11+HF11</f>
        <v>9452.55</v>
      </c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</row>
    <row r="12" customFormat="false" ht="17.25" hidden="false" customHeight="true" outlineLevel="0" collapsed="false">
      <c r="A12" s="75"/>
      <c r="B12" s="22"/>
      <c r="C12" s="22"/>
      <c r="D12" s="22"/>
      <c r="E12" s="23" t="s">
        <v>63</v>
      </c>
      <c r="F12" s="79"/>
      <c r="G12" s="79"/>
      <c r="H12" s="79"/>
      <c r="I12" s="79"/>
      <c r="J12" s="79"/>
      <c r="K12" s="79"/>
      <c r="L12" s="33" t="s">
        <v>102</v>
      </c>
      <c r="M12" s="33"/>
      <c r="N12" s="33" t="s">
        <v>102</v>
      </c>
      <c r="O12" s="33"/>
      <c r="P12" s="46"/>
      <c r="Q12" s="46"/>
      <c r="R12" s="46"/>
      <c r="S12" s="46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80" t="s">
        <v>103</v>
      </c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1" t="s">
        <v>104</v>
      </c>
      <c r="AU12" s="81"/>
      <c r="AV12" s="39"/>
      <c r="AW12" s="39"/>
      <c r="AX12" s="70"/>
      <c r="AY12" s="70"/>
      <c r="AZ12" s="70"/>
      <c r="BA12" s="70"/>
      <c r="BB12" s="38"/>
      <c r="BC12" s="38"/>
      <c r="BD12" s="38"/>
      <c r="BE12" s="38"/>
      <c r="BF12" s="26"/>
      <c r="BG12" s="26"/>
      <c r="BH12" s="38"/>
      <c r="BI12" s="38"/>
      <c r="BJ12" s="38"/>
      <c r="BK12" s="38"/>
      <c r="BL12" s="70"/>
      <c r="BM12" s="70"/>
      <c r="BN12" s="81" t="s">
        <v>105</v>
      </c>
      <c r="BO12" s="81"/>
      <c r="BP12" s="81" t="s">
        <v>105</v>
      </c>
      <c r="BQ12" s="81"/>
      <c r="BR12" s="70"/>
      <c r="BS12" s="70"/>
      <c r="BT12" s="39"/>
      <c r="BU12" s="39"/>
      <c r="BV12" s="70"/>
      <c r="BW12" s="70"/>
      <c r="BX12" s="70"/>
      <c r="BY12" s="70"/>
      <c r="BZ12" s="39"/>
      <c r="CA12" s="39"/>
      <c r="CB12" s="70"/>
      <c r="CC12" s="70"/>
      <c r="CD12" s="70"/>
      <c r="CE12" s="70"/>
      <c r="CF12" s="81" t="s">
        <v>106</v>
      </c>
      <c r="CG12" s="81"/>
      <c r="CH12" s="81" t="s">
        <v>106</v>
      </c>
      <c r="CI12" s="81"/>
      <c r="CJ12" s="38"/>
      <c r="CK12" s="38"/>
      <c r="CL12" s="38"/>
      <c r="CM12" s="38"/>
      <c r="CN12" s="26"/>
      <c r="CO12" s="26"/>
      <c r="CP12" s="38"/>
      <c r="CQ12" s="38"/>
      <c r="CR12" s="39"/>
      <c r="CS12" s="39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42"/>
      <c r="DE12" s="43"/>
      <c r="DF12" s="42"/>
      <c r="DG12" s="43"/>
      <c r="DH12" s="38"/>
      <c r="DI12" s="38"/>
      <c r="DJ12" s="26"/>
      <c r="DK12" s="26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26"/>
      <c r="DW12" s="26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26"/>
      <c r="EI12" s="26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46"/>
      <c r="EY12" s="46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46"/>
      <c r="GG12" s="46"/>
      <c r="GH12" s="38"/>
      <c r="GI12" s="38"/>
      <c r="GJ12" s="38"/>
      <c r="GK12" s="38"/>
      <c r="GL12" s="38"/>
      <c r="GM12" s="38"/>
      <c r="GN12" s="26"/>
      <c r="GO12" s="26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46"/>
      <c r="HI12" s="46"/>
      <c r="HJ12" s="47"/>
      <c r="HK12" s="47"/>
      <c r="HL12" s="47"/>
      <c r="HM12" s="47"/>
      <c r="HN12" s="47"/>
      <c r="HO12" s="47"/>
      <c r="HP12" s="48"/>
      <c r="HQ12" s="48"/>
      <c r="HR12" s="47"/>
      <c r="HS12" s="47"/>
      <c r="HT12" s="47"/>
      <c r="HU12" s="47"/>
      <c r="HV12" s="47"/>
      <c r="HW12" s="47"/>
      <c r="HX12" s="48"/>
      <c r="HY12" s="48"/>
      <c r="HZ12" s="47"/>
      <c r="IA12" s="47"/>
      <c r="IB12" s="47"/>
      <c r="IC12" s="47"/>
      <c r="ID12" s="48"/>
      <c r="IE12" s="48"/>
      <c r="IF12" s="47"/>
      <c r="IG12" s="47"/>
    </row>
    <row r="13" customFormat="false" ht="15" hidden="false" customHeight="true" outlineLevel="0" collapsed="false">
      <c r="A13" s="75"/>
      <c r="B13" s="22"/>
      <c r="C13" s="22"/>
      <c r="D13" s="22"/>
      <c r="E13" s="50" t="s">
        <v>78</v>
      </c>
      <c r="F13" s="53"/>
      <c r="G13" s="53"/>
      <c r="H13" s="54"/>
      <c r="I13" s="54"/>
      <c r="J13" s="53"/>
      <c r="K13" s="53"/>
      <c r="L13" s="53"/>
      <c r="M13" s="53"/>
      <c r="N13" s="53"/>
      <c r="O13" s="53"/>
      <c r="P13" s="54"/>
      <c r="Q13" s="54"/>
      <c r="R13" s="53"/>
      <c r="S13" s="53"/>
      <c r="T13" s="53"/>
      <c r="U13" s="53"/>
      <c r="V13" s="54"/>
      <c r="W13" s="54"/>
      <c r="X13" s="53"/>
      <c r="Y13" s="53"/>
      <c r="Z13" s="53"/>
      <c r="AA13" s="53"/>
      <c r="AB13" s="53"/>
      <c r="AC13" s="53"/>
      <c r="AD13" s="82" t="s">
        <v>107</v>
      </c>
      <c r="AE13" s="82"/>
      <c r="AF13" s="53"/>
      <c r="AG13" s="53"/>
      <c r="AH13" s="53"/>
      <c r="AI13" s="53"/>
      <c r="AJ13" s="53"/>
      <c r="AK13" s="53"/>
      <c r="AL13" s="54"/>
      <c r="AM13" s="54"/>
      <c r="AN13" s="53"/>
      <c r="AO13" s="53"/>
      <c r="AP13" s="53"/>
      <c r="AQ13" s="53"/>
      <c r="AR13" s="54"/>
      <c r="AS13" s="54"/>
      <c r="AT13" s="53"/>
      <c r="AU13" s="53"/>
      <c r="AV13" s="53"/>
      <c r="AW13" s="53"/>
      <c r="AX13" s="53"/>
      <c r="AY13" s="53"/>
      <c r="AZ13" s="54"/>
      <c r="BA13" s="54"/>
      <c r="BB13" s="53"/>
      <c r="BC13" s="53"/>
      <c r="BD13" s="53"/>
      <c r="BE13" s="53"/>
      <c r="BF13" s="53"/>
      <c r="BG13" s="53"/>
      <c r="BH13" s="54"/>
      <c r="BI13" s="54"/>
      <c r="BJ13" s="53"/>
      <c r="BK13" s="53"/>
      <c r="BL13" s="53"/>
      <c r="BM13" s="53"/>
      <c r="BN13" s="54"/>
      <c r="BO13" s="54"/>
      <c r="BP13" s="53"/>
      <c r="BQ13" s="53"/>
      <c r="BR13" s="53"/>
      <c r="BS13" s="53"/>
      <c r="BT13" s="53"/>
      <c r="BU13" s="53"/>
      <c r="BV13" s="54"/>
      <c r="BW13" s="54"/>
      <c r="BX13" s="53"/>
      <c r="BY13" s="53"/>
      <c r="BZ13" s="53"/>
      <c r="CA13" s="53"/>
      <c r="CB13" s="53"/>
      <c r="CC13" s="53"/>
      <c r="CD13" s="54"/>
      <c r="CE13" s="54"/>
      <c r="CF13" s="53"/>
      <c r="CG13" s="53"/>
      <c r="CH13" s="53"/>
      <c r="CI13" s="53"/>
      <c r="CJ13" s="54"/>
      <c r="CK13" s="54"/>
      <c r="CL13" s="53"/>
      <c r="CM13" s="53"/>
      <c r="CN13" s="53"/>
      <c r="CO13" s="53"/>
      <c r="CP13" s="53"/>
      <c r="CQ13" s="53"/>
      <c r="CR13" s="54"/>
      <c r="CS13" s="54"/>
      <c r="CT13" s="53"/>
      <c r="CU13" s="53"/>
      <c r="CV13" s="53"/>
      <c r="CW13" s="53"/>
      <c r="CX13" s="53"/>
      <c r="CY13" s="53"/>
      <c r="CZ13" s="54"/>
      <c r="DA13" s="54"/>
      <c r="DB13" s="53"/>
      <c r="DC13" s="53"/>
      <c r="DD13" s="83"/>
      <c r="DE13" s="84"/>
      <c r="DF13" s="84"/>
      <c r="DG13" s="84"/>
      <c r="DH13" s="53"/>
      <c r="DI13" s="53"/>
      <c r="DJ13" s="74"/>
      <c r="DK13" s="74"/>
      <c r="DL13" s="53"/>
      <c r="DM13" s="53"/>
      <c r="DN13" s="53"/>
      <c r="DO13" s="53"/>
      <c r="DP13" s="53"/>
      <c r="DQ13" s="53"/>
      <c r="DR13" s="54"/>
      <c r="DS13" s="54"/>
      <c r="DT13" s="53"/>
      <c r="DU13" s="53"/>
      <c r="DV13" s="53"/>
      <c r="DW13" s="53"/>
      <c r="DX13" s="54"/>
      <c r="DY13" s="54"/>
      <c r="DZ13" s="53"/>
      <c r="EA13" s="53"/>
      <c r="EB13" s="53"/>
      <c r="EC13" s="53"/>
      <c r="ED13" s="53"/>
      <c r="EE13" s="53"/>
      <c r="EF13" s="54"/>
      <c r="EG13" s="54"/>
      <c r="EH13" s="53"/>
      <c r="EI13" s="53"/>
      <c r="EJ13" s="53"/>
      <c r="EK13" s="53"/>
      <c r="EL13" s="53"/>
      <c r="EM13" s="53"/>
      <c r="EN13" s="54"/>
      <c r="EO13" s="54"/>
      <c r="EP13" s="53"/>
      <c r="EQ13" s="53"/>
      <c r="ER13" s="53"/>
      <c r="ES13" s="53"/>
      <c r="ET13" s="54"/>
      <c r="EU13" s="54"/>
      <c r="EV13" s="53"/>
      <c r="EW13" s="53"/>
      <c r="EX13" s="53"/>
      <c r="EY13" s="53"/>
      <c r="EZ13" s="53"/>
      <c r="FA13" s="53"/>
      <c r="FB13" s="54"/>
      <c r="FC13" s="54"/>
      <c r="FD13" s="53"/>
      <c r="FE13" s="53"/>
      <c r="FF13" s="53"/>
      <c r="FG13" s="53"/>
      <c r="FH13" s="53"/>
      <c r="FI13" s="53"/>
      <c r="FJ13" s="54"/>
      <c r="FK13" s="54"/>
      <c r="FL13" s="53"/>
      <c r="FM13" s="53"/>
      <c r="FN13" s="53"/>
      <c r="FO13" s="53"/>
      <c r="FP13" s="54"/>
      <c r="FQ13" s="54"/>
      <c r="FR13" s="53"/>
      <c r="FS13" s="53"/>
      <c r="FT13" s="53"/>
      <c r="FU13" s="53"/>
      <c r="FV13" s="53"/>
      <c r="FW13" s="53"/>
      <c r="FX13" s="54"/>
      <c r="FY13" s="54"/>
      <c r="FZ13" s="53"/>
      <c r="GA13" s="53"/>
      <c r="GB13" s="53"/>
      <c r="GC13" s="53"/>
      <c r="GD13" s="53"/>
      <c r="GE13" s="53"/>
      <c r="GF13" s="54"/>
      <c r="GG13" s="54"/>
      <c r="GH13" s="53"/>
      <c r="GI13" s="53"/>
      <c r="GJ13" s="53"/>
      <c r="GK13" s="53"/>
      <c r="GL13" s="54"/>
      <c r="GM13" s="54"/>
      <c r="GN13" s="53"/>
      <c r="GO13" s="53"/>
      <c r="GP13" s="53"/>
      <c r="GQ13" s="53"/>
      <c r="GR13" s="53"/>
      <c r="GS13" s="53"/>
      <c r="GT13" s="54"/>
      <c r="GU13" s="54"/>
      <c r="GV13" s="53"/>
      <c r="GW13" s="53"/>
      <c r="GX13" s="53"/>
      <c r="GY13" s="53"/>
      <c r="GZ13" s="53"/>
      <c r="HA13" s="53"/>
      <c r="HB13" s="54"/>
      <c r="HC13" s="54"/>
      <c r="HD13" s="53"/>
      <c r="HE13" s="53"/>
      <c r="HF13" s="83"/>
      <c r="HG13" s="84"/>
      <c r="HH13" s="84"/>
      <c r="HI13" s="84"/>
      <c r="HJ13" s="84"/>
      <c r="HK13" s="84"/>
      <c r="HL13" s="84"/>
      <c r="HM13" s="84"/>
      <c r="HN13" s="84"/>
      <c r="HO13" s="84"/>
      <c r="HP13" s="84"/>
      <c r="HQ13" s="84"/>
      <c r="HR13" s="84"/>
      <c r="HS13" s="84"/>
      <c r="HT13" s="84"/>
      <c r="HU13" s="84"/>
      <c r="HV13" s="84"/>
      <c r="HW13" s="84"/>
      <c r="HX13" s="84"/>
      <c r="HY13" s="84"/>
      <c r="HZ13" s="84"/>
      <c r="IA13" s="84"/>
      <c r="IB13" s="84"/>
      <c r="IC13" s="84"/>
      <c r="ID13" s="84"/>
      <c r="IE13" s="84"/>
      <c r="IF13" s="84"/>
      <c r="IG13" s="84"/>
    </row>
    <row r="14" customFormat="false" ht="18.75" hidden="false" customHeight="true" outlineLevel="0" collapsed="false">
      <c r="A14" s="85" t="s">
        <v>108</v>
      </c>
      <c r="B14" s="60" t="s">
        <v>109</v>
      </c>
      <c r="C14" s="60" t="s">
        <v>110</v>
      </c>
      <c r="D14" s="60" t="s">
        <v>111</v>
      </c>
      <c r="E14" s="61" t="s">
        <v>62</v>
      </c>
      <c r="F14" s="26"/>
      <c r="G14" s="25" t="n">
        <v>0</v>
      </c>
      <c r="H14" s="26"/>
      <c r="I14" s="25" t="n">
        <v>4.85</v>
      </c>
      <c r="J14" s="26"/>
      <c r="K14" s="25" t="n">
        <v>0</v>
      </c>
      <c r="L14" s="26"/>
      <c r="M14" s="25" t="n">
        <v>2.1</v>
      </c>
      <c r="N14" s="24" t="n">
        <v>0</v>
      </c>
      <c r="O14" s="25" t="n">
        <v>0</v>
      </c>
      <c r="P14" s="24" t="n">
        <v>0</v>
      </c>
      <c r="Q14" s="25" t="n">
        <v>0</v>
      </c>
      <c r="R14" s="24" t="n">
        <v>0</v>
      </c>
      <c r="S14" s="25" t="n">
        <v>0</v>
      </c>
      <c r="T14" s="24" t="n">
        <v>0</v>
      </c>
      <c r="U14" s="25" t="n">
        <v>0</v>
      </c>
      <c r="V14" s="26"/>
      <c r="W14" s="25" t="n">
        <v>0.85</v>
      </c>
      <c r="X14" s="24" t="n">
        <v>7.75</v>
      </c>
      <c r="Y14" s="25" t="n">
        <v>1.75</v>
      </c>
      <c r="Z14" s="24" t="n">
        <v>0</v>
      </c>
      <c r="AA14" s="25" t="n">
        <v>0</v>
      </c>
      <c r="AB14" s="26"/>
      <c r="AC14" s="25" t="n">
        <v>0.6</v>
      </c>
      <c r="AD14" s="24" t="n">
        <v>0</v>
      </c>
      <c r="AE14" s="25" t="n">
        <v>0</v>
      </c>
      <c r="AF14" s="24" t="n">
        <v>0</v>
      </c>
      <c r="AG14" s="25" t="n">
        <v>0</v>
      </c>
      <c r="AH14" s="24" t="n">
        <v>0</v>
      </c>
      <c r="AI14" s="25" t="n">
        <v>0</v>
      </c>
      <c r="AJ14" s="24" t="n">
        <v>0</v>
      </c>
      <c r="AK14" s="25" t="n">
        <v>0</v>
      </c>
      <c r="AL14" s="24" t="n">
        <v>0</v>
      </c>
      <c r="AM14" s="25" t="n">
        <v>0</v>
      </c>
      <c r="AN14" s="26"/>
      <c r="AO14" s="25" t="n">
        <v>0.65</v>
      </c>
      <c r="AP14" s="26"/>
      <c r="AQ14" s="25" t="n">
        <v>0</v>
      </c>
      <c r="AR14" s="24" t="n">
        <v>0.75</v>
      </c>
      <c r="AS14" s="25" t="n">
        <v>1.85</v>
      </c>
      <c r="AT14" s="24" t="n">
        <v>2.85</v>
      </c>
      <c r="AU14" s="25" t="n">
        <v>16.5</v>
      </c>
      <c r="AV14" s="26"/>
      <c r="AW14" s="25" t="n">
        <v>25.65</v>
      </c>
      <c r="AX14" s="26"/>
      <c r="AY14" s="27"/>
      <c r="AZ14" s="26"/>
      <c r="BA14" s="27"/>
      <c r="BB14" s="26"/>
      <c r="BC14" s="27"/>
      <c r="BD14" s="26"/>
      <c r="BE14" s="27"/>
      <c r="BF14" s="26"/>
      <c r="BG14" s="27"/>
      <c r="BH14" s="26"/>
      <c r="BI14" s="27"/>
      <c r="BJ14" s="26"/>
      <c r="BK14" s="27"/>
      <c r="BL14" s="26"/>
      <c r="BM14" s="27"/>
      <c r="BN14" s="26"/>
      <c r="BO14" s="27"/>
      <c r="BP14" s="26"/>
      <c r="BQ14" s="27"/>
      <c r="BR14" s="26"/>
      <c r="BS14" s="27"/>
      <c r="BT14" s="26"/>
      <c r="BU14" s="27"/>
      <c r="BV14" s="26"/>
      <c r="BW14" s="27"/>
      <c r="BX14" s="26"/>
      <c r="BY14" s="27"/>
      <c r="BZ14" s="26"/>
      <c r="CA14" s="27"/>
      <c r="CB14" s="26"/>
      <c r="CC14" s="27"/>
      <c r="CD14" s="26"/>
      <c r="CE14" s="27"/>
      <c r="CF14" s="26"/>
      <c r="CG14" s="27"/>
      <c r="CH14" s="26"/>
      <c r="CI14" s="27"/>
      <c r="CJ14" s="26"/>
      <c r="CK14" s="27"/>
      <c r="CL14" s="26"/>
      <c r="CM14" s="27"/>
      <c r="CN14" s="26"/>
      <c r="CO14" s="27"/>
      <c r="CP14" s="26"/>
      <c r="CQ14" s="27"/>
      <c r="CR14" s="26"/>
      <c r="CS14" s="27"/>
      <c r="CT14" s="26"/>
      <c r="CU14" s="27"/>
      <c r="CV14" s="26"/>
      <c r="CW14" s="27"/>
      <c r="CX14" s="26"/>
      <c r="CY14" s="27"/>
      <c r="CZ14" s="26"/>
      <c r="DA14" s="27"/>
      <c r="DB14" s="26"/>
      <c r="DC14" s="27"/>
      <c r="DD14" s="28" t="n">
        <f aca="false">SUM(F14:DC14)</f>
        <v>66.15</v>
      </c>
      <c r="DE14" s="29" t="n">
        <f aca="false">B14-DD14</f>
        <v>1297.8</v>
      </c>
      <c r="DF14" s="30" t="n">
        <f aca="false">C14+DD14</f>
        <v>5094.4</v>
      </c>
      <c r="DG14" s="30" t="n">
        <f aca="false">D14+DD14</f>
        <v>7526.8</v>
      </c>
      <c r="DH14" s="26"/>
      <c r="DI14" s="27"/>
      <c r="DJ14" s="26"/>
      <c r="DK14" s="27"/>
      <c r="DL14" s="26"/>
      <c r="DM14" s="27"/>
      <c r="DN14" s="26"/>
      <c r="DO14" s="27"/>
      <c r="DP14" s="26"/>
      <c r="DQ14" s="27"/>
      <c r="DR14" s="26"/>
      <c r="DS14" s="27"/>
      <c r="DT14" s="26"/>
      <c r="DU14" s="27"/>
      <c r="DV14" s="26"/>
      <c r="DW14" s="27"/>
      <c r="DX14" s="26"/>
      <c r="DY14" s="27"/>
      <c r="DZ14" s="26"/>
      <c r="EA14" s="27"/>
      <c r="EB14" s="26"/>
      <c r="EC14" s="27"/>
      <c r="ED14" s="26"/>
      <c r="EE14" s="27"/>
      <c r="EF14" s="26"/>
      <c r="EG14" s="27"/>
      <c r="EH14" s="26"/>
      <c r="EI14" s="27"/>
      <c r="EJ14" s="26"/>
      <c r="EK14" s="27"/>
      <c r="EL14" s="26"/>
      <c r="EM14" s="27"/>
      <c r="EN14" s="26"/>
      <c r="EO14" s="27"/>
      <c r="EP14" s="26"/>
      <c r="EQ14" s="27"/>
      <c r="ER14" s="26"/>
      <c r="ES14" s="27"/>
      <c r="ET14" s="26"/>
      <c r="EU14" s="27"/>
      <c r="EV14" s="26"/>
      <c r="EW14" s="27"/>
      <c r="EX14" s="26"/>
      <c r="EY14" s="27"/>
      <c r="EZ14" s="26"/>
      <c r="FA14" s="27"/>
      <c r="FB14" s="26"/>
      <c r="FC14" s="27"/>
      <c r="FD14" s="26"/>
      <c r="FE14" s="27"/>
      <c r="FF14" s="26"/>
      <c r="FG14" s="27"/>
      <c r="FH14" s="26"/>
      <c r="FI14" s="27"/>
      <c r="FJ14" s="26"/>
      <c r="FK14" s="27"/>
      <c r="FL14" s="26"/>
      <c r="FM14" s="27"/>
      <c r="FN14" s="26"/>
      <c r="FO14" s="27"/>
      <c r="FP14" s="26"/>
      <c r="FQ14" s="27"/>
      <c r="FR14" s="26"/>
      <c r="FS14" s="27"/>
      <c r="FT14" s="26"/>
      <c r="FU14" s="27"/>
      <c r="FV14" s="26"/>
      <c r="FW14" s="27"/>
      <c r="FX14" s="26"/>
      <c r="FY14" s="27"/>
      <c r="FZ14" s="26"/>
      <c r="GA14" s="27"/>
      <c r="GB14" s="26"/>
      <c r="GC14" s="27"/>
      <c r="GD14" s="26"/>
      <c r="GE14" s="27"/>
      <c r="GF14" s="26"/>
      <c r="GG14" s="27"/>
      <c r="GH14" s="26"/>
      <c r="GI14" s="27"/>
      <c r="GJ14" s="26"/>
      <c r="GK14" s="27"/>
      <c r="GL14" s="26"/>
      <c r="GM14" s="27"/>
      <c r="GN14" s="26"/>
      <c r="GO14" s="27"/>
      <c r="GP14" s="26"/>
      <c r="GQ14" s="27"/>
      <c r="GR14" s="26"/>
      <c r="GS14" s="27"/>
      <c r="GT14" s="26"/>
      <c r="GU14" s="27"/>
      <c r="GV14" s="26"/>
      <c r="GW14" s="27"/>
      <c r="GX14" s="26"/>
      <c r="GY14" s="27"/>
      <c r="GZ14" s="26"/>
      <c r="HA14" s="27"/>
      <c r="HB14" s="26"/>
      <c r="HC14" s="27"/>
      <c r="HD14" s="26"/>
      <c r="HE14" s="27"/>
      <c r="HF14" s="28" t="n">
        <f aca="false">SUM(DH14:HE14)</f>
        <v>0</v>
      </c>
      <c r="HG14" s="29" t="n">
        <f aca="false">DE14-HF14</f>
        <v>1297.8</v>
      </c>
      <c r="HH14" s="30" t="n">
        <f aca="false">DF14+HF14</f>
        <v>5094.4</v>
      </c>
      <c r="HI14" s="31" t="n">
        <f aca="false">DF14+HF14</f>
        <v>5094.4</v>
      </c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  <c r="IG14" s="32"/>
    </row>
    <row r="15" customFormat="false" ht="18" hidden="false" customHeight="true" outlineLevel="0" collapsed="false">
      <c r="A15" s="85"/>
      <c r="B15" s="60"/>
      <c r="C15" s="60"/>
      <c r="D15" s="60"/>
      <c r="E15" s="61" t="s">
        <v>63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86" t="s">
        <v>112</v>
      </c>
      <c r="U15" s="86"/>
      <c r="V15" s="38"/>
      <c r="W15" s="38"/>
      <c r="X15" s="38"/>
      <c r="Y15" s="38"/>
      <c r="Z15" s="38"/>
      <c r="AA15" s="38"/>
      <c r="AB15" s="38"/>
      <c r="AC15" s="38"/>
      <c r="AD15" s="69" t="s">
        <v>113</v>
      </c>
      <c r="AE15" s="69"/>
      <c r="AF15" s="33" t="s">
        <v>113</v>
      </c>
      <c r="AG15" s="33"/>
      <c r="AH15" s="33" t="s">
        <v>113</v>
      </c>
      <c r="AI15" s="33"/>
      <c r="AJ15" s="87" t="s">
        <v>113</v>
      </c>
      <c r="AK15" s="87"/>
      <c r="AL15" s="87" t="s">
        <v>113</v>
      </c>
      <c r="AM15" s="87"/>
      <c r="AN15" s="70"/>
      <c r="AO15" s="70"/>
      <c r="AP15" s="39"/>
      <c r="AQ15" s="39"/>
      <c r="AR15" s="70"/>
      <c r="AS15" s="70"/>
      <c r="AT15" s="37"/>
      <c r="AU15" s="37"/>
      <c r="AV15" s="36"/>
      <c r="AW15" s="36"/>
      <c r="AX15" s="88" t="s">
        <v>114</v>
      </c>
      <c r="AY15" s="88"/>
      <c r="AZ15" s="88"/>
      <c r="BA15" s="88"/>
      <c r="BB15" s="81" t="s">
        <v>115</v>
      </c>
      <c r="BC15" s="81"/>
      <c r="BD15" s="89" t="s">
        <v>116</v>
      </c>
      <c r="BE15" s="89"/>
      <c r="BF15" s="89"/>
      <c r="BG15" s="89"/>
      <c r="BH15" s="89"/>
      <c r="BI15" s="89"/>
      <c r="BJ15" s="89"/>
      <c r="BK15" s="89"/>
      <c r="BL15" s="89"/>
      <c r="BM15" s="89"/>
      <c r="BP15" s="81" t="s">
        <v>117</v>
      </c>
      <c r="BQ15" s="81"/>
      <c r="BV15" s="38"/>
      <c r="BW15" s="38"/>
      <c r="BX15" s="38"/>
      <c r="BY15" s="38"/>
      <c r="BZ15" s="70"/>
      <c r="CA15" s="70"/>
      <c r="CB15" s="38"/>
      <c r="CC15" s="38"/>
      <c r="CD15" s="26"/>
      <c r="CE15" s="26"/>
      <c r="CF15" s="81" t="s">
        <v>118</v>
      </c>
      <c r="CG15" s="81"/>
      <c r="CR15" s="39"/>
      <c r="CS15" s="39"/>
      <c r="CT15" s="38"/>
      <c r="CU15" s="38"/>
      <c r="CV15" s="26"/>
      <c r="CW15" s="26"/>
      <c r="CX15" s="81" t="s">
        <v>119</v>
      </c>
      <c r="CY15" s="81"/>
      <c r="CZ15" s="81" t="s">
        <v>119</v>
      </c>
      <c r="DA15" s="81"/>
      <c r="DB15" s="38"/>
      <c r="DC15" s="38"/>
      <c r="DD15" s="42"/>
      <c r="DE15" s="43"/>
      <c r="DF15" s="42"/>
      <c r="DG15" s="43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6"/>
      <c r="EK15" s="36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8"/>
      <c r="FC15" s="38"/>
      <c r="FD15" s="37"/>
      <c r="FE15" s="37"/>
      <c r="FF15" s="36"/>
      <c r="FG15" s="36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6"/>
      <c r="FW15" s="36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8"/>
      <c r="GO15" s="38"/>
      <c r="GP15" s="26"/>
      <c r="GQ15" s="26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46"/>
      <c r="HI15" s="46"/>
      <c r="HJ15" s="47"/>
      <c r="HK15" s="47"/>
      <c r="HL15" s="47"/>
      <c r="HM15" s="47"/>
      <c r="HN15" s="47"/>
      <c r="HO15" s="47"/>
      <c r="HP15" s="48"/>
      <c r="HQ15" s="48"/>
      <c r="HR15" s="47"/>
      <c r="HS15" s="47"/>
      <c r="HT15" s="47"/>
      <c r="HU15" s="47"/>
      <c r="HV15" s="47"/>
      <c r="HW15" s="47"/>
      <c r="HX15" s="48"/>
      <c r="HY15" s="48"/>
      <c r="HZ15" s="47"/>
      <c r="IA15" s="47"/>
      <c r="IB15" s="47"/>
      <c r="IC15" s="47"/>
      <c r="ID15" s="48"/>
      <c r="IE15" s="48"/>
      <c r="IF15" s="47"/>
      <c r="IG15" s="47"/>
    </row>
    <row r="16" customFormat="false" ht="15" hidden="false" customHeight="true" outlineLevel="0" collapsed="false">
      <c r="A16" s="85"/>
      <c r="B16" s="60"/>
      <c r="C16" s="60"/>
      <c r="D16" s="60"/>
      <c r="E16" s="61" t="s">
        <v>78</v>
      </c>
      <c r="F16" s="53"/>
      <c r="G16" s="53"/>
      <c r="H16" s="54"/>
      <c r="I16" s="54"/>
      <c r="J16" s="53"/>
      <c r="K16" s="53"/>
      <c r="L16" s="90" t="s">
        <v>120</v>
      </c>
      <c r="M16" s="90"/>
      <c r="N16" s="90"/>
      <c r="O16" s="90"/>
      <c r="P16" s="90"/>
      <c r="Q16" s="90"/>
      <c r="R16" s="90"/>
      <c r="S16" s="90"/>
      <c r="T16" s="90"/>
      <c r="U16" s="90"/>
      <c r="V16" s="53"/>
      <c r="W16" s="53"/>
      <c r="X16" s="54"/>
      <c r="Y16" s="54"/>
      <c r="Z16" s="91" t="s">
        <v>121</v>
      </c>
      <c r="AA16" s="91"/>
      <c r="AB16" s="91"/>
      <c r="AC16" s="91"/>
      <c r="AD16" s="53"/>
      <c r="AE16" s="53"/>
      <c r="AF16" s="53"/>
      <c r="AG16" s="53"/>
      <c r="AH16" s="53"/>
      <c r="AI16" s="53"/>
      <c r="AJ16" s="54"/>
      <c r="AK16" s="54"/>
      <c r="AL16" s="91" t="s">
        <v>122</v>
      </c>
      <c r="AM16" s="91"/>
      <c r="AN16" s="53"/>
      <c r="AO16" s="53"/>
      <c r="AP16" s="92" t="s">
        <v>123</v>
      </c>
      <c r="AQ16" s="92"/>
      <c r="AR16" s="53"/>
      <c r="AS16" s="53"/>
      <c r="AT16" s="54"/>
      <c r="AU16" s="54"/>
      <c r="AV16" s="53"/>
      <c r="AW16" s="53"/>
      <c r="AX16" s="92" t="s">
        <v>124</v>
      </c>
      <c r="AY16" s="92"/>
      <c r="AZ16" s="92"/>
      <c r="BA16" s="92"/>
      <c r="BB16" s="92"/>
      <c r="BC16" s="92"/>
      <c r="BD16" s="92"/>
      <c r="BE16" s="92"/>
      <c r="BF16" s="92"/>
      <c r="BG16" s="92"/>
      <c r="BH16" s="92"/>
      <c r="BI16" s="92"/>
      <c r="BJ16" s="92"/>
      <c r="BK16" s="92"/>
      <c r="BL16" s="92"/>
      <c r="BM16" s="92"/>
      <c r="BN16" s="53"/>
      <c r="BO16" s="53"/>
      <c r="BP16" s="53"/>
      <c r="BQ16" s="53"/>
      <c r="BR16" s="54"/>
      <c r="BS16" s="54"/>
      <c r="BT16" s="53"/>
      <c r="BU16" s="53"/>
      <c r="BV16" s="53"/>
      <c r="BW16" s="53"/>
      <c r="BX16" s="54"/>
      <c r="BY16" s="54"/>
      <c r="BZ16" s="53"/>
      <c r="CA16" s="53"/>
      <c r="CB16" s="53"/>
      <c r="CC16" s="53"/>
      <c r="CD16" s="54"/>
      <c r="CE16" s="54"/>
      <c r="CF16" s="53"/>
      <c r="CG16" s="53"/>
      <c r="CH16" s="54"/>
      <c r="CI16" s="54"/>
      <c r="CJ16" s="53"/>
      <c r="CK16" s="53"/>
      <c r="CL16" s="53"/>
      <c r="CM16" s="53"/>
      <c r="CN16" s="54"/>
      <c r="CO16" s="54"/>
      <c r="CP16" s="53"/>
      <c r="CQ16" s="53"/>
      <c r="CR16" s="53"/>
      <c r="CS16" s="53"/>
      <c r="CT16" s="53"/>
      <c r="CU16" s="53"/>
      <c r="CV16" s="53"/>
      <c r="CW16" s="53"/>
      <c r="CX16" s="54"/>
      <c r="CY16" s="54"/>
      <c r="CZ16" s="53"/>
      <c r="DA16" s="53"/>
      <c r="DB16" s="54"/>
      <c r="DC16" s="54"/>
      <c r="DD16" s="55"/>
      <c r="DE16" s="55"/>
      <c r="DF16" s="55"/>
      <c r="DG16" s="55"/>
      <c r="DH16" s="53"/>
      <c r="DI16" s="53"/>
      <c r="DJ16" s="74"/>
      <c r="DK16" s="74"/>
      <c r="DL16" s="53"/>
      <c r="DM16" s="53"/>
      <c r="DN16" s="53"/>
      <c r="DO16" s="53"/>
      <c r="DP16" s="53"/>
      <c r="DQ16" s="53"/>
      <c r="DR16" s="54"/>
      <c r="DS16" s="54"/>
      <c r="DT16" s="53"/>
      <c r="DU16" s="53"/>
      <c r="DV16" s="53"/>
      <c r="DW16" s="53"/>
      <c r="DX16" s="53"/>
      <c r="DY16" s="53"/>
      <c r="DZ16" s="54"/>
      <c r="EA16" s="54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4"/>
      <c r="EM16" s="54"/>
      <c r="EN16" s="53"/>
      <c r="EO16" s="53"/>
      <c r="EP16" s="53"/>
      <c r="EQ16" s="53"/>
      <c r="ER16" s="53"/>
      <c r="ES16" s="53"/>
      <c r="ET16" s="53"/>
      <c r="EU16" s="53"/>
      <c r="EV16" s="54"/>
      <c r="EW16" s="54"/>
      <c r="EX16" s="53"/>
      <c r="EY16" s="53"/>
      <c r="EZ16" s="53"/>
      <c r="FA16" s="53"/>
      <c r="FB16" s="53"/>
      <c r="FC16" s="53"/>
      <c r="FD16" s="53"/>
      <c r="FE16" s="53"/>
      <c r="FF16" s="54"/>
      <c r="FG16" s="54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4"/>
      <c r="FU16" s="54"/>
      <c r="FV16" s="53"/>
      <c r="FW16" s="53"/>
      <c r="FX16" s="53"/>
      <c r="FY16" s="53"/>
      <c r="FZ16" s="54"/>
      <c r="GA16" s="54"/>
      <c r="GB16" s="53"/>
      <c r="GC16" s="53"/>
      <c r="GD16" s="53"/>
      <c r="GE16" s="53"/>
      <c r="GF16" s="54"/>
      <c r="GG16" s="54"/>
      <c r="GH16" s="53"/>
      <c r="GI16" s="53"/>
      <c r="GJ16" s="54"/>
      <c r="GK16" s="54"/>
      <c r="GL16" s="53"/>
      <c r="GM16" s="53"/>
      <c r="GN16" s="53"/>
      <c r="GO16" s="53"/>
      <c r="GP16" s="54"/>
      <c r="GQ16" s="54"/>
      <c r="GR16" s="53"/>
      <c r="GS16" s="53"/>
      <c r="GT16" s="53"/>
      <c r="GU16" s="53"/>
      <c r="GV16" s="53"/>
      <c r="GW16" s="53"/>
      <c r="GX16" s="53"/>
      <c r="GY16" s="53"/>
      <c r="GZ16" s="54"/>
      <c r="HA16" s="54"/>
      <c r="HB16" s="53"/>
      <c r="HC16" s="53"/>
      <c r="HD16" s="54"/>
      <c r="HE16" s="54"/>
      <c r="HF16" s="55"/>
      <c r="HG16" s="55"/>
      <c r="HH16" s="55"/>
      <c r="HI16" s="55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58"/>
      <c r="HU16" s="58"/>
      <c r="HV16" s="58"/>
      <c r="HW16" s="58"/>
      <c r="HX16" s="58"/>
      <c r="HY16" s="58"/>
      <c r="HZ16" s="58"/>
      <c r="IA16" s="58"/>
      <c r="IB16" s="58"/>
      <c r="IC16" s="58"/>
      <c r="ID16" s="58"/>
      <c r="IE16" s="58"/>
      <c r="IF16" s="58"/>
      <c r="IG16" s="58"/>
    </row>
    <row r="17" customFormat="false" ht="18.75" hidden="false" customHeight="true" outlineLevel="0" collapsed="false">
      <c r="A17" s="93" t="s">
        <v>125</v>
      </c>
      <c r="B17" s="22" t="s">
        <v>126</v>
      </c>
      <c r="C17" s="22" t="s">
        <v>127</v>
      </c>
      <c r="D17" s="22" t="s">
        <v>128</v>
      </c>
      <c r="E17" s="23" t="s">
        <v>62</v>
      </c>
      <c r="F17" s="24" t="n">
        <v>12.65</v>
      </c>
      <c r="G17" s="27"/>
      <c r="H17" s="26"/>
      <c r="I17" s="25" t="n">
        <v>3.25</v>
      </c>
      <c r="J17" s="26"/>
      <c r="K17" s="25" t="n">
        <v>5.35</v>
      </c>
      <c r="L17" s="24" t="n">
        <v>2.65</v>
      </c>
      <c r="M17" s="25" t="n">
        <v>6.75</v>
      </c>
      <c r="N17" s="24" t="n">
        <v>0.75</v>
      </c>
      <c r="O17" s="25" t="n">
        <v>1</v>
      </c>
      <c r="P17" s="26"/>
      <c r="Q17" s="25" t="n">
        <v>0</v>
      </c>
      <c r="R17" s="26"/>
      <c r="S17" s="25" t="n">
        <v>0</v>
      </c>
      <c r="T17" s="24" t="n">
        <v>0</v>
      </c>
      <c r="U17" s="25" t="n">
        <v>0</v>
      </c>
      <c r="V17" s="26"/>
      <c r="W17" s="25" t="n">
        <v>0</v>
      </c>
      <c r="X17" s="26"/>
      <c r="Y17" s="25" t="n">
        <v>1.75</v>
      </c>
      <c r="Z17" s="26"/>
      <c r="AA17" s="25" t="n">
        <v>13.35</v>
      </c>
      <c r="AB17" s="24" t="n">
        <v>10.25</v>
      </c>
      <c r="AC17" s="25" t="n">
        <v>16.65</v>
      </c>
      <c r="AD17" s="24" t="n">
        <v>4.9</v>
      </c>
      <c r="AE17" s="27"/>
      <c r="AF17" s="24" t="n">
        <v>0</v>
      </c>
      <c r="AG17" s="25" t="n">
        <v>0.85</v>
      </c>
      <c r="AH17" s="24" t="n">
        <v>13.6</v>
      </c>
      <c r="AI17" s="25" t="n">
        <v>0.65</v>
      </c>
      <c r="AJ17" s="24" t="n">
        <v>1.1</v>
      </c>
      <c r="AK17" s="27"/>
      <c r="AL17" s="24" t="n">
        <v>4.5</v>
      </c>
      <c r="AM17" s="25" t="n">
        <v>12.1</v>
      </c>
      <c r="AN17" s="24"/>
      <c r="AO17" s="25" t="n">
        <v>7.25</v>
      </c>
      <c r="AP17" s="24" t="n">
        <v>2.85</v>
      </c>
      <c r="AQ17" s="25" t="n">
        <v>14.25</v>
      </c>
      <c r="AR17" s="24" t="n">
        <v>5.6</v>
      </c>
      <c r="AS17" s="25" t="n">
        <v>9.25</v>
      </c>
      <c r="AT17" s="24" t="n">
        <v>0</v>
      </c>
      <c r="AU17" s="25" t="n">
        <v>0</v>
      </c>
      <c r="AV17" s="24" t="n">
        <v>0</v>
      </c>
      <c r="AW17" s="25" t="n">
        <v>0</v>
      </c>
      <c r="AX17" s="24" t="n">
        <v>0</v>
      </c>
      <c r="AY17" s="25" t="n">
        <v>0</v>
      </c>
      <c r="AZ17" s="24" t="n">
        <v>0</v>
      </c>
      <c r="BA17" s="25" t="n">
        <v>0</v>
      </c>
      <c r="BB17" s="26" t="n">
        <v>0</v>
      </c>
      <c r="BC17" s="25" t="n">
        <v>0</v>
      </c>
      <c r="BD17" s="26" t="n">
        <v>0</v>
      </c>
      <c r="BE17" s="27" t="n">
        <v>0</v>
      </c>
      <c r="BF17" s="26" t="n">
        <v>0</v>
      </c>
      <c r="BG17" s="27" t="n">
        <v>0</v>
      </c>
      <c r="BH17" s="26" t="n">
        <v>0</v>
      </c>
      <c r="BI17" s="27" t="n">
        <v>0</v>
      </c>
      <c r="BJ17" s="26" t="n">
        <v>0</v>
      </c>
      <c r="BK17" s="27" t="n">
        <v>0</v>
      </c>
      <c r="BL17" s="26" t="n">
        <v>0</v>
      </c>
      <c r="BM17" s="27" t="n">
        <v>0</v>
      </c>
      <c r="BN17" s="26" t="n">
        <v>0</v>
      </c>
      <c r="BO17" s="27" t="n">
        <v>0</v>
      </c>
      <c r="BP17" s="26" t="n">
        <v>0</v>
      </c>
      <c r="BQ17" s="27" t="n">
        <v>0</v>
      </c>
      <c r="BR17" s="26"/>
      <c r="BS17" s="27" t="n">
        <v>15</v>
      </c>
      <c r="BT17" s="26"/>
      <c r="BU17" s="27" t="n">
        <v>20</v>
      </c>
      <c r="BV17" s="26"/>
      <c r="BW17" s="27" t="n">
        <v>15</v>
      </c>
      <c r="BX17" s="26"/>
      <c r="BY17" s="27" t="n">
        <v>15</v>
      </c>
      <c r="BZ17" s="26"/>
      <c r="CA17" s="27" t="n">
        <v>15</v>
      </c>
      <c r="CB17" s="26"/>
      <c r="CC17" s="27" t="n">
        <v>10</v>
      </c>
      <c r="CD17" s="26"/>
      <c r="CE17" s="27" t="n">
        <v>10</v>
      </c>
      <c r="CF17" s="26" t="n">
        <v>0</v>
      </c>
      <c r="CG17" s="27" t="n">
        <v>0</v>
      </c>
      <c r="CH17" s="26"/>
      <c r="CI17" s="27" t="n">
        <v>20</v>
      </c>
      <c r="CJ17" s="26"/>
      <c r="CK17" s="27" t="n">
        <v>20</v>
      </c>
      <c r="CL17" s="26" t="n">
        <v>10</v>
      </c>
      <c r="CM17" s="27" t="n">
        <v>5</v>
      </c>
      <c r="CN17" s="26" t="n">
        <v>10</v>
      </c>
      <c r="CO17" s="27" t="n">
        <v>5</v>
      </c>
      <c r="CP17" s="26"/>
      <c r="CQ17" s="27" t="n">
        <v>10</v>
      </c>
      <c r="CR17" s="26" t="n">
        <v>5</v>
      </c>
      <c r="CS17" s="27" t="n">
        <v>5</v>
      </c>
      <c r="CT17" s="26" t="n">
        <v>10</v>
      </c>
      <c r="CU17" s="27"/>
      <c r="CV17" s="26" t="n">
        <v>10</v>
      </c>
      <c r="CW17" s="27"/>
      <c r="CX17" s="26" t="n">
        <v>0</v>
      </c>
      <c r="CY17" s="27" t="n">
        <v>0</v>
      </c>
      <c r="CZ17" s="26"/>
      <c r="DA17" s="27" t="n">
        <v>5</v>
      </c>
      <c r="DB17" s="26"/>
      <c r="DC17" s="27" t="n">
        <v>0</v>
      </c>
      <c r="DD17" s="28" t="n">
        <f aca="false">SUM(F17:DC17)</f>
        <v>366.3</v>
      </c>
      <c r="DE17" s="29" t="n">
        <f aca="false">1167.15-SUM(BJ17:DC17)</f>
        <v>952.15</v>
      </c>
      <c r="DF17" s="30" t="n">
        <f aca="false">C17+DD17</f>
        <v>3045.15</v>
      </c>
      <c r="DG17" s="30" t="n">
        <f aca="false">D17+DD17</f>
        <v>6901.85</v>
      </c>
      <c r="DH17" s="26"/>
      <c r="DI17" s="27" t="n">
        <v>0</v>
      </c>
      <c r="DJ17" s="26"/>
      <c r="DK17" s="27" t="n">
        <v>0</v>
      </c>
      <c r="DL17" s="26"/>
      <c r="DM17" s="27" t="n">
        <v>5</v>
      </c>
      <c r="DN17" s="26"/>
      <c r="DO17" s="27" t="n">
        <v>5</v>
      </c>
      <c r="DP17" s="26"/>
      <c r="DQ17" s="27" t="n">
        <v>5</v>
      </c>
      <c r="DR17" s="26"/>
      <c r="DS17" s="27" t="n">
        <v>5</v>
      </c>
      <c r="DT17" s="26"/>
      <c r="DU17" s="27" t="n">
        <v>5</v>
      </c>
      <c r="DV17" s="26"/>
      <c r="DW17" s="27" t="n">
        <v>5</v>
      </c>
      <c r="DX17" s="26"/>
      <c r="DY17" s="27" t="n">
        <v>5</v>
      </c>
      <c r="DZ17" s="26"/>
      <c r="EA17" s="27" t="n">
        <v>10</v>
      </c>
      <c r="EB17" s="26"/>
      <c r="EC17" s="27" t="n">
        <v>10</v>
      </c>
      <c r="ED17" s="26"/>
      <c r="EE17" s="27" t="n">
        <v>10</v>
      </c>
      <c r="EF17" s="26"/>
      <c r="EG17" s="27" t="n">
        <v>10</v>
      </c>
      <c r="EH17" s="26"/>
      <c r="EI17" s="27" t="n">
        <v>10</v>
      </c>
      <c r="EJ17" s="26" t="n">
        <v>0</v>
      </c>
      <c r="EK17" s="27" t="n">
        <v>0</v>
      </c>
      <c r="EL17" s="26"/>
      <c r="EM17" s="27"/>
      <c r="EN17" s="26"/>
      <c r="EO17" s="27"/>
      <c r="EP17" s="26"/>
      <c r="EQ17" s="27"/>
      <c r="ER17" s="26"/>
      <c r="ES17" s="27"/>
      <c r="ET17" s="26"/>
      <c r="EU17" s="27"/>
      <c r="EV17" s="26"/>
      <c r="EW17" s="27"/>
      <c r="EX17" s="26"/>
      <c r="EY17" s="27"/>
      <c r="EZ17" s="26"/>
      <c r="FA17" s="27"/>
      <c r="FB17" s="26"/>
      <c r="FC17" s="27" t="n">
        <v>10</v>
      </c>
      <c r="FD17" s="26"/>
      <c r="FE17" s="27" t="n">
        <v>10</v>
      </c>
      <c r="FF17" s="26"/>
      <c r="FG17" s="27" t="n">
        <v>20</v>
      </c>
      <c r="FH17" s="26"/>
      <c r="FI17" s="27" t="n">
        <v>10</v>
      </c>
      <c r="FJ17" s="26"/>
      <c r="FK17" s="27" t="n">
        <v>10</v>
      </c>
      <c r="FL17" s="26"/>
      <c r="FM17" s="27" t="n">
        <v>10</v>
      </c>
      <c r="FN17" s="26"/>
      <c r="FO17" s="27" t="n">
        <v>10</v>
      </c>
      <c r="FP17" s="26"/>
      <c r="FQ17" s="27" t="n">
        <v>20</v>
      </c>
      <c r="FR17" s="26" t="n">
        <v>0</v>
      </c>
      <c r="FS17" s="27" t="n">
        <v>0</v>
      </c>
      <c r="FT17" s="26"/>
      <c r="FU17" s="27" t="n">
        <v>10</v>
      </c>
      <c r="FV17" s="26"/>
      <c r="FW17" s="27" t="n">
        <v>10</v>
      </c>
      <c r="FX17" s="26"/>
      <c r="FY17" s="27" t="n">
        <v>10</v>
      </c>
      <c r="FZ17" s="26"/>
      <c r="GA17" s="27" t="n">
        <v>10</v>
      </c>
      <c r="GB17" s="26"/>
      <c r="GC17" s="27" t="n">
        <v>10</v>
      </c>
      <c r="GD17" s="26"/>
      <c r="GE17" s="27" t="n">
        <v>10</v>
      </c>
      <c r="GF17" s="26"/>
      <c r="GG17" s="27" t="n">
        <v>10</v>
      </c>
      <c r="GH17" s="26"/>
      <c r="GI17" s="27" t="n">
        <v>15</v>
      </c>
      <c r="GJ17" s="26"/>
      <c r="GK17" s="27" t="n">
        <v>15</v>
      </c>
      <c r="GL17" s="26" t="n">
        <v>0</v>
      </c>
      <c r="GM17" s="27" t="n">
        <v>0</v>
      </c>
      <c r="GN17" s="26"/>
      <c r="GO17" s="27" t="n">
        <v>10</v>
      </c>
      <c r="GP17" s="26"/>
      <c r="GQ17" s="27" t="n">
        <v>10</v>
      </c>
      <c r="GR17" s="26"/>
      <c r="GS17" s="27" t="n">
        <v>10</v>
      </c>
      <c r="GT17" s="26"/>
      <c r="GU17" s="27" t="n">
        <v>10</v>
      </c>
      <c r="GV17" s="26"/>
      <c r="GW17" s="27" t="n">
        <v>10</v>
      </c>
      <c r="GX17" s="26"/>
      <c r="GY17" s="27" t="n">
        <v>5</v>
      </c>
      <c r="GZ17" s="26"/>
      <c r="HA17" s="27" t="n">
        <v>5</v>
      </c>
      <c r="HB17" s="26"/>
      <c r="HC17" s="27" t="n">
        <v>0</v>
      </c>
      <c r="HD17" s="26"/>
      <c r="HE17" s="27" t="n">
        <v>0</v>
      </c>
      <c r="HF17" s="28" t="n">
        <f aca="false">SUM(DH17:HE17)</f>
        <v>345</v>
      </c>
      <c r="HG17" s="29" t="n">
        <f aca="false">847-SUM(FB17:HE17)</f>
        <v>587</v>
      </c>
      <c r="HH17" s="30" t="n">
        <f aca="false">DF17+HF17</f>
        <v>3390.15</v>
      </c>
      <c r="HI17" s="31" t="n">
        <f aca="false">DG17+HF17</f>
        <v>7246.85</v>
      </c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  <c r="IG17" s="32"/>
    </row>
    <row r="18" customFormat="false" ht="45" hidden="false" customHeight="true" outlineLevel="0" collapsed="false">
      <c r="A18" s="93"/>
      <c r="B18" s="22"/>
      <c r="C18" s="22"/>
      <c r="D18" s="22"/>
      <c r="E18" s="23" t="s">
        <v>63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94" t="s">
        <v>129</v>
      </c>
      <c r="U18" s="94"/>
      <c r="V18" s="38"/>
      <c r="W18" s="38"/>
      <c r="X18" s="38"/>
      <c r="Y18" s="38"/>
      <c r="Z18" s="38"/>
      <c r="AA18" s="38"/>
      <c r="AB18" s="38"/>
      <c r="AC18" s="38"/>
      <c r="AD18" s="70"/>
      <c r="AE18" s="70"/>
      <c r="AF18" s="94" t="s">
        <v>130</v>
      </c>
      <c r="AG18" s="94"/>
      <c r="AH18" s="38"/>
      <c r="AI18" s="38"/>
      <c r="AJ18" s="38"/>
      <c r="AK18" s="38"/>
      <c r="AL18" s="38"/>
      <c r="AM18" s="38"/>
      <c r="AN18" s="70"/>
      <c r="AO18" s="70"/>
      <c r="AP18" s="39"/>
      <c r="AQ18" s="39"/>
      <c r="AR18" s="38"/>
      <c r="AS18" s="38"/>
      <c r="AT18" s="33" t="s">
        <v>131</v>
      </c>
      <c r="AU18" s="33"/>
      <c r="AV18" s="44" t="s">
        <v>132</v>
      </c>
      <c r="AW18" s="44"/>
      <c r="AX18" s="33" t="s">
        <v>133</v>
      </c>
      <c r="AY18" s="33"/>
      <c r="AZ18" s="44" t="s">
        <v>132</v>
      </c>
      <c r="BA18" s="44"/>
      <c r="BB18" s="33" t="s">
        <v>133</v>
      </c>
      <c r="BC18" s="33"/>
      <c r="BD18" s="44" t="s">
        <v>132</v>
      </c>
      <c r="BE18" s="44"/>
      <c r="BF18" s="33" t="s">
        <v>133</v>
      </c>
      <c r="BG18" s="33"/>
      <c r="BH18" s="44" t="s">
        <v>132</v>
      </c>
      <c r="BI18" s="44"/>
      <c r="BJ18" s="33" t="s">
        <v>133</v>
      </c>
      <c r="BK18" s="33"/>
      <c r="BL18" s="44" t="s">
        <v>132</v>
      </c>
      <c r="BM18" s="44"/>
      <c r="BN18" s="33" t="s">
        <v>133</v>
      </c>
      <c r="BO18" s="33"/>
      <c r="BP18" s="44" t="s">
        <v>132</v>
      </c>
      <c r="BQ18" s="44"/>
      <c r="BR18" s="38"/>
      <c r="BS18" s="38"/>
      <c r="BV18" s="37"/>
      <c r="BW18" s="37"/>
      <c r="BX18" s="37"/>
      <c r="BY18" s="37"/>
      <c r="CB18" s="95"/>
      <c r="CC18" s="95"/>
      <c r="CD18" s="36"/>
      <c r="CE18" s="36"/>
      <c r="CF18" s="33" t="s">
        <v>134</v>
      </c>
      <c r="CG18" s="33"/>
      <c r="CH18" s="36"/>
      <c r="CI18" s="36"/>
      <c r="CJ18" s="37"/>
      <c r="CK18" s="37"/>
      <c r="CL18" s="37"/>
      <c r="CM18" s="37"/>
      <c r="CN18" s="36"/>
      <c r="CO18" s="36"/>
      <c r="CP18" s="37"/>
      <c r="CQ18" s="37"/>
      <c r="CR18" s="37"/>
      <c r="CS18" s="37"/>
      <c r="CX18" s="33" t="s">
        <v>135</v>
      </c>
      <c r="CY18" s="33"/>
      <c r="CZ18" s="79"/>
      <c r="DA18" s="79"/>
      <c r="DB18" s="79"/>
      <c r="DC18" s="79"/>
      <c r="DD18" s="42"/>
      <c r="DE18" s="96" t="s">
        <v>136</v>
      </c>
      <c r="DF18" s="42"/>
      <c r="DG18" s="43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26"/>
      <c r="DS18" s="26"/>
      <c r="DT18" s="38"/>
      <c r="DU18" s="38"/>
      <c r="DV18" s="38"/>
      <c r="DW18" s="38"/>
      <c r="DZ18" s="26"/>
      <c r="EA18" s="26"/>
      <c r="EB18" s="38"/>
      <c r="EC18" s="38"/>
      <c r="ED18" s="38"/>
      <c r="EE18" s="38"/>
      <c r="EF18" s="26"/>
      <c r="EG18" s="26"/>
      <c r="EH18" s="38"/>
      <c r="EI18" s="38"/>
      <c r="EJ18" s="33" t="s">
        <v>137</v>
      </c>
      <c r="EK18" s="33"/>
      <c r="EL18" s="38"/>
      <c r="EM18" s="38"/>
      <c r="EN18" s="38"/>
      <c r="EO18" s="38"/>
      <c r="EP18" s="26"/>
      <c r="EQ18" s="26"/>
      <c r="ER18" s="38"/>
      <c r="ES18" s="38"/>
      <c r="ET18" s="38"/>
      <c r="EU18" s="38"/>
      <c r="EV18" s="38"/>
      <c r="EW18" s="38"/>
      <c r="EX18" s="38"/>
      <c r="EY18" s="38"/>
      <c r="EZ18" s="26"/>
      <c r="FA18" s="26"/>
      <c r="FB18" s="38"/>
      <c r="FC18" s="38"/>
      <c r="FD18" s="38"/>
      <c r="FE18" s="38"/>
      <c r="FF18" s="38"/>
      <c r="FG18" s="38"/>
      <c r="FH18" s="26"/>
      <c r="FI18" s="26"/>
      <c r="FJ18" s="38"/>
      <c r="FK18" s="38"/>
      <c r="FL18" s="38"/>
      <c r="FM18" s="38"/>
      <c r="FN18" s="38"/>
      <c r="FO18" s="38"/>
      <c r="FR18" s="33" t="s">
        <v>138</v>
      </c>
      <c r="FS18" s="33"/>
      <c r="FT18" s="38"/>
      <c r="FU18" s="38"/>
      <c r="FV18" s="38"/>
      <c r="FW18" s="38"/>
      <c r="FX18" s="46"/>
      <c r="FY18" s="46"/>
      <c r="FZ18" s="38"/>
      <c r="GA18" s="38"/>
      <c r="GB18" s="38"/>
      <c r="GC18" s="38"/>
      <c r="GD18" s="38"/>
      <c r="GE18" s="38"/>
      <c r="GH18" s="38"/>
      <c r="GI18" s="38"/>
      <c r="GL18" s="33" t="s">
        <v>139</v>
      </c>
      <c r="GM18" s="33"/>
      <c r="GN18" s="26"/>
      <c r="GO18" s="26"/>
      <c r="GP18" s="38"/>
      <c r="GQ18" s="38"/>
      <c r="GR18" s="38"/>
      <c r="GS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97"/>
      <c r="HG18" s="98" t="s">
        <v>140</v>
      </c>
      <c r="HH18" s="33" t="s">
        <v>141</v>
      </c>
      <c r="HI18" s="33"/>
      <c r="HJ18" s="47"/>
      <c r="HK18" s="47"/>
      <c r="HL18" s="47"/>
      <c r="HM18" s="47"/>
      <c r="HN18" s="47"/>
      <c r="HO18" s="47"/>
      <c r="HP18" s="48"/>
      <c r="HQ18" s="48"/>
      <c r="HR18" s="47"/>
      <c r="HS18" s="47"/>
      <c r="HT18" s="47"/>
      <c r="HU18" s="47"/>
      <c r="HV18" s="47"/>
      <c r="HW18" s="47"/>
      <c r="HX18" s="48"/>
      <c r="HY18" s="48"/>
      <c r="HZ18" s="47"/>
      <c r="IA18" s="47"/>
      <c r="IB18" s="47"/>
      <c r="IC18" s="47"/>
      <c r="ID18" s="48"/>
      <c r="IE18" s="48"/>
      <c r="IF18" s="47"/>
      <c r="IG18" s="47"/>
    </row>
    <row r="19" customFormat="false" ht="15" hidden="false" customHeight="true" outlineLevel="0" collapsed="false">
      <c r="A19" s="93"/>
      <c r="B19" s="22"/>
      <c r="C19" s="22"/>
      <c r="D19" s="22"/>
      <c r="E19" s="23" t="s">
        <v>78</v>
      </c>
      <c r="F19" s="57"/>
      <c r="G19" s="57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7"/>
      <c r="S19" s="57"/>
      <c r="T19" s="53"/>
      <c r="U19" s="53"/>
      <c r="V19" s="53"/>
      <c r="W19" s="53"/>
      <c r="X19" s="57"/>
      <c r="Y19" s="57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7"/>
      <c r="AK19" s="57"/>
      <c r="AL19" s="53"/>
      <c r="AM19" s="53"/>
      <c r="AN19" s="53"/>
      <c r="AO19" s="53"/>
      <c r="AP19" s="57"/>
      <c r="AQ19" s="57"/>
      <c r="AR19" s="53"/>
      <c r="AS19" s="53"/>
      <c r="AT19" s="92" t="s">
        <v>142</v>
      </c>
      <c r="AU19" s="92"/>
      <c r="AV19" s="92"/>
      <c r="AW19" s="92"/>
      <c r="AX19" s="57"/>
      <c r="AY19" s="57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7"/>
      <c r="BK19" s="57"/>
      <c r="BL19" s="53"/>
      <c r="BM19" s="53"/>
      <c r="BN19" s="53"/>
      <c r="BO19" s="53"/>
      <c r="BP19" s="53"/>
      <c r="BQ19" s="53"/>
      <c r="BR19" s="57"/>
      <c r="BS19" s="57"/>
      <c r="BT19" s="53"/>
      <c r="BU19" s="53"/>
      <c r="BV19" s="53"/>
      <c r="BW19" s="53"/>
      <c r="BX19" s="57"/>
      <c r="BY19" s="57"/>
      <c r="BZ19" s="53"/>
      <c r="CA19" s="53"/>
      <c r="CB19" s="53"/>
      <c r="CC19" s="53"/>
      <c r="CD19" s="57"/>
      <c r="CE19" s="57"/>
      <c r="CF19" s="53"/>
      <c r="CG19" s="53"/>
      <c r="CH19" s="53"/>
      <c r="CI19" s="53"/>
      <c r="CJ19" s="57"/>
      <c r="CK19" s="57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7"/>
      <c r="CY19" s="57"/>
      <c r="CZ19" s="53"/>
      <c r="DA19" s="53"/>
      <c r="DB19" s="57"/>
      <c r="DC19" s="57"/>
      <c r="DD19" s="55"/>
      <c r="DE19" s="55"/>
      <c r="DF19" s="55"/>
      <c r="DG19" s="55"/>
      <c r="DH19" s="57"/>
      <c r="DI19" s="57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7"/>
      <c r="DU19" s="57"/>
      <c r="DV19" s="53"/>
      <c r="DW19" s="53"/>
      <c r="DX19" s="53"/>
      <c r="DY19" s="53"/>
      <c r="DZ19" s="57"/>
      <c r="EA19" s="57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7"/>
      <c r="EM19" s="57"/>
      <c r="EN19" s="53"/>
      <c r="EO19" s="53"/>
      <c r="EP19" s="53"/>
      <c r="EQ19" s="53"/>
      <c r="ER19" s="57"/>
      <c r="ES19" s="57"/>
      <c r="ET19" s="53"/>
      <c r="EU19" s="53"/>
      <c r="EV19" s="53"/>
      <c r="EW19" s="53"/>
      <c r="EX19" s="53"/>
      <c r="EY19" s="53"/>
      <c r="EZ19" s="57"/>
      <c r="FA19" s="57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7"/>
      <c r="FM19" s="57"/>
      <c r="FN19" s="53"/>
      <c r="FO19" s="53"/>
      <c r="FP19" s="53"/>
      <c r="FQ19" s="53"/>
      <c r="FR19" s="53"/>
      <c r="FS19" s="53"/>
      <c r="FT19" s="57"/>
      <c r="FU19" s="57"/>
      <c r="FV19" s="53"/>
      <c r="FW19" s="53"/>
      <c r="FX19" s="53"/>
      <c r="FY19" s="53"/>
      <c r="FZ19" s="57"/>
      <c r="GA19" s="57"/>
      <c r="GB19" s="53"/>
      <c r="GC19" s="53"/>
      <c r="GD19" s="53"/>
      <c r="GE19" s="53"/>
      <c r="GF19" s="57"/>
      <c r="GG19" s="57"/>
      <c r="GH19" s="53"/>
      <c r="GI19" s="53"/>
      <c r="GJ19" s="53"/>
      <c r="GK19" s="53"/>
      <c r="GL19" s="57"/>
      <c r="GM19" s="57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7"/>
      <c r="HA19" s="57"/>
      <c r="HB19" s="53"/>
      <c r="HC19" s="53"/>
      <c r="HD19" s="57"/>
      <c r="HE19" s="57"/>
      <c r="HF19" s="55"/>
      <c r="HG19" s="55"/>
      <c r="HH19" s="55"/>
      <c r="HI19" s="55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8"/>
      <c r="IC19" s="58"/>
      <c r="ID19" s="58"/>
      <c r="IE19" s="58"/>
      <c r="IF19" s="58"/>
      <c r="IG19" s="58"/>
    </row>
    <row r="20" customFormat="false" ht="19.5" hidden="false" customHeight="true" outlineLevel="0" collapsed="false">
      <c r="A20" s="99" t="s">
        <v>143</v>
      </c>
      <c r="B20" s="60" t="s">
        <v>144</v>
      </c>
      <c r="C20" s="60" t="s">
        <v>145</v>
      </c>
      <c r="D20" s="60" t="s">
        <v>146</v>
      </c>
      <c r="E20" s="61" t="s">
        <v>62</v>
      </c>
      <c r="F20" s="26"/>
      <c r="G20" s="27"/>
      <c r="H20" s="26"/>
      <c r="I20" s="27"/>
      <c r="J20" s="26"/>
      <c r="K20" s="27"/>
      <c r="L20" s="26"/>
      <c r="M20" s="25" t="n">
        <v>7.65</v>
      </c>
      <c r="N20" s="24" t="n">
        <v>0</v>
      </c>
      <c r="O20" s="25" t="n">
        <v>0</v>
      </c>
      <c r="P20" s="24" t="n">
        <v>0</v>
      </c>
      <c r="Q20" s="25" t="n">
        <v>0</v>
      </c>
      <c r="R20" s="24" t="n">
        <v>0</v>
      </c>
      <c r="S20" s="25" t="n">
        <v>0</v>
      </c>
      <c r="T20" s="24" t="n">
        <v>0</v>
      </c>
      <c r="U20" s="25" t="n">
        <v>0</v>
      </c>
      <c r="V20" s="24" t="n">
        <v>0</v>
      </c>
      <c r="W20" s="25" t="n">
        <v>0</v>
      </c>
      <c r="X20" s="24" t="n">
        <v>0</v>
      </c>
      <c r="Y20" s="25" t="n">
        <v>0</v>
      </c>
      <c r="Z20" s="24" t="n">
        <v>0</v>
      </c>
      <c r="AA20" s="25" t="n">
        <v>0</v>
      </c>
      <c r="AB20" s="24" t="n">
        <v>0</v>
      </c>
      <c r="AC20" s="25" t="n">
        <v>0</v>
      </c>
      <c r="AD20" s="24" t="n">
        <v>0</v>
      </c>
      <c r="AE20" s="100" t="n">
        <v>0</v>
      </c>
      <c r="AF20" s="26"/>
      <c r="AG20" s="25" t="n">
        <v>3.25</v>
      </c>
      <c r="AH20" s="24" t="n">
        <v>0.35</v>
      </c>
      <c r="AI20" s="27"/>
      <c r="AJ20" s="26"/>
      <c r="AK20" s="25" t="n">
        <v>0</v>
      </c>
      <c r="AL20" s="26"/>
      <c r="AM20" s="25" t="n">
        <v>2.75</v>
      </c>
      <c r="AN20" s="24" t="n">
        <v>3.5</v>
      </c>
      <c r="AO20" s="25" t="n">
        <v>14.85</v>
      </c>
      <c r="AP20" s="26"/>
      <c r="AQ20" s="25" t="n">
        <v>2.1</v>
      </c>
      <c r="AR20" s="24" t="n">
        <v>0.6</v>
      </c>
      <c r="AS20" s="25" t="n">
        <v>34.9</v>
      </c>
      <c r="AT20" s="24" t="n">
        <v>0.65</v>
      </c>
      <c r="AU20" s="25" t="n">
        <v>17.65</v>
      </c>
      <c r="AV20" s="26"/>
      <c r="AW20" s="25" t="n">
        <v>3.35</v>
      </c>
      <c r="AX20" s="24" t="n">
        <v>4.85</v>
      </c>
      <c r="AY20" s="27"/>
      <c r="AZ20" s="24" t="n">
        <v>0</v>
      </c>
      <c r="BA20" s="25" t="n">
        <v>0</v>
      </c>
      <c r="BB20" s="26"/>
      <c r="BC20" s="25" t="n">
        <v>1</v>
      </c>
      <c r="BD20" s="26"/>
      <c r="BE20" s="27" t="n">
        <v>30</v>
      </c>
      <c r="BF20" s="26"/>
      <c r="BG20" s="27" t="n">
        <v>24</v>
      </c>
      <c r="BH20" s="26"/>
      <c r="BI20" s="27" t="n">
        <v>20</v>
      </c>
      <c r="BJ20" s="26"/>
      <c r="BK20" s="27" t="n">
        <v>20</v>
      </c>
      <c r="BL20" s="26" t="n">
        <v>0</v>
      </c>
      <c r="BM20" s="27" t="n">
        <v>0</v>
      </c>
      <c r="BN20" s="26"/>
      <c r="BO20" s="27" t="n">
        <v>15</v>
      </c>
      <c r="BP20" s="26"/>
      <c r="BQ20" s="27" t="n">
        <v>20</v>
      </c>
      <c r="BR20" s="26"/>
      <c r="BS20" s="27" t="n">
        <v>20</v>
      </c>
      <c r="BT20" s="26"/>
      <c r="BU20" s="27" t="n">
        <v>20</v>
      </c>
      <c r="BV20" s="26"/>
      <c r="BW20" s="27" t="n">
        <v>15</v>
      </c>
      <c r="BX20" s="26"/>
      <c r="BY20" s="27" t="n">
        <v>10</v>
      </c>
      <c r="BZ20" s="26" t="n">
        <v>0</v>
      </c>
      <c r="CA20" s="27" t="n">
        <v>0</v>
      </c>
      <c r="CB20" s="26"/>
      <c r="CC20" s="27" t="n">
        <v>10</v>
      </c>
      <c r="CD20" s="26"/>
      <c r="CE20" s="27" t="n">
        <v>10</v>
      </c>
      <c r="CF20" s="26"/>
      <c r="CG20" s="27" t="n">
        <v>10</v>
      </c>
      <c r="CH20" s="26"/>
      <c r="CI20" s="27" t="n">
        <v>10</v>
      </c>
      <c r="CJ20" s="26"/>
      <c r="CK20" s="27" t="n">
        <v>10</v>
      </c>
      <c r="CL20" s="26"/>
      <c r="CM20" s="27" t="n">
        <v>10</v>
      </c>
      <c r="CN20" s="26"/>
      <c r="CO20" s="27" t="n">
        <v>10</v>
      </c>
      <c r="CP20" s="26"/>
      <c r="CQ20" s="27" t="n">
        <v>10</v>
      </c>
      <c r="CR20" s="26"/>
      <c r="CS20" s="27" t="n">
        <v>10</v>
      </c>
      <c r="CT20" s="26"/>
      <c r="CU20" s="27" t="n">
        <v>5</v>
      </c>
      <c r="CV20" s="26"/>
      <c r="CW20" s="27" t="n">
        <v>5</v>
      </c>
      <c r="CX20" s="26"/>
      <c r="CY20" s="27" t="n">
        <v>5</v>
      </c>
      <c r="CZ20" s="26" t="n">
        <v>0</v>
      </c>
      <c r="DA20" s="27" t="n">
        <v>0</v>
      </c>
      <c r="DB20" s="26"/>
      <c r="DC20" s="27" t="n">
        <v>0</v>
      </c>
      <c r="DD20" s="28" t="n">
        <f aca="false">SUM(F20:DC20)</f>
        <v>396.45</v>
      </c>
      <c r="DE20" s="29" t="n">
        <f aca="false">B20-DD20</f>
        <v>510.05</v>
      </c>
      <c r="DF20" s="30" t="n">
        <f aca="false">C20+DD20</f>
        <v>2490.45</v>
      </c>
      <c r="DG20" s="30" t="n">
        <f aca="false">D20+DD20</f>
        <v>13142.6</v>
      </c>
      <c r="DH20" s="26"/>
      <c r="DI20" s="27" t="n">
        <v>5</v>
      </c>
      <c r="DJ20" s="26"/>
      <c r="DK20" s="27" t="n">
        <v>5</v>
      </c>
      <c r="DL20" s="26"/>
      <c r="DM20" s="27" t="n">
        <v>10</v>
      </c>
      <c r="DN20" s="26"/>
      <c r="DO20" s="27" t="n">
        <v>5</v>
      </c>
      <c r="DP20" s="26"/>
      <c r="DQ20" s="27" t="n">
        <v>5</v>
      </c>
      <c r="DR20" s="26"/>
      <c r="DS20" s="27" t="n">
        <v>10</v>
      </c>
      <c r="DT20" s="26"/>
      <c r="DU20" s="27" t="n">
        <v>10</v>
      </c>
      <c r="DV20" s="26"/>
      <c r="DW20" s="27" t="n">
        <v>10</v>
      </c>
      <c r="DX20" s="26"/>
      <c r="DY20" s="27" t="n">
        <v>15</v>
      </c>
      <c r="DZ20" s="26"/>
      <c r="EA20" s="27" t="n">
        <v>15</v>
      </c>
      <c r="EB20" s="26"/>
      <c r="EC20" s="27" t="n">
        <v>10</v>
      </c>
      <c r="ED20" s="26" t="n">
        <v>0</v>
      </c>
      <c r="EE20" s="27" t="n">
        <v>0</v>
      </c>
      <c r="EF20" s="26" t="n">
        <v>0</v>
      </c>
      <c r="EG20" s="101" t="n">
        <v>0</v>
      </c>
      <c r="EH20" s="26"/>
      <c r="EI20" s="27" t="n">
        <v>10</v>
      </c>
      <c r="EJ20" s="26"/>
      <c r="EK20" s="27" t="n">
        <v>10</v>
      </c>
      <c r="EL20" s="26"/>
      <c r="EM20" s="27" t="n">
        <v>10</v>
      </c>
      <c r="EN20" s="26"/>
      <c r="EO20" s="27" t="n">
        <v>10</v>
      </c>
      <c r="EP20" s="26"/>
      <c r="EQ20" s="27" t="n">
        <v>15</v>
      </c>
      <c r="ER20" s="26"/>
      <c r="ES20" s="27" t="n">
        <v>15</v>
      </c>
      <c r="ET20" s="26"/>
      <c r="EU20" s="27" t="n">
        <v>15</v>
      </c>
      <c r="EV20" s="26"/>
      <c r="EW20" s="27" t="n">
        <v>15</v>
      </c>
      <c r="EX20" s="26" t="n">
        <v>0</v>
      </c>
      <c r="EY20" s="27" t="n">
        <v>0</v>
      </c>
      <c r="EZ20" s="26"/>
      <c r="FA20" s="27" t="n">
        <v>15</v>
      </c>
      <c r="FB20" s="26"/>
      <c r="FC20" s="27" t="n">
        <v>10</v>
      </c>
      <c r="FD20" s="26"/>
      <c r="FE20" s="27" t="n">
        <v>10</v>
      </c>
      <c r="FF20" s="26"/>
      <c r="FG20" s="27" t="n">
        <v>15</v>
      </c>
      <c r="FH20" s="26"/>
      <c r="FI20" s="27" t="n">
        <v>15</v>
      </c>
      <c r="FJ20" s="26"/>
      <c r="FK20" s="27" t="n">
        <v>15</v>
      </c>
      <c r="FL20" s="26"/>
      <c r="FM20" s="27" t="n">
        <v>10</v>
      </c>
      <c r="FN20" s="26"/>
      <c r="FO20" s="27" t="n">
        <v>10</v>
      </c>
      <c r="FP20" s="26" t="n">
        <v>0</v>
      </c>
      <c r="FQ20" s="27" t="n">
        <v>0</v>
      </c>
      <c r="FR20" s="26"/>
      <c r="FS20" s="27" t="n">
        <v>15</v>
      </c>
      <c r="FT20" s="26"/>
      <c r="FU20" s="27" t="n">
        <v>10</v>
      </c>
      <c r="FV20" s="26"/>
      <c r="FW20" s="27" t="n">
        <v>15</v>
      </c>
      <c r="FX20" s="26"/>
      <c r="FY20" s="27" t="n">
        <v>10</v>
      </c>
      <c r="FZ20" s="26"/>
      <c r="GA20" s="27" t="n">
        <v>10</v>
      </c>
      <c r="GB20" s="26"/>
      <c r="GC20" s="27" t="n">
        <v>20</v>
      </c>
      <c r="GD20" s="26"/>
      <c r="GE20" s="27" t="n">
        <v>10</v>
      </c>
      <c r="GF20" s="26"/>
      <c r="GG20" s="27" t="n">
        <v>10</v>
      </c>
      <c r="GH20" s="26" t="n">
        <v>0</v>
      </c>
      <c r="GI20" s="27" t="n">
        <v>0</v>
      </c>
      <c r="GJ20" s="26"/>
      <c r="GK20" s="27" t="n">
        <v>15</v>
      </c>
      <c r="GL20" s="26"/>
      <c r="GM20" s="27" t="n">
        <v>15</v>
      </c>
      <c r="GN20" s="26"/>
      <c r="GO20" s="27" t="n">
        <v>10</v>
      </c>
      <c r="GP20" s="26"/>
      <c r="GQ20" s="27" t="n">
        <v>10</v>
      </c>
      <c r="GR20" s="26"/>
      <c r="GS20" s="27" t="n">
        <v>10</v>
      </c>
      <c r="GT20" s="26"/>
      <c r="GU20" s="27" t="n">
        <v>10</v>
      </c>
      <c r="GV20" s="26"/>
      <c r="GW20" s="27" t="n">
        <v>5</v>
      </c>
      <c r="GX20" s="26"/>
      <c r="GY20" s="27" t="n">
        <v>5</v>
      </c>
      <c r="GZ20" s="26"/>
      <c r="HA20" s="27" t="n">
        <v>0</v>
      </c>
      <c r="HB20" s="26"/>
      <c r="HC20" s="27" t="n">
        <v>0</v>
      </c>
      <c r="HD20" s="26"/>
      <c r="HE20" s="27" t="n">
        <v>0</v>
      </c>
      <c r="HF20" s="28" t="n">
        <f aca="false">SUM(DH20:HE20)</f>
        <v>480</v>
      </c>
      <c r="HG20" s="29" t="n">
        <f aca="false">DE20-HF20</f>
        <v>30.0500000000001</v>
      </c>
      <c r="HH20" s="30" t="n">
        <f aca="false">DF20+HF20</f>
        <v>2970.45</v>
      </c>
      <c r="HI20" s="31" t="n">
        <f aca="false">DG20+HF20</f>
        <v>13622.6</v>
      </c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</row>
    <row r="21" customFormat="false" ht="45" hidden="false" customHeight="true" outlineLevel="0" collapsed="false">
      <c r="A21" s="99"/>
      <c r="B21" s="99"/>
      <c r="C21" s="99"/>
      <c r="D21" s="99"/>
      <c r="E21" s="61" t="s">
        <v>63</v>
      </c>
      <c r="F21" s="102" t="s">
        <v>147</v>
      </c>
      <c r="G21" s="102"/>
      <c r="H21" s="102"/>
      <c r="I21" s="102"/>
      <c r="J21" s="102"/>
      <c r="K21" s="102"/>
      <c r="L21" s="33" t="s">
        <v>148</v>
      </c>
      <c r="M21" s="33"/>
      <c r="N21" s="33" t="s">
        <v>148</v>
      </c>
      <c r="O21" s="33"/>
      <c r="P21" s="33" t="s">
        <v>148</v>
      </c>
      <c r="Q21" s="33"/>
      <c r="R21" s="33" t="s">
        <v>148</v>
      </c>
      <c r="S21" s="33"/>
      <c r="T21" s="33" t="s">
        <v>148</v>
      </c>
      <c r="U21" s="33"/>
      <c r="V21" s="33" t="s">
        <v>148</v>
      </c>
      <c r="W21" s="33"/>
      <c r="X21" s="33" t="s">
        <v>148</v>
      </c>
      <c r="Y21" s="33"/>
      <c r="Z21" s="33" t="s">
        <v>148</v>
      </c>
      <c r="AA21" s="33"/>
      <c r="AB21" s="33" t="s">
        <v>148</v>
      </c>
      <c r="AC21" s="33"/>
      <c r="AD21" s="38"/>
      <c r="AE21" s="38"/>
      <c r="AF21" s="38"/>
      <c r="AG21" s="38"/>
      <c r="AH21" s="38"/>
      <c r="AI21" s="38"/>
      <c r="AJ21" s="38"/>
      <c r="AK21" s="38"/>
      <c r="AL21" s="26"/>
      <c r="AM21" s="26"/>
      <c r="AN21" s="26"/>
      <c r="AO21" s="26"/>
      <c r="AP21" s="38"/>
      <c r="AQ21" s="38"/>
      <c r="AR21" s="26"/>
      <c r="AS21" s="26"/>
      <c r="AT21" s="37"/>
      <c r="AU21" s="37"/>
      <c r="AV21" s="37"/>
      <c r="AW21" s="37"/>
      <c r="AZ21" s="33" t="s">
        <v>149</v>
      </c>
      <c r="BA21" s="33"/>
      <c r="BB21" s="38"/>
      <c r="BC21" s="38"/>
      <c r="BD21" s="38"/>
      <c r="BE21" s="38"/>
      <c r="BF21" s="26"/>
      <c r="BG21" s="26"/>
      <c r="BH21" s="38"/>
      <c r="BI21" s="38"/>
      <c r="BL21" s="33" t="s">
        <v>150</v>
      </c>
      <c r="BM21" s="33"/>
      <c r="BN21" s="38"/>
      <c r="BO21" s="38"/>
      <c r="BP21" s="38"/>
      <c r="BQ21" s="38"/>
      <c r="BR21" s="38"/>
      <c r="BS21" s="38"/>
      <c r="BT21" s="38"/>
      <c r="BU21" s="38"/>
      <c r="BV21" s="26"/>
      <c r="BW21" s="26"/>
      <c r="BX21" s="38"/>
      <c r="BY21" s="38"/>
      <c r="BZ21" s="33" t="s">
        <v>151</v>
      </c>
      <c r="CA21" s="33"/>
      <c r="CD21" s="36"/>
      <c r="CE21" s="36"/>
      <c r="CF21" s="37"/>
      <c r="CG21" s="37"/>
      <c r="CH21" s="37"/>
      <c r="CI21" s="37"/>
      <c r="CJ21" s="38"/>
      <c r="CK21" s="38"/>
      <c r="CL21" s="70"/>
      <c r="CM21" s="70"/>
      <c r="CN21" s="70"/>
      <c r="CO21" s="70"/>
      <c r="CP21" s="38"/>
      <c r="CQ21" s="38"/>
      <c r="CR21" s="70"/>
      <c r="CS21" s="70"/>
      <c r="CT21" s="37"/>
      <c r="CU21" s="37"/>
      <c r="CV21" s="37"/>
      <c r="CW21" s="37"/>
      <c r="CZ21" s="33" t="s">
        <v>152</v>
      </c>
      <c r="DA21" s="33"/>
      <c r="DB21" s="37"/>
      <c r="DC21" s="37"/>
      <c r="DD21" s="42"/>
      <c r="DE21" s="43"/>
      <c r="DF21" s="42"/>
      <c r="DG21" s="43"/>
      <c r="DH21" s="38"/>
      <c r="DI21" s="38"/>
      <c r="DJ21" s="38"/>
      <c r="DK21" s="38"/>
      <c r="DL21" s="38"/>
      <c r="DM21" s="38"/>
      <c r="DN21" s="26"/>
      <c r="DO21" s="26"/>
      <c r="DP21" s="38"/>
      <c r="DQ21" s="38"/>
      <c r="DR21" s="38"/>
      <c r="DS21" s="38"/>
      <c r="DT21" s="38"/>
      <c r="DU21" s="38"/>
      <c r="DV21" s="26"/>
      <c r="DW21" s="26"/>
      <c r="DX21" s="38"/>
      <c r="DY21" s="38"/>
      <c r="DZ21" s="38"/>
      <c r="EA21" s="38"/>
      <c r="EB21" s="26"/>
      <c r="EC21" s="26"/>
      <c r="ED21" s="33" t="s">
        <v>153</v>
      </c>
      <c r="EE21" s="33"/>
      <c r="EF21" s="33" t="s">
        <v>153</v>
      </c>
      <c r="EG21" s="33"/>
      <c r="EH21" s="38"/>
      <c r="EI21" s="38"/>
      <c r="EJ21" s="26"/>
      <c r="EK21" s="26"/>
      <c r="EL21" s="38"/>
      <c r="EM21" s="38"/>
      <c r="EN21" s="38"/>
      <c r="EO21" s="38"/>
      <c r="EP21" s="26"/>
      <c r="EQ21" s="26"/>
      <c r="ER21" s="38"/>
      <c r="ES21" s="38"/>
      <c r="ET21" s="38"/>
      <c r="EU21" s="38"/>
      <c r="EX21" s="33" t="s">
        <v>154</v>
      </c>
      <c r="EY21" s="33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3" t="s">
        <v>155</v>
      </c>
      <c r="FQ21" s="33"/>
      <c r="FR21" s="38"/>
      <c r="FS21" s="38"/>
      <c r="FT21" s="38"/>
      <c r="FU21" s="38"/>
      <c r="FV21" s="38"/>
      <c r="FW21" s="38"/>
      <c r="FX21" s="26"/>
      <c r="FY21" s="26"/>
      <c r="FZ21" s="38"/>
      <c r="GA21" s="38"/>
      <c r="GB21" s="38"/>
      <c r="GC21" s="38"/>
      <c r="GD21" s="38"/>
      <c r="GE21" s="38"/>
      <c r="GF21" s="26"/>
      <c r="GG21" s="26"/>
      <c r="GH21" s="33" t="s">
        <v>156</v>
      </c>
      <c r="GI21" s="33"/>
      <c r="GJ21" s="38"/>
      <c r="GK21" s="38"/>
      <c r="GL21" s="26"/>
      <c r="GM21" s="26"/>
      <c r="GN21" s="38"/>
      <c r="GO21" s="38"/>
      <c r="GP21" s="45"/>
      <c r="GQ21" s="45"/>
      <c r="GR21" s="38"/>
      <c r="GS21" s="38"/>
      <c r="GT21" s="26"/>
      <c r="GU21" s="26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46"/>
      <c r="HI21" s="46"/>
      <c r="HJ21" s="47"/>
      <c r="HK21" s="47"/>
      <c r="HL21" s="47"/>
      <c r="HM21" s="47"/>
      <c r="HN21" s="47"/>
      <c r="HO21" s="47"/>
      <c r="HP21" s="48"/>
      <c r="HQ21" s="48"/>
      <c r="HR21" s="47"/>
      <c r="HS21" s="47"/>
      <c r="HT21" s="47"/>
      <c r="HU21" s="47"/>
      <c r="HV21" s="47"/>
      <c r="HW21" s="47"/>
      <c r="HX21" s="48"/>
      <c r="HY21" s="48"/>
      <c r="HZ21" s="47"/>
      <c r="IA21" s="47"/>
      <c r="IB21" s="47"/>
      <c r="IC21" s="47"/>
      <c r="ID21" s="48"/>
      <c r="IE21" s="48"/>
      <c r="IF21" s="47"/>
      <c r="IG21" s="47"/>
    </row>
    <row r="22" customFormat="false" ht="15" hidden="false" customHeight="true" outlineLevel="0" collapsed="false">
      <c r="A22" s="99"/>
      <c r="B22" s="99"/>
      <c r="C22" s="99"/>
      <c r="D22" s="99"/>
      <c r="E22" s="61" t="s">
        <v>78</v>
      </c>
      <c r="F22" s="103"/>
      <c r="G22" s="103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103"/>
      <c r="S22" s="103"/>
      <c r="T22" s="46"/>
      <c r="U22" s="46"/>
      <c r="V22" s="46"/>
      <c r="W22" s="46"/>
      <c r="X22" s="103"/>
      <c r="Y22" s="103"/>
      <c r="Z22" s="46"/>
      <c r="AA22" s="46"/>
      <c r="AB22" s="46"/>
      <c r="AC22" s="46"/>
      <c r="AD22" s="82" t="s">
        <v>157</v>
      </c>
      <c r="AE22" s="82"/>
      <c r="AF22" s="46"/>
      <c r="AG22" s="46"/>
      <c r="AH22" s="46"/>
      <c r="AI22" s="46"/>
      <c r="AJ22" s="103"/>
      <c r="AK22" s="103"/>
      <c r="AL22" s="46"/>
      <c r="AM22" s="46"/>
      <c r="AN22" s="46"/>
      <c r="AO22" s="46"/>
      <c r="AP22" s="103"/>
      <c r="AQ22" s="103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104" t="s">
        <v>158</v>
      </c>
      <c r="BC22" s="104"/>
      <c r="BD22" s="46"/>
      <c r="BE22" s="46"/>
      <c r="BF22" s="46"/>
      <c r="BG22" s="46"/>
      <c r="BH22" s="103"/>
      <c r="BI22" s="103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103"/>
      <c r="BU22" s="103"/>
      <c r="BV22" s="46"/>
      <c r="BW22" s="46"/>
      <c r="BX22" s="46"/>
      <c r="BY22" s="46"/>
      <c r="BZ22" s="103"/>
      <c r="CA22" s="103"/>
      <c r="CB22" s="46"/>
      <c r="CC22" s="46"/>
      <c r="CD22" s="46"/>
      <c r="CE22" s="46"/>
      <c r="CF22" s="46"/>
      <c r="CG22" s="46"/>
      <c r="CH22" s="46"/>
      <c r="CI22" s="46"/>
      <c r="CJ22" s="46"/>
      <c r="CK22" s="46"/>
      <c r="CL22" s="103"/>
      <c r="CM22" s="103"/>
      <c r="CN22" s="46"/>
      <c r="CO22" s="46"/>
      <c r="CP22" s="46"/>
      <c r="CQ22" s="46"/>
      <c r="CR22" s="103"/>
      <c r="CS22" s="103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105"/>
      <c r="DE22" s="105"/>
      <c r="DF22" s="105"/>
      <c r="DG22" s="105"/>
      <c r="DH22" s="103"/>
      <c r="DI22" s="103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103"/>
      <c r="DU22" s="103"/>
      <c r="DV22" s="46"/>
      <c r="DW22" s="46"/>
      <c r="DX22" s="46"/>
      <c r="DY22" s="46"/>
      <c r="DZ22" s="103"/>
      <c r="EA22" s="103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103"/>
      <c r="EM22" s="103"/>
      <c r="EN22" s="46"/>
      <c r="EO22" s="46"/>
      <c r="EP22" s="46"/>
      <c r="EQ22" s="46"/>
      <c r="ER22" s="103"/>
      <c r="ES22" s="103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103"/>
      <c r="FE22" s="103"/>
      <c r="FF22" s="46"/>
      <c r="FG22" s="46"/>
      <c r="FH22" s="46"/>
      <c r="FI22" s="46"/>
      <c r="FJ22" s="103"/>
      <c r="FK22" s="103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103"/>
      <c r="FW22" s="103"/>
      <c r="FX22" s="46"/>
      <c r="FY22" s="46"/>
      <c r="FZ22" s="46"/>
      <c r="GA22" s="46"/>
      <c r="GB22" s="103"/>
      <c r="GC22" s="103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103"/>
      <c r="GO22" s="103"/>
      <c r="GP22" s="46"/>
      <c r="GQ22" s="46"/>
      <c r="GR22" s="46"/>
      <c r="GS22" s="46"/>
      <c r="GT22" s="103"/>
      <c r="GU22" s="103"/>
      <c r="GV22" s="46"/>
      <c r="GW22" s="46"/>
      <c r="GX22" s="46"/>
      <c r="GY22" s="46"/>
      <c r="GZ22" s="46"/>
      <c r="HA22" s="46"/>
      <c r="HB22" s="46"/>
      <c r="HC22" s="46"/>
      <c r="HD22" s="46"/>
      <c r="HE22" s="46"/>
      <c r="HF22" s="105"/>
      <c r="HG22" s="105"/>
      <c r="HH22" s="105"/>
      <c r="HI22" s="105"/>
      <c r="HJ22" s="105"/>
      <c r="HK22" s="105"/>
      <c r="HL22" s="105"/>
      <c r="HM22" s="105"/>
      <c r="HN22" s="105"/>
      <c r="HO22" s="105"/>
      <c r="HP22" s="105"/>
      <c r="HQ22" s="105"/>
      <c r="HR22" s="105"/>
      <c r="HS22" s="105"/>
      <c r="HT22" s="105"/>
      <c r="HU22" s="105"/>
      <c r="HV22" s="105"/>
      <c r="HW22" s="105"/>
      <c r="HX22" s="105"/>
      <c r="HY22" s="105"/>
      <c r="HZ22" s="105"/>
      <c r="IA22" s="105"/>
      <c r="IB22" s="105"/>
      <c r="IC22" s="105"/>
      <c r="ID22" s="105"/>
      <c r="IE22" s="105"/>
      <c r="IF22" s="105"/>
      <c r="IG22" s="105"/>
    </row>
    <row r="23" customFormat="false" ht="19.5" hidden="false" customHeight="true" outlineLevel="0" collapsed="false">
      <c r="A23" s="99" t="s">
        <v>159</v>
      </c>
      <c r="B23" s="60" t="s">
        <v>160</v>
      </c>
      <c r="C23" s="60" t="s">
        <v>161</v>
      </c>
      <c r="D23" s="60" t="s">
        <v>162</v>
      </c>
      <c r="E23" s="61" t="s">
        <v>62</v>
      </c>
      <c r="F23" s="26"/>
      <c r="G23" s="27"/>
      <c r="H23" s="26"/>
      <c r="I23" s="27"/>
      <c r="J23" s="26"/>
      <c r="K23" s="27"/>
      <c r="L23" s="26"/>
      <c r="M23" s="25"/>
      <c r="N23" s="24"/>
      <c r="O23" s="25"/>
      <c r="P23" s="24"/>
      <c r="Q23" s="25"/>
      <c r="R23" s="24"/>
      <c r="S23" s="25"/>
      <c r="T23" s="24"/>
      <c r="U23" s="25"/>
      <c r="V23" s="24"/>
      <c r="W23" s="25"/>
      <c r="X23" s="24"/>
      <c r="Y23" s="25"/>
      <c r="Z23" s="24"/>
      <c r="AA23" s="25"/>
      <c r="AB23" s="24"/>
      <c r="AC23" s="25"/>
      <c r="AD23" s="24"/>
      <c r="AE23" s="25"/>
      <c r="AF23" s="26" t="n">
        <v>0.75</v>
      </c>
      <c r="AG23" s="27"/>
      <c r="AH23" s="24" t="n">
        <v>0</v>
      </c>
      <c r="AI23" s="25" t="n">
        <v>0</v>
      </c>
      <c r="AJ23" s="26"/>
      <c r="AK23" s="25" t="n">
        <v>0.85</v>
      </c>
      <c r="AL23" s="26"/>
      <c r="AM23" s="25" t="n">
        <v>14.9</v>
      </c>
      <c r="AN23" s="24" t="n">
        <v>4</v>
      </c>
      <c r="AO23" s="25" t="n">
        <v>22.6</v>
      </c>
      <c r="AP23" s="26"/>
      <c r="AQ23" s="25" t="n">
        <v>24</v>
      </c>
      <c r="AR23" s="24" t="n">
        <v>0</v>
      </c>
      <c r="AS23" s="25" t="n">
        <v>2.65</v>
      </c>
      <c r="AT23" s="24" t="n">
        <v>2.85</v>
      </c>
      <c r="AU23" s="25" t="n">
        <v>29.75</v>
      </c>
      <c r="AV23" s="26"/>
      <c r="AW23" s="25" t="n">
        <v>12.9</v>
      </c>
      <c r="AX23" s="26"/>
      <c r="AY23" s="25" t="n">
        <v>19.5</v>
      </c>
      <c r="AZ23" s="26"/>
      <c r="BA23" s="25" t="n">
        <v>30.1</v>
      </c>
      <c r="BB23" s="26"/>
      <c r="BC23" s="25" t="n">
        <v>3.1</v>
      </c>
      <c r="BD23" s="26" t="n">
        <v>0</v>
      </c>
      <c r="BE23" s="27" t="n">
        <v>0</v>
      </c>
      <c r="BF23" s="26"/>
      <c r="BG23" s="27" t="n">
        <v>15</v>
      </c>
      <c r="BH23" s="26"/>
      <c r="BI23" s="27" t="n">
        <v>20</v>
      </c>
      <c r="BJ23" s="26"/>
      <c r="BK23" s="27" t="n">
        <v>20</v>
      </c>
      <c r="BL23" s="26"/>
      <c r="BM23" s="27" t="n">
        <v>25</v>
      </c>
      <c r="BN23" s="26"/>
      <c r="BO23" s="27" t="n">
        <v>20</v>
      </c>
      <c r="BP23" s="26" t="n">
        <v>0</v>
      </c>
      <c r="BQ23" s="27" t="n">
        <v>0</v>
      </c>
      <c r="BR23" s="26" t="n">
        <v>0</v>
      </c>
      <c r="BS23" s="27" t="n">
        <v>0</v>
      </c>
      <c r="BT23" s="26"/>
      <c r="BU23" s="27" t="n">
        <v>10</v>
      </c>
      <c r="BV23" s="26"/>
      <c r="BW23" s="27" t="n">
        <v>10</v>
      </c>
      <c r="BX23" s="26"/>
      <c r="BY23" s="27" t="n">
        <v>10</v>
      </c>
      <c r="BZ23" s="26"/>
      <c r="CA23" s="27" t="n">
        <v>20</v>
      </c>
      <c r="CB23" s="26"/>
      <c r="CC23" s="27" t="n">
        <v>15</v>
      </c>
      <c r="CD23" s="26"/>
      <c r="CE23" s="27" t="n">
        <v>15</v>
      </c>
      <c r="CF23" s="26"/>
      <c r="CG23" s="27" t="n">
        <v>20</v>
      </c>
      <c r="CH23" s="26" t="n">
        <v>0</v>
      </c>
      <c r="CI23" s="27" t="n">
        <v>0</v>
      </c>
      <c r="CJ23" s="26" t="n">
        <v>0</v>
      </c>
      <c r="CK23" s="27" t="n">
        <v>0</v>
      </c>
      <c r="CL23" s="26"/>
      <c r="CM23" s="27" t="n">
        <v>10</v>
      </c>
      <c r="CN23" s="26"/>
      <c r="CO23" s="27" t="n">
        <v>10</v>
      </c>
      <c r="CP23" s="26"/>
      <c r="CQ23" s="27" t="n">
        <v>10</v>
      </c>
      <c r="CR23" s="26"/>
      <c r="CS23" s="27" t="n">
        <v>10</v>
      </c>
      <c r="CT23" s="26"/>
      <c r="CU23" s="27" t="n">
        <v>10</v>
      </c>
      <c r="CV23" s="26"/>
      <c r="CW23" s="27" t="n">
        <v>0</v>
      </c>
      <c r="CX23" s="26"/>
      <c r="CY23" s="27" t="n">
        <v>0</v>
      </c>
      <c r="CZ23" s="26"/>
      <c r="DA23" s="27" t="n">
        <v>0</v>
      </c>
      <c r="DB23" s="26"/>
      <c r="DC23" s="27" t="n">
        <v>0</v>
      </c>
      <c r="DD23" s="28" t="n">
        <f aca="false">SUM(F23:DC23)</f>
        <v>417.95</v>
      </c>
      <c r="DE23" s="29" t="n">
        <f aca="false">B23-DD23</f>
        <v>164.05</v>
      </c>
      <c r="DF23" s="30" t="n">
        <f aca="false">C23+DD23</f>
        <v>9814.6</v>
      </c>
      <c r="DG23" s="30" t="n">
        <f aca="false">D23+DD23</f>
        <v>11756.2</v>
      </c>
      <c r="DH23" s="26"/>
      <c r="DI23" s="27" t="n">
        <v>5</v>
      </c>
      <c r="DJ23" s="26"/>
      <c r="DK23" s="27" t="n">
        <v>0</v>
      </c>
      <c r="DL23" s="26"/>
      <c r="DM23" s="27" t="n">
        <v>5</v>
      </c>
      <c r="DN23" s="26"/>
      <c r="DO23" s="27" t="n">
        <v>5</v>
      </c>
      <c r="DP23" s="26"/>
      <c r="DQ23" s="27" t="n">
        <v>5</v>
      </c>
      <c r="DR23" s="26"/>
      <c r="DS23" s="27" t="n">
        <v>5</v>
      </c>
      <c r="DT23" s="26"/>
      <c r="DU23" s="27" t="n">
        <v>5</v>
      </c>
      <c r="DV23" s="26"/>
      <c r="DW23" s="27" t="n">
        <v>10</v>
      </c>
      <c r="DX23" s="26"/>
      <c r="DY23" s="27" t="n">
        <v>10</v>
      </c>
      <c r="DZ23" s="26" t="n">
        <v>0</v>
      </c>
      <c r="EA23" s="27" t="n">
        <v>0</v>
      </c>
      <c r="EB23" s="26"/>
      <c r="EC23" s="27" t="n">
        <v>5</v>
      </c>
      <c r="ED23" s="26"/>
      <c r="EE23" s="27" t="n">
        <v>10</v>
      </c>
      <c r="EF23" s="26"/>
      <c r="EG23" s="101" t="n">
        <v>10</v>
      </c>
      <c r="EH23" s="26"/>
      <c r="EI23" s="27" t="n">
        <v>10</v>
      </c>
      <c r="EJ23" s="26"/>
      <c r="EK23" s="27" t="n">
        <v>10</v>
      </c>
      <c r="EL23" s="26"/>
      <c r="EM23" s="27" t="n">
        <v>10</v>
      </c>
      <c r="EN23" s="26"/>
      <c r="EO23" s="27" t="n">
        <v>10</v>
      </c>
      <c r="EP23" s="26"/>
      <c r="EQ23" s="27" t="n">
        <v>10</v>
      </c>
      <c r="ER23" s="26"/>
      <c r="ES23" s="27" t="n">
        <v>10</v>
      </c>
      <c r="ET23" s="26"/>
      <c r="EU23" s="27" t="n">
        <v>10</v>
      </c>
      <c r="EV23" s="26"/>
      <c r="EW23" s="27" t="n">
        <v>5</v>
      </c>
      <c r="EX23" s="26" t="n">
        <v>0</v>
      </c>
      <c r="EY23" s="27" t="n">
        <v>0</v>
      </c>
      <c r="EZ23" s="26" t="n">
        <v>0</v>
      </c>
      <c r="FA23" s="27" t="n">
        <v>0</v>
      </c>
      <c r="FB23" s="26" t="n">
        <v>0</v>
      </c>
      <c r="FC23" s="27" t="n">
        <v>0</v>
      </c>
      <c r="FD23" s="26" t="n">
        <v>0</v>
      </c>
      <c r="FE23" s="27" t="n">
        <v>0</v>
      </c>
      <c r="FF23" s="26" t="n">
        <v>0</v>
      </c>
      <c r="FG23" s="27" t="n">
        <v>0</v>
      </c>
      <c r="FH23" s="26"/>
      <c r="FI23" s="27" t="n">
        <v>0</v>
      </c>
      <c r="FJ23" s="26"/>
      <c r="FK23" s="27" t="n">
        <v>0</v>
      </c>
      <c r="FL23" s="26"/>
      <c r="FM23" s="27" t="n">
        <v>0</v>
      </c>
      <c r="FN23" s="26"/>
      <c r="FO23" s="27" t="n">
        <v>0</v>
      </c>
      <c r="FP23" s="26"/>
      <c r="FQ23" s="27" t="n">
        <v>15</v>
      </c>
      <c r="FR23" s="26"/>
      <c r="FS23" s="27" t="n">
        <v>15</v>
      </c>
      <c r="FT23" s="26"/>
      <c r="FU23" s="27" t="n">
        <v>15</v>
      </c>
      <c r="FV23" s="26"/>
      <c r="FW23" s="27" t="n">
        <v>15</v>
      </c>
      <c r="FX23" s="26"/>
      <c r="FY23" s="27" t="n">
        <v>20</v>
      </c>
      <c r="FZ23" s="26"/>
      <c r="GA23" s="27" t="n">
        <v>20</v>
      </c>
      <c r="GB23" s="26" t="n">
        <v>0</v>
      </c>
      <c r="GC23" s="27" t="n">
        <v>0</v>
      </c>
      <c r="GD23" s="26"/>
      <c r="GE23" s="27" t="n">
        <v>15</v>
      </c>
      <c r="GF23" s="26"/>
      <c r="GG23" s="27" t="n">
        <v>15</v>
      </c>
      <c r="GH23" s="26"/>
      <c r="GI23" s="27" t="n">
        <v>20</v>
      </c>
      <c r="GJ23" s="26"/>
      <c r="GK23" s="27" t="n">
        <v>25</v>
      </c>
      <c r="GL23" s="26"/>
      <c r="GM23" s="27" t="n">
        <v>25</v>
      </c>
      <c r="GN23" s="26" t="n">
        <v>0</v>
      </c>
      <c r="GO23" s="27" t="n">
        <v>0</v>
      </c>
      <c r="GP23" s="26"/>
      <c r="GQ23" s="27" t="n">
        <v>10</v>
      </c>
      <c r="GR23" s="26"/>
      <c r="GS23" s="27" t="n">
        <v>15</v>
      </c>
      <c r="GT23" s="26"/>
      <c r="GU23" s="27" t="n">
        <v>15</v>
      </c>
      <c r="GV23" s="26"/>
      <c r="GW23" s="27" t="n">
        <v>10</v>
      </c>
      <c r="GX23" s="26"/>
      <c r="GY23" s="27" t="n">
        <v>10</v>
      </c>
      <c r="GZ23" s="26"/>
      <c r="HA23" s="27" t="n">
        <v>5</v>
      </c>
      <c r="HB23" s="26"/>
      <c r="HC23" s="27" t="n">
        <v>5</v>
      </c>
      <c r="HD23" s="26"/>
      <c r="HE23" s="27" t="n">
        <v>5</v>
      </c>
      <c r="HF23" s="28" t="n">
        <f aca="false">SUM(DH23:HE23)</f>
        <v>425</v>
      </c>
      <c r="HG23" s="29" t="n">
        <f aca="false">1500-SUM(FP23:HE23)</f>
        <v>1225</v>
      </c>
      <c r="HH23" s="30" t="n">
        <f aca="false">DF23+HF23</f>
        <v>10239.6</v>
      </c>
      <c r="HI23" s="31" t="n">
        <f aca="false">DG23+HF23</f>
        <v>12181.2</v>
      </c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  <c r="IG23" s="32"/>
    </row>
    <row r="24" customFormat="false" ht="45" hidden="false" customHeight="true" outlineLevel="0" collapsed="false">
      <c r="A24" s="99"/>
      <c r="B24" s="99"/>
      <c r="C24" s="99"/>
      <c r="D24" s="99"/>
      <c r="E24" s="61" t="s">
        <v>63</v>
      </c>
      <c r="F24" s="106" t="s">
        <v>163</v>
      </c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89" t="s">
        <v>164</v>
      </c>
      <c r="AG24" s="89"/>
      <c r="AH24" s="94" t="s">
        <v>165</v>
      </c>
      <c r="AI24" s="94"/>
      <c r="AJ24" s="38"/>
      <c r="AK24" s="38"/>
      <c r="AL24" s="26"/>
      <c r="AM24" s="26"/>
      <c r="AN24" s="38"/>
      <c r="AO24" s="38"/>
      <c r="AP24" s="38"/>
      <c r="AQ24" s="38"/>
      <c r="AR24" s="107" t="s">
        <v>166</v>
      </c>
      <c r="AS24" s="107"/>
      <c r="AT24" s="26"/>
      <c r="AU24" s="26"/>
      <c r="AV24" s="38"/>
      <c r="AW24" s="38"/>
      <c r="AX24" s="26"/>
      <c r="AY24" s="26"/>
      <c r="AZ24" s="39"/>
      <c r="BA24" s="39"/>
      <c r="BB24" s="107" t="s">
        <v>167</v>
      </c>
      <c r="BC24" s="107"/>
      <c r="BD24" s="38"/>
      <c r="BE24" s="38"/>
      <c r="BF24" s="38"/>
      <c r="BG24" s="38"/>
      <c r="BH24" s="38"/>
      <c r="BI24" s="38"/>
      <c r="BJ24" s="26"/>
      <c r="BK24" s="26"/>
      <c r="BL24" s="26"/>
      <c r="BM24" s="26"/>
      <c r="BN24" s="38"/>
      <c r="BO24" s="38"/>
      <c r="BP24" s="107" t="s">
        <v>168</v>
      </c>
      <c r="BQ24" s="107"/>
      <c r="BR24" s="107" t="s">
        <v>168</v>
      </c>
      <c r="BS24" s="107"/>
      <c r="BV24" s="37"/>
      <c r="BW24" s="37"/>
      <c r="BX24" s="36"/>
      <c r="BY24" s="36"/>
      <c r="BZ24" s="37"/>
      <c r="CA24" s="37"/>
      <c r="CB24" s="36"/>
      <c r="CC24" s="36"/>
      <c r="CD24" s="37"/>
      <c r="CE24" s="37"/>
      <c r="CF24" s="37"/>
      <c r="CG24" s="37"/>
      <c r="CH24" s="94" t="s">
        <v>169</v>
      </c>
      <c r="CI24" s="94"/>
      <c r="CJ24" s="107" t="s">
        <v>169</v>
      </c>
      <c r="CK24" s="107"/>
      <c r="CL24" s="70"/>
      <c r="CM24" s="70"/>
      <c r="CN24" s="36"/>
      <c r="CO24" s="36"/>
      <c r="CP24" s="37"/>
      <c r="CQ24" s="37"/>
      <c r="CR24" s="37"/>
      <c r="CS24" s="37"/>
      <c r="CT24" s="37"/>
      <c r="CU24" s="37"/>
      <c r="CV24" s="37"/>
      <c r="CW24" s="37"/>
      <c r="CX24" s="70"/>
      <c r="CY24" s="70"/>
      <c r="CZ24" s="37"/>
      <c r="DA24" s="37"/>
      <c r="DB24" s="36"/>
      <c r="DC24" s="36"/>
      <c r="DD24" s="42"/>
      <c r="DE24" s="108" t="s">
        <v>170</v>
      </c>
      <c r="DF24" s="42"/>
      <c r="DG24" s="43"/>
      <c r="DH24" s="38"/>
      <c r="DI24" s="38"/>
      <c r="DJ24" s="38"/>
      <c r="DK24" s="38"/>
      <c r="DL24" s="38"/>
      <c r="DM24" s="38"/>
      <c r="DN24" s="26"/>
      <c r="DO24" s="26"/>
      <c r="DP24" s="38"/>
      <c r="DQ24" s="38"/>
      <c r="DR24" s="38"/>
      <c r="DS24" s="38"/>
      <c r="DT24" s="38"/>
      <c r="DU24" s="38"/>
      <c r="DV24" s="26"/>
      <c r="DW24" s="26"/>
      <c r="DZ24" s="107" t="s">
        <v>171</v>
      </c>
      <c r="EA24" s="107"/>
      <c r="ED24" s="36"/>
      <c r="EE24" s="36"/>
      <c r="EF24" s="37"/>
      <c r="EG24" s="37"/>
      <c r="EH24" s="38"/>
      <c r="EI24" s="38"/>
      <c r="EN24" s="38"/>
      <c r="EO24" s="38"/>
      <c r="EP24" s="26"/>
      <c r="EQ24" s="26"/>
      <c r="ER24" s="38"/>
      <c r="ES24" s="38"/>
      <c r="ET24" s="38"/>
      <c r="EU24" s="38"/>
      <c r="EV24" s="37"/>
      <c r="EW24" s="37"/>
      <c r="EX24" s="109" t="s">
        <v>172</v>
      </c>
      <c r="EY24" s="109"/>
      <c r="EZ24" s="109" t="s">
        <v>172</v>
      </c>
      <c r="FA24" s="109"/>
      <c r="FB24" s="109" t="s">
        <v>172</v>
      </c>
      <c r="FC24" s="109"/>
      <c r="FD24" s="109" t="s">
        <v>172</v>
      </c>
      <c r="FE24" s="109"/>
      <c r="FF24" s="109" t="s">
        <v>172</v>
      </c>
      <c r="FG24" s="109"/>
      <c r="FP24" s="46"/>
      <c r="FQ24" s="46"/>
      <c r="FR24" s="38"/>
      <c r="FS24" s="38"/>
      <c r="FT24" s="38"/>
      <c r="FU24" s="38"/>
      <c r="FV24" s="38"/>
      <c r="FW24" s="38"/>
      <c r="FX24" s="26"/>
      <c r="FY24" s="26"/>
      <c r="GB24" s="107" t="s">
        <v>173</v>
      </c>
      <c r="GC24" s="107"/>
      <c r="GF24" s="26"/>
      <c r="GG24" s="26"/>
      <c r="GH24" s="38"/>
      <c r="GI24" s="38"/>
      <c r="GJ24" s="38"/>
      <c r="GK24" s="38"/>
      <c r="GN24" s="107" t="s">
        <v>174</v>
      </c>
      <c r="GO24" s="107"/>
      <c r="GP24" s="45"/>
      <c r="GQ24" s="45"/>
      <c r="GR24" s="38"/>
      <c r="GS24" s="38"/>
      <c r="GT24" s="26"/>
      <c r="GU24" s="26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46"/>
      <c r="HI24" s="46"/>
      <c r="HJ24" s="47"/>
      <c r="HK24" s="47"/>
      <c r="HL24" s="47"/>
      <c r="HM24" s="47"/>
      <c r="HN24" s="47"/>
      <c r="HO24" s="47"/>
      <c r="HP24" s="48"/>
      <c r="HQ24" s="48"/>
      <c r="HR24" s="47"/>
      <c r="HS24" s="47"/>
      <c r="HT24" s="47"/>
      <c r="HU24" s="47"/>
      <c r="HV24" s="47"/>
      <c r="HW24" s="47"/>
      <c r="HX24" s="48"/>
      <c r="HY24" s="48"/>
      <c r="HZ24" s="47"/>
      <c r="IA24" s="47"/>
      <c r="IB24" s="47"/>
      <c r="IC24" s="47"/>
      <c r="ID24" s="48"/>
      <c r="IE24" s="48"/>
      <c r="IF24" s="47"/>
      <c r="IG24" s="47"/>
    </row>
    <row r="25" customFormat="false" ht="15" hidden="false" customHeight="true" outlineLevel="0" collapsed="false">
      <c r="A25" s="99"/>
      <c r="B25" s="99"/>
      <c r="C25" s="99"/>
      <c r="D25" s="99"/>
      <c r="E25" s="61" t="s">
        <v>78</v>
      </c>
      <c r="F25" s="103"/>
      <c r="G25" s="103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103"/>
      <c r="S25" s="103"/>
      <c r="T25" s="46"/>
      <c r="U25" s="46"/>
      <c r="V25" s="46"/>
      <c r="W25" s="46"/>
      <c r="X25" s="103"/>
      <c r="Y25" s="103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103"/>
      <c r="AK25" s="103"/>
      <c r="AL25" s="46"/>
      <c r="AM25" s="46"/>
      <c r="AN25" s="46"/>
      <c r="AO25" s="46"/>
      <c r="AP25" s="103"/>
      <c r="AQ25" s="103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103"/>
      <c r="BC25" s="103"/>
      <c r="BD25" s="46"/>
      <c r="BE25" s="46"/>
      <c r="BF25" s="46"/>
      <c r="BG25" s="46"/>
      <c r="BH25" s="103"/>
      <c r="BI25" s="103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103"/>
      <c r="BU25" s="103"/>
      <c r="BV25" s="46"/>
      <c r="BW25" s="46"/>
      <c r="BX25" s="46"/>
      <c r="BY25" s="46"/>
      <c r="BZ25" s="103"/>
      <c r="CA25" s="103"/>
      <c r="CB25" s="46"/>
      <c r="CC25" s="46"/>
      <c r="CD25" s="46"/>
      <c r="CE25" s="46"/>
      <c r="CF25" s="46"/>
      <c r="CG25" s="46"/>
      <c r="CH25" s="46"/>
      <c r="CI25" s="46"/>
      <c r="CJ25" s="46"/>
      <c r="CK25" s="46"/>
      <c r="CL25" s="103"/>
      <c r="CM25" s="103"/>
      <c r="CN25" s="46"/>
      <c r="CO25" s="46"/>
      <c r="CP25" s="46"/>
      <c r="CQ25" s="46"/>
      <c r="CR25" s="103"/>
      <c r="CS25" s="103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105"/>
      <c r="DE25" s="105"/>
      <c r="DF25" s="105"/>
      <c r="DG25" s="105"/>
      <c r="DH25" s="103"/>
      <c r="DI25" s="103"/>
      <c r="DJ25" s="46"/>
      <c r="DK25" s="46"/>
      <c r="DL25" s="46"/>
      <c r="DM25" s="46"/>
      <c r="DN25" s="46"/>
      <c r="DO25" s="46"/>
      <c r="DP25" s="46"/>
      <c r="DQ25" s="46"/>
      <c r="DR25" s="46"/>
      <c r="DS25" s="46"/>
      <c r="DT25" s="103"/>
      <c r="DU25" s="103"/>
      <c r="DV25" s="46"/>
      <c r="DW25" s="46"/>
      <c r="DX25" s="46"/>
      <c r="DY25" s="46"/>
      <c r="DZ25" s="103"/>
      <c r="EA25" s="103"/>
      <c r="EB25" s="46"/>
      <c r="EC25" s="46"/>
      <c r="ED25" s="46"/>
      <c r="EE25" s="46"/>
      <c r="EF25" s="46"/>
      <c r="EG25" s="46"/>
      <c r="EH25" s="46"/>
      <c r="EI25" s="46"/>
      <c r="EJ25" s="46"/>
      <c r="EK25" s="46"/>
      <c r="EL25" s="103"/>
      <c r="EM25" s="103"/>
      <c r="EN25" s="46"/>
      <c r="EO25" s="46"/>
      <c r="EP25" s="46"/>
      <c r="EQ25" s="46"/>
      <c r="ER25" s="103"/>
      <c r="ES25" s="103"/>
      <c r="ET25" s="46"/>
      <c r="EU25" s="46"/>
      <c r="EV25" s="46"/>
      <c r="EW25" s="46"/>
      <c r="EX25" s="46"/>
      <c r="EY25" s="46"/>
      <c r="EZ25" s="46"/>
      <c r="FA25" s="46"/>
      <c r="FB25" s="46"/>
      <c r="FC25" s="46"/>
      <c r="FD25" s="103"/>
      <c r="FE25" s="103"/>
      <c r="FF25" s="46"/>
      <c r="FG25" s="46"/>
      <c r="FH25" s="46"/>
      <c r="FI25" s="46"/>
      <c r="FJ25" s="103"/>
      <c r="FK25" s="103"/>
      <c r="FL25" s="46"/>
      <c r="FM25" s="46"/>
      <c r="FN25" s="46"/>
      <c r="FO25" s="46"/>
      <c r="FP25" s="46"/>
      <c r="FQ25" s="46"/>
      <c r="FR25" s="46"/>
      <c r="FS25" s="46"/>
      <c r="FT25" s="46"/>
      <c r="FU25" s="46"/>
      <c r="FV25" s="103"/>
      <c r="FW25" s="103"/>
      <c r="FX25" s="46"/>
      <c r="FY25" s="46"/>
      <c r="FZ25" s="46"/>
      <c r="GA25" s="46"/>
      <c r="GB25" s="103"/>
      <c r="GC25" s="103"/>
      <c r="GD25" s="46"/>
      <c r="GE25" s="46"/>
      <c r="GF25" s="46"/>
      <c r="GG25" s="46"/>
      <c r="GH25" s="46"/>
      <c r="GI25" s="46"/>
      <c r="GJ25" s="46"/>
      <c r="GK25" s="46"/>
      <c r="GL25" s="46"/>
      <c r="GM25" s="46"/>
      <c r="GN25" s="103"/>
      <c r="GO25" s="103"/>
      <c r="GP25" s="46"/>
      <c r="GQ25" s="46"/>
      <c r="GR25" s="46"/>
      <c r="GS25" s="46"/>
      <c r="GT25" s="103"/>
      <c r="GU25" s="103"/>
      <c r="GV25" s="46"/>
      <c r="GW25" s="46"/>
      <c r="GX25" s="46"/>
      <c r="GY25" s="46"/>
      <c r="GZ25" s="46"/>
      <c r="HA25" s="46"/>
      <c r="HB25" s="46"/>
      <c r="HC25" s="46"/>
      <c r="HD25" s="46"/>
      <c r="HE25" s="46"/>
      <c r="HF25" s="105"/>
      <c r="HG25" s="105"/>
      <c r="HH25" s="105"/>
      <c r="HI25" s="105"/>
      <c r="HJ25" s="105"/>
      <c r="HK25" s="105"/>
      <c r="HL25" s="105"/>
      <c r="HM25" s="105"/>
      <c r="HN25" s="105"/>
      <c r="HO25" s="105"/>
      <c r="HP25" s="105"/>
      <c r="HQ25" s="105"/>
      <c r="HR25" s="105"/>
      <c r="HS25" s="105"/>
      <c r="HT25" s="105"/>
      <c r="HU25" s="105"/>
      <c r="HV25" s="105"/>
      <c r="HW25" s="105"/>
      <c r="HX25" s="105"/>
      <c r="HY25" s="105"/>
      <c r="HZ25" s="105"/>
      <c r="IA25" s="105"/>
      <c r="IB25" s="105"/>
      <c r="IC25" s="105"/>
      <c r="ID25" s="105"/>
      <c r="IE25" s="105"/>
      <c r="IF25" s="105"/>
      <c r="IG25" s="105"/>
    </row>
    <row r="26" customFormat="false" ht="19.5" hidden="false" customHeight="true" outlineLevel="0" collapsed="false">
      <c r="A26" s="99" t="s">
        <v>175</v>
      </c>
      <c r="B26" s="60" t="s">
        <v>176</v>
      </c>
      <c r="C26" s="60" t="s">
        <v>177</v>
      </c>
      <c r="D26" s="60" t="s">
        <v>178</v>
      </c>
      <c r="E26" s="61" t="s">
        <v>62</v>
      </c>
      <c r="F26" s="26"/>
      <c r="G26" s="27"/>
      <c r="H26" s="26"/>
      <c r="I26" s="27"/>
      <c r="J26" s="26"/>
      <c r="K26" s="27"/>
      <c r="L26" s="26"/>
      <c r="M26" s="25"/>
      <c r="N26" s="24"/>
      <c r="O26" s="25"/>
      <c r="P26" s="24"/>
      <c r="Q26" s="25"/>
      <c r="R26" s="24"/>
      <c r="S26" s="25"/>
      <c r="T26" s="24"/>
      <c r="U26" s="25"/>
      <c r="V26" s="24"/>
      <c r="W26" s="25"/>
      <c r="X26" s="24"/>
      <c r="Y26" s="25"/>
      <c r="Z26" s="24"/>
      <c r="AA26" s="25"/>
      <c r="AB26" s="24"/>
      <c r="AC26" s="25"/>
      <c r="AD26" s="24"/>
      <c r="AE26" s="25"/>
      <c r="AF26" s="26"/>
      <c r="AG26" s="27"/>
      <c r="AH26" s="24"/>
      <c r="AI26" s="25"/>
      <c r="AJ26" s="26"/>
      <c r="AK26" s="25"/>
      <c r="AL26" s="26"/>
      <c r="AM26" s="25"/>
      <c r="AN26" s="24"/>
      <c r="AO26" s="25"/>
      <c r="AP26" s="26"/>
      <c r="AQ26" s="25"/>
      <c r="AR26" s="24"/>
      <c r="AS26" s="25"/>
      <c r="AT26" s="24"/>
      <c r="AU26" s="25"/>
      <c r="AV26" s="26"/>
      <c r="AW26" s="27"/>
      <c r="AX26" s="26"/>
      <c r="AY26" s="25" t="n">
        <v>25.5</v>
      </c>
      <c r="AZ26" s="24" t="n">
        <v>0.6</v>
      </c>
      <c r="BA26" s="25" t="n">
        <v>34.1</v>
      </c>
      <c r="BB26" s="26"/>
      <c r="BC26" s="25" t="n">
        <v>33.6</v>
      </c>
      <c r="BD26" s="26" t="n">
        <v>0</v>
      </c>
      <c r="BE26" s="27" t="n">
        <v>0</v>
      </c>
      <c r="BF26" s="26"/>
      <c r="BG26" s="27" t="n">
        <v>10</v>
      </c>
      <c r="BH26" s="26"/>
      <c r="BI26" s="27" t="n">
        <v>10</v>
      </c>
      <c r="BJ26" s="26"/>
      <c r="BK26" s="27" t="n">
        <v>10</v>
      </c>
      <c r="BL26" s="26"/>
      <c r="BM26" s="27" t="n">
        <v>11</v>
      </c>
      <c r="BN26" s="26"/>
      <c r="BO26" s="27" t="n">
        <v>15</v>
      </c>
      <c r="BP26" s="26"/>
      <c r="BQ26" s="27" t="n">
        <v>20</v>
      </c>
      <c r="BR26" s="26"/>
      <c r="BS26" s="27" t="n">
        <v>15</v>
      </c>
      <c r="BT26" s="26" t="n">
        <v>0</v>
      </c>
      <c r="BU26" s="27" t="n">
        <v>0</v>
      </c>
      <c r="BV26" s="26"/>
      <c r="BW26" s="27" t="n">
        <v>10</v>
      </c>
      <c r="BX26" s="26"/>
      <c r="BY26" s="27" t="n">
        <v>10</v>
      </c>
      <c r="BZ26" s="26"/>
      <c r="CA26" s="27" t="n">
        <v>15</v>
      </c>
      <c r="CB26" s="26"/>
      <c r="CC26" s="27" t="n">
        <v>10</v>
      </c>
      <c r="CD26" s="26"/>
      <c r="CE26" s="27" t="n">
        <v>10</v>
      </c>
      <c r="CF26" s="26"/>
      <c r="CG26" s="27" t="n">
        <v>10</v>
      </c>
      <c r="CH26" s="26"/>
      <c r="CI26" s="27" t="n">
        <v>15</v>
      </c>
      <c r="CJ26" s="26"/>
      <c r="CK26" s="27" t="n">
        <v>15</v>
      </c>
      <c r="CL26" s="26"/>
      <c r="CM26" s="27" t="n">
        <v>5</v>
      </c>
      <c r="CN26" s="26"/>
      <c r="CO26" s="27" t="n">
        <v>5</v>
      </c>
      <c r="CP26" s="26" t="n">
        <v>0</v>
      </c>
      <c r="CQ26" s="27" t="n">
        <v>0</v>
      </c>
      <c r="CR26" s="26" t="n">
        <v>0</v>
      </c>
      <c r="CS26" s="27" t="n">
        <v>0</v>
      </c>
      <c r="CT26" s="26"/>
      <c r="CU26" s="27" t="n">
        <v>10</v>
      </c>
      <c r="CV26" s="26"/>
      <c r="CW26" s="27" t="n">
        <v>10</v>
      </c>
      <c r="CX26" s="26"/>
      <c r="CY26" s="27" t="n">
        <v>10</v>
      </c>
      <c r="CZ26" s="26"/>
      <c r="DA26" s="27" t="n">
        <v>10</v>
      </c>
      <c r="DB26" s="26"/>
      <c r="DC26" s="27" t="n">
        <v>5</v>
      </c>
      <c r="DD26" s="28" t="n">
        <f aca="false">SUM(F26:DC26)</f>
        <v>334.8</v>
      </c>
      <c r="DE26" s="29" t="n">
        <f aca="false">B26-DD26</f>
        <v>809.95</v>
      </c>
      <c r="DF26" s="30" t="n">
        <f aca="false">C26+DD26</f>
        <v>12254.15</v>
      </c>
      <c r="DG26" s="30" t="n">
        <f aca="false">D26+DD26</f>
        <v>12765.45</v>
      </c>
      <c r="DH26" s="26"/>
      <c r="DI26" s="27" t="n">
        <v>5</v>
      </c>
      <c r="DJ26" s="26"/>
      <c r="DK26" s="27" t="n">
        <v>5</v>
      </c>
      <c r="DL26" s="26"/>
      <c r="DM26" s="27" t="n">
        <v>5</v>
      </c>
      <c r="DN26" s="26"/>
      <c r="DO26" s="27" t="n">
        <v>5</v>
      </c>
      <c r="DP26" s="26"/>
      <c r="DQ26" s="27" t="n">
        <v>5</v>
      </c>
      <c r="DR26" s="26"/>
      <c r="DS26" s="27" t="n">
        <v>5</v>
      </c>
      <c r="DT26" s="26"/>
      <c r="DU26" s="27" t="n">
        <v>15</v>
      </c>
      <c r="DV26" s="26"/>
      <c r="DW26" s="27" t="n">
        <v>15</v>
      </c>
      <c r="DX26" s="26" t="n">
        <v>0</v>
      </c>
      <c r="DY26" s="27" t="n">
        <v>0</v>
      </c>
      <c r="DZ26" s="26"/>
      <c r="EA26" s="27" t="n">
        <v>15</v>
      </c>
      <c r="EB26" s="26"/>
      <c r="EC26" s="27" t="n">
        <v>10</v>
      </c>
      <c r="ED26" s="26"/>
      <c r="EE26" s="27" t="n">
        <v>10</v>
      </c>
      <c r="EF26" s="26"/>
      <c r="EG26" s="101" t="n">
        <v>10</v>
      </c>
      <c r="EH26" s="26"/>
      <c r="EI26" s="27" t="n">
        <v>15</v>
      </c>
      <c r="EJ26" s="26"/>
      <c r="EK26" s="27" t="n">
        <v>15</v>
      </c>
      <c r="EL26" s="26" t="n">
        <v>0</v>
      </c>
      <c r="EM26" s="27" t="n">
        <v>0</v>
      </c>
      <c r="EN26" s="26"/>
      <c r="EO26" s="27" t="n">
        <v>10</v>
      </c>
      <c r="EP26" s="26"/>
      <c r="EQ26" s="27" t="n">
        <v>15</v>
      </c>
      <c r="ER26" s="26"/>
      <c r="ES26" s="27" t="n">
        <v>10</v>
      </c>
      <c r="ET26" s="26"/>
      <c r="EU26" s="27" t="n">
        <v>10</v>
      </c>
      <c r="EV26" s="26"/>
      <c r="EW26" s="27" t="n">
        <v>15</v>
      </c>
      <c r="EX26" s="26"/>
      <c r="EY26" s="27" t="n">
        <v>10</v>
      </c>
      <c r="EZ26" s="26"/>
      <c r="FA26" s="27" t="n">
        <v>10</v>
      </c>
      <c r="FB26" s="26"/>
      <c r="FC26" s="27" t="n">
        <v>10</v>
      </c>
      <c r="FD26" s="26"/>
      <c r="FE26" s="27" t="n">
        <v>10</v>
      </c>
      <c r="FF26" s="26" t="n">
        <v>0</v>
      </c>
      <c r="FG26" s="27" t="n">
        <v>0</v>
      </c>
      <c r="FH26" s="26" t="n">
        <v>0</v>
      </c>
      <c r="FI26" s="27" t="n">
        <v>0</v>
      </c>
      <c r="FJ26" s="26" t="n">
        <v>0</v>
      </c>
      <c r="FK26" s="27" t="n">
        <v>0</v>
      </c>
      <c r="FL26" s="26" t="n">
        <v>0</v>
      </c>
      <c r="FM26" s="27" t="n">
        <v>0</v>
      </c>
      <c r="FN26" s="26" t="n">
        <v>0</v>
      </c>
      <c r="FO26" s="27" t="n">
        <v>0</v>
      </c>
      <c r="FP26" s="26"/>
      <c r="FQ26" s="27" t="n">
        <v>15</v>
      </c>
      <c r="FR26" s="26"/>
      <c r="FS26" s="27" t="n">
        <v>15</v>
      </c>
      <c r="FT26" s="26"/>
      <c r="FU26" s="27" t="n">
        <v>15</v>
      </c>
      <c r="FV26" s="26"/>
      <c r="FW26" s="27" t="n">
        <v>15</v>
      </c>
      <c r="FX26" s="26"/>
      <c r="FY26" s="27" t="n">
        <v>20</v>
      </c>
      <c r="FZ26" s="26"/>
      <c r="GA26" s="27" t="n">
        <v>20</v>
      </c>
      <c r="GB26" s="26" t="n">
        <v>0</v>
      </c>
      <c r="GC26" s="27" t="n">
        <v>0</v>
      </c>
      <c r="GD26" s="26"/>
      <c r="GE26" s="27" t="n">
        <v>15</v>
      </c>
      <c r="GF26" s="26"/>
      <c r="GG26" s="27" t="n">
        <v>15</v>
      </c>
      <c r="GH26" s="26"/>
      <c r="GI26" s="27" t="n">
        <v>20</v>
      </c>
      <c r="GJ26" s="26"/>
      <c r="GK26" s="27" t="n">
        <v>25</v>
      </c>
      <c r="GL26" s="26"/>
      <c r="GM26" s="27" t="n">
        <v>25</v>
      </c>
      <c r="GN26" s="26" t="n">
        <v>0</v>
      </c>
      <c r="GO26" s="27" t="n">
        <v>0</v>
      </c>
      <c r="GP26" s="26"/>
      <c r="GQ26" s="27" t="n">
        <v>10</v>
      </c>
      <c r="GR26" s="26"/>
      <c r="GS26" s="27" t="n">
        <v>15</v>
      </c>
      <c r="GT26" s="26"/>
      <c r="GU26" s="27" t="n">
        <v>15</v>
      </c>
      <c r="GV26" s="26"/>
      <c r="GW26" s="27" t="n">
        <v>10</v>
      </c>
      <c r="GX26" s="26"/>
      <c r="GY26" s="27" t="n">
        <v>10</v>
      </c>
      <c r="GZ26" s="26"/>
      <c r="HA26" s="27" t="n">
        <v>5</v>
      </c>
      <c r="HB26" s="26"/>
      <c r="HC26" s="27" t="n">
        <v>5</v>
      </c>
      <c r="HD26" s="26"/>
      <c r="HE26" s="27" t="n">
        <v>5</v>
      </c>
      <c r="HF26" s="28" t="n">
        <f aca="false">SUM(DH26:HE26)</f>
        <v>510</v>
      </c>
      <c r="HG26" s="29" t="n">
        <f aca="false">1500-SUM(FP26:HE26)</f>
        <v>1225</v>
      </c>
      <c r="HH26" s="30" t="n">
        <f aca="false">DF26+HF26</f>
        <v>12764.15</v>
      </c>
      <c r="HI26" s="31" t="n">
        <f aca="false">DG26+HF26</f>
        <v>13275.45</v>
      </c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  <c r="IG26" s="32"/>
    </row>
    <row r="27" customFormat="false" ht="45" hidden="false" customHeight="true" outlineLevel="0" collapsed="false">
      <c r="A27" s="99"/>
      <c r="B27" s="99"/>
      <c r="C27" s="99"/>
      <c r="D27" s="99"/>
      <c r="E27" s="61" t="s">
        <v>63</v>
      </c>
      <c r="F27" s="110" t="s">
        <v>179</v>
      </c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26"/>
      <c r="AY27" s="26"/>
      <c r="AZ27" s="39"/>
      <c r="BA27" s="39"/>
      <c r="BB27" s="38"/>
      <c r="BC27" s="38"/>
      <c r="BD27" s="107" t="s">
        <v>180</v>
      </c>
      <c r="BE27" s="107"/>
      <c r="BH27" s="38"/>
      <c r="BI27" s="38"/>
      <c r="BL27" s="38"/>
      <c r="BM27" s="38"/>
      <c r="BN27" s="37"/>
      <c r="BO27" s="37"/>
      <c r="BP27" s="111"/>
      <c r="BQ27" s="111"/>
      <c r="BT27" s="33" t="s">
        <v>181</v>
      </c>
      <c r="BU27" s="33"/>
      <c r="BV27" s="37"/>
      <c r="BW27" s="37"/>
      <c r="BX27" s="37"/>
      <c r="BY27" s="37"/>
      <c r="CB27" s="37"/>
      <c r="CC27" s="37"/>
      <c r="CD27" s="37"/>
      <c r="CE27" s="37"/>
      <c r="CF27" s="37"/>
      <c r="CG27" s="37"/>
      <c r="CH27" s="111"/>
      <c r="CI27" s="111"/>
      <c r="CJ27" s="112"/>
      <c r="CK27" s="112"/>
      <c r="CN27" s="36"/>
      <c r="CO27" s="36"/>
      <c r="CP27" s="33" t="s">
        <v>182</v>
      </c>
      <c r="CQ27" s="33"/>
      <c r="CR27" s="33" t="s">
        <v>182</v>
      </c>
      <c r="CS27" s="33"/>
      <c r="CT27" s="37"/>
      <c r="CU27" s="37"/>
      <c r="CV27" s="37"/>
      <c r="CW27" s="37"/>
      <c r="CX27" s="111"/>
      <c r="CY27" s="111"/>
      <c r="CZ27" s="112"/>
      <c r="DA27" s="112"/>
      <c r="DB27" s="36"/>
      <c r="DC27" s="36"/>
      <c r="DD27" s="42"/>
      <c r="DE27" s="108"/>
      <c r="DF27" s="42"/>
      <c r="DG27" s="43"/>
      <c r="DH27" s="38"/>
      <c r="DI27" s="38"/>
      <c r="DJ27" s="38"/>
      <c r="DK27" s="38"/>
      <c r="DL27" s="38"/>
      <c r="DM27" s="38"/>
      <c r="DN27" s="26"/>
      <c r="DO27" s="26"/>
      <c r="DP27" s="38"/>
      <c r="DQ27" s="38"/>
      <c r="DR27" s="38"/>
      <c r="DS27" s="38"/>
      <c r="DT27" s="38"/>
      <c r="DU27" s="38"/>
      <c r="DV27" s="26"/>
      <c r="DW27" s="26"/>
      <c r="DX27" s="33" t="s">
        <v>183</v>
      </c>
      <c r="DY27" s="33"/>
      <c r="ED27" s="36"/>
      <c r="EE27" s="36"/>
      <c r="EF27" s="37"/>
      <c r="EG27" s="37"/>
      <c r="EH27" s="38"/>
      <c r="EI27" s="38"/>
      <c r="EJ27" s="37"/>
      <c r="EK27" s="37"/>
      <c r="EL27" s="36"/>
      <c r="EM27" s="36"/>
      <c r="EN27" s="36"/>
      <c r="EO27" s="36"/>
      <c r="EP27" s="37"/>
      <c r="EQ27" s="37"/>
      <c r="ER27" s="37"/>
      <c r="ES27" s="37"/>
      <c r="ET27" s="37"/>
      <c r="EU27" s="37"/>
      <c r="EV27" s="111"/>
      <c r="EW27" s="111"/>
      <c r="EX27" s="112"/>
      <c r="EY27" s="112"/>
      <c r="EZ27" s="37"/>
      <c r="FA27" s="37"/>
      <c r="FB27" s="36"/>
      <c r="FC27" s="36"/>
      <c r="FD27" s="37"/>
      <c r="FE27" s="37"/>
      <c r="FF27" s="36"/>
      <c r="FG27" s="36"/>
      <c r="FH27" s="36"/>
      <c r="FI27" s="36"/>
      <c r="FJ27" s="37"/>
      <c r="FK27" s="37"/>
      <c r="FL27" s="37"/>
      <c r="FM27" s="37"/>
      <c r="FN27" s="37"/>
      <c r="FO27" s="37"/>
      <c r="FP27" s="111"/>
      <c r="FQ27" s="111"/>
      <c r="FR27" s="112"/>
      <c r="FS27" s="112"/>
      <c r="FT27" s="38"/>
      <c r="FU27" s="38"/>
      <c r="FV27" s="38"/>
      <c r="FW27" s="38"/>
      <c r="FX27" s="26"/>
      <c r="FY27" s="26"/>
      <c r="GB27" s="107" t="s">
        <v>173</v>
      </c>
      <c r="GC27" s="107"/>
      <c r="GF27" s="26"/>
      <c r="GG27" s="26"/>
      <c r="GH27" s="38"/>
      <c r="GI27" s="38"/>
      <c r="GJ27" s="38"/>
      <c r="GK27" s="38"/>
      <c r="GN27" s="107" t="s">
        <v>174</v>
      </c>
      <c r="GO27" s="107"/>
      <c r="GP27" s="45"/>
      <c r="GQ27" s="45"/>
      <c r="GR27" s="38"/>
      <c r="GS27" s="38"/>
      <c r="GT27" s="26"/>
      <c r="GU27" s="26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46"/>
      <c r="HI27" s="46"/>
      <c r="HJ27" s="47"/>
      <c r="HK27" s="47"/>
      <c r="HL27" s="47"/>
      <c r="HM27" s="47"/>
      <c r="HN27" s="47"/>
      <c r="HO27" s="47"/>
      <c r="HP27" s="48"/>
      <c r="HQ27" s="48"/>
      <c r="HR27" s="47"/>
      <c r="HS27" s="47"/>
      <c r="HT27" s="47"/>
      <c r="HU27" s="47"/>
      <c r="HV27" s="47"/>
      <c r="HW27" s="47"/>
      <c r="HX27" s="48"/>
      <c r="HY27" s="48"/>
      <c r="HZ27" s="47"/>
      <c r="IA27" s="47"/>
      <c r="IB27" s="47"/>
      <c r="IC27" s="47"/>
      <c r="ID27" s="48"/>
      <c r="IE27" s="48"/>
      <c r="IF27" s="47"/>
      <c r="IG27" s="47"/>
    </row>
    <row r="28" customFormat="false" ht="15" hidden="false" customHeight="true" outlineLevel="0" collapsed="false">
      <c r="A28" s="99"/>
      <c r="B28" s="99"/>
      <c r="C28" s="99"/>
      <c r="D28" s="99"/>
      <c r="E28" s="61" t="s">
        <v>78</v>
      </c>
      <c r="F28" s="103"/>
      <c r="G28" s="103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103"/>
      <c r="S28" s="103"/>
      <c r="T28" s="46"/>
      <c r="U28" s="46"/>
      <c r="V28" s="46"/>
      <c r="W28" s="46"/>
      <c r="X28" s="103"/>
      <c r="Y28" s="103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103"/>
      <c r="AK28" s="103"/>
      <c r="AL28" s="46"/>
      <c r="AM28" s="46"/>
      <c r="AN28" s="46"/>
      <c r="AO28" s="46"/>
      <c r="AP28" s="103"/>
      <c r="AQ28" s="103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103"/>
      <c r="BC28" s="103"/>
      <c r="BD28" s="46"/>
      <c r="BE28" s="46"/>
      <c r="BF28" s="46"/>
      <c r="BG28" s="46"/>
      <c r="BH28" s="103"/>
      <c r="BI28" s="103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103"/>
      <c r="BU28" s="103"/>
      <c r="BV28" s="46"/>
      <c r="BW28" s="46"/>
      <c r="BX28" s="46"/>
      <c r="BY28" s="46"/>
      <c r="BZ28" s="103"/>
      <c r="CA28" s="103"/>
      <c r="CB28" s="46"/>
      <c r="CC28" s="46"/>
      <c r="CD28" s="46"/>
      <c r="CE28" s="46"/>
      <c r="CF28" s="46"/>
      <c r="CG28" s="46"/>
      <c r="CH28" s="46"/>
      <c r="CI28" s="46"/>
      <c r="CJ28" s="46"/>
      <c r="CK28" s="46"/>
      <c r="CL28" s="103"/>
      <c r="CM28" s="103"/>
      <c r="CN28" s="46"/>
      <c r="CO28" s="46"/>
      <c r="CP28" s="46"/>
      <c r="CQ28" s="46"/>
      <c r="CR28" s="103"/>
      <c r="CS28" s="103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105"/>
      <c r="DE28" s="105"/>
      <c r="DF28" s="105"/>
      <c r="DG28" s="105"/>
      <c r="DH28" s="103"/>
      <c r="DI28" s="103"/>
      <c r="DJ28" s="46"/>
      <c r="DK28" s="46"/>
      <c r="DL28" s="46"/>
      <c r="DM28" s="46"/>
      <c r="DN28" s="46"/>
      <c r="DO28" s="46"/>
      <c r="DP28" s="46"/>
      <c r="DQ28" s="46"/>
      <c r="DR28" s="46"/>
      <c r="DS28" s="46"/>
      <c r="DT28" s="103"/>
      <c r="DU28" s="103"/>
      <c r="DV28" s="46"/>
      <c r="DW28" s="46"/>
      <c r="DX28" s="46"/>
      <c r="DY28" s="46"/>
      <c r="DZ28" s="103"/>
      <c r="EA28" s="103"/>
      <c r="EB28" s="46"/>
      <c r="EC28" s="46"/>
      <c r="ED28" s="46"/>
      <c r="EE28" s="46"/>
      <c r="EF28" s="46"/>
      <c r="EG28" s="46"/>
      <c r="EH28" s="46"/>
      <c r="EI28" s="46"/>
      <c r="EJ28" s="46"/>
      <c r="EK28" s="46"/>
      <c r="EL28" s="103"/>
      <c r="EM28" s="103"/>
      <c r="EN28" s="46"/>
      <c r="EO28" s="46"/>
      <c r="EP28" s="46"/>
      <c r="EQ28" s="46"/>
      <c r="ER28" s="103"/>
      <c r="ES28" s="103"/>
      <c r="ET28" s="46"/>
      <c r="EU28" s="46"/>
      <c r="EV28" s="46"/>
      <c r="EW28" s="46"/>
      <c r="EX28" s="46"/>
      <c r="EY28" s="46"/>
      <c r="EZ28" s="46"/>
      <c r="FA28" s="46"/>
      <c r="FB28" s="46"/>
      <c r="FC28" s="46"/>
      <c r="FD28" s="103"/>
      <c r="FE28" s="103"/>
      <c r="FF28" s="46"/>
      <c r="FG28" s="46"/>
      <c r="FH28" s="46"/>
      <c r="FI28" s="46"/>
      <c r="FJ28" s="103"/>
      <c r="FK28" s="103"/>
      <c r="FL28" s="46"/>
      <c r="FM28" s="46"/>
      <c r="FN28" s="46"/>
      <c r="FO28" s="46"/>
      <c r="FP28" s="46"/>
      <c r="FQ28" s="46"/>
      <c r="FR28" s="46"/>
      <c r="FS28" s="46"/>
      <c r="FT28" s="46"/>
      <c r="FU28" s="46"/>
      <c r="FV28" s="103"/>
      <c r="FW28" s="103"/>
      <c r="FX28" s="46"/>
      <c r="FY28" s="46"/>
      <c r="FZ28" s="46"/>
      <c r="GA28" s="46"/>
      <c r="GB28" s="103"/>
      <c r="GC28" s="103"/>
      <c r="GD28" s="46"/>
      <c r="GE28" s="46"/>
      <c r="GF28" s="46"/>
      <c r="GG28" s="46"/>
      <c r="GH28" s="46"/>
      <c r="GI28" s="46"/>
      <c r="GJ28" s="46"/>
      <c r="GK28" s="46"/>
      <c r="GL28" s="46"/>
      <c r="GM28" s="46"/>
      <c r="GN28" s="103"/>
      <c r="GO28" s="103"/>
      <c r="GP28" s="46"/>
      <c r="GQ28" s="46"/>
      <c r="GR28" s="46"/>
      <c r="GS28" s="46"/>
      <c r="GT28" s="103"/>
      <c r="GU28" s="103"/>
      <c r="GV28" s="46"/>
      <c r="GW28" s="46"/>
      <c r="GX28" s="46"/>
      <c r="GY28" s="46"/>
      <c r="GZ28" s="46"/>
      <c r="HA28" s="46"/>
      <c r="HB28" s="46"/>
      <c r="HC28" s="46"/>
      <c r="HD28" s="46"/>
      <c r="HE28" s="46"/>
      <c r="HF28" s="105"/>
      <c r="HG28" s="105"/>
      <c r="HH28" s="105"/>
      <c r="HI28" s="105"/>
      <c r="HJ28" s="105"/>
      <c r="HK28" s="105"/>
      <c r="HL28" s="105"/>
      <c r="HM28" s="105"/>
      <c r="HN28" s="105"/>
      <c r="HO28" s="105"/>
      <c r="HP28" s="105"/>
      <c r="HQ28" s="105"/>
      <c r="HR28" s="105"/>
      <c r="HS28" s="105"/>
      <c r="HT28" s="105"/>
      <c r="HU28" s="105"/>
      <c r="HV28" s="105"/>
      <c r="HW28" s="105"/>
      <c r="HX28" s="105"/>
      <c r="HY28" s="105"/>
      <c r="HZ28" s="105"/>
      <c r="IA28" s="105"/>
      <c r="IB28" s="105"/>
      <c r="IC28" s="105"/>
      <c r="ID28" s="105"/>
      <c r="IE28" s="105"/>
      <c r="IF28" s="105"/>
      <c r="IG28" s="105"/>
    </row>
    <row r="29" customFormat="false" ht="10.5" hidden="false" customHeight="true" outlineLevel="0" collapsed="false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3"/>
      <c r="BK29" s="113"/>
      <c r="BL29" s="113"/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3"/>
      <c r="DA29" s="113"/>
      <c r="DB29" s="113"/>
      <c r="DC29" s="113"/>
      <c r="DD29" s="114"/>
      <c r="DE29" s="113"/>
      <c r="DF29" s="113"/>
      <c r="DG29" s="113"/>
      <c r="DH29" s="113"/>
      <c r="DI29" s="113"/>
      <c r="DJ29" s="113"/>
      <c r="DK29" s="113"/>
      <c r="DL29" s="113"/>
      <c r="DM29" s="113"/>
      <c r="DN29" s="113"/>
      <c r="DO29" s="113"/>
      <c r="DP29" s="113"/>
      <c r="DQ29" s="113"/>
      <c r="DR29" s="113"/>
      <c r="DS29" s="113"/>
      <c r="DT29" s="113"/>
      <c r="DU29" s="113"/>
      <c r="DV29" s="113"/>
      <c r="DW29" s="113"/>
      <c r="DX29" s="113"/>
      <c r="DY29" s="113"/>
      <c r="DZ29" s="113"/>
      <c r="EA29" s="113"/>
      <c r="EB29" s="113"/>
      <c r="EC29" s="113"/>
      <c r="ED29" s="113"/>
      <c r="EE29" s="113"/>
      <c r="EF29" s="113"/>
      <c r="EG29" s="113"/>
      <c r="EH29" s="113"/>
      <c r="EI29" s="113"/>
      <c r="EJ29" s="113"/>
      <c r="EK29" s="113"/>
      <c r="EL29" s="113"/>
      <c r="EM29" s="113"/>
      <c r="EN29" s="113"/>
      <c r="EO29" s="113"/>
      <c r="EP29" s="113"/>
      <c r="EQ29" s="113"/>
      <c r="ER29" s="113"/>
      <c r="ES29" s="113"/>
      <c r="ET29" s="113"/>
      <c r="EU29" s="113"/>
      <c r="EV29" s="113"/>
      <c r="EW29" s="113"/>
      <c r="EX29" s="113"/>
      <c r="EY29" s="113"/>
      <c r="EZ29" s="113"/>
      <c r="FA29" s="113"/>
      <c r="FB29" s="113"/>
      <c r="FC29" s="113"/>
      <c r="FD29" s="113"/>
      <c r="FE29" s="113"/>
      <c r="FF29" s="113"/>
      <c r="FG29" s="113"/>
      <c r="FH29" s="113"/>
      <c r="FI29" s="113"/>
      <c r="FJ29" s="113"/>
      <c r="FK29" s="113"/>
      <c r="FL29" s="113"/>
      <c r="FM29" s="113"/>
      <c r="FN29" s="113"/>
      <c r="FO29" s="113"/>
      <c r="FP29" s="113"/>
      <c r="FQ29" s="113"/>
      <c r="FR29" s="113"/>
      <c r="FS29" s="113"/>
      <c r="FT29" s="113"/>
      <c r="FU29" s="113"/>
      <c r="FV29" s="113"/>
      <c r="FW29" s="113"/>
      <c r="FX29" s="113"/>
      <c r="FY29" s="113"/>
      <c r="FZ29" s="113"/>
      <c r="GA29" s="113"/>
      <c r="GB29" s="113"/>
      <c r="GC29" s="113"/>
      <c r="GD29" s="113"/>
      <c r="GE29" s="113"/>
      <c r="GF29" s="113"/>
      <c r="GG29" s="113"/>
      <c r="GH29" s="113"/>
      <c r="GI29" s="113"/>
      <c r="GJ29" s="113"/>
      <c r="GK29" s="113"/>
      <c r="GL29" s="113"/>
      <c r="GM29" s="113"/>
      <c r="GN29" s="113"/>
      <c r="GO29" s="113"/>
      <c r="GP29" s="113"/>
      <c r="GQ29" s="113"/>
      <c r="GR29" s="113"/>
      <c r="GS29" s="113"/>
      <c r="GT29" s="113"/>
      <c r="GU29" s="113"/>
      <c r="GV29" s="113"/>
      <c r="GW29" s="113"/>
      <c r="GX29" s="113"/>
      <c r="GY29" s="113"/>
      <c r="GZ29" s="113"/>
      <c r="HA29" s="113"/>
      <c r="HB29" s="113"/>
      <c r="HC29" s="113"/>
      <c r="HD29" s="113"/>
      <c r="HE29" s="113"/>
      <c r="HF29" s="114"/>
      <c r="HG29" s="113"/>
      <c r="HH29" s="113"/>
      <c r="HI29" s="113"/>
      <c r="HJ29" s="113"/>
      <c r="HK29" s="113"/>
      <c r="HL29" s="113"/>
      <c r="HM29" s="113"/>
      <c r="HN29" s="113"/>
      <c r="HO29" s="113"/>
      <c r="HP29" s="113"/>
      <c r="HQ29" s="113"/>
      <c r="HR29" s="113"/>
      <c r="HS29" s="113"/>
      <c r="HT29" s="113"/>
      <c r="HU29" s="113"/>
      <c r="HV29" s="113"/>
      <c r="HW29" s="113"/>
      <c r="HX29" s="113"/>
      <c r="HY29" s="113"/>
      <c r="HZ29" s="113"/>
      <c r="IA29" s="113"/>
      <c r="IB29" s="113"/>
      <c r="IC29" s="113"/>
      <c r="ID29" s="113"/>
      <c r="IE29" s="113"/>
      <c r="IF29" s="113"/>
      <c r="IG29" s="113"/>
    </row>
    <row r="30" customFormat="false" ht="15.75" hidden="false" customHeight="true" outlineLevel="0" collapsed="false">
      <c r="A30" s="115"/>
      <c r="B30" s="116" t="s">
        <v>184</v>
      </c>
      <c r="C30" s="116"/>
      <c r="D30" s="116"/>
      <c r="E30" s="116" t="n">
        <v>1040</v>
      </c>
      <c r="F30" s="117" t="s">
        <v>185</v>
      </c>
      <c r="G30" s="117"/>
      <c r="H30" s="117"/>
      <c r="I30" s="117"/>
      <c r="J30" s="117"/>
      <c r="K30" s="117"/>
      <c r="L30" s="117"/>
      <c r="M30" s="117"/>
      <c r="N30" s="117" t="s">
        <v>186</v>
      </c>
      <c r="O30" s="117"/>
      <c r="P30" s="117"/>
      <c r="Q30" s="117"/>
      <c r="R30" s="117"/>
      <c r="S30" s="117"/>
      <c r="T30" s="117"/>
      <c r="U30" s="117"/>
      <c r="V30" s="117" t="s">
        <v>187</v>
      </c>
      <c r="W30" s="117"/>
      <c r="X30" s="117"/>
      <c r="Y30" s="117"/>
      <c r="Z30" s="117"/>
      <c r="AA30" s="117"/>
      <c r="AB30" s="117"/>
      <c r="AC30" s="117"/>
      <c r="AD30" s="117" t="s">
        <v>188</v>
      </c>
      <c r="AE30" s="117"/>
      <c r="AF30" s="117"/>
      <c r="AG30" s="117"/>
      <c r="AH30" s="117"/>
      <c r="AI30" s="117"/>
      <c r="AJ30" s="117"/>
      <c r="AK30" s="117"/>
      <c r="AL30" s="117"/>
      <c r="AM30" s="117"/>
      <c r="AN30" s="117" t="s">
        <v>12</v>
      </c>
      <c r="AO30" s="117"/>
      <c r="AP30" s="117"/>
      <c r="AQ30" s="117"/>
      <c r="AR30" s="117"/>
      <c r="AS30" s="117"/>
      <c r="AT30" s="117"/>
      <c r="AU30" s="117"/>
      <c r="AV30" s="117" t="s">
        <v>189</v>
      </c>
      <c r="AW30" s="117"/>
      <c r="AX30" s="117"/>
      <c r="AY30" s="117"/>
      <c r="AZ30" s="117"/>
      <c r="BA30" s="117"/>
      <c r="BB30" s="117"/>
      <c r="BC30" s="117"/>
      <c r="BD30" s="117" t="s">
        <v>190</v>
      </c>
      <c r="BE30" s="117"/>
      <c r="BF30" s="117"/>
      <c r="BG30" s="117"/>
      <c r="BH30" s="117"/>
      <c r="BI30" s="117"/>
      <c r="BJ30" s="117"/>
      <c r="BK30" s="117"/>
      <c r="BL30" s="117"/>
      <c r="BM30" s="117"/>
      <c r="BN30" s="117" t="s">
        <v>191</v>
      </c>
      <c r="BO30" s="117"/>
      <c r="BP30" s="117"/>
      <c r="BQ30" s="117"/>
      <c r="BR30" s="117"/>
      <c r="BS30" s="117"/>
      <c r="BT30" s="117"/>
      <c r="BU30" s="117"/>
      <c r="BV30" s="117" t="s">
        <v>192</v>
      </c>
      <c r="BW30" s="117"/>
      <c r="BX30" s="117"/>
      <c r="BY30" s="117"/>
      <c r="BZ30" s="117"/>
      <c r="CA30" s="117"/>
      <c r="CB30" s="117"/>
      <c r="CC30" s="117"/>
      <c r="CD30" s="117" t="s">
        <v>193</v>
      </c>
      <c r="CE30" s="117"/>
      <c r="CF30" s="117"/>
      <c r="CG30" s="117"/>
      <c r="CH30" s="117"/>
      <c r="CI30" s="117"/>
      <c r="CJ30" s="117"/>
      <c r="CK30" s="117"/>
      <c r="CL30" s="117" t="s">
        <v>194</v>
      </c>
      <c r="CM30" s="117"/>
      <c r="CN30" s="117"/>
      <c r="CO30" s="117"/>
      <c r="CP30" s="117"/>
      <c r="CQ30" s="117"/>
      <c r="CR30" s="117"/>
      <c r="CS30" s="117"/>
      <c r="CT30" s="117" t="s">
        <v>195</v>
      </c>
      <c r="CU30" s="117"/>
      <c r="CV30" s="117"/>
      <c r="CW30" s="117"/>
      <c r="CX30" s="117"/>
      <c r="CY30" s="117"/>
      <c r="CZ30" s="117"/>
      <c r="DA30" s="117"/>
      <c r="DB30" s="117"/>
      <c r="DC30" s="117"/>
      <c r="DD30" s="114" t="s">
        <v>20</v>
      </c>
      <c r="DE30" s="118"/>
      <c r="DF30" s="118"/>
      <c r="DG30" s="118"/>
      <c r="DH30" s="117" t="s">
        <v>185</v>
      </c>
      <c r="DI30" s="117"/>
      <c r="DJ30" s="117"/>
      <c r="DK30" s="117"/>
      <c r="DL30" s="117"/>
      <c r="DM30" s="117"/>
      <c r="DN30" s="117"/>
      <c r="DO30" s="117"/>
      <c r="DP30" s="117" t="s">
        <v>186</v>
      </c>
      <c r="DQ30" s="117"/>
      <c r="DR30" s="117"/>
      <c r="DS30" s="117"/>
      <c r="DT30" s="117"/>
      <c r="DU30" s="117"/>
      <c r="DV30" s="117"/>
      <c r="DW30" s="117"/>
      <c r="DX30" s="117" t="s">
        <v>187</v>
      </c>
      <c r="DY30" s="117"/>
      <c r="DZ30" s="117"/>
      <c r="EA30" s="117"/>
      <c r="EB30" s="117"/>
      <c r="EC30" s="117"/>
      <c r="ED30" s="117"/>
      <c r="EE30" s="117"/>
      <c r="EF30" s="117" t="s">
        <v>188</v>
      </c>
      <c r="EG30" s="117"/>
      <c r="EH30" s="117"/>
      <c r="EI30" s="117"/>
      <c r="EJ30" s="117"/>
      <c r="EK30" s="117"/>
      <c r="EL30" s="117"/>
      <c r="EM30" s="117"/>
      <c r="EN30" s="117"/>
      <c r="EO30" s="117"/>
      <c r="EP30" s="117" t="s">
        <v>12</v>
      </c>
      <c r="EQ30" s="117"/>
      <c r="ER30" s="117"/>
      <c r="ES30" s="117"/>
      <c r="ET30" s="117"/>
      <c r="EU30" s="117"/>
      <c r="EV30" s="117"/>
      <c r="EW30" s="117"/>
      <c r="EX30" s="117" t="s">
        <v>189</v>
      </c>
      <c r="EY30" s="117"/>
      <c r="EZ30" s="117"/>
      <c r="FA30" s="117"/>
      <c r="FB30" s="117"/>
      <c r="FC30" s="117"/>
      <c r="FD30" s="117"/>
      <c r="FE30" s="117"/>
      <c r="FF30" s="117" t="s">
        <v>190</v>
      </c>
      <c r="FG30" s="117"/>
      <c r="FH30" s="117"/>
      <c r="FI30" s="117"/>
      <c r="FJ30" s="117"/>
      <c r="FK30" s="117"/>
      <c r="FL30" s="117"/>
      <c r="FM30" s="117"/>
      <c r="FN30" s="117"/>
      <c r="FO30" s="117"/>
      <c r="FP30" s="117" t="s">
        <v>191</v>
      </c>
      <c r="FQ30" s="117"/>
      <c r="FR30" s="117"/>
      <c r="FS30" s="117"/>
      <c r="FT30" s="117"/>
      <c r="FU30" s="117"/>
      <c r="FV30" s="117"/>
      <c r="FW30" s="117"/>
      <c r="FX30" s="117" t="s">
        <v>192</v>
      </c>
      <c r="FY30" s="117"/>
      <c r="FZ30" s="117"/>
      <c r="GA30" s="117"/>
      <c r="GB30" s="117"/>
      <c r="GC30" s="117"/>
      <c r="GD30" s="117"/>
      <c r="GE30" s="117"/>
      <c r="GF30" s="117" t="s">
        <v>193</v>
      </c>
      <c r="GG30" s="117"/>
      <c r="GH30" s="117"/>
      <c r="GI30" s="117"/>
      <c r="GJ30" s="117"/>
      <c r="GK30" s="117"/>
      <c r="GL30" s="117"/>
      <c r="GM30" s="117"/>
      <c r="GN30" s="117" t="s">
        <v>194</v>
      </c>
      <c r="GO30" s="117"/>
      <c r="GP30" s="117"/>
      <c r="GQ30" s="117"/>
      <c r="GR30" s="117"/>
      <c r="GS30" s="117"/>
      <c r="GT30" s="117"/>
      <c r="GU30" s="117"/>
      <c r="GV30" s="117" t="s">
        <v>195</v>
      </c>
      <c r="GW30" s="117"/>
      <c r="GX30" s="117"/>
      <c r="GY30" s="117"/>
      <c r="GZ30" s="117"/>
      <c r="HA30" s="117"/>
      <c r="HB30" s="117"/>
      <c r="HC30" s="117"/>
      <c r="HD30" s="117"/>
      <c r="HE30" s="117"/>
      <c r="HF30" s="114" t="s">
        <v>20</v>
      </c>
      <c r="HG30" s="118"/>
      <c r="HH30" s="118"/>
      <c r="HI30" s="118"/>
      <c r="HJ30" s="113"/>
      <c r="HK30" s="113"/>
      <c r="HL30" s="113"/>
      <c r="HM30" s="113"/>
      <c r="HN30" s="113"/>
      <c r="HO30" s="113"/>
      <c r="HP30" s="113"/>
      <c r="HQ30" s="113"/>
      <c r="HR30" s="113"/>
      <c r="HS30" s="113"/>
      <c r="HT30" s="113"/>
      <c r="HU30" s="113"/>
      <c r="HV30" s="113"/>
      <c r="HW30" s="113"/>
      <c r="HX30" s="113"/>
      <c r="HY30" s="113"/>
      <c r="HZ30" s="113"/>
      <c r="IA30" s="113"/>
      <c r="IB30" s="113"/>
      <c r="IC30" s="113"/>
      <c r="ID30" s="113"/>
      <c r="IE30" s="113"/>
      <c r="IF30" s="113"/>
      <c r="IG30" s="113"/>
    </row>
    <row r="31" customFormat="false" ht="15.75" hidden="false" customHeight="true" outlineLevel="0" collapsed="false">
      <c r="A31" s="115"/>
      <c r="B31" s="119" t="s">
        <v>196</v>
      </c>
      <c r="C31" s="119"/>
      <c r="D31" s="119"/>
      <c r="E31" s="120" t="n">
        <f aca="false">SUM(F31:DC31)</f>
        <v>1039</v>
      </c>
      <c r="F31" s="121" t="n">
        <v>47</v>
      </c>
      <c r="G31" s="121"/>
      <c r="H31" s="121"/>
      <c r="I31" s="121"/>
      <c r="J31" s="121"/>
      <c r="K31" s="121"/>
      <c r="L31" s="121"/>
      <c r="M31" s="121"/>
      <c r="N31" s="117" t="n">
        <v>17</v>
      </c>
      <c r="O31" s="117"/>
      <c r="P31" s="117"/>
      <c r="Q31" s="117"/>
      <c r="R31" s="117"/>
      <c r="S31" s="117"/>
      <c r="T31" s="117"/>
      <c r="U31" s="117"/>
      <c r="V31" s="117" t="n">
        <v>70</v>
      </c>
      <c r="W31" s="117"/>
      <c r="X31" s="117"/>
      <c r="Y31" s="117"/>
      <c r="Z31" s="117"/>
      <c r="AA31" s="117"/>
      <c r="AB31" s="117"/>
      <c r="AC31" s="117"/>
      <c r="AD31" s="117" t="n">
        <v>100</v>
      </c>
      <c r="AE31" s="117"/>
      <c r="AF31" s="117"/>
      <c r="AG31" s="117"/>
      <c r="AH31" s="117"/>
      <c r="AI31" s="117"/>
      <c r="AJ31" s="117"/>
      <c r="AK31" s="117"/>
      <c r="AL31" s="117"/>
      <c r="AM31" s="117"/>
      <c r="AN31" s="117" t="n">
        <v>100</v>
      </c>
      <c r="AO31" s="117"/>
      <c r="AP31" s="117"/>
      <c r="AQ31" s="117"/>
      <c r="AR31" s="117"/>
      <c r="AS31" s="117"/>
      <c r="AT31" s="117"/>
      <c r="AU31" s="117"/>
      <c r="AV31" s="117" t="n">
        <v>80</v>
      </c>
      <c r="AW31" s="117"/>
      <c r="AX31" s="117"/>
      <c r="AY31" s="117"/>
      <c r="AZ31" s="117"/>
      <c r="BA31" s="117"/>
      <c r="BB31" s="117"/>
      <c r="BC31" s="117"/>
      <c r="BD31" s="117" t="n">
        <v>140</v>
      </c>
      <c r="BE31" s="117"/>
      <c r="BF31" s="117"/>
      <c r="BG31" s="117"/>
      <c r="BH31" s="117"/>
      <c r="BI31" s="117"/>
      <c r="BJ31" s="117"/>
      <c r="BK31" s="117"/>
      <c r="BL31" s="117"/>
      <c r="BM31" s="117"/>
      <c r="BN31" s="117" t="n">
        <v>145</v>
      </c>
      <c r="BO31" s="117"/>
      <c r="BP31" s="117"/>
      <c r="BQ31" s="117"/>
      <c r="BR31" s="117"/>
      <c r="BS31" s="117"/>
      <c r="BT31" s="117"/>
      <c r="BU31" s="117"/>
      <c r="BV31" s="117" t="n">
        <v>120</v>
      </c>
      <c r="BW31" s="117"/>
      <c r="BX31" s="117"/>
      <c r="BY31" s="117"/>
      <c r="BZ31" s="117"/>
      <c r="CA31" s="117"/>
      <c r="CB31" s="117"/>
      <c r="CC31" s="117"/>
      <c r="CD31" s="117" t="n">
        <v>100</v>
      </c>
      <c r="CE31" s="117"/>
      <c r="CF31" s="117"/>
      <c r="CG31" s="117"/>
      <c r="CH31" s="117"/>
      <c r="CI31" s="117"/>
      <c r="CJ31" s="117"/>
      <c r="CK31" s="117"/>
      <c r="CL31" s="117" t="n">
        <v>80</v>
      </c>
      <c r="CM31" s="117"/>
      <c r="CN31" s="117"/>
      <c r="CO31" s="117"/>
      <c r="CP31" s="117"/>
      <c r="CQ31" s="117"/>
      <c r="CR31" s="117"/>
      <c r="CS31" s="117"/>
      <c r="CT31" s="117" t="n">
        <v>40</v>
      </c>
      <c r="CU31" s="117"/>
      <c r="CV31" s="117"/>
      <c r="CW31" s="117"/>
      <c r="CX31" s="117"/>
      <c r="CY31" s="117"/>
      <c r="CZ31" s="117"/>
      <c r="DA31" s="117"/>
      <c r="DB31" s="117"/>
      <c r="DC31" s="117"/>
      <c r="DD31" s="117" t="n">
        <v>1025</v>
      </c>
      <c r="DE31" s="118"/>
      <c r="DF31" s="118"/>
      <c r="DG31" s="117" t="n">
        <f aca="false">SUM(DH31:HE31)</f>
        <v>1000</v>
      </c>
      <c r="DH31" s="117" t="n">
        <v>20</v>
      </c>
      <c r="DI31" s="117"/>
      <c r="DJ31" s="117"/>
      <c r="DK31" s="117"/>
      <c r="DL31" s="117"/>
      <c r="DM31" s="117"/>
      <c r="DN31" s="117"/>
      <c r="DO31" s="117"/>
      <c r="DP31" s="117" t="n">
        <v>40</v>
      </c>
      <c r="DQ31" s="117"/>
      <c r="DR31" s="117"/>
      <c r="DS31" s="117"/>
      <c r="DT31" s="117"/>
      <c r="DU31" s="117"/>
      <c r="DV31" s="117"/>
      <c r="DW31" s="117"/>
      <c r="DX31" s="117" t="n">
        <v>60</v>
      </c>
      <c r="DY31" s="117"/>
      <c r="DZ31" s="117"/>
      <c r="EA31" s="117"/>
      <c r="EB31" s="117"/>
      <c r="EC31" s="117"/>
      <c r="ED31" s="117"/>
      <c r="EE31" s="117"/>
      <c r="EF31" s="117" t="n">
        <v>100</v>
      </c>
      <c r="EG31" s="117"/>
      <c r="EH31" s="117"/>
      <c r="EI31" s="117"/>
      <c r="EJ31" s="117"/>
      <c r="EK31" s="117"/>
      <c r="EL31" s="117"/>
      <c r="EM31" s="117"/>
      <c r="EN31" s="117"/>
      <c r="EO31" s="117"/>
      <c r="EP31" s="117" t="n">
        <v>120</v>
      </c>
      <c r="EQ31" s="117"/>
      <c r="ER31" s="117"/>
      <c r="ES31" s="117"/>
      <c r="ET31" s="117"/>
      <c r="EU31" s="117"/>
      <c r="EV31" s="117"/>
      <c r="EW31" s="117"/>
      <c r="EX31" s="117" t="n">
        <v>110</v>
      </c>
      <c r="EY31" s="117"/>
      <c r="EZ31" s="117"/>
      <c r="FA31" s="117"/>
      <c r="FB31" s="117"/>
      <c r="FC31" s="117"/>
      <c r="FD31" s="117"/>
      <c r="FE31" s="117"/>
      <c r="FF31" s="117" t="n">
        <v>120</v>
      </c>
      <c r="FG31" s="117"/>
      <c r="FH31" s="117"/>
      <c r="FI31" s="117"/>
      <c r="FJ31" s="117"/>
      <c r="FK31" s="117"/>
      <c r="FL31" s="117"/>
      <c r="FM31" s="117"/>
      <c r="FN31" s="117"/>
      <c r="FO31" s="117"/>
      <c r="FP31" s="117" t="n">
        <v>110</v>
      </c>
      <c r="FQ31" s="117"/>
      <c r="FR31" s="117"/>
      <c r="FS31" s="117"/>
      <c r="FT31" s="117"/>
      <c r="FU31" s="117"/>
      <c r="FV31" s="117"/>
      <c r="FW31" s="117"/>
      <c r="FX31" s="117" t="n">
        <v>120</v>
      </c>
      <c r="FY31" s="117"/>
      <c r="FZ31" s="117"/>
      <c r="GA31" s="117"/>
      <c r="GB31" s="117"/>
      <c r="GC31" s="117"/>
      <c r="GD31" s="117"/>
      <c r="GE31" s="117"/>
      <c r="GF31" s="117" t="n">
        <v>90</v>
      </c>
      <c r="GG31" s="117"/>
      <c r="GH31" s="117"/>
      <c r="GI31" s="117"/>
      <c r="GJ31" s="117"/>
      <c r="GK31" s="117"/>
      <c r="GL31" s="117"/>
      <c r="GM31" s="117"/>
      <c r="GN31" s="117" t="n">
        <v>70</v>
      </c>
      <c r="GO31" s="117"/>
      <c r="GP31" s="117"/>
      <c r="GQ31" s="117"/>
      <c r="GR31" s="117"/>
      <c r="GS31" s="117"/>
      <c r="GT31" s="117"/>
      <c r="GU31" s="117"/>
      <c r="GV31" s="117" t="n">
        <v>40</v>
      </c>
      <c r="GW31" s="117"/>
      <c r="GX31" s="117"/>
      <c r="GY31" s="117"/>
      <c r="GZ31" s="117"/>
      <c r="HA31" s="117"/>
      <c r="HB31" s="117"/>
      <c r="HC31" s="117"/>
      <c r="HD31" s="117"/>
      <c r="HE31" s="117"/>
      <c r="HF31" s="117" t="n">
        <f aca="false">SUM(DH31:HE31)</f>
        <v>1000</v>
      </c>
      <c r="HG31" s="118"/>
      <c r="HH31" s="118"/>
      <c r="HI31" s="118"/>
      <c r="HJ31" s="113"/>
      <c r="HK31" s="113"/>
      <c r="HL31" s="113"/>
      <c r="HM31" s="113"/>
      <c r="HN31" s="113"/>
      <c r="HO31" s="113"/>
      <c r="HP31" s="113"/>
      <c r="HQ31" s="113"/>
      <c r="HR31" s="113"/>
      <c r="HS31" s="113"/>
      <c r="HT31" s="113"/>
      <c r="HU31" s="113"/>
      <c r="HV31" s="113"/>
      <c r="HW31" s="113"/>
      <c r="HX31" s="113"/>
      <c r="HY31" s="113"/>
      <c r="HZ31" s="113"/>
      <c r="IA31" s="113"/>
      <c r="IB31" s="113"/>
      <c r="IC31" s="113"/>
      <c r="ID31" s="113"/>
      <c r="IE31" s="113"/>
      <c r="IF31" s="113"/>
      <c r="IG31" s="113"/>
    </row>
    <row r="32" customFormat="false" ht="18.75" hidden="false" customHeight="true" outlineLevel="0" collapsed="false">
      <c r="A32" s="115"/>
      <c r="B32" s="122" t="s">
        <v>197</v>
      </c>
      <c r="C32" s="122"/>
      <c r="D32" s="122"/>
      <c r="E32" s="123" t="n">
        <f aca="false">SUM(F32:DC32)</f>
        <v>1023.3</v>
      </c>
      <c r="F32" s="124" t="n">
        <f aca="false">F5+H5+J5+L5+F8+H8+J8+L8+F14+H14+J14+L14+F17+H17+J17+L17+F11+H11+J11+L11</f>
        <v>46.95</v>
      </c>
      <c r="G32" s="124"/>
      <c r="H32" s="124"/>
      <c r="I32" s="124"/>
      <c r="J32" s="124"/>
      <c r="K32" s="124"/>
      <c r="L32" s="124"/>
      <c r="M32" s="124"/>
      <c r="N32" s="122" t="n">
        <f aca="false">N5+P5+R5+T5+N8+P8+R8+T8+N14+P14+R14+T14+N17+P17+R17+T17+N11+P11+R11+T11</f>
        <v>16.75</v>
      </c>
      <c r="O32" s="122"/>
      <c r="P32" s="122"/>
      <c r="Q32" s="122"/>
      <c r="R32" s="122"/>
      <c r="S32" s="122"/>
      <c r="T32" s="122"/>
      <c r="U32" s="122"/>
      <c r="V32" s="122" t="n">
        <f aca="false">V5+X5+Z5+AB5+V8+X8+Z8+AB8+V14+X14+Z14+AB14+V17+X17+Z17+AB17+V11+X11+Z11+AB11</f>
        <v>88.3</v>
      </c>
      <c r="W32" s="122"/>
      <c r="X32" s="122"/>
      <c r="Y32" s="122"/>
      <c r="Z32" s="122"/>
      <c r="AA32" s="122"/>
      <c r="AB32" s="122"/>
      <c r="AC32" s="122"/>
      <c r="AD32" s="122" t="n">
        <f aca="false">AD5+AF5+AH5+AJ5+AL5+AD8+AF8+AH8+AJ8+AL8+AD14+AF14+AH14+AJ14+AL14+AD17+AF17+AH17+AJ17+AL17+AD11+AF11+AH11+AJ11+AL11+AD20+AF20+AH20+AJ20+AL20+AD23+AH23+AJ23+AL23</f>
        <v>50.3</v>
      </c>
      <c r="AE32" s="122"/>
      <c r="AF32" s="122"/>
      <c r="AG32" s="122"/>
      <c r="AH32" s="122"/>
      <c r="AI32" s="122"/>
      <c r="AJ32" s="122"/>
      <c r="AK32" s="122"/>
      <c r="AL32" s="122"/>
      <c r="AM32" s="122"/>
      <c r="AN32" s="122" t="n">
        <f aca="false">AN5+AP5+AR5+AT5+AN8+AP8+AR8+AT8+AZ14+BB14+AR14+AN17+AP17+AR17+AT17+AT14+AN11+AP11+AR11+AT11+AP14+AN14+AN20+AP20+AR20+AT20+AN23+AP23+AR23+AT23</f>
        <v>95.6</v>
      </c>
      <c r="AO32" s="122"/>
      <c r="AP32" s="122"/>
      <c r="AQ32" s="122"/>
      <c r="AR32" s="122"/>
      <c r="AS32" s="122"/>
      <c r="AT32" s="122"/>
      <c r="AU32" s="122"/>
      <c r="AV32" s="122" t="n">
        <f aca="false">AV5+AX5+AZ5+BB5+AX8+AV8+AZ8+BB8+AV14+BD14+AX14+AZ14+BB14+BB17+AZ17+AX17+AV17+AV11+AX11+AZ11+BB11+BB20+AZ20+AX20+AV20+AV23+AX23+AZ23+BB23+AV26+AX26+AZ26+BB26</f>
        <v>25.4</v>
      </c>
      <c r="AW32" s="122"/>
      <c r="AX32" s="122"/>
      <c r="AY32" s="122"/>
      <c r="AZ32" s="122"/>
      <c r="BA32" s="122"/>
      <c r="BB32" s="122"/>
      <c r="BC32" s="122"/>
      <c r="BD32" s="116" t="n">
        <f aca="false">BD5+BF5+BH5+BJ5+BL5+BD8+BF8+BH8+BJ8+BL8+BF14+BH14+BJ14+BL14+BD17+BF17+BH17+BJ17+BL17+BD14+BD11+BF11+BH11+BJ11+BL11+BD20+BF20+BH20+BJ20+BL20+BL23+BJ23+BH23+BF23+BD23</f>
        <v>115</v>
      </c>
      <c r="BE32" s="116"/>
      <c r="BF32" s="116"/>
      <c r="BG32" s="116"/>
      <c r="BH32" s="116"/>
      <c r="BI32" s="116"/>
      <c r="BJ32" s="116"/>
      <c r="BK32" s="116"/>
      <c r="BL32" s="116"/>
      <c r="BM32" s="116"/>
      <c r="BN32" s="116" t="n">
        <f aca="false">BN5+BP5+BR5+BT5+BN8+BP8+BR8+BT8+BN14+BP14+BR14+BT14+BN17+BP17+BR17+BT17+BN11+BP11+BR11+BT11+BN20+BP20+BR20+BT20+BT23+BR23+BP23+BN23</f>
        <v>130</v>
      </c>
      <c r="BO32" s="116"/>
      <c r="BP32" s="116"/>
      <c r="BQ32" s="116"/>
      <c r="BR32" s="116"/>
      <c r="BS32" s="116"/>
      <c r="BT32" s="116"/>
      <c r="BU32" s="116"/>
      <c r="BV32" s="116" t="n">
        <f aca="false">BV5+BX5+BZ5+CB5+BV8+BX8+BZ8+CB8+BV14+BX14+BZ14+CB14+BV17+BX17+BZ17+CB17+BV11+BX11+BZ11+CB11+BV20+BX20+BZ20+CB20+CB23+BZ23+BX23+BV23</f>
        <v>125</v>
      </c>
      <c r="BW32" s="116"/>
      <c r="BX32" s="116"/>
      <c r="BY32" s="116"/>
      <c r="BZ32" s="116"/>
      <c r="CA32" s="116"/>
      <c r="CB32" s="116"/>
      <c r="CC32" s="116"/>
      <c r="CD32" s="116" t="n">
        <f aca="false">CD5+CF5+CH5+CJ5+CF8+CH8+CJ8+CD8+CD14+CF14+CH14+CJ14+CD17+CF17+CH17+CJ17+CD11+CF11+CH11+CJ11+CD20+CF20+CH20+CJ20+CH23+CF23+CD23+CJ23</f>
        <v>120</v>
      </c>
      <c r="CE32" s="116"/>
      <c r="CF32" s="116"/>
      <c r="CG32" s="116"/>
      <c r="CH32" s="116"/>
      <c r="CI32" s="116"/>
      <c r="CJ32" s="116"/>
      <c r="CK32" s="116"/>
      <c r="CL32" s="116" t="n">
        <f aca="false">CL5+CN5+CP5+CR5+CL8+CN8+CP8+CR8+CL14+CN14+CP14+CR14+CL17+CN17+CP17+CR17+CL11+CN11+CP11+CR11+CL20+CN20+CP20+CR20+CR23+CP23+CN23+CL23</f>
        <v>110</v>
      </c>
      <c r="CM32" s="116"/>
      <c r="CN32" s="116"/>
      <c r="CO32" s="116"/>
      <c r="CP32" s="116"/>
      <c r="CQ32" s="116"/>
      <c r="CR32" s="116"/>
      <c r="CS32" s="116"/>
      <c r="CT32" s="116" t="n">
        <f aca="false">CT5+CV5+CX5+CZ5+DB5+CT8+CV8+CX8+CZ8+DB8+CT14+CV14+CX14+CZ14+DB14+CT17+CV17+CX17+CZ17+DB17+CT11+CV11+CX11+CZ11+DB11+CT20+CV20+CX20+CZ20+DB20+DB23+CZ23+CX23+CV23+CT23</f>
        <v>100</v>
      </c>
      <c r="CU32" s="116"/>
      <c r="CV32" s="116"/>
      <c r="CW32" s="116"/>
      <c r="CX32" s="116"/>
      <c r="CY32" s="116"/>
      <c r="CZ32" s="116"/>
      <c r="DA32" s="116"/>
      <c r="DB32" s="116"/>
      <c r="DC32" s="116"/>
      <c r="DD32" s="122" t="n">
        <f aca="false">SUM(F32:DC32)</f>
        <v>1023.3</v>
      </c>
      <c r="DE32" s="118"/>
      <c r="DF32" s="118"/>
      <c r="DG32" s="122" t="n">
        <f aca="false">SUM(DH32:HE32)</f>
        <v>985</v>
      </c>
      <c r="DH32" s="116" t="n">
        <f aca="false">DH5+DJ5+DL5+DN5+DH8+DJ8+DL8+DN8+DH14+DJ14+DL14+DN14+DH17+DJ17+DL17+DN17+DH11+DJ11+DL11+DN11</f>
        <v>35</v>
      </c>
      <c r="DI32" s="116"/>
      <c r="DJ32" s="116"/>
      <c r="DK32" s="116"/>
      <c r="DL32" s="116"/>
      <c r="DM32" s="116"/>
      <c r="DN32" s="116"/>
      <c r="DO32" s="116"/>
      <c r="DP32" s="116" t="n">
        <f aca="false">DP5+DR5+DT5+DV5+DP8+DR8+DT8+DV8+DP14+DR14+DT14+DV14+DP17+DR17+DT17+DV17+DP11+DR11+DT11+DV11</f>
        <v>40</v>
      </c>
      <c r="DQ32" s="116"/>
      <c r="DR32" s="116"/>
      <c r="DS32" s="116"/>
      <c r="DT32" s="116"/>
      <c r="DU32" s="116"/>
      <c r="DV32" s="116"/>
      <c r="DW32" s="116"/>
      <c r="DX32" s="116" t="n">
        <f aca="false">DX5+DZ5+EB5+ED5+DX8+DZ8+EB8+ED8+DX14+DZ14+EB14+ED14+DX17+DZ17+EB17+ED17+DX11+DZ11+EB11+ED11</f>
        <v>65</v>
      </c>
      <c r="DY32" s="116"/>
      <c r="DZ32" s="116"/>
      <c r="EA32" s="116"/>
      <c r="EB32" s="116"/>
      <c r="EC32" s="116"/>
      <c r="ED32" s="116"/>
      <c r="EE32" s="116"/>
      <c r="EF32" s="116" t="n">
        <f aca="false">EF5+EH5+EJ5+EL5+EN5+EF8+EH8+EJ8+EL8+EN8+EF14+EH14+EJ14+EL14+EN14+EF17+EH17+EJ17+EL17+EN17+EF11+EH11+EJ11+EL11+EN11</f>
        <v>75</v>
      </c>
      <c r="EG32" s="116"/>
      <c r="EH32" s="116"/>
      <c r="EI32" s="116"/>
      <c r="EJ32" s="116"/>
      <c r="EK32" s="116"/>
      <c r="EL32" s="116"/>
      <c r="EM32" s="116"/>
      <c r="EN32" s="116"/>
      <c r="EO32" s="116"/>
      <c r="EP32" s="116" t="n">
        <f aca="false">EP5+ER5+ET5+EV5+EP8+ER8+ET8+EV8+FB14+FD14+ET14+EP17+ER17+ET17+EV17+EV14+EP11+ER11+ET11+EV11</f>
        <v>115</v>
      </c>
      <c r="EQ32" s="116"/>
      <c r="ER32" s="116"/>
      <c r="ES32" s="116"/>
      <c r="ET32" s="116"/>
      <c r="EU32" s="116"/>
      <c r="EV32" s="116"/>
      <c r="EW32" s="116"/>
      <c r="EX32" s="116" t="n">
        <f aca="false">EX5+EZ5+FB5+FD5+EZ8+EX8+FB8+FD8+EX14+FF14+EZ14+FB14+FD14+FD17+FB17+EZ17+EX17+EX11+EZ11+FB11+FD11</f>
        <v>110</v>
      </c>
      <c r="EY32" s="116"/>
      <c r="EZ32" s="116"/>
      <c r="FA32" s="116"/>
      <c r="FB32" s="116"/>
      <c r="FC32" s="116"/>
      <c r="FD32" s="116"/>
      <c r="FE32" s="116"/>
      <c r="FF32" s="116" t="n">
        <f aca="false">FF5+FH5+FJ5+FL5+FN5+FF8+FH8+FJ8+FL8+FN8+FH14+FJ14+FL14+FN14+FF17+FH17+FJ17+FL17+FN17+FF14+FF11+FH11+FJ11+FL11+FN11</f>
        <v>130</v>
      </c>
      <c r="FG32" s="116"/>
      <c r="FH32" s="116"/>
      <c r="FI32" s="116"/>
      <c r="FJ32" s="116"/>
      <c r="FK32" s="116"/>
      <c r="FL32" s="116"/>
      <c r="FM32" s="116"/>
      <c r="FN32" s="116"/>
      <c r="FO32" s="116"/>
      <c r="FP32" s="116" t="n">
        <f aca="false">FP5+FR5+FT5+FV5+FP8+FR8+FT8+FV8+FP14+FR14+FT14+FV14+FP17+FR17+FT17+FV17+FP11+FR11+FT11+FV11</f>
        <v>105</v>
      </c>
      <c r="FQ32" s="116"/>
      <c r="FR32" s="116"/>
      <c r="FS32" s="116"/>
      <c r="FT32" s="116"/>
      <c r="FU32" s="116"/>
      <c r="FV32" s="116"/>
      <c r="FW32" s="116"/>
      <c r="FX32" s="116" t="n">
        <f aca="false">FX5+FZ5+GB5+GD5+FX8+FZ8+GB8+GD8+FX14+FZ14+GB14+GD14+FX17+FZ17+GB17+GD17+FX11+FZ11+GB11+GD11</f>
        <v>90</v>
      </c>
      <c r="FY32" s="116"/>
      <c r="FZ32" s="116"/>
      <c r="GA32" s="116"/>
      <c r="GB32" s="116"/>
      <c r="GC32" s="116"/>
      <c r="GD32" s="116"/>
      <c r="GE32" s="116"/>
      <c r="GF32" s="116" t="n">
        <f aca="false">GF5+GH5+GJ5+GL5+GH8+GJ8+GL8+GF8+GF14+GH14+GJ14+GL14+GF17+GH17+GJ17+GL17+GF11+GH11+GJ11+GL11</f>
        <v>90</v>
      </c>
      <c r="GG32" s="116"/>
      <c r="GH32" s="116"/>
      <c r="GI32" s="116"/>
      <c r="GJ32" s="116"/>
      <c r="GK32" s="116"/>
      <c r="GL32" s="116"/>
      <c r="GM32" s="116"/>
      <c r="GN32" s="116" t="n">
        <f aca="false">GN5+GP5+GR5+GT5+GN8+GP8+GR8+GT8+GN14+GP14+GR14+GT14+GN17+GP17+GR17+GT17+GN11+GP11+GR11+GT11</f>
        <v>70</v>
      </c>
      <c r="GO32" s="116"/>
      <c r="GP32" s="116"/>
      <c r="GQ32" s="116"/>
      <c r="GR32" s="116"/>
      <c r="GS32" s="116"/>
      <c r="GT32" s="116"/>
      <c r="GU32" s="116"/>
      <c r="GV32" s="116" t="n">
        <f aca="false">GV5+GX5+GZ5+HB5+HD5+GV8+GX8+GZ8+HB8+HD8+GV14+GX14+GZ14+HB14+HD14+GV17+GX17+GZ17+HB17+HD17+GV11+GX11+GZ11+HB11+HD11</f>
        <v>60</v>
      </c>
      <c r="GW32" s="116"/>
      <c r="GX32" s="116"/>
      <c r="GY32" s="116"/>
      <c r="GZ32" s="116"/>
      <c r="HA32" s="116"/>
      <c r="HB32" s="116"/>
      <c r="HC32" s="116"/>
      <c r="HD32" s="116"/>
      <c r="HE32" s="116"/>
      <c r="HF32" s="122" t="n">
        <f aca="false">SUM(DH32:HE32)</f>
        <v>985</v>
      </c>
      <c r="HG32" s="118"/>
      <c r="HH32" s="118"/>
      <c r="HI32" s="118"/>
      <c r="HJ32" s="113"/>
      <c r="HK32" s="113"/>
      <c r="HL32" s="113"/>
      <c r="HM32" s="113"/>
      <c r="HN32" s="113"/>
      <c r="HO32" s="113"/>
      <c r="HP32" s="113"/>
      <c r="HQ32" s="113"/>
      <c r="HR32" s="113"/>
      <c r="HS32" s="113"/>
      <c r="HT32" s="113"/>
      <c r="HU32" s="113"/>
      <c r="HV32" s="113"/>
      <c r="HW32" s="113"/>
      <c r="HX32" s="113"/>
      <c r="HY32" s="113"/>
      <c r="HZ32" s="113"/>
      <c r="IA32" s="113"/>
      <c r="IB32" s="113"/>
      <c r="IC32" s="113"/>
      <c r="ID32" s="113"/>
      <c r="IE32" s="113"/>
      <c r="IF32" s="113"/>
      <c r="IG32" s="113"/>
    </row>
    <row r="33" customFormat="false" ht="11.25" hidden="false" customHeight="true" outlineLevel="0" collapsed="false">
      <c r="A33" s="125"/>
      <c r="B33" s="126"/>
      <c r="C33" s="126"/>
      <c r="D33" s="126"/>
      <c r="E33" s="126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  <c r="CN33" s="127"/>
      <c r="CO33" s="127"/>
      <c r="CP33" s="127"/>
      <c r="CQ33" s="127"/>
      <c r="CR33" s="127"/>
      <c r="CS33" s="127"/>
      <c r="CT33" s="127"/>
      <c r="CU33" s="127"/>
      <c r="CV33" s="127"/>
      <c r="CW33" s="127"/>
      <c r="CX33" s="127"/>
      <c r="CY33" s="127"/>
      <c r="CZ33" s="127"/>
      <c r="DA33" s="127"/>
      <c r="DB33" s="127"/>
      <c r="DC33" s="127"/>
      <c r="DD33" s="128"/>
      <c r="DE33" s="129"/>
      <c r="DF33" s="129"/>
      <c r="DG33" s="129"/>
      <c r="DH33" s="130"/>
      <c r="DI33" s="130"/>
      <c r="DJ33" s="130"/>
      <c r="DK33" s="130"/>
      <c r="DL33" s="130"/>
      <c r="DM33" s="130"/>
      <c r="DN33" s="130"/>
      <c r="DO33" s="130"/>
      <c r="DP33" s="127"/>
      <c r="DQ33" s="127"/>
      <c r="DR33" s="127"/>
      <c r="DS33" s="127"/>
      <c r="DT33" s="127"/>
      <c r="DU33" s="127"/>
      <c r="DV33" s="127"/>
      <c r="DW33" s="127"/>
      <c r="DX33" s="127"/>
      <c r="DY33" s="127"/>
      <c r="DZ33" s="127"/>
      <c r="EA33" s="127"/>
      <c r="EB33" s="127"/>
      <c r="EC33" s="127"/>
      <c r="ED33" s="127"/>
      <c r="EE33" s="127"/>
      <c r="EF33" s="127"/>
      <c r="EG33" s="127"/>
      <c r="EH33" s="127"/>
      <c r="EI33" s="127"/>
      <c r="EJ33" s="127"/>
      <c r="EK33" s="127"/>
      <c r="EL33" s="127"/>
      <c r="EM33" s="127"/>
      <c r="EN33" s="127"/>
      <c r="EO33" s="127"/>
      <c r="EP33" s="127"/>
      <c r="EQ33" s="127"/>
      <c r="ER33" s="127"/>
      <c r="ES33" s="127"/>
      <c r="ET33" s="127"/>
      <c r="EU33" s="127"/>
      <c r="EV33" s="127"/>
      <c r="EW33" s="127"/>
      <c r="EX33" s="127"/>
      <c r="EY33" s="127"/>
      <c r="EZ33" s="127"/>
      <c r="FA33" s="127"/>
      <c r="FB33" s="127"/>
      <c r="FC33" s="127"/>
      <c r="FD33" s="127"/>
      <c r="FE33" s="127"/>
      <c r="FF33" s="127"/>
      <c r="FG33" s="127"/>
      <c r="FH33" s="127"/>
      <c r="FI33" s="127"/>
      <c r="FJ33" s="127"/>
      <c r="FK33" s="127"/>
      <c r="FL33" s="127"/>
      <c r="FM33" s="127"/>
      <c r="FN33" s="127"/>
      <c r="FO33" s="127"/>
      <c r="FP33" s="127"/>
      <c r="FQ33" s="127"/>
      <c r="FR33" s="127"/>
      <c r="FS33" s="127"/>
      <c r="FT33" s="127"/>
      <c r="FU33" s="127"/>
      <c r="FV33" s="127"/>
      <c r="FW33" s="127"/>
      <c r="FX33" s="127"/>
      <c r="FY33" s="127"/>
      <c r="FZ33" s="127"/>
      <c r="GA33" s="127"/>
      <c r="GB33" s="127"/>
      <c r="GC33" s="127"/>
      <c r="GD33" s="127"/>
      <c r="GE33" s="127"/>
      <c r="GF33" s="127"/>
      <c r="GG33" s="127"/>
      <c r="GH33" s="127"/>
      <c r="GI33" s="127"/>
      <c r="GJ33" s="127"/>
      <c r="GK33" s="127"/>
      <c r="GL33" s="127"/>
      <c r="GM33" s="127"/>
      <c r="GN33" s="127"/>
      <c r="GO33" s="127"/>
      <c r="GP33" s="127"/>
      <c r="GQ33" s="127"/>
      <c r="GR33" s="127"/>
      <c r="GS33" s="127"/>
      <c r="GT33" s="127"/>
      <c r="GU33" s="127"/>
      <c r="GV33" s="127"/>
      <c r="GW33" s="127"/>
      <c r="GX33" s="127"/>
      <c r="GY33" s="127"/>
      <c r="GZ33" s="127"/>
      <c r="HA33" s="127"/>
      <c r="HB33" s="127"/>
      <c r="HC33" s="127"/>
      <c r="HD33" s="127"/>
      <c r="HE33" s="127"/>
      <c r="HF33" s="128"/>
      <c r="HG33" s="129"/>
      <c r="HH33" s="129"/>
      <c r="HI33" s="129"/>
      <c r="HJ33" s="131"/>
      <c r="HK33" s="131"/>
      <c r="HL33" s="131"/>
      <c r="HM33" s="131"/>
      <c r="HN33" s="131"/>
      <c r="HO33" s="131"/>
      <c r="HP33" s="131"/>
      <c r="HQ33" s="131"/>
      <c r="HR33" s="131"/>
      <c r="HS33" s="131"/>
      <c r="HT33" s="131"/>
      <c r="HU33" s="131"/>
      <c r="HV33" s="131"/>
      <c r="HW33" s="131"/>
      <c r="HX33" s="131"/>
      <c r="HY33" s="131"/>
      <c r="HZ33" s="131"/>
      <c r="IA33" s="131"/>
      <c r="IB33" s="131"/>
      <c r="IC33" s="131"/>
      <c r="ID33" s="131"/>
      <c r="IE33" s="131"/>
      <c r="IF33" s="131"/>
      <c r="IG33" s="131"/>
    </row>
    <row r="34" customFormat="false" ht="15.75" hidden="false" customHeight="true" outlineLevel="0" collapsed="false">
      <c r="A34" s="125"/>
      <c r="B34" s="132" t="s">
        <v>198</v>
      </c>
      <c r="C34" s="132"/>
      <c r="D34" s="132"/>
      <c r="E34" s="133" t="n">
        <v>1536</v>
      </c>
      <c r="F34" s="117" t="s">
        <v>185</v>
      </c>
      <c r="G34" s="117"/>
      <c r="H34" s="117"/>
      <c r="I34" s="117"/>
      <c r="J34" s="117"/>
      <c r="K34" s="117"/>
      <c r="L34" s="117"/>
      <c r="M34" s="117"/>
      <c r="N34" s="117" t="s">
        <v>186</v>
      </c>
      <c r="O34" s="117"/>
      <c r="P34" s="117"/>
      <c r="Q34" s="117"/>
      <c r="R34" s="117"/>
      <c r="S34" s="117"/>
      <c r="T34" s="117"/>
      <c r="U34" s="117"/>
      <c r="V34" s="117" t="s">
        <v>187</v>
      </c>
      <c r="W34" s="117"/>
      <c r="X34" s="117"/>
      <c r="Y34" s="117"/>
      <c r="Z34" s="117"/>
      <c r="AA34" s="117"/>
      <c r="AB34" s="117"/>
      <c r="AC34" s="117"/>
      <c r="AD34" s="117" t="s">
        <v>188</v>
      </c>
      <c r="AE34" s="117"/>
      <c r="AF34" s="117"/>
      <c r="AG34" s="117"/>
      <c r="AH34" s="117"/>
      <c r="AI34" s="117"/>
      <c r="AJ34" s="117"/>
      <c r="AK34" s="117"/>
      <c r="AL34" s="117"/>
      <c r="AM34" s="117"/>
      <c r="AN34" s="117" t="s">
        <v>12</v>
      </c>
      <c r="AO34" s="117"/>
      <c r="AP34" s="117"/>
      <c r="AQ34" s="117"/>
      <c r="AR34" s="117"/>
      <c r="AS34" s="117"/>
      <c r="AT34" s="117"/>
      <c r="AU34" s="117"/>
      <c r="AV34" s="117" t="s">
        <v>189</v>
      </c>
      <c r="AW34" s="117"/>
      <c r="AX34" s="117"/>
      <c r="AY34" s="117"/>
      <c r="AZ34" s="117"/>
      <c r="BA34" s="117"/>
      <c r="BB34" s="117"/>
      <c r="BC34" s="117"/>
      <c r="BD34" s="117" t="s">
        <v>190</v>
      </c>
      <c r="BE34" s="117"/>
      <c r="BF34" s="117"/>
      <c r="BG34" s="117"/>
      <c r="BH34" s="117"/>
      <c r="BI34" s="117"/>
      <c r="BJ34" s="117"/>
      <c r="BK34" s="117"/>
      <c r="BL34" s="117"/>
      <c r="BM34" s="117"/>
      <c r="BN34" s="117" t="s">
        <v>191</v>
      </c>
      <c r="BO34" s="117"/>
      <c r="BP34" s="117"/>
      <c r="BQ34" s="117"/>
      <c r="BR34" s="117"/>
      <c r="BS34" s="117"/>
      <c r="BT34" s="117"/>
      <c r="BU34" s="117"/>
      <c r="BV34" s="117" t="s">
        <v>192</v>
      </c>
      <c r="BW34" s="117"/>
      <c r="BX34" s="117"/>
      <c r="BY34" s="117"/>
      <c r="BZ34" s="117"/>
      <c r="CA34" s="117"/>
      <c r="CB34" s="117"/>
      <c r="CC34" s="117"/>
      <c r="CD34" s="117" t="s">
        <v>193</v>
      </c>
      <c r="CE34" s="117"/>
      <c r="CF34" s="117"/>
      <c r="CG34" s="117"/>
      <c r="CH34" s="117"/>
      <c r="CI34" s="117"/>
      <c r="CJ34" s="117"/>
      <c r="CK34" s="117"/>
      <c r="CL34" s="117" t="s">
        <v>194</v>
      </c>
      <c r="CM34" s="117"/>
      <c r="CN34" s="117"/>
      <c r="CO34" s="117"/>
      <c r="CP34" s="117"/>
      <c r="CQ34" s="117"/>
      <c r="CR34" s="117"/>
      <c r="CS34" s="117"/>
      <c r="CT34" s="117" t="s">
        <v>195</v>
      </c>
      <c r="CU34" s="117"/>
      <c r="CV34" s="117"/>
      <c r="CW34" s="117"/>
      <c r="CX34" s="117"/>
      <c r="CY34" s="117"/>
      <c r="CZ34" s="117"/>
      <c r="DA34" s="117"/>
      <c r="DB34" s="117"/>
      <c r="DC34" s="117"/>
      <c r="DD34" s="114" t="s">
        <v>20</v>
      </c>
      <c r="DE34" s="118"/>
      <c r="DF34" s="118"/>
      <c r="DG34" s="118"/>
      <c r="DH34" s="117" t="s">
        <v>185</v>
      </c>
      <c r="DI34" s="117"/>
      <c r="DJ34" s="117"/>
      <c r="DK34" s="117"/>
      <c r="DL34" s="117"/>
      <c r="DM34" s="117"/>
      <c r="DN34" s="117"/>
      <c r="DO34" s="117"/>
      <c r="DP34" s="117" t="s">
        <v>186</v>
      </c>
      <c r="DQ34" s="117"/>
      <c r="DR34" s="117"/>
      <c r="DS34" s="117"/>
      <c r="DT34" s="117"/>
      <c r="DU34" s="117"/>
      <c r="DV34" s="117"/>
      <c r="DW34" s="117"/>
      <c r="DX34" s="117" t="s">
        <v>187</v>
      </c>
      <c r="DY34" s="117"/>
      <c r="DZ34" s="117"/>
      <c r="EA34" s="117"/>
      <c r="EB34" s="117"/>
      <c r="EC34" s="117"/>
      <c r="ED34" s="117"/>
      <c r="EE34" s="117"/>
      <c r="EF34" s="117" t="s">
        <v>188</v>
      </c>
      <c r="EG34" s="117"/>
      <c r="EH34" s="117"/>
      <c r="EI34" s="117"/>
      <c r="EJ34" s="117"/>
      <c r="EK34" s="117"/>
      <c r="EL34" s="117"/>
      <c r="EM34" s="117"/>
      <c r="EN34" s="117"/>
      <c r="EO34" s="117"/>
      <c r="EP34" s="117" t="s">
        <v>12</v>
      </c>
      <c r="EQ34" s="117"/>
      <c r="ER34" s="117"/>
      <c r="ES34" s="117"/>
      <c r="ET34" s="117"/>
      <c r="EU34" s="117"/>
      <c r="EV34" s="117"/>
      <c r="EW34" s="117"/>
      <c r="EX34" s="117" t="s">
        <v>189</v>
      </c>
      <c r="EY34" s="117"/>
      <c r="EZ34" s="117"/>
      <c r="FA34" s="117"/>
      <c r="FB34" s="117"/>
      <c r="FC34" s="117"/>
      <c r="FD34" s="117"/>
      <c r="FE34" s="117"/>
      <c r="FF34" s="117" t="s">
        <v>190</v>
      </c>
      <c r="FG34" s="117"/>
      <c r="FH34" s="117"/>
      <c r="FI34" s="117"/>
      <c r="FJ34" s="117"/>
      <c r="FK34" s="117"/>
      <c r="FL34" s="117"/>
      <c r="FM34" s="117"/>
      <c r="FN34" s="117"/>
      <c r="FO34" s="117"/>
      <c r="FP34" s="117" t="s">
        <v>191</v>
      </c>
      <c r="FQ34" s="117"/>
      <c r="FR34" s="117"/>
      <c r="FS34" s="117"/>
      <c r="FT34" s="117"/>
      <c r="FU34" s="117"/>
      <c r="FV34" s="117"/>
      <c r="FW34" s="117"/>
      <c r="FX34" s="117" t="s">
        <v>192</v>
      </c>
      <c r="FY34" s="117"/>
      <c r="FZ34" s="117"/>
      <c r="GA34" s="117"/>
      <c r="GB34" s="117"/>
      <c r="GC34" s="117"/>
      <c r="GD34" s="117"/>
      <c r="GE34" s="117"/>
      <c r="GF34" s="117" t="s">
        <v>193</v>
      </c>
      <c r="GG34" s="117"/>
      <c r="GH34" s="117"/>
      <c r="GI34" s="117"/>
      <c r="GJ34" s="117"/>
      <c r="GK34" s="117"/>
      <c r="GL34" s="117"/>
      <c r="GM34" s="117"/>
      <c r="GN34" s="117" t="s">
        <v>194</v>
      </c>
      <c r="GO34" s="117"/>
      <c r="GP34" s="117"/>
      <c r="GQ34" s="117"/>
      <c r="GR34" s="117"/>
      <c r="GS34" s="117"/>
      <c r="GT34" s="117"/>
      <c r="GU34" s="117"/>
      <c r="GV34" s="117" t="s">
        <v>195</v>
      </c>
      <c r="GW34" s="117"/>
      <c r="GX34" s="117"/>
      <c r="GY34" s="117"/>
      <c r="GZ34" s="117"/>
      <c r="HA34" s="117"/>
      <c r="HB34" s="117"/>
      <c r="HC34" s="117"/>
      <c r="HD34" s="117"/>
      <c r="HE34" s="117"/>
      <c r="HF34" s="114" t="s">
        <v>20</v>
      </c>
      <c r="HG34" s="118"/>
      <c r="HH34" s="118"/>
      <c r="HI34" s="118"/>
      <c r="HJ34" s="113"/>
      <c r="HK34" s="113"/>
      <c r="HL34" s="113"/>
      <c r="HM34" s="113"/>
      <c r="HN34" s="113"/>
      <c r="HO34" s="113"/>
      <c r="HP34" s="113"/>
      <c r="HQ34" s="113"/>
      <c r="HR34" s="113"/>
      <c r="HS34" s="113"/>
      <c r="HT34" s="113"/>
      <c r="HU34" s="113"/>
      <c r="HV34" s="113"/>
      <c r="HW34" s="113"/>
      <c r="HX34" s="113"/>
      <c r="HY34" s="113"/>
      <c r="HZ34" s="113"/>
      <c r="IA34" s="113"/>
      <c r="IB34" s="113"/>
      <c r="IC34" s="113"/>
      <c r="ID34" s="113"/>
      <c r="IE34" s="113"/>
      <c r="IF34" s="113"/>
      <c r="IG34" s="113"/>
    </row>
    <row r="35" customFormat="false" ht="15.75" hidden="false" customHeight="true" outlineLevel="0" collapsed="false">
      <c r="A35" s="125"/>
      <c r="B35" s="119" t="s">
        <v>196</v>
      </c>
      <c r="C35" s="119"/>
      <c r="D35" s="119"/>
      <c r="E35" s="120" t="n">
        <f aca="false">SUM(F35:DC35)</f>
        <v>1545</v>
      </c>
      <c r="F35" s="121" t="n">
        <v>40</v>
      </c>
      <c r="G35" s="121"/>
      <c r="H35" s="121"/>
      <c r="I35" s="121"/>
      <c r="J35" s="121"/>
      <c r="K35" s="121"/>
      <c r="L35" s="121"/>
      <c r="M35" s="121"/>
      <c r="N35" s="117" t="n">
        <v>7</v>
      </c>
      <c r="O35" s="117"/>
      <c r="P35" s="117"/>
      <c r="Q35" s="117"/>
      <c r="R35" s="117"/>
      <c r="S35" s="117"/>
      <c r="T35" s="117"/>
      <c r="U35" s="117"/>
      <c r="V35" s="117" t="n">
        <v>26</v>
      </c>
      <c r="W35" s="117"/>
      <c r="X35" s="117"/>
      <c r="Y35" s="117"/>
      <c r="Z35" s="117"/>
      <c r="AA35" s="117"/>
      <c r="AB35" s="117"/>
      <c r="AC35" s="117"/>
      <c r="AD35" s="117" t="n">
        <v>215</v>
      </c>
      <c r="AE35" s="117"/>
      <c r="AF35" s="117"/>
      <c r="AG35" s="117"/>
      <c r="AH35" s="117"/>
      <c r="AI35" s="117"/>
      <c r="AJ35" s="117"/>
      <c r="AK35" s="117"/>
      <c r="AL35" s="117"/>
      <c r="AM35" s="117"/>
      <c r="AN35" s="117" t="n">
        <v>220</v>
      </c>
      <c r="AO35" s="117"/>
      <c r="AP35" s="117"/>
      <c r="AQ35" s="117"/>
      <c r="AR35" s="117"/>
      <c r="AS35" s="117"/>
      <c r="AT35" s="117"/>
      <c r="AU35" s="117"/>
      <c r="AV35" s="117" t="n">
        <v>170</v>
      </c>
      <c r="AW35" s="117"/>
      <c r="AX35" s="117"/>
      <c r="AY35" s="117"/>
      <c r="AZ35" s="117"/>
      <c r="BA35" s="117"/>
      <c r="BB35" s="117"/>
      <c r="BC35" s="117"/>
      <c r="BD35" s="117" t="n">
        <v>170</v>
      </c>
      <c r="BE35" s="117"/>
      <c r="BF35" s="117"/>
      <c r="BG35" s="117"/>
      <c r="BH35" s="117"/>
      <c r="BI35" s="117"/>
      <c r="BJ35" s="117"/>
      <c r="BK35" s="117"/>
      <c r="BL35" s="117"/>
      <c r="BM35" s="117"/>
      <c r="BN35" s="117" t="n">
        <v>170</v>
      </c>
      <c r="BO35" s="117"/>
      <c r="BP35" s="117"/>
      <c r="BQ35" s="117"/>
      <c r="BR35" s="117"/>
      <c r="BS35" s="117"/>
      <c r="BT35" s="117"/>
      <c r="BU35" s="117"/>
      <c r="BV35" s="117" t="n">
        <v>160</v>
      </c>
      <c r="BW35" s="117"/>
      <c r="BX35" s="117"/>
      <c r="BY35" s="117"/>
      <c r="BZ35" s="117"/>
      <c r="CA35" s="117"/>
      <c r="CB35" s="117"/>
      <c r="CC35" s="117"/>
      <c r="CD35" s="117" t="n">
        <v>160</v>
      </c>
      <c r="CE35" s="117"/>
      <c r="CF35" s="117"/>
      <c r="CG35" s="117"/>
      <c r="CH35" s="117"/>
      <c r="CI35" s="117"/>
      <c r="CJ35" s="117"/>
      <c r="CK35" s="117"/>
      <c r="CL35" s="117" t="n">
        <v>143</v>
      </c>
      <c r="CM35" s="117"/>
      <c r="CN35" s="117"/>
      <c r="CO35" s="117"/>
      <c r="CP35" s="117"/>
      <c r="CQ35" s="117"/>
      <c r="CR35" s="117"/>
      <c r="CS35" s="117"/>
      <c r="CT35" s="117" t="n">
        <v>64</v>
      </c>
      <c r="CU35" s="117"/>
      <c r="CV35" s="117"/>
      <c r="CW35" s="117"/>
      <c r="CX35" s="117"/>
      <c r="CY35" s="117"/>
      <c r="CZ35" s="117"/>
      <c r="DA35" s="117"/>
      <c r="DB35" s="117"/>
      <c r="DC35" s="117"/>
      <c r="DD35" s="117" t="n">
        <v>1536</v>
      </c>
      <c r="DE35" s="118"/>
      <c r="DF35" s="118"/>
      <c r="DG35" s="117" t="n">
        <f aca="false">SUM(DH35:HE35)</f>
        <v>1600</v>
      </c>
      <c r="DH35" s="117" t="n">
        <v>40</v>
      </c>
      <c r="DI35" s="117"/>
      <c r="DJ35" s="117"/>
      <c r="DK35" s="117"/>
      <c r="DL35" s="117"/>
      <c r="DM35" s="117"/>
      <c r="DN35" s="117"/>
      <c r="DO35" s="117"/>
      <c r="DP35" s="117" t="n">
        <v>40</v>
      </c>
      <c r="DQ35" s="117"/>
      <c r="DR35" s="117"/>
      <c r="DS35" s="117"/>
      <c r="DT35" s="117"/>
      <c r="DU35" s="117"/>
      <c r="DV35" s="117"/>
      <c r="DW35" s="117"/>
      <c r="DX35" s="117" t="n">
        <v>60</v>
      </c>
      <c r="DY35" s="117"/>
      <c r="DZ35" s="117"/>
      <c r="EA35" s="117"/>
      <c r="EB35" s="117"/>
      <c r="EC35" s="117"/>
      <c r="ED35" s="117"/>
      <c r="EE35" s="117"/>
      <c r="EF35" s="117" t="n">
        <v>120</v>
      </c>
      <c r="EG35" s="117"/>
      <c r="EH35" s="117"/>
      <c r="EI35" s="117"/>
      <c r="EJ35" s="117"/>
      <c r="EK35" s="117"/>
      <c r="EL35" s="117"/>
      <c r="EM35" s="117"/>
      <c r="EN35" s="117"/>
      <c r="EO35" s="117"/>
      <c r="EP35" s="117" t="n">
        <v>160</v>
      </c>
      <c r="EQ35" s="117"/>
      <c r="ER35" s="117"/>
      <c r="ES35" s="117"/>
      <c r="ET35" s="117"/>
      <c r="EU35" s="117"/>
      <c r="EV35" s="117"/>
      <c r="EW35" s="117"/>
      <c r="EX35" s="117" t="n">
        <v>150</v>
      </c>
      <c r="EY35" s="117"/>
      <c r="EZ35" s="117"/>
      <c r="FA35" s="117"/>
      <c r="FB35" s="117"/>
      <c r="FC35" s="117"/>
      <c r="FD35" s="117"/>
      <c r="FE35" s="117"/>
      <c r="FF35" s="117" t="n">
        <v>180</v>
      </c>
      <c r="FG35" s="117"/>
      <c r="FH35" s="117"/>
      <c r="FI35" s="117"/>
      <c r="FJ35" s="117"/>
      <c r="FK35" s="117"/>
      <c r="FL35" s="117"/>
      <c r="FM35" s="117"/>
      <c r="FN35" s="117"/>
      <c r="FO35" s="117"/>
      <c r="FP35" s="117" t="n">
        <v>180</v>
      </c>
      <c r="FQ35" s="117"/>
      <c r="FR35" s="117"/>
      <c r="FS35" s="117"/>
      <c r="FT35" s="117"/>
      <c r="FU35" s="117"/>
      <c r="FV35" s="117"/>
      <c r="FW35" s="117"/>
      <c r="FX35" s="117" t="n">
        <v>200</v>
      </c>
      <c r="FY35" s="117"/>
      <c r="FZ35" s="117"/>
      <c r="GA35" s="117"/>
      <c r="GB35" s="117"/>
      <c r="GC35" s="117"/>
      <c r="GD35" s="117"/>
      <c r="GE35" s="117"/>
      <c r="GF35" s="117" t="n">
        <v>230</v>
      </c>
      <c r="GG35" s="117"/>
      <c r="GH35" s="117"/>
      <c r="GI35" s="117"/>
      <c r="GJ35" s="117"/>
      <c r="GK35" s="117"/>
      <c r="GL35" s="117"/>
      <c r="GM35" s="117"/>
      <c r="GN35" s="117" t="n">
        <v>180</v>
      </c>
      <c r="GO35" s="117"/>
      <c r="GP35" s="117"/>
      <c r="GQ35" s="117"/>
      <c r="GR35" s="117"/>
      <c r="GS35" s="117"/>
      <c r="GT35" s="117"/>
      <c r="GU35" s="117"/>
      <c r="GV35" s="117" t="n">
        <v>60</v>
      </c>
      <c r="GW35" s="117"/>
      <c r="GX35" s="117"/>
      <c r="GY35" s="117"/>
      <c r="GZ35" s="117"/>
      <c r="HA35" s="117"/>
      <c r="HB35" s="117"/>
      <c r="HC35" s="117"/>
      <c r="HD35" s="117"/>
      <c r="HE35" s="117"/>
      <c r="HF35" s="117" t="n">
        <f aca="false">SUM(DH35:HE35)</f>
        <v>1600</v>
      </c>
      <c r="HG35" s="118"/>
      <c r="HH35" s="118"/>
      <c r="HI35" s="118"/>
      <c r="HJ35" s="113"/>
      <c r="HK35" s="113"/>
      <c r="HL35" s="113"/>
      <c r="HM35" s="113"/>
      <c r="HN35" s="113"/>
      <c r="HO35" s="113"/>
      <c r="HP35" s="113"/>
      <c r="HQ35" s="113"/>
      <c r="HR35" s="113"/>
      <c r="HS35" s="113"/>
      <c r="HT35" s="113"/>
      <c r="HU35" s="113"/>
      <c r="HV35" s="113"/>
      <c r="HW35" s="113"/>
      <c r="HX35" s="113"/>
      <c r="HY35" s="113"/>
      <c r="HZ35" s="113"/>
      <c r="IA35" s="113"/>
      <c r="IB35" s="113"/>
      <c r="IC35" s="113"/>
      <c r="ID35" s="113"/>
      <c r="IE35" s="113"/>
      <c r="IF35" s="113"/>
      <c r="IG35" s="113"/>
    </row>
    <row r="36" customFormat="false" ht="18.75" hidden="false" customHeight="true" outlineLevel="0" collapsed="false">
      <c r="A36" s="134"/>
      <c r="B36" s="135" t="s">
        <v>197</v>
      </c>
      <c r="C36" s="135"/>
      <c r="D36" s="135"/>
      <c r="E36" s="136" t="n">
        <f aca="false">SUM(F36:DC36)</f>
        <v>1533.05</v>
      </c>
      <c r="F36" s="137" t="n">
        <f aca="false">G5+I5+K5+M5+G8+I8+K8+M8+G14+I14+K14+M14+G17+I17+K17+M17+G11+I11+K11+M11+M20</f>
        <v>41.2</v>
      </c>
      <c r="G36" s="137"/>
      <c r="H36" s="137"/>
      <c r="I36" s="137"/>
      <c r="J36" s="137"/>
      <c r="K36" s="137"/>
      <c r="L36" s="137"/>
      <c r="M36" s="137"/>
      <c r="N36" s="135" t="n">
        <f aca="false">O5+Q5+S5+U5+O8+Q8+S8+U8+O14+Q14+S14+U14+O17+Q17+S17+U17+O11+Q11+S11+U11+O20+Q20+S20+U20</f>
        <v>6.4</v>
      </c>
      <c r="O36" s="135"/>
      <c r="P36" s="135"/>
      <c r="Q36" s="135"/>
      <c r="R36" s="135"/>
      <c r="S36" s="135"/>
      <c r="T36" s="135"/>
      <c r="U36" s="135"/>
      <c r="V36" s="135" t="n">
        <f aca="false">W5+Y5+AA5+AC5+W8+Y8+AA8+AC8+W14+Y14+AA14+AC14+W17+Y17+AA17+AC17+W11+Y11+AA11+AC11+W20+Y20+AA20+AC20</f>
        <v>39.85</v>
      </c>
      <c r="W36" s="135"/>
      <c r="X36" s="135"/>
      <c r="Y36" s="135"/>
      <c r="Z36" s="135"/>
      <c r="AA36" s="135"/>
      <c r="AB36" s="135"/>
      <c r="AC36" s="135"/>
      <c r="AD36" s="135" t="n">
        <f aca="false">AE5+AG5+AI5+AK5+AM5+AE8+AG8+AI8+AK8+AM8+AE14+AG14+AI14+AK14+AM14+AE17+AG17+AI17+AK17+AM17+AE11+AG11+AI11+AK11+AM11+AE20+AG20+AI20+AK20+AM20+AE23+AG23+AI23+AK23+AM23</f>
        <v>39.1</v>
      </c>
      <c r="AE36" s="135"/>
      <c r="AF36" s="135"/>
      <c r="AG36" s="135"/>
      <c r="AH36" s="135"/>
      <c r="AI36" s="135"/>
      <c r="AJ36" s="135"/>
      <c r="AK36" s="135"/>
      <c r="AL36" s="135"/>
      <c r="AM36" s="135"/>
      <c r="AN36" s="135" t="n">
        <f aca="false">AO5+AQ5+AS5+AU5+AO8+AQ8+AS8+AU8+AO14+AQ14+AS14+AU14+AO17+AQ17+AS17+AU17+AO11+AQ11+AS11+AU11+AO20+AQ20+AS20+AU20+AO23+AQ23+AS23+AU23</f>
        <v>216.5</v>
      </c>
      <c r="AO36" s="135"/>
      <c r="AP36" s="135"/>
      <c r="AQ36" s="135"/>
      <c r="AR36" s="135"/>
      <c r="AS36" s="135"/>
      <c r="AT36" s="135"/>
      <c r="AU36" s="135"/>
      <c r="AV36" s="135" t="n">
        <f aca="false">AW5+AY5+BA5+BC5+AW8+AY8+BA8+BC8+AW14+AY14+BA14+BC14+BC17+BA17+AY17+AW17+AW11+AY11+BA11+BC11+AW20+AY20+BA20+BC20+BC23+BA23+AY23+AW23+AY26+BA26+BC26</f>
        <v>210</v>
      </c>
      <c r="AW36" s="135"/>
      <c r="AX36" s="135"/>
      <c r="AY36" s="135"/>
      <c r="AZ36" s="135"/>
      <c r="BA36" s="135"/>
      <c r="BB36" s="135"/>
      <c r="BC36" s="135"/>
      <c r="BD36" s="132" t="n">
        <f aca="false">BE5+BG5+BI5+BK5+BM5+BE8+BG8+BI8+BK8+BM8+BE14+BG14+BI14+BK14+BM14+BE17+BG17+BI17+BK17+BM17+BE11+BG11+BI11+BK11+BM11+BE20+BG20+BI20+BK20+BM20+BM23+BK23+BI23+BG23+BE23+BE26+BG26+BI26+BK26+BM26</f>
        <v>235</v>
      </c>
      <c r="BE36" s="132"/>
      <c r="BF36" s="132"/>
      <c r="BG36" s="132"/>
      <c r="BH36" s="132"/>
      <c r="BI36" s="132"/>
      <c r="BJ36" s="132"/>
      <c r="BK36" s="132"/>
      <c r="BL36" s="132"/>
      <c r="BM36" s="132"/>
      <c r="BN36" s="132" t="n">
        <f aca="false">BO5+BQ5+BS5+BU5+BO8+BQ8+BS8+BU8+BO14+BQ14+BS14+BU14+BO17+BQ17+BS17+BU17+BO11+BQ11+BS11+BU11+BO20+BQ20+BS20+BU20+BO23+BQ23+BS23+BU23+BO26+BQ26+BS26+BU26</f>
        <v>190</v>
      </c>
      <c r="BO36" s="132"/>
      <c r="BP36" s="132"/>
      <c r="BQ36" s="132"/>
      <c r="BR36" s="132"/>
      <c r="BS36" s="132"/>
      <c r="BT36" s="132"/>
      <c r="BU36" s="132"/>
      <c r="BV36" s="132" t="n">
        <f aca="false">BW5+BY5+CA5+CC5+BW8+BY8+CA8+CC8+BW14+BY14+CA14+CC14+BW17+BY17+CA17+CC17+BW11+BY11+CA11+CC11+BW20+BY20+CA20+CC20+BW23+BY23+CA23+CC23+BW26+BY26+CA26+CC26</f>
        <v>190</v>
      </c>
      <c r="BW36" s="132"/>
      <c r="BX36" s="132"/>
      <c r="BY36" s="132"/>
      <c r="BZ36" s="132"/>
      <c r="CA36" s="132"/>
      <c r="CB36" s="132"/>
      <c r="CC36" s="132"/>
      <c r="CD36" s="132" t="n">
        <f aca="false">CE5+CG5+CI5+CK5+CE8+CG8+CI8+CK8+CE14+CG14+CI14+CK14+CE17+CG17+CI17+CK17+CE11+CG11+CI11+CK11+CE20+CG20+CI20+CK20+CE23+CG23+CI23+CK23+CE26+CG26+CI26+CK26</f>
        <v>175</v>
      </c>
      <c r="CE36" s="132"/>
      <c r="CF36" s="132"/>
      <c r="CG36" s="132"/>
      <c r="CH36" s="132"/>
      <c r="CI36" s="132"/>
      <c r="CJ36" s="132"/>
      <c r="CK36" s="132"/>
      <c r="CL36" s="132" t="n">
        <f aca="false">CM5+CO5+CQ5+CS5+CM8+CO8+CQ8+CS8+CO14+CQ14+CS14+CM14+CM17+CO17+CQ17+CS17+CO11+CQ11+CS11+CM11+CM20+CO20+CQ20+CS20+CM23+CO23+CQ23+CS23+CM26+CO26+CQ26+CS26</f>
        <v>115</v>
      </c>
      <c r="CM36" s="132"/>
      <c r="CN36" s="132"/>
      <c r="CO36" s="132"/>
      <c r="CP36" s="132"/>
      <c r="CQ36" s="132"/>
      <c r="CR36" s="132"/>
      <c r="CS36" s="132"/>
      <c r="CT36" s="132" t="n">
        <f aca="false">CU5+CW5+CY5+DA5+DC5+CU8+CW8+CY8+DA8+DC8+CU14+CW14+CY14+DA14+DC14+CU17+CW17+CY17+DA17+DC17+CU11+CW11+CY11+DA11+DC11+CU20+CW20+CY20+DA20+DC20+CU23+CW23+CY23+DA23+DC23+CU26+CW26+CY26+DA26+DC26</f>
        <v>75</v>
      </c>
      <c r="CU36" s="132"/>
      <c r="CV36" s="132"/>
      <c r="CW36" s="132"/>
      <c r="CX36" s="132"/>
      <c r="CY36" s="132"/>
      <c r="CZ36" s="132"/>
      <c r="DA36" s="132"/>
      <c r="DB36" s="132"/>
      <c r="DC36" s="132"/>
      <c r="DD36" s="138" t="n">
        <f aca="false">SUM(F36:DC36)</f>
        <v>1533.05</v>
      </c>
      <c r="DE36" s="139"/>
      <c r="DF36" s="139"/>
      <c r="DG36" s="135" t="n">
        <f aca="false">SUM(DH36:HE36)</f>
        <v>1345</v>
      </c>
      <c r="DH36" s="132" t="n">
        <f aca="false">DI5+DK5+DM5+DO5+DI8+DK8+DM8+DO8+DI14+DK14+DM14+DO14+DI17+DK17+DM17+DO17+DI11+DK11+DM11+DO11+DO20+DM20+DK20+DI20+DI23+DK23+DM23+DO23+DI26+DK26+DM26+DO26</f>
        <v>70</v>
      </c>
      <c r="DI36" s="132"/>
      <c r="DJ36" s="132"/>
      <c r="DK36" s="132"/>
      <c r="DL36" s="132"/>
      <c r="DM36" s="132"/>
      <c r="DN36" s="132"/>
      <c r="DO36" s="132"/>
      <c r="DP36" s="132" t="n">
        <f aca="false">DQ5+DS5+DU5+DW5+DQ8+DS8+DU8+DW8+DQ14+DS14+DU14+DW14+DQ17+DS17+DU17+DW17+DQ11+DS11+DU11+DW11+DQ20+DS20+DU20+DW20+DQ23+DS23+DU23+DW23+DQ26+DS26+DU26+DW26</f>
        <v>120</v>
      </c>
      <c r="DQ36" s="132"/>
      <c r="DR36" s="132"/>
      <c r="DS36" s="132"/>
      <c r="DT36" s="132"/>
      <c r="DU36" s="132"/>
      <c r="DV36" s="132"/>
      <c r="DW36" s="132"/>
      <c r="DX36" s="132" t="n">
        <f aca="false">DY5+EA5+EC5+EE5+DY8+EA8+EC8+EE8+DY14+EA14+EC14+EE14+DY17+EA17+EC17+EE17+DY11+EA11+EC11+EE11+DY20+EA20+EC20+EE20+DY23+EA23+EC23+EE23+DY26+EA26+EC26+EE26</f>
        <v>135</v>
      </c>
      <c r="DY36" s="132"/>
      <c r="DZ36" s="132"/>
      <c r="EA36" s="132"/>
      <c r="EB36" s="132"/>
      <c r="EC36" s="132"/>
      <c r="ED36" s="132"/>
      <c r="EE36" s="132"/>
      <c r="EF36" s="132" t="n">
        <f aca="false">EG5+EI5+EK5+EM5+EO5+EG8+EI8+EK8+EM8+EO8+EG14+EI14+EK14+EM14+EO14+EG17+EI17+EK17+EM17+EO17+EG11+EI11+EK11+EM11+EO11+EG20+EI20+EK20+EM20+EO20+EG23+EI23+EK23+EM23+EO23</f>
        <v>110</v>
      </c>
      <c r="EG36" s="132"/>
      <c r="EH36" s="132"/>
      <c r="EI36" s="132"/>
      <c r="EJ36" s="132"/>
      <c r="EK36" s="132"/>
      <c r="EL36" s="132"/>
      <c r="EM36" s="132"/>
      <c r="EN36" s="132"/>
      <c r="EO36" s="132"/>
      <c r="EP36" s="132" t="n">
        <f aca="false">EQ5+ES5+EU5+EW5+EQ8+ES8+EU8+EW8+EQ14+ES14+EU14+EW14+EQ17+ES17+EU17+EW17+EQ11+ES11+EU11+EW11+EQ20+ES20+EU20+EW20+EQ23+ES23+EU23+EW23</f>
        <v>95</v>
      </c>
      <c r="EQ36" s="132"/>
      <c r="ER36" s="132"/>
      <c r="ES36" s="132"/>
      <c r="ET36" s="132"/>
      <c r="EU36" s="132"/>
      <c r="EV36" s="132"/>
      <c r="EW36" s="132"/>
      <c r="EX36" s="132" t="n">
        <f aca="false">EY5+FA5+FC5+FE5+EY8+FA8+FC8+FE8+EY14+FA14+FC14+FE14+FE17+FC17+FA17+EY17+EY11+FA11+FC11+FE11+EY20+FA20+FC20+FE20+EY23+FA23+FC23+FE23</f>
        <v>55</v>
      </c>
      <c r="EY36" s="132"/>
      <c r="EZ36" s="132"/>
      <c r="FA36" s="132"/>
      <c r="FB36" s="132"/>
      <c r="FC36" s="132"/>
      <c r="FD36" s="132"/>
      <c r="FE36" s="132"/>
      <c r="FF36" s="132" t="n">
        <f aca="false">FG5+FI5+FK5+FM5+FO5+FG8+FI8+FK8+FM8+FO8+FG14+FI14+FK14+FM14+FO14+FG17+FI17+FK17+FM17+FO17+FG11+FI11+FK11+FM11+FO11+FG20+FI20+FK20+FM20+FO20+FG23+FI23+FK23+FM23+FO23</f>
        <v>125</v>
      </c>
      <c r="FG36" s="132"/>
      <c r="FH36" s="132"/>
      <c r="FI36" s="132"/>
      <c r="FJ36" s="132"/>
      <c r="FK36" s="132"/>
      <c r="FL36" s="132"/>
      <c r="FM36" s="132"/>
      <c r="FN36" s="132"/>
      <c r="FO36" s="132"/>
      <c r="FP36" s="132" t="n">
        <f aca="false">FQ5+FS5+FU5+FW5+FQ8+FS8+FU8+FW8+FQ14+FS14+FU14+FW14+FQ17+FS17+FU17+FW17+FQ11+FS11+FU11+FW11+FQ20+FS20+FU20+FW20+FQ23+FS23+FU23+FW23</f>
        <v>140</v>
      </c>
      <c r="FQ36" s="132"/>
      <c r="FR36" s="132"/>
      <c r="FS36" s="132"/>
      <c r="FT36" s="132"/>
      <c r="FU36" s="132"/>
      <c r="FV36" s="132"/>
      <c r="FW36" s="132"/>
      <c r="FX36" s="132" t="n">
        <f aca="false">FY5+GA5+GC5+GE5+FY8+GA8+GC8+GE8+FY14+GA14+GC14+GE14+FY17+GA17+GC17+GE17+FY11+GA11+GC11+GE11+FY20+GA20+GC20+GE20+FY23+GA23+GC23+GE23</f>
        <v>145</v>
      </c>
      <c r="FY36" s="132"/>
      <c r="FZ36" s="132"/>
      <c r="GA36" s="132"/>
      <c r="GB36" s="132"/>
      <c r="GC36" s="132"/>
      <c r="GD36" s="132"/>
      <c r="GE36" s="132"/>
      <c r="GF36" s="132" t="n">
        <f aca="false">GG5+GI5+GK5+GM5+GG8+GI8+GK8+GM8+GG14+GI14+GK14+GM14+GG17+GI17+GK17+GM17+GG11+GI11+GK11+GM11+GG20+GI20+GK20+GM20+GG23+GI23+GK23+GM23</f>
        <v>165</v>
      </c>
      <c r="GG36" s="132"/>
      <c r="GH36" s="132"/>
      <c r="GI36" s="132"/>
      <c r="GJ36" s="132"/>
      <c r="GK36" s="132"/>
      <c r="GL36" s="132"/>
      <c r="GM36" s="132"/>
      <c r="GN36" s="132" t="n">
        <f aca="false">GO5+GQ5+GS5+GU5+GO8+GQ8+GS8+GU8+GQ14+GS14+GU14+GO14+GO17+GQ17+GS17+GU17+GQ11+GS11+GU11+GO11+GO20+GQ20+GS20+GU20+GO23+GQ23+GS23+GU23</f>
        <v>120</v>
      </c>
      <c r="GO36" s="132"/>
      <c r="GP36" s="132"/>
      <c r="GQ36" s="132"/>
      <c r="GR36" s="132"/>
      <c r="GS36" s="132"/>
      <c r="GT36" s="132"/>
      <c r="GU36" s="132"/>
      <c r="GV36" s="132" t="n">
        <f aca="false">GW5+GY5+HA5+HC5+HE5+GW8+GY8+HA8+HC8+HE8+GW14+GY14+HA14+HC14+HE14+GW17+GY17+HA17+HC17+HE17+GW11+GY11+HA11+HC11+HE11+GW20+GY20+HA20+HC20+HE20+GW23+GY23+HA23+HC23+HE23</f>
        <v>65</v>
      </c>
      <c r="GW36" s="132"/>
      <c r="GX36" s="132"/>
      <c r="GY36" s="132"/>
      <c r="GZ36" s="132"/>
      <c r="HA36" s="132"/>
      <c r="HB36" s="132"/>
      <c r="HC36" s="132"/>
      <c r="HD36" s="132"/>
      <c r="HE36" s="132"/>
      <c r="HF36" s="138" t="n">
        <f aca="false">SUM(DH36:HE36)</f>
        <v>1345</v>
      </c>
      <c r="HG36" s="139"/>
      <c r="HH36" s="139"/>
      <c r="HI36" s="139"/>
      <c r="HJ36" s="140"/>
      <c r="HK36" s="140"/>
      <c r="HL36" s="140"/>
      <c r="HM36" s="140"/>
      <c r="HN36" s="140"/>
      <c r="HO36" s="140"/>
      <c r="HP36" s="140"/>
      <c r="HQ36" s="140"/>
      <c r="HR36" s="140"/>
      <c r="HS36" s="140"/>
      <c r="HT36" s="140"/>
      <c r="HU36" s="140"/>
      <c r="HV36" s="140"/>
      <c r="HW36" s="140"/>
      <c r="HX36" s="140"/>
      <c r="HY36" s="140"/>
      <c r="HZ36" s="140"/>
      <c r="IA36" s="140"/>
      <c r="IB36" s="140"/>
      <c r="IC36" s="140"/>
      <c r="ID36" s="140"/>
      <c r="IE36" s="140"/>
      <c r="IF36" s="140"/>
      <c r="IG36" s="140"/>
    </row>
    <row r="37" customFormat="false" ht="15.75" hidden="false" customHeight="true" outlineLevel="0" collapsed="false">
      <c r="A37" s="1"/>
      <c r="B37" s="2"/>
      <c r="C37" s="1"/>
      <c r="D37" s="1"/>
      <c r="E37" s="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132" t="n">
        <v>1536</v>
      </c>
      <c r="DE37" s="141" t="s">
        <v>198</v>
      </c>
      <c r="DF37" s="141"/>
      <c r="DG37" s="141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132"/>
      <c r="HG37" s="141" t="s">
        <v>199</v>
      </c>
      <c r="HH37" s="141"/>
      <c r="HI37" s="141"/>
      <c r="HJ37" s="113"/>
      <c r="HK37" s="113"/>
      <c r="HL37" s="113"/>
      <c r="HM37" s="113"/>
      <c r="HN37" s="113"/>
      <c r="HO37" s="113"/>
      <c r="HP37" s="113"/>
      <c r="HQ37" s="113"/>
      <c r="HR37" s="113"/>
      <c r="HS37" s="113"/>
      <c r="HT37" s="113"/>
      <c r="HU37" s="113"/>
      <c r="HV37" s="113"/>
      <c r="HW37" s="113"/>
      <c r="HX37" s="113"/>
      <c r="HY37" s="113"/>
      <c r="HZ37" s="113"/>
      <c r="IA37" s="113"/>
      <c r="IB37" s="113"/>
      <c r="IC37" s="113"/>
      <c r="ID37" s="113"/>
      <c r="IE37" s="113"/>
      <c r="IF37" s="113"/>
      <c r="IG37" s="113"/>
    </row>
    <row r="38" customFormat="false" ht="15.75" hidden="false" customHeight="true" outlineLevel="0" collapsed="false">
      <c r="A38" s="1"/>
      <c r="B38" s="2"/>
      <c r="C38" s="1"/>
      <c r="D38" s="1"/>
      <c r="E38" s="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</row>
    <row r="39" customFormat="false" ht="15.75" hidden="false" customHeight="true" outlineLevel="0" collapsed="false">
      <c r="A39" s="1"/>
      <c r="B39" s="2"/>
      <c r="C39" s="1"/>
      <c r="D39" s="1"/>
      <c r="E39" s="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42" t="s">
        <v>200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142" t="s">
        <v>200</v>
      </c>
      <c r="DJ39" s="3"/>
      <c r="DK39" s="3"/>
      <c r="DL39" s="3"/>
      <c r="DM39" s="3"/>
      <c r="DN39" s="3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</row>
    <row r="40" customFormat="false" ht="15.75" hidden="false" customHeight="true" outlineLevel="0" collapsed="false">
      <c r="A40" s="1"/>
      <c r="B40" s="2"/>
      <c r="C40" s="1"/>
      <c r="D40" s="1"/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14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143"/>
      <c r="DJ40" s="3"/>
      <c r="DK40" s="3"/>
      <c r="DL40" s="3"/>
      <c r="DM40" s="3"/>
      <c r="DN40" s="3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</row>
    <row r="41" customFormat="false" ht="15.75" hidden="false" customHeight="true" outlineLevel="0" collapsed="false">
      <c r="A41" s="1"/>
      <c r="B41" s="2"/>
      <c r="C41" s="1"/>
      <c r="D41" s="1"/>
      <c r="E41" s="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142" t="s">
        <v>201</v>
      </c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142" t="s">
        <v>201</v>
      </c>
      <c r="DJ41" s="3"/>
      <c r="DK41" s="3"/>
      <c r="DL41" s="3"/>
      <c r="DM41" s="3"/>
      <c r="DN41" s="3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</row>
    <row r="42" customFormat="false" ht="15.75" hidden="false" customHeight="true" outlineLevel="0" collapsed="false">
      <c r="A42" s="1"/>
      <c r="B42" s="2"/>
      <c r="C42" s="1"/>
      <c r="D42" s="1"/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142" t="s">
        <v>202</v>
      </c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142" t="s">
        <v>202</v>
      </c>
      <c r="DJ42" s="3"/>
      <c r="DK42" s="3"/>
      <c r="DL42" s="3"/>
      <c r="DM42" s="3"/>
      <c r="DN42" s="3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</row>
    <row r="43" customFormat="false" ht="15.75" hidden="false" customHeight="true" outlineLevel="0" collapsed="false">
      <c r="A43" s="1"/>
      <c r="B43" s="2"/>
      <c r="C43" s="1"/>
      <c r="D43" s="1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142" t="s">
        <v>203</v>
      </c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142" t="s">
        <v>203</v>
      </c>
      <c r="DJ43" s="3"/>
      <c r="DK43" s="3"/>
      <c r="DL43" s="3"/>
      <c r="DM43" s="3"/>
      <c r="DN43" s="3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</row>
    <row r="44" customFormat="false" ht="15.75" hidden="false" customHeight="true" outlineLevel="0" collapsed="false">
      <c r="A44" s="1"/>
      <c r="B44" s="2"/>
      <c r="C44" s="1"/>
      <c r="D44" s="1"/>
      <c r="E44" s="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142" t="s">
        <v>204</v>
      </c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142" t="s">
        <v>204</v>
      </c>
      <c r="DJ44" s="3"/>
      <c r="DK44" s="3"/>
      <c r="DL44" s="3"/>
      <c r="DM44" s="3"/>
      <c r="DN44" s="3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</row>
    <row r="45" customFormat="false" ht="15.75" hidden="false" customHeight="true" outlineLevel="0" collapsed="false">
      <c r="A45" s="1"/>
      <c r="B45" s="2"/>
      <c r="C45" s="1"/>
      <c r="D45" s="1"/>
      <c r="E45" s="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142" t="s">
        <v>205</v>
      </c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142" t="s">
        <v>205</v>
      </c>
      <c r="DJ45" s="3"/>
      <c r="DK45" s="3"/>
      <c r="DL45" s="3"/>
      <c r="DM45" s="3"/>
      <c r="DN45" s="3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</row>
    <row r="46" customFormat="false" ht="15.75" hidden="false" customHeight="true" outlineLevel="0" collapsed="false">
      <c r="A46" s="1"/>
      <c r="B46" s="2"/>
      <c r="C46" s="1"/>
      <c r="D46" s="1"/>
      <c r="E46" s="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142" t="s">
        <v>206</v>
      </c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142" t="s">
        <v>206</v>
      </c>
      <c r="DJ46" s="3"/>
      <c r="DK46" s="3"/>
      <c r="DL46" s="3"/>
      <c r="DM46" s="3"/>
      <c r="DN46" s="3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</row>
    <row r="47" customFormat="false" ht="15.75" hidden="false" customHeight="true" outlineLevel="0" collapsed="false">
      <c r="A47" s="1"/>
      <c r="B47" s="2"/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142" t="s">
        <v>207</v>
      </c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142" t="s">
        <v>207</v>
      </c>
      <c r="DJ47" s="3"/>
      <c r="DK47" s="3"/>
      <c r="DL47" s="3"/>
      <c r="DM47" s="3"/>
      <c r="DN47" s="3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</row>
    <row r="48" customFormat="false" ht="15.75" hidden="false" customHeight="true" outlineLevel="0" collapsed="false">
      <c r="A48" s="1"/>
      <c r="B48" s="2"/>
      <c r="C48" s="1"/>
      <c r="D48" s="1"/>
      <c r="E48" s="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142" t="s">
        <v>208</v>
      </c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142" t="s">
        <v>208</v>
      </c>
      <c r="DJ48" s="3"/>
      <c r="DK48" s="3"/>
      <c r="DL48" s="3"/>
      <c r="DM48" s="3"/>
      <c r="DN48" s="3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</row>
    <row r="49" customFormat="false" ht="15.75" hidden="false" customHeight="true" outlineLevel="0" collapsed="false">
      <c r="A49" s="1"/>
      <c r="B49" s="2"/>
      <c r="C49" s="1"/>
      <c r="D49" s="1"/>
      <c r="E49" s="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142" t="s">
        <v>209</v>
      </c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142" t="s">
        <v>209</v>
      </c>
      <c r="DJ49" s="3"/>
      <c r="DK49" s="3"/>
      <c r="DL49" s="3"/>
      <c r="DM49" s="3"/>
      <c r="DN49" s="3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</row>
    <row r="50" customFormat="false" ht="15.75" hidden="false" customHeight="true" outlineLevel="0" collapsed="false">
      <c r="A50" s="1"/>
      <c r="B50" s="2"/>
      <c r="C50" s="1"/>
      <c r="D50" s="1"/>
      <c r="E50" s="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142" t="s">
        <v>210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142" t="s">
        <v>210</v>
      </c>
      <c r="DJ50" s="3"/>
      <c r="DK50" s="3"/>
      <c r="DL50" s="3"/>
      <c r="DM50" s="3"/>
      <c r="DN50" s="3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</row>
    <row r="51" customFormat="false" ht="15.75" hidden="false" customHeight="true" outlineLevel="0" collapsed="false">
      <c r="A51" s="1"/>
      <c r="B51" s="2"/>
      <c r="C51" s="1"/>
      <c r="D51" s="1"/>
      <c r="E51" s="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142" t="s">
        <v>211</v>
      </c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142" t="s">
        <v>211</v>
      </c>
      <c r="DJ51" s="3"/>
      <c r="DK51" s="3"/>
      <c r="DL51" s="3"/>
      <c r="DM51" s="3"/>
      <c r="DN51" s="3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</sheetData>
  <mergeCells count="1916">
    <mergeCell ref="A2:A3"/>
    <mergeCell ref="B2:B3"/>
    <mergeCell ref="C2:C3"/>
    <mergeCell ref="D2:D3"/>
    <mergeCell ref="E2:E3"/>
    <mergeCell ref="F2:DE2"/>
    <mergeCell ref="DF2:DG2"/>
    <mergeCell ref="DH2:HG2"/>
    <mergeCell ref="HH2:HI2"/>
    <mergeCell ref="F3:M3"/>
    <mergeCell ref="N3:U3"/>
    <mergeCell ref="V3:AC3"/>
    <mergeCell ref="AD3:AM3"/>
    <mergeCell ref="AN3:AU3"/>
    <mergeCell ref="AV3:BC3"/>
    <mergeCell ref="BD3:BM3"/>
    <mergeCell ref="BN3:BU3"/>
    <mergeCell ref="BV3:CC3"/>
    <mergeCell ref="CD3:CK3"/>
    <mergeCell ref="CL3:CS3"/>
    <mergeCell ref="CT3:DC3"/>
    <mergeCell ref="DD3:DD4"/>
    <mergeCell ref="DE3:DE4"/>
    <mergeCell ref="DF3:DF4"/>
    <mergeCell ref="DG3:DG4"/>
    <mergeCell ref="DH3:DO3"/>
    <mergeCell ref="DP3:DW3"/>
    <mergeCell ref="DX3:EE3"/>
    <mergeCell ref="EF3:EO3"/>
    <mergeCell ref="EP3:EW3"/>
    <mergeCell ref="EX3:FE3"/>
    <mergeCell ref="FF3:FO3"/>
    <mergeCell ref="FP3:FW3"/>
    <mergeCell ref="FX3:GE3"/>
    <mergeCell ref="GF3:GM3"/>
    <mergeCell ref="GN3:GU3"/>
    <mergeCell ref="GV3:HE3"/>
    <mergeCell ref="HF3:HF4"/>
    <mergeCell ref="HG3:HG4"/>
    <mergeCell ref="HH3:HH4"/>
    <mergeCell ref="HI3:HI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W4"/>
    <mergeCell ref="CX4:CY4"/>
    <mergeCell ref="CZ4:DA4"/>
    <mergeCell ref="DB4:DC4"/>
    <mergeCell ref="DH4:DI4"/>
    <mergeCell ref="DJ4:DK4"/>
    <mergeCell ref="DL4:DM4"/>
    <mergeCell ref="DN4:DO4"/>
    <mergeCell ref="DP4:DQ4"/>
    <mergeCell ref="DR4:DS4"/>
    <mergeCell ref="DT4:DU4"/>
    <mergeCell ref="DV4:DW4"/>
    <mergeCell ref="DX4:DY4"/>
    <mergeCell ref="DZ4:EA4"/>
    <mergeCell ref="EB4:EC4"/>
    <mergeCell ref="ED4:EE4"/>
    <mergeCell ref="EF4:EG4"/>
    <mergeCell ref="EH4:EI4"/>
    <mergeCell ref="EJ4:EK4"/>
    <mergeCell ref="EL4:EM4"/>
    <mergeCell ref="EN4:EO4"/>
    <mergeCell ref="EP4:EQ4"/>
    <mergeCell ref="ER4:ES4"/>
    <mergeCell ref="ET4:EU4"/>
    <mergeCell ref="EV4:EW4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P4:FQ4"/>
    <mergeCell ref="FR4:FS4"/>
    <mergeCell ref="FT4:FU4"/>
    <mergeCell ref="FV4:FW4"/>
    <mergeCell ref="FX4:FY4"/>
    <mergeCell ref="FZ4:GA4"/>
    <mergeCell ref="GB4:GC4"/>
    <mergeCell ref="GD4:GE4"/>
    <mergeCell ref="GF4:GG4"/>
    <mergeCell ref="GH4:GI4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  <mergeCell ref="HB4:HC4"/>
    <mergeCell ref="HD4:HE4"/>
    <mergeCell ref="A5:A7"/>
    <mergeCell ref="B5:B7"/>
    <mergeCell ref="C5:C7"/>
    <mergeCell ref="D5:D7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T6:CU6"/>
    <mergeCell ref="CV6:CW6"/>
    <mergeCell ref="CX6:CY6"/>
    <mergeCell ref="CZ6:DA6"/>
    <mergeCell ref="DB6:DC6"/>
    <mergeCell ref="DH6:DI6"/>
    <mergeCell ref="DJ6:DK6"/>
    <mergeCell ref="EB6:EC6"/>
    <mergeCell ref="ED6:EE6"/>
    <mergeCell ref="EF6:EG6"/>
    <mergeCell ref="EH6:EI6"/>
    <mergeCell ref="EJ6:EK6"/>
    <mergeCell ref="EL6:EM6"/>
    <mergeCell ref="EN6:EO6"/>
    <mergeCell ref="ER6:ES6"/>
    <mergeCell ref="ET6:EU6"/>
    <mergeCell ref="EV6:EW6"/>
    <mergeCell ref="EZ6:FA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R6:GS6"/>
    <mergeCell ref="GT6:GU6"/>
    <mergeCell ref="GV6:GW6"/>
    <mergeCell ref="GX6:GY6"/>
    <mergeCell ref="GZ6:HA6"/>
    <mergeCell ref="HB6:HC6"/>
    <mergeCell ref="HD6:HE6"/>
    <mergeCell ref="HF6:HG6"/>
    <mergeCell ref="HH6:HI6"/>
    <mergeCell ref="HJ6:HK6"/>
    <mergeCell ref="HL6:HM6"/>
    <mergeCell ref="HN6:HO6"/>
    <mergeCell ref="HP6:HQ6"/>
    <mergeCell ref="F7:AA7"/>
    <mergeCell ref="AB7:BG7"/>
    <mergeCell ref="BH7:BI7"/>
    <mergeCell ref="BJ7:BK7"/>
    <mergeCell ref="BL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H7:DI7"/>
    <mergeCell ref="DJ7:DK7"/>
    <mergeCell ref="DL7:DM7"/>
    <mergeCell ref="DN7:DO7"/>
    <mergeCell ref="DP7:DQ7"/>
    <mergeCell ref="DR7:DS7"/>
    <mergeCell ref="DT7:DU7"/>
    <mergeCell ref="DV7:DW7"/>
    <mergeCell ref="DX7:DY7"/>
    <mergeCell ref="DZ7:EA7"/>
    <mergeCell ref="EB7:EC7"/>
    <mergeCell ref="ED7:EE7"/>
    <mergeCell ref="EF7:EG7"/>
    <mergeCell ref="EH7:EI7"/>
    <mergeCell ref="EJ7:EK7"/>
    <mergeCell ref="EL7:EM7"/>
    <mergeCell ref="EN7:EO7"/>
    <mergeCell ref="EP7:EQ7"/>
    <mergeCell ref="ER7:ES7"/>
    <mergeCell ref="ET7:EU7"/>
    <mergeCell ref="EV7:EW7"/>
    <mergeCell ref="EX7:EY7"/>
    <mergeCell ref="EZ7:FA7"/>
    <mergeCell ref="FB7:FC7"/>
    <mergeCell ref="FD7:FE7"/>
    <mergeCell ref="FF7:FG7"/>
    <mergeCell ref="FH7:FI7"/>
    <mergeCell ref="FJ7:FK7"/>
    <mergeCell ref="FL7:FM7"/>
    <mergeCell ref="FN7:FO7"/>
    <mergeCell ref="FP7:FQ7"/>
    <mergeCell ref="FR7:FS7"/>
    <mergeCell ref="FT7:FU7"/>
    <mergeCell ref="FV7:FW7"/>
    <mergeCell ref="FX7:FY7"/>
    <mergeCell ref="FZ7:GA7"/>
    <mergeCell ref="GB7:GC7"/>
    <mergeCell ref="GD7:GE7"/>
    <mergeCell ref="GF7:GG7"/>
    <mergeCell ref="GH7:GI7"/>
    <mergeCell ref="GJ7:GK7"/>
    <mergeCell ref="GL7:GM7"/>
    <mergeCell ref="GN7:GO7"/>
    <mergeCell ref="GP7:GQ7"/>
    <mergeCell ref="GR7:GS7"/>
    <mergeCell ref="GT7:GU7"/>
    <mergeCell ref="GV7:GW7"/>
    <mergeCell ref="GX7:GY7"/>
    <mergeCell ref="GZ7:HA7"/>
    <mergeCell ref="HB7:HC7"/>
    <mergeCell ref="HD7:HE7"/>
    <mergeCell ref="A8:A10"/>
    <mergeCell ref="B8:B10"/>
    <mergeCell ref="C8:C10"/>
    <mergeCell ref="D8:D10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X9:AY9"/>
    <mergeCell ref="AZ9:BA9"/>
    <mergeCell ref="BB9:BC9"/>
    <mergeCell ref="BD9:BE9"/>
    <mergeCell ref="BF9:BG9"/>
    <mergeCell ref="BH9:BI9"/>
    <mergeCell ref="BJ9:BK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H9:DI9"/>
    <mergeCell ref="DJ9:DK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L9:EM9"/>
    <mergeCell ref="EP9:EQ9"/>
    <mergeCell ref="ET9:EU9"/>
    <mergeCell ref="EX9:EY9"/>
    <mergeCell ref="EZ9:FA9"/>
    <mergeCell ref="FB9:FC9"/>
    <mergeCell ref="FF9:FG9"/>
    <mergeCell ref="FH9:FI9"/>
    <mergeCell ref="FJ9:FK9"/>
    <mergeCell ref="FN9:FO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W10"/>
    <mergeCell ref="CX10:CY10"/>
    <mergeCell ref="CZ10:DA10"/>
    <mergeCell ref="DB10:DC10"/>
    <mergeCell ref="DH10:DI10"/>
    <mergeCell ref="DJ10:DK10"/>
    <mergeCell ref="DL10:DM10"/>
    <mergeCell ref="DN10:DO10"/>
    <mergeCell ref="DP10:DQ10"/>
    <mergeCell ref="DR10:DS10"/>
    <mergeCell ref="DT10:DU10"/>
    <mergeCell ref="DV10:DW10"/>
    <mergeCell ref="DX10:DY10"/>
    <mergeCell ref="DZ10:EA10"/>
    <mergeCell ref="EB10:EC10"/>
    <mergeCell ref="ED10:EE10"/>
    <mergeCell ref="EF10:EG10"/>
    <mergeCell ref="EH10:EI10"/>
    <mergeCell ref="EJ10:EK10"/>
    <mergeCell ref="EL10:EM10"/>
    <mergeCell ref="EN10:EO10"/>
    <mergeCell ref="EP10:EQ10"/>
    <mergeCell ref="ER10:ES10"/>
    <mergeCell ref="ET10:EU10"/>
    <mergeCell ref="EV10:EW10"/>
    <mergeCell ref="EX10:EY10"/>
    <mergeCell ref="EZ10:FA10"/>
    <mergeCell ref="FB10:FC10"/>
    <mergeCell ref="FD10:FE10"/>
    <mergeCell ref="FF10:FG10"/>
    <mergeCell ref="FH10:FI10"/>
    <mergeCell ref="FJ10:FK10"/>
    <mergeCell ref="FL10:FM10"/>
    <mergeCell ref="FN10:FO10"/>
    <mergeCell ref="FP10:FQ10"/>
    <mergeCell ref="FR10:FS10"/>
    <mergeCell ref="FT10:FU10"/>
    <mergeCell ref="FV10:FW10"/>
    <mergeCell ref="FX10:FY10"/>
    <mergeCell ref="FZ10:GA10"/>
    <mergeCell ref="GB10:GC10"/>
    <mergeCell ref="GD10:GE10"/>
    <mergeCell ref="GF10:GG10"/>
    <mergeCell ref="GH10:GI10"/>
    <mergeCell ref="GJ10:GK10"/>
    <mergeCell ref="GL10:GM10"/>
    <mergeCell ref="GN10:GO10"/>
    <mergeCell ref="GP10:GQ10"/>
    <mergeCell ref="GR10:GS10"/>
    <mergeCell ref="GT10:GU10"/>
    <mergeCell ref="GV10:GW10"/>
    <mergeCell ref="GX10:GY10"/>
    <mergeCell ref="GZ10:HA10"/>
    <mergeCell ref="HB10:HC10"/>
    <mergeCell ref="HD10:HE10"/>
    <mergeCell ref="A11:A13"/>
    <mergeCell ref="B11:B13"/>
    <mergeCell ref="C11:C13"/>
    <mergeCell ref="D11:D13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BJ12:BK12"/>
    <mergeCell ref="BL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CV12:CW12"/>
    <mergeCell ref="CX12:CY12"/>
    <mergeCell ref="CZ12:DA12"/>
    <mergeCell ref="DB12:DC12"/>
    <mergeCell ref="DH12:DI12"/>
    <mergeCell ref="DJ12:DK12"/>
    <mergeCell ref="DL12:DM12"/>
    <mergeCell ref="DN12:DO12"/>
    <mergeCell ref="DP12:DQ12"/>
    <mergeCell ref="DR12:DS12"/>
    <mergeCell ref="DT12:DU12"/>
    <mergeCell ref="DV12:DW12"/>
    <mergeCell ref="DX12:DY12"/>
    <mergeCell ref="DZ12:EA12"/>
    <mergeCell ref="EB12:EC12"/>
    <mergeCell ref="ED12:EE12"/>
    <mergeCell ref="EF12:EG12"/>
    <mergeCell ref="EH12:EI12"/>
    <mergeCell ref="EJ12:EK12"/>
    <mergeCell ref="EL12:EM12"/>
    <mergeCell ref="EN12:EO12"/>
    <mergeCell ref="EP12:EQ12"/>
    <mergeCell ref="ER12:ES12"/>
    <mergeCell ref="ET12:EU12"/>
    <mergeCell ref="EV12:EW12"/>
    <mergeCell ref="EX12:EY12"/>
    <mergeCell ref="EZ12:FA12"/>
    <mergeCell ref="FB12:FC12"/>
    <mergeCell ref="FD12:FE12"/>
    <mergeCell ref="FF12:FG12"/>
    <mergeCell ref="FH12:FI12"/>
    <mergeCell ref="FJ12:FK12"/>
    <mergeCell ref="FL12:FM12"/>
    <mergeCell ref="FN12:FO12"/>
    <mergeCell ref="FP12:FQ12"/>
    <mergeCell ref="FR12:FS12"/>
    <mergeCell ref="FT12:FU12"/>
    <mergeCell ref="FV12:FW12"/>
    <mergeCell ref="FX12:FY12"/>
    <mergeCell ref="FZ12:GA12"/>
    <mergeCell ref="GB12:GC12"/>
    <mergeCell ref="GD12:GE12"/>
    <mergeCell ref="GF12:GG12"/>
    <mergeCell ref="GH12:GI12"/>
    <mergeCell ref="GJ12:GK12"/>
    <mergeCell ref="GL12:GM12"/>
    <mergeCell ref="GN12:GO12"/>
    <mergeCell ref="GP12:GQ12"/>
    <mergeCell ref="GR12:GS12"/>
    <mergeCell ref="GT12:GU12"/>
    <mergeCell ref="GV12:GW12"/>
    <mergeCell ref="GX12:GY12"/>
    <mergeCell ref="GZ12:HA12"/>
    <mergeCell ref="HB12:HC12"/>
    <mergeCell ref="HD12:HE12"/>
    <mergeCell ref="HF12:HG12"/>
    <mergeCell ref="HH12:HI12"/>
    <mergeCell ref="HJ12:HK12"/>
    <mergeCell ref="HL12:HM12"/>
    <mergeCell ref="HN12:HO12"/>
    <mergeCell ref="HP12:HQ12"/>
    <mergeCell ref="HR12:HS12"/>
    <mergeCell ref="HT12:HU12"/>
    <mergeCell ref="HV12:HW12"/>
    <mergeCell ref="HX12:HY12"/>
    <mergeCell ref="HZ12:IA12"/>
    <mergeCell ref="IB12:IC12"/>
    <mergeCell ref="ID12:IE12"/>
    <mergeCell ref="IF12:IG12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D13:FE13"/>
    <mergeCell ref="FF13:FG13"/>
    <mergeCell ref="FH13:FI13"/>
    <mergeCell ref="FJ13:FK13"/>
    <mergeCell ref="FL13:FM13"/>
    <mergeCell ref="FN13:FO13"/>
    <mergeCell ref="FP13:FQ13"/>
    <mergeCell ref="FR13:FS13"/>
    <mergeCell ref="FT13:FU13"/>
    <mergeCell ref="FV13:FW13"/>
    <mergeCell ref="FX13:FY13"/>
    <mergeCell ref="FZ13:GA13"/>
    <mergeCell ref="GB13:GC13"/>
    <mergeCell ref="GD13:GE13"/>
    <mergeCell ref="GF13:GG13"/>
    <mergeCell ref="GH13:GI13"/>
    <mergeCell ref="GJ13:GK13"/>
    <mergeCell ref="GL13:GM13"/>
    <mergeCell ref="GN13:GO13"/>
    <mergeCell ref="GP13:GQ13"/>
    <mergeCell ref="GR13:GS13"/>
    <mergeCell ref="GT13:GU13"/>
    <mergeCell ref="GV13:GW13"/>
    <mergeCell ref="GX13:GY13"/>
    <mergeCell ref="GZ13:HA13"/>
    <mergeCell ref="HB13:HC13"/>
    <mergeCell ref="HD13:HE13"/>
    <mergeCell ref="A14:A16"/>
    <mergeCell ref="B14:B16"/>
    <mergeCell ref="C14:C16"/>
    <mergeCell ref="D14:D16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BA15"/>
    <mergeCell ref="BB15:BC15"/>
    <mergeCell ref="BD15:BM15"/>
    <mergeCell ref="BP15:BQ15"/>
    <mergeCell ref="BV15:BW15"/>
    <mergeCell ref="BX15:BY15"/>
    <mergeCell ref="BZ15:CA15"/>
    <mergeCell ref="CB15:CC15"/>
    <mergeCell ref="CD15:CE15"/>
    <mergeCell ref="CF15:CG15"/>
    <mergeCell ref="CR15:CS15"/>
    <mergeCell ref="CT15:CU15"/>
    <mergeCell ref="CV15:CW15"/>
    <mergeCell ref="CX15:CY15"/>
    <mergeCell ref="CZ15:DA15"/>
    <mergeCell ref="DB15:DC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D15:FE15"/>
    <mergeCell ref="FF15:FG15"/>
    <mergeCell ref="FH15:FI15"/>
    <mergeCell ref="FJ15:FK15"/>
    <mergeCell ref="FL15:FM15"/>
    <mergeCell ref="FN15:FO15"/>
    <mergeCell ref="FP15:FQ15"/>
    <mergeCell ref="FR15:FS15"/>
    <mergeCell ref="FT15:FU15"/>
    <mergeCell ref="FV15:FW15"/>
    <mergeCell ref="FX15:FY15"/>
    <mergeCell ref="FZ15:GA15"/>
    <mergeCell ref="GB15:GC15"/>
    <mergeCell ref="GD15:GE15"/>
    <mergeCell ref="GF15:GG15"/>
    <mergeCell ref="GH15:GI15"/>
    <mergeCell ref="GJ15:GK15"/>
    <mergeCell ref="GL15:GM15"/>
    <mergeCell ref="GN15:GO15"/>
    <mergeCell ref="GP15:GQ15"/>
    <mergeCell ref="GR15:GS15"/>
    <mergeCell ref="GT15:GU15"/>
    <mergeCell ref="GV15:GW15"/>
    <mergeCell ref="GX15:GY15"/>
    <mergeCell ref="GZ15:HA15"/>
    <mergeCell ref="HB15:HC15"/>
    <mergeCell ref="HD15:HE15"/>
    <mergeCell ref="HF15:HG15"/>
    <mergeCell ref="HH15:HI15"/>
    <mergeCell ref="HJ15:HK15"/>
    <mergeCell ref="HL15:HM15"/>
    <mergeCell ref="HN15:HO15"/>
    <mergeCell ref="HP15:HQ15"/>
    <mergeCell ref="HR15:HS15"/>
    <mergeCell ref="HT15:HU15"/>
    <mergeCell ref="HV15:HW15"/>
    <mergeCell ref="HX15:HY15"/>
    <mergeCell ref="HZ15:IA15"/>
    <mergeCell ref="IB15:IC15"/>
    <mergeCell ref="ID15:IE15"/>
    <mergeCell ref="IF15:IG15"/>
    <mergeCell ref="F16:G16"/>
    <mergeCell ref="H16:I16"/>
    <mergeCell ref="J16:K16"/>
    <mergeCell ref="L16:U16"/>
    <mergeCell ref="V16:W16"/>
    <mergeCell ref="X16:Y16"/>
    <mergeCell ref="Z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R16:FS16"/>
    <mergeCell ref="FT16:FU16"/>
    <mergeCell ref="FV16:FW16"/>
    <mergeCell ref="FX16:FY16"/>
    <mergeCell ref="FZ16:GA16"/>
    <mergeCell ref="GB16:GC16"/>
    <mergeCell ref="GD16:GE16"/>
    <mergeCell ref="GF16:GG16"/>
    <mergeCell ref="GH16:GI16"/>
    <mergeCell ref="GJ16:GK16"/>
    <mergeCell ref="GL16:GM16"/>
    <mergeCell ref="GN16:GO16"/>
    <mergeCell ref="GP16:GQ16"/>
    <mergeCell ref="GR16:GS16"/>
    <mergeCell ref="GT16:GU16"/>
    <mergeCell ref="GV16:GW16"/>
    <mergeCell ref="GX16:GY16"/>
    <mergeCell ref="GZ16:HA16"/>
    <mergeCell ref="HB16:HC16"/>
    <mergeCell ref="HD16:HE16"/>
    <mergeCell ref="A17:A19"/>
    <mergeCell ref="B17:B19"/>
    <mergeCell ref="C17:C19"/>
    <mergeCell ref="D17:D19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V18:BW18"/>
    <mergeCell ref="BX18:BY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X18:CY18"/>
    <mergeCell ref="CZ18:DA18"/>
    <mergeCell ref="DB18:DC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R18:FS18"/>
    <mergeCell ref="FT18:FU18"/>
    <mergeCell ref="FV18:FW18"/>
    <mergeCell ref="FX18:FY18"/>
    <mergeCell ref="FZ18:GA18"/>
    <mergeCell ref="GB18:GC18"/>
    <mergeCell ref="GD18:GE18"/>
    <mergeCell ref="GH18:GI18"/>
    <mergeCell ref="GL18:GM18"/>
    <mergeCell ref="GN18:GO18"/>
    <mergeCell ref="GP18:GQ18"/>
    <mergeCell ref="GR18:GS18"/>
    <mergeCell ref="GV18:GW18"/>
    <mergeCell ref="GX18:GY18"/>
    <mergeCell ref="GZ18:HA18"/>
    <mergeCell ref="HB18:HC18"/>
    <mergeCell ref="HD18:HE18"/>
    <mergeCell ref="HH18:HI18"/>
    <mergeCell ref="HJ18:HK18"/>
    <mergeCell ref="HL18:HM18"/>
    <mergeCell ref="HN18:HO18"/>
    <mergeCell ref="HP18:HQ18"/>
    <mergeCell ref="HR18:HS18"/>
    <mergeCell ref="HT18:HU18"/>
    <mergeCell ref="HV18:HW18"/>
    <mergeCell ref="HX18:HY18"/>
    <mergeCell ref="HZ18:IA18"/>
    <mergeCell ref="IB18:IC18"/>
    <mergeCell ref="ID18:IE18"/>
    <mergeCell ref="IF18:IG18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R19:FS19"/>
    <mergeCell ref="FT19:FU19"/>
    <mergeCell ref="FV19:FW19"/>
    <mergeCell ref="FX19:FY19"/>
    <mergeCell ref="FZ19:GA19"/>
    <mergeCell ref="GB19:GC19"/>
    <mergeCell ref="GD19:GE19"/>
    <mergeCell ref="GF19:GG19"/>
    <mergeCell ref="GH19:GI19"/>
    <mergeCell ref="GJ19:GK19"/>
    <mergeCell ref="GL19:GM19"/>
    <mergeCell ref="GN19:GO19"/>
    <mergeCell ref="GP19:GQ19"/>
    <mergeCell ref="GR19:GS19"/>
    <mergeCell ref="GT19:GU19"/>
    <mergeCell ref="GV19:GW19"/>
    <mergeCell ref="GX19:GY19"/>
    <mergeCell ref="GZ19:HA19"/>
    <mergeCell ref="HB19:HC19"/>
    <mergeCell ref="HD19:HE19"/>
    <mergeCell ref="A20:A22"/>
    <mergeCell ref="B20:B22"/>
    <mergeCell ref="C20:C22"/>
    <mergeCell ref="D20:D22"/>
    <mergeCell ref="F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Z21:BA21"/>
    <mergeCell ref="BB21:BC21"/>
    <mergeCell ref="BD21:BE21"/>
    <mergeCell ref="BF21:BG21"/>
    <mergeCell ref="BH21:BI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Z21:DA21"/>
    <mergeCell ref="DB21:DC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X21:EY21"/>
    <mergeCell ref="EZ21:FA21"/>
    <mergeCell ref="FB21:FC21"/>
    <mergeCell ref="FD21:FE21"/>
    <mergeCell ref="FF21:FG21"/>
    <mergeCell ref="FH21:FI21"/>
    <mergeCell ref="FJ21:FK21"/>
    <mergeCell ref="FL21:FM21"/>
    <mergeCell ref="FN21:FO21"/>
    <mergeCell ref="FP21:FQ21"/>
    <mergeCell ref="FR21:FS21"/>
    <mergeCell ref="FT21:FU21"/>
    <mergeCell ref="FV21:FW21"/>
    <mergeCell ref="FX21:FY21"/>
    <mergeCell ref="FZ21:GA21"/>
    <mergeCell ref="GB21:GC21"/>
    <mergeCell ref="GD21:GE21"/>
    <mergeCell ref="GF21:GG21"/>
    <mergeCell ref="GH21:GI21"/>
    <mergeCell ref="GJ21:GK21"/>
    <mergeCell ref="GL21:GM21"/>
    <mergeCell ref="GN21:GO21"/>
    <mergeCell ref="GR21:GS21"/>
    <mergeCell ref="GT21:GU21"/>
    <mergeCell ref="GV21:GW21"/>
    <mergeCell ref="G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HP21:HQ21"/>
    <mergeCell ref="HR21:HS21"/>
    <mergeCell ref="HT21:HU21"/>
    <mergeCell ref="HV21:HW21"/>
    <mergeCell ref="HX21:HY21"/>
    <mergeCell ref="HZ21:IA21"/>
    <mergeCell ref="IB21:IC21"/>
    <mergeCell ref="ID21:IE21"/>
    <mergeCell ref="IF21:IG21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D22:FE22"/>
    <mergeCell ref="FF22:FG22"/>
    <mergeCell ref="FH22:FI22"/>
    <mergeCell ref="FJ22:FK22"/>
    <mergeCell ref="FL22:FM22"/>
    <mergeCell ref="FN22:FO22"/>
    <mergeCell ref="FP22:FQ22"/>
    <mergeCell ref="FR22:FS22"/>
    <mergeCell ref="FT22:FU22"/>
    <mergeCell ref="FV22:FW22"/>
    <mergeCell ref="FX22:FY22"/>
    <mergeCell ref="FZ22:GA22"/>
    <mergeCell ref="GB22:GC22"/>
    <mergeCell ref="GD22:GE22"/>
    <mergeCell ref="GF22:GG22"/>
    <mergeCell ref="GH22:GI22"/>
    <mergeCell ref="GJ22:GK22"/>
    <mergeCell ref="GL22:GM22"/>
    <mergeCell ref="GN22:GO22"/>
    <mergeCell ref="GP22:GQ22"/>
    <mergeCell ref="GR22:GS22"/>
    <mergeCell ref="GT22:GU22"/>
    <mergeCell ref="GV22:GW22"/>
    <mergeCell ref="GX22:GY22"/>
    <mergeCell ref="GZ22:HA22"/>
    <mergeCell ref="HB22:HC22"/>
    <mergeCell ref="HD22:HE22"/>
    <mergeCell ref="A23:A25"/>
    <mergeCell ref="B23:B25"/>
    <mergeCell ref="C23:C25"/>
    <mergeCell ref="D23:D25"/>
    <mergeCell ref="F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Z24:EA24"/>
    <mergeCell ref="ED24:EE24"/>
    <mergeCell ref="EF24:EG24"/>
    <mergeCell ref="EH24:EI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P24:FQ24"/>
    <mergeCell ref="FR24:FS24"/>
    <mergeCell ref="FT24:FU24"/>
    <mergeCell ref="FV24:FW24"/>
    <mergeCell ref="FX24:FY24"/>
    <mergeCell ref="GB24:GC24"/>
    <mergeCell ref="GF24:GG24"/>
    <mergeCell ref="GH24:GI24"/>
    <mergeCell ref="GJ24:GK24"/>
    <mergeCell ref="GN24:GO24"/>
    <mergeCell ref="GR24:GS24"/>
    <mergeCell ref="GT24:GU24"/>
    <mergeCell ref="GV24:GW24"/>
    <mergeCell ref="GX24:GY24"/>
    <mergeCell ref="GZ24:HA24"/>
    <mergeCell ref="HB24:HC24"/>
    <mergeCell ref="HD24:HE24"/>
    <mergeCell ref="HF24:HG24"/>
    <mergeCell ref="HH24:HI24"/>
    <mergeCell ref="HJ24:HK24"/>
    <mergeCell ref="HL24:HM24"/>
    <mergeCell ref="HN24:HO24"/>
    <mergeCell ref="HP24:HQ24"/>
    <mergeCell ref="HR24:HS24"/>
    <mergeCell ref="HT24:HU24"/>
    <mergeCell ref="HV24:HW24"/>
    <mergeCell ref="HX24:HY24"/>
    <mergeCell ref="HZ24:IA24"/>
    <mergeCell ref="IB24:IC24"/>
    <mergeCell ref="ID24:IE24"/>
    <mergeCell ref="IF24:IG24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R25:FS25"/>
    <mergeCell ref="FT25:FU25"/>
    <mergeCell ref="FV25:FW25"/>
    <mergeCell ref="FX25:FY25"/>
    <mergeCell ref="FZ25:GA25"/>
    <mergeCell ref="GB25:GC25"/>
    <mergeCell ref="GD25:GE25"/>
    <mergeCell ref="GF25:GG25"/>
    <mergeCell ref="GH25:GI25"/>
    <mergeCell ref="GJ25:GK25"/>
    <mergeCell ref="GL25:GM25"/>
    <mergeCell ref="GN25:GO25"/>
    <mergeCell ref="GP25:GQ25"/>
    <mergeCell ref="GR25:GS25"/>
    <mergeCell ref="GT25:GU25"/>
    <mergeCell ref="GV25:GW25"/>
    <mergeCell ref="GX25:GY25"/>
    <mergeCell ref="GZ25:HA25"/>
    <mergeCell ref="HB25:HC25"/>
    <mergeCell ref="HD25:HE25"/>
    <mergeCell ref="A26:A28"/>
    <mergeCell ref="B26:B28"/>
    <mergeCell ref="C26:C28"/>
    <mergeCell ref="D26:D28"/>
    <mergeCell ref="F27:AW27"/>
    <mergeCell ref="AX27:AY27"/>
    <mergeCell ref="AZ27:BA27"/>
    <mergeCell ref="BB27:BC27"/>
    <mergeCell ref="BD27:BE27"/>
    <mergeCell ref="BH27:BI27"/>
    <mergeCell ref="BL27:BM27"/>
    <mergeCell ref="BN27:BO27"/>
    <mergeCell ref="BP27:BQ27"/>
    <mergeCell ref="BT27:BU27"/>
    <mergeCell ref="BV27:BW27"/>
    <mergeCell ref="BX27:BY27"/>
    <mergeCell ref="CB27:CC27"/>
    <mergeCell ref="CD27:CE27"/>
    <mergeCell ref="CF27:CG27"/>
    <mergeCell ref="CH27:CI27"/>
    <mergeCell ref="CJ27:CK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R27:FS27"/>
    <mergeCell ref="FT27:FU27"/>
    <mergeCell ref="FV27:FW27"/>
    <mergeCell ref="FX27:FY27"/>
    <mergeCell ref="GB27:GC27"/>
    <mergeCell ref="GF27:GG27"/>
    <mergeCell ref="GH27:GI27"/>
    <mergeCell ref="GJ27:GK27"/>
    <mergeCell ref="GN27:GO27"/>
    <mergeCell ref="GR27:GS27"/>
    <mergeCell ref="GT27:GU27"/>
    <mergeCell ref="GV27:GW27"/>
    <mergeCell ref="GX27:GY27"/>
    <mergeCell ref="GZ27:HA27"/>
    <mergeCell ref="HB27:HC27"/>
    <mergeCell ref="HD27:HE27"/>
    <mergeCell ref="HF27:HG27"/>
    <mergeCell ref="HH27:HI27"/>
    <mergeCell ref="HJ27:HK27"/>
    <mergeCell ref="HL27:HM27"/>
    <mergeCell ref="HN27:HO27"/>
    <mergeCell ref="HP27:HQ27"/>
    <mergeCell ref="HR27:HS27"/>
    <mergeCell ref="HT27:HU27"/>
    <mergeCell ref="HV27:HW27"/>
    <mergeCell ref="HX27:HY27"/>
    <mergeCell ref="HZ27:IA27"/>
    <mergeCell ref="IB27:IC27"/>
    <mergeCell ref="ID27:IE27"/>
    <mergeCell ref="IF27:IG27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S28"/>
    <mergeCell ref="FT28:FU28"/>
    <mergeCell ref="FV28:FW28"/>
    <mergeCell ref="FX28:FY28"/>
    <mergeCell ref="FZ28:GA28"/>
    <mergeCell ref="GB28:GC28"/>
    <mergeCell ref="GD28:GE28"/>
    <mergeCell ref="GF28:GG28"/>
    <mergeCell ref="GH28:GI28"/>
    <mergeCell ref="GJ28:GK28"/>
    <mergeCell ref="GL28:GM28"/>
    <mergeCell ref="GN28:GO28"/>
    <mergeCell ref="GP28:GQ28"/>
    <mergeCell ref="GR28:GS28"/>
    <mergeCell ref="GT28:GU28"/>
    <mergeCell ref="GV28:GW28"/>
    <mergeCell ref="GX28:GY28"/>
    <mergeCell ref="GZ28:HA28"/>
    <mergeCell ref="HB28:HC28"/>
    <mergeCell ref="HD28:HE28"/>
    <mergeCell ref="B30:D30"/>
    <mergeCell ref="F30:M30"/>
    <mergeCell ref="N30:U30"/>
    <mergeCell ref="V30:AC30"/>
    <mergeCell ref="AD30:AM30"/>
    <mergeCell ref="AN30:AU30"/>
    <mergeCell ref="AV30:BC30"/>
    <mergeCell ref="BD30:BM30"/>
    <mergeCell ref="BN30:BU30"/>
    <mergeCell ref="BV30:CC30"/>
    <mergeCell ref="CD30:CK30"/>
    <mergeCell ref="CL30:CS30"/>
    <mergeCell ref="CT30:DC30"/>
    <mergeCell ref="DE30:DF30"/>
    <mergeCell ref="DH30:DO30"/>
    <mergeCell ref="DP30:DW30"/>
    <mergeCell ref="DX30:EE30"/>
    <mergeCell ref="EF30:EO30"/>
    <mergeCell ref="EP30:EW30"/>
    <mergeCell ref="EX30:FE30"/>
    <mergeCell ref="FF30:FO30"/>
    <mergeCell ref="FP30:FW30"/>
    <mergeCell ref="FX30:GE30"/>
    <mergeCell ref="GF30:GM30"/>
    <mergeCell ref="GN30:GU30"/>
    <mergeCell ref="GV30:HE30"/>
    <mergeCell ref="HG30:HH30"/>
    <mergeCell ref="B31:D31"/>
    <mergeCell ref="F31:M31"/>
    <mergeCell ref="N31:U31"/>
    <mergeCell ref="V31:AC31"/>
    <mergeCell ref="AD31:AM31"/>
    <mergeCell ref="AN31:AU31"/>
    <mergeCell ref="AV31:BC31"/>
    <mergeCell ref="BD31:BM31"/>
    <mergeCell ref="BN31:BU31"/>
    <mergeCell ref="BV31:CC31"/>
    <mergeCell ref="CD31:CK31"/>
    <mergeCell ref="CL31:CS31"/>
    <mergeCell ref="CT31:DC31"/>
    <mergeCell ref="DH31:DO31"/>
    <mergeCell ref="DP31:DW31"/>
    <mergeCell ref="DX31:EE31"/>
    <mergeCell ref="EF31:EO31"/>
    <mergeCell ref="EP31:EW31"/>
    <mergeCell ref="EX31:FE31"/>
    <mergeCell ref="FF31:FO31"/>
    <mergeCell ref="FP31:FW31"/>
    <mergeCell ref="FX31:GE31"/>
    <mergeCell ref="GF31:GM31"/>
    <mergeCell ref="GN31:GU31"/>
    <mergeCell ref="GV31:HE31"/>
    <mergeCell ref="B32:D32"/>
    <mergeCell ref="F32:M32"/>
    <mergeCell ref="N32:U32"/>
    <mergeCell ref="V32:AC32"/>
    <mergeCell ref="AD32:AM32"/>
    <mergeCell ref="AN32:AU32"/>
    <mergeCell ref="AV32:BC32"/>
    <mergeCell ref="BD32:BM32"/>
    <mergeCell ref="BN32:BU32"/>
    <mergeCell ref="BV32:CC32"/>
    <mergeCell ref="CD32:CK32"/>
    <mergeCell ref="CL32:CS32"/>
    <mergeCell ref="CT32:DC32"/>
    <mergeCell ref="DE32:DF32"/>
    <mergeCell ref="DH32:DO32"/>
    <mergeCell ref="DP32:DW32"/>
    <mergeCell ref="DX32:EE32"/>
    <mergeCell ref="EF32:EO32"/>
    <mergeCell ref="EP32:EW32"/>
    <mergeCell ref="EX32:FE32"/>
    <mergeCell ref="FF32:FO32"/>
    <mergeCell ref="FP32:FW32"/>
    <mergeCell ref="FX32:GE32"/>
    <mergeCell ref="GF32:GM32"/>
    <mergeCell ref="GN32:GU32"/>
    <mergeCell ref="GV32:HE32"/>
    <mergeCell ref="HG32:HH32"/>
    <mergeCell ref="B33:E33"/>
    <mergeCell ref="DH33:DO33"/>
    <mergeCell ref="B34:D34"/>
    <mergeCell ref="F34:M34"/>
    <mergeCell ref="N34:U34"/>
    <mergeCell ref="V34:AC34"/>
    <mergeCell ref="AD34:AM34"/>
    <mergeCell ref="AN34:AU34"/>
    <mergeCell ref="AV34:BC34"/>
    <mergeCell ref="BD34:BM34"/>
    <mergeCell ref="BN34:BU34"/>
    <mergeCell ref="BV34:CC34"/>
    <mergeCell ref="CD34:CK34"/>
    <mergeCell ref="CL34:CS34"/>
    <mergeCell ref="CT34:DC34"/>
    <mergeCell ref="DE34:DF34"/>
    <mergeCell ref="DH34:DO34"/>
    <mergeCell ref="DP34:DW34"/>
    <mergeCell ref="DX34:EE34"/>
    <mergeCell ref="EF34:EO34"/>
    <mergeCell ref="EP34:EW34"/>
    <mergeCell ref="EX34:FE34"/>
    <mergeCell ref="FF34:FO34"/>
    <mergeCell ref="FP34:FW34"/>
    <mergeCell ref="FX34:GE34"/>
    <mergeCell ref="GF34:GM34"/>
    <mergeCell ref="GN34:GU34"/>
    <mergeCell ref="GV34:HE34"/>
    <mergeCell ref="HG34:HH34"/>
    <mergeCell ref="B35:D35"/>
    <mergeCell ref="F35:M35"/>
    <mergeCell ref="N35:U35"/>
    <mergeCell ref="V35:AC35"/>
    <mergeCell ref="AD35:AM35"/>
    <mergeCell ref="AN35:AU35"/>
    <mergeCell ref="AV35:BC35"/>
    <mergeCell ref="BD35:BM35"/>
    <mergeCell ref="BN35:BU35"/>
    <mergeCell ref="BV35:CC35"/>
    <mergeCell ref="CD35:CK35"/>
    <mergeCell ref="CL35:CS35"/>
    <mergeCell ref="CT35:DC35"/>
    <mergeCell ref="DH35:DO35"/>
    <mergeCell ref="DP35:DW35"/>
    <mergeCell ref="DX35:EE35"/>
    <mergeCell ref="EF35:EO35"/>
    <mergeCell ref="EP35:EW35"/>
    <mergeCell ref="EX35:FE35"/>
    <mergeCell ref="FF35:FO35"/>
    <mergeCell ref="FP35:FW35"/>
    <mergeCell ref="FX35:GE35"/>
    <mergeCell ref="GF35:GM35"/>
    <mergeCell ref="GN35:GU35"/>
    <mergeCell ref="GV35:HE35"/>
    <mergeCell ref="B36:D36"/>
    <mergeCell ref="F36:M36"/>
    <mergeCell ref="N36:U36"/>
    <mergeCell ref="V36:AC36"/>
    <mergeCell ref="AD36:AM36"/>
    <mergeCell ref="AN36:AU36"/>
    <mergeCell ref="AV36:BC36"/>
    <mergeCell ref="BD36:BM36"/>
    <mergeCell ref="BN36:BU36"/>
    <mergeCell ref="BV36:CC36"/>
    <mergeCell ref="CD36:CK36"/>
    <mergeCell ref="CL36:CS36"/>
    <mergeCell ref="CT36:DC36"/>
    <mergeCell ref="DE36:DF36"/>
    <mergeCell ref="DH36:DO36"/>
    <mergeCell ref="DP36:DW36"/>
    <mergeCell ref="DX36:EE36"/>
    <mergeCell ref="EF36:EO36"/>
    <mergeCell ref="EP36:EW36"/>
    <mergeCell ref="EX36:FE36"/>
    <mergeCell ref="FF36:FO36"/>
    <mergeCell ref="FP36:FW36"/>
    <mergeCell ref="FX36:GE36"/>
    <mergeCell ref="GF36:GM36"/>
    <mergeCell ref="GN36:GU36"/>
    <mergeCell ref="GV36:HE36"/>
    <mergeCell ref="HG36:HH36"/>
    <mergeCell ref="DE37:DG37"/>
    <mergeCell ref="HG37:HI3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5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43.43"/>
    <col collapsed="false" customWidth="true" hidden="false" outlineLevel="0" max="3" min="3" style="0" width="22.71"/>
    <col collapsed="false" customWidth="true" hidden="false" outlineLevel="0" max="4" min="4" style="0" width="20.13"/>
    <col collapsed="false" customWidth="true" hidden="false" outlineLevel="0" max="5" min="5" style="0" width="21.86"/>
    <col collapsed="false" customWidth="true" hidden="false" outlineLevel="0" max="6" min="6" style="0" width="30.13"/>
    <col collapsed="false" customWidth="true" hidden="false" outlineLevel="0" max="7" min="7" style="0" width="34.13"/>
    <col collapsed="false" customWidth="true" hidden="false" outlineLevel="0" max="8" min="8" style="0" width="35"/>
    <col collapsed="false" customWidth="true" hidden="false" outlineLevel="0" max="9" min="9" style="0" width="29.13"/>
    <col collapsed="false" customWidth="true" hidden="false" outlineLevel="0" max="26" min="10" style="0" width="15.57"/>
    <col collapsed="false" customWidth="true" hidden="false" outlineLevel="0" max="1025" min="27" style="0" width="14.42"/>
  </cols>
  <sheetData>
    <row r="1" customFormat="false" ht="24" hidden="false" customHeight="true" outlineLevel="0" collapsed="false">
      <c r="A1" s="144" t="s">
        <v>212</v>
      </c>
      <c r="B1" s="144"/>
      <c r="C1" s="144"/>
      <c r="D1" s="144"/>
      <c r="E1" s="144"/>
      <c r="F1" s="144"/>
      <c r="G1" s="144"/>
      <c r="H1" s="144"/>
      <c r="I1" s="144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customFormat="false" ht="22.5" hidden="false" customHeight="true" outlineLevel="0" collapsed="false">
      <c r="A2" s="146" t="s">
        <v>213</v>
      </c>
      <c r="B2" s="146"/>
      <c r="C2" s="146"/>
      <c r="D2" s="146"/>
      <c r="E2" s="146"/>
      <c r="F2" s="146"/>
      <c r="G2" s="146"/>
      <c r="H2" s="146"/>
      <c r="I2" s="146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customFormat="false" ht="25.5" hidden="false" customHeight="true" outlineLevel="0" collapsed="false">
      <c r="A3" s="146" t="s">
        <v>214</v>
      </c>
      <c r="B3" s="146"/>
      <c r="C3" s="146"/>
      <c r="D3" s="146"/>
      <c r="E3" s="146"/>
      <c r="F3" s="146"/>
      <c r="G3" s="146"/>
      <c r="H3" s="146"/>
      <c r="I3" s="146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customFormat="false" ht="15" hidden="false" customHeight="false" outlineLevel="0" collapsed="false">
      <c r="A4" s="147" t="s">
        <v>215</v>
      </c>
      <c r="B4" s="148" t="s">
        <v>216</v>
      </c>
      <c r="C4" s="147" t="s">
        <v>217</v>
      </c>
      <c r="D4" s="149" t="s">
        <v>218</v>
      </c>
      <c r="E4" s="147" t="s">
        <v>219</v>
      </c>
      <c r="F4" s="147" t="s">
        <v>220</v>
      </c>
      <c r="G4" s="150" t="s">
        <v>221</v>
      </c>
      <c r="H4" s="151" t="s">
        <v>222</v>
      </c>
      <c r="I4" s="147" t="s">
        <v>223</v>
      </c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customFormat="false" ht="15.75" hidden="false" customHeight="true" outlineLevel="0" collapsed="false">
      <c r="A5" s="152" t="s">
        <v>224</v>
      </c>
      <c r="B5" s="153" t="s">
        <v>225</v>
      </c>
      <c r="C5" s="154" t="n">
        <v>3044000</v>
      </c>
      <c r="D5" s="155" t="s">
        <v>226</v>
      </c>
      <c r="E5" s="154" t="n">
        <v>2702</v>
      </c>
      <c r="F5" s="156" t="s">
        <v>227</v>
      </c>
      <c r="G5" s="157"/>
      <c r="H5" s="158"/>
      <c r="I5" s="153" t="s">
        <v>228</v>
      </c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customFormat="false" ht="15.75" hidden="false" customHeight="true" outlineLevel="0" collapsed="false">
      <c r="A6" s="152"/>
      <c r="B6" s="159" t="s">
        <v>229</v>
      </c>
      <c r="C6" s="160" t="s">
        <v>230</v>
      </c>
      <c r="D6" s="155" t="n">
        <v>1910</v>
      </c>
      <c r="E6" s="154" t="n">
        <v>2702</v>
      </c>
      <c r="F6" s="161" t="s">
        <v>231</v>
      </c>
      <c r="G6" s="162"/>
      <c r="H6" s="163"/>
      <c r="I6" s="153" t="s">
        <v>232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customFormat="false" ht="15.75" hidden="false" customHeight="true" outlineLevel="0" collapsed="false">
      <c r="A7" s="152"/>
      <c r="B7" s="159" t="s">
        <v>233</v>
      </c>
      <c r="C7" s="160" t="s">
        <v>234</v>
      </c>
      <c r="D7" s="162" t="s">
        <v>235</v>
      </c>
      <c r="E7" s="154" t="n">
        <v>2702</v>
      </c>
      <c r="F7" s="161" t="s">
        <v>236</v>
      </c>
      <c r="G7" s="162"/>
      <c r="H7" s="163"/>
      <c r="I7" s="153" t="s">
        <v>237</v>
      </c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customFormat="false" ht="15.75" hidden="false" customHeight="true" outlineLevel="0" collapsed="false">
      <c r="A8" s="152"/>
      <c r="B8" s="159" t="s">
        <v>238</v>
      </c>
      <c r="C8" s="160" t="s">
        <v>239</v>
      </c>
      <c r="D8" s="155" t="s">
        <v>240</v>
      </c>
      <c r="E8" s="154" t="n">
        <v>2702</v>
      </c>
      <c r="F8" s="161" t="s">
        <v>241</v>
      </c>
      <c r="G8" s="162"/>
      <c r="H8" s="163"/>
      <c r="I8" s="153" t="s">
        <v>242</v>
      </c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</row>
    <row r="9" customFormat="false" ht="15.75" hidden="false" customHeight="true" outlineLevel="0" collapsed="false">
      <c r="A9" s="152"/>
      <c r="B9" s="159" t="s">
        <v>243</v>
      </c>
      <c r="C9" s="160" t="s">
        <v>244</v>
      </c>
      <c r="D9" s="155" t="n">
        <v>10407543</v>
      </c>
      <c r="E9" s="154" t="n">
        <v>2702</v>
      </c>
      <c r="F9" s="161" t="s">
        <v>231</v>
      </c>
      <c r="G9" s="162"/>
      <c r="H9" s="163"/>
      <c r="I9" s="153" t="s">
        <v>232</v>
      </c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</row>
    <row r="10" customFormat="false" ht="15.75" hidden="false" customHeight="true" outlineLevel="0" collapsed="false">
      <c r="A10" s="152"/>
      <c r="B10" s="159" t="s">
        <v>245</v>
      </c>
      <c r="C10" s="160" t="s">
        <v>246</v>
      </c>
      <c r="D10" s="155" t="n">
        <v>4878</v>
      </c>
      <c r="E10" s="154" t="n">
        <v>2702</v>
      </c>
      <c r="F10" s="161" t="s">
        <v>231</v>
      </c>
      <c r="G10" s="162"/>
      <c r="H10" s="163"/>
      <c r="I10" s="153" t="s">
        <v>232</v>
      </c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145"/>
    </row>
    <row r="11" customFormat="false" ht="15.75" hidden="false" customHeight="true" outlineLevel="0" collapsed="false">
      <c r="A11" s="152"/>
      <c r="B11" s="159" t="s">
        <v>247</v>
      </c>
      <c r="C11" s="160" t="s">
        <v>248</v>
      </c>
      <c r="D11" s="155" t="s">
        <v>249</v>
      </c>
      <c r="E11" s="154" t="n">
        <v>2702</v>
      </c>
      <c r="F11" s="161" t="s">
        <v>250</v>
      </c>
      <c r="G11" s="162"/>
      <c r="H11" s="163"/>
      <c r="I11" s="153" t="s">
        <v>237</v>
      </c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145"/>
    </row>
    <row r="12" customFormat="false" ht="15.75" hidden="false" customHeight="true" outlineLevel="0" collapsed="false">
      <c r="A12" s="152"/>
      <c r="B12" s="159" t="s">
        <v>251</v>
      </c>
      <c r="C12" s="160" t="s">
        <v>252</v>
      </c>
      <c r="D12" s="155" t="s">
        <v>253</v>
      </c>
      <c r="E12" s="154" t="n">
        <v>2702</v>
      </c>
      <c r="F12" s="161" t="s">
        <v>250</v>
      </c>
      <c r="G12" s="162"/>
      <c r="H12" s="163"/>
      <c r="I12" s="153" t="s">
        <v>237</v>
      </c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</row>
    <row r="13" customFormat="false" ht="15.75" hidden="false" customHeight="true" outlineLevel="0" collapsed="false">
      <c r="A13" s="152"/>
      <c r="B13" s="159" t="s">
        <v>254</v>
      </c>
      <c r="C13" s="160" t="s">
        <v>255</v>
      </c>
      <c r="D13" s="162" t="s">
        <v>256</v>
      </c>
      <c r="E13" s="154" t="n">
        <v>2702</v>
      </c>
      <c r="F13" s="161" t="s">
        <v>257</v>
      </c>
      <c r="G13" s="162"/>
      <c r="H13" s="163"/>
      <c r="I13" s="153" t="s">
        <v>258</v>
      </c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</row>
    <row r="14" customFormat="false" ht="15.75" hidden="false" customHeight="true" outlineLevel="0" collapsed="false">
      <c r="A14" s="152"/>
      <c r="B14" s="159" t="s">
        <v>259</v>
      </c>
      <c r="C14" s="160" t="s">
        <v>260</v>
      </c>
      <c r="D14" s="155" t="s">
        <v>261</v>
      </c>
      <c r="E14" s="154" t="n">
        <v>2702</v>
      </c>
      <c r="F14" s="161" t="s">
        <v>262</v>
      </c>
      <c r="G14" s="162"/>
      <c r="H14" s="163"/>
      <c r="I14" s="153" t="s">
        <v>263</v>
      </c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</row>
    <row r="15" customFormat="false" ht="15.75" hidden="false" customHeight="true" outlineLevel="0" collapsed="false">
      <c r="A15" s="152"/>
      <c r="B15" s="159" t="s">
        <v>264</v>
      </c>
      <c r="C15" s="160" t="s">
        <v>265</v>
      </c>
      <c r="D15" s="155"/>
      <c r="E15" s="154" t="n">
        <v>2702</v>
      </c>
      <c r="F15" s="161" t="s">
        <v>266</v>
      </c>
      <c r="G15" s="162" t="s">
        <v>267</v>
      </c>
      <c r="H15" s="163"/>
      <c r="I15" s="154" t="s">
        <v>268</v>
      </c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</row>
    <row r="16" customFormat="false" ht="15.75" hidden="false" customHeight="true" outlineLevel="0" collapsed="false">
      <c r="A16" s="152"/>
      <c r="B16" s="159" t="s">
        <v>269</v>
      </c>
      <c r="C16" s="160" t="n">
        <v>3035302</v>
      </c>
      <c r="D16" s="155"/>
      <c r="E16" s="154" t="n">
        <v>2702</v>
      </c>
      <c r="F16" s="161"/>
      <c r="G16" s="162"/>
      <c r="H16" s="163"/>
      <c r="I16" s="154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</row>
    <row r="17" customFormat="false" ht="15.75" hidden="false" customHeight="true" outlineLevel="0" collapsed="false">
      <c r="A17" s="152"/>
      <c r="B17" s="159" t="s">
        <v>270</v>
      </c>
      <c r="C17" s="160" t="n">
        <v>3033736</v>
      </c>
      <c r="D17" s="155"/>
      <c r="E17" s="154" t="n">
        <v>2702</v>
      </c>
      <c r="F17" s="161"/>
      <c r="G17" s="162"/>
      <c r="H17" s="163"/>
      <c r="I17" s="154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</row>
    <row r="18" customFormat="false" ht="15.75" hidden="false" customHeight="true" outlineLevel="0" collapsed="false">
      <c r="A18" s="152"/>
      <c r="B18" s="159" t="s">
        <v>271</v>
      </c>
      <c r="C18" s="160" t="s">
        <v>272</v>
      </c>
      <c r="D18" s="155"/>
      <c r="E18" s="154" t="n">
        <v>2702</v>
      </c>
      <c r="F18" s="161" t="s">
        <v>273</v>
      </c>
      <c r="G18" s="162" t="s">
        <v>274</v>
      </c>
      <c r="H18" s="163"/>
      <c r="I18" s="154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</row>
    <row r="19" customFormat="false" ht="15.75" hidden="false" customHeight="true" outlineLevel="0" collapsed="false">
      <c r="A19" s="152"/>
      <c r="B19" s="159" t="s">
        <v>275</v>
      </c>
      <c r="C19" s="160" t="s">
        <v>276</v>
      </c>
      <c r="D19" s="155"/>
      <c r="E19" s="154" t="n">
        <v>2702</v>
      </c>
      <c r="F19" s="161"/>
      <c r="G19" s="162"/>
      <c r="H19" s="163"/>
      <c r="I19" s="154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</row>
    <row r="20" customFormat="false" ht="15.75" hidden="false" customHeight="true" outlineLevel="0" collapsed="false">
      <c r="A20" s="152"/>
      <c r="B20" s="159" t="s">
        <v>277</v>
      </c>
      <c r="C20" s="160" t="s">
        <v>278</v>
      </c>
      <c r="D20" s="155"/>
      <c r="E20" s="154" t="n">
        <v>2702</v>
      </c>
      <c r="F20" s="161" t="s">
        <v>279</v>
      </c>
      <c r="G20" s="162" t="s">
        <v>280</v>
      </c>
      <c r="H20" s="163"/>
      <c r="I20" s="154"/>
      <c r="J20" s="145"/>
      <c r="K20" s="145"/>
      <c r="L20" s="145"/>
      <c r="M20" s="145"/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Z20" s="145"/>
    </row>
    <row r="21" customFormat="false" ht="15.75" hidden="false" customHeight="true" outlineLevel="0" collapsed="false">
      <c r="A21" s="152"/>
      <c r="B21" s="159" t="s">
        <v>281</v>
      </c>
      <c r="C21" s="160" t="n">
        <v>3033737</v>
      </c>
      <c r="D21" s="155"/>
      <c r="E21" s="154" t="n">
        <v>2702</v>
      </c>
      <c r="F21" s="161"/>
      <c r="G21" s="162"/>
      <c r="H21" s="163"/>
      <c r="I21" s="154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customFormat="false" ht="15.75" hidden="false" customHeight="true" outlineLevel="0" collapsed="false">
      <c r="A22" s="152"/>
      <c r="B22" s="159" t="s">
        <v>282</v>
      </c>
      <c r="C22" s="160" t="s">
        <v>283</v>
      </c>
      <c r="D22" s="155"/>
      <c r="E22" s="154" t="n">
        <v>2702</v>
      </c>
      <c r="F22" s="161" t="s">
        <v>284</v>
      </c>
      <c r="G22" s="162" t="s">
        <v>285</v>
      </c>
      <c r="H22" s="163"/>
      <c r="I22" s="154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customFormat="false" ht="15.75" hidden="false" customHeight="true" outlineLevel="0" collapsed="false">
      <c r="A23" s="152"/>
      <c r="B23" s="159" t="s">
        <v>286</v>
      </c>
      <c r="C23" s="160" t="s">
        <v>287</v>
      </c>
      <c r="D23" s="155"/>
      <c r="E23" s="154" t="n">
        <v>2702</v>
      </c>
      <c r="F23" s="161"/>
      <c r="G23" s="162"/>
      <c r="H23" s="163"/>
      <c r="I23" s="154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customFormat="false" ht="15.75" hidden="false" customHeight="true" outlineLevel="0" collapsed="false">
      <c r="A24" s="152"/>
      <c r="B24" s="159" t="s">
        <v>288</v>
      </c>
      <c r="C24" s="160" t="s">
        <v>289</v>
      </c>
      <c r="D24" s="155"/>
      <c r="E24" s="154" t="n">
        <v>2702</v>
      </c>
      <c r="F24" s="161" t="s">
        <v>290</v>
      </c>
      <c r="G24" s="162" t="s">
        <v>291</v>
      </c>
      <c r="H24" s="163"/>
      <c r="I24" s="154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customFormat="false" ht="15.75" hidden="false" customHeight="true" outlineLevel="0" collapsed="false">
      <c r="A25" s="152"/>
      <c r="B25" s="159" t="s">
        <v>292</v>
      </c>
      <c r="C25" s="160" t="s">
        <v>289</v>
      </c>
      <c r="D25" s="155"/>
      <c r="E25" s="154" t="n">
        <v>2702</v>
      </c>
      <c r="F25" s="161" t="s">
        <v>293</v>
      </c>
      <c r="G25" s="162" t="s">
        <v>294</v>
      </c>
      <c r="H25" s="163"/>
      <c r="I25" s="154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customFormat="false" ht="15.75" hidden="false" customHeight="true" outlineLevel="0" collapsed="false">
      <c r="A26" s="152"/>
      <c r="B26" s="153" t="s">
        <v>295</v>
      </c>
      <c r="C26" s="160" t="s">
        <v>296</v>
      </c>
      <c r="D26" s="155"/>
      <c r="E26" s="154" t="n">
        <v>2702</v>
      </c>
      <c r="F26" s="161" t="s">
        <v>297</v>
      </c>
      <c r="G26" s="162" t="s">
        <v>298</v>
      </c>
      <c r="H26" s="163"/>
      <c r="I26" s="154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customFormat="false" ht="15.75" hidden="false" customHeight="true" outlineLevel="0" collapsed="false">
      <c r="A27" s="152"/>
      <c r="B27" s="153" t="s">
        <v>295</v>
      </c>
      <c r="C27" s="160" t="s">
        <v>299</v>
      </c>
      <c r="D27" s="155"/>
      <c r="E27" s="154" t="n">
        <v>2702</v>
      </c>
      <c r="F27" s="161" t="s">
        <v>297</v>
      </c>
      <c r="G27" s="162" t="s">
        <v>298</v>
      </c>
      <c r="H27" s="163"/>
      <c r="I27" s="154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customFormat="false" ht="15.75" hidden="false" customHeight="true" outlineLevel="0" collapsed="false">
      <c r="A28" s="152"/>
      <c r="B28" s="153"/>
      <c r="C28" s="153"/>
      <c r="D28" s="153"/>
      <c r="E28" s="153"/>
      <c r="F28" s="153"/>
      <c r="G28" s="153"/>
      <c r="H28" s="153"/>
      <c r="I28" s="153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customFormat="false" ht="15.75" hidden="false" customHeight="true" outlineLevel="0" collapsed="false">
      <c r="A29" s="152"/>
      <c r="B29" s="153" t="s">
        <v>225</v>
      </c>
      <c r="C29" s="154" t="s">
        <v>300</v>
      </c>
      <c r="D29" s="155" t="s">
        <v>301</v>
      </c>
      <c r="E29" s="154" t="n">
        <v>2703</v>
      </c>
      <c r="F29" s="164" t="s">
        <v>302</v>
      </c>
      <c r="G29" s="165" t="s">
        <v>303</v>
      </c>
      <c r="H29" s="166" t="s">
        <v>304</v>
      </c>
      <c r="I29" s="153" t="s">
        <v>305</v>
      </c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customFormat="false" ht="15.75" hidden="false" customHeight="true" outlineLevel="0" collapsed="false">
      <c r="A30" s="152"/>
      <c r="B30" s="159" t="s">
        <v>229</v>
      </c>
      <c r="C30" s="160" t="s">
        <v>230</v>
      </c>
      <c r="D30" s="155" t="s">
        <v>306</v>
      </c>
      <c r="E30" s="154" t="n">
        <v>2703</v>
      </c>
      <c r="F30" s="161" t="s">
        <v>307</v>
      </c>
      <c r="G30" s="162"/>
      <c r="H30" s="163"/>
      <c r="I30" s="153" t="s">
        <v>232</v>
      </c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customFormat="false" ht="15.75" hidden="false" customHeight="true" outlineLevel="0" collapsed="false">
      <c r="A31" s="152"/>
      <c r="B31" s="159" t="s">
        <v>233</v>
      </c>
      <c r="C31" s="160" t="n">
        <v>3034792</v>
      </c>
      <c r="D31" s="162" t="s">
        <v>308</v>
      </c>
      <c r="E31" s="154" t="n">
        <v>2703</v>
      </c>
      <c r="F31" s="161" t="s">
        <v>309</v>
      </c>
      <c r="G31" s="162"/>
      <c r="H31" s="163"/>
      <c r="I31" s="153" t="s">
        <v>237</v>
      </c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customFormat="false" ht="15.75" hidden="false" customHeight="true" outlineLevel="0" collapsed="false">
      <c r="A32" s="152"/>
      <c r="B32" s="159" t="s">
        <v>238</v>
      </c>
      <c r="C32" s="160" t="s">
        <v>310</v>
      </c>
      <c r="D32" s="155" t="s">
        <v>311</v>
      </c>
      <c r="E32" s="154" t="n">
        <v>2703</v>
      </c>
      <c r="F32" s="161" t="s">
        <v>312</v>
      </c>
      <c r="G32" s="162" t="s">
        <v>313</v>
      </c>
      <c r="H32" s="163"/>
      <c r="I32" s="153" t="s">
        <v>242</v>
      </c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customFormat="false" ht="15.75" hidden="false" customHeight="true" outlineLevel="0" collapsed="false">
      <c r="A33" s="152"/>
      <c r="B33" s="159" t="s">
        <v>243</v>
      </c>
      <c r="C33" s="160" t="s">
        <v>314</v>
      </c>
      <c r="D33" s="155" t="s">
        <v>315</v>
      </c>
      <c r="E33" s="154" t="n">
        <v>2703</v>
      </c>
      <c r="F33" s="161" t="s">
        <v>316</v>
      </c>
      <c r="G33" s="162"/>
      <c r="H33" s="163"/>
      <c r="I33" s="153" t="s">
        <v>232</v>
      </c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customFormat="false" ht="15.75" hidden="false" customHeight="true" outlineLevel="0" collapsed="false">
      <c r="A34" s="152"/>
      <c r="B34" s="159" t="s">
        <v>245</v>
      </c>
      <c r="C34" s="160" t="s">
        <v>317</v>
      </c>
      <c r="D34" s="155" t="s">
        <v>318</v>
      </c>
      <c r="E34" s="154" t="n">
        <v>2703</v>
      </c>
      <c r="F34" s="161" t="s">
        <v>319</v>
      </c>
      <c r="G34" s="162"/>
      <c r="H34" s="163"/>
      <c r="I34" s="153" t="s">
        <v>232</v>
      </c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customFormat="false" ht="15.75" hidden="false" customHeight="true" outlineLevel="0" collapsed="false">
      <c r="A35" s="152"/>
      <c r="B35" s="159" t="s">
        <v>247</v>
      </c>
      <c r="C35" s="160" t="s">
        <v>320</v>
      </c>
      <c r="D35" s="155" t="s">
        <v>321</v>
      </c>
      <c r="E35" s="154" t="n">
        <v>2703</v>
      </c>
      <c r="F35" s="161" t="s">
        <v>322</v>
      </c>
      <c r="G35" s="162"/>
      <c r="H35" s="163"/>
      <c r="I35" s="153" t="s">
        <v>237</v>
      </c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customFormat="false" ht="15.75" hidden="false" customHeight="true" outlineLevel="0" collapsed="false">
      <c r="A36" s="152"/>
      <c r="B36" s="159" t="s">
        <v>251</v>
      </c>
      <c r="C36" s="160" t="s">
        <v>252</v>
      </c>
      <c r="D36" s="155" t="s">
        <v>323</v>
      </c>
      <c r="E36" s="154" t="n">
        <v>2703</v>
      </c>
      <c r="F36" s="161" t="s">
        <v>324</v>
      </c>
      <c r="G36" s="162"/>
      <c r="H36" s="163"/>
      <c r="I36" s="153" t="s">
        <v>237</v>
      </c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customFormat="false" ht="15.75" hidden="false" customHeight="true" outlineLevel="0" collapsed="false">
      <c r="A37" s="152"/>
      <c r="B37" s="159" t="s">
        <v>254</v>
      </c>
      <c r="C37" s="160" t="s">
        <v>255</v>
      </c>
      <c r="D37" s="162" t="s">
        <v>325</v>
      </c>
      <c r="E37" s="154" t="n">
        <v>2703</v>
      </c>
      <c r="F37" s="161" t="s">
        <v>326</v>
      </c>
      <c r="G37" s="162" t="s">
        <v>327</v>
      </c>
      <c r="H37" s="163"/>
      <c r="I37" s="153" t="s">
        <v>258</v>
      </c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customFormat="false" ht="15.75" hidden="false" customHeight="true" outlineLevel="0" collapsed="false">
      <c r="A38" s="152"/>
      <c r="B38" s="159" t="s">
        <v>259</v>
      </c>
      <c r="C38" s="160" t="s">
        <v>328</v>
      </c>
      <c r="D38" s="155" t="s">
        <v>329</v>
      </c>
      <c r="E38" s="154" t="n">
        <v>2703</v>
      </c>
      <c r="F38" s="161" t="s">
        <v>330</v>
      </c>
      <c r="G38" s="162"/>
      <c r="H38" s="163"/>
      <c r="I38" s="153" t="s">
        <v>263</v>
      </c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customFormat="false" ht="15.75" hidden="false" customHeight="true" outlineLevel="0" collapsed="false">
      <c r="A39" s="152"/>
      <c r="B39" s="159" t="s">
        <v>264</v>
      </c>
      <c r="C39" s="160" t="s">
        <v>265</v>
      </c>
      <c r="D39" s="155"/>
      <c r="E39" s="154" t="n">
        <v>2703</v>
      </c>
      <c r="F39" s="161" t="s">
        <v>331</v>
      </c>
      <c r="G39" s="162" t="s">
        <v>332</v>
      </c>
      <c r="H39" s="163"/>
      <c r="I39" s="154" t="s">
        <v>268</v>
      </c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customFormat="false" ht="15.75" hidden="false" customHeight="true" outlineLevel="0" collapsed="false">
      <c r="A40" s="152"/>
      <c r="B40" s="159" t="s">
        <v>269</v>
      </c>
      <c r="C40" s="160" t="n">
        <v>3035302</v>
      </c>
      <c r="D40" s="155"/>
      <c r="E40" s="154" t="n">
        <v>2703</v>
      </c>
      <c r="F40" s="161"/>
      <c r="G40" s="162"/>
      <c r="H40" s="163"/>
      <c r="I40" s="154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customFormat="false" ht="15.75" hidden="false" customHeight="true" outlineLevel="0" collapsed="false">
      <c r="A41" s="152"/>
      <c r="B41" s="159" t="s">
        <v>270</v>
      </c>
      <c r="C41" s="160" t="n">
        <v>3033736</v>
      </c>
      <c r="D41" s="155"/>
      <c r="E41" s="154" t="n">
        <v>2703</v>
      </c>
      <c r="F41" s="161"/>
      <c r="G41" s="162"/>
      <c r="H41" s="163"/>
      <c r="I41" s="154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customFormat="false" ht="15.75" hidden="false" customHeight="true" outlineLevel="0" collapsed="false">
      <c r="A42" s="152"/>
      <c r="B42" s="159" t="s">
        <v>271</v>
      </c>
      <c r="C42" s="160" t="s">
        <v>272</v>
      </c>
      <c r="D42" s="155"/>
      <c r="E42" s="154" t="n">
        <v>2703</v>
      </c>
      <c r="F42" s="161" t="s">
        <v>331</v>
      </c>
      <c r="G42" s="162" t="s">
        <v>332</v>
      </c>
      <c r="H42" s="163"/>
      <c r="I42" s="154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customFormat="false" ht="15.75" hidden="false" customHeight="true" outlineLevel="0" collapsed="false">
      <c r="A43" s="152"/>
      <c r="B43" s="159" t="s">
        <v>275</v>
      </c>
      <c r="C43" s="160" t="s">
        <v>276</v>
      </c>
      <c r="D43" s="155"/>
      <c r="E43" s="154" t="n">
        <v>2703</v>
      </c>
      <c r="F43" s="161" t="s">
        <v>333</v>
      </c>
      <c r="G43" s="162" t="s">
        <v>334</v>
      </c>
      <c r="H43" s="163"/>
      <c r="I43" s="154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customFormat="false" ht="15.75" hidden="false" customHeight="true" outlineLevel="0" collapsed="false">
      <c r="A44" s="152"/>
      <c r="B44" s="159" t="s">
        <v>277</v>
      </c>
      <c r="C44" s="160" t="s">
        <v>278</v>
      </c>
      <c r="D44" s="155"/>
      <c r="E44" s="154" t="n">
        <v>2703</v>
      </c>
      <c r="F44" s="161" t="s">
        <v>335</v>
      </c>
      <c r="G44" s="162" t="s">
        <v>336</v>
      </c>
      <c r="H44" s="163"/>
      <c r="I44" s="154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customFormat="false" ht="15.75" hidden="false" customHeight="true" outlineLevel="0" collapsed="false">
      <c r="A45" s="152"/>
      <c r="B45" s="159" t="s">
        <v>281</v>
      </c>
      <c r="C45" s="160" t="n">
        <v>3033737</v>
      </c>
      <c r="D45" s="155"/>
      <c r="E45" s="154" t="n">
        <v>2703</v>
      </c>
      <c r="F45" s="161"/>
      <c r="G45" s="162"/>
      <c r="H45" s="163"/>
      <c r="I45" s="154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customFormat="false" ht="15.75" hidden="false" customHeight="true" outlineLevel="0" collapsed="false">
      <c r="A46" s="152"/>
      <c r="B46" s="159" t="s">
        <v>282</v>
      </c>
      <c r="C46" s="160" t="s">
        <v>283</v>
      </c>
      <c r="D46" s="155"/>
      <c r="E46" s="154" t="n">
        <v>2703</v>
      </c>
      <c r="F46" s="161" t="s">
        <v>337</v>
      </c>
      <c r="G46" s="162" t="s">
        <v>285</v>
      </c>
      <c r="H46" s="163"/>
      <c r="I46" s="154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customFormat="false" ht="15.75" hidden="false" customHeight="true" outlineLevel="0" collapsed="false">
      <c r="A47" s="152"/>
      <c r="B47" s="159" t="s">
        <v>286</v>
      </c>
      <c r="C47" s="160" t="s">
        <v>287</v>
      </c>
      <c r="D47" s="155"/>
      <c r="E47" s="154" t="n">
        <v>2703</v>
      </c>
      <c r="F47" s="161"/>
      <c r="G47" s="162"/>
      <c r="H47" s="163"/>
      <c r="I47" s="154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customFormat="false" ht="15.75" hidden="false" customHeight="true" outlineLevel="0" collapsed="false">
      <c r="A48" s="152"/>
      <c r="B48" s="159" t="s">
        <v>288</v>
      </c>
      <c r="C48" s="160" t="s">
        <v>289</v>
      </c>
      <c r="D48" s="155"/>
      <c r="E48" s="154" t="n">
        <v>2703</v>
      </c>
      <c r="F48" s="161" t="s">
        <v>338</v>
      </c>
      <c r="G48" s="162" t="s">
        <v>339</v>
      </c>
      <c r="H48" s="163"/>
      <c r="I48" s="154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customFormat="false" ht="15.75" hidden="false" customHeight="true" outlineLevel="0" collapsed="false">
      <c r="A49" s="152"/>
      <c r="B49" s="159" t="s">
        <v>292</v>
      </c>
      <c r="C49" s="160" t="s">
        <v>289</v>
      </c>
      <c r="D49" s="155"/>
      <c r="E49" s="154" t="n">
        <v>2703</v>
      </c>
      <c r="F49" s="161" t="s">
        <v>340</v>
      </c>
      <c r="G49" s="162" t="s">
        <v>294</v>
      </c>
      <c r="H49" s="163"/>
      <c r="I49" s="154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customFormat="false" ht="15.75" hidden="false" customHeight="true" outlineLevel="0" collapsed="false">
      <c r="A50" s="152"/>
      <c r="B50" s="153" t="s">
        <v>295</v>
      </c>
      <c r="C50" s="160" t="s">
        <v>296</v>
      </c>
      <c r="D50" s="155"/>
      <c r="E50" s="154" t="n">
        <v>2703</v>
      </c>
      <c r="F50" s="161"/>
      <c r="G50" s="162"/>
      <c r="H50" s="163"/>
      <c r="I50" s="154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customFormat="false" ht="15.75" hidden="false" customHeight="true" outlineLevel="0" collapsed="false">
      <c r="A51" s="152"/>
      <c r="B51" s="153" t="s">
        <v>295</v>
      </c>
      <c r="C51" s="160" t="s">
        <v>299</v>
      </c>
      <c r="D51" s="155"/>
      <c r="E51" s="154" t="n">
        <v>2703</v>
      </c>
      <c r="F51" s="161"/>
      <c r="G51" s="162"/>
      <c r="H51" s="163"/>
      <c r="I51" s="154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customFormat="false" ht="15.75" hidden="false" customHeight="true" outlineLevel="0" collapsed="false">
      <c r="A52" s="152"/>
      <c r="B52" s="153"/>
      <c r="C52" s="153"/>
      <c r="D52" s="153"/>
      <c r="E52" s="153"/>
      <c r="F52" s="153"/>
      <c r="G52" s="153"/>
      <c r="H52" s="153"/>
      <c r="I52" s="153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customFormat="false" ht="15.75" hidden="false" customHeight="true" outlineLevel="0" collapsed="false">
      <c r="A53" s="152"/>
      <c r="B53" s="153" t="s">
        <v>225</v>
      </c>
      <c r="C53" s="167"/>
      <c r="D53" s="168"/>
      <c r="E53" s="154" t="n">
        <v>2706</v>
      </c>
      <c r="F53" s="161" t="s">
        <v>341</v>
      </c>
      <c r="G53" s="162"/>
      <c r="H53" s="163"/>
      <c r="I53" s="153" t="s">
        <v>228</v>
      </c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customFormat="false" ht="15.75" hidden="false" customHeight="true" outlineLevel="0" collapsed="false">
      <c r="A54" s="152"/>
      <c r="B54" s="159" t="s">
        <v>229</v>
      </c>
      <c r="C54" s="163"/>
      <c r="D54" s="162"/>
      <c r="E54" s="154" t="n">
        <v>2706</v>
      </c>
      <c r="F54" s="161"/>
      <c r="G54" s="162"/>
      <c r="H54" s="163"/>
      <c r="I54" s="153" t="s">
        <v>232</v>
      </c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customFormat="false" ht="15.75" hidden="false" customHeight="true" outlineLevel="0" collapsed="false">
      <c r="A55" s="152"/>
      <c r="B55" s="159" t="s">
        <v>233</v>
      </c>
      <c r="C55" s="163"/>
      <c r="D55" s="162"/>
      <c r="E55" s="154" t="n">
        <v>2706</v>
      </c>
      <c r="F55" s="161"/>
      <c r="G55" s="162"/>
      <c r="H55" s="163"/>
      <c r="I55" s="153" t="s">
        <v>237</v>
      </c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customFormat="false" ht="15.75" hidden="false" customHeight="true" outlineLevel="0" collapsed="false">
      <c r="A56" s="152"/>
      <c r="B56" s="159" t="s">
        <v>238</v>
      </c>
      <c r="C56" s="163"/>
      <c r="D56" s="162"/>
      <c r="E56" s="154" t="n">
        <v>2706</v>
      </c>
      <c r="F56" s="161"/>
      <c r="G56" s="162"/>
      <c r="H56" s="163"/>
      <c r="I56" s="153" t="s">
        <v>232</v>
      </c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customFormat="false" ht="15.75" hidden="false" customHeight="true" outlineLevel="0" collapsed="false">
      <c r="A57" s="152"/>
      <c r="B57" s="159" t="s">
        <v>243</v>
      </c>
      <c r="C57" s="163"/>
      <c r="D57" s="162"/>
      <c r="E57" s="154" t="n">
        <v>2706</v>
      </c>
      <c r="F57" s="161"/>
      <c r="G57" s="162"/>
      <c r="H57" s="163"/>
      <c r="I57" s="153" t="s">
        <v>232</v>
      </c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customFormat="false" ht="15.75" hidden="false" customHeight="true" outlineLevel="0" collapsed="false">
      <c r="A58" s="152"/>
      <c r="B58" s="159" t="s">
        <v>245</v>
      </c>
      <c r="C58" s="163"/>
      <c r="D58" s="162"/>
      <c r="E58" s="154" t="n">
        <v>2706</v>
      </c>
      <c r="F58" s="161"/>
      <c r="G58" s="162"/>
      <c r="H58" s="163"/>
      <c r="I58" s="153" t="s">
        <v>232</v>
      </c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customFormat="false" ht="15.75" hidden="false" customHeight="true" outlineLevel="0" collapsed="false">
      <c r="A59" s="152"/>
      <c r="B59" s="159" t="s">
        <v>247</v>
      </c>
      <c r="C59" s="160" t="s">
        <v>342</v>
      </c>
      <c r="D59" s="169" t="s">
        <v>343</v>
      </c>
      <c r="E59" s="154" t="n">
        <v>2706</v>
      </c>
      <c r="F59" s="161" t="s">
        <v>344</v>
      </c>
      <c r="G59" s="162"/>
      <c r="H59" s="163"/>
      <c r="I59" s="153" t="s">
        <v>237</v>
      </c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customFormat="false" ht="15.75" hidden="false" customHeight="true" outlineLevel="0" collapsed="false">
      <c r="A60" s="152"/>
      <c r="B60" s="159" t="s">
        <v>251</v>
      </c>
      <c r="C60" s="163"/>
      <c r="D60" s="162"/>
      <c r="E60" s="154" t="n">
        <v>2706</v>
      </c>
      <c r="F60" s="162"/>
      <c r="G60" s="162"/>
      <c r="H60" s="163"/>
      <c r="I60" s="153" t="s">
        <v>237</v>
      </c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customFormat="false" ht="15.75" hidden="false" customHeight="true" outlineLevel="0" collapsed="false">
      <c r="A61" s="152"/>
      <c r="B61" s="159" t="s">
        <v>254</v>
      </c>
      <c r="C61" s="163"/>
      <c r="D61" s="162"/>
      <c r="E61" s="154" t="n">
        <v>2706</v>
      </c>
      <c r="F61" s="161" t="s">
        <v>345</v>
      </c>
      <c r="G61" s="161"/>
      <c r="H61" s="163"/>
      <c r="I61" s="153" t="s">
        <v>346</v>
      </c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customFormat="false" ht="15.75" hidden="false" customHeight="true" outlineLevel="0" collapsed="false">
      <c r="A62" s="152"/>
      <c r="B62" s="159" t="s">
        <v>259</v>
      </c>
      <c r="C62" s="163"/>
      <c r="D62" s="162"/>
      <c r="E62" s="154" t="n">
        <v>2706</v>
      </c>
      <c r="F62" s="161"/>
      <c r="G62" s="161"/>
      <c r="H62" s="163"/>
      <c r="I62" s="153" t="s">
        <v>347</v>
      </c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customFormat="false" ht="15.75" hidden="false" customHeight="true" outlineLevel="0" collapsed="false">
      <c r="A63" s="152"/>
      <c r="B63" s="159" t="s">
        <v>348</v>
      </c>
      <c r="C63" s="163"/>
      <c r="D63" s="162"/>
      <c r="E63" s="154" t="n">
        <v>2706</v>
      </c>
      <c r="F63" s="161" t="s">
        <v>341</v>
      </c>
      <c r="G63" s="162"/>
      <c r="H63" s="163"/>
      <c r="I63" s="154" t="s">
        <v>268</v>
      </c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customFormat="false" ht="15.75" hidden="false" customHeight="true" outlineLevel="0" collapsed="false">
      <c r="A64" s="152"/>
      <c r="B64" s="159" t="s">
        <v>271</v>
      </c>
      <c r="C64" s="163"/>
      <c r="D64" s="162"/>
      <c r="E64" s="154" t="n">
        <v>2706</v>
      </c>
      <c r="F64" s="161"/>
      <c r="G64" s="162"/>
      <c r="H64" s="163"/>
      <c r="I64" s="154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customFormat="false" ht="15.75" hidden="false" customHeight="true" outlineLevel="0" collapsed="false">
      <c r="A65" s="152"/>
      <c r="B65" s="159" t="s">
        <v>275</v>
      </c>
      <c r="C65" s="163"/>
      <c r="D65" s="162"/>
      <c r="E65" s="154" t="n">
        <v>2706</v>
      </c>
      <c r="F65" s="161"/>
      <c r="G65" s="162"/>
      <c r="H65" s="163"/>
      <c r="I65" s="154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customFormat="false" ht="15.75" hidden="false" customHeight="true" outlineLevel="0" collapsed="false">
      <c r="A66" s="152"/>
      <c r="B66" s="159" t="s">
        <v>277</v>
      </c>
      <c r="C66" s="163"/>
      <c r="D66" s="162"/>
      <c r="E66" s="154" t="n">
        <v>2706</v>
      </c>
      <c r="F66" s="161"/>
      <c r="G66" s="162"/>
      <c r="H66" s="163"/>
      <c r="I66" s="154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customFormat="false" ht="15.75" hidden="false" customHeight="true" outlineLevel="0" collapsed="false">
      <c r="A67" s="152"/>
      <c r="B67" s="159" t="s">
        <v>282</v>
      </c>
      <c r="C67" s="163"/>
      <c r="D67" s="162"/>
      <c r="E67" s="154" t="n">
        <v>2706</v>
      </c>
      <c r="F67" s="161"/>
      <c r="G67" s="162"/>
      <c r="H67" s="163"/>
      <c r="I67" s="154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customFormat="false" ht="15.75" hidden="false" customHeight="true" outlineLevel="0" collapsed="false">
      <c r="A68" s="152"/>
      <c r="B68" s="159" t="s">
        <v>349</v>
      </c>
      <c r="C68" s="163"/>
      <c r="D68" s="162"/>
      <c r="E68" s="154" t="n">
        <v>2706</v>
      </c>
      <c r="F68" s="161"/>
      <c r="G68" s="162"/>
      <c r="H68" s="163"/>
      <c r="I68" s="154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customFormat="false" ht="15.75" hidden="false" customHeight="true" outlineLevel="0" collapsed="false">
      <c r="A69" s="152"/>
      <c r="B69" s="163"/>
      <c r="C69" s="163"/>
      <c r="D69" s="163"/>
      <c r="E69" s="163"/>
      <c r="F69" s="163"/>
      <c r="G69" s="163"/>
      <c r="H69" s="163"/>
      <c r="I69" s="163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customFormat="false" ht="15.75" hidden="false" customHeight="true" outlineLevel="0" collapsed="false">
      <c r="A70" s="152"/>
      <c r="B70" s="153" t="s">
        <v>225</v>
      </c>
      <c r="C70" s="154" t="n">
        <v>3044000</v>
      </c>
      <c r="D70" s="161" t="s">
        <v>350</v>
      </c>
      <c r="E70" s="154" t="n">
        <v>2708</v>
      </c>
      <c r="F70" s="156" t="s">
        <v>351</v>
      </c>
      <c r="G70" s="157"/>
      <c r="H70" s="53"/>
      <c r="I70" s="153" t="s">
        <v>228</v>
      </c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customFormat="false" ht="15.75" hidden="false" customHeight="true" outlineLevel="0" collapsed="false">
      <c r="A71" s="152"/>
      <c r="B71" s="159" t="s">
        <v>229</v>
      </c>
      <c r="C71" s="160" t="s">
        <v>230</v>
      </c>
      <c r="D71" s="169" t="s">
        <v>352</v>
      </c>
      <c r="E71" s="154" t="n">
        <v>2708</v>
      </c>
      <c r="F71" s="161" t="s">
        <v>353</v>
      </c>
      <c r="G71" s="162"/>
      <c r="H71" s="163"/>
      <c r="I71" s="153" t="s">
        <v>232</v>
      </c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customFormat="false" ht="15.75" hidden="false" customHeight="true" outlineLevel="0" collapsed="false">
      <c r="A72" s="152"/>
      <c r="B72" s="159" t="s">
        <v>233</v>
      </c>
      <c r="C72" s="160" t="s">
        <v>234</v>
      </c>
      <c r="D72" s="169" t="s">
        <v>354</v>
      </c>
      <c r="E72" s="154" t="n">
        <v>2708</v>
      </c>
      <c r="F72" s="156" t="s">
        <v>355</v>
      </c>
      <c r="G72" s="157"/>
      <c r="H72" s="170"/>
      <c r="I72" s="153" t="s">
        <v>237</v>
      </c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customFormat="false" ht="15.75" hidden="false" customHeight="true" outlineLevel="0" collapsed="false">
      <c r="A73" s="152"/>
      <c r="B73" s="159" t="s">
        <v>238</v>
      </c>
      <c r="C73" s="160" t="s">
        <v>310</v>
      </c>
      <c r="D73" s="169" t="s">
        <v>356</v>
      </c>
      <c r="E73" s="154" t="n">
        <v>2708</v>
      </c>
      <c r="F73" s="156" t="s">
        <v>357</v>
      </c>
      <c r="G73" s="156" t="s">
        <v>358</v>
      </c>
      <c r="H73" s="170"/>
      <c r="I73" s="153" t="s">
        <v>359</v>
      </c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customFormat="false" ht="15.75" hidden="false" customHeight="true" outlineLevel="0" collapsed="false">
      <c r="A74" s="152"/>
      <c r="B74" s="159" t="s">
        <v>243</v>
      </c>
      <c r="C74" s="160" t="s">
        <v>244</v>
      </c>
      <c r="D74" s="169" t="s">
        <v>360</v>
      </c>
      <c r="E74" s="154" t="n">
        <v>2708</v>
      </c>
      <c r="F74" s="156" t="s">
        <v>353</v>
      </c>
      <c r="G74" s="157"/>
      <c r="H74" s="163"/>
      <c r="I74" s="153" t="s">
        <v>232</v>
      </c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customFormat="false" ht="15.75" hidden="false" customHeight="true" outlineLevel="0" collapsed="false">
      <c r="A75" s="152"/>
      <c r="B75" s="159" t="s">
        <v>245</v>
      </c>
      <c r="C75" s="160" t="s">
        <v>361</v>
      </c>
      <c r="D75" s="169" t="s">
        <v>362</v>
      </c>
      <c r="E75" s="154" t="n">
        <v>2708</v>
      </c>
      <c r="F75" s="156" t="s">
        <v>363</v>
      </c>
      <c r="G75" s="157"/>
      <c r="H75" s="53"/>
      <c r="I75" s="153" t="s">
        <v>232</v>
      </c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customFormat="false" ht="15.75" hidden="false" customHeight="true" outlineLevel="0" collapsed="false">
      <c r="A76" s="152"/>
      <c r="B76" s="159" t="s">
        <v>247</v>
      </c>
      <c r="C76" s="160" t="s">
        <v>320</v>
      </c>
      <c r="D76" s="169" t="s">
        <v>364</v>
      </c>
      <c r="E76" s="154" t="n">
        <v>2708</v>
      </c>
      <c r="F76" s="161" t="s">
        <v>365</v>
      </c>
      <c r="G76" s="162"/>
      <c r="H76" s="163"/>
      <c r="I76" s="153" t="s">
        <v>237</v>
      </c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customFormat="false" ht="15.75" hidden="false" customHeight="true" outlineLevel="0" collapsed="false">
      <c r="A77" s="152"/>
      <c r="B77" s="159" t="s">
        <v>251</v>
      </c>
      <c r="C77" s="160" t="s">
        <v>252</v>
      </c>
      <c r="D77" s="169" t="s">
        <v>366</v>
      </c>
      <c r="E77" s="154" t="n">
        <v>2708</v>
      </c>
      <c r="F77" s="161" t="s">
        <v>367</v>
      </c>
      <c r="G77" s="162"/>
      <c r="H77" s="163"/>
      <c r="I77" s="153" t="s">
        <v>237</v>
      </c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customFormat="false" ht="15.75" hidden="false" customHeight="true" outlineLevel="0" collapsed="false">
      <c r="A78" s="152"/>
      <c r="B78" s="159" t="s">
        <v>254</v>
      </c>
      <c r="C78" s="160" t="s">
        <v>255</v>
      </c>
      <c r="D78" s="169" t="s">
        <v>368</v>
      </c>
      <c r="E78" s="154" t="n">
        <v>2708</v>
      </c>
      <c r="F78" s="171" t="s">
        <v>369</v>
      </c>
      <c r="G78" s="172" t="s">
        <v>370</v>
      </c>
      <c r="H78" s="163"/>
      <c r="I78" s="153" t="s">
        <v>258</v>
      </c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customFormat="false" ht="15.75" hidden="false" customHeight="true" outlineLevel="0" collapsed="false">
      <c r="A79" s="152"/>
      <c r="B79" s="159" t="s">
        <v>259</v>
      </c>
      <c r="C79" s="160" t="s">
        <v>260</v>
      </c>
      <c r="D79" s="169" t="s">
        <v>371</v>
      </c>
      <c r="E79" s="154" t="n">
        <v>2708</v>
      </c>
      <c r="F79" s="161" t="s">
        <v>372</v>
      </c>
      <c r="G79" s="157"/>
      <c r="H79" s="163"/>
      <c r="I79" s="153" t="s">
        <v>263</v>
      </c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customFormat="false" ht="15.75" hidden="false" customHeight="true" outlineLevel="0" collapsed="false">
      <c r="A80" s="152"/>
      <c r="B80" s="159" t="s">
        <v>264</v>
      </c>
      <c r="C80" s="160" t="s">
        <v>265</v>
      </c>
      <c r="D80" s="162"/>
      <c r="E80" s="154" t="n">
        <v>2708</v>
      </c>
      <c r="F80" s="161" t="s">
        <v>373</v>
      </c>
      <c r="G80" s="156" t="s">
        <v>374</v>
      </c>
      <c r="H80" s="163"/>
      <c r="I80" s="154" t="s">
        <v>268</v>
      </c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customFormat="false" ht="15.75" hidden="false" customHeight="true" outlineLevel="0" collapsed="false">
      <c r="A81" s="152"/>
      <c r="B81" s="159" t="s">
        <v>269</v>
      </c>
      <c r="C81" s="160" t="n">
        <v>3035302</v>
      </c>
      <c r="D81" s="162"/>
      <c r="E81" s="154" t="n">
        <v>2708</v>
      </c>
      <c r="F81" s="156" t="s">
        <v>375</v>
      </c>
      <c r="G81" s="156" t="s">
        <v>376</v>
      </c>
      <c r="H81" s="163"/>
      <c r="I81" s="154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customFormat="false" ht="15.75" hidden="false" customHeight="true" outlineLevel="0" collapsed="false">
      <c r="A82" s="152"/>
      <c r="B82" s="159" t="s">
        <v>270</v>
      </c>
      <c r="C82" s="160" t="n">
        <v>3033736</v>
      </c>
      <c r="D82" s="162"/>
      <c r="E82" s="154" t="n">
        <v>2708</v>
      </c>
      <c r="F82" s="156" t="s">
        <v>375</v>
      </c>
      <c r="G82" s="156" t="s">
        <v>376</v>
      </c>
      <c r="H82" s="163"/>
      <c r="I82" s="154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customFormat="false" ht="15.75" hidden="false" customHeight="true" outlineLevel="0" collapsed="false">
      <c r="A83" s="152"/>
      <c r="B83" s="159" t="s">
        <v>271</v>
      </c>
      <c r="C83" s="160" t="s">
        <v>272</v>
      </c>
      <c r="D83" s="162"/>
      <c r="E83" s="154" t="n">
        <v>2708</v>
      </c>
      <c r="F83" s="161" t="s">
        <v>377</v>
      </c>
      <c r="G83" s="161" t="s">
        <v>378</v>
      </c>
      <c r="H83" s="163"/>
      <c r="I83" s="154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customFormat="false" ht="15.75" hidden="false" customHeight="true" outlineLevel="0" collapsed="false">
      <c r="A84" s="152"/>
      <c r="B84" s="159" t="s">
        <v>275</v>
      </c>
      <c r="C84" s="160" t="s">
        <v>276</v>
      </c>
      <c r="D84" s="162"/>
      <c r="E84" s="154" t="n">
        <v>2708</v>
      </c>
      <c r="F84" s="161" t="s">
        <v>333</v>
      </c>
      <c r="G84" s="161" t="s">
        <v>334</v>
      </c>
      <c r="H84" s="163"/>
      <c r="I84" s="154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customFormat="false" ht="15.75" hidden="false" customHeight="true" outlineLevel="0" collapsed="false">
      <c r="A85" s="152"/>
      <c r="B85" s="159" t="s">
        <v>277</v>
      </c>
      <c r="C85" s="160" t="s">
        <v>278</v>
      </c>
      <c r="D85" s="162"/>
      <c r="E85" s="154" t="n">
        <v>2708</v>
      </c>
      <c r="F85" s="156" t="s">
        <v>379</v>
      </c>
      <c r="G85" s="156" t="s">
        <v>380</v>
      </c>
      <c r="H85" s="163"/>
      <c r="I85" s="154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customFormat="false" ht="15.75" hidden="false" customHeight="true" outlineLevel="0" collapsed="false">
      <c r="A86" s="152"/>
      <c r="B86" s="159" t="s">
        <v>281</v>
      </c>
      <c r="C86" s="160" t="n">
        <v>3033737</v>
      </c>
      <c r="D86" s="162"/>
      <c r="E86" s="154" t="n">
        <v>2708</v>
      </c>
      <c r="F86" s="156" t="s">
        <v>375</v>
      </c>
      <c r="G86" s="156" t="s">
        <v>376</v>
      </c>
      <c r="H86" s="163"/>
      <c r="I86" s="154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customFormat="false" ht="15.75" hidden="false" customHeight="true" outlineLevel="0" collapsed="false">
      <c r="A87" s="152"/>
      <c r="B87" s="159" t="s">
        <v>282</v>
      </c>
      <c r="C87" s="160" t="s">
        <v>283</v>
      </c>
      <c r="D87" s="162"/>
      <c r="E87" s="154" t="n">
        <v>2708</v>
      </c>
      <c r="F87" s="156" t="s">
        <v>381</v>
      </c>
      <c r="G87" s="156" t="s">
        <v>382</v>
      </c>
      <c r="H87" s="163"/>
      <c r="I87" s="154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customFormat="false" ht="15.75" hidden="false" customHeight="true" outlineLevel="0" collapsed="false">
      <c r="A88" s="152"/>
      <c r="B88" s="159" t="s">
        <v>286</v>
      </c>
      <c r="C88" s="160" t="s">
        <v>287</v>
      </c>
      <c r="D88" s="162"/>
      <c r="E88" s="154" t="n">
        <v>2708</v>
      </c>
      <c r="F88" s="156"/>
      <c r="G88" s="156"/>
      <c r="H88" s="163"/>
      <c r="I88" s="154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customFormat="false" ht="15.75" hidden="false" customHeight="true" outlineLevel="0" collapsed="false">
      <c r="A89" s="152"/>
      <c r="B89" s="159" t="s">
        <v>288</v>
      </c>
      <c r="C89" s="160" t="s">
        <v>289</v>
      </c>
      <c r="D89" s="162"/>
      <c r="E89" s="154" t="n">
        <v>2708</v>
      </c>
      <c r="F89" s="156" t="s">
        <v>383</v>
      </c>
      <c r="G89" s="156" t="s">
        <v>384</v>
      </c>
      <c r="H89" s="163"/>
      <c r="I89" s="154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customFormat="false" ht="15.75" hidden="false" customHeight="true" outlineLevel="0" collapsed="false">
      <c r="A90" s="152"/>
      <c r="B90" s="159" t="s">
        <v>292</v>
      </c>
      <c r="C90" s="160" t="s">
        <v>289</v>
      </c>
      <c r="D90" s="162"/>
      <c r="E90" s="154" t="n">
        <v>2708</v>
      </c>
      <c r="F90" s="156" t="s">
        <v>385</v>
      </c>
      <c r="G90" s="156" t="s">
        <v>386</v>
      </c>
      <c r="H90" s="163"/>
      <c r="I90" s="154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customFormat="false" ht="15.75" hidden="false" customHeight="true" outlineLevel="0" collapsed="false">
      <c r="A91" s="152"/>
      <c r="B91" s="153" t="s">
        <v>295</v>
      </c>
      <c r="C91" s="160" t="s">
        <v>296</v>
      </c>
      <c r="D91" s="162"/>
      <c r="E91" s="154" t="n">
        <v>2708</v>
      </c>
      <c r="F91" s="156" t="s">
        <v>387</v>
      </c>
      <c r="G91" s="156" t="s">
        <v>388</v>
      </c>
      <c r="H91" s="163"/>
      <c r="I91" s="154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customFormat="false" ht="15.75" hidden="false" customHeight="true" outlineLevel="0" collapsed="false">
      <c r="A92" s="152"/>
      <c r="B92" s="153" t="s">
        <v>295</v>
      </c>
      <c r="C92" s="160" t="s">
        <v>299</v>
      </c>
      <c r="D92" s="162"/>
      <c r="E92" s="154" t="n">
        <v>2708</v>
      </c>
      <c r="F92" s="156" t="s">
        <v>387</v>
      </c>
      <c r="G92" s="156" t="s">
        <v>388</v>
      </c>
      <c r="H92" s="163"/>
      <c r="I92" s="154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customFormat="false" ht="15.75" hidden="false" customHeight="true" outlineLevel="0" collapsed="false">
      <c r="A93" s="152"/>
      <c r="B93" s="173"/>
      <c r="C93" s="173"/>
      <c r="D93" s="173"/>
      <c r="E93" s="173"/>
      <c r="F93" s="173"/>
      <c r="G93" s="173"/>
      <c r="H93" s="173"/>
      <c r="I93" s="173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customFormat="false" ht="15.75" hidden="false" customHeight="true" outlineLevel="0" collapsed="false">
      <c r="A94" s="152"/>
      <c r="B94" s="153" t="s">
        <v>225</v>
      </c>
      <c r="C94" s="154" t="n">
        <v>3044000</v>
      </c>
      <c r="D94" s="161" t="s">
        <v>389</v>
      </c>
      <c r="E94" s="154" t="n">
        <v>2719</v>
      </c>
      <c r="F94" s="164" t="s">
        <v>390</v>
      </c>
      <c r="G94" s="165" t="s">
        <v>391</v>
      </c>
      <c r="H94" s="158" t="s">
        <v>392</v>
      </c>
      <c r="I94" s="153" t="s">
        <v>393</v>
      </c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customFormat="false" ht="15.75" hidden="false" customHeight="true" outlineLevel="0" collapsed="false">
      <c r="A95" s="152"/>
      <c r="B95" s="159" t="s">
        <v>229</v>
      </c>
      <c r="C95" s="160" t="n">
        <v>3032710</v>
      </c>
      <c r="D95" s="169" t="s">
        <v>394</v>
      </c>
      <c r="E95" s="154" t="n">
        <v>2719</v>
      </c>
      <c r="F95" s="161" t="s">
        <v>395</v>
      </c>
      <c r="G95" s="162"/>
      <c r="H95" s="163"/>
      <c r="I95" s="153" t="s">
        <v>232</v>
      </c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customFormat="false" ht="15.75" hidden="false" customHeight="true" outlineLevel="0" collapsed="false">
      <c r="A96" s="152"/>
      <c r="B96" s="159" t="s">
        <v>233</v>
      </c>
      <c r="C96" s="160" t="s">
        <v>396</v>
      </c>
      <c r="D96" s="169" t="s">
        <v>397</v>
      </c>
      <c r="E96" s="154" t="n">
        <v>2719</v>
      </c>
      <c r="F96" s="156" t="s">
        <v>398</v>
      </c>
      <c r="G96" s="157"/>
      <c r="H96" s="170"/>
      <c r="I96" s="153" t="s">
        <v>237</v>
      </c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customFormat="false" ht="15.75" hidden="false" customHeight="true" outlineLevel="0" collapsed="false">
      <c r="A97" s="152"/>
      <c r="B97" s="159" t="s">
        <v>238</v>
      </c>
      <c r="C97" s="160" t="s">
        <v>399</v>
      </c>
      <c r="D97" s="169" t="s">
        <v>400</v>
      </c>
      <c r="E97" s="154" t="n">
        <v>2719</v>
      </c>
      <c r="F97" s="156" t="s">
        <v>401</v>
      </c>
      <c r="G97" s="156"/>
      <c r="H97" s="170"/>
      <c r="I97" s="153" t="s">
        <v>242</v>
      </c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customFormat="false" ht="15.75" hidden="false" customHeight="true" outlineLevel="0" collapsed="false">
      <c r="A98" s="152"/>
      <c r="B98" s="159" t="s">
        <v>243</v>
      </c>
      <c r="C98" s="160" t="s">
        <v>244</v>
      </c>
      <c r="D98" s="169" t="s">
        <v>402</v>
      </c>
      <c r="E98" s="154" t="n">
        <v>2719</v>
      </c>
      <c r="F98" s="156" t="s">
        <v>403</v>
      </c>
      <c r="G98" s="157"/>
      <c r="H98" s="163"/>
      <c r="I98" s="153" t="s">
        <v>232</v>
      </c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customFormat="false" ht="15.75" hidden="false" customHeight="true" outlineLevel="0" collapsed="false">
      <c r="A99" s="152"/>
      <c r="B99" s="159" t="s">
        <v>245</v>
      </c>
      <c r="C99" s="160" t="s">
        <v>246</v>
      </c>
      <c r="D99" s="169" t="s">
        <v>404</v>
      </c>
      <c r="E99" s="154" t="n">
        <v>2719</v>
      </c>
      <c r="F99" s="156" t="s">
        <v>405</v>
      </c>
      <c r="G99" s="157"/>
      <c r="H99" s="53"/>
      <c r="I99" s="153" t="s">
        <v>232</v>
      </c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customFormat="false" ht="15.75" hidden="false" customHeight="true" outlineLevel="0" collapsed="false">
      <c r="A100" s="152"/>
      <c r="B100" s="159" t="s">
        <v>247</v>
      </c>
      <c r="C100" s="160" t="s">
        <v>320</v>
      </c>
      <c r="D100" s="169" t="s">
        <v>406</v>
      </c>
      <c r="E100" s="154" t="n">
        <v>2719</v>
      </c>
      <c r="F100" s="161" t="s">
        <v>407</v>
      </c>
      <c r="G100" s="162"/>
      <c r="H100" s="163"/>
      <c r="I100" s="153" t="s">
        <v>237</v>
      </c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customFormat="false" ht="15.75" hidden="false" customHeight="true" outlineLevel="0" collapsed="false">
      <c r="A101" s="152"/>
      <c r="B101" s="159" t="s">
        <v>251</v>
      </c>
      <c r="C101" s="160" t="s">
        <v>252</v>
      </c>
      <c r="D101" s="169" t="s">
        <v>408</v>
      </c>
      <c r="E101" s="154" t="n">
        <v>2719</v>
      </c>
      <c r="F101" s="161" t="s">
        <v>409</v>
      </c>
      <c r="G101" s="162"/>
      <c r="H101" s="163"/>
      <c r="I101" s="153" t="s">
        <v>237</v>
      </c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customFormat="false" ht="15.75" hidden="false" customHeight="true" outlineLevel="0" collapsed="false">
      <c r="A102" s="152"/>
      <c r="B102" s="159" t="s">
        <v>254</v>
      </c>
      <c r="C102" s="160" t="s">
        <v>255</v>
      </c>
      <c r="D102" s="169" t="s">
        <v>410</v>
      </c>
      <c r="E102" s="174" t="n">
        <v>2719</v>
      </c>
      <c r="F102" s="171" t="s">
        <v>411</v>
      </c>
      <c r="G102" s="172" t="s">
        <v>412</v>
      </c>
      <c r="H102" s="163"/>
      <c r="I102" s="153" t="s">
        <v>258</v>
      </c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customFormat="false" ht="15.75" hidden="false" customHeight="true" outlineLevel="0" collapsed="false">
      <c r="A103" s="152"/>
      <c r="B103" s="159" t="s">
        <v>259</v>
      </c>
      <c r="C103" s="160" t="s">
        <v>328</v>
      </c>
      <c r="D103" s="169" t="s">
        <v>413</v>
      </c>
      <c r="E103" s="154" t="n">
        <v>2719</v>
      </c>
      <c r="F103" s="161" t="s">
        <v>414</v>
      </c>
      <c r="G103" s="162"/>
      <c r="H103" s="163"/>
      <c r="I103" s="153" t="s">
        <v>263</v>
      </c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customFormat="false" ht="15.75" hidden="false" customHeight="true" outlineLevel="0" collapsed="false">
      <c r="A104" s="152"/>
      <c r="B104" s="159" t="s">
        <v>264</v>
      </c>
      <c r="C104" s="160" t="s">
        <v>265</v>
      </c>
      <c r="D104" s="162"/>
      <c r="E104" s="154" t="n">
        <v>2719</v>
      </c>
      <c r="F104" s="161"/>
      <c r="G104" s="156"/>
      <c r="H104" s="163"/>
      <c r="I104" s="154" t="s">
        <v>268</v>
      </c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customFormat="false" ht="15.75" hidden="false" customHeight="true" outlineLevel="0" collapsed="false">
      <c r="A105" s="152"/>
      <c r="B105" s="159" t="s">
        <v>269</v>
      </c>
      <c r="C105" s="160" t="n">
        <v>3035302</v>
      </c>
      <c r="D105" s="162"/>
      <c r="E105" s="154" t="n">
        <v>2719</v>
      </c>
      <c r="F105" s="156" t="s">
        <v>415</v>
      </c>
      <c r="G105" s="156" t="s">
        <v>416</v>
      </c>
      <c r="H105" s="163"/>
      <c r="I105" s="154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customFormat="false" ht="15.75" hidden="false" customHeight="true" outlineLevel="0" collapsed="false">
      <c r="A106" s="152"/>
      <c r="B106" s="159" t="s">
        <v>270</v>
      </c>
      <c r="C106" s="160" t="n">
        <v>3033736</v>
      </c>
      <c r="D106" s="162"/>
      <c r="E106" s="154" t="n">
        <v>2719</v>
      </c>
      <c r="F106" s="156" t="s">
        <v>415</v>
      </c>
      <c r="G106" s="156" t="s">
        <v>416</v>
      </c>
      <c r="H106" s="163"/>
      <c r="I106" s="154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customFormat="false" ht="15.75" hidden="false" customHeight="true" outlineLevel="0" collapsed="false">
      <c r="A107" s="152"/>
      <c r="B107" s="159" t="s">
        <v>271</v>
      </c>
      <c r="C107" s="160" t="s">
        <v>272</v>
      </c>
      <c r="D107" s="162"/>
      <c r="E107" s="154" t="n">
        <v>2719</v>
      </c>
      <c r="F107" s="161" t="s">
        <v>331</v>
      </c>
      <c r="G107" s="161" t="s">
        <v>332</v>
      </c>
      <c r="H107" s="163"/>
      <c r="I107" s="154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customFormat="false" ht="15.75" hidden="false" customHeight="true" outlineLevel="0" collapsed="false">
      <c r="A108" s="152"/>
      <c r="B108" s="159" t="s">
        <v>275</v>
      </c>
      <c r="C108" s="160" t="s">
        <v>276</v>
      </c>
      <c r="D108" s="162"/>
      <c r="E108" s="154" t="n">
        <v>2719</v>
      </c>
      <c r="F108" s="161" t="s">
        <v>417</v>
      </c>
      <c r="G108" s="161" t="s">
        <v>418</v>
      </c>
      <c r="H108" s="163"/>
      <c r="I108" s="154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customFormat="false" ht="15.75" hidden="false" customHeight="true" outlineLevel="0" collapsed="false">
      <c r="A109" s="152"/>
      <c r="B109" s="159" t="s">
        <v>277</v>
      </c>
      <c r="C109" s="160" t="s">
        <v>278</v>
      </c>
      <c r="D109" s="162"/>
      <c r="E109" s="154" t="n">
        <v>2719</v>
      </c>
      <c r="F109" s="156" t="s">
        <v>335</v>
      </c>
      <c r="G109" s="156" t="s">
        <v>419</v>
      </c>
      <c r="H109" s="163"/>
      <c r="I109" s="154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customFormat="false" ht="15.75" hidden="false" customHeight="true" outlineLevel="0" collapsed="false">
      <c r="A110" s="152"/>
      <c r="B110" s="159" t="s">
        <v>281</v>
      </c>
      <c r="C110" s="160" t="n">
        <v>3033737</v>
      </c>
      <c r="D110" s="162"/>
      <c r="E110" s="154" t="n">
        <v>2719</v>
      </c>
      <c r="F110" s="156" t="s">
        <v>415</v>
      </c>
      <c r="G110" s="156" t="s">
        <v>416</v>
      </c>
      <c r="H110" s="163"/>
      <c r="I110" s="154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customFormat="false" ht="15.75" hidden="false" customHeight="true" outlineLevel="0" collapsed="false">
      <c r="A111" s="152"/>
      <c r="B111" s="159" t="s">
        <v>282</v>
      </c>
      <c r="C111" s="160" t="s">
        <v>283</v>
      </c>
      <c r="D111" s="162"/>
      <c r="E111" s="154" t="n">
        <v>2719</v>
      </c>
      <c r="F111" s="156" t="s">
        <v>420</v>
      </c>
      <c r="G111" s="156" t="s">
        <v>421</v>
      </c>
      <c r="H111" s="163"/>
      <c r="I111" s="154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customFormat="false" ht="15.75" hidden="false" customHeight="true" outlineLevel="0" collapsed="false">
      <c r="A112" s="152"/>
      <c r="B112" s="159" t="s">
        <v>286</v>
      </c>
      <c r="C112" s="160" t="s">
        <v>287</v>
      </c>
      <c r="D112" s="162"/>
      <c r="E112" s="154" t="n">
        <v>2719</v>
      </c>
      <c r="F112" s="156" t="s">
        <v>422</v>
      </c>
      <c r="G112" s="156" t="s">
        <v>423</v>
      </c>
      <c r="H112" s="163"/>
      <c r="I112" s="154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customFormat="false" ht="15.75" hidden="false" customHeight="true" outlineLevel="0" collapsed="false">
      <c r="A113" s="152"/>
      <c r="B113" s="159" t="s">
        <v>349</v>
      </c>
      <c r="C113" s="160" t="s">
        <v>289</v>
      </c>
      <c r="D113" s="162"/>
      <c r="E113" s="154" t="n">
        <v>2719</v>
      </c>
      <c r="F113" s="156" t="s">
        <v>424</v>
      </c>
      <c r="G113" s="156" t="s">
        <v>425</v>
      </c>
      <c r="H113" s="163"/>
      <c r="I113" s="154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customFormat="false" ht="15.75" hidden="false" customHeight="true" outlineLevel="0" collapsed="false">
      <c r="A114" s="152"/>
      <c r="B114" s="153" t="s">
        <v>295</v>
      </c>
      <c r="C114" s="160" t="s">
        <v>296</v>
      </c>
      <c r="D114" s="162"/>
      <c r="E114" s="154" t="n">
        <v>2719</v>
      </c>
      <c r="F114" s="156" t="s">
        <v>426</v>
      </c>
      <c r="G114" s="156" t="s">
        <v>298</v>
      </c>
      <c r="H114" s="163"/>
      <c r="I114" s="154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customFormat="false" ht="15.75" hidden="false" customHeight="true" outlineLevel="0" collapsed="false">
      <c r="A115" s="152"/>
      <c r="B115" s="153" t="s">
        <v>295</v>
      </c>
      <c r="C115" s="160" t="s">
        <v>299</v>
      </c>
      <c r="D115" s="162"/>
      <c r="E115" s="154" t="n">
        <v>2719</v>
      </c>
      <c r="F115" s="156" t="s">
        <v>426</v>
      </c>
      <c r="G115" s="156" t="s">
        <v>298</v>
      </c>
      <c r="H115" s="163"/>
      <c r="I115" s="154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customFormat="false" ht="15.75" hidden="false" customHeight="true" outlineLevel="0" collapsed="false">
      <c r="A116" s="152"/>
      <c r="B116" s="163"/>
      <c r="C116" s="163"/>
      <c r="D116" s="163"/>
      <c r="E116" s="163"/>
      <c r="F116" s="163"/>
      <c r="G116" s="163"/>
      <c r="H116" s="163"/>
      <c r="I116" s="163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customFormat="false" ht="15.75" hidden="true" customHeight="true" outlineLevel="0" collapsed="false">
      <c r="A117" s="152"/>
      <c r="B117" s="153" t="s">
        <v>225</v>
      </c>
      <c r="C117" s="154" t="n">
        <v>3044000</v>
      </c>
      <c r="D117" s="155" t="s">
        <v>427</v>
      </c>
      <c r="E117" s="155" t="n">
        <v>2721</v>
      </c>
      <c r="F117" s="155" t="s">
        <v>428</v>
      </c>
      <c r="G117" s="155"/>
      <c r="H117" s="163"/>
      <c r="I117" s="153" t="s">
        <v>429</v>
      </c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customFormat="false" ht="15.75" hidden="true" customHeight="true" outlineLevel="0" collapsed="false">
      <c r="A118" s="152"/>
      <c r="B118" s="159" t="s">
        <v>229</v>
      </c>
      <c r="C118" s="160" t="s">
        <v>230</v>
      </c>
      <c r="D118" s="155" t="n">
        <v>607</v>
      </c>
      <c r="E118" s="155" t="n">
        <v>2721</v>
      </c>
      <c r="F118" s="155" t="s">
        <v>430</v>
      </c>
      <c r="G118" s="155"/>
      <c r="H118" s="163"/>
      <c r="I118" s="153" t="s">
        <v>232</v>
      </c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customFormat="false" ht="15.75" hidden="true" customHeight="true" outlineLevel="0" collapsed="false">
      <c r="A119" s="152"/>
      <c r="B119" s="159" t="s">
        <v>233</v>
      </c>
      <c r="C119" s="160" t="n">
        <v>3034792</v>
      </c>
      <c r="D119" s="162" t="s">
        <v>431</v>
      </c>
      <c r="E119" s="155" t="n">
        <v>2721</v>
      </c>
      <c r="F119" s="155" t="s">
        <v>432</v>
      </c>
      <c r="G119" s="155"/>
      <c r="H119" s="163"/>
      <c r="I119" s="153" t="s">
        <v>237</v>
      </c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customFormat="false" ht="15.75" hidden="true" customHeight="true" outlineLevel="0" collapsed="false">
      <c r="A120" s="152"/>
      <c r="B120" s="159" t="s">
        <v>238</v>
      </c>
      <c r="C120" s="160" t="s">
        <v>433</v>
      </c>
      <c r="D120" s="155" t="s">
        <v>434</v>
      </c>
      <c r="E120" s="155" t="n">
        <v>2721</v>
      </c>
      <c r="F120" s="155" t="s">
        <v>435</v>
      </c>
      <c r="G120" s="175" t="n">
        <v>47030</v>
      </c>
      <c r="H120" s="163"/>
      <c r="I120" s="153" t="s">
        <v>242</v>
      </c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customFormat="false" ht="15.75" hidden="true" customHeight="true" outlineLevel="0" collapsed="false">
      <c r="A121" s="152"/>
      <c r="B121" s="159" t="s">
        <v>243</v>
      </c>
      <c r="C121" s="160" t="s">
        <v>244</v>
      </c>
      <c r="D121" s="155" t="n">
        <v>20745763</v>
      </c>
      <c r="E121" s="155" t="n">
        <v>2721</v>
      </c>
      <c r="F121" s="155" t="s">
        <v>436</v>
      </c>
      <c r="G121" s="155"/>
      <c r="H121" s="163"/>
      <c r="I121" s="153" t="s">
        <v>232</v>
      </c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customFormat="false" ht="15.75" hidden="true" customHeight="true" outlineLevel="0" collapsed="false">
      <c r="A122" s="152"/>
      <c r="B122" s="159" t="s">
        <v>245</v>
      </c>
      <c r="C122" s="160" t="s">
        <v>246</v>
      </c>
      <c r="D122" s="155" t="s">
        <v>437</v>
      </c>
      <c r="E122" s="155" t="n">
        <v>2721</v>
      </c>
      <c r="F122" s="155" t="s">
        <v>430</v>
      </c>
      <c r="G122" s="155"/>
      <c r="H122" s="163"/>
      <c r="I122" s="153" t="s">
        <v>232</v>
      </c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customFormat="false" ht="15.75" hidden="true" customHeight="true" outlineLevel="0" collapsed="false">
      <c r="A123" s="152"/>
      <c r="B123" s="159" t="s">
        <v>247</v>
      </c>
      <c r="C123" s="160" t="s">
        <v>320</v>
      </c>
      <c r="D123" s="155" t="s">
        <v>438</v>
      </c>
      <c r="E123" s="155" t="n">
        <v>2721</v>
      </c>
      <c r="F123" s="155" t="s">
        <v>439</v>
      </c>
      <c r="G123" s="155"/>
      <c r="H123" s="163"/>
      <c r="I123" s="153" t="s">
        <v>237</v>
      </c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customFormat="false" ht="15.75" hidden="true" customHeight="true" outlineLevel="0" collapsed="false">
      <c r="A124" s="152"/>
      <c r="B124" s="159" t="s">
        <v>251</v>
      </c>
      <c r="C124" s="160" t="s">
        <v>440</v>
      </c>
      <c r="D124" s="155" t="n">
        <v>862</v>
      </c>
      <c r="E124" s="155" t="n">
        <v>2721</v>
      </c>
      <c r="F124" s="165" t="s">
        <v>441</v>
      </c>
      <c r="G124" s="164" t="s">
        <v>442</v>
      </c>
      <c r="H124" s="163"/>
      <c r="I124" s="153" t="s">
        <v>237</v>
      </c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customFormat="false" ht="15.75" hidden="true" customHeight="true" outlineLevel="0" collapsed="false">
      <c r="A125" s="152"/>
      <c r="B125" s="159" t="s">
        <v>254</v>
      </c>
      <c r="C125" s="160" t="s">
        <v>255</v>
      </c>
      <c r="D125" s="155" t="n">
        <v>250353</v>
      </c>
      <c r="E125" s="155" t="n">
        <v>2721</v>
      </c>
      <c r="F125" s="155" t="s">
        <v>443</v>
      </c>
      <c r="G125" s="175" t="n">
        <v>11448</v>
      </c>
      <c r="H125" s="163"/>
      <c r="I125" s="153" t="s">
        <v>258</v>
      </c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customFormat="false" ht="15.75" hidden="true" customHeight="true" outlineLevel="0" collapsed="false">
      <c r="A126" s="152"/>
      <c r="B126" s="159" t="s">
        <v>259</v>
      </c>
      <c r="C126" s="160" t="s">
        <v>260</v>
      </c>
      <c r="D126" s="155" t="n">
        <v>17724757</v>
      </c>
      <c r="E126" s="155" t="n">
        <v>2721</v>
      </c>
      <c r="F126" s="155" t="s">
        <v>444</v>
      </c>
      <c r="G126" s="155"/>
      <c r="H126" s="163"/>
      <c r="I126" s="153" t="s">
        <v>263</v>
      </c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customFormat="false" ht="15.75" hidden="true" customHeight="true" outlineLevel="0" collapsed="false">
      <c r="A127" s="152"/>
      <c r="B127" s="159" t="s">
        <v>264</v>
      </c>
      <c r="C127" s="160" t="s">
        <v>265</v>
      </c>
      <c r="D127" s="155"/>
      <c r="E127" s="155" t="n">
        <v>2721</v>
      </c>
      <c r="F127" s="155" t="s">
        <v>445</v>
      </c>
      <c r="G127" s="175" t="n">
        <v>11014</v>
      </c>
      <c r="H127" s="163"/>
      <c r="I127" s="154" t="s">
        <v>268</v>
      </c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customFormat="false" ht="15.75" hidden="true" customHeight="true" outlineLevel="0" collapsed="false">
      <c r="A128" s="152"/>
      <c r="B128" s="159" t="s">
        <v>269</v>
      </c>
      <c r="C128" s="160" t="n">
        <v>3035302</v>
      </c>
      <c r="D128" s="155"/>
      <c r="E128" s="155" t="n">
        <v>2721</v>
      </c>
      <c r="F128" s="155"/>
      <c r="G128" s="155"/>
      <c r="H128" s="163"/>
      <c r="I128" s="154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customFormat="false" ht="15.75" hidden="true" customHeight="true" outlineLevel="0" collapsed="false">
      <c r="A129" s="152"/>
      <c r="B129" s="159" t="s">
        <v>270</v>
      </c>
      <c r="C129" s="160" t="n">
        <v>3033736</v>
      </c>
      <c r="D129" s="155"/>
      <c r="E129" s="155" t="n">
        <v>2721</v>
      </c>
      <c r="F129" s="155"/>
      <c r="G129" s="155"/>
      <c r="H129" s="163"/>
      <c r="I129" s="154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customFormat="false" ht="15.75" hidden="true" customHeight="true" outlineLevel="0" collapsed="false">
      <c r="A130" s="152"/>
      <c r="B130" s="159" t="s">
        <v>271</v>
      </c>
      <c r="C130" s="160" t="s">
        <v>272</v>
      </c>
      <c r="D130" s="155"/>
      <c r="E130" s="155" t="n">
        <v>2721</v>
      </c>
      <c r="F130" s="155" t="s">
        <v>446</v>
      </c>
      <c r="G130" s="175" t="n">
        <v>47174</v>
      </c>
      <c r="H130" s="163"/>
      <c r="I130" s="154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customFormat="false" ht="15.75" hidden="true" customHeight="true" outlineLevel="0" collapsed="false">
      <c r="A131" s="152"/>
      <c r="B131" s="159" t="s">
        <v>275</v>
      </c>
      <c r="C131" s="160" t="s">
        <v>276</v>
      </c>
      <c r="D131" s="155"/>
      <c r="E131" s="155" t="n">
        <v>2721</v>
      </c>
      <c r="F131" s="155"/>
      <c r="G131" s="155"/>
      <c r="H131" s="163"/>
      <c r="I131" s="154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customFormat="false" ht="15.75" hidden="true" customHeight="true" outlineLevel="0" collapsed="false">
      <c r="A132" s="152"/>
      <c r="B132" s="159" t="s">
        <v>277</v>
      </c>
      <c r="C132" s="160" t="s">
        <v>278</v>
      </c>
      <c r="D132" s="155"/>
      <c r="E132" s="155" t="n">
        <v>2721</v>
      </c>
      <c r="F132" s="155" t="s">
        <v>447</v>
      </c>
      <c r="G132" s="175" t="n">
        <v>46566</v>
      </c>
      <c r="H132" s="163"/>
      <c r="I132" s="154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customFormat="false" ht="15.75" hidden="true" customHeight="true" outlineLevel="0" collapsed="false">
      <c r="A133" s="152"/>
      <c r="B133" s="159" t="s">
        <v>281</v>
      </c>
      <c r="C133" s="160" t="n">
        <v>3033737</v>
      </c>
      <c r="D133" s="155"/>
      <c r="E133" s="155" t="n">
        <v>2721</v>
      </c>
      <c r="F133" s="155"/>
      <c r="G133" s="155"/>
      <c r="H133" s="163"/>
      <c r="I133" s="154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customFormat="false" ht="15.75" hidden="true" customHeight="true" outlineLevel="0" collapsed="false">
      <c r="A134" s="152"/>
      <c r="B134" s="159" t="s">
        <v>282</v>
      </c>
      <c r="C134" s="160" t="s">
        <v>283</v>
      </c>
      <c r="D134" s="155"/>
      <c r="E134" s="155" t="n">
        <v>2721</v>
      </c>
      <c r="F134" s="155" t="s">
        <v>448</v>
      </c>
      <c r="G134" s="175" t="n">
        <v>47296</v>
      </c>
      <c r="H134" s="163"/>
      <c r="I134" s="154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customFormat="false" ht="15.75" hidden="true" customHeight="true" outlineLevel="0" collapsed="false">
      <c r="A135" s="152"/>
      <c r="B135" s="159" t="s">
        <v>286</v>
      </c>
      <c r="C135" s="160" t="s">
        <v>287</v>
      </c>
      <c r="D135" s="155"/>
      <c r="E135" s="155" t="n">
        <v>2721</v>
      </c>
      <c r="F135" s="155"/>
      <c r="G135" s="155"/>
      <c r="H135" s="163"/>
      <c r="I135" s="154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customFormat="false" ht="15.75" hidden="true" customHeight="true" outlineLevel="0" collapsed="false">
      <c r="A136" s="152"/>
      <c r="B136" s="159" t="s">
        <v>349</v>
      </c>
      <c r="C136" s="160" t="s">
        <v>289</v>
      </c>
      <c r="D136" s="155"/>
      <c r="E136" s="155" t="n">
        <v>2721</v>
      </c>
      <c r="F136" s="155"/>
      <c r="G136" s="155"/>
      <c r="H136" s="163"/>
      <c r="I136" s="154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customFormat="false" ht="15.75" hidden="true" customHeight="true" outlineLevel="0" collapsed="false">
      <c r="A137" s="152"/>
      <c r="B137" s="153" t="s">
        <v>295</v>
      </c>
      <c r="C137" s="160" t="s">
        <v>296</v>
      </c>
      <c r="D137" s="155"/>
      <c r="E137" s="155" t="n">
        <v>2721</v>
      </c>
      <c r="F137" s="155" t="s">
        <v>449</v>
      </c>
      <c r="G137" s="175" t="n">
        <v>13055</v>
      </c>
      <c r="H137" s="163"/>
      <c r="I137" s="154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customFormat="false" ht="15.75" hidden="true" customHeight="true" outlineLevel="0" collapsed="false">
      <c r="A138" s="152"/>
      <c r="B138" s="153" t="s">
        <v>295</v>
      </c>
      <c r="C138" s="160" t="s">
        <v>299</v>
      </c>
      <c r="D138" s="155"/>
      <c r="E138" s="155" t="n">
        <v>2721</v>
      </c>
      <c r="F138" s="155" t="s">
        <v>449</v>
      </c>
      <c r="G138" s="175" t="n">
        <v>13055</v>
      </c>
      <c r="H138" s="163"/>
      <c r="I138" s="154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customFormat="false" ht="15.75" hidden="true" customHeight="true" outlineLevel="0" collapsed="false">
      <c r="A139" s="152"/>
      <c r="B139" s="163"/>
      <c r="C139" s="163"/>
      <c r="D139" s="163"/>
      <c r="E139" s="163"/>
      <c r="F139" s="163"/>
      <c r="G139" s="163"/>
      <c r="H139" s="163"/>
      <c r="I139" s="163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customFormat="false" ht="15.75" hidden="false" customHeight="true" outlineLevel="0" collapsed="false">
      <c r="A140" s="152"/>
      <c r="B140" s="153" t="s">
        <v>225</v>
      </c>
      <c r="C140" s="160" t="n">
        <v>3044000</v>
      </c>
      <c r="D140" s="169" t="s">
        <v>450</v>
      </c>
      <c r="E140" s="154" t="n">
        <v>2722</v>
      </c>
      <c r="F140" s="164" t="s">
        <v>451</v>
      </c>
      <c r="G140" s="164" t="s">
        <v>452</v>
      </c>
      <c r="H140" s="176" t="s">
        <v>453</v>
      </c>
      <c r="I140" s="153" t="s">
        <v>454</v>
      </c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customFormat="false" ht="15.75" hidden="false" customHeight="true" outlineLevel="0" collapsed="false">
      <c r="A141" s="152"/>
      <c r="B141" s="159" t="s">
        <v>229</v>
      </c>
      <c r="C141" s="160" t="n">
        <v>3032710</v>
      </c>
      <c r="D141" s="169" t="s">
        <v>455</v>
      </c>
      <c r="E141" s="154" t="n">
        <v>2722</v>
      </c>
      <c r="F141" s="156" t="s">
        <v>456</v>
      </c>
      <c r="G141" s="157"/>
      <c r="H141" s="163"/>
      <c r="I141" s="153" t="s">
        <v>232</v>
      </c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customFormat="false" ht="15.75" hidden="false" customHeight="true" outlineLevel="0" collapsed="false">
      <c r="A142" s="152"/>
      <c r="B142" s="159" t="s">
        <v>233</v>
      </c>
      <c r="C142" s="160" t="s">
        <v>234</v>
      </c>
      <c r="D142" s="169" t="s">
        <v>457</v>
      </c>
      <c r="E142" s="154" t="n">
        <v>2722</v>
      </c>
      <c r="F142" s="156" t="s">
        <v>458</v>
      </c>
      <c r="G142" s="157"/>
      <c r="H142" s="163"/>
      <c r="I142" s="153" t="s">
        <v>237</v>
      </c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customFormat="false" ht="15.75" hidden="false" customHeight="true" outlineLevel="0" collapsed="false">
      <c r="A143" s="152"/>
      <c r="B143" s="159" t="s">
        <v>238</v>
      </c>
      <c r="C143" s="160" t="s">
        <v>239</v>
      </c>
      <c r="D143" s="169" t="s">
        <v>459</v>
      </c>
      <c r="E143" s="154" t="n">
        <v>2722</v>
      </c>
      <c r="F143" s="156" t="s">
        <v>460</v>
      </c>
      <c r="G143" s="156" t="s">
        <v>461</v>
      </c>
      <c r="H143" s="163"/>
      <c r="I143" s="153" t="s">
        <v>242</v>
      </c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customFormat="false" ht="15.75" hidden="false" customHeight="true" outlineLevel="0" collapsed="false">
      <c r="A144" s="152"/>
      <c r="B144" s="159" t="s">
        <v>243</v>
      </c>
      <c r="C144" s="160" t="s">
        <v>244</v>
      </c>
      <c r="D144" s="169" t="s">
        <v>462</v>
      </c>
      <c r="E144" s="154" t="n">
        <v>2722</v>
      </c>
      <c r="F144" s="156" t="s">
        <v>456</v>
      </c>
      <c r="G144" s="157"/>
      <c r="H144" s="163"/>
      <c r="I144" s="153" t="s">
        <v>232</v>
      </c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customFormat="false" ht="15.75" hidden="false" customHeight="true" outlineLevel="0" collapsed="false">
      <c r="A145" s="152"/>
      <c r="B145" s="159" t="s">
        <v>245</v>
      </c>
      <c r="C145" s="160" t="s">
        <v>246</v>
      </c>
      <c r="D145" s="169" t="s">
        <v>463</v>
      </c>
      <c r="E145" s="154" t="n">
        <v>2722</v>
      </c>
      <c r="F145" s="156" t="s">
        <v>464</v>
      </c>
      <c r="G145" s="157"/>
      <c r="H145" s="163"/>
      <c r="I145" s="153" t="s">
        <v>232</v>
      </c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customFormat="false" ht="15.75" hidden="false" customHeight="true" outlineLevel="0" collapsed="false">
      <c r="A146" s="152"/>
      <c r="B146" s="159" t="s">
        <v>247</v>
      </c>
      <c r="C146" s="160" t="s">
        <v>342</v>
      </c>
      <c r="D146" s="169" t="s">
        <v>465</v>
      </c>
      <c r="E146" s="154" t="n">
        <v>2722</v>
      </c>
      <c r="F146" s="156" t="s">
        <v>466</v>
      </c>
      <c r="G146" s="157"/>
      <c r="H146" s="163"/>
      <c r="I146" s="153" t="s">
        <v>237</v>
      </c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customFormat="false" ht="15.75" hidden="false" customHeight="true" outlineLevel="0" collapsed="false">
      <c r="A147" s="152"/>
      <c r="B147" s="159" t="s">
        <v>251</v>
      </c>
      <c r="C147" s="160" t="s">
        <v>440</v>
      </c>
      <c r="D147" s="169" t="s">
        <v>467</v>
      </c>
      <c r="E147" s="154" t="n">
        <v>2722</v>
      </c>
      <c r="F147" s="156" t="s">
        <v>468</v>
      </c>
      <c r="G147" s="157"/>
      <c r="H147" s="163"/>
      <c r="I147" s="153" t="s">
        <v>237</v>
      </c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customFormat="false" ht="15.75" hidden="false" customHeight="true" outlineLevel="0" collapsed="false">
      <c r="A148" s="152"/>
      <c r="B148" s="159" t="s">
        <v>254</v>
      </c>
      <c r="C148" s="160" t="s">
        <v>255</v>
      </c>
      <c r="D148" s="169" t="s">
        <v>469</v>
      </c>
      <c r="E148" s="154" t="n">
        <v>2722</v>
      </c>
      <c r="F148" s="156" t="s">
        <v>470</v>
      </c>
      <c r="G148" s="164" t="s">
        <v>471</v>
      </c>
      <c r="H148" s="163"/>
      <c r="I148" s="153" t="s">
        <v>258</v>
      </c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customFormat="false" ht="15.75" hidden="false" customHeight="true" outlineLevel="0" collapsed="false">
      <c r="A149" s="152"/>
      <c r="B149" s="159" t="s">
        <v>259</v>
      </c>
      <c r="C149" s="160" t="s">
        <v>260</v>
      </c>
      <c r="D149" s="169" t="s">
        <v>472</v>
      </c>
      <c r="E149" s="154" t="n">
        <v>2722</v>
      </c>
      <c r="F149" s="156" t="s">
        <v>473</v>
      </c>
      <c r="G149" s="157"/>
      <c r="H149" s="163"/>
      <c r="I149" s="153" t="s">
        <v>263</v>
      </c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customFormat="false" ht="15.75" hidden="false" customHeight="true" outlineLevel="0" collapsed="false">
      <c r="A150" s="152"/>
      <c r="B150" s="159" t="s">
        <v>264</v>
      </c>
      <c r="C150" s="160" t="s">
        <v>265</v>
      </c>
      <c r="D150" s="162"/>
      <c r="E150" s="154" t="n">
        <v>2722</v>
      </c>
      <c r="F150" s="156" t="s">
        <v>331</v>
      </c>
      <c r="G150" s="156" t="s">
        <v>332</v>
      </c>
      <c r="H150" s="163"/>
      <c r="I150" s="177" t="s">
        <v>268</v>
      </c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customFormat="false" ht="15.75" hidden="false" customHeight="true" outlineLevel="0" collapsed="false">
      <c r="A151" s="152"/>
      <c r="B151" s="159" t="s">
        <v>269</v>
      </c>
      <c r="C151" s="160" t="n">
        <v>3035302</v>
      </c>
      <c r="D151" s="162"/>
      <c r="E151" s="154" t="n">
        <v>2722</v>
      </c>
      <c r="F151" s="156" t="s">
        <v>446</v>
      </c>
      <c r="G151" s="156" t="s">
        <v>416</v>
      </c>
      <c r="H151" s="163"/>
      <c r="I151" s="177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customFormat="false" ht="15.75" hidden="false" customHeight="true" outlineLevel="0" collapsed="false">
      <c r="A152" s="152"/>
      <c r="B152" s="159" t="s">
        <v>270</v>
      </c>
      <c r="C152" s="160" t="n">
        <v>3033736</v>
      </c>
      <c r="D152" s="162"/>
      <c r="E152" s="154" t="n">
        <v>2722</v>
      </c>
      <c r="F152" s="156" t="s">
        <v>446</v>
      </c>
      <c r="G152" s="156" t="s">
        <v>416</v>
      </c>
      <c r="H152" s="163"/>
      <c r="I152" s="177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customFormat="false" ht="15.75" hidden="false" customHeight="true" outlineLevel="0" collapsed="false">
      <c r="A153" s="152"/>
      <c r="B153" s="159" t="s">
        <v>271</v>
      </c>
      <c r="C153" s="160" t="s">
        <v>272</v>
      </c>
      <c r="D153" s="162"/>
      <c r="E153" s="154" t="n">
        <v>2722</v>
      </c>
      <c r="F153" s="156" t="s">
        <v>331</v>
      </c>
      <c r="G153" s="156" t="s">
        <v>332</v>
      </c>
      <c r="H153" s="163"/>
      <c r="I153" s="177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customFormat="false" ht="15.75" hidden="false" customHeight="true" outlineLevel="0" collapsed="false">
      <c r="A154" s="152"/>
      <c r="B154" s="159" t="s">
        <v>275</v>
      </c>
      <c r="C154" s="160" t="s">
        <v>276</v>
      </c>
      <c r="D154" s="162"/>
      <c r="E154" s="154" t="n">
        <v>2722</v>
      </c>
      <c r="F154" s="156" t="s">
        <v>333</v>
      </c>
      <c r="G154" s="156" t="s">
        <v>334</v>
      </c>
      <c r="H154" s="163"/>
      <c r="I154" s="177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customFormat="false" ht="15.75" hidden="false" customHeight="true" outlineLevel="0" collapsed="false">
      <c r="A155" s="152"/>
      <c r="B155" s="159" t="s">
        <v>277</v>
      </c>
      <c r="C155" s="160" t="s">
        <v>278</v>
      </c>
      <c r="D155" s="162"/>
      <c r="E155" s="154" t="n">
        <v>2722</v>
      </c>
      <c r="F155" s="156" t="s">
        <v>335</v>
      </c>
      <c r="G155" s="156" t="s">
        <v>474</v>
      </c>
      <c r="H155" s="163"/>
      <c r="I155" s="177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customFormat="false" ht="15.75" hidden="false" customHeight="true" outlineLevel="0" collapsed="false">
      <c r="A156" s="152"/>
      <c r="B156" s="159" t="s">
        <v>281</v>
      </c>
      <c r="C156" s="160" t="n">
        <v>3033737</v>
      </c>
      <c r="D156" s="162"/>
      <c r="E156" s="154" t="n">
        <v>2722</v>
      </c>
      <c r="F156" s="156" t="s">
        <v>446</v>
      </c>
      <c r="G156" s="156" t="s">
        <v>416</v>
      </c>
      <c r="H156" s="163"/>
      <c r="I156" s="177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customFormat="false" ht="15.75" hidden="false" customHeight="true" outlineLevel="0" collapsed="false">
      <c r="A157" s="152"/>
      <c r="B157" s="159" t="s">
        <v>282</v>
      </c>
      <c r="C157" s="160" t="s">
        <v>283</v>
      </c>
      <c r="D157" s="162"/>
      <c r="E157" s="154" t="n">
        <v>2722</v>
      </c>
      <c r="F157" s="156" t="s">
        <v>475</v>
      </c>
      <c r="G157" s="156" t="s">
        <v>382</v>
      </c>
      <c r="H157" s="163"/>
      <c r="I157" s="177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customFormat="false" ht="15.75" hidden="false" customHeight="true" outlineLevel="0" collapsed="false">
      <c r="A158" s="152"/>
      <c r="B158" s="159" t="s">
        <v>286</v>
      </c>
      <c r="C158" s="160" t="s">
        <v>287</v>
      </c>
      <c r="D158" s="162"/>
      <c r="E158" s="154" t="n">
        <v>2722</v>
      </c>
      <c r="F158" s="156" t="s">
        <v>422</v>
      </c>
      <c r="G158" s="156" t="s">
        <v>423</v>
      </c>
      <c r="H158" s="163"/>
      <c r="I158" s="177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customFormat="false" ht="15.75" hidden="false" customHeight="true" outlineLevel="0" collapsed="false">
      <c r="A159" s="152"/>
      <c r="B159" s="159" t="s">
        <v>288</v>
      </c>
      <c r="C159" s="160" t="s">
        <v>289</v>
      </c>
      <c r="D159" s="162"/>
      <c r="E159" s="154" t="n">
        <v>2722</v>
      </c>
      <c r="F159" s="156" t="s">
        <v>476</v>
      </c>
      <c r="G159" s="156" t="s">
        <v>477</v>
      </c>
      <c r="H159" s="163"/>
      <c r="I159" s="177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customFormat="false" ht="15.75" hidden="false" customHeight="true" outlineLevel="0" collapsed="false">
      <c r="A160" s="152"/>
      <c r="B160" s="159" t="s">
        <v>292</v>
      </c>
      <c r="C160" s="160" t="s">
        <v>289</v>
      </c>
      <c r="D160" s="162"/>
      <c r="E160" s="154" t="n">
        <v>2722</v>
      </c>
      <c r="F160" s="161" t="s">
        <v>478</v>
      </c>
      <c r="G160" s="161" t="s">
        <v>479</v>
      </c>
      <c r="H160" s="163"/>
      <c r="I160" s="177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customFormat="false" ht="15.75" hidden="false" customHeight="true" outlineLevel="0" collapsed="false">
      <c r="A161" s="152"/>
      <c r="B161" s="153" t="s">
        <v>295</v>
      </c>
      <c r="C161" s="160" t="s">
        <v>296</v>
      </c>
      <c r="D161" s="162"/>
      <c r="E161" s="154" t="n">
        <v>2722</v>
      </c>
      <c r="F161" s="156" t="s">
        <v>426</v>
      </c>
      <c r="G161" s="156" t="s">
        <v>298</v>
      </c>
      <c r="H161" s="163"/>
      <c r="I161" s="177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customFormat="false" ht="15.75" hidden="false" customHeight="true" outlineLevel="0" collapsed="false">
      <c r="A162" s="152"/>
      <c r="B162" s="153" t="s">
        <v>295</v>
      </c>
      <c r="C162" s="160" t="s">
        <v>299</v>
      </c>
      <c r="D162" s="162"/>
      <c r="E162" s="154" t="n">
        <v>2722</v>
      </c>
      <c r="F162" s="156" t="s">
        <v>426</v>
      </c>
      <c r="G162" s="156" t="s">
        <v>298</v>
      </c>
      <c r="H162" s="163"/>
      <c r="I162" s="177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customFormat="false" ht="15.75" hidden="false" customHeight="true" outlineLevel="0" collapsed="false">
      <c r="A163" s="152"/>
      <c r="B163" s="153"/>
      <c r="C163" s="153"/>
      <c r="D163" s="153"/>
      <c r="E163" s="153"/>
      <c r="F163" s="153"/>
      <c r="G163" s="153"/>
      <c r="H163" s="153"/>
      <c r="I163" s="153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customFormat="false" ht="15.75" hidden="false" customHeight="true" outlineLevel="0" collapsed="false">
      <c r="A164" s="152"/>
      <c r="B164" s="153" t="s">
        <v>225</v>
      </c>
      <c r="C164" s="160" t="n">
        <v>3044000</v>
      </c>
      <c r="D164" s="169" t="s">
        <v>480</v>
      </c>
      <c r="E164" s="174" t="n">
        <v>2728</v>
      </c>
      <c r="F164" s="171" t="s">
        <v>481</v>
      </c>
      <c r="G164" s="172"/>
      <c r="H164" s="163"/>
      <c r="I164" s="153" t="s">
        <v>482</v>
      </c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customFormat="false" ht="15.75" hidden="false" customHeight="true" outlineLevel="0" collapsed="false">
      <c r="A165" s="152"/>
      <c r="B165" s="159" t="s">
        <v>229</v>
      </c>
      <c r="C165" s="160" t="s">
        <v>230</v>
      </c>
      <c r="D165" s="169" t="s">
        <v>483</v>
      </c>
      <c r="E165" s="174" t="n">
        <v>2728</v>
      </c>
      <c r="F165" s="171" t="s">
        <v>484</v>
      </c>
      <c r="G165" s="172"/>
      <c r="H165" s="163"/>
      <c r="I165" s="153" t="s">
        <v>232</v>
      </c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customFormat="false" ht="15.75" hidden="false" customHeight="true" outlineLevel="0" collapsed="false">
      <c r="A166" s="152"/>
      <c r="B166" s="159" t="s">
        <v>233</v>
      </c>
      <c r="C166" s="160" t="s">
        <v>396</v>
      </c>
      <c r="D166" s="169" t="s">
        <v>485</v>
      </c>
      <c r="E166" s="174" t="n">
        <v>2728</v>
      </c>
      <c r="F166" s="171" t="s">
        <v>486</v>
      </c>
      <c r="G166" s="172"/>
      <c r="H166" s="163"/>
      <c r="I166" s="153" t="s">
        <v>237</v>
      </c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customFormat="false" ht="15.75" hidden="false" customHeight="true" outlineLevel="0" collapsed="false">
      <c r="A167" s="152"/>
      <c r="B167" s="159" t="s">
        <v>238</v>
      </c>
      <c r="C167" s="160" t="s">
        <v>399</v>
      </c>
      <c r="D167" s="169" t="s">
        <v>487</v>
      </c>
      <c r="E167" s="174" t="n">
        <v>2728</v>
      </c>
      <c r="F167" s="171" t="s">
        <v>488</v>
      </c>
      <c r="G167" s="172" t="s">
        <v>489</v>
      </c>
      <c r="H167" s="163"/>
      <c r="I167" s="153" t="s">
        <v>242</v>
      </c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customFormat="false" ht="15.75" hidden="false" customHeight="true" outlineLevel="0" collapsed="false">
      <c r="A168" s="152"/>
      <c r="B168" s="159" t="s">
        <v>243</v>
      </c>
      <c r="C168" s="160" t="s">
        <v>244</v>
      </c>
      <c r="D168" s="169" t="s">
        <v>490</v>
      </c>
      <c r="E168" s="174" t="n">
        <v>2728</v>
      </c>
      <c r="F168" s="171" t="s">
        <v>484</v>
      </c>
      <c r="G168" s="172"/>
      <c r="H168" s="163"/>
      <c r="I168" s="153" t="s">
        <v>232</v>
      </c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customFormat="false" ht="15.75" hidden="false" customHeight="true" outlineLevel="0" collapsed="false">
      <c r="A169" s="152"/>
      <c r="B169" s="159" t="s">
        <v>245</v>
      </c>
      <c r="C169" s="160" t="s">
        <v>246</v>
      </c>
      <c r="D169" s="169" t="s">
        <v>491</v>
      </c>
      <c r="E169" s="174" t="n">
        <v>2728</v>
      </c>
      <c r="F169" s="171" t="s">
        <v>484</v>
      </c>
      <c r="G169" s="172"/>
      <c r="H169" s="163"/>
      <c r="I169" s="153" t="s">
        <v>232</v>
      </c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customFormat="false" ht="15.75" hidden="false" customHeight="true" outlineLevel="0" collapsed="false">
      <c r="A170" s="152"/>
      <c r="B170" s="159" t="s">
        <v>247</v>
      </c>
      <c r="C170" s="160" t="s">
        <v>342</v>
      </c>
      <c r="D170" s="169" t="s">
        <v>492</v>
      </c>
      <c r="E170" s="174" t="n">
        <v>2728</v>
      </c>
      <c r="F170" s="171" t="s">
        <v>493</v>
      </c>
      <c r="G170" s="172"/>
      <c r="H170" s="163"/>
      <c r="I170" s="153" t="s">
        <v>237</v>
      </c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customFormat="false" ht="15.75" hidden="false" customHeight="true" outlineLevel="0" collapsed="false">
      <c r="A171" s="152"/>
      <c r="B171" s="159" t="s">
        <v>251</v>
      </c>
      <c r="C171" s="160" t="s">
        <v>494</v>
      </c>
      <c r="D171" s="169" t="s">
        <v>495</v>
      </c>
      <c r="E171" s="174" t="n">
        <v>2728</v>
      </c>
      <c r="F171" s="171" t="s">
        <v>496</v>
      </c>
      <c r="G171" s="172"/>
      <c r="H171" s="163"/>
      <c r="I171" s="153" t="s">
        <v>237</v>
      </c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customFormat="false" ht="15.75" hidden="false" customHeight="true" outlineLevel="0" collapsed="false">
      <c r="A172" s="152"/>
      <c r="B172" s="159" t="s">
        <v>254</v>
      </c>
      <c r="C172" s="160" t="s">
        <v>255</v>
      </c>
      <c r="D172" s="169" t="s">
        <v>497</v>
      </c>
      <c r="E172" s="174" t="n">
        <v>2728</v>
      </c>
      <c r="F172" s="178" t="s">
        <v>498</v>
      </c>
      <c r="G172" s="171" t="s">
        <v>499</v>
      </c>
      <c r="H172" s="163"/>
      <c r="I172" s="153" t="s">
        <v>258</v>
      </c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customFormat="false" ht="15.75" hidden="false" customHeight="true" outlineLevel="0" collapsed="false">
      <c r="A173" s="152"/>
      <c r="B173" s="159" t="s">
        <v>259</v>
      </c>
      <c r="C173" s="160" t="s">
        <v>260</v>
      </c>
      <c r="D173" s="169" t="s">
        <v>413</v>
      </c>
      <c r="E173" s="174" t="n">
        <v>2728</v>
      </c>
      <c r="F173" s="171" t="s">
        <v>500</v>
      </c>
      <c r="G173" s="172"/>
      <c r="H173" s="163"/>
      <c r="I173" s="153" t="s">
        <v>263</v>
      </c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customFormat="false" ht="15.75" hidden="false" customHeight="true" outlineLevel="0" collapsed="false">
      <c r="A174" s="152"/>
      <c r="B174" s="159" t="s">
        <v>264</v>
      </c>
      <c r="C174" s="160" t="s">
        <v>265</v>
      </c>
      <c r="D174" s="162"/>
      <c r="E174" s="174" t="n">
        <v>2728</v>
      </c>
      <c r="F174" s="171" t="s">
        <v>331</v>
      </c>
      <c r="G174" s="172" t="s">
        <v>332</v>
      </c>
      <c r="H174" s="163"/>
      <c r="I174" s="177" t="s">
        <v>268</v>
      </c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customFormat="false" ht="15.75" hidden="false" customHeight="true" outlineLevel="0" collapsed="false">
      <c r="A175" s="152"/>
      <c r="B175" s="159" t="s">
        <v>269</v>
      </c>
      <c r="C175" s="160" t="n">
        <v>3035302</v>
      </c>
      <c r="D175" s="162"/>
      <c r="E175" s="174" t="n">
        <v>2728</v>
      </c>
      <c r="F175" s="171" t="s">
        <v>501</v>
      </c>
      <c r="G175" s="172" t="s">
        <v>332</v>
      </c>
      <c r="H175" s="163"/>
      <c r="I175" s="177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customFormat="false" ht="15.75" hidden="false" customHeight="true" outlineLevel="0" collapsed="false">
      <c r="A176" s="152"/>
      <c r="B176" s="159" t="s">
        <v>270</v>
      </c>
      <c r="C176" s="160" t="n">
        <v>3033736</v>
      </c>
      <c r="D176" s="162"/>
      <c r="E176" s="174" t="n">
        <v>2728</v>
      </c>
      <c r="F176" s="171" t="s">
        <v>502</v>
      </c>
      <c r="G176" s="172" t="s">
        <v>503</v>
      </c>
      <c r="H176" s="163"/>
      <c r="I176" s="177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customFormat="false" ht="15.75" hidden="false" customHeight="true" outlineLevel="0" collapsed="false">
      <c r="A177" s="152"/>
      <c r="B177" s="159" t="s">
        <v>271</v>
      </c>
      <c r="C177" s="160" t="s">
        <v>272</v>
      </c>
      <c r="D177" s="162"/>
      <c r="E177" s="174" t="n">
        <v>2728</v>
      </c>
      <c r="F177" s="171" t="s">
        <v>331</v>
      </c>
      <c r="G177" s="172" t="s">
        <v>332</v>
      </c>
      <c r="H177" s="163"/>
      <c r="I177" s="177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customFormat="false" ht="15.75" hidden="false" customHeight="true" outlineLevel="0" collapsed="false">
      <c r="A178" s="152"/>
      <c r="B178" s="159" t="s">
        <v>275</v>
      </c>
      <c r="C178" s="160" t="s">
        <v>276</v>
      </c>
      <c r="D178" s="162"/>
      <c r="E178" s="174" t="n">
        <v>2728</v>
      </c>
      <c r="F178" s="171" t="s">
        <v>504</v>
      </c>
      <c r="G178" s="172" t="s">
        <v>505</v>
      </c>
      <c r="H178" s="163"/>
      <c r="I178" s="177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customFormat="false" ht="15.75" hidden="false" customHeight="true" outlineLevel="0" collapsed="false">
      <c r="A179" s="152"/>
      <c r="B179" s="159" t="s">
        <v>277</v>
      </c>
      <c r="C179" s="160" t="s">
        <v>278</v>
      </c>
      <c r="D179" s="162"/>
      <c r="E179" s="174" t="n">
        <v>2728</v>
      </c>
      <c r="F179" s="171" t="s">
        <v>335</v>
      </c>
      <c r="G179" s="172" t="s">
        <v>336</v>
      </c>
      <c r="H179" s="163"/>
      <c r="I179" s="177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customFormat="false" ht="15.75" hidden="false" customHeight="true" outlineLevel="0" collapsed="false">
      <c r="A180" s="152"/>
      <c r="B180" s="159" t="s">
        <v>281</v>
      </c>
      <c r="C180" s="160" t="n">
        <v>3033735</v>
      </c>
      <c r="D180" s="162"/>
      <c r="E180" s="174" t="n">
        <v>2728</v>
      </c>
      <c r="F180" s="171" t="s">
        <v>506</v>
      </c>
      <c r="G180" s="172" t="s">
        <v>507</v>
      </c>
      <c r="H180" s="163"/>
      <c r="I180" s="177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customFormat="false" ht="15.75" hidden="false" customHeight="true" outlineLevel="0" collapsed="false">
      <c r="A181" s="152"/>
      <c r="B181" s="159" t="s">
        <v>508</v>
      </c>
      <c r="C181" s="160" t="s">
        <v>283</v>
      </c>
      <c r="D181" s="162"/>
      <c r="E181" s="174" t="n">
        <v>2728</v>
      </c>
      <c r="F181" s="171" t="s">
        <v>337</v>
      </c>
      <c r="G181" s="172" t="s">
        <v>285</v>
      </c>
      <c r="H181" s="163"/>
      <c r="I181" s="177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customFormat="false" ht="15.75" hidden="false" customHeight="true" outlineLevel="0" collapsed="false">
      <c r="A182" s="152"/>
      <c r="B182" s="159" t="s">
        <v>509</v>
      </c>
      <c r="C182" s="160" t="s">
        <v>283</v>
      </c>
      <c r="D182" s="162"/>
      <c r="E182" s="174" t="n">
        <v>2728</v>
      </c>
      <c r="F182" s="171" t="s">
        <v>510</v>
      </c>
      <c r="G182" s="171" t="s">
        <v>511</v>
      </c>
      <c r="H182" s="163"/>
      <c r="I182" s="177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customFormat="false" ht="15.75" hidden="false" customHeight="true" outlineLevel="0" collapsed="false">
      <c r="A183" s="152"/>
      <c r="B183" s="159" t="s">
        <v>286</v>
      </c>
      <c r="C183" s="160" t="s">
        <v>287</v>
      </c>
      <c r="D183" s="162"/>
      <c r="E183" s="174" t="n">
        <v>2728</v>
      </c>
      <c r="F183" s="179" t="s">
        <v>512</v>
      </c>
      <c r="G183" s="179"/>
      <c r="H183" s="163"/>
      <c r="I183" s="177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customFormat="false" ht="15.75" hidden="false" customHeight="true" outlineLevel="0" collapsed="false">
      <c r="A184" s="152"/>
      <c r="B184" s="159" t="s">
        <v>288</v>
      </c>
      <c r="C184" s="160" t="s">
        <v>289</v>
      </c>
      <c r="D184" s="162"/>
      <c r="E184" s="174" t="n">
        <v>2728</v>
      </c>
      <c r="F184" s="171" t="s">
        <v>338</v>
      </c>
      <c r="G184" s="172" t="s">
        <v>513</v>
      </c>
      <c r="H184" s="163"/>
      <c r="I184" s="177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customFormat="false" ht="15.75" hidden="false" customHeight="true" outlineLevel="0" collapsed="false">
      <c r="A185" s="152"/>
      <c r="B185" s="159" t="s">
        <v>292</v>
      </c>
      <c r="C185" s="160" t="s">
        <v>289</v>
      </c>
      <c r="D185" s="162"/>
      <c r="E185" s="174" t="n">
        <v>2728</v>
      </c>
      <c r="F185" s="171" t="s">
        <v>514</v>
      </c>
      <c r="G185" s="172" t="s">
        <v>425</v>
      </c>
      <c r="H185" s="163"/>
      <c r="I185" s="177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customFormat="false" ht="15.75" hidden="false" customHeight="true" outlineLevel="0" collapsed="false">
      <c r="A186" s="152"/>
      <c r="B186" s="153" t="s">
        <v>295</v>
      </c>
      <c r="C186" s="160" t="s">
        <v>296</v>
      </c>
      <c r="D186" s="162"/>
      <c r="E186" s="174" t="n">
        <v>2728</v>
      </c>
      <c r="F186" s="171" t="s">
        <v>506</v>
      </c>
      <c r="G186" s="172" t="s">
        <v>507</v>
      </c>
      <c r="H186" s="163"/>
      <c r="I186" s="177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customFormat="false" ht="15.75" hidden="false" customHeight="true" outlineLevel="0" collapsed="false">
      <c r="A187" s="152"/>
      <c r="B187" s="153" t="s">
        <v>295</v>
      </c>
      <c r="C187" s="160" t="s">
        <v>299</v>
      </c>
      <c r="D187" s="162"/>
      <c r="E187" s="174" t="n">
        <v>2728</v>
      </c>
      <c r="F187" s="171" t="s">
        <v>506</v>
      </c>
      <c r="G187" s="172" t="s">
        <v>507</v>
      </c>
      <c r="H187" s="163"/>
      <c r="I187" s="177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customFormat="false" ht="15" hidden="false" customHeight="true" outlineLevel="0" collapsed="false">
      <c r="A188" s="152"/>
      <c r="B188" s="180"/>
      <c r="C188" s="180"/>
      <c r="D188" s="180"/>
      <c r="E188" s="180"/>
      <c r="F188" s="180"/>
      <c r="G188" s="180"/>
      <c r="H188" s="180"/>
      <c r="I188" s="180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customFormat="false" ht="15.75" hidden="false" customHeight="true" outlineLevel="0" collapsed="false">
      <c r="A189" s="152"/>
      <c r="B189" s="181" t="s">
        <v>225</v>
      </c>
      <c r="C189" s="174" t="n">
        <v>3044000</v>
      </c>
      <c r="D189" s="182" t="s">
        <v>515</v>
      </c>
      <c r="E189" s="174" t="n">
        <v>2729</v>
      </c>
      <c r="F189" s="183" t="s">
        <v>516</v>
      </c>
      <c r="G189" s="184" t="s">
        <v>517</v>
      </c>
      <c r="H189" s="163"/>
      <c r="I189" s="153" t="s">
        <v>482</v>
      </c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customFormat="false" ht="15.75" hidden="false" customHeight="true" outlineLevel="0" collapsed="false">
      <c r="A190" s="152"/>
      <c r="B190" s="181" t="s">
        <v>229</v>
      </c>
      <c r="C190" s="174" t="s">
        <v>230</v>
      </c>
      <c r="D190" s="182" t="s">
        <v>518</v>
      </c>
      <c r="E190" s="174" t="n">
        <v>2729</v>
      </c>
      <c r="F190" s="171" t="s">
        <v>519</v>
      </c>
      <c r="G190" s="172"/>
      <c r="H190" s="163"/>
      <c r="I190" s="153" t="s">
        <v>232</v>
      </c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customFormat="false" ht="15.75" hidden="false" customHeight="true" outlineLevel="0" collapsed="false">
      <c r="A191" s="152"/>
      <c r="B191" s="181" t="s">
        <v>233</v>
      </c>
      <c r="C191" s="160" t="n">
        <v>3034792</v>
      </c>
      <c r="D191" s="169" t="s">
        <v>520</v>
      </c>
      <c r="E191" s="174" t="n">
        <v>2729</v>
      </c>
      <c r="F191" s="156" t="s">
        <v>521</v>
      </c>
      <c r="G191" s="157"/>
      <c r="H191" s="163"/>
      <c r="I191" s="153" t="s">
        <v>237</v>
      </c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customFormat="false" ht="15.75" hidden="false" customHeight="true" outlineLevel="0" collapsed="false">
      <c r="A192" s="152"/>
      <c r="B192" s="181" t="s">
        <v>238</v>
      </c>
      <c r="C192" s="160" t="s">
        <v>433</v>
      </c>
      <c r="D192" s="169" t="s">
        <v>522</v>
      </c>
      <c r="E192" s="174" t="n">
        <v>2729</v>
      </c>
      <c r="F192" s="156" t="s">
        <v>523</v>
      </c>
      <c r="G192" s="156"/>
      <c r="H192" s="170"/>
      <c r="I192" s="153" t="s">
        <v>242</v>
      </c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customFormat="false" ht="15.75" hidden="false" customHeight="true" outlineLevel="0" collapsed="false">
      <c r="A193" s="152"/>
      <c r="B193" s="181" t="s">
        <v>243</v>
      </c>
      <c r="C193" s="174" t="s">
        <v>244</v>
      </c>
      <c r="D193" s="182" t="s">
        <v>524</v>
      </c>
      <c r="E193" s="174" t="n">
        <v>2729</v>
      </c>
      <c r="F193" s="171" t="s">
        <v>525</v>
      </c>
      <c r="G193" s="172"/>
      <c r="H193" s="163"/>
      <c r="I193" s="153" t="s">
        <v>232</v>
      </c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customFormat="false" ht="15.75" hidden="false" customHeight="true" outlineLevel="0" collapsed="false">
      <c r="A194" s="152"/>
      <c r="B194" s="181" t="s">
        <v>245</v>
      </c>
      <c r="C194" s="174" t="s">
        <v>246</v>
      </c>
      <c r="D194" s="182" t="s">
        <v>526</v>
      </c>
      <c r="E194" s="174" t="n">
        <v>2729</v>
      </c>
      <c r="F194" s="171" t="s">
        <v>527</v>
      </c>
      <c r="G194" s="172"/>
      <c r="H194" s="163"/>
      <c r="I194" s="153" t="s">
        <v>232</v>
      </c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customFormat="false" ht="15.75" hidden="false" customHeight="true" outlineLevel="0" collapsed="false">
      <c r="A195" s="152"/>
      <c r="B195" s="181" t="s">
        <v>247</v>
      </c>
      <c r="C195" s="174" t="s">
        <v>320</v>
      </c>
      <c r="D195" s="182" t="s">
        <v>528</v>
      </c>
      <c r="E195" s="174" t="n">
        <v>2729</v>
      </c>
      <c r="F195" s="171" t="s">
        <v>529</v>
      </c>
      <c r="G195" s="172"/>
      <c r="H195" s="163"/>
      <c r="I195" s="153" t="s">
        <v>237</v>
      </c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customFormat="false" ht="15.75" hidden="false" customHeight="true" outlineLevel="0" collapsed="false">
      <c r="A196" s="152"/>
      <c r="B196" s="181" t="s">
        <v>251</v>
      </c>
      <c r="C196" s="174" t="s">
        <v>252</v>
      </c>
      <c r="D196" s="182" t="s">
        <v>530</v>
      </c>
      <c r="E196" s="174" t="n">
        <v>2729</v>
      </c>
      <c r="F196" s="171" t="s">
        <v>531</v>
      </c>
      <c r="G196" s="172"/>
      <c r="H196" s="163"/>
      <c r="I196" s="153" t="s">
        <v>237</v>
      </c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customFormat="false" ht="15.75" hidden="false" customHeight="true" outlineLevel="0" collapsed="false">
      <c r="A197" s="152"/>
      <c r="B197" s="181" t="s">
        <v>254</v>
      </c>
      <c r="C197" s="174" t="s">
        <v>255</v>
      </c>
      <c r="D197" s="182" t="s">
        <v>532</v>
      </c>
      <c r="E197" s="174" t="n">
        <v>2729</v>
      </c>
      <c r="F197" s="171" t="s">
        <v>533</v>
      </c>
      <c r="G197" s="171" t="s">
        <v>534</v>
      </c>
      <c r="H197" s="163"/>
      <c r="I197" s="153" t="s">
        <v>258</v>
      </c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customFormat="false" ht="15.75" hidden="false" customHeight="true" outlineLevel="0" collapsed="false">
      <c r="A198" s="152"/>
      <c r="B198" s="181" t="s">
        <v>259</v>
      </c>
      <c r="C198" s="174" t="s">
        <v>260</v>
      </c>
      <c r="D198" s="182" t="s">
        <v>535</v>
      </c>
      <c r="E198" s="174" t="n">
        <v>2729</v>
      </c>
      <c r="F198" s="171" t="s">
        <v>536</v>
      </c>
      <c r="G198" s="171"/>
      <c r="H198" s="163"/>
      <c r="I198" s="153" t="s">
        <v>263</v>
      </c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customFormat="false" ht="15.75" hidden="false" customHeight="true" outlineLevel="0" collapsed="false">
      <c r="A199" s="152"/>
      <c r="B199" s="181" t="s">
        <v>264</v>
      </c>
      <c r="C199" s="174" t="s">
        <v>265</v>
      </c>
      <c r="D199" s="185"/>
      <c r="E199" s="174" t="n">
        <v>2729</v>
      </c>
      <c r="F199" s="171" t="s">
        <v>331</v>
      </c>
      <c r="G199" s="171" t="s">
        <v>332</v>
      </c>
      <c r="H199" s="163"/>
      <c r="I199" s="177" t="s">
        <v>268</v>
      </c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customFormat="false" ht="15.75" hidden="false" customHeight="true" outlineLevel="0" collapsed="false">
      <c r="A200" s="152"/>
      <c r="B200" s="181" t="s">
        <v>269</v>
      </c>
      <c r="C200" s="174" t="n">
        <v>3021653</v>
      </c>
      <c r="D200" s="185"/>
      <c r="E200" s="174" t="n">
        <v>2729</v>
      </c>
      <c r="F200" s="171" t="s">
        <v>537</v>
      </c>
      <c r="G200" s="171" t="s">
        <v>538</v>
      </c>
      <c r="H200" s="163"/>
      <c r="I200" s="177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customFormat="false" ht="15.75" hidden="false" customHeight="true" outlineLevel="0" collapsed="false">
      <c r="A201" s="152"/>
      <c r="B201" s="181" t="s">
        <v>270</v>
      </c>
      <c r="C201" s="174" t="n">
        <v>3033736</v>
      </c>
      <c r="D201" s="185"/>
      <c r="E201" s="174" t="n">
        <v>2729</v>
      </c>
      <c r="F201" s="171" t="s">
        <v>478</v>
      </c>
      <c r="G201" s="171" t="s">
        <v>479</v>
      </c>
      <c r="H201" s="163"/>
      <c r="I201" s="177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customFormat="false" ht="15.75" hidden="false" customHeight="true" outlineLevel="0" collapsed="false">
      <c r="A202" s="152"/>
      <c r="B202" s="181" t="s">
        <v>271</v>
      </c>
      <c r="C202" s="174" t="s">
        <v>272</v>
      </c>
      <c r="D202" s="185"/>
      <c r="E202" s="174" t="n">
        <v>2729</v>
      </c>
      <c r="F202" s="171" t="s">
        <v>331</v>
      </c>
      <c r="G202" s="171" t="s">
        <v>332</v>
      </c>
      <c r="H202" s="163"/>
      <c r="I202" s="177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customFormat="false" ht="15.75" hidden="false" customHeight="true" outlineLevel="0" collapsed="false">
      <c r="A203" s="152"/>
      <c r="B203" s="181" t="s">
        <v>275</v>
      </c>
      <c r="C203" s="174" t="s">
        <v>276</v>
      </c>
      <c r="D203" s="185"/>
      <c r="E203" s="174" t="n">
        <v>2729</v>
      </c>
      <c r="F203" s="171" t="s">
        <v>539</v>
      </c>
      <c r="G203" s="171" t="s">
        <v>540</v>
      </c>
      <c r="H203" s="163"/>
      <c r="I203" s="177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customFormat="false" ht="15.75" hidden="false" customHeight="true" outlineLevel="0" collapsed="false">
      <c r="A204" s="152"/>
      <c r="B204" s="181" t="s">
        <v>277</v>
      </c>
      <c r="C204" s="174" t="s">
        <v>278</v>
      </c>
      <c r="D204" s="185"/>
      <c r="E204" s="174" t="n">
        <v>2729</v>
      </c>
      <c r="F204" s="171" t="s">
        <v>514</v>
      </c>
      <c r="G204" s="171" t="s">
        <v>425</v>
      </c>
      <c r="H204" s="163"/>
      <c r="I204" s="177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customFormat="false" ht="15.75" hidden="false" customHeight="true" outlineLevel="0" collapsed="false">
      <c r="A205" s="152"/>
      <c r="B205" s="181" t="s">
        <v>281</v>
      </c>
      <c r="C205" s="174" t="n">
        <v>3033735</v>
      </c>
      <c r="D205" s="185"/>
      <c r="E205" s="174" t="n">
        <v>2729</v>
      </c>
      <c r="F205" s="171" t="s">
        <v>541</v>
      </c>
      <c r="G205" s="171" t="s">
        <v>542</v>
      </c>
      <c r="H205" s="163"/>
      <c r="I205" s="177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customFormat="false" ht="15.75" hidden="false" customHeight="true" outlineLevel="0" collapsed="false">
      <c r="A206" s="152"/>
      <c r="B206" s="181" t="s">
        <v>508</v>
      </c>
      <c r="C206" s="174" t="s">
        <v>283</v>
      </c>
      <c r="D206" s="185"/>
      <c r="E206" s="174" t="n">
        <v>2729</v>
      </c>
      <c r="F206" s="171" t="s">
        <v>510</v>
      </c>
      <c r="G206" s="171" t="s">
        <v>511</v>
      </c>
      <c r="H206" s="163"/>
      <c r="I206" s="177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customFormat="false" ht="15.75" hidden="false" customHeight="true" outlineLevel="0" collapsed="false">
      <c r="A207" s="152"/>
      <c r="B207" s="181" t="s">
        <v>543</v>
      </c>
      <c r="C207" s="174" t="s">
        <v>283</v>
      </c>
      <c r="D207" s="185"/>
      <c r="E207" s="174" t="n">
        <v>2729</v>
      </c>
      <c r="F207" s="171" t="s">
        <v>544</v>
      </c>
      <c r="G207" s="171" t="s">
        <v>545</v>
      </c>
      <c r="H207" s="163"/>
      <c r="I207" s="177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customFormat="false" ht="15.75" hidden="false" customHeight="true" outlineLevel="0" collapsed="false">
      <c r="A208" s="152"/>
      <c r="B208" s="181" t="s">
        <v>546</v>
      </c>
      <c r="C208" s="174" t="s">
        <v>287</v>
      </c>
      <c r="D208" s="185"/>
      <c r="E208" s="174" t="n">
        <v>2729</v>
      </c>
      <c r="F208" s="179" t="s">
        <v>512</v>
      </c>
      <c r="G208" s="179"/>
      <c r="H208" s="163"/>
      <c r="I208" s="177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customFormat="false" ht="15.75" hidden="false" customHeight="true" outlineLevel="0" collapsed="false">
      <c r="A209" s="152"/>
      <c r="B209" s="181" t="s">
        <v>288</v>
      </c>
      <c r="C209" s="174" t="s">
        <v>289</v>
      </c>
      <c r="D209" s="185"/>
      <c r="E209" s="174" t="n">
        <v>2729</v>
      </c>
      <c r="F209" s="171" t="s">
        <v>514</v>
      </c>
      <c r="G209" s="171" t="s">
        <v>425</v>
      </c>
      <c r="H209" s="163"/>
      <c r="I209" s="177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customFormat="false" ht="15.75" hidden="false" customHeight="true" outlineLevel="0" collapsed="false">
      <c r="A210" s="152"/>
      <c r="B210" s="181" t="s">
        <v>292</v>
      </c>
      <c r="C210" s="174" t="s">
        <v>289</v>
      </c>
      <c r="D210" s="185"/>
      <c r="E210" s="174" t="n">
        <v>2729</v>
      </c>
      <c r="F210" s="171" t="s">
        <v>547</v>
      </c>
      <c r="G210" s="171" t="s">
        <v>548</v>
      </c>
      <c r="H210" s="163"/>
      <c r="I210" s="177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customFormat="false" ht="15.75" hidden="false" customHeight="true" outlineLevel="0" collapsed="false">
      <c r="A211" s="152"/>
      <c r="B211" s="181" t="s">
        <v>295</v>
      </c>
      <c r="C211" s="174" t="s">
        <v>296</v>
      </c>
      <c r="D211" s="185"/>
      <c r="E211" s="174" t="n">
        <v>2729</v>
      </c>
      <c r="F211" s="171" t="s">
        <v>426</v>
      </c>
      <c r="G211" s="171" t="s">
        <v>298</v>
      </c>
      <c r="H211" s="163"/>
      <c r="I211" s="177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customFormat="false" ht="15.75" hidden="false" customHeight="true" outlineLevel="0" collapsed="false">
      <c r="A212" s="152"/>
      <c r="B212" s="181" t="s">
        <v>295</v>
      </c>
      <c r="C212" s="174" t="s">
        <v>299</v>
      </c>
      <c r="D212" s="185"/>
      <c r="E212" s="174" t="n">
        <v>2729</v>
      </c>
      <c r="F212" s="171" t="s">
        <v>426</v>
      </c>
      <c r="G212" s="171" t="s">
        <v>298</v>
      </c>
      <c r="H212" s="163"/>
      <c r="I212" s="177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customFormat="false" ht="15.75" hidden="false" customHeight="true" outlineLevel="0" collapsed="false">
      <c r="A213" s="186"/>
      <c r="B213" s="186"/>
      <c r="C213" s="186"/>
      <c r="D213" s="186"/>
      <c r="E213" s="186"/>
      <c r="F213" s="186"/>
      <c r="G213" s="186"/>
      <c r="H213" s="186"/>
      <c r="I213" s="186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customFormat="false" ht="15.75" hidden="false" customHeight="true" outlineLevel="0" collapsed="false">
      <c r="A214" s="152" t="s">
        <v>549</v>
      </c>
      <c r="B214" s="153" t="s">
        <v>550</v>
      </c>
      <c r="C214" s="154" t="s">
        <v>551</v>
      </c>
      <c r="D214" s="162" t="s">
        <v>552</v>
      </c>
      <c r="E214" s="154" t="n">
        <v>2702</v>
      </c>
      <c r="F214" s="161" t="s">
        <v>553</v>
      </c>
      <c r="G214" s="162"/>
      <c r="H214" s="163"/>
      <c r="I214" s="153" t="s">
        <v>554</v>
      </c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customFormat="false" ht="15.75" hidden="false" customHeight="true" outlineLevel="0" collapsed="false">
      <c r="A215" s="152"/>
      <c r="B215" s="153" t="s">
        <v>555</v>
      </c>
      <c r="C215" s="154" t="s">
        <v>556</v>
      </c>
      <c r="D215" s="162" t="s">
        <v>557</v>
      </c>
      <c r="E215" s="154" t="n">
        <v>2702</v>
      </c>
      <c r="F215" s="164" t="s">
        <v>558</v>
      </c>
      <c r="G215" s="165" t="s">
        <v>559</v>
      </c>
      <c r="H215" s="187"/>
      <c r="I215" s="153" t="s">
        <v>560</v>
      </c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customFormat="false" ht="15.75" hidden="false" customHeight="true" outlineLevel="0" collapsed="false">
      <c r="A216" s="152"/>
      <c r="B216" s="153" t="s">
        <v>561</v>
      </c>
      <c r="C216" s="154" t="s">
        <v>556</v>
      </c>
      <c r="D216" s="162" t="s">
        <v>562</v>
      </c>
      <c r="E216" s="154" t="n">
        <v>2702</v>
      </c>
      <c r="F216" s="164" t="s">
        <v>558</v>
      </c>
      <c r="G216" s="165"/>
      <c r="H216" s="187"/>
      <c r="I216" s="153" t="s">
        <v>560</v>
      </c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customFormat="false" ht="15.75" hidden="false" customHeight="true" outlineLevel="0" collapsed="false">
      <c r="A217" s="152"/>
      <c r="B217" s="153" t="s">
        <v>563</v>
      </c>
      <c r="C217" s="154" t="s">
        <v>564</v>
      </c>
      <c r="D217" s="162" t="s">
        <v>565</v>
      </c>
      <c r="E217" s="154" t="n">
        <v>2702</v>
      </c>
      <c r="F217" s="161" t="s">
        <v>566</v>
      </c>
      <c r="G217" s="162"/>
      <c r="H217" s="163"/>
      <c r="I217" s="188" t="s">
        <v>567</v>
      </c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customFormat="false" ht="15.75" hidden="false" customHeight="true" outlineLevel="0" collapsed="false">
      <c r="A218" s="152"/>
      <c r="B218" s="153" t="s">
        <v>568</v>
      </c>
      <c r="C218" s="154" t="s">
        <v>569</v>
      </c>
      <c r="D218" s="162" t="s">
        <v>570</v>
      </c>
      <c r="E218" s="154" t="n">
        <v>2702</v>
      </c>
      <c r="F218" s="161" t="s">
        <v>571</v>
      </c>
      <c r="G218" s="162"/>
      <c r="H218" s="163"/>
      <c r="I218" s="188" t="s">
        <v>572</v>
      </c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customFormat="false" ht="15.75" hidden="false" customHeight="true" outlineLevel="0" collapsed="false">
      <c r="A219" s="152"/>
      <c r="B219" s="153" t="s">
        <v>573</v>
      </c>
      <c r="C219" s="154" t="s">
        <v>574</v>
      </c>
      <c r="D219" s="162" t="s">
        <v>575</v>
      </c>
      <c r="E219" s="154" t="n">
        <v>2702</v>
      </c>
      <c r="F219" s="161" t="s">
        <v>576</v>
      </c>
      <c r="G219" s="162"/>
      <c r="H219" s="163"/>
      <c r="I219" s="188" t="s">
        <v>577</v>
      </c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customFormat="false" ht="15.75" hidden="false" customHeight="true" outlineLevel="0" collapsed="false">
      <c r="A220" s="152"/>
      <c r="B220" s="153" t="s">
        <v>578</v>
      </c>
      <c r="C220" s="154" t="s">
        <v>579</v>
      </c>
      <c r="D220" s="162" t="s">
        <v>580</v>
      </c>
      <c r="E220" s="154" t="n">
        <v>2702</v>
      </c>
      <c r="F220" s="161" t="s">
        <v>576</v>
      </c>
      <c r="G220" s="162"/>
      <c r="H220" s="163"/>
      <c r="I220" s="188" t="s">
        <v>577</v>
      </c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customFormat="false" ht="15.75" hidden="false" customHeight="true" outlineLevel="0" collapsed="false">
      <c r="A221" s="152"/>
      <c r="B221" s="153" t="s">
        <v>581</v>
      </c>
      <c r="C221" s="154" t="s">
        <v>582</v>
      </c>
      <c r="D221" s="162" t="s">
        <v>583</v>
      </c>
      <c r="E221" s="154" t="n">
        <v>2702</v>
      </c>
      <c r="F221" s="161" t="s">
        <v>584</v>
      </c>
      <c r="G221" s="162"/>
      <c r="H221" s="163"/>
      <c r="I221" s="153" t="s">
        <v>577</v>
      </c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customFormat="false" ht="15.75" hidden="false" customHeight="true" outlineLevel="0" collapsed="false">
      <c r="A222" s="152"/>
      <c r="B222" s="153" t="s">
        <v>585</v>
      </c>
      <c r="C222" s="154" t="s">
        <v>586</v>
      </c>
      <c r="D222" s="162" t="s">
        <v>587</v>
      </c>
      <c r="E222" s="154" t="n">
        <v>2702</v>
      </c>
      <c r="F222" s="161" t="s">
        <v>588</v>
      </c>
      <c r="G222" s="162"/>
      <c r="H222" s="163"/>
      <c r="I222" s="153" t="s">
        <v>589</v>
      </c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customFormat="false" ht="15.75" hidden="false" customHeight="true" outlineLevel="0" collapsed="false">
      <c r="A223" s="152"/>
      <c r="B223" s="153" t="s">
        <v>590</v>
      </c>
      <c r="C223" s="154" t="s">
        <v>591</v>
      </c>
      <c r="D223" s="162" t="s">
        <v>592</v>
      </c>
      <c r="E223" s="154" t="n">
        <v>2702</v>
      </c>
      <c r="F223" s="161" t="s">
        <v>588</v>
      </c>
      <c r="G223" s="162"/>
      <c r="H223" s="163"/>
      <c r="I223" s="153" t="s">
        <v>589</v>
      </c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customFormat="false" ht="15.75" hidden="false" customHeight="true" outlineLevel="0" collapsed="false">
      <c r="A224" s="152"/>
      <c r="B224" s="153" t="s">
        <v>593</v>
      </c>
      <c r="C224" s="154" t="s">
        <v>586</v>
      </c>
      <c r="D224" s="162" t="s">
        <v>594</v>
      </c>
      <c r="E224" s="154" t="n">
        <v>2702</v>
      </c>
      <c r="F224" s="156" t="s">
        <v>595</v>
      </c>
      <c r="G224" s="189"/>
      <c r="H224" s="163"/>
      <c r="I224" s="153" t="s">
        <v>589</v>
      </c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customFormat="false" ht="15.75" hidden="false" customHeight="true" outlineLevel="0" collapsed="false">
      <c r="A225" s="152"/>
      <c r="B225" s="153" t="s">
        <v>596</v>
      </c>
      <c r="C225" s="154" t="s">
        <v>591</v>
      </c>
      <c r="D225" s="162" t="s">
        <v>597</v>
      </c>
      <c r="E225" s="154" t="n">
        <v>2702</v>
      </c>
      <c r="F225" s="156" t="s">
        <v>595</v>
      </c>
      <c r="G225" s="190"/>
      <c r="H225" s="163"/>
      <c r="I225" s="153" t="s">
        <v>589</v>
      </c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customFormat="false" ht="15.75" hidden="false" customHeight="true" outlineLevel="0" collapsed="false">
      <c r="A226" s="152"/>
      <c r="B226" s="153" t="s">
        <v>598</v>
      </c>
      <c r="C226" s="154" t="s">
        <v>599</v>
      </c>
      <c r="D226" s="162" t="s">
        <v>600</v>
      </c>
      <c r="E226" s="154" t="n">
        <v>2702</v>
      </c>
      <c r="F226" s="161" t="s">
        <v>601</v>
      </c>
      <c r="G226" s="162"/>
      <c r="H226" s="163"/>
      <c r="I226" s="153" t="s">
        <v>589</v>
      </c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customFormat="false" ht="15.75" hidden="false" customHeight="true" outlineLevel="0" collapsed="false">
      <c r="A227" s="152"/>
      <c r="B227" s="153" t="s">
        <v>602</v>
      </c>
      <c r="C227" s="154" t="s">
        <v>603</v>
      </c>
      <c r="D227" s="162" t="s">
        <v>604</v>
      </c>
      <c r="E227" s="154" t="n">
        <v>2702</v>
      </c>
      <c r="F227" s="161" t="s">
        <v>601</v>
      </c>
      <c r="G227" s="162"/>
      <c r="H227" s="163"/>
      <c r="I227" s="153" t="s">
        <v>589</v>
      </c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customFormat="false" ht="15.75" hidden="false" customHeight="true" outlineLevel="0" collapsed="false">
      <c r="A228" s="152"/>
      <c r="B228" s="153" t="s">
        <v>605</v>
      </c>
      <c r="C228" s="154" t="s">
        <v>606</v>
      </c>
      <c r="D228" s="162" t="s">
        <v>607</v>
      </c>
      <c r="E228" s="154" t="n">
        <v>2702</v>
      </c>
      <c r="F228" s="161" t="s">
        <v>608</v>
      </c>
      <c r="G228" s="162"/>
      <c r="H228" s="163"/>
      <c r="I228" s="153" t="s">
        <v>554</v>
      </c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customFormat="false" ht="15.75" hidden="false" customHeight="true" outlineLevel="0" collapsed="false">
      <c r="A229" s="152"/>
      <c r="B229" s="153" t="s">
        <v>609</v>
      </c>
      <c r="C229" s="154" t="s">
        <v>610</v>
      </c>
      <c r="D229" s="162" t="s">
        <v>611</v>
      </c>
      <c r="E229" s="154" t="n">
        <v>2702</v>
      </c>
      <c r="F229" s="161" t="s">
        <v>612</v>
      </c>
      <c r="G229" s="162"/>
      <c r="H229" s="163"/>
      <c r="I229" s="153" t="s">
        <v>554</v>
      </c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customFormat="false" ht="15.75" hidden="false" customHeight="true" outlineLevel="0" collapsed="false">
      <c r="A230" s="152"/>
      <c r="B230" s="153" t="s">
        <v>613</v>
      </c>
      <c r="C230" s="154" t="s">
        <v>610</v>
      </c>
      <c r="D230" s="162" t="s">
        <v>614</v>
      </c>
      <c r="E230" s="154" t="n">
        <v>2702</v>
      </c>
      <c r="F230" s="161" t="s">
        <v>612</v>
      </c>
      <c r="G230" s="162"/>
      <c r="H230" s="163"/>
      <c r="I230" s="153" t="s">
        <v>554</v>
      </c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customFormat="false" ht="15.75" hidden="false" customHeight="true" outlineLevel="0" collapsed="false">
      <c r="A231" s="152"/>
      <c r="B231" s="153" t="s">
        <v>615</v>
      </c>
      <c r="C231" s="154" t="s">
        <v>616</v>
      </c>
      <c r="D231" s="162" t="s">
        <v>617</v>
      </c>
      <c r="E231" s="154" t="n">
        <v>2702</v>
      </c>
      <c r="F231" s="161" t="s">
        <v>608</v>
      </c>
      <c r="G231" s="162"/>
      <c r="H231" s="163"/>
      <c r="I231" s="153" t="s">
        <v>554</v>
      </c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customFormat="false" ht="15.75" hidden="false" customHeight="true" outlineLevel="0" collapsed="false">
      <c r="A232" s="152"/>
      <c r="B232" s="153" t="s">
        <v>618</v>
      </c>
      <c r="C232" s="154" t="s">
        <v>619</v>
      </c>
      <c r="D232" s="162" t="s">
        <v>620</v>
      </c>
      <c r="E232" s="154" t="n">
        <v>2702</v>
      </c>
      <c r="F232" s="161" t="s">
        <v>608</v>
      </c>
      <c r="G232" s="162"/>
      <c r="H232" s="163"/>
      <c r="I232" s="153" t="s">
        <v>554</v>
      </c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customFormat="false" ht="15.75" hidden="false" customHeight="true" outlineLevel="0" collapsed="false">
      <c r="A233" s="152"/>
      <c r="B233" s="153" t="s">
        <v>621</v>
      </c>
      <c r="C233" s="154" t="s">
        <v>622</v>
      </c>
      <c r="D233" s="162" t="s">
        <v>623</v>
      </c>
      <c r="E233" s="154" t="n">
        <v>2702</v>
      </c>
      <c r="F233" s="161" t="s">
        <v>608</v>
      </c>
      <c r="G233" s="162"/>
      <c r="H233" s="163"/>
      <c r="I233" s="153" t="s">
        <v>554</v>
      </c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customFormat="false" ht="15.75" hidden="false" customHeight="true" outlineLevel="0" collapsed="false">
      <c r="A234" s="152"/>
      <c r="B234" s="153" t="s">
        <v>624</v>
      </c>
      <c r="C234" s="154" t="s">
        <v>622</v>
      </c>
      <c r="D234" s="162" t="s">
        <v>625</v>
      </c>
      <c r="E234" s="154" t="n">
        <v>2702</v>
      </c>
      <c r="F234" s="161" t="s">
        <v>608</v>
      </c>
      <c r="G234" s="162"/>
      <c r="H234" s="163"/>
      <c r="I234" s="153" t="s">
        <v>554</v>
      </c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customFormat="false" ht="15.75" hidden="false" customHeight="true" outlineLevel="0" collapsed="false">
      <c r="A235" s="152"/>
      <c r="B235" s="153" t="s">
        <v>626</v>
      </c>
      <c r="C235" s="154" t="s">
        <v>627</v>
      </c>
      <c r="D235" s="162" t="s">
        <v>620</v>
      </c>
      <c r="E235" s="154" t="n">
        <v>2702</v>
      </c>
      <c r="F235" s="161" t="s">
        <v>628</v>
      </c>
      <c r="G235" s="162"/>
      <c r="H235" s="163"/>
      <c r="I235" s="153" t="s">
        <v>554</v>
      </c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customFormat="false" ht="15.75" hidden="false" customHeight="true" outlineLevel="0" collapsed="false">
      <c r="A236" s="152"/>
      <c r="B236" s="153" t="s">
        <v>629</v>
      </c>
      <c r="C236" s="154" t="s">
        <v>627</v>
      </c>
      <c r="D236" s="162" t="s">
        <v>617</v>
      </c>
      <c r="E236" s="154" t="n">
        <v>2702</v>
      </c>
      <c r="F236" s="161" t="s">
        <v>628</v>
      </c>
      <c r="G236" s="162"/>
      <c r="H236" s="163"/>
      <c r="I236" s="153" t="s">
        <v>554</v>
      </c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customFormat="false" ht="15.75" hidden="false" customHeight="true" outlineLevel="0" collapsed="false">
      <c r="A237" s="152"/>
      <c r="B237" s="153"/>
      <c r="C237" s="153"/>
      <c r="D237" s="153"/>
      <c r="E237" s="153"/>
      <c r="F237" s="153"/>
      <c r="G237" s="153"/>
      <c r="H237" s="153"/>
      <c r="I237" s="153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customFormat="false" ht="15.75" hidden="false" customHeight="true" outlineLevel="0" collapsed="false">
      <c r="A238" s="152"/>
      <c r="B238" s="153" t="s">
        <v>550</v>
      </c>
      <c r="C238" s="154" t="s">
        <v>551</v>
      </c>
      <c r="D238" s="162" t="s">
        <v>620</v>
      </c>
      <c r="E238" s="154" t="n">
        <v>2703</v>
      </c>
      <c r="F238" s="161" t="s">
        <v>630</v>
      </c>
      <c r="G238" s="162"/>
      <c r="H238" s="163"/>
      <c r="I238" s="153" t="s">
        <v>554</v>
      </c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customFormat="false" ht="15.75" hidden="false" customHeight="true" outlineLevel="0" collapsed="false">
      <c r="A239" s="152"/>
      <c r="B239" s="153" t="s">
        <v>555</v>
      </c>
      <c r="C239" s="154" t="s">
        <v>556</v>
      </c>
      <c r="D239" s="162" t="s">
        <v>631</v>
      </c>
      <c r="E239" s="154" t="n">
        <v>2703</v>
      </c>
      <c r="F239" s="156" t="s">
        <v>632</v>
      </c>
      <c r="G239" s="157"/>
      <c r="H239" s="187"/>
      <c r="I239" s="153" t="s">
        <v>633</v>
      </c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customFormat="false" ht="15.75" hidden="false" customHeight="true" outlineLevel="0" collapsed="false">
      <c r="A240" s="152"/>
      <c r="B240" s="153" t="s">
        <v>561</v>
      </c>
      <c r="C240" s="154" t="s">
        <v>556</v>
      </c>
      <c r="D240" s="162" t="s">
        <v>634</v>
      </c>
      <c r="E240" s="154" t="n">
        <v>2703</v>
      </c>
      <c r="F240" s="156" t="s">
        <v>635</v>
      </c>
      <c r="G240" s="157"/>
      <c r="H240" s="187"/>
      <c r="I240" s="153" t="s">
        <v>560</v>
      </c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customFormat="false" ht="15.75" hidden="false" customHeight="true" outlineLevel="0" collapsed="false">
      <c r="A241" s="152"/>
      <c r="B241" s="153" t="s">
        <v>563</v>
      </c>
      <c r="C241" s="154" t="s">
        <v>564</v>
      </c>
      <c r="D241" s="162" t="s">
        <v>636</v>
      </c>
      <c r="E241" s="154" t="n">
        <v>2703</v>
      </c>
      <c r="F241" s="161" t="s">
        <v>637</v>
      </c>
      <c r="G241" s="162"/>
      <c r="H241" s="163"/>
      <c r="I241" s="188" t="s">
        <v>567</v>
      </c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customFormat="false" ht="15.75" hidden="false" customHeight="true" outlineLevel="0" collapsed="false">
      <c r="A242" s="152"/>
      <c r="B242" s="153" t="s">
        <v>568</v>
      </c>
      <c r="C242" s="154" t="s">
        <v>638</v>
      </c>
      <c r="D242" s="162" t="s">
        <v>639</v>
      </c>
      <c r="E242" s="154" t="n">
        <v>2703</v>
      </c>
      <c r="F242" s="161" t="s">
        <v>640</v>
      </c>
      <c r="G242" s="162"/>
      <c r="H242" s="163"/>
      <c r="I242" s="188" t="s">
        <v>572</v>
      </c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customFormat="false" ht="15.75" hidden="false" customHeight="true" outlineLevel="0" collapsed="false">
      <c r="A243" s="152"/>
      <c r="B243" s="153" t="s">
        <v>573</v>
      </c>
      <c r="C243" s="154" t="s">
        <v>641</v>
      </c>
      <c r="D243" s="162" t="s">
        <v>642</v>
      </c>
      <c r="E243" s="154" t="n">
        <v>2703</v>
      </c>
      <c r="F243" s="161" t="s">
        <v>643</v>
      </c>
      <c r="G243" s="162"/>
      <c r="H243" s="163"/>
      <c r="I243" s="188" t="s">
        <v>577</v>
      </c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customFormat="false" ht="15.75" hidden="false" customHeight="true" outlineLevel="0" collapsed="false">
      <c r="A244" s="152"/>
      <c r="B244" s="153" t="s">
        <v>578</v>
      </c>
      <c r="C244" s="154" t="s">
        <v>579</v>
      </c>
      <c r="D244" s="162" t="s">
        <v>644</v>
      </c>
      <c r="E244" s="154" t="n">
        <v>2703</v>
      </c>
      <c r="F244" s="161" t="s">
        <v>645</v>
      </c>
      <c r="G244" s="162"/>
      <c r="H244" s="163"/>
      <c r="I244" s="188" t="s">
        <v>577</v>
      </c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customFormat="false" ht="15.75" hidden="false" customHeight="true" outlineLevel="0" collapsed="false">
      <c r="A245" s="152"/>
      <c r="B245" s="153" t="s">
        <v>581</v>
      </c>
      <c r="C245" s="154" t="s">
        <v>582</v>
      </c>
      <c r="D245" s="162" t="s">
        <v>646</v>
      </c>
      <c r="E245" s="154" t="n">
        <v>2703</v>
      </c>
      <c r="F245" s="161" t="s">
        <v>647</v>
      </c>
      <c r="G245" s="162"/>
      <c r="H245" s="163"/>
      <c r="I245" s="153" t="s">
        <v>577</v>
      </c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customFormat="false" ht="15.75" hidden="false" customHeight="true" outlineLevel="0" collapsed="false">
      <c r="A246" s="152"/>
      <c r="B246" s="153" t="s">
        <v>585</v>
      </c>
      <c r="C246" s="154" t="s">
        <v>586</v>
      </c>
      <c r="D246" s="162" t="s">
        <v>648</v>
      </c>
      <c r="E246" s="154" t="n">
        <v>2703</v>
      </c>
      <c r="F246" s="161" t="s">
        <v>649</v>
      </c>
      <c r="G246" s="162"/>
      <c r="H246" s="163"/>
      <c r="I246" s="153" t="s">
        <v>589</v>
      </c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customFormat="false" ht="15.75" hidden="false" customHeight="true" outlineLevel="0" collapsed="false">
      <c r="A247" s="152"/>
      <c r="B247" s="153" t="s">
        <v>590</v>
      </c>
      <c r="C247" s="154" t="s">
        <v>591</v>
      </c>
      <c r="D247" s="162" t="s">
        <v>650</v>
      </c>
      <c r="E247" s="154" t="n">
        <v>2703</v>
      </c>
      <c r="F247" s="161" t="s">
        <v>649</v>
      </c>
      <c r="G247" s="162"/>
      <c r="H247" s="163"/>
      <c r="I247" s="153" t="s">
        <v>589</v>
      </c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customFormat="false" ht="15.75" hidden="false" customHeight="true" outlineLevel="0" collapsed="false">
      <c r="A248" s="152"/>
      <c r="B248" s="153" t="s">
        <v>593</v>
      </c>
      <c r="C248" s="154" t="s">
        <v>586</v>
      </c>
      <c r="D248" s="162"/>
      <c r="E248" s="154" t="n">
        <v>2703</v>
      </c>
      <c r="F248" s="156"/>
      <c r="G248" s="189"/>
      <c r="H248" s="163"/>
      <c r="I248" s="153" t="s">
        <v>589</v>
      </c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customFormat="false" ht="15.75" hidden="false" customHeight="true" outlineLevel="0" collapsed="false">
      <c r="A249" s="152"/>
      <c r="B249" s="153" t="s">
        <v>596</v>
      </c>
      <c r="C249" s="154" t="s">
        <v>591</v>
      </c>
      <c r="D249" s="162"/>
      <c r="E249" s="154" t="n">
        <v>2703</v>
      </c>
      <c r="F249" s="156"/>
      <c r="G249" s="190"/>
      <c r="H249" s="163"/>
      <c r="I249" s="153" t="s">
        <v>589</v>
      </c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customFormat="false" ht="15.75" hidden="false" customHeight="true" outlineLevel="0" collapsed="false">
      <c r="A250" s="152"/>
      <c r="B250" s="153" t="s">
        <v>598</v>
      </c>
      <c r="C250" s="154" t="s">
        <v>599</v>
      </c>
      <c r="D250" s="162" t="s">
        <v>651</v>
      </c>
      <c r="E250" s="154" t="n">
        <v>2703</v>
      </c>
      <c r="F250" s="161" t="s">
        <v>652</v>
      </c>
      <c r="G250" s="162"/>
      <c r="H250" s="163"/>
      <c r="I250" s="153" t="s">
        <v>589</v>
      </c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customFormat="false" ht="15.75" hidden="false" customHeight="true" outlineLevel="0" collapsed="false">
      <c r="A251" s="152"/>
      <c r="B251" s="153" t="s">
        <v>602</v>
      </c>
      <c r="C251" s="154" t="s">
        <v>603</v>
      </c>
      <c r="D251" s="162" t="s">
        <v>653</v>
      </c>
      <c r="E251" s="154" t="n">
        <v>2703</v>
      </c>
      <c r="F251" s="161" t="s">
        <v>652</v>
      </c>
      <c r="G251" s="162"/>
      <c r="H251" s="163"/>
      <c r="I251" s="153" t="s">
        <v>589</v>
      </c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customFormat="false" ht="15.75" hidden="false" customHeight="true" outlineLevel="0" collapsed="false">
      <c r="A252" s="152"/>
      <c r="B252" s="153" t="s">
        <v>605</v>
      </c>
      <c r="C252" s="154" t="s">
        <v>654</v>
      </c>
      <c r="D252" s="162" t="s">
        <v>655</v>
      </c>
      <c r="E252" s="154" t="n">
        <v>2703</v>
      </c>
      <c r="F252" s="161" t="s">
        <v>656</v>
      </c>
      <c r="G252" s="162"/>
      <c r="H252" s="163"/>
      <c r="I252" s="153" t="s">
        <v>554</v>
      </c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customFormat="false" ht="15.75" hidden="false" customHeight="true" outlineLevel="0" collapsed="false">
      <c r="A253" s="152"/>
      <c r="B253" s="153" t="s">
        <v>609</v>
      </c>
      <c r="C253" s="154" t="s">
        <v>657</v>
      </c>
      <c r="D253" s="162" t="s">
        <v>658</v>
      </c>
      <c r="E253" s="154" t="n">
        <v>2703</v>
      </c>
      <c r="F253" s="161" t="s">
        <v>656</v>
      </c>
      <c r="G253" s="162"/>
      <c r="H253" s="163"/>
      <c r="I253" s="153" t="s">
        <v>554</v>
      </c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customFormat="false" ht="15.75" hidden="false" customHeight="true" outlineLevel="0" collapsed="false">
      <c r="A254" s="152"/>
      <c r="B254" s="153" t="s">
        <v>613</v>
      </c>
      <c r="C254" s="154" t="s">
        <v>657</v>
      </c>
      <c r="D254" s="162" t="s">
        <v>659</v>
      </c>
      <c r="E254" s="154" t="n">
        <v>2703</v>
      </c>
      <c r="F254" s="161" t="s">
        <v>656</v>
      </c>
      <c r="G254" s="162"/>
      <c r="H254" s="163"/>
      <c r="I254" s="153" t="s">
        <v>554</v>
      </c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customFormat="false" ht="15.75" hidden="false" customHeight="true" outlineLevel="0" collapsed="false">
      <c r="A255" s="152"/>
      <c r="B255" s="153" t="s">
        <v>615</v>
      </c>
      <c r="C255" s="154" t="s">
        <v>660</v>
      </c>
      <c r="D255" s="162" t="s">
        <v>661</v>
      </c>
      <c r="E255" s="154" t="n">
        <v>2703</v>
      </c>
      <c r="F255" s="161" t="s">
        <v>656</v>
      </c>
      <c r="G255" s="162"/>
      <c r="H255" s="163"/>
      <c r="I255" s="153" t="s">
        <v>554</v>
      </c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customFormat="false" ht="15.75" hidden="false" customHeight="true" outlineLevel="0" collapsed="false">
      <c r="A256" s="152"/>
      <c r="B256" s="153" t="s">
        <v>618</v>
      </c>
      <c r="C256" s="154" t="s">
        <v>662</v>
      </c>
      <c r="D256" s="162" t="s">
        <v>663</v>
      </c>
      <c r="E256" s="154" t="n">
        <v>2703</v>
      </c>
      <c r="F256" s="161" t="s">
        <v>664</v>
      </c>
      <c r="G256" s="162"/>
      <c r="H256" s="163"/>
      <c r="I256" s="153" t="s">
        <v>554</v>
      </c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customFormat="false" ht="15.75" hidden="false" customHeight="true" outlineLevel="0" collapsed="false">
      <c r="A257" s="152"/>
      <c r="B257" s="153" t="s">
        <v>621</v>
      </c>
      <c r="C257" s="154" t="s">
        <v>665</v>
      </c>
      <c r="D257" s="162" t="s">
        <v>666</v>
      </c>
      <c r="E257" s="154" t="n">
        <v>2703</v>
      </c>
      <c r="F257" s="161" t="s">
        <v>630</v>
      </c>
      <c r="G257" s="162"/>
      <c r="H257" s="163"/>
      <c r="I257" s="153" t="s">
        <v>554</v>
      </c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customFormat="false" ht="15.75" hidden="false" customHeight="true" outlineLevel="0" collapsed="false">
      <c r="A258" s="152"/>
      <c r="B258" s="153" t="s">
        <v>624</v>
      </c>
      <c r="C258" s="154" t="s">
        <v>665</v>
      </c>
      <c r="D258" s="162" t="s">
        <v>667</v>
      </c>
      <c r="E258" s="154" t="n">
        <v>2703</v>
      </c>
      <c r="F258" s="161" t="s">
        <v>630</v>
      </c>
      <c r="G258" s="162"/>
      <c r="H258" s="163"/>
      <c r="I258" s="153" t="s">
        <v>554</v>
      </c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customFormat="false" ht="15.75" hidden="false" customHeight="true" outlineLevel="0" collapsed="false">
      <c r="A259" s="152"/>
      <c r="B259" s="153" t="s">
        <v>626</v>
      </c>
      <c r="C259" s="154" t="s">
        <v>668</v>
      </c>
      <c r="D259" s="162" t="s">
        <v>669</v>
      </c>
      <c r="E259" s="154" t="n">
        <v>2703</v>
      </c>
      <c r="F259" s="161" t="s">
        <v>670</v>
      </c>
      <c r="G259" s="162"/>
      <c r="H259" s="163"/>
      <c r="I259" s="153" t="s">
        <v>554</v>
      </c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customFormat="false" ht="15.75" hidden="false" customHeight="true" outlineLevel="0" collapsed="false">
      <c r="A260" s="152"/>
      <c r="B260" s="153" t="s">
        <v>629</v>
      </c>
      <c r="C260" s="154" t="s">
        <v>668</v>
      </c>
      <c r="D260" s="162" t="s">
        <v>671</v>
      </c>
      <c r="E260" s="154" t="n">
        <v>2703</v>
      </c>
      <c r="F260" s="161" t="s">
        <v>670</v>
      </c>
      <c r="G260" s="162"/>
      <c r="H260" s="163"/>
      <c r="I260" s="153" t="s">
        <v>554</v>
      </c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customFormat="false" ht="15.75" hidden="false" customHeight="true" outlineLevel="0" collapsed="false">
      <c r="A261" s="152"/>
      <c r="B261" s="153"/>
      <c r="C261" s="153"/>
      <c r="D261" s="153"/>
      <c r="E261" s="153"/>
      <c r="F261" s="153"/>
      <c r="G261" s="153"/>
      <c r="H261" s="153"/>
      <c r="I261" s="153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customFormat="false" ht="15.75" hidden="false" customHeight="true" outlineLevel="0" collapsed="false">
      <c r="A262" s="152"/>
      <c r="B262" s="153" t="s">
        <v>550</v>
      </c>
      <c r="C262" s="154" t="s">
        <v>551</v>
      </c>
      <c r="D262" s="162"/>
      <c r="E262" s="154" t="n">
        <v>2706</v>
      </c>
      <c r="F262" s="161"/>
      <c r="G262" s="162"/>
      <c r="H262" s="163"/>
      <c r="I262" s="153" t="s">
        <v>554</v>
      </c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customFormat="false" ht="15.75" hidden="false" customHeight="true" outlineLevel="0" collapsed="false">
      <c r="A263" s="152"/>
      <c r="B263" s="153" t="s">
        <v>555</v>
      </c>
      <c r="C263" s="154" t="s">
        <v>556</v>
      </c>
      <c r="D263" s="162"/>
      <c r="E263" s="154" t="n">
        <v>2706</v>
      </c>
      <c r="F263" s="161"/>
      <c r="G263" s="162"/>
      <c r="H263" s="163"/>
      <c r="I263" s="153" t="s">
        <v>554</v>
      </c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customFormat="false" ht="15.75" hidden="false" customHeight="true" outlineLevel="0" collapsed="false">
      <c r="A264" s="152"/>
      <c r="B264" s="153" t="s">
        <v>561</v>
      </c>
      <c r="C264" s="154" t="s">
        <v>556</v>
      </c>
      <c r="D264" s="162"/>
      <c r="E264" s="154" t="n">
        <v>2706</v>
      </c>
      <c r="F264" s="161"/>
      <c r="G264" s="162"/>
      <c r="H264" s="163"/>
      <c r="I264" s="153" t="s">
        <v>554</v>
      </c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customFormat="false" ht="15.75" hidden="false" customHeight="true" outlineLevel="0" collapsed="false">
      <c r="A265" s="152"/>
      <c r="B265" s="153" t="s">
        <v>563</v>
      </c>
      <c r="C265" s="163"/>
      <c r="D265" s="162"/>
      <c r="E265" s="155"/>
      <c r="F265" s="161"/>
      <c r="G265" s="162"/>
      <c r="H265" s="163"/>
      <c r="I265" s="188" t="s">
        <v>567</v>
      </c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customFormat="false" ht="15.75" hidden="false" customHeight="true" outlineLevel="0" collapsed="false">
      <c r="A266" s="152"/>
      <c r="B266" s="153" t="s">
        <v>568</v>
      </c>
      <c r="C266" s="154" t="s">
        <v>638</v>
      </c>
      <c r="D266" s="161" t="s">
        <v>672</v>
      </c>
      <c r="E266" s="154" t="n">
        <v>2706</v>
      </c>
      <c r="F266" s="161" t="s">
        <v>673</v>
      </c>
      <c r="G266" s="162"/>
      <c r="H266" s="163"/>
      <c r="I266" s="188" t="s">
        <v>572</v>
      </c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customFormat="false" ht="15.75" hidden="false" customHeight="true" outlineLevel="0" collapsed="false">
      <c r="A267" s="152"/>
      <c r="B267" s="153" t="s">
        <v>573</v>
      </c>
      <c r="C267" s="154" t="s">
        <v>574</v>
      </c>
      <c r="D267" s="161" t="s">
        <v>674</v>
      </c>
      <c r="E267" s="154" t="n">
        <v>2706</v>
      </c>
      <c r="F267" s="161" t="s">
        <v>675</v>
      </c>
      <c r="G267" s="162"/>
      <c r="H267" s="163"/>
      <c r="I267" s="188" t="s">
        <v>577</v>
      </c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customFormat="false" ht="15.75" hidden="false" customHeight="true" outlineLevel="0" collapsed="false">
      <c r="A268" s="152"/>
      <c r="B268" s="153" t="s">
        <v>578</v>
      </c>
      <c r="C268" s="154" t="s">
        <v>676</v>
      </c>
      <c r="D268" s="161" t="s">
        <v>677</v>
      </c>
      <c r="E268" s="154" t="n">
        <v>2706</v>
      </c>
      <c r="F268" s="161" t="s">
        <v>675</v>
      </c>
      <c r="G268" s="162"/>
      <c r="H268" s="163"/>
      <c r="I268" s="188" t="s">
        <v>577</v>
      </c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customFormat="false" ht="15.75" hidden="false" customHeight="true" outlineLevel="0" collapsed="false">
      <c r="A269" s="152"/>
      <c r="B269" s="153" t="s">
        <v>581</v>
      </c>
      <c r="C269" s="154" t="s">
        <v>678</v>
      </c>
      <c r="D269" s="161" t="s">
        <v>679</v>
      </c>
      <c r="E269" s="154" t="n">
        <v>2706</v>
      </c>
      <c r="F269" s="161" t="s">
        <v>675</v>
      </c>
      <c r="G269" s="162"/>
      <c r="H269" s="163"/>
      <c r="I269" s="153" t="s">
        <v>577</v>
      </c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customFormat="false" ht="15.75" hidden="false" customHeight="true" outlineLevel="0" collapsed="false">
      <c r="A270" s="152"/>
      <c r="B270" s="153" t="s">
        <v>585</v>
      </c>
      <c r="C270" s="154" t="s">
        <v>586</v>
      </c>
      <c r="D270" s="162"/>
      <c r="E270" s="154" t="n">
        <v>2706</v>
      </c>
      <c r="F270" s="161" t="s">
        <v>512</v>
      </c>
      <c r="G270" s="161"/>
      <c r="H270" s="163"/>
      <c r="I270" s="153" t="s">
        <v>589</v>
      </c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customFormat="false" ht="15.75" hidden="false" customHeight="true" outlineLevel="0" collapsed="false">
      <c r="A271" s="152"/>
      <c r="B271" s="153" t="s">
        <v>590</v>
      </c>
      <c r="C271" s="154" t="s">
        <v>591</v>
      </c>
      <c r="D271" s="162"/>
      <c r="E271" s="154" t="n">
        <v>2706</v>
      </c>
      <c r="F271" s="161" t="s">
        <v>512</v>
      </c>
      <c r="G271" s="161"/>
      <c r="H271" s="163"/>
      <c r="I271" s="153" t="s">
        <v>589</v>
      </c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customFormat="false" ht="15.75" hidden="false" customHeight="true" outlineLevel="0" collapsed="false">
      <c r="A272" s="152"/>
      <c r="B272" s="153" t="s">
        <v>593</v>
      </c>
      <c r="C272" s="154" t="s">
        <v>586</v>
      </c>
      <c r="D272" s="162"/>
      <c r="E272" s="154" t="n">
        <v>2706</v>
      </c>
      <c r="F272" s="161" t="s">
        <v>512</v>
      </c>
      <c r="G272" s="161"/>
      <c r="H272" s="163"/>
      <c r="I272" s="153" t="s">
        <v>589</v>
      </c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customFormat="false" ht="15.75" hidden="false" customHeight="true" outlineLevel="0" collapsed="false">
      <c r="A273" s="152"/>
      <c r="B273" s="153" t="s">
        <v>596</v>
      </c>
      <c r="C273" s="154" t="s">
        <v>591</v>
      </c>
      <c r="D273" s="162"/>
      <c r="E273" s="154" t="n">
        <v>2706</v>
      </c>
      <c r="F273" s="161" t="s">
        <v>512</v>
      </c>
      <c r="G273" s="161"/>
      <c r="H273" s="163"/>
      <c r="I273" s="153" t="s">
        <v>589</v>
      </c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customFormat="false" ht="15.75" hidden="false" customHeight="true" outlineLevel="0" collapsed="false">
      <c r="A274" s="152"/>
      <c r="B274" s="153" t="s">
        <v>598</v>
      </c>
      <c r="C274" s="154" t="s">
        <v>599</v>
      </c>
      <c r="D274" s="162"/>
      <c r="E274" s="154" t="n">
        <v>2706</v>
      </c>
      <c r="F274" s="161" t="s">
        <v>512</v>
      </c>
      <c r="G274" s="161"/>
      <c r="H274" s="163"/>
      <c r="I274" s="153" t="s">
        <v>589</v>
      </c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customFormat="false" ht="15.75" hidden="false" customHeight="true" outlineLevel="0" collapsed="false">
      <c r="A275" s="152"/>
      <c r="B275" s="153" t="s">
        <v>602</v>
      </c>
      <c r="C275" s="154" t="s">
        <v>603</v>
      </c>
      <c r="D275" s="162"/>
      <c r="E275" s="154" t="n">
        <v>2706</v>
      </c>
      <c r="F275" s="161" t="s">
        <v>512</v>
      </c>
      <c r="G275" s="161"/>
      <c r="H275" s="163"/>
      <c r="I275" s="153" t="s">
        <v>589</v>
      </c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customFormat="false" ht="15.75" hidden="false" customHeight="true" outlineLevel="0" collapsed="false">
      <c r="A276" s="152"/>
      <c r="B276" s="153" t="s">
        <v>605</v>
      </c>
      <c r="C276" s="154" t="s">
        <v>606</v>
      </c>
      <c r="D276" s="161" t="s">
        <v>680</v>
      </c>
      <c r="E276" s="154" t="n">
        <v>2706</v>
      </c>
      <c r="F276" s="161" t="s">
        <v>681</v>
      </c>
      <c r="G276" s="162"/>
      <c r="H276" s="163"/>
      <c r="I276" s="153" t="s">
        <v>554</v>
      </c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customFormat="false" ht="15.75" hidden="false" customHeight="true" outlineLevel="0" collapsed="false">
      <c r="A277" s="152"/>
      <c r="B277" s="153" t="s">
        <v>609</v>
      </c>
      <c r="C277" s="154" t="s">
        <v>682</v>
      </c>
      <c r="D277" s="161" t="s">
        <v>683</v>
      </c>
      <c r="E277" s="154" t="n">
        <v>2706</v>
      </c>
      <c r="F277" s="161" t="s">
        <v>684</v>
      </c>
      <c r="G277" s="162"/>
      <c r="H277" s="163"/>
      <c r="I277" s="153" t="s">
        <v>554</v>
      </c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customFormat="false" ht="15.75" hidden="false" customHeight="true" outlineLevel="0" collapsed="false">
      <c r="A278" s="152"/>
      <c r="B278" s="153" t="s">
        <v>613</v>
      </c>
      <c r="C278" s="154" t="s">
        <v>610</v>
      </c>
      <c r="D278" s="161" t="s">
        <v>685</v>
      </c>
      <c r="E278" s="154" t="n">
        <v>2706</v>
      </c>
      <c r="F278" s="161" t="s">
        <v>686</v>
      </c>
      <c r="G278" s="162"/>
      <c r="H278" s="163"/>
      <c r="I278" s="153" t="s">
        <v>554</v>
      </c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customFormat="false" ht="15.75" hidden="false" customHeight="true" outlineLevel="0" collapsed="false">
      <c r="A279" s="152"/>
      <c r="B279" s="153" t="s">
        <v>615</v>
      </c>
      <c r="C279" s="154" t="s">
        <v>660</v>
      </c>
      <c r="D279" s="161" t="s">
        <v>687</v>
      </c>
      <c r="E279" s="154" t="n">
        <v>2706</v>
      </c>
      <c r="F279" s="161" t="s">
        <v>688</v>
      </c>
      <c r="G279" s="162"/>
      <c r="H279" s="163"/>
      <c r="I279" s="153" t="s">
        <v>554</v>
      </c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customFormat="false" ht="15.75" hidden="false" customHeight="true" outlineLevel="0" collapsed="false">
      <c r="A280" s="152"/>
      <c r="B280" s="153" t="s">
        <v>618</v>
      </c>
      <c r="C280" s="154" t="s">
        <v>619</v>
      </c>
      <c r="D280" s="161" t="s">
        <v>689</v>
      </c>
      <c r="E280" s="154" t="n">
        <v>2706</v>
      </c>
      <c r="F280" s="161" t="s">
        <v>688</v>
      </c>
      <c r="G280" s="162"/>
      <c r="H280" s="163"/>
      <c r="I280" s="153" t="s">
        <v>554</v>
      </c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customFormat="false" ht="15.75" hidden="false" customHeight="true" outlineLevel="0" collapsed="false">
      <c r="A281" s="152"/>
      <c r="B281" s="153" t="s">
        <v>621</v>
      </c>
      <c r="C281" s="154" t="s">
        <v>622</v>
      </c>
      <c r="D281" s="161" t="s">
        <v>690</v>
      </c>
      <c r="E281" s="154" t="n">
        <v>2706</v>
      </c>
      <c r="F281" s="161" t="s">
        <v>688</v>
      </c>
      <c r="G281" s="162"/>
      <c r="H281" s="163"/>
      <c r="I281" s="153" t="s">
        <v>554</v>
      </c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customFormat="false" ht="15.75" hidden="false" customHeight="true" outlineLevel="0" collapsed="false">
      <c r="A282" s="152"/>
      <c r="B282" s="153" t="s">
        <v>624</v>
      </c>
      <c r="C282" s="154" t="s">
        <v>691</v>
      </c>
      <c r="D282" s="161" t="s">
        <v>692</v>
      </c>
      <c r="E282" s="154" t="n">
        <v>2706</v>
      </c>
      <c r="F282" s="161" t="s">
        <v>688</v>
      </c>
      <c r="G282" s="162"/>
      <c r="H282" s="163"/>
      <c r="I282" s="153" t="s">
        <v>554</v>
      </c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customFormat="false" ht="15.75" hidden="false" customHeight="true" outlineLevel="0" collapsed="false">
      <c r="A283" s="152"/>
      <c r="B283" s="153" t="s">
        <v>626</v>
      </c>
      <c r="C283" s="154" t="s">
        <v>668</v>
      </c>
      <c r="D283" s="161" t="s">
        <v>651</v>
      </c>
      <c r="E283" s="154" t="n">
        <v>2706</v>
      </c>
      <c r="F283" s="161" t="s">
        <v>693</v>
      </c>
      <c r="G283" s="162"/>
      <c r="H283" s="163"/>
      <c r="I283" s="153" t="s">
        <v>554</v>
      </c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customFormat="false" ht="15.75" hidden="false" customHeight="true" outlineLevel="0" collapsed="false">
      <c r="A284" s="152"/>
      <c r="B284" s="153" t="s">
        <v>629</v>
      </c>
      <c r="C284" s="154" t="s">
        <v>668</v>
      </c>
      <c r="D284" s="161" t="s">
        <v>694</v>
      </c>
      <c r="E284" s="154" t="n">
        <v>2706</v>
      </c>
      <c r="F284" s="161" t="s">
        <v>693</v>
      </c>
      <c r="G284" s="162"/>
      <c r="H284" s="163"/>
      <c r="I284" s="153" t="s">
        <v>554</v>
      </c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customFormat="false" ht="15.75" hidden="false" customHeight="true" outlineLevel="0" collapsed="false">
      <c r="A285" s="152"/>
      <c r="B285" s="163"/>
      <c r="C285" s="163"/>
      <c r="D285" s="163"/>
      <c r="E285" s="163"/>
      <c r="F285" s="163"/>
      <c r="G285" s="163"/>
      <c r="H285" s="163"/>
      <c r="I285" s="163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customFormat="false" ht="15.75" hidden="false" customHeight="true" outlineLevel="0" collapsed="false">
      <c r="A286" s="152"/>
      <c r="B286" s="153" t="s">
        <v>550</v>
      </c>
      <c r="C286" s="154" t="s">
        <v>551</v>
      </c>
      <c r="D286" s="156" t="s">
        <v>692</v>
      </c>
      <c r="E286" s="191" t="n">
        <v>2708</v>
      </c>
      <c r="F286" s="156" t="s">
        <v>695</v>
      </c>
      <c r="G286" s="157"/>
      <c r="H286" s="163"/>
      <c r="I286" s="153" t="s">
        <v>554</v>
      </c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customFormat="false" ht="15.75" hidden="false" customHeight="true" outlineLevel="0" collapsed="false">
      <c r="A287" s="152"/>
      <c r="B287" s="153" t="s">
        <v>555</v>
      </c>
      <c r="C287" s="154" t="s">
        <v>556</v>
      </c>
      <c r="D287" s="156" t="s">
        <v>696</v>
      </c>
      <c r="E287" s="191" t="n">
        <v>2708</v>
      </c>
      <c r="F287" s="156" t="s">
        <v>635</v>
      </c>
      <c r="G287" s="156"/>
      <c r="H287" s="158"/>
      <c r="I287" s="153" t="s">
        <v>560</v>
      </c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customFormat="false" ht="15.75" hidden="false" customHeight="true" outlineLevel="0" collapsed="false">
      <c r="A288" s="152"/>
      <c r="B288" s="153" t="s">
        <v>561</v>
      </c>
      <c r="C288" s="154" t="s">
        <v>556</v>
      </c>
      <c r="D288" s="156" t="s">
        <v>697</v>
      </c>
      <c r="E288" s="191" t="n">
        <v>2708</v>
      </c>
      <c r="F288" s="156" t="s">
        <v>635</v>
      </c>
      <c r="G288" s="156"/>
      <c r="H288" s="158"/>
      <c r="I288" s="153" t="s">
        <v>560</v>
      </c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customFormat="false" ht="15.75" hidden="false" customHeight="true" outlineLevel="0" collapsed="false">
      <c r="A289" s="152"/>
      <c r="B289" s="153" t="s">
        <v>563</v>
      </c>
      <c r="C289" s="154" t="s">
        <v>698</v>
      </c>
      <c r="D289" s="156" t="s">
        <v>699</v>
      </c>
      <c r="E289" s="191" t="n">
        <v>2708</v>
      </c>
      <c r="F289" s="156" t="s">
        <v>700</v>
      </c>
      <c r="G289" s="157"/>
      <c r="H289" s="163"/>
      <c r="I289" s="188" t="s">
        <v>567</v>
      </c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customFormat="false" ht="15.75" hidden="false" customHeight="true" outlineLevel="0" collapsed="false">
      <c r="A290" s="152"/>
      <c r="B290" s="153" t="s">
        <v>568</v>
      </c>
      <c r="C290" s="154" t="s">
        <v>638</v>
      </c>
      <c r="D290" s="156" t="s">
        <v>701</v>
      </c>
      <c r="E290" s="191" t="n">
        <v>2708</v>
      </c>
      <c r="F290" s="156" t="s">
        <v>702</v>
      </c>
      <c r="G290" s="157"/>
      <c r="H290" s="163"/>
      <c r="I290" s="188" t="s">
        <v>572</v>
      </c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customFormat="false" ht="15.75" hidden="false" customHeight="true" outlineLevel="0" collapsed="false">
      <c r="A291" s="152"/>
      <c r="B291" s="153" t="s">
        <v>573</v>
      </c>
      <c r="C291" s="154" t="s">
        <v>641</v>
      </c>
      <c r="D291" s="156" t="s">
        <v>703</v>
      </c>
      <c r="E291" s="191" t="n">
        <v>2708</v>
      </c>
      <c r="F291" s="156" t="s">
        <v>704</v>
      </c>
      <c r="G291" s="157"/>
      <c r="H291" s="163"/>
      <c r="I291" s="188" t="s">
        <v>577</v>
      </c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customFormat="false" ht="15.75" hidden="false" customHeight="true" outlineLevel="0" collapsed="false">
      <c r="A292" s="152"/>
      <c r="B292" s="153" t="s">
        <v>578</v>
      </c>
      <c r="C292" s="154" t="s">
        <v>676</v>
      </c>
      <c r="D292" s="156" t="s">
        <v>705</v>
      </c>
      <c r="E292" s="191" t="n">
        <v>2708</v>
      </c>
      <c r="F292" s="156" t="s">
        <v>706</v>
      </c>
      <c r="G292" s="157"/>
      <c r="H292" s="163"/>
      <c r="I292" s="188" t="s">
        <v>577</v>
      </c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customFormat="false" ht="15.75" hidden="false" customHeight="true" outlineLevel="0" collapsed="false">
      <c r="A293" s="152"/>
      <c r="B293" s="153" t="s">
        <v>581</v>
      </c>
      <c r="C293" s="154" t="s">
        <v>582</v>
      </c>
      <c r="D293" s="156" t="s">
        <v>651</v>
      </c>
      <c r="E293" s="191" t="n">
        <v>2708</v>
      </c>
      <c r="F293" s="156" t="s">
        <v>706</v>
      </c>
      <c r="G293" s="157"/>
      <c r="H293" s="163"/>
      <c r="I293" s="153" t="s">
        <v>577</v>
      </c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customFormat="false" ht="15.75" hidden="false" customHeight="true" outlineLevel="0" collapsed="false">
      <c r="A294" s="152"/>
      <c r="B294" s="153" t="s">
        <v>585</v>
      </c>
      <c r="C294" s="154" t="s">
        <v>586</v>
      </c>
      <c r="D294" s="172" t="s">
        <v>707</v>
      </c>
      <c r="E294" s="191" t="n">
        <v>2708</v>
      </c>
      <c r="F294" s="172" t="s">
        <v>708</v>
      </c>
      <c r="G294" s="156"/>
      <c r="H294" s="163"/>
      <c r="I294" s="153" t="s">
        <v>589</v>
      </c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customFormat="false" ht="15.75" hidden="false" customHeight="true" outlineLevel="0" collapsed="false">
      <c r="A295" s="152"/>
      <c r="B295" s="153" t="s">
        <v>590</v>
      </c>
      <c r="C295" s="154" t="s">
        <v>591</v>
      </c>
      <c r="D295" s="172" t="s">
        <v>709</v>
      </c>
      <c r="E295" s="191" t="n">
        <v>2708</v>
      </c>
      <c r="F295" s="172" t="s">
        <v>708</v>
      </c>
      <c r="G295" s="156"/>
      <c r="H295" s="163"/>
      <c r="I295" s="153" t="s">
        <v>589</v>
      </c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customFormat="false" ht="15.75" hidden="false" customHeight="true" outlineLevel="0" collapsed="false">
      <c r="A296" s="152"/>
      <c r="B296" s="153" t="s">
        <v>593</v>
      </c>
      <c r="C296" s="154" t="s">
        <v>586</v>
      </c>
      <c r="D296" s="156" t="s">
        <v>710</v>
      </c>
      <c r="E296" s="191" t="n">
        <v>2708</v>
      </c>
      <c r="F296" s="191" t="s">
        <v>711</v>
      </c>
      <c r="G296" s="157"/>
      <c r="H296" s="163"/>
      <c r="I296" s="153" t="s">
        <v>589</v>
      </c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customFormat="false" ht="15.75" hidden="false" customHeight="true" outlineLevel="0" collapsed="false">
      <c r="A297" s="152"/>
      <c r="B297" s="153" t="s">
        <v>596</v>
      </c>
      <c r="C297" s="154" t="s">
        <v>591</v>
      </c>
      <c r="D297" s="156" t="s">
        <v>712</v>
      </c>
      <c r="E297" s="191" t="n">
        <v>2708</v>
      </c>
      <c r="F297" s="191" t="s">
        <v>711</v>
      </c>
      <c r="G297" s="157"/>
      <c r="H297" s="163"/>
      <c r="I297" s="153" t="s">
        <v>589</v>
      </c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customFormat="false" ht="15.75" hidden="false" customHeight="true" outlineLevel="0" collapsed="false">
      <c r="A298" s="152"/>
      <c r="B298" s="153" t="s">
        <v>598</v>
      </c>
      <c r="C298" s="154" t="s">
        <v>599</v>
      </c>
      <c r="D298" s="156" t="s">
        <v>713</v>
      </c>
      <c r="E298" s="191" t="n">
        <v>2708</v>
      </c>
      <c r="F298" s="156" t="s">
        <v>714</v>
      </c>
      <c r="G298" s="157"/>
      <c r="H298" s="163"/>
      <c r="I298" s="153" t="s">
        <v>589</v>
      </c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customFormat="false" ht="15.75" hidden="false" customHeight="true" outlineLevel="0" collapsed="false">
      <c r="A299" s="152"/>
      <c r="B299" s="153" t="s">
        <v>602</v>
      </c>
      <c r="C299" s="154" t="s">
        <v>603</v>
      </c>
      <c r="D299" s="156" t="s">
        <v>715</v>
      </c>
      <c r="E299" s="191" t="n">
        <v>2708</v>
      </c>
      <c r="F299" s="156" t="s">
        <v>714</v>
      </c>
      <c r="G299" s="157"/>
      <c r="H299" s="163"/>
      <c r="I299" s="153" t="s">
        <v>589</v>
      </c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customFormat="false" ht="15.75" hidden="false" customHeight="true" outlineLevel="0" collapsed="false">
      <c r="A300" s="152"/>
      <c r="B300" s="153" t="s">
        <v>605</v>
      </c>
      <c r="C300" s="154" t="s">
        <v>716</v>
      </c>
      <c r="D300" s="156" t="s">
        <v>717</v>
      </c>
      <c r="E300" s="191" t="n">
        <v>2708</v>
      </c>
      <c r="F300" s="156" t="s">
        <v>718</v>
      </c>
      <c r="G300" s="157"/>
      <c r="H300" s="163"/>
      <c r="I300" s="153" t="s">
        <v>554</v>
      </c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customFormat="false" ht="15.75" hidden="false" customHeight="true" outlineLevel="0" collapsed="false">
      <c r="A301" s="152"/>
      <c r="B301" s="153" t="s">
        <v>609</v>
      </c>
      <c r="C301" s="154" t="s">
        <v>719</v>
      </c>
      <c r="D301" s="156" t="s">
        <v>720</v>
      </c>
      <c r="E301" s="191" t="n">
        <v>2708</v>
      </c>
      <c r="F301" s="156" t="s">
        <v>721</v>
      </c>
      <c r="G301" s="157"/>
      <c r="H301" s="163"/>
      <c r="I301" s="153" t="s">
        <v>554</v>
      </c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customFormat="false" ht="15.75" hidden="false" customHeight="true" outlineLevel="0" collapsed="false">
      <c r="A302" s="152"/>
      <c r="B302" s="153" t="s">
        <v>613</v>
      </c>
      <c r="C302" s="154" t="s">
        <v>719</v>
      </c>
      <c r="D302" s="156" t="s">
        <v>722</v>
      </c>
      <c r="E302" s="191" t="n">
        <v>2708</v>
      </c>
      <c r="F302" s="156" t="s">
        <v>721</v>
      </c>
      <c r="G302" s="157"/>
      <c r="H302" s="163"/>
      <c r="I302" s="153" t="s">
        <v>554</v>
      </c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customFormat="false" ht="15.75" hidden="false" customHeight="true" outlineLevel="0" collapsed="false">
      <c r="A303" s="152"/>
      <c r="B303" s="153" t="s">
        <v>615</v>
      </c>
      <c r="C303" s="154" t="s">
        <v>660</v>
      </c>
      <c r="D303" s="156" t="s">
        <v>723</v>
      </c>
      <c r="E303" s="191" t="n">
        <v>2708</v>
      </c>
      <c r="F303" s="156" t="s">
        <v>695</v>
      </c>
      <c r="G303" s="157"/>
      <c r="H303" s="163"/>
      <c r="I303" s="153" t="s">
        <v>554</v>
      </c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customFormat="false" ht="15.75" hidden="false" customHeight="true" outlineLevel="0" collapsed="false">
      <c r="A304" s="152"/>
      <c r="B304" s="153" t="s">
        <v>618</v>
      </c>
      <c r="C304" s="154" t="s">
        <v>662</v>
      </c>
      <c r="D304" s="156" t="s">
        <v>724</v>
      </c>
      <c r="E304" s="191" t="n">
        <v>2708</v>
      </c>
      <c r="F304" s="156" t="s">
        <v>695</v>
      </c>
      <c r="G304" s="157"/>
      <c r="H304" s="163"/>
      <c r="I304" s="153" t="s">
        <v>554</v>
      </c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customFormat="false" ht="15.75" hidden="false" customHeight="true" outlineLevel="0" collapsed="false">
      <c r="A305" s="152"/>
      <c r="B305" s="153" t="s">
        <v>621</v>
      </c>
      <c r="C305" s="154" t="s">
        <v>691</v>
      </c>
      <c r="D305" s="156" t="s">
        <v>725</v>
      </c>
      <c r="E305" s="191" t="n">
        <v>2708</v>
      </c>
      <c r="F305" s="156" t="s">
        <v>695</v>
      </c>
      <c r="G305" s="157"/>
      <c r="H305" s="163"/>
      <c r="I305" s="153" t="s">
        <v>554</v>
      </c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customFormat="false" ht="15.75" hidden="false" customHeight="true" outlineLevel="0" collapsed="false">
      <c r="A306" s="152"/>
      <c r="B306" s="153" t="s">
        <v>624</v>
      </c>
      <c r="C306" s="154" t="s">
        <v>691</v>
      </c>
      <c r="D306" s="156" t="s">
        <v>726</v>
      </c>
      <c r="E306" s="191" t="n">
        <v>2708</v>
      </c>
      <c r="F306" s="156" t="s">
        <v>695</v>
      </c>
      <c r="G306" s="157"/>
      <c r="H306" s="163"/>
      <c r="I306" s="153" t="s">
        <v>554</v>
      </c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customFormat="false" ht="15.75" hidden="false" customHeight="true" outlineLevel="0" collapsed="false">
      <c r="A307" s="152"/>
      <c r="B307" s="153" t="s">
        <v>626</v>
      </c>
      <c r="C307" s="154" t="s">
        <v>727</v>
      </c>
      <c r="D307" s="156" t="s">
        <v>728</v>
      </c>
      <c r="E307" s="191" t="n">
        <v>2708</v>
      </c>
      <c r="F307" s="156" t="s">
        <v>695</v>
      </c>
      <c r="G307" s="157"/>
      <c r="H307" s="163"/>
      <c r="I307" s="153" t="s">
        <v>554</v>
      </c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customFormat="false" ht="15.75" hidden="false" customHeight="true" outlineLevel="0" collapsed="false">
      <c r="A308" s="152"/>
      <c r="B308" s="153" t="s">
        <v>629</v>
      </c>
      <c r="C308" s="154" t="s">
        <v>727</v>
      </c>
      <c r="D308" s="156" t="s">
        <v>729</v>
      </c>
      <c r="E308" s="191" t="n">
        <v>2708</v>
      </c>
      <c r="F308" s="156" t="s">
        <v>695</v>
      </c>
      <c r="G308" s="157"/>
      <c r="H308" s="163"/>
      <c r="I308" s="153" t="s">
        <v>554</v>
      </c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customFormat="false" ht="15.75" hidden="false" customHeight="true" outlineLevel="0" collapsed="false">
      <c r="A309" s="152"/>
      <c r="B309" s="153"/>
      <c r="C309" s="153"/>
      <c r="D309" s="153"/>
      <c r="E309" s="153"/>
      <c r="F309" s="153"/>
      <c r="G309" s="153"/>
      <c r="H309" s="153"/>
      <c r="I309" s="153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customFormat="false" ht="15.75" hidden="false" customHeight="true" outlineLevel="0" collapsed="false">
      <c r="A310" s="152"/>
      <c r="B310" s="153" t="s">
        <v>550</v>
      </c>
      <c r="C310" s="154" t="s">
        <v>551</v>
      </c>
      <c r="D310" s="161" t="s">
        <v>730</v>
      </c>
      <c r="E310" s="154" t="n">
        <v>2719</v>
      </c>
      <c r="F310" s="161" t="s">
        <v>731</v>
      </c>
      <c r="G310" s="162"/>
      <c r="H310" s="163"/>
      <c r="I310" s="153" t="s">
        <v>554</v>
      </c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customFormat="false" ht="15.75" hidden="false" customHeight="true" outlineLevel="0" collapsed="false">
      <c r="A311" s="152"/>
      <c r="B311" s="153" t="s">
        <v>555</v>
      </c>
      <c r="C311" s="154" t="s">
        <v>556</v>
      </c>
      <c r="D311" s="161" t="s">
        <v>732</v>
      </c>
      <c r="E311" s="154" t="n">
        <v>2719</v>
      </c>
      <c r="F311" s="161" t="s">
        <v>733</v>
      </c>
      <c r="G311" s="162"/>
      <c r="H311" s="163"/>
      <c r="I311" s="153" t="s">
        <v>633</v>
      </c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customFormat="false" ht="15.75" hidden="false" customHeight="true" outlineLevel="0" collapsed="false">
      <c r="A312" s="152"/>
      <c r="B312" s="153" t="s">
        <v>561</v>
      </c>
      <c r="C312" s="154" t="s">
        <v>556</v>
      </c>
      <c r="D312" s="161" t="s">
        <v>734</v>
      </c>
      <c r="E312" s="154" t="n">
        <v>2719</v>
      </c>
      <c r="F312" s="156" t="s">
        <v>735</v>
      </c>
      <c r="G312" s="157"/>
      <c r="H312" s="163"/>
      <c r="I312" s="153" t="s">
        <v>633</v>
      </c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customFormat="false" ht="15.75" hidden="false" customHeight="true" outlineLevel="0" collapsed="false">
      <c r="A313" s="152"/>
      <c r="B313" s="153" t="s">
        <v>563</v>
      </c>
      <c r="C313" s="154"/>
      <c r="D313" s="161"/>
      <c r="E313" s="154" t="n">
        <v>2719</v>
      </c>
      <c r="F313" s="161"/>
      <c r="G313" s="162"/>
      <c r="H313" s="163"/>
      <c r="I313" s="188" t="s">
        <v>567</v>
      </c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customFormat="false" ht="15.75" hidden="false" customHeight="true" outlineLevel="0" collapsed="false">
      <c r="A314" s="152"/>
      <c r="B314" s="153" t="s">
        <v>568</v>
      </c>
      <c r="C314" s="154" t="s">
        <v>736</v>
      </c>
      <c r="D314" s="161" t="s">
        <v>737</v>
      </c>
      <c r="E314" s="154" t="n">
        <v>2719</v>
      </c>
      <c r="F314" s="161" t="s">
        <v>738</v>
      </c>
      <c r="G314" s="162"/>
      <c r="H314" s="163"/>
      <c r="I314" s="188" t="s">
        <v>572</v>
      </c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customFormat="false" ht="15.75" hidden="false" customHeight="true" outlineLevel="0" collapsed="false">
      <c r="A315" s="152"/>
      <c r="B315" s="153" t="s">
        <v>573</v>
      </c>
      <c r="C315" s="154" t="s">
        <v>641</v>
      </c>
      <c r="D315" s="161" t="s">
        <v>739</v>
      </c>
      <c r="E315" s="154" t="n">
        <v>2719</v>
      </c>
      <c r="F315" s="161" t="s">
        <v>740</v>
      </c>
      <c r="G315" s="162"/>
      <c r="H315" s="163"/>
      <c r="I315" s="188" t="s">
        <v>577</v>
      </c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customFormat="false" ht="15.75" hidden="false" customHeight="true" outlineLevel="0" collapsed="false">
      <c r="A316" s="152"/>
      <c r="B316" s="153" t="s">
        <v>578</v>
      </c>
      <c r="C316" s="154" t="s">
        <v>676</v>
      </c>
      <c r="D316" s="161" t="s">
        <v>710</v>
      </c>
      <c r="E316" s="154" t="n">
        <v>2719</v>
      </c>
      <c r="F316" s="161" t="s">
        <v>741</v>
      </c>
      <c r="G316" s="162"/>
      <c r="H316" s="163"/>
      <c r="I316" s="188" t="s">
        <v>577</v>
      </c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customFormat="false" ht="15.75" hidden="false" customHeight="true" outlineLevel="0" collapsed="false">
      <c r="A317" s="152"/>
      <c r="B317" s="153" t="s">
        <v>581</v>
      </c>
      <c r="C317" s="154" t="s">
        <v>582</v>
      </c>
      <c r="D317" s="161" t="s">
        <v>742</v>
      </c>
      <c r="E317" s="154" t="n">
        <v>2719</v>
      </c>
      <c r="F317" s="161" t="s">
        <v>740</v>
      </c>
      <c r="G317" s="162"/>
      <c r="H317" s="163"/>
      <c r="I317" s="153" t="s">
        <v>577</v>
      </c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customFormat="false" ht="15.75" hidden="false" customHeight="true" outlineLevel="0" collapsed="false">
      <c r="A318" s="152"/>
      <c r="B318" s="153" t="s">
        <v>585</v>
      </c>
      <c r="C318" s="154" t="s">
        <v>586</v>
      </c>
      <c r="D318" s="185" t="s">
        <v>743</v>
      </c>
      <c r="E318" s="154" t="n">
        <v>2719</v>
      </c>
      <c r="F318" s="184" t="s">
        <v>744</v>
      </c>
      <c r="G318" s="164" t="s">
        <v>745</v>
      </c>
      <c r="H318" s="163"/>
      <c r="I318" s="153" t="s">
        <v>589</v>
      </c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customFormat="false" ht="15.75" hidden="false" customHeight="true" outlineLevel="0" collapsed="false">
      <c r="A319" s="152"/>
      <c r="B319" s="153" t="s">
        <v>590</v>
      </c>
      <c r="C319" s="154" t="s">
        <v>591</v>
      </c>
      <c r="D319" s="185" t="s">
        <v>746</v>
      </c>
      <c r="E319" s="154" t="n">
        <v>2719</v>
      </c>
      <c r="F319" s="184" t="s">
        <v>744</v>
      </c>
      <c r="G319" s="164"/>
      <c r="H319" s="163"/>
      <c r="I319" s="153" t="s">
        <v>589</v>
      </c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customFormat="false" ht="15.75" hidden="false" customHeight="true" outlineLevel="0" collapsed="false">
      <c r="A320" s="152"/>
      <c r="B320" s="153" t="s">
        <v>593</v>
      </c>
      <c r="C320" s="154" t="s">
        <v>586</v>
      </c>
      <c r="D320" s="161" t="s">
        <v>747</v>
      </c>
      <c r="E320" s="154" t="n">
        <v>2719</v>
      </c>
      <c r="F320" s="154" t="s">
        <v>748</v>
      </c>
      <c r="G320" s="157"/>
      <c r="H320" s="163"/>
      <c r="I320" s="153" t="s">
        <v>589</v>
      </c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customFormat="false" ht="15.75" hidden="false" customHeight="true" outlineLevel="0" collapsed="false">
      <c r="A321" s="152"/>
      <c r="B321" s="153" t="s">
        <v>596</v>
      </c>
      <c r="C321" s="154" t="s">
        <v>591</v>
      </c>
      <c r="D321" s="161" t="s">
        <v>669</v>
      </c>
      <c r="E321" s="154" t="n">
        <v>2719</v>
      </c>
      <c r="F321" s="154" t="s">
        <v>748</v>
      </c>
      <c r="G321" s="162"/>
      <c r="H321" s="163"/>
      <c r="I321" s="153" t="s">
        <v>589</v>
      </c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customFormat="false" ht="15.75" hidden="false" customHeight="true" outlineLevel="0" collapsed="false">
      <c r="A322" s="152"/>
      <c r="B322" s="153" t="s">
        <v>598</v>
      </c>
      <c r="C322" s="154" t="s">
        <v>599</v>
      </c>
      <c r="D322" s="156" t="s">
        <v>749</v>
      </c>
      <c r="E322" s="154" t="n">
        <v>2719</v>
      </c>
      <c r="F322" s="164" t="s">
        <v>750</v>
      </c>
      <c r="G322" s="165" t="s">
        <v>442</v>
      </c>
      <c r="H322" s="163"/>
      <c r="I322" s="153" t="s">
        <v>589</v>
      </c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customFormat="false" ht="15.75" hidden="false" customHeight="true" outlineLevel="0" collapsed="false">
      <c r="A323" s="152"/>
      <c r="B323" s="153" t="s">
        <v>602</v>
      </c>
      <c r="C323" s="154" t="s">
        <v>603</v>
      </c>
      <c r="D323" s="156" t="s">
        <v>751</v>
      </c>
      <c r="E323" s="154" t="n">
        <v>2719</v>
      </c>
      <c r="F323" s="164" t="s">
        <v>750</v>
      </c>
      <c r="G323" s="165"/>
      <c r="H323" s="163"/>
      <c r="I323" s="153" t="s">
        <v>589</v>
      </c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customFormat="false" ht="15.75" hidden="false" customHeight="true" outlineLevel="0" collapsed="false">
      <c r="A324" s="152"/>
      <c r="B324" s="153" t="s">
        <v>605</v>
      </c>
      <c r="C324" s="154" t="s">
        <v>752</v>
      </c>
      <c r="D324" s="161" t="s">
        <v>753</v>
      </c>
      <c r="E324" s="154" t="n">
        <v>2719</v>
      </c>
      <c r="F324" s="161" t="s">
        <v>754</v>
      </c>
      <c r="G324" s="162"/>
      <c r="H324" s="163"/>
      <c r="I324" s="153" t="s">
        <v>554</v>
      </c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customFormat="false" ht="15.75" hidden="false" customHeight="true" outlineLevel="0" collapsed="false">
      <c r="A325" s="152"/>
      <c r="B325" s="153" t="s">
        <v>609</v>
      </c>
      <c r="C325" s="154" t="s">
        <v>755</v>
      </c>
      <c r="D325" s="161" t="s">
        <v>756</v>
      </c>
      <c r="E325" s="154" t="n">
        <v>2719</v>
      </c>
      <c r="F325" s="161" t="s">
        <v>757</v>
      </c>
      <c r="G325" s="162"/>
      <c r="H325" s="163"/>
      <c r="I325" s="153" t="s">
        <v>554</v>
      </c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customFormat="false" ht="15.75" hidden="false" customHeight="true" outlineLevel="0" collapsed="false">
      <c r="A326" s="152"/>
      <c r="B326" s="153" t="s">
        <v>613</v>
      </c>
      <c r="C326" s="154" t="s">
        <v>758</v>
      </c>
      <c r="D326" s="161" t="s">
        <v>759</v>
      </c>
      <c r="E326" s="154" t="n">
        <v>2719</v>
      </c>
      <c r="F326" s="161" t="s">
        <v>760</v>
      </c>
      <c r="G326" s="157"/>
      <c r="H326" s="163"/>
      <c r="I326" s="153" t="s">
        <v>554</v>
      </c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customFormat="false" ht="15.75" hidden="false" customHeight="true" outlineLevel="0" collapsed="false">
      <c r="A327" s="152"/>
      <c r="B327" s="153" t="s">
        <v>615</v>
      </c>
      <c r="C327" s="154" t="s">
        <v>660</v>
      </c>
      <c r="D327" s="161" t="s">
        <v>761</v>
      </c>
      <c r="E327" s="154" t="n">
        <v>2719</v>
      </c>
      <c r="F327" s="161" t="s">
        <v>762</v>
      </c>
      <c r="G327" s="162"/>
      <c r="H327" s="163"/>
      <c r="I327" s="153" t="s">
        <v>554</v>
      </c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customFormat="false" ht="15.75" hidden="false" customHeight="true" outlineLevel="0" collapsed="false">
      <c r="A328" s="152"/>
      <c r="B328" s="153" t="s">
        <v>618</v>
      </c>
      <c r="C328" s="154" t="s">
        <v>619</v>
      </c>
      <c r="D328" s="161" t="s">
        <v>763</v>
      </c>
      <c r="E328" s="154" t="n">
        <v>2719</v>
      </c>
      <c r="F328" s="161" t="s">
        <v>764</v>
      </c>
      <c r="G328" s="162"/>
      <c r="H328" s="163"/>
      <c r="I328" s="153" t="s">
        <v>554</v>
      </c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customFormat="false" ht="15.75" hidden="false" customHeight="true" outlineLevel="0" collapsed="false">
      <c r="A329" s="152"/>
      <c r="B329" s="153" t="s">
        <v>621</v>
      </c>
      <c r="C329" s="154" t="s">
        <v>665</v>
      </c>
      <c r="D329" s="161" t="s">
        <v>765</v>
      </c>
      <c r="E329" s="154" t="n">
        <v>2719</v>
      </c>
      <c r="F329" s="161" t="s">
        <v>766</v>
      </c>
      <c r="G329" s="162"/>
      <c r="H329" s="163"/>
      <c r="I329" s="153" t="s">
        <v>554</v>
      </c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customFormat="false" ht="15.75" hidden="false" customHeight="true" outlineLevel="0" collapsed="false">
      <c r="A330" s="152"/>
      <c r="B330" s="153" t="s">
        <v>624</v>
      </c>
      <c r="C330" s="154" t="s">
        <v>622</v>
      </c>
      <c r="D330" s="161" t="s">
        <v>767</v>
      </c>
      <c r="E330" s="154" t="n">
        <v>2719</v>
      </c>
      <c r="F330" s="161" t="s">
        <v>768</v>
      </c>
      <c r="G330" s="162"/>
      <c r="H330" s="163"/>
      <c r="I330" s="153" t="s">
        <v>554</v>
      </c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customFormat="false" ht="15.75" hidden="false" customHeight="true" outlineLevel="0" collapsed="false">
      <c r="A331" s="152"/>
      <c r="B331" s="153" t="s">
        <v>626</v>
      </c>
      <c r="C331" s="154" t="s">
        <v>668</v>
      </c>
      <c r="D331" s="161" t="s">
        <v>769</v>
      </c>
      <c r="E331" s="154" t="n">
        <v>2719</v>
      </c>
      <c r="F331" s="161" t="s">
        <v>770</v>
      </c>
      <c r="G331" s="162"/>
      <c r="H331" s="163"/>
      <c r="I331" s="153" t="s">
        <v>554</v>
      </c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customFormat="false" ht="15.75" hidden="false" customHeight="true" outlineLevel="0" collapsed="false">
      <c r="A332" s="152"/>
      <c r="B332" s="153" t="s">
        <v>629</v>
      </c>
      <c r="C332" s="154" t="s">
        <v>668</v>
      </c>
      <c r="D332" s="161" t="s">
        <v>771</v>
      </c>
      <c r="E332" s="154" t="n">
        <v>2719</v>
      </c>
      <c r="F332" s="161" t="s">
        <v>770</v>
      </c>
      <c r="G332" s="162"/>
      <c r="H332" s="163"/>
      <c r="I332" s="153" t="s">
        <v>554</v>
      </c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customFormat="false" ht="15.75" hidden="false" customHeight="true" outlineLevel="0" collapsed="false">
      <c r="A333" s="152"/>
      <c r="B333" s="163"/>
      <c r="C333" s="163"/>
      <c r="D333" s="163"/>
      <c r="E333" s="163"/>
      <c r="F333" s="163"/>
      <c r="G333" s="163"/>
      <c r="H333" s="163"/>
      <c r="I333" s="163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customFormat="false" ht="15.75" hidden="true" customHeight="true" outlineLevel="0" collapsed="false">
      <c r="A334" s="152"/>
      <c r="B334" s="153" t="s">
        <v>550</v>
      </c>
      <c r="C334" s="154" t="s">
        <v>551</v>
      </c>
      <c r="D334" s="155"/>
      <c r="E334" s="155" t="n">
        <v>2721</v>
      </c>
      <c r="F334" s="155"/>
      <c r="G334" s="155"/>
      <c r="H334" s="163"/>
      <c r="I334" s="153" t="s">
        <v>554</v>
      </c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customFormat="false" ht="15.75" hidden="true" customHeight="true" outlineLevel="0" collapsed="false">
      <c r="A335" s="152"/>
      <c r="B335" s="153" t="s">
        <v>555</v>
      </c>
      <c r="C335" s="154" t="s">
        <v>556</v>
      </c>
      <c r="D335" s="192" t="n">
        <v>285377</v>
      </c>
      <c r="E335" s="155" t="n">
        <v>2721</v>
      </c>
      <c r="F335" s="155" t="s">
        <v>772</v>
      </c>
      <c r="G335" s="155"/>
      <c r="H335" s="163"/>
      <c r="I335" s="153" t="s">
        <v>560</v>
      </c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customFormat="false" ht="15.75" hidden="true" customHeight="true" outlineLevel="0" collapsed="false">
      <c r="A336" s="152"/>
      <c r="B336" s="153" t="s">
        <v>561</v>
      </c>
      <c r="C336" s="154" t="s">
        <v>556</v>
      </c>
      <c r="D336" s="192" t="n">
        <v>278802</v>
      </c>
      <c r="E336" s="155" t="n">
        <v>2721</v>
      </c>
      <c r="F336" s="155" t="s">
        <v>772</v>
      </c>
      <c r="G336" s="155"/>
      <c r="H336" s="163"/>
      <c r="I336" s="153" t="s">
        <v>560</v>
      </c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customFormat="false" ht="15.75" hidden="true" customHeight="true" outlineLevel="0" collapsed="false">
      <c r="A337" s="152"/>
      <c r="B337" s="153" t="s">
        <v>563</v>
      </c>
      <c r="C337" s="154" t="s">
        <v>773</v>
      </c>
      <c r="D337" s="155" t="s">
        <v>774</v>
      </c>
      <c r="E337" s="155" t="n">
        <v>2721</v>
      </c>
      <c r="F337" s="155" t="s">
        <v>775</v>
      </c>
      <c r="G337" s="155"/>
      <c r="H337" s="163"/>
      <c r="I337" s="188" t="s">
        <v>567</v>
      </c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customFormat="false" ht="15.75" hidden="true" customHeight="true" outlineLevel="0" collapsed="false">
      <c r="A338" s="152"/>
      <c r="B338" s="153" t="s">
        <v>568</v>
      </c>
      <c r="C338" s="154" t="s">
        <v>569</v>
      </c>
      <c r="D338" s="155" t="s">
        <v>776</v>
      </c>
      <c r="E338" s="155" t="n">
        <v>2721</v>
      </c>
      <c r="F338" s="155" t="s">
        <v>777</v>
      </c>
      <c r="G338" s="155"/>
      <c r="H338" s="163"/>
      <c r="I338" s="188" t="s">
        <v>572</v>
      </c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customFormat="false" ht="15.75" hidden="true" customHeight="true" outlineLevel="0" collapsed="false">
      <c r="A339" s="152"/>
      <c r="B339" s="153" t="s">
        <v>573</v>
      </c>
      <c r="C339" s="154" t="s">
        <v>778</v>
      </c>
      <c r="D339" s="162" t="s">
        <v>620</v>
      </c>
      <c r="E339" s="155" t="n">
        <v>2721</v>
      </c>
      <c r="F339" s="155" t="s">
        <v>779</v>
      </c>
      <c r="G339" s="155"/>
      <c r="H339" s="163"/>
      <c r="I339" s="188" t="s">
        <v>577</v>
      </c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customFormat="false" ht="15.75" hidden="true" customHeight="true" outlineLevel="0" collapsed="false">
      <c r="A340" s="152"/>
      <c r="B340" s="153" t="s">
        <v>578</v>
      </c>
      <c r="C340" s="154" t="s">
        <v>676</v>
      </c>
      <c r="D340" s="162" t="s">
        <v>625</v>
      </c>
      <c r="E340" s="155" t="n">
        <v>2721</v>
      </c>
      <c r="F340" s="155" t="s">
        <v>779</v>
      </c>
      <c r="G340" s="155"/>
      <c r="H340" s="163"/>
      <c r="I340" s="188" t="s">
        <v>577</v>
      </c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customFormat="false" ht="15.75" hidden="true" customHeight="true" outlineLevel="0" collapsed="false">
      <c r="A341" s="152"/>
      <c r="B341" s="153" t="s">
        <v>581</v>
      </c>
      <c r="C341" s="154" t="s">
        <v>678</v>
      </c>
      <c r="D341" s="155" t="n">
        <v>717</v>
      </c>
      <c r="E341" s="155" t="n">
        <v>2721</v>
      </c>
      <c r="F341" s="155" t="s">
        <v>780</v>
      </c>
      <c r="G341" s="155"/>
      <c r="H341" s="163"/>
      <c r="I341" s="153" t="s">
        <v>577</v>
      </c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customFormat="false" ht="15.75" hidden="true" customHeight="true" outlineLevel="0" collapsed="false">
      <c r="A342" s="152"/>
      <c r="B342" s="153" t="s">
        <v>585</v>
      </c>
      <c r="C342" s="154" t="s">
        <v>586</v>
      </c>
      <c r="D342" s="155" t="n">
        <v>966</v>
      </c>
      <c r="E342" s="155" t="n">
        <v>2721</v>
      </c>
      <c r="F342" s="155" t="s">
        <v>781</v>
      </c>
      <c r="G342" s="155"/>
      <c r="H342" s="163"/>
      <c r="I342" s="153" t="s">
        <v>589</v>
      </c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customFormat="false" ht="15.75" hidden="true" customHeight="true" outlineLevel="0" collapsed="false">
      <c r="A343" s="152"/>
      <c r="B343" s="153" t="s">
        <v>590</v>
      </c>
      <c r="C343" s="154" t="s">
        <v>591</v>
      </c>
      <c r="D343" s="155" t="n">
        <v>277</v>
      </c>
      <c r="E343" s="155" t="n">
        <v>2721</v>
      </c>
      <c r="F343" s="155" t="s">
        <v>782</v>
      </c>
      <c r="G343" s="155"/>
      <c r="H343" s="163"/>
      <c r="I343" s="153" t="s">
        <v>589</v>
      </c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customFormat="false" ht="15.75" hidden="true" customHeight="true" outlineLevel="0" collapsed="false">
      <c r="A344" s="152"/>
      <c r="B344" s="153" t="s">
        <v>593</v>
      </c>
      <c r="C344" s="154" t="s">
        <v>586</v>
      </c>
      <c r="D344" s="162" t="s">
        <v>783</v>
      </c>
      <c r="E344" s="155" t="n">
        <v>2721</v>
      </c>
      <c r="F344" s="155" t="s">
        <v>782</v>
      </c>
      <c r="G344" s="155"/>
      <c r="H344" s="163"/>
      <c r="I344" s="153" t="s">
        <v>589</v>
      </c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customFormat="false" ht="15.75" hidden="true" customHeight="true" outlineLevel="0" collapsed="false">
      <c r="A345" s="152"/>
      <c r="B345" s="153" t="s">
        <v>596</v>
      </c>
      <c r="C345" s="154" t="s">
        <v>591</v>
      </c>
      <c r="D345" s="155" t="n">
        <v>291</v>
      </c>
      <c r="E345" s="155" t="n">
        <v>2721</v>
      </c>
      <c r="F345" s="155" t="s">
        <v>784</v>
      </c>
      <c r="G345" s="155"/>
      <c r="H345" s="163"/>
      <c r="I345" s="153" t="s">
        <v>589</v>
      </c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customFormat="false" ht="15.75" hidden="true" customHeight="true" outlineLevel="0" collapsed="false">
      <c r="A346" s="152"/>
      <c r="B346" s="153" t="s">
        <v>598</v>
      </c>
      <c r="C346" s="154" t="s">
        <v>599</v>
      </c>
      <c r="D346" s="155" t="s">
        <v>600</v>
      </c>
      <c r="E346" s="155" t="n">
        <v>2721</v>
      </c>
      <c r="F346" s="155" t="s">
        <v>785</v>
      </c>
      <c r="G346" s="155"/>
      <c r="H346" s="163"/>
      <c r="I346" s="153" t="s">
        <v>589</v>
      </c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customFormat="false" ht="15.75" hidden="true" customHeight="true" outlineLevel="0" collapsed="false">
      <c r="A347" s="152"/>
      <c r="B347" s="153" t="s">
        <v>602</v>
      </c>
      <c r="C347" s="154" t="s">
        <v>603</v>
      </c>
      <c r="D347" s="155" t="s">
        <v>604</v>
      </c>
      <c r="E347" s="155" t="n">
        <v>2721</v>
      </c>
      <c r="F347" s="155" t="s">
        <v>785</v>
      </c>
      <c r="G347" s="155"/>
      <c r="H347" s="163"/>
      <c r="I347" s="153" t="s">
        <v>589</v>
      </c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customFormat="false" ht="15.75" hidden="true" customHeight="true" outlineLevel="0" collapsed="false">
      <c r="A348" s="152"/>
      <c r="B348" s="153" t="s">
        <v>605</v>
      </c>
      <c r="C348" s="154" t="s">
        <v>654</v>
      </c>
      <c r="D348" s="155" t="n">
        <v>909</v>
      </c>
      <c r="E348" s="155" t="n">
        <v>2721</v>
      </c>
      <c r="F348" s="155" t="s">
        <v>786</v>
      </c>
      <c r="G348" s="155"/>
      <c r="H348" s="163"/>
      <c r="I348" s="153" t="s">
        <v>554</v>
      </c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customFormat="false" ht="15.75" hidden="true" customHeight="true" outlineLevel="0" collapsed="false">
      <c r="A349" s="152"/>
      <c r="B349" s="153" t="s">
        <v>609</v>
      </c>
      <c r="C349" s="154" t="s">
        <v>657</v>
      </c>
      <c r="D349" s="155" t="n">
        <v>2168</v>
      </c>
      <c r="E349" s="155" t="n">
        <v>2721</v>
      </c>
      <c r="F349" s="155" t="s">
        <v>787</v>
      </c>
      <c r="G349" s="155"/>
      <c r="H349" s="163"/>
      <c r="I349" s="153" t="s">
        <v>554</v>
      </c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customFormat="false" ht="15.75" hidden="true" customHeight="true" outlineLevel="0" collapsed="false">
      <c r="A350" s="152"/>
      <c r="B350" s="153" t="s">
        <v>613</v>
      </c>
      <c r="C350" s="154" t="s">
        <v>657</v>
      </c>
      <c r="D350" s="155" t="n">
        <v>2121</v>
      </c>
      <c r="E350" s="155" t="n">
        <v>2721</v>
      </c>
      <c r="F350" s="155" t="s">
        <v>787</v>
      </c>
      <c r="G350" s="155"/>
      <c r="H350" s="163"/>
      <c r="I350" s="153" t="s">
        <v>554</v>
      </c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customFormat="false" ht="15.75" hidden="true" customHeight="true" outlineLevel="0" collapsed="false">
      <c r="A351" s="152"/>
      <c r="B351" s="153" t="s">
        <v>615</v>
      </c>
      <c r="C351" s="154" t="s">
        <v>616</v>
      </c>
      <c r="D351" s="162" t="s">
        <v>788</v>
      </c>
      <c r="E351" s="155" t="n">
        <v>2721</v>
      </c>
      <c r="F351" s="155" t="s">
        <v>789</v>
      </c>
      <c r="G351" s="155"/>
      <c r="H351" s="163"/>
      <c r="I351" s="153" t="s">
        <v>554</v>
      </c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customFormat="false" ht="15.75" hidden="true" customHeight="true" outlineLevel="0" collapsed="false">
      <c r="A352" s="152"/>
      <c r="B352" s="153" t="s">
        <v>618</v>
      </c>
      <c r="C352" s="154" t="s">
        <v>790</v>
      </c>
      <c r="D352" s="155" t="s">
        <v>791</v>
      </c>
      <c r="E352" s="155" t="n">
        <v>2721</v>
      </c>
      <c r="F352" s="155" t="s">
        <v>792</v>
      </c>
      <c r="G352" s="155"/>
      <c r="H352" s="163"/>
      <c r="I352" s="153" t="s">
        <v>554</v>
      </c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customFormat="false" ht="15.75" hidden="true" customHeight="true" outlineLevel="0" collapsed="false">
      <c r="A353" s="152"/>
      <c r="B353" s="153" t="s">
        <v>621</v>
      </c>
      <c r="C353" s="154" t="s">
        <v>622</v>
      </c>
      <c r="D353" s="155" t="n">
        <v>21</v>
      </c>
      <c r="E353" s="155" t="n">
        <v>2721</v>
      </c>
      <c r="F353" s="155" t="s">
        <v>793</v>
      </c>
      <c r="G353" s="155"/>
      <c r="H353" s="163"/>
      <c r="I353" s="153" t="s">
        <v>554</v>
      </c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customFormat="false" ht="15.75" hidden="true" customHeight="true" outlineLevel="0" collapsed="false">
      <c r="A354" s="152"/>
      <c r="B354" s="153" t="s">
        <v>624</v>
      </c>
      <c r="C354" s="154" t="s">
        <v>665</v>
      </c>
      <c r="D354" s="155" t="n">
        <v>33</v>
      </c>
      <c r="E354" s="155" t="n">
        <v>2721</v>
      </c>
      <c r="F354" s="155" t="s">
        <v>794</v>
      </c>
      <c r="G354" s="155"/>
      <c r="H354" s="163"/>
      <c r="I354" s="153" t="s">
        <v>554</v>
      </c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customFormat="false" ht="15.75" hidden="true" customHeight="true" outlineLevel="0" collapsed="false">
      <c r="A355" s="152"/>
      <c r="B355" s="153" t="s">
        <v>626</v>
      </c>
      <c r="C355" s="154" t="s">
        <v>668</v>
      </c>
      <c r="D355" s="155" t="n">
        <v>30</v>
      </c>
      <c r="E355" s="155" t="n">
        <v>2721</v>
      </c>
      <c r="F355" s="155" t="s">
        <v>795</v>
      </c>
      <c r="G355" s="155"/>
      <c r="H355" s="163"/>
      <c r="I355" s="153" t="s">
        <v>554</v>
      </c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customFormat="false" ht="15.75" hidden="true" customHeight="true" outlineLevel="0" collapsed="false">
      <c r="A356" s="152"/>
      <c r="B356" s="153" t="s">
        <v>629</v>
      </c>
      <c r="C356" s="154" t="s">
        <v>627</v>
      </c>
      <c r="D356" s="155" t="n">
        <v>28</v>
      </c>
      <c r="E356" s="155" t="n">
        <v>2721</v>
      </c>
      <c r="F356" s="155" t="s">
        <v>796</v>
      </c>
      <c r="G356" s="155"/>
      <c r="H356" s="163"/>
      <c r="I356" s="153" t="s">
        <v>554</v>
      </c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customFormat="false" ht="15.75" hidden="true" customHeight="true" outlineLevel="0" collapsed="false">
      <c r="A357" s="152"/>
      <c r="B357" s="163"/>
      <c r="C357" s="163"/>
      <c r="D357" s="163"/>
      <c r="E357" s="163"/>
      <c r="F357" s="163"/>
      <c r="G357" s="163"/>
      <c r="H357" s="163"/>
      <c r="I357" s="163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customFormat="false" ht="15.75" hidden="false" customHeight="true" outlineLevel="0" collapsed="false">
      <c r="A358" s="152"/>
      <c r="B358" s="153" t="s">
        <v>550</v>
      </c>
      <c r="C358" s="154" t="s">
        <v>551</v>
      </c>
      <c r="D358" s="161" t="s">
        <v>651</v>
      </c>
      <c r="E358" s="154" t="n">
        <v>2722</v>
      </c>
      <c r="F358" s="161" t="s">
        <v>797</v>
      </c>
      <c r="G358" s="162"/>
      <c r="H358" s="163"/>
      <c r="I358" s="153" t="s">
        <v>554</v>
      </c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customFormat="false" ht="15.75" hidden="false" customHeight="true" outlineLevel="0" collapsed="false">
      <c r="A359" s="152"/>
      <c r="B359" s="153" t="s">
        <v>555</v>
      </c>
      <c r="C359" s="154" t="s">
        <v>556</v>
      </c>
      <c r="D359" s="161" t="s">
        <v>798</v>
      </c>
      <c r="E359" s="154" t="n">
        <v>2722</v>
      </c>
      <c r="F359" s="164" t="s">
        <v>799</v>
      </c>
      <c r="G359" s="165" t="s">
        <v>800</v>
      </c>
      <c r="H359" s="163"/>
      <c r="I359" s="153" t="s">
        <v>633</v>
      </c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customFormat="false" ht="15.75" hidden="false" customHeight="true" outlineLevel="0" collapsed="false">
      <c r="A360" s="152"/>
      <c r="B360" s="153" t="s">
        <v>561</v>
      </c>
      <c r="C360" s="154" t="s">
        <v>556</v>
      </c>
      <c r="D360" s="161" t="s">
        <v>801</v>
      </c>
      <c r="E360" s="154" t="n">
        <v>2722</v>
      </c>
      <c r="F360" s="164" t="s">
        <v>799</v>
      </c>
      <c r="G360" s="165"/>
      <c r="H360" s="163"/>
      <c r="I360" s="153" t="s">
        <v>633</v>
      </c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customFormat="false" ht="15.75" hidden="false" customHeight="true" outlineLevel="0" collapsed="false">
      <c r="A361" s="152"/>
      <c r="B361" s="153" t="s">
        <v>563</v>
      </c>
      <c r="C361" s="154" t="s">
        <v>564</v>
      </c>
      <c r="D361" s="161" t="s">
        <v>802</v>
      </c>
      <c r="E361" s="154" t="n">
        <v>2722</v>
      </c>
      <c r="F361" s="161" t="s">
        <v>803</v>
      </c>
      <c r="G361" s="162"/>
      <c r="H361" s="163"/>
      <c r="I361" s="188" t="s">
        <v>567</v>
      </c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customFormat="false" ht="15.75" hidden="false" customHeight="true" outlineLevel="0" collapsed="false">
      <c r="A362" s="152"/>
      <c r="B362" s="153" t="s">
        <v>568</v>
      </c>
      <c r="C362" s="154" t="s">
        <v>736</v>
      </c>
      <c r="D362" s="161" t="s">
        <v>804</v>
      </c>
      <c r="E362" s="154" t="n">
        <v>2722</v>
      </c>
      <c r="F362" s="161" t="s">
        <v>805</v>
      </c>
      <c r="G362" s="162"/>
      <c r="H362" s="163"/>
      <c r="I362" s="188" t="s">
        <v>572</v>
      </c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customFormat="false" ht="15.75" hidden="false" customHeight="true" outlineLevel="0" collapsed="false">
      <c r="A363" s="152"/>
      <c r="B363" s="153" t="s">
        <v>573</v>
      </c>
      <c r="C363" s="154" t="s">
        <v>641</v>
      </c>
      <c r="D363" s="162"/>
      <c r="E363" s="154" t="n">
        <v>2722</v>
      </c>
      <c r="F363" s="161" t="s">
        <v>806</v>
      </c>
      <c r="G363" s="162"/>
      <c r="H363" s="163"/>
      <c r="I363" s="188" t="s">
        <v>577</v>
      </c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customFormat="false" ht="15.75" hidden="false" customHeight="true" outlineLevel="0" collapsed="false">
      <c r="A364" s="152"/>
      <c r="B364" s="153" t="s">
        <v>578</v>
      </c>
      <c r="C364" s="154" t="s">
        <v>676</v>
      </c>
      <c r="D364" s="162"/>
      <c r="E364" s="154" t="n">
        <v>2722</v>
      </c>
      <c r="F364" s="161" t="s">
        <v>806</v>
      </c>
      <c r="G364" s="162"/>
      <c r="H364" s="163"/>
      <c r="I364" s="188" t="s">
        <v>577</v>
      </c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customFormat="false" ht="15.75" hidden="false" customHeight="true" outlineLevel="0" collapsed="false">
      <c r="A365" s="152"/>
      <c r="B365" s="153" t="s">
        <v>581</v>
      </c>
      <c r="C365" s="154" t="s">
        <v>582</v>
      </c>
      <c r="D365" s="162"/>
      <c r="E365" s="154" t="n">
        <v>2722</v>
      </c>
      <c r="F365" s="161" t="s">
        <v>806</v>
      </c>
      <c r="G365" s="162"/>
      <c r="H365" s="163"/>
      <c r="I365" s="153" t="s">
        <v>577</v>
      </c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customFormat="false" ht="15.75" hidden="false" customHeight="true" outlineLevel="0" collapsed="false">
      <c r="A366" s="152"/>
      <c r="B366" s="153" t="s">
        <v>585</v>
      </c>
      <c r="C366" s="154" t="s">
        <v>586</v>
      </c>
      <c r="D366" s="161" t="s">
        <v>788</v>
      </c>
      <c r="E366" s="154" t="n">
        <v>2722</v>
      </c>
      <c r="F366" s="156" t="s">
        <v>807</v>
      </c>
      <c r="G366" s="156"/>
      <c r="H366" s="170"/>
      <c r="I366" s="153" t="s">
        <v>589</v>
      </c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customFormat="false" ht="15.75" hidden="false" customHeight="true" outlineLevel="0" collapsed="false">
      <c r="A367" s="152"/>
      <c r="B367" s="153" t="s">
        <v>590</v>
      </c>
      <c r="C367" s="154" t="s">
        <v>591</v>
      </c>
      <c r="D367" s="161" t="s">
        <v>808</v>
      </c>
      <c r="E367" s="154" t="n">
        <v>2722</v>
      </c>
      <c r="F367" s="156" t="s">
        <v>807</v>
      </c>
      <c r="G367" s="156"/>
      <c r="H367" s="170"/>
      <c r="I367" s="153" t="s">
        <v>589</v>
      </c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customFormat="false" ht="15.75" hidden="false" customHeight="true" outlineLevel="0" collapsed="false">
      <c r="A368" s="152"/>
      <c r="B368" s="153" t="s">
        <v>593</v>
      </c>
      <c r="C368" s="154" t="s">
        <v>586</v>
      </c>
      <c r="D368" s="161" t="s">
        <v>809</v>
      </c>
      <c r="E368" s="154" t="n">
        <v>2722</v>
      </c>
      <c r="F368" s="156" t="s">
        <v>810</v>
      </c>
      <c r="G368" s="157"/>
      <c r="H368" s="163"/>
      <c r="I368" s="153" t="s">
        <v>589</v>
      </c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customFormat="false" ht="15.75" hidden="false" customHeight="true" outlineLevel="0" collapsed="false">
      <c r="A369" s="152"/>
      <c r="B369" s="153" t="s">
        <v>596</v>
      </c>
      <c r="C369" s="154" t="s">
        <v>591</v>
      </c>
      <c r="D369" s="161" t="s">
        <v>811</v>
      </c>
      <c r="E369" s="154" t="n">
        <v>2722</v>
      </c>
      <c r="F369" s="156" t="s">
        <v>810</v>
      </c>
      <c r="G369" s="157"/>
      <c r="H369" s="163"/>
      <c r="I369" s="153" t="s">
        <v>589</v>
      </c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customFormat="false" ht="15.75" hidden="false" customHeight="true" outlineLevel="0" collapsed="false">
      <c r="A370" s="152"/>
      <c r="B370" s="153" t="s">
        <v>598</v>
      </c>
      <c r="C370" s="154" t="s">
        <v>599</v>
      </c>
      <c r="D370" s="161" t="s">
        <v>812</v>
      </c>
      <c r="E370" s="154" t="n">
        <v>2722</v>
      </c>
      <c r="F370" s="156" t="s">
        <v>810</v>
      </c>
      <c r="G370" s="156"/>
      <c r="H370" s="163"/>
      <c r="I370" s="153" t="s">
        <v>589</v>
      </c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customFormat="false" ht="15.75" hidden="false" customHeight="true" outlineLevel="0" collapsed="false">
      <c r="A371" s="152"/>
      <c r="B371" s="153" t="s">
        <v>602</v>
      </c>
      <c r="C371" s="154" t="s">
        <v>603</v>
      </c>
      <c r="D371" s="161" t="s">
        <v>813</v>
      </c>
      <c r="E371" s="154" t="n">
        <v>2722</v>
      </c>
      <c r="F371" s="156" t="s">
        <v>810</v>
      </c>
      <c r="G371" s="156"/>
      <c r="H371" s="163"/>
      <c r="I371" s="153" t="s">
        <v>589</v>
      </c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customFormat="false" ht="15.75" hidden="false" customHeight="true" outlineLevel="0" collapsed="false">
      <c r="A372" s="152"/>
      <c r="B372" s="153" t="s">
        <v>605</v>
      </c>
      <c r="C372" s="154" t="s">
        <v>654</v>
      </c>
      <c r="D372" s="161" t="s">
        <v>814</v>
      </c>
      <c r="E372" s="154" t="n">
        <v>2722</v>
      </c>
      <c r="F372" s="161" t="s">
        <v>797</v>
      </c>
      <c r="G372" s="162"/>
      <c r="H372" s="163"/>
      <c r="I372" s="153" t="s">
        <v>554</v>
      </c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customFormat="false" ht="15.75" hidden="false" customHeight="true" outlineLevel="0" collapsed="false">
      <c r="A373" s="152"/>
      <c r="B373" s="153" t="s">
        <v>609</v>
      </c>
      <c r="C373" s="154" t="s">
        <v>657</v>
      </c>
      <c r="D373" s="161" t="s">
        <v>815</v>
      </c>
      <c r="E373" s="154" t="n">
        <v>2722</v>
      </c>
      <c r="F373" s="161" t="s">
        <v>797</v>
      </c>
      <c r="G373" s="162"/>
      <c r="H373" s="163"/>
      <c r="I373" s="153" t="s">
        <v>554</v>
      </c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customFormat="false" ht="15.75" hidden="false" customHeight="true" outlineLevel="0" collapsed="false">
      <c r="A374" s="152"/>
      <c r="B374" s="153" t="s">
        <v>613</v>
      </c>
      <c r="C374" s="154" t="s">
        <v>657</v>
      </c>
      <c r="D374" s="161" t="s">
        <v>816</v>
      </c>
      <c r="E374" s="154" t="n">
        <v>2722</v>
      </c>
      <c r="F374" s="161" t="s">
        <v>797</v>
      </c>
      <c r="G374" s="162"/>
      <c r="H374" s="163"/>
      <c r="I374" s="153" t="s">
        <v>554</v>
      </c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customFormat="false" ht="15.75" hidden="false" customHeight="true" outlineLevel="0" collapsed="false">
      <c r="A375" s="152"/>
      <c r="B375" s="153" t="s">
        <v>615</v>
      </c>
      <c r="C375" s="154" t="s">
        <v>660</v>
      </c>
      <c r="D375" s="161" t="s">
        <v>817</v>
      </c>
      <c r="E375" s="154" t="n">
        <v>2722</v>
      </c>
      <c r="F375" s="161" t="s">
        <v>797</v>
      </c>
      <c r="G375" s="162"/>
      <c r="H375" s="163"/>
      <c r="I375" s="153" t="s">
        <v>554</v>
      </c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customFormat="false" ht="15.75" hidden="false" customHeight="true" outlineLevel="0" collapsed="false">
      <c r="A376" s="152"/>
      <c r="B376" s="153" t="s">
        <v>618</v>
      </c>
      <c r="C376" s="154" t="s">
        <v>790</v>
      </c>
      <c r="D376" s="161" t="s">
        <v>818</v>
      </c>
      <c r="E376" s="154" t="n">
        <v>2722</v>
      </c>
      <c r="F376" s="161" t="s">
        <v>819</v>
      </c>
      <c r="G376" s="162"/>
      <c r="H376" s="163"/>
      <c r="I376" s="153" t="s">
        <v>554</v>
      </c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customFormat="false" ht="15.75" hidden="false" customHeight="true" outlineLevel="0" collapsed="false">
      <c r="A377" s="152"/>
      <c r="B377" s="153" t="s">
        <v>621</v>
      </c>
      <c r="C377" s="154" t="s">
        <v>691</v>
      </c>
      <c r="D377" s="161" t="s">
        <v>820</v>
      </c>
      <c r="E377" s="154" t="n">
        <v>2722</v>
      </c>
      <c r="F377" s="161" t="s">
        <v>797</v>
      </c>
      <c r="G377" s="162"/>
      <c r="H377" s="163"/>
      <c r="I377" s="153" t="s">
        <v>554</v>
      </c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customFormat="false" ht="15.75" hidden="false" customHeight="true" outlineLevel="0" collapsed="false">
      <c r="A378" s="152"/>
      <c r="B378" s="153" t="s">
        <v>624</v>
      </c>
      <c r="C378" s="154" t="s">
        <v>691</v>
      </c>
      <c r="D378" s="161" t="s">
        <v>821</v>
      </c>
      <c r="E378" s="154" t="n">
        <v>2722</v>
      </c>
      <c r="F378" s="161" t="s">
        <v>797</v>
      </c>
      <c r="G378" s="162"/>
      <c r="H378" s="163"/>
      <c r="I378" s="153" t="s">
        <v>554</v>
      </c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customFormat="false" ht="15.75" hidden="false" customHeight="true" outlineLevel="0" collapsed="false">
      <c r="A379" s="152"/>
      <c r="B379" s="153" t="s">
        <v>626</v>
      </c>
      <c r="C379" s="154" t="s">
        <v>727</v>
      </c>
      <c r="D379" s="161" t="s">
        <v>822</v>
      </c>
      <c r="E379" s="154" t="n">
        <v>2722</v>
      </c>
      <c r="F379" s="161" t="s">
        <v>797</v>
      </c>
      <c r="G379" s="162"/>
      <c r="H379" s="163"/>
      <c r="I379" s="153" t="s">
        <v>554</v>
      </c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customFormat="false" ht="15.75" hidden="false" customHeight="true" outlineLevel="0" collapsed="false">
      <c r="A380" s="152"/>
      <c r="B380" s="153" t="s">
        <v>629</v>
      </c>
      <c r="C380" s="154" t="s">
        <v>727</v>
      </c>
      <c r="D380" s="161" t="s">
        <v>823</v>
      </c>
      <c r="E380" s="154" t="n">
        <v>2722</v>
      </c>
      <c r="F380" s="161" t="s">
        <v>797</v>
      </c>
      <c r="G380" s="162"/>
      <c r="H380" s="163"/>
      <c r="I380" s="153" t="s">
        <v>554</v>
      </c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customFormat="false" ht="15.75" hidden="false" customHeight="true" outlineLevel="0" collapsed="false">
      <c r="A381" s="152"/>
      <c r="B381" s="153"/>
      <c r="C381" s="153"/>
      <c r="D381" s="153"/>
      <c r="E381" s="153"/>
      <c r="F381" s="153"/>
      <c r="G381" s="153"/>
      <c r="H381" s="153"/>
      <c r="I381" s="153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customFormat="false" ht="15.75" hidden="false" customHeight="true" outlineLevel="0" collapsed="false">
      <c r="A382" s="152"/>
      <c r="B382" s="153" t="s">
        <v>550</v>
      </c>
      <c r="C382" s="154" t="s">
        <v>551</v>
      </c>
      <c r="D382" s="185" t="s">
        <v>690</v>
      </c>
      <c r="E382" s="174" t="n">
        <v>2728</v>
      </c>
      <c r="F382" s="185" t="s">
        <v>824</v>
      </c>
      <c r="G382" s="185"/>
      <c r="H382" s="163"/>
      <c r="I382" s="153" t="s">
        <v>554</v>
      </c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customFormat="false" ht="15.75" hidden="false" customHeight="true" outlineLevel="0" collapsed="false">
      <c r="A383" s="152"/>
      <c r="B383" s="153" t="s">
        <v>555</v>
      </c>
      <c r="C383" s="154" t="s">
        <v>556</v>
      </c>
      <c r="D383" s="185" t="s">
        <v>825</v>
      </c>
      <c r="E383" s="174" t="n">
        <v>2728</v>
      </c>
      <c r="F383" s="184" t="s">
        <v>826</v>
      </c>
      <c r="G383" s="171"/>
      <c r="H383" s="163"/>
      <c r="I383" s="153" t="s">
        <v>633</v>
      </c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customFormat="false" ht="15.75" hidden="false" customHeight="true" outlineLevel="0" collapsed="false">
      <c r="A384" s="152"/>
      <c r="B384" s="153" t="s">
        <v>561</v>
      </c>
      <c r="C384" s="154" t="s">
        <v>556</v>
      </c>
      <c r="D384" s="185" t="s">
        <v>827</v>
      </c>
      <c r="E384" s="174" t="n">
        <v>2728</v>
      </c>
      <c r="F384" s="185" t="s">
        <v>828</v>
      </c>
      <c r="G384" s="185"/>
      <c r="H384" s="163"/>
      <c r="I384" s="153" t="s">
        <v>633</v>
      </c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customFormat="false" ht="15.75" hidden="false" customHeight="true" outlineLevel="0" collapsed="false">
      <c r="A385" s="152"/>
      <c r="B385" s="153" t="s">
        <v>563</v>
      </c>
      <c r="C385" s="154" t="s">
        <v>773</v>
      </c>
      <c r="D385" s="185" t="s">
        <v>672</v>
      </c>
      <c r="E385" s="174" t="n">
        <v>2728</v>
      </c>
      <c r="F385" s="185" t="s">
        <v>829</v>
      </c>
      <c r="G385" s="185"/>
      <c r="H385" s="163"/>
      <c r="I385" s="188" t="s">
        <v>567</v>
      </c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customFormat="false" ht="15.75" hidden="false" customHeight="true" outlineLevel="0" collapsed="false">
      <c r="A386" s="152"/>
      <c r="B386" s="153" t="s">
        <v>568</v>
      </c>
      <c r="C386" s="154" t="s">
        <v>569</v>
      </c>
      <c r="D386" s="185" t="s">
        <v>830</v>
      </c>
      <c r="E386" s="174" t="n">
        <v>2728</v>
      </c>
      <c r="F386" s="185" t="s">
        <v>831</v>
      </c>
      <c r="G386" s="185"/>
      <c r="H386" s="163"/>
      <c r="I386" s="188" t="s">
        <v>572</v>
      </c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customFormat="false" ht="15.75" hidden="false" customHeight="true" outlineLevel="0" collapsed="false">
      <c r="A387" s="152"/>
      <c r="B387" s="153" t="s">
        <v>573</v>
      </c>
      <c r="C387" s="154" t="s">
        <v>832</v>
      </c>
      <c r="D387" s="185" t="s">
        <v>833</v>
      </c>
      <c r="E387" s="174" t="n">
        <v>2728</v>
      </c>
      <c r="F387" s="185" t="s">
        <v>834</v>
      </c>
      <c r="G387" s="185"/>
      <c r="H387" s="163"/>
      <c r="I387" s="188" t="s">
        <v>577</v>
      </c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customFormat="false" ht="15.75" hidden="false" customHeight="true" outlineLevel="0" collapsed="false">
      <c r="A388" s="152"/>
      <c r="B388" s="153" t="s">
        <v>578</v>
      </c>
      <c r="C388" s="154" t="s">
        <v>579</v>
      </c>
      <c r="D388" s="185" t="s">
        <v>835</v>
      </c>
      <c r="E388" s="174" t="n">
        <v>2728</v>
      </c>
      <c r="F388" s="185" t="s">
        <v>836</v>
      </c>
      <c r="G388" s="185"/>
      <c r="H388" s="163"/>
      <c r="I388" s="188" t="s">
        <v>577</v>
      </c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customFormat="false" ht="15.75" hidden="false" customHeight="true" outlineLevel="0" collapsed="false">
      <c r="A389" s="152"/>
      <c r="B389" s="153" t="s">
        <v>581</v>
      </c>
      <c r="C389" s="154" t="s">
        <v>582</v>
      </c>
      <c r="D389" s="185" t="s">
        <v>837</v>
      </c>
      <c r="E389" s="174" t="n">
        <v>2728</v>
      </c>
      <c r="F389" s="185" t="s">
        <v>836</v>
      </c>
      <c r="G389" s="185"/>
      <c r="H389" s="163"/>
      <c r="I389" s="153" t="s">
        <v>577</v>
      </c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customFormat="false" ht="15.75" hidden="false" customHeight="true" outlineLevel="0" collapsed="false">
      <c r="A390" s="152"/>
      <c r="B390" s="153" t="s">
        <v>585</v>
      </c>
      <c r="C390" s="154" t="s">
        <v>586</v>
      </c>
      <c r="D390" s="185" t="s">
        <v>838</v>
      </c>
      <c r="E390" s="174" t="n">
        <v>2728</v>
      </c>
      <c r="F390" s="172" t="s">
        <v>839</v>
      </c>
      <c r="G390" s="172"/>
      <c r="H390" s="163"/>
      <c r="I390" s="153" t="s">
        <v>589</v>
      </c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customFormat="false" ht="15.75" hidden="false" customHeight="true" outlineLevel="0" collapsed="false">
      <c r="A391" s="152"/>
      <c r="B391" s="153" t="s">
        <v>590</v>
      </c>
      <c r="C391" s="154" t="s">
        <v>591</v>
      </c>
      <c r="D391" s="185" t="s">
        <v>840</v>
      </c>
      <c r="E391" s="174" t="n">
        <v>2728</v>
      </c>
      <c r="F391" s="184" t="s">
        <v>841</v>
      </c>
      <c r="G391" s="172"/>
      <c r="H391" s="163"/>
      <c r="I391" s="153" t="s">
        <v>589</v>
      </c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customFormat="false" ht="15.75" hidden="false" customHeight="true" outlineLevel="0" collapsed="false">
      <c r="A392" s="152"/>
      <c r="B392" s="153" t="s">
        <v>593</v>
      </c>
      <c r="C392" s="154" t="s">
        <v>586</v>
      </c>
      <c r="D392" s="185" t="s">
        <v>842</v>
      </c>
      <c r="E392" s="174" t="n">
        <v>2728</v>
      </c>
      <c r="F392" s="172" t="s">
        <v>843</v>
      </c>
      <c r="G392" s="172"/>
      <c r="H392" s="163"/>
      <c r="I392" s="153" t="s">
        <v>589</v>
      </c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customFormat="false" ht="15.75" hidden="false" customHeight="true" outlineLevel="0" collapsed="false">
      <c r="A393" s="152"/>
      <c r="B393" s="153" t="s">
        <v>596</v>
      </c>
      <c r="C393" s="154" t="s">
        <v>591</v>
      </c>
      <c r="D393" s="185" t="s">
        <v>844</v>
      </c>
      <c r="E393" s="174" t="n">
        <v>2728</v>
      </c>
      <c r="F393" s="172" t="s">
        <v>843</v>
      </c>
      <c r="G393" s="172"/>
      <c r="H393" s="163"/>
      <c r="I393" s="153" t="s">
        <v>589</v>
      </c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customFormat="false" ht="15.75" hidden="false" customHeight="true" outlineLevel="0" collapsed="false">
      <c r="A394" s="152"/>
      <c r="B394" s="153" t="s">
        <v>598</v>
      </c>
      <c r="C394" s="154" t="s">
        <v>599</v>
      </c>
      <c r="D394" s="185" t="s">
        <v>845</v>
      </c>
      <c r="E394" s="174" t="n">
        <v>2728</v>
      </c>
      <c r="F394" s="184" t="s">
        <v>846</v>
      </c>
      <c r="G394" s="156"/>
      <c r="H394" s="163"/>
      <c r="I394" s="153" t="s">
        <v>589</v>
      </c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customFormat="false" ht="15.75" hidden="false" customHeight="true" outlineLevel="0" collapsed="false">
      <c r="A395" s="152"/>
      <c r="B395" s="153" t="s">
        <v>602</v>
      </c>
      <c r="C395" s="154" t="s">
        <v>603</v>
      </c>
      <c r="D395" s="185" t="s">
        <v>845</v>
      </c>
      <c r="E395" s="174" t="n">
        <v>2728</v>
      </c>
      <c r="F395" s="184" t="s">
        <v>846</v>
      </c>
      <c r="G395" s="156"/>
      <c r="H395" s="163"/>
      <c r="I395" s="153" t="s">
        <v>589</v>
      </c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customFormat="false" ht="15.75" hidden="false" customHeight="true" outlineLevel="0" collapsed="false">
      <c r="A396" s="152"/>
      <c r="B396" s="153" t="s">
        <v>605</v>
      </c>
      <c r="C396" s="154" t="s">
        <v>847</v>
      </c>
      <c r="D396" s="185" t="s">
        <v>848</v>
      </c>
      <c r="E396" s="174" t="n">
        <v>2728</v>
      </c>
      <c r="F396" s="185" t="s">
        <v>849</v>
      </c>
      <c r="G396" s="172"/>
      <c r="H396" s="163"/>
      <c r="I396" s="153" t="s">
        <v>554</v>
      </c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customFormat="false" ht="15.75" hidden="false" customHeight="true" outlineLevel="0" collapsed="false">
      <c r="A397" s="152"/>
      <c r="B397" s="153" t="s">
        <v>609</v>
      </c>
      <c r="C397" s="154" t="s">
        <v>610</v>
      </c>
      <c r="D397" s="185" t="s">
        <v>850</v>
      </c>
      <c r="E397" s="174" t="n">
        <v>2728</v>
      </c>
      <c r="F397" s="185" t="s">
        <v>851</v>
      </c>
      <c r="G397" s="185"/>
      <c r="H397" s="163"/>
      <c r="I397" s="153" t="s">
        <v>554</v>
      </c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customFormat="false" ht="15.75" hidden="false" customHeight="true" outlineLevel="0" collapsed="false">
      <c r="A398" s="152"/>
      <c r="B398" s="153" t="s">
        <v>613</v>
      </c>
      <c r="C398" s="154" t="s">
        <v>852</v>
      </c>
      <c r="D398" s="185" t="s">
        <v>853</v>
      </c>
      <c r="E398" s="174" t="n">
        <v>2728</v>
      </c>
      <c r="F398" s="185" t="s">
        <v>854</v>
      </c>
      <c r="G398" s="185"/>
      <c r="H398" s="163"/>
      <c r="I398" s="153" t="s">
        <v>554</v>
      </c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customFormat="false" ht="15.75" hidden="false" customHeight="true" outlineLevel="0" collapsed="false">
      <c r="A399" s="152"/>
      <c r="B399" s="153" t="s">
        <v>615</v>
      </c>
      <c r="C399" s="154" t="s">
        <v>660</v>
      </c>
      <c r="D399" s="185" t="s">
        <v>855</v>
      </c>
      <c r="E399" s="174" t="n">
        <v>2728</v>
      </c>
      <c r="F399" s="185" t="s">
        <v>856</v>
      </c>
      <c r="G399" s="185"/>
      <c r="H399" s="163"/>
      <c r="I399" s="153" t="s">
        <v>554</v>
      </c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customFormat="false" ht="15.75" hidden="false" customHeight="true" outlineLevel="0" collapsed="false">
      <c r="A400" s="152"/>
      <c r="B400" s="153" t="s">
        <v>618</v>
      </c>
      <c r="C400" s="154" t="s">
        <v>790</v>
      </c>
      <c r="D400" s="185" t="s">
        <v>857</v>
      </c>
      <c r="E400" s="174" t="n">
        <v>2728</v>
      </c>
      <c r="F400" s="185" t="s">
        <v>858</v>
      </c>
      <c r="G400" s="185"/>
      <c r="H400" s="163"/>
      <c r="I400" s="153" t="s">
        <v>554</v>
      </c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customFormat="false" ht="15.75" hidden="false" customHeight="true" outlineLevel="0" collapsed="false">
      <c r="A401" s="152"/>
      <c r="B401" s="153" t="s">
        <v>621</v>
      </c>
      <c r="C401" s="154" t="s">
        <v>665</v>
      </c>
      <c r="D401" s="185" t="s">
        <v>859</v>
      </c>
      <c r="E401" s="174" t="n">
        <v>2728</v>
      </c>
      <c r="F401" s="185" t="s">
        <v>856</v>
      </c>
      <c r="G401" s="185"/>
      <c r="H401" s="163"/>
      <c r="I401" s="153" t="s">
        <v>554</v>
      </c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customFormat="false" ht="15.75" hidden="false" customHeight="true" outlineLevel="0" collapsed="false">
      <c r="A402" s="152"/>
      <c r="B402" s="153" t="s">
        <v>624</v>
      </c>
      <c r="C402" s="154" t="s">
        <v>665</v>
      </c>
      <c r="D402" s="185" t="s">
        <v>860</v>
      </c>
      <c r="E402" s="174" t="n">
        <v>2728</v>
      </c>
      <c r="F402" s="185" t="s">
        <v>856</v>
      </c>
      <c r="G402" s="185"/>
      <c r="H402" s="163"/>
      <c r="I402" s="153" t="s">
        <v>554</v>
      </c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customFormat="false" ht="15.75" hidden="false" customHeight="true" outlineLevel="0" collapsed="false">
      <c r="A403" s="152"/>
      <c r="B403" s="153" t="s">
        <v>626</v>
      </c>
      <c r="C403" s="154" t="s">
        <v>727</v>
      </c>
      <c r="D403" s="185" t="s">
        <v>861</v>
      </c>
      <c r="E403" s="193" t="n">
        <v>2728</v>
      </c>
      <c r="F403" s="185" t="s">
        <v>862</v>
      </c>
      <c r="G403" s="185"/>
      <c r="H403" s="163"/>
      <c r="I403" s="153" t="s">
        <v>554</v>
      </c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customFormat="false" ht="15.75" hidden="false" customHeight="true" outlineLevel="0" collapsed="false">
      <c r="A404" s="152"/>
      <c r="B404" s="153" t="s">
        <v>629</v>
      </c>
      <c r="C404" s="154" t="s">
        <v>727</v>
      </c>
      <c r="D404" s="185" t="s">
        <v>863</v>
      </c>
      <c r="E404" s="193" t="n">
        <v>2728</v>
      </c>
      <c r="F404" s="185" t="s">
        <v>862</v>
      </c>
      <c r="G404" s="185"/>
      <c r="H404" s="163"/>
      <c r="I404" s="153" t="s">
        <v>554</v>
      </c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customFormat="false" ht="15.75" hidden="false" customHeight="true" outlineLevel="0" collapsed="false">
      <c r="A405" s="152"/>
      <c r="B405" s="180"/>
      <c r="C405" s="180"/>
      <c r="D405" s="180"/>
      <c r="E405" s="180"/>
      <c r="F405" s="180"/>
      <c r="G405" s="180"/>
      <c r="H405" s="180"/>
      <c r="I405" s="180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customFormat="false" ht="15.75" hidden="false" customHeight="true" outlineLevel="0" collapsed="false">
      <c r="A406" s="152"/>
      <c r="B406" s="181" t="s">
        <v>550</v>
      </c>
      <c r="C406" s="193"/>
      <c r="D406" s="185"/>
      <c r="E406" s="193"/>
      <c r="F406" s="185"/>
      <c r="G406" s="185"/>
      <c r="H406" s="163"/>
      <c r="I406" s="153" t="s">
        <v>554</v>
      </c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customFormat="false" ht="15.75" hidden="false" customHeight="true" outlineLevel="0" collapsed="false">
      <c r="A407" s="152"/>
      <c r="B407" s="181" t="s">
        <v>555</v>
      </c>
      <c r="C407" s="174" t="s">
        <v>556</v>
      </c>
      <c r="D407" s="182" t="s">
        <v>864</v>
      </c>
      <c r="E407" s="174" t="n">
        <v>2729</v>
      </c>
      <c r="F407" s="183" t="s">
        <v>865</v>
      </c>
      <c r="G407" s="184" t="s">
        <v>866</v>
      </c>
      <c r="H407" s="194"/>
      <c r="I407" s="153" t="s">
        <v>560</v>
      </c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customFormat="false" ht="15.75" hidden="false" customHeight="true" outlineLevel="0" collapsed="false">
      <c r="A408" s="152"/>
      <c r="B408" s="181" t="s">
        <v>561</v>
      </c>
      <c r="C408" s="174" t="s">
        <v>556</v>
      </c>
      <c r="D408" s="182" t="s">
        <v>867</v>
      </c>
      <c r="E408" s="174" t="n">
        <v>2729</v>
      </c>
      <c r="F408" s="182" t="s">
        <v>868</v>
      </c>
      <c r="G408" s="185"/>
      <c r="H408" s="163"/>
      <c r="I408" s="153" t="s">
        <v>633</v>
      </c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customFormat="false" ht="15.75" hidden="false" customHeight="true" outlineLevel="0" collapsed="false">
      <c r="A409" s="152"/>
      <c r="B409" s="181" t="s">
        <v>563</v>
      </c>
      <c r="C409" s="174" t="s">
        <v>564</v>
      </c>
      <c r="D409" s="182" t="s">
        <v>701</v>
      </c>
      <c r="E409" s="174" t="n">
        <v>2729</v>
      </c>
      <c r="F409" s="182" t="s">
        <v>869</v>
      </c>
      <c r="G409" s="185"/>
      <c r="H409" s="163"/>
      <c r="I409" s="188" t="s">
        <v>567</v>
      </c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customFormat="false" ht="15.75" hidden="false" customHeight="true" outlineLevel="0" collapsed="false">
      <c r="A410" s="152"/>
      <c r="B410" s="181" t="s">
        <v>568</v>
      </c>
      <c r="C410" s="174" t="s">
        <v>736</v>
      </c>
      <c r="D410" s="182" t="s">
        <v>870</v>
      </c>
      <c r="E410" s="174" t="n">
        <v>2729</v>
      </c>
      <c r="F410" s="182" t="s">
        <v>871</v>
      </c>
      <c r="G410" s="185"/>
      <c r="H410" s="163"/>
      <c r="I410" s="188" t="s">
        <v>572</v>
      </c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customFormat="false" ht="15.75" hidden="false" customHeight="true" outlineLevel="0" collapsed="false">
      <c r="A411" s="152"/>
      <c r="B411" s="181" t="s">
        <v>573</v>
      </c>
      <c r="C411" s="174" t="s">
        <v>832</v>
      </c>
      <c r="D411" s="182" t="s">
        <v>872</v>
      </c>
      <c r="E411" s="174" t="n">
        <v>2729</v>
      </c>
      <c r="F411" s="182" t="s">
        <v>873</v>
      </c>
      <c r="G411" s="185"/>
      <c r="H411" s="163"/>
      <c r="I411" s="188" t="s">
        <v>577</v>
      </c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customFormat="false" ht="15.75" hidden="false" customHeight="true" outlineLevel="0" collapsed="false">
      <c r="A412" s="152"/>
      <c r="B412" s="181" t="s">
        <v>578</v>
      </c>
      <c r="C412" s="174" t="s">
        <v>676</v>
      </c>
      <c r="D412" s="182" t="s">
        <v>874</v>
      </c>
      <c r="E412" s="174" t="n">
        <v>2729</v>
      </c>
      <c r="F412" s="182" t="s">
        <v>875</v>
      </c>
      <c r="G412" s="185"/>
      <c r="H412" s="163"/>
      <c r="I412" s="188" t="s">
        <v>577</v>
      </c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customFormat="false" ht="15.75" hidden="false" customHeight="true" outlineLevel="0" collapsed="false">
      <c r="A413" s="152"/>
      <c r="B413" s="181" t="s">
        <v>581</v>
      </c>
      <c r="C413" s="174" t="s">
        <v>582</v>
      </c>
      <c r="D413" s="182" t="s">
        <v>876</v>
      </c>
      <c r="E413" s="174" t="n">
        <v>2729</v>
      </c>
      <c r="F413" s="182" t="s">
        <v>877</v>
      </c>
      <c r="G413" s="185"/>
      <c r="H413" s="163"/>
      <c r="I413" s="153" t="s">
        <v>577</v>
      </c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customFormat="false" ht="15.75" hidden="false" customHeight="true" outlineLevel="0" collapsed="false">
      <c r="A414" s="152"/>
      <c r="B414" s="181" t="s">
        <v>585</v>
      </c>
      <c r="C414" s="174" t="s">
        <v>586</v>
      </c>
      <c r="D414" s="182" t="s">
        <v>671</v>
      </c>
      <c r="E414" s="174" t="n">
        <v>2729</v>
      </c>
      <c r="F414" s="53" t="s">
        <v>878</v>
      </c>
      <c r="G414" s="53"/>
      <c r="H414" s="155"/>
      <c r="I414" s="153" t="s">
        <v>589</v>
      </c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customFormat="false" ht="15.75" hidden="false" customHeight="true" outlineLevel="0" collapsed="false">
      <c r="A415" s="152"/>
      <c r="B415" s="181" t="s">
        <v>590</v>
      </c>
      <c r="C415" s="174" t="s">
        <v>591</v>
      </c>
      <c r="D415" s="185" t="s">
        <v>690</v>
      </c>
      <c r="E415" s="174" t="n">
        <v>2729</v>
      </c>
      <c r="F415" s="53" t="s">
        <v>878</v>
      </c>
      <c r="G415" s="53"/>
      <c r="H415" s="155"/>
      <c r="I415" s="153" t="s">
        <v>589</v>
      </c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customFormat="false" ht="15.75" hidden="false" customHeight="true" outlineLevel="0" collapsed="false">
      <c r="A416" s="152"/>
      <c r="B416" s="181" t="s">
        <v>593</v>
      </c>
      <c r="C416" s="174" t="s">
        <v>586</v>
      </c>
      <c r="D416" s="185" t="s">
        <v>707</v>
      </c>
      <c r="E416" s="174" t="n">
        <v>2729</v>
      </c>
      <c r="F416" s="53" t="s">
        <v>708</v>
      </c>
      <c r="G416" s="172"/>
      <c r="H416" s="155"/>
      <c r="I416" s="153" t="s">
        <v>589</v>
      </c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customFormat="false" ht="15.75" hidden="false" customHeight="true" outlineLevel="0" collapsed="false">
      <c r="A417" s="152"/>
      <c r="B417" s="181" t="s">
        <v>596</v>
      </c>
      <c r="C417" s="174" t="s">
        <v>591</v>
      </c>
      <c r="D417" s="182" t="s">
        <v>709</v>
      </c>
      <c r="E417" s="174" t="n">
        <v>2729</v>
      </c>
      <c r="F417" s="53" t="s">
        <v>708</v>
      </c>
      <c r="G417" s="172"/>
      <c r="H417" s="155"/>
      <c r="I417" s="153" t="s">
        <v>589</v>
      </c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customFormat="false" ht="15.75" hidden="false" customHeight="true" outlineLevel="0" collapsed="false">
      <c r="A418" s="152"/>
      <c r="B418" s="181" t="s">
        <v>598</v>
      </c>
      <c r="C418" s="174" t="s">
        <v>599</v>
      </c>
      <c r="D418" s="182" t="s">
        <v>879</v>
      </c>
      <c r="E418" s="174" t="n">
        <v>2729</v>
      </c>
      <c r="F418" s="155" t="s">
        <v>880</v>
      </c>
      <c r="G418" s="172"/>
      <c r="H418" s="155"/>
      <c r="I418" s="153" t="s">
        <v>589</v>
      </c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customFormat="false" ht="15.75" hidden="false" customHeight="true" outlineLevel="0" collapsed="false">
      <c r="A419" s="152"/>
      <c r="B419" s="181" t="s">
        <v>602</v>
      </c>
      <c r="C419" s="174" t="s">
        <v>603</v>
      </c>
      <c r="D419" s="182" t="s">
        <v>881</v>
      </c>
      <c r="E419" s="174" t="n">
        <v>2729</v>
      </c>
      <c r="F419" s="155" t="s">
        <v>880</v>
      </c>
      <c r="G419" s="172"/>
      <c r="H419" s="155"/>
      <c r="I419" s="153" t="s">
        <v>589</v>
      </c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customFormat="false" ht="15.75" hidden="false" customHeight="true" outlineLevel="0" collapsed="false">
      <c r="A420" s="152"/>
      <c r="B420" s="181" t="s">
        <v>605</v>
      </c>
      <c r="C420" s="174" t="s">
        <v>654</v>
      </c>
      <c r="D420" s="182" t="s">
        <v>882</v>
      </c>
      <c r="E420" s="174" t="n">
        <v>2729</v>
      </c>
      <c r="F420" s="182" t="s">
        <v>883</v>
      </c>
      <c r="G420" s="185"/>
      <c r="H420" s="163"/>
      <c r="I420" s="153" t="s">
        <v>554</v>
      </c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customFormat="false" ht="15.75" hidden="false" customHeight="true" outlineLevel="0" collapsed="false">
      <c r="A421" s="152"/>
      <c r="B421" s="181" t="s">
        <v>609</v>
      </c>
      <c r="C421" s="174" t="s">
        <v>657</v>
      </c>
      <c r="D421" s="182" t="s">
        <v>884</v>
      </c>
      <c r="E421" s="174" t="n">
        <v>2729</v>
      </c>
      <c r="F421" s="182" t="s">
        <v>883</v>
      </c>
      <c r="G421" s="185"/>
      <c r="H421" s="163"/>
      <c r="I421" s="153" t="s">
        <v>554</v>
      </c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customFormat="false" ht="15.75" hidden="false" customHeight="true" outlineLevel="0" collapsed="false">
      <c r="A422" s="152"/>
      <c r="B422" s="181" t="s">
        <v>613</v>
      </c>
      <c r="C422" s="174" t="s">
        <v>657</v>
      </c>
      <c r="D422" s="182" t="s">
        <v>885</v>
      </c>
      <c r="E422" s="174" t="n">
        <v>2729</v>
      </c>
      <c r="F422" s="182" t="s">
        <v>883</v>
      </c>
      <c r="G422" s="185"/>
      <c r="H422" s="163"/>
      <c r="I422" s="153" t="s">
        <v>554</v>
      </c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customFormat="false" ht="15.75" hidden="false" customHeight="true" outlineLevel="0" collapsed="false">
      <c r="A423" s="152"/>
      <c r="B423" s="181" t="s">
        <v>615</v>
      </c>
      <c r="C423" s="174" t="s">
        <v>660</v>
      </c>
      <c r="D423" s="182" t="s">
        <v>886</v>
      </c>
      <c r="E423" s="174" t="n">
        <v>2729</v>
      </c>
      <c r="F423" s="182" t="s">
        <v>887</v>
      </c>
      <c r="G423" s="185"/>
      <c r="H423" s="163"/>
      <c r="I423" s="153" t="s">
        <v>554</v>
      </c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customFormat="false" ht="15.75" hidden="false" customHeight="true" outlineLevel="0" collapsed="false">
      <c r="A424" s="152"/>
      <c r="B424" s="181" t="s">
        <v>618</v>
      </c>
      <c r="C424" s="174" t="s">
        <v>662</v>
      </c>
      <c r="D424" s="182" t="s">
        <v>888</v>
      </c>
      <c r="E424" s="174" t="n">
        <v>2729</v>
      </c>
      <c r="F424" s="182" t="s">
        <v>887</v>
      </c>
      <c r="G424" s="185"/>
      <c r="H424" s="163"/>
      <c r="I424" s="153" t="s">
        <v>554</v>
      </c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customFormat="false" ht="15.75" hidden="false" customHeight="true" outlineLevel="0" collapsed="false">
      <c r="A425" s="152"/>
      <c r="B425" s="181" t="s">
        <v>621</v>
      </c>
      <c r="C425" s="174" t="s">
        <v>665</v>
      </c>
      <c r="D425" s="182" t="s">
        <v>889</v>
      </c>
      <c r="E425" s="174" t="n">
        <v>2729</v>
      </c>
      <c r="F425" s="182" t="s">
        <v>887</v>
      </c>
      <c r="G425" s="185"/>
      <c r="H425" s="163"/>
      <c r="I425" s="153" t="s">
        <v>554</v>
      </c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customFormat="false" ht="15.75" hidden="false" customHeight="true" outlineLevel="0" collapsed="false">
      <c r="A426" s="152"/>
      <c r="B426" s="181" t="s">
        <v>624</v>
      </c>
      <c r="C426" s="174" t="s">
        <v>665</v>
      </c>
      <c r="D426" s="182" t="s">
        <v>890</v>
      </c>
      <c r="E426" s="174" t="n">
        <v>2729</v>
      </c>
      <c r="F426" s="182" t="s">
        <v>887</v>
      </c>
      <c r="G426" s="185"/>
      <c r="H426" s="163"/>
      <c r="I426" s="153" t="s">
        <v>554</v>
      </c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customFormat="false" ht="15.75" hidden="false" customHeight="true" outlineLevel="0" collapsed="false">
      <c r="A427" s="152"/>
      <c r="B427" s="181" t="s">
        <v>626</v>
      </c>
      <c r="C427" s="174" t="s">
        <v>727</v>
      </c>
      <c r="D427" s="182" t="s">
        <v>891</v>
      </c>
      <c r="E427" s="174" t="n">
        <v>2729</v>
      </c>
      <c r="F427" s="182" t="s">
        <v>892</v>
      </c>
      <c r="G427" s="185"/>
      <c r="H427" s="163"/>
      <c r="I427" s="153" t="s">
        <v>554</v>
      </c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customFormat="false" ht="15.75" hidden="false" customHeight="true" outlineLevel="0" collapsed="false">
      <c r="A428" s="152"/>
      <c r="B428" s="181" t="s">
        <v>629</v>
      </c>
      <c r="C428" s="174" t="s">
        <v>727</v>
      </c>
      <c r="D428" s="182" t="s">
        <v>893</v>
      </c>
      <c r="E428" s="174" t="n">
        <v>2729</v>
      </c>
      <c r="F428" s="182" t="s">
        <v>883</v>
      </c>
      <c r="G428" s="185"/>
      <c r="H428" s="163"/>
      <c r="I428" s="153" t="s">
        <v>554</v>
      </c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customFormat="false" ht="15.75" hidden="false" customHeight="true" outlineLevel="0" collapsed="false">
      <c r="A429" s="186"/>
      <c r="B429" s="186"/>
      <c r="C429" s="186"/>
      <c r="D429" s="186"/>
      <c r="E429" s="186"/>
      <c r="F429" s="186"/>
      <c r="G429" s="186"/>
      <c r="H429" s="186"/>
      <c r="I429" s="186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customFormat="false" ht="15.75" hidden="false" customHeight="true" outlineLevel="0" collapsed="false">
      <c r="A430" s="195" t="s">
        <v>894</v>
      </c>
      <c r="B430" s="153" t="s">
        <v>895</v>
      </c>
      <c r="C430" s="154" t="s">
        <v>896</v>
      </c>
      <c r="D430" s="162" t="s">
        <v>897</v>
      </c>
      <c r="E430" s="154" t="n">
        <v>2702</v>
      </c>
      <c r="F430" s="161" t="s">
        <v>898</v>
      </c>
      <c r="G430" s="161"/>
      <c r="H430" s="163"/>
      <c r="I430" s="153" t="s">
        <v>899</v>
      </c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customFormat="false" ht="15.75" hidden="false" customHeight="true" outlineLevel="0" collapsed="false">
      <c r="A431" s="195"/>
      <c r="B431" s="153" t="s">
        <v>900</v>
      </c>
      <c r="C431" s="154" t="s">
        <v>901</v>
      </c>
      <c r="D431" s="162"/>
      <c r="E431" s="154" t="n">
        <v>2702</v>
      </c>
      <c r="F431" s="161" t="s">
        <v>902</v>
      </c>
      <c r="G431" s="161" t="s">
        <v>903</v>
      </c>
      <c r="H431" s="163"/>
      <c r="I431" s="153" t="s">
        <v>268</v>
      </c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customFormat="false" ht="15.75" hidden="false" customHeight="true" outlineLevel="0" collapsed="false">
      <c r="A432" s="195"/>
      <c r="B432" s="153" t="s">
        <v>904</v>
      </c>
      <c r="C432" s="154" t="s">
        <v>905</v>
      </c>
      <c r="D432" s="162"/>
      <c r="E432" s="154" t="n">
        <v>2702</v>
      </c>
      <c r="F432" s="161" t="s">
        <v>902</v>
      </c>
      <c r="G432" s="161" t="s">
        <v>903</v>
      </c>
      <c r="H432" s="163"/>
      <c r="I432" s="153" t="s">
        <v>268</v>
      </c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customFormat="false" ht="15.75" hidden="false" customHeight="true" outlineLevel="0" collapsed="false">
      <c r="A433" s="195"/>
      <c r="B433" s="153"/>
      <c r="C433" s="153"/>
      <c r="D433" s="153"/>
      <c r="E433" s="153"/>
      <c r="F433" s="153"/>
      <c r="G433" s="153"/>
      <c r="H433" s="153"/>
      <c r="I433" s="153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customFormat="false" ht="15.75" hidden="false" customHeight="true" outlineLevel="0" collapsed="false">
      <c r="A434" s="195"/>
      <c r="B434" s="153" t="s">
        <v>895</v>
      </c>
      <c r="C434" s="154" t="s">
        <v>896</v>
      </c>
      <c r="D434" s="162" t="s">
        <v>906</v>
      </c>
      <c r="E434" s="154" t="n">
        <v>2703</v>
      </c>
      <c r="F434" s="161" t="s">
        <v>907</v>
      </c>
      <c r="G434" s="161"/>
      <c r="H434" s="163"/>
      <c r="I434" s="153" t="s">
        <v>899</v>
      </c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customFormat="false" ht="15.75" hidden="false" customHeight="true" outlineLevel="0" collapsed="false">
      <c r="A435" s="195"/>
      <c r="B435" s="153" t="s">
        <v>900</v>
      </c>
      <c r="C435" s="154" t="s">
        <v>901</v>
      </c>
      <c r="D435" s="162"/>
      <c r="E435" s="154" t="n">
        <v>2703</v>
      </c>
      <c r="F435" s="161" t="s">
        <v>908</v>
      </c>
      <c r="G435" s="161" t="s">
        <v>909</v>
      </c>
      <c r="H435" s="163"/>
      <c r="I435" s="153" t="s">
        <v>268</v>
      </c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customFormat="false" ht="15.75" hidden="false" customHeight="true" outlineLevel="0" collapsed="false">
      <c r="A436" s="195"/>
      <c r="B436" s="153" t="s">
        <v>904</v>
      </c>
      <c r="C436" s="154" t="s">
        <v>905</v>
      </c>
      <c r="D436" s="162"/>
      <c r="E436" s="154" t="n">
        <v>2703</v>
      </c>
      <c r="F436" s="161" t="s">
        <v>908</v>
      </c>
      <c r="G436" s="161" t="s">
        <v>909</v>
      </c>
      <c r="H436" s="163"/>
      <c r="I436" s="153" t="s">
        <v>268</v>
      </c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customFormat="false" ht="15.75" hidden="false" customHeight="true" outlineLevel="0" collapsed="false">
      <c r="A437" s="195"/>
      <c r="B437" s="153"/>
      <c r="C437" s="153"/>
      <c r="D437" s="153"/>
      <c r="E437" s="153"/>
      <c r="F437" s="153"/>
      <c r="G437" s="153"/>
      <c r="H437" s="153"/>
      <c r="I437" s="153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customFormat="false" ht="15.75" hidden="false" customHeight="true" outlineLevel="0" collapsed="false">
      <c r="A438" s="195"/>
      <c r="B438" s="153" t="s">
        <v>895</v>
      </c>
      <c r="C438" s="163"/>
      <c r="D438" s="162"/>
      <c r="E438" s="154" t="n">
        <v>2706</v>
      </c>
      <c r="F438" s="161" t="s">
        <v>910</v>
      </c>
      <c r="G438" s="161"/>
      <c r="H438" s="163"/>
      <c r="I438" s="153" t="s">
        <v>911</v>
      </c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customFormat="false" ht="15.75" hidden="false" customHeight="true" outlineLevel="0" collapsed="false">
      <c r="A439" s="195"/>
      <c r="B439" s="153" t="s">
        <v>900</v>
      </c>
      <c r="C439" s="154" t="s">
        <v>901</v>
      </c>
      <c r="D439" s="162"/>
      <c r="E439" s="154" t="n">
        <v>2706</v>
      </c>
      <c r="F439" s="161" t="s">
        <v>512</v>
      </c>
      <c r="G439" s="161"/>
      <c r="H439" s="163"/>
      <c r="I439" s="153" t="s">
        <v>268</v>
      </c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customFormat="false" ht="15.75" hidden="false" customHeight="true" outlineLevel="0" collapsed="false">
      <c r="A440" s="195"/>
      <c r="B440" s="153" t="s">
        <v>904</v>
      </c>
      <c r="C440" s="154" t="s">
        <v>905</v>
      </c>
      <c r="D440" s="162"/>
      <c r="E440" s="154" t="n">
        <v>2706</v>
      </c>
      <c r="F440" s="161" t="s">
        <v>512</v>
      </c>
      <c r="G440" s="161"/>
      <c r="H440" s="163"/>
      <c r="I440" s="153" t="s">
        <v>268</v>
      </c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customFormat="false" ht="15.75" hidden="false" customHeight="true" outlineLevel="0" collapsed="false">
      <c r="A441" s="195"/>
      <c r="B441" s="163"/>
      <c r="C441" s="163"/>
      <c r="D441" s="163"/>
      <c r="E441" s="163"/>
      <c r="F441" s="163"/>
      <c r="G441" s="163"/>
      <c r="H441" s="163"/>
      <c r="I441" s="163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customFormat="false" ht="15.75" hidden="false" customHeight="true" outlineLevel="0" collapsed="false">
      <c r="A442" s="195"/>
      <c r="B442" s="153" t="s">
        <v>895</v>
      </c>
      <c r="C442" s="154" t="s">
        <v>912</v>
      </c>
      <c r="D442" s="161" t="s">
        <v>913</v>
      </c>
      <c r="E442" s="154" t="n">
        <v>2708</v>
      </c>
      <c r="F442" s="161" t="s">
        <v>914</v>
      </c>
      <c r="G442" s="162"/>
      <c r="H442" s="163"/>
      <c r="I442" s="153" t="s">
        <v>911</v>
      </c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customFormat="false" ht="15.75" hidden="false" customHeight="true" outlineLevel="0" collapsed="false">
      <c r="A443" s="195"/>
      <c r="B443" s="153" t="s">
        <v>900</v>
      </c>
      <c r="C443" s="154" t="s">
        <v>901</v>
      </c>
      <c r="D443" s="161"/>
      <c r="E443" s="154" t="n">
        <v>2708</v>
      </c>
      <c r="F443" s="161" t="s">
        <v>915</v>
      </c>
      <c r="G443" s="162" t="s">
        <v>916</v>
      </c>
      <c r="H443" s="163"/>
      <c r="I443" s="153" t="s">
        <v>268</v>
      </c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customFormat="false" ht="15.75" hidden="false" customHeight="true" outlineLevel="0" collapsed="false">
      <c r="A444" s="195"/>
      <c r="B444" s="153" t="s">
        <v>904</v>
      </c>
      <c r="C444" s="154" t="s">
        <v>905</v>
      </c>
      <c r="D444" s="161"/>
      <c r="E444" s="154" t="n">
        <v>2708</v>
      </c>
      <c r="F444" s="161" t="s">
        <v>915</v>
      </c>
      <c r="G444" s="162" t="s">
        <v>916</v>
      </c>
      <c r="H444" s="163"/>
      <c r="I444" s="153" t="s">
        <v>268</v>
      </c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customFormat="false" ht="15.75" hidden="false" customHeight="true" outlineLevel="0" collapsed="false">
      <c r="A445" s="195"/>
      <c r="B445" s="153"/>
      <c r="C445" s="153"/>
      <c r="D445" s="153"/>
      <c r="E445" s="153"/>
      <c r="F445" s="153"/>
      <c r="G445" s="153"/>
      <c r="H445" s="153"/>
      <c r="I445" s="153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customFormat="false" ht="15.75" hidden="false" customHeight="true" outlineLevel="0" collapsed="false">
      <c r="A446" s="195"/>
      <c r="B446" s="153" t="s">
        <v>895</v>
      </c>
      <c r="C446" s="154"/>
      <c r="D446" s="161"/>
      <c r="E446" s="154" t="n">
        <v>2719</v>
      </c>
      <c r="F446" s="161"/>
      <c r="G446" s="162"/>
      <c r="H446" s="163"/>
      <c r="I446" s="153" t="s">
        <v>911</v>
      </c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customFormat="false" ht="15.75" hidden="false" customHeight="true" outlineLevel="0" collapsed="false">
      <c r="A447" s="195"/>
      <c r="B447" s="153" t="s">
        <v>900</v>
      </c>
      <c r="C447" s="154" t="s">
        <v>901</v>
      </c>
      <c r="D447" s="162"/>
      <c r="E447" s="154" t="n">
        <v>2719</v>
      </c>
      <c r="F447" s="156" t="s">
        <v>917</v>
      </c>
      <c r="G447" s="196" t="s">
        <v>918</v>
      </c>
      <c r="H447" s="163"/>
      <c r="I447" s="153" t="s">
        <v>268</v>
      </c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customFormat="false" ht="15.75" hidden="false" customHeight="true" outlineLevel="0" collapsed="false">
      <c r="A448" s="195"/>
      <c r="B448" s="153" t="s">
        <v>904</v>
      </c>
      <c r="C448" s="154" t="s">
        <v>905</v>
      </c>
      <c r="D448" s="162"/>
      <c r="E448" s="154" t="n">
        <v>2719</v>
      </c>
      <c r="F448" s="156" t="s">
        <v>917</v>
      </c>
      <c r="G448" s="197" t="s">
        <v>918</v>
      </c>
      <c r="H448" s="163"/>
      <c r="I448" s="153" t="s">
        <v>268</v>
      </c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customFormat="false" ht="15.75" hidden="false" customHeight="true" outlineLevel="0" collapsed="false">
      <c r="A449" s="195"/>
      <c r="B449" s="163"/>
      <c r="C449" s="163"/>
      <c r="D449" s="163"/>
      <c r="E449" s="163"/>
      <c r="F449" s="163"/>
      <c r="G449" s="163"/>
      <c r="H449" s="163"/>
      <c r="I449" s="163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customFormat="false" ht="15.75" hidden="true" customHeight="true" outlineLevel="0" collapsed="false">
      <c r="A450" s="195"/>
      <c r="B450" s="153" t="s">
        <v>895</v>
      </c>
      <c r="C450" s="154" t="s">
        <v>919</v>
      </c>
      <c r="D450" s="162" t="s">
        <v>920</v>
      </c>
      <c r="E450" s="155" t="n">
        <v>2721</v>
      </c>
      <c r="F450" s="162" t="s">
        <v>921</v>
      </c>
      <c r="G450" s="162"/>
      <c r="H450" s="163"/>
      <c r="I450" s="153" t="s">
        <v>911</v>
      </c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customFormat="false" ht="15.75" hidden="true" customHeight="true" outlineLevel="0" collapsed="false">
      <c r="A451" s="195"/>
      <c r="B451" s="153" t="s">
        <v>900</v>
      </c>
      <c r="C451" s="154" t="s">
        <v>901</v>
      </c>
      <c r="D451" s="162"/>
      <c r="E451" s="155" t="n">
        <v>2721</v>
      </c>
      <c r="F451" s="162" t="s">
        <v>922</v>
      </c>
      <c r="G451" s="162" t="s">
        <v>923</v>
      </c>
      <c r="H451" s="163"/>
      <c r="I451" s="153" t="s">
        <v>268</v>
      </c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customFormat="false" ht="15.75" hidden="true" customHeight="true" outlineLevel="0" collapsed="false">
      <c r="A452" s="195"/>
      <c r="B452" s="153" t="s">
        <v>904</v>
      </c>
      <c r="C452" s="154" t="s">
        <v>905</v>
      </c>
      <c r="D452" s="162"/>
      <c r="E452" s="155" t="n">
        <v>2721</v>
      </c>
      <c r="F452" s="162" t="s">
        <v>922</v>
      </c>
      <c r="G452" s="162" t="s">
        <v>923</v>
      </c>
      <c r="H452" s="163"/>
      <c r="I452" s="153" t="s">
        <v>268</v>
      </c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customFormat="false" ht="15.75" hidden="true" customHeight="true" outlineLevel="0" collapsed="false">
      <c r="A453" s="195"/>
      <c r="B453" s="163"/>
      <c r="C453" s="163"/>
      <c r="D453" s="163"/>
      <c r="E453" s="163"/>
      <c r="F453" s="163"/>
      <c r="G453" s="163"/>
      <c r="H453" s="163"/>
      <c r="I453" s="163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customFormat="false" ht="15.75" hidden="true" customHeight="true" outlineLevel="0" collapsed="false">
      <c r="A454" s="195"/>
      <c r="B454" s="153" t="s">
        <v>895</v>
      </c>
      <c r="C454" s="154" t="s">
        <v>919</v>
      </c>
      <c r="D454" s="161" t="s">
        <v>924</v>
      </c>
      <c r="E454" s="154" t="n">
        <v>2722</v>
      </c>
      <c r="F454" s="164" t="s">
        <v>925</v>
      </c>
      <c r="G454" s="165" t="s">
        <v>926</v>
      </c>
      <c r="H454" s="163"/>
      <c r="I454" s="153" t="s">
        <v>911</v>
      </c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customFormat="false" ht="15.75" hidden="false" customHeight="true" outlineLevel="0" collapsed="false">
      <c r="A455" s="195"/>
      <c r="B455" s="153" t="s">
        <v>895</v>
      </c>
      <c r="C455" s="154" t="s">
        <v>927</v>
      </c>
      <c r="D455" s="162" t="s">
        <v>928</v>
      </c>
      <c r="E455" s="154" t="n">
        <v>2722</v>
      </c>
      <c r="F455" s="156" t="s">
        <v>929</v>
      </c>
      <c r="G455" s="156"/>
      <c r="H455" s="163"/>
      <c r="I455" s="153" t="s">
        <v>911</v>
      </c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customFormat="false" ht="15.75" hidden="false" customHeight="true" outlineLevel="0" collapsed="false">
      <c r="A456" s="195"/>
      <c r="B456" s="153" t="s">
        <v>900</v>
      </c>
      <c r="C456" s="154" t="s">
        <v>901</v>
      </c>
      <c r="D456" s="162"/>
      <c r="E456" s="154" t="n">
        <v>2722</v>
      </c>
      <c r="F456" s="161" t="s">
        <v>930</v>
      </c>
      <c r="G456" s="156" t="s">
        <v>931</v>
      </c>
      <c r="H456" s="163"/>
      <c r="I456" s="153" t="s">
        <v>268</v>
      </c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customFormat="false" ht="15.75" hidden="false" customHeight="true" outlineLevel="0" collapsed="false">
      <c r="A457" s="195"/>
      <c r="B457" s="153" t="s">
        <v>904</v>
      </c>
      <c r="C457" s="154" t="s">
        <v>905</v>
      </c>
      <c r="D457" s="162"/>
      <c r="E457" s="154" t="n">
        <v>2722</v>
      </c>
      <c r="F457" s="161" t="s">
        <v>930</v>
      </c>
      <c r="G457" s="156" t="s">
        <v>931</v>
      </c>
      <c r="H457" s="163"/>
      <c r="I457" s="153" t="s">
        <v>268</v>
      </c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customFormat="false" ht="15.75" hidden="false" customHeight="true" outlineLevel="0" collapsed="false">
      <c r="A458" s="195"/>
      <c r="B458" s="153"/>
      <c r="C458" s="153"/>
      <c r="D458" s="153"/>
      <c r="E458" s="153"/>
      <c r="F458" s="153"/>
      <c r="G458" s="153"/>
      <c r="H458" s="153"/>
      <c r="I458" s="153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customFormat="false" ht="15.75" hidden="false" customHeight="true" outlineLevel="0" collapsed="false">
      <c r="A459" s="195"/>
      <c r="B459" s="181" t="s">
        <v>895</v>
      </c>
      <c r="C459" s="174" t="s">
        <v>896</v>
      </c>
      <c r="D459" s="182" t="s">
        <v>932</v>
      </c>
      <c r="E459" s="174" t="n">
        <v>2728</v>
      </c>
      <c r="F459" s="182" t="s">
        <v>933</v>
      </c>
      <c r="G459" s="171"/>
      <c r="H459" s="163"/>
      <c r="I459" s="153" t="s">
        <v>899</v>
      </c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customFormat="false" ht="15.75" hidden="false" customHeight="true" outlineLevel="0" collapsed="false">
      <c r="A460" s="195"/>
      <c r="B460" s="181" t="s">
        <v>900</v>
      </c>
      <c r="C460" s="174" t="s">
        <v>901</v>
      </c>
      <c r="D460" s="182"/>
      <c r="E460" s="174" t="n">
        <v>2728</v>
      </c>
      <c r="F460" s="182" t="s">
        <v>934</v>
      </c>
      <c r="G460" s="171" t="s">
        <v>935</v>
      </c>
      <c r="H460" s="163"/>
      <c r="I460" s="153" t="s">
        <v>268</v>
      </c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customFormat="false" ht="15.75" hidden="false" customHeight="true" outlineLevel="0" collapsed="false">
      <c r="A461" s="195"/>
      <c r="B461" s="181" t="s">
        <v>904</v>
      </c>
      <c r="C461" s="174" t="s">
        <v>905</v>
      </c>
      <c r="D461" s="182"/>
      <c r="E461" s="174" t="n">
        <v>2728</v>
      </c>
      <c r="F461" s="182" t="s">
        <v>934</v>
      </c>
      <c r="G461" s="171" t="s">
        <v>935</v>
      </c>
      <c r="H461" s="163"/>
      <c r="I461" s="153" t="s">
        <v>268</v>
      </c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customFormat="false" ht="15.75" hidden="false" customHeight="true" outlineLevel="0" collapsed="false">
      <c r="A462" s="195"/>
      <c r="B462" s="180" t="s">
        <v>936</v>
      </c>
      <c r="C462" s="180"/>
      <c r="D462" s="180"/>
      <c r="E462" s="180"/>
      <c r="F462" s="180"/>
      <c r="G462" s="180"/>
      <c r="H462" s="180"/>
      <c r="I462" s="180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customFormat="false" ht="15.75" hidden="false" customHeight="true" outlineLevel="0" collapsed="false">
      <c r="A463" s="195"/>
      <c r="B463" s="181" t="s">
        <v>895</v>
      </c>
      <c r="C463" s="174" t="s">
        <v>937</v>
      </c>
      <c r="D463" s="182" t="s">
        <v>938</v>
      </c>
      <c r="E463" s="174" t="n">
        <v>2729</v>
      </c>
      <c r="F463" s="171" t="s">
        <v>939</v>
      </c>
      <c r="G463" s="171"/>
      <c r="H463" s="163"/>
      <c r="I463" s="153" t="s">
        <v>911</v>
      </c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customFormat="false" ht="15.75" hidden="false" customHeight="true" outlineLevel="0" collapsed="false">
      <c r="A464" s="195"/>
      <c r="B464" s="181" t="s">
        <v>900</v>
      </c>
      <c r="C464" s="174" t="s">
        <v>901</v>
      </c>
      <c r="D464" s="185"/>
      <c r="E464" s="174" t="n">
        <v>2729</v>
      </c>
      <c r="F464" s="182" t="s">
        <v>940</v>
      </c>
      <c r="G464" s="172" t="s">
        <v>941</v>
      </c>
      <c r="H464" s="163"/>
      <c r="I464" s="153" t="s">
        <v>268</v>
      </c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customFormat="false" ht="15.75" hidden="false" customHeight="true" outlineLevel="0" collapsed="false">
      <c r="A465" s="195"/>
      <c r="B465" s="181" t="s">
        <v>904</v>
      </c>
      <c r="C465" s="174" t="s">
        <v>905</v>
      </c>
      <c r="D465" s="185"/>
      <c r="E465" s="174" t="n">
        <v>2729</v>
      </c>
      <c r="F465" s="182" t="s">
        <v>940</v>
      </c>
      <c r="G465" s="172" t="s">
        <v>941</v>
      </c>
      <c r="H465" s="163"/>
      <c r="I465" s="153" t="s">
        <v>268</v>
      </c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customFormat="false" ht="15.75" hidden="false" customHeight="true" outlineLevel="0" collapsed="false">
      <c r="A466" s="186"/>
      <c r="B466" s="186"/>
      <c r="C466" s="186"/>
      <c r="D466" s="186"/>
      <c r="E466" s="186"/>
      <c r="F466" s="186"/>
      <c r="G466" s="186"/>
      <c r="H466" s="186"/>
      <c r="I466" s="186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customFormat="false" ht="15.75" hidden="false" customHeight="true" outlineLevel="0" collapsed="false">
      <c r="A467" s="198" t="s">
        <v>942</v>
      </c>
      <c r="B467" s="153" t="s">
        <v>943</v>
      </c>
      <c r="C467" s="154" t="s">
        <v>944</v>
      </c>
      <c r="D467" s="162" t="s">
        <v>945</v>
      </c>
      <c r="E467" s="154" t="n">
        <v>2702</v>
      </c>
      <c r="F467" s="161" t="s">
        <v>946</v>
      </c>
      <c r="G467" s="161" t="s">
        <v>947</v>
      </c>
      <c r="H467" s="163"/>
      <c r="I467" s="153" t="s">
        <v>948</v>
      </c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customFormat="false" ht="15.75" hidden="false" customHeight="true" outlineLevel="0" collapsed="false">
      <c r="A468" s="198"/>
      <c r="B468" s="153"/>
      <c r="C468" s="153"/>
      <c r="D468" s="153"/>
      <c r="E468" s="153"/>
      <c r="F468" s="153"/>
      <c r="G468" s="153"/>
      <c r="H468" s="153"/>
      <c r="I468" s="153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customFormat="false" ht="15.75" hidden="false" customHeight="true" outlineLevel="0" collapsed="false">
      <c r="A469" s="198"/>
      <c r="B469" s="153" t="s">
        <v>943</v>
      </c>
      <c r="C469" s="154" t="s">
        <v>944</v>
      </c>
      <c r="D469" s="162"/>
      <c r="E469" s="154" t="n">
        <v>2703</v>
      </c>
      <c r="F469" s="161" t="s">
        <v>949</v>
      </c>
      <c r="G469" s="161" t="s">
        <v>950</v>
      </c>
      <c r="H469" s="163"/>
      <c r="I469" s="153" t="s">
        <v>948</v>
      </c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customFormat="false" ht="15.75" hidden="false" customHeight="true" outlineLevel="0" collapsed="false">
      <c r="A470" s="198"/>
      <c r="B470" s="153"/>
      <c r="C470" s="153"/>
      <c r="D470" s="153"/>
      <c r="E470" s="153"/>
      <c r="F470" s="153"/>
      <c r="G470" s="153"/>
      <c r="H470" s="153"/>
      <c r="I470" s="153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customFormat="false" ht="15.75" hidden="false" customHeight="true" outlineLevel="0" collapsed="false">
      <c r="A471" s="198"/>
      <c r="B471" s="153" t="s">
        <v>943</v>
      </c>
      <c r="C471" s="154" t="s">
        <v>944</v>
      </c>
      <c r="D471" s="162"/>
      <c r="E471" s="154" t="n">
        <v>2706</v>
      </c>
      <c r="F471" s="161" t="s">
        <v>512</v>
      </c>
      <c r="G471" s="161"/>
      <c r="H471" s="163"/>
      <c r="I471" s="153" t="s">
        <v>948</v>
      </c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customFormat="false" ht="15.75" hidden="false" customHeight="true" outlineLevel="0" collapsed="false">
      <c r="A472" s="198"/>
      <c r="B472" s="163"/>
      <c r="C472" s="163"/>
      <c r="D472" s="163"/>
      <c r="E472" s="163"/>
      <c r="F472" s="163"/>
      <c r="G472" s="163"/>
      <c r="H472" s="163"/>
      <c r="I472" s="163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customFormat="false" ht="15.75" hidden="false" customHeight="true" outlineLevel="0" collapsed="false">
      <c r="A473" s="198"/>
      <c r="B473" s="153" t="s">
        <v>943</v>
      </c>
      <c r="C473" s="154" t="s">
        <v>944</v>
      </c>
      <c r="D473" s="161" t="s">
        <v>951</v>
      </c>
      <c r="E473" s="154" t="n">
        <v>2708</v>
      </c>
      <c r="F473" s="161" t="s">
        <v>952</v>
      </c>
      <c r="G473" s="161" t="s">
        <v>953</v>
      </c>
      <c r="H473" s="163"/>
      <c r="I473" s="153" t="s">
        <v>948</v>
      </c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customFormat="false" ht="15.75" hidden="false" customHeight="true" outlineLevel="0" collapsed="false">
      <c r="A474" s="198"/>
      <c r="B474" s="153"/>
      <c r="C474" s="153"/>
      <c r="D474" s="153"/>
      <c r="E474" s="153"/>
      <c r="F474" s="153"/>
      <c r="G474" s="153"/>
      <c r="H474" s="153"/>
      <c r="I474" s="153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customFormat="false" ht="15.75" hidden="false" customHeight="true" outlineLevel="0" collapsed="false">
      <c r="A475" s="198"/>
      <c r="B475" s="153" t="s">
        <v>943</v>
      </c>
      <c r="C475" s="154" t="s">
        <v>944</v>
      </c>
      <c r="D475" s="161" t="s">
        <v>954</v>
      </c>
      <c r="E475" s="154" t="n">
        <v>2719</v>
      </c>
      <c r="F475" s="161" t="s">
        <v>955</v>
      </c>
      <c r="G475" s="161" t="s">
        <v>956</v>
      </c>
      <c r="H475" s="163"/>
      <c r="I475" s="153" t="s">
        <v>948</v>
      </c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customFormat="false" ht="15.75" hidden="false" customHeight="true" outlineLevel="0" collapsed="false">
      <c r="A476" s="198"/>
      <c r="B476" s="163"/>
      <c r="C476" s="163"/>
      <c r="D476" s="163"/>
      <c r="E476" s="163"/>
      <c r="F476" s="163"/>
      <c r="G476" s="163"/>
      <c r="H476" s="163"/>
      <c r="I476" s="163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customFormat="false" ht="15.75" hidden="true" customHeight="true" outlineLevel="0" collapsed="false">
      <c r="A477" s="198"/>
      <c r="B477" s="153" t="s">
        <v>943</v>
      </c>
      <c r="C477" s="154" t="s">
        <v>944</v>
      </c>
      <c r="D477" s="162" t="s">
        <v>957</v>
      </c>
      <c r="E477" s="155" t="n">
        <v>2721</v>
      </c>
      <c r="F477" s="155" t="s">
        <v>958</v>
      </c>
      <c r="G477" s="162" t="s">
        <v>959</v>
      </c>
      <c r="H477" s="163"/>
      <c r="I477" s="153" t="s">
        <v>948</v>
      </c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customFormat="false" ht="15.75" hidden="true" customHeight="true" outlineLevel="0" collapsed="false">
      <c r="A478" s="198"/>
      <c r="B478" s="163"/>
      <c r="C478" s="163"/>
      <c r="D478" s="163"/>
      <c r="E478" s="163"/>
      <c r="F478" s="163"/>
      <c r="G478" s="163"/>
      <c r="H478" s="163"/>
      <c r="I478" s="163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customFormat="false" ht="15.75" hidden="false" customHeight="true" outlineLevel="0" collapsed="false">
      <c r="A479" s="198"/>
      <c r="B479" s="153" t="s">
        <v>943</v>
      </c>
      <c r="C479" s="154" t="s">
        <v>944</v>
      </c>
      <c r="D479" s="161" t="s">
        <v>960</v>
      </c>
      <c r="E479" s="154" t="n">
        <v>2722</v>
      </c>
      <c r="F479" s="191" t="s">
        <v>958</v>
      </c>
      <c r="G479" s="156" t="s">
        <v>961</v>
      </c>
      <c r="H479" s="160"/>
      <c r="I479" s="153" t="s">
        <v>948</v>
      </c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customFormat="false" ht="15.75" hidden="false" customHeight="true" outlineLevel="0" collapsed="false">
      <c r="A480" s="198"/>
      <c r="B480" s="153"/>
      <c r="C480" s="153"/>
      <c r="D480" s="153"/>
      <c r="E480" s="153"/>
      <c r="F480" s="153"/>
      <c r="G480" s="153"/>
      <c r="H480" s="153"/>
      <c r="I480" s="153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customFormat="false" ht="15.75" hidden="false" customHeight="true" outlineLevel="0" collapsed="false">
      <c r="A481" s="198"/>
      <c r="B481" s="181" t="s">
        <v>943</v>
      </c>
      <c r="C481" s="174" t="s">
        <v>944</v>
      </c>
      <c r="D481" s="182" t="s">
        <v>962</v>
      </c>
      <c r="E481" s="174" t="n">
        <v>2728</v>
      </c>
      <c r="F481" s="199" t="s">
        <v>963</v>
      </c>
      <c r="G481" s="165" t="s">
        <v>964</v>
      </c>
      <c r="H481" s="163"/>
      <c r="I481" s="153" t="s">
        <v>948</v>
      </c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customFormat="false" ht="15.75" hidden="false" customHeight="true" outlineLevel="0" collapsed="false">
      <c r="A482" s="198"/>
      <c r="B482" s="180"/>
      <c r="C482" s="180"/>
      <c r="D482" s="180"/>
      <c r="E482" s="180"/>
      <c r="F482" s="180"/>
      <c r="G482" s="180"/>
      <c r="H482" s="180"/>
      <c r="I482" s="180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customFormat="false" ht="15.75" hidden="false" customHeight="true" outlineLevel="0" collapsed="false">
      <c r="A483" s="198"/>
      <c r="B483" s="181" t="s">
        <v>943</v>
      </c>
      <c r="C483" s="174" t="s">
        <v>944</v>
      </c>
      <c r="D483" s="182" t="s">
        <v>965</v>
      </c>
      <c r="E483" s="154" t="n">
        <v>2729</v>
      </c>
      <c r="F483" s="199" t="s">
        <v>966</v>
      </c>
      <c r="G483" s="157" t="s">
        <v>967</v>
      </c>
      <c r="H483" s="160"/>
      <c r="I483" s="153" t="s">
        <v>948</v>
      </c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customFormat="false" ht="15.75" hidden="false" customHeight="true" outlineLevel="0" collapsed="false">
      <c r="A484" s="186"/>
      <c r="B484" s="186"/>
      <c r="C484" s="186"/>
      <c r="D484" s="186"/>
      <c r="E484" s="186"/>
      <c r="F484" s="186"/>
      <c r="G484" s="186"/>
      <c r="H484" s="186"/>
      <c r="I484" s="186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customFormat="false" ht="15.75" hidden="false" customHeight="true" outlineLevel="0" collapsed="false">
      <c r="A485" s="152" t="s">
        <v>3</v>
      </c>
      <c r="B485" s="153" t="s">
        <v>968</v>
      </c>
      <c r="C485" s="154" t="s">
        <v>969</v>
      </c>
      <c r="D485" s="161" t="s">
        <v>970</v>
      </c>
      <c r="E485" s="154" t="n">
        <v>2702</v>
      </c>
      <c r="F485" s="154" t="s">
        <v>971</v>
      </c>
      <c r="G485" s="162"/>
      <c r="H485" s="163"/>
      <c r="I485" s="153" t="s">
        <v>577</v>
      </c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customFormat="false" ht="15.75" hidden="false" customHeight="true" outlineLevel="0" collapsed="false">
      <c r="A486" s="152"/>
      <c r="B486" s="153" t="s">
        <v>972</v>
      </c>
      <c r="C486" s="154" t="s">
        <v>973</v>
      </c>
      <c r="D486" s="161"/>
      <c r="E486" s="154" t="n">
        <v>2702</v>
      </c>
      <c r="F486" s="154" t="s">
        <v>974</v>
      </c>
      <c r="G486" s="162"/>
      <c r="H486" s="163"/>
      <c r="I486" s="153" t="s">
        <v>975</v>
      </c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customFormat="false" ht="15.75" hidden="false" customHeight="true" outlineLevel="0" collapsed="false">
      <c r="A487" s="152"/>
      <c r="B487" s="159" t="s">
        <v>976</v>
      </c>
      <c r="C487" s="160" t="s">
        <v>977</v>
      </c>
      <c r="D487" s="161"/>
      <c r="E487" s="154" t="n">
        <v>2702</v>
      </c>
      <c r="F487" s="154" t="s">
        <v>974</v>
      </c>
      <c r="G487" s="162"/>
      <c r="H487" s="163"/>
      <c r="I487" s="153" t="s">
        <v>975</v>
      </c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customFormat="false" ht="15.75" hidden="false" customHeight="true" outlineLevel="0" collapsed="false">
      <c r="A488" s="152"/>
      <c r="B488" s="153" t="s">
        <v>978</v>
      </c>
      <c r="C488" s="154" t="s">
        <v>979</v>
      </c>
      <c r="D488" s="161" t="s">
        <v>980</v>
      </c>
      <c r="E488" s="154" t="n">
        <v>2702</v>
      </c>
      <c r="F488" s="154" t="s">
        <v>981</v>
      </c>
      <c r="G488" s="162"/>
      <c r="H488" s="163"/>
      <c r="I488" s="153" t="s">
        <v>982</v>
      </c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customFormat="false" ht="15.75" hidden="false" customHeight="true" outlineLevel="0" collapsed="false">
      <c r="A489" s="152"/>
      <c r="B489" s="153" t="s">
        <v>983</v>
      </c>
      <c r="C489" s="154" t="s">
        <v>984</v>
      </c>
      <c r="D489" s="161" t="s">
        <v>690</v>
      </c>
      <c r="E489" s="154" t="n">
        <v>2702</v>
      </c>
      <c r="F489" s="154" t="s">
        <v>985</v>
      </c>
      <c r="G489" s="162"/>
      <c r="H489" s="163"/>
      <c r="I489" s="153" t="s">
        <v>577</v>
      </c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customFormat="false" ht="15.75" hidden="false" customHeight="true" outlineLevel="0" collapsed="false">
      <c r="A490" s="152"/>
      <c r="B490" s="153" t="s">
        <v>986</v>
      </c>
      <c r="C490" s="154" t="s">
        <v>987</v>
      </c>
      <c r="D490" s="161" t="s">
        <v>988</v>
      </c>
      <c r="E490" s="154" t="n">
        <v>2702</v>
      </c>
      <c r="F490" s="154" t="s">
        <v>989</v>
      </c>
      <c r="G490" s="162" t="s">
        <v>990</v>
      </c>
      <c r="H490" s="163"/>
      <c r="I490" s="153" t="s">
        <v>991</v>
      </c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customFormat="false" ht="15.75" hidden="false" customHeight="true" outlineLevel="0" collapsed="false">
      <c r="A491" s="152"/>
      <c r="B491" s="153" t="s">
        <v>992</v>
      </c>
      <c r="C491" s="154" t="s">
        <v>993</v>
      </c>
      <c r="D491" s="161"/>
      <c r="E491" s="154" t="n">
        <v>2702</v>
      </c>
      <c r="F491" s="154" t="s">
        <v>994</v>
      </c>
      <c r="G491" s="162" t="s">
        <v>995</v>
      </c>
      <c r="H491" s="163"/>
      <c r="I491" s="153" t="s">
        <v>268</v>
      </c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customFormat="false" ht="15.75" hidden="false" customHeight="true" outlineLevel="0" collapsed="false">
      <c r="A492" s="152"/>
      <c r="B492" s="153" t="s">
        <v>996</v>
      </c>
      <c r="C492" s="154" t="s">
        <v>997</v>
      </c>
      <c r="D492" s="161"/>
      <c r="E492" s="154" t="n">
        <v>2702</v>
      </c>
      <c r="F492" s="154" t="s">
        <v>994</v>
      </c>
      <c r="G492" s="162" t="s">
        <v>995</v>
      </c>
      <c r="H492" s="163"/>
      <c r="I492" s="153" t="s">
        <v>268</v>
      </c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customFormat="false" ht="15.75" hidden="false" customHeight="true" outlineLevel="0" collapsed="false">
      <c r="A493" s="152"/>
      <c r="B493" s="200" t="s">
        <v>998</v>
      </c>
      <c r="C493" s="154" t="s">
        <v>999</v>
      </c>
      <c r="D493" s="161"/>
      <c r="E493" s="154" t="n">
        <v>2702</v>
      </c>
      <c r="F493" s="154" t="s">
        <v>994</v>
      </c>
      <c r="G493" s="162" t="s">
        <v>995</v>
      </c>
      <c r="H493" s="163"/>
      <c r="I493" s="153" t="s">
        <v>268</v>
      </c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customFormat="false" ht="15.75" hidden="false" customHeight="true" outlineLevel="0" collapsed="false">
      <c r="A494" s="152"/>
      <c r="B494" s="153"/>
      <c r="C494" s="153"/>
      <c r="D494" s="153"/>
      <c r="E494" s="153"/>
      <c r="F494" s="153"/>
      <c r="G494" s="153"/>
      <c r="H494" s="153"/>
      <c r="I494" s="153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customFormat="false" ht="15.75" hidden="false" customHeight="true" outlineLevel="0" collapsed="false">
      <c r="A495" s="152"/>
      <c r="B495" s="153" t="s">
        <v>968</v>
      </c>
      <c r="C495" s="154" t="s">
        <v>969</v>
      </c>
      <c r="D495" s="161" t="s">
        <v>1000</v>
      </c>
      <c r="E495" s="154" t="n">
        <v>2703</v>
      </c>
      <c r="F495" s="154" t="s">
        <v>1001</v>
      </c>
      <c r="G495" s="162"/>
      <c r="H495" s="163"/>
      <c r="I495" s="153" t="s">
        <v>577</v>
      </c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customFormat="false" ht="15.75" hidden="false" customHeight="true" outlineLevel="0" collapsed="false">
      <c r="A496" s="152"/>
      <c r="B496" s="153" t="s">
        <v>972</v>
      </c>
      <c r="C496" s="154" t="s">
        <v>973</v>
      </c>
      <c r="D496" s="161"/>
      <c r="E496" s="154" t="n">
        <v>2703</v>
      </c>
      <c r="F496" s="154" t="s">
        <v>1002</v>
      </c>
      <c r="G496" s="162"/>
      <c r="H496" s="163"/>
      <c r="I496" s="153" t="s">
        <v>975</v>
      </c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customFormat="false" ht="15.75" hidden="false" customHeight="true" outlineLevel="0" collapsed="false">
      <c r="A497" s="152"/>
      <c r="B497" s="159" t="s">
        <v>976</v>
      </c>
      <c r="C497" s="160" t="s">
        <v>977</v>
      </c>
      <c r="D497" s="161"/>
      <c r="E497" s="154" t="n">
        <v>2703</v>
      </c>
      <c r="F497" s="154" t="s">
        <v>1002</v>
      </c>
      <c r="G497" s="162"/>
      <c r="H497" s="163"/>
      <c r="I497" s="153" t="s">
        <v>975</v>
      </c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customFormat="false" ht="15.75" hidden="false" customHeight="true" outlineLevel="0" collapsed="false">
      <c r="A498" s="152"/>
      <c r="B498" s="153" t="s">
        <v>978</v>
      </c>
      <c r="C498" s="154" t="s">
        <v>979</v>
      </c>
      <c r="D498" s="161" t="s">
        <v>1003</v>
      </c>
      <c r="E498" s="154" t="n">
        <v>2703</v>
      </c>
      <c r="F498" s="154" t="s">
        <v>1004</v>
      </c>
      <c r="G498" s="162"/>
      <c r="H498" s="163"/>
      <c r="I498" s="153" t="s">
        <v>982</v>
      </c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customFormat="false" ht="15.75" hidden="false" customHeight="true" outlineLevel="0" collapsed="false">
      <c r="A499" s="152"/>
      <c r="B499" s="153" t="s">
        <v>983</v>
      </c>
      <c r="C499" s="154" t="s">
        <v>1005</v>
      </c>
      <c r="D499" s="161" t="s">
        <v>1006</v>
      </c>
      <c r="E499" s="154" t="n">
        <v>2703</v>
      </c>
      <c r="F499" s="154" t="s">
        <v>1001</v>
      </c>
      <c r="G499" s="162"/>
      <c r="H499" s="163"/>
      <c r="I499" s="153" t="s">
        <v>577</v>
      </c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customFormat="false" ht="15.75" hidden="false" customHeight="true" outlineLevel="0" collapsed="false">
      <c r="A500" s="152"/>
      <c r="B500" s="153" t="s">
        <v>986</v>
      </c>
      <c r="C500" s="154" t="s">
        <v>1007</v>
      </c>
      <c r="D500" s="161" t="s">
        <v>1008</v>
      </c>
      <c r="E500" s="154" t="n">
        <v>2703</v>
      </c>
      <c r="F500" s="154" t="s">
        <v>1009</v>
      </c>
      <c r="G500" s="162" t="s">
        <v>1010</v>
      </c>
      <c r="H500" s="163"/>
      <c r="I500" s="153" t="s">
        <v>991</v>
      </c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customFormat="false" ht="15.75" hidden="false" customHeight="true" outlineLevel="0" collapsed="false">
      <c r="A501" s="152"/>
      <c r="B501" s="153" t="s">
        <v>992</v>
      </c>
      <c r="C501" s="154" t="s">
        <v>993</v>
      </c>
      <c r="D501" s="161"/>
      <c r="E501" s="154" t="n">
        <v>2703</v>
      </c>
      <c r="F501" s="154" t="s">
        <v>1011</v>
      </c>
      <c r="G501" s="162" t="s">
        <v>1012</v>
      </c>
      <c r="H501" s="163"/>
      <c r="I501" s="153" t="s">
        <v>268</v>
      </c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customFormat="false" ht="15.75" hidden="false" customHeight="true" outlineLevel="0" collapsed="false">
      <c r="A502" s="152"/>
      <c r="B502" s="153" t="s">
        <v>996</v>
      </c>
      <c r="C502" s="154" t="s">
        <v>997</v>
      </c>
      <c r="D502" s="161"/>
      <c r="E502" s="154" t="n">
        <v>2703</v>
      </c>
      <c r="F502" s="154" t="s">
        <v>1011</v>
      </c>
      <c r="G502" s="162" t="s">
        <v>1012</v>
      </c>
      <c r="H502" s="163"/>
      <c r="I502" s="153" t="s">
        <v>268</v>
      </c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customFormat="false" ht="15.75" hidden="false" customHeight="true" outlineLevel="0" collapsed="false">
      <c r="A503" s="152"/>
      <c r="B503" s="200" t="s">
        <v>998</v>
      </c>
      <c r="C503" s="154" t="s">
        <v>999</v>
      </c>
      <c r="D503" s="161"/>
      <c r="E503" s="154" t="n">
        <v>2703</v>
      </c>
      <c r="F503" s="154" t="s">
        <v>1011</v>
      </c>
      <c r="G503" s="162" t="s">
        <v>1012</v>
      </c>
      <c r="H503" s="163"/>
      <c r="I503" s="153" t="s">
        <v>268</v>
      </c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customFormat="false" ht="15.75" hidden="false" customHeight="true" outlineLevel="0" collapsed="false">
      <c r="A504" s="152"/>
      <c r="B504" s="153"/>
      <c r="C504" s="153"/>
      <c r="D504" s="153"/>
      <c r="E504" s="153"/>
      <c r="F504" s="153"/>
      <c r="G504" s="153"/>
      <c r="H504" s="153"/>
      <c r="I504" s="153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customFormat="false" ht="15.75" hidden="false" customHeight="true" outlineLevel="0" collapsed="false">
      <c r="A505" s="152"/>
      <c r="B505" s="153" t="s">
        <v>968</v>
      </c>
      <c r="C505" s="154" t="s">
        <v>969</v>
      </c>
      <c r="D505" s="161" t="s">
        <v>1013</v>
      </c>
      <c r="E505" s="154" t="n">
        <v>2706</v>
      </c>
      <c r="F505" s="201" t="s">
        <v>675</v>
      </c>
      <c r="G505" s="162"/>
      <c r="H505" s="163"/>
      <c r="I505" s="153" t="s">
        <v>577</v>
      </c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customFormat="false" ht="15.75" hidden="false" customHeight="true" outlineLevel="0" collapsed="false">
      <c r="A506" s="152"/>
      <c r="B506" s="153" t="s">
        <v>972</v>
      </c>
      <c r="C506" s="154" t="s">
        <v>973</v>
      </c>
      <c r="D506" s="162"/>
      <c r="E506" s="154" t="n">
        <v>2706</v>
      </c>
      <c r="F506" s="201"/>
      <c r="G506" s="157"/>
      <c r="H506" s="163"/>
      <c r="I506" s="153" t="s">
        <v>975</v>
      </c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customFormat="false" ht="15.75" hidden="false" customHeight="true" outlineLevel="0" collapsed="false">
      <c r="A507" s="152"/>
      <c r="B507" s="159" t="s">
        <v>976</v>
      </c>
      <c r="C507" s="160" t="s">
        <v>977</v>
      </c>
      <c r="D507" s="162"/>
      <c r="E507" s="154" t="n">
        <v>2706</v>
      </c>
      <c r="F507" s="201"/>
      <c r="G507" s="157"/>
      <c r="H507" s="163"/>
      <c r="I507" s="153" t="s">
        <v>975</v>
      </c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customFormat="false" ht="15.75" hidden="false" customHeight="true" outlineLevel="0" collapsed="false">
      <c r="A508" s="152"/>
      <c r="B508" s="153" t="s">
        <v>978</v>
      </c>
      <c r="C508" s="154" t="s">
        <v>979</v>
      </c>
      <c r="D508" s="161"/>
      <c r="E508" s="154" t="n">
        <v>2706</v>
      </c>
      <c r="F508" s="201"/>
      <c r="G508" s="162"/>
      <c r="H508" s="163"/>
      <c r="I508" s="153" t="s">
        <v>982</v>
      </c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customFormat="false" ht="15.75" hidden="false" customHeight="true" outlineLevel="0" collapsed="false">
      <c r="A509" s="152"/>
      <c r="B509" s="153" t="s">
        <v>983</v>
      </c>
      <c r="C509" s="154" t="s">
        <v>1014</v>
      </c>
      <c r="D509" s="161" t="s">
        <v>1015</v>
      </c>
      <c r="E509" s="154" t="n">
        <v>2706</v>
      </c>
      <c r="F509" s="201" t="s">
        <v>1016</v>
      </c>
      <c r="G509" s="162"/>
      <c r="H509" s="163"/>
      <c r="I509" s="153" t="s">
        <v>577</v>
      </c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customFormat="false" ht="15.75" hidden="false" customHeight="true" outlineLevel="0" collapsed="false">
      <c r="A510" s="152"/>
      <c r="B510" s="153" t="s">
        <v>986</v>
      </c>
      <c r="C510" s="154" t="s">
        <v>1017</v>
      </c>
      <c r="D510" s="162"/>
      <c r="E510" s="154" t="n">
        <v>2706</v>
      </c>
      <c r="F510" s="161" t="s">
        <v>910</v>
      </c>
      <c r="G510" s="161"/>
      <c r="H510" s="163"/>
      <c r="I510" s="153" t="s">
        <v>991</v>
      </c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customFormat="false" ht="15" hidden="false" customHeight="true" outlineLevel="0" collapsed="false">
      <c r="A511" s="152"/>
      <c r="B511" s="153" t="s">
        <v>992</v>
      </c>
      <c r="C511" s="154" t="s">
        <v>993</v>
      </c>
      <c r="D511" s="162"/>
      <c r="E511" s="154" t="n">
        <v>2706</v>
      </c>
      <c r="F511" s="176" t="s">
        <v>1018</v>
      </c>
      <c r="G511" s="202" t="s">
        <v>1019</v>
      </c>
      <c r="H511" s="160" t="s">
        <v>1020</v>
      </c>
      <c r="I511" s="153" t="s">
        <v>268</v>
      </c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customFormat="false" ht="15.75" hidden="false" customHeight="true" outlineLevel="0" collapsed="false">
      <c r="A512" s="152"/>
      <c r="B512" s="153" t="s">
        <v>996</v>
      </c>
      <c r="C512" s="154" t="s">
        <v>997</v>
      </c>
      <c r="D512" s="162"/>
      <c r="E512" s="154" t="n">
        <v>2706</v>
      </c>
      <c r="F512" s="176" t="s">
        <v>1018</v>
      </c>
      <c r="G512" s="202" t="s">
        <v>1019</v>
      </c>
      <c r="H512" s="160"/>
      <c r="I512" s="153" t="s">
        <v>268</v>
      </c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customFormat="false" ht="15.75" hidden="false" customHeight="true" outlineLevel="0" collapsed="false">
      <c r="A513" s="152"/>
      <c r="B513" s="200" t="s">
        <v>998</v>
      </c>
      <c r="C513" s="154" t="s">
        <v>999</v>
      </c>
      <c r="D513" s="162"/>
      <c r="E513" s="154" t="n">
        <v>2706</v>
      </c>
      <c r="F513" s="176" t="s">
        <v>1018</v>
      </c>
      <c r="G513" s="202" t="s">
        <v>1019</v>
      </c>
      <c r="H513" s="160"/>
      <c r="I513" s="153" t="s">
        <v>268</v>
      </c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customFormat="false" ht="15.75" hidden="false" customHeight="true" outlineLevel="0" collapsed="false">
      <c r="A514" s="152"/>
      <c r="B514" s="163"/>
      <c r="C514" s="163"/>
      <c r="D514" s="163"/>
      <c r="E514" s="163"/>
      <c r="F514" s="163"/>
      <c r="G514" s="163"/>
      <c r="H514" s="163"/>
      <c r="I514" s="163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customFormat="false" ht="15.75" hidden="false" customHeight="true" outlineLevel="0" collapsed="false">
      <c r="A515" s="152"/>
      <c r="B515" s="153" t="s">
        <v>968</v>
      </c>
      <c r="C515" s="154" t="s">
        <v>969</v>
      </c>
      <c r="D515" s="161" t="s">
        <v>1021</v>
      </c>
      <c r="E515" s="154" t="n">
        <v>2708</v>
      </c>
      <c r="F515" s="154" t="s">
        <v>1022</v>
      </c>
      <c r="G515" s="162"/>
      <c r="H515" s="163"/>
      <c r="I515" s="153" t="s">
        <v>577</v>
      </c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customFormat="false" ht="15.75" hidden="false" customHeight="true" outlineLevel="0" collapsed="false">
      <c r="A516" s="152"/>
      <c r="B516" s="153" t="s">
        <v>972</v>
      </c>
      <c r="C516" s="154" t="s">
        <v>973</v>
      </c>
      <c r="D516" s="161"/>
      <c r="E516" s="154" t="n">
        <v>2708</v>
      </c>
      <c r="F516" s="203" t="s">
        <v>1023</v>
      </c>
      <c r="G516" s="162"/>
      <c r="H516" s="163"/>
      <c r="I516" s="153" t="s">
        <v>975</v>
      </c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customFormat="false" ht="15.75" hidden="false" customHeight="true" outlineLevel="0" collapsed="false">
      <c r="A517" s="152"/>
      <c r="B517" s="159" t="s">
        <v>976</v>
      </c>
      <c r="C517" s="160" t="s">
        <v>977</v>
      </c>
      <c r="D517" s="161"/>
      <c r="E517" s="154" t="n">
        <v>2708</v>
      </c>
      <c r="F517" s="154" t="s">
        <v>1023</v>
      </c>
      <c r="G517" s="162"/>
      <c r="H517" s="163"/>
      <c r="I517" s="153" t="s">
        <v>975</v>
      </c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customFormat="false" ht="15.75" hidden="false" customHeight="true" outlineLevel="0" collapsed="false">
      <c r="A518" s="152"/>
      <c r="B518" s="153" t="s">
        <v>978</v>
      </c>
      <c r="C518" s="154" t="s">
        <v>979</v>
      </c>
      <c r="D518" s="161" t="s">
        <v>1024</v>
      </c>
      <c r="E518" s="154" t="n">
        <v>2708</v>
      </c>
      <c r="F518" s="203" t="s">
        <v>1025</v>
      </c>
      <c r="G518" s="162"/>
      <c r="H518" s="163"/>
      <c r="I518" s="153" t="s">
        <v>982</v>
      </c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customFormat="false" ht="15.75" hidden="false" customHeight="true" outlineLevel="0" collapsed="false">
      <c r="A519" s="152"/>
      <c r="B519" s="153" t="s">
        <v>983</v>
      </c>
      <c r="C519" s="154" t="s">
        <v>1005</v>
      </c>
      <c r="D519" s="161" t="s">
        <v>1026</v>
      </c>
      <c r="E519" s="154" t="n">
        <v>2708</v>
      </c>
      <c r="F519" s="154" t="s">
        <v>706</v>
      </c>
      <c r="G519" s="162"/>
      <c r="H519" s="163"/>
      <c r="I519" s="153" t="s">
        <v>577</v>
      </c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customFormat="false" ht="15.75" hidden="false" customHeight="true" outlineLevel="0" collapsed="false">
      <c r="A520" s="152"/>
      <c r="B520" s="153" t="s">
        <v>986</v>
      </c>
      <c r="C520" s="154" t="s">
        <v>1017</v>
      </c>
      <c r="D520" s="161" t="s">
        <v>1027</v>
      </c>
      <c r="E520" s="154" t="n">
        <v>2708</v>
      </c>
      <c r="F520" s="154" t="s">
        <v>1028</v>
      </c>
      <c r="G520" s="162" t="s">
        <v>1029</v>
      </c>
      <c r="H520" s="163"/>
      <c r="I520" s="153" t="s">
        <v>991</v>
      </c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customFormat="false" ht="15.75" hidden="false" customHeight="true" outlineLevel="0" collapsed="false">
      <c r="A521" s="152"/>
      <c r="B521" s="153" t="s">
        <v>992</v>
      </c>
      <c r="C521" s="154" t="s">
        <v>993</v>
      </c>
      <c r="D521" s="161"/>
      <c r="E521" s="154" t="n">
        <v>2708</v>
      </c>
      <c r="F521" s="154" t="s">
        <v>1030</v>
      </c>
      <c r="G521" s="162" t="s">
        <v>1031</v>
      </c>
      <c r="H521" s="163"/>
      <c r="I521" s="153" t="s">
        <v>268</v>
      </c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customFormat="false" ht="15.75" hidden="false" customHeight="true" outlineLevel="0" collapsed="false">
      <c r="A522" s="152"/>
      <c r="B522" s="153" t="s">
        <v>996</v>
      </c>
      <c r="C522" s="154" t="s">
        <v>997</v>
      </c>
      <c r="D522" s="161"/>
      <c r="E522" s="154" t="n">
        <v>2708</v>
      </c>
      <c r="F522" s="154" t="s">
        <v>1030</v>
      </c>
      <c r="G522" s="162" t="s">
        <v>1031</v>
      </c>
      <c r="H522" s="163"/>
      <c r="I522" s="153" t="s">
        <v>268</v>
      </c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customFormat="false" ht="15.75" hidden="false" customHeight="true" outlineLevel="0" collapsed="false">
      <c r="A523" s="152"/>
      <c r="B523" s="200" t="s">
        <v>998</v>
      </c>
      <c r="C523" s="154" t="s">
        <v>999</v>
      </c>
      <c r="D523" s="161"/>
      <c r="E523" s="154" t="n">
        <v>2708</v>
      </c>
      <c r="F523" s="154" t="s">
        <v>1030</v>
      </c>
      <c r="G523" s="162" t="s">
        <v>1031</v>
      </c>
      <c r="H523" s="163"/>
      <c r="I523" s="153" t="s">
        <v>268</v>
      </c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customFormat="false" ht="15.75" hidden="false" customHeight="true" outlineLevel="0" collapsed="false">
      <c r="A524" s="152"/>
      <c r="B524" s="153"/>
      <c r="C524" s="153"/>
      <c r="D524" s="153"/>
      <c r="E524" s="153"/>
      <c r="F524" s="153"/>
      <c r="G524" s="153"/>
      <c r="H524" s="153"/>
      <c r="I524" s="153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customFormat="false" ht="15.75" hidden="false" customHeight="true" outlineLevel="0" collapsed="false">
      <c r="A525" s="152"/>
      <c r="B525" s="153" t="s">
        <v>968</v>
      </c>
      <c r="C525" s="154" t="s">
        <v>969</v>
      </c>
      <c r="D525" s="161" t="s">
        <v>1032</v>
      </c>
      <c r="E525" s="154" t="n">
        <v>2719</v>
      </c>
      <c r="F525" s="154" t="s">
        <v>1033</v>
      </c>
      <c r="G525" s="162"/>
      <c r="H525" s="163"/>
      <c r="I525" s="153" t="s">
        <v>577</v>
      </c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customFormat="false" ht="15.75" hidden="false" customHeight="true" outlineLevel="0" collapsed="false">
      <c r="A526" s="152"/>
      <c r="B526" s="153" t="s">
        <v>972</v>
      </c>
      <c r="C526" s="154" t="s">
        <v>973</v>
      </c>
      <c r="D526" s="162"/>
      <c r="E526" s="154" t="n">
        <v>2719</v>
      </c>
      <c r="F526" s="154" t="s">
        <v>1034</v>
      </c>
      <c r="G526" s="162"/>
      <c r="H526" s="163"/>
      <c r="I526" s="153" t="s">
        <v>975</v>
      </c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customFormat="false" ht="15.75" hidden="false" customHeight="true" outlineLevel="0" collapsed="false">
      <c r="A527" s="152"/>
      <c r="B527" s="159" t="s">
        <v>976</v>
      </c>
      <c r="C527" s="160" t="s">
        <v>977</v>
      </c>
      <c r="D527" s="162"/>
      <c r="E527" s="154" t="n">
        <v>2719</v>
      </c>
      <c r="F527" s="154" t="s">
        <v>1034</v>
      </c>
      <c r="G527" s="162"/>
      <c r="H527" s="163"/>
      <c r="I527" s="153" t="s">
        <v>975</v>
      </c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customFormat="false" ht="15.75" hidden="false" customHeight="true" outlineLevel="0" collapsed="false">
      <c r="A528" s="152"/>
      <c r="B528" s="153" t="s">
        <v>978</v>
      </c>
      <c r="C528" s="154" t="s">
        <v>979</v>
      </c>
      <c r="D528" s="161" t="s">
        <v>1035</v>
      </c>
      <c r="E528" s="154" t="n">
        <v>2719</v>
      </c>
      <c r="F528" s="154" t="s">
        <v>1036</v>
      </c>
      <c r="G528" s="157"/>
      <c r="H528" s="163"/>
      <c r="I528" s="153" t="s">
        <v>982</v>
      </c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customFormat="false" ht="15.75" hidden="false" customHeight="true" outlineLevel="0" collapsed="false">
      <c r="A529" s="152"/>
      <c r="B529" s="153" t="s">
        <v>983</v>
      </c>
      <c r="C529" s="154" t="s">
        <v>984</v>
      </c>
      <c r="D529" s="161" t="s">
        <v>1037</v>
      </c>
      <c r="E529" s="154" t="n">
        <v>2719</v>
      </c>
      <c r="F529" s="154" t="s">
        <v>1038</v>
      </c>
      <c r="G529" s="162"/>
      <c r="H529" s="163"/>
      <c r="I529" s="153" t="s">
        <v>577</v>
      </c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customFormat="false" ht="15.75" hidden="false" customHeight="true" outlineLevel="0" collapsed="false">
      <c r="A530" s="152"/>
      <c r="B530" s="153" t="s">
        <v>986</v>
      </c>
      <c r="C530" s="154"/>
      <c r="D530" s="161"/>
      <c r="E530" s="154" t="n">
        <v>2719</v>
      </c>
      <c r="F530" s="161"/>
      <c r="G530" s="161"/>
      <c r="H530" s="163"/>
      <c r="I530" s="153" t="s">
        <v>991</v>
      </c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customFormat="false" ht="15.75" hidden="false" customHeight="true" outlineLevel="0" collapsed="false">
      <c r="A531" s="152"/>
      <c r="B531" s="153" t="s">
        <v>992</v>
      </c>
      <c r="C531" s="154" t="s">
        <v>993</v>
      </c>
      <c r="D531" s="162"/>
      <c r="E531" s="154" t="n">
        <v>2719</v>
      </c>
      <c r="F531" s="191" t="s">
        <v>1039</v>
      </c>
      <c r="G531" s="156" t="s">
        <v>1040</v>
      </c>
      <c r="H531" s="170"/>
      <c r="I531" s="153" t="s">
        <v>268</v>
      </c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customFormat="false" ht="15.75" hidden="false" customHeight="true" outlineLevel="0" collapsed="false">
      <c r="A532" s="152"/>
      <c r="B532" s="153" t="s">
        <v>996</v>
      </c>
      <c r="C532" s="154" t="s">
        <v>997</v>
      </c>
      <c r="D532" s="162"/>
      <c r="E532" s="154" t="n">
        <v>2719</v>
      </c>
      <c r="F532" s="191" t="s">
        <v>1039</v>
      </c>
      <c r="G532" s="156" t="s">
        <v>1040</v>
      </c>
      <c r="H532" s="170"/>
      <c r="I532" s="153" t="s">
        <v>268</v>
      </c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customFormat="false" ht="15.75" hidden="false" customHeight="true" outlineLevel="0" collapsed="false">
      <c r="A533" s="152"/>
      <c r="B533" s="200" t="s">
        <v>998</v>
      </c>
      <c r="C533" s="154" t="s">
        <v>999</v>
      </c>
      <c r="D533" s="162"/>
      <c r="E533" s="154" t="n">
        <v>2719</v>
      </c>
      <c r="F533" s="191" t="s">
        <v>1039</v>
      </c>
      <c r="G533" s="156" t="s">
        <v>1040</v>
      </c>
      <c r="H533" s="170"/>
      <c r="I533" s="153" t="s">
        <v>268</v>
      </c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customFormat="false" ht="15.75" hidden="false" customHeight="true" outlineLevel="0" collapsed="false">
      <c r="A534" s="152"/>
      <c r="B534" s="163"/>
      <c r="C534" s="163"/>
      <c r="D534" s="163"/>
      <c r="E534" s="163"/>
      <c r="F534" s="163"/>
      <c r="G534" s="163"/>
      <c r="H534" s="163"/>
      <c r="I534" s="163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customFormat="false" ht="15.75" hidden="true" customHeight="true" outlineLevel="0" collapsed="false">
      <c r="A535" s="152"/>
      <c r="B535" s="153" t="s">
        <v>968</v>
      </c>
      <c r="C535" s="154" t="s">
        <v>1041</v>
      </c>
      <c r="D535" s="162" t="s">
        <v>1042</v>
      </c>
      <c r="E535" s="155" t="n">
        <v>2721</v>
      </c>
      <c r="F535" s="155" t="s">
        <v>779</v>
      </c>
      <c r="G535" s="162"/>
      <c r="H535" s="163"/>
      <c r="I535" s="153" t="s">
        <v>577</v>
      </c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customFormat="false" ht="15.75" hidden="true" customHeight="true" outlineLevel="0" collapsed="false">
      <c r="A536" s="152"/>
      <c r="B536" s="153" t="s">
        <v>972</v>
      </c>
      <c r="C536" s="154" t="s">
        <v>973</v>
      </c>
      <c r="D536" s="162"/>
      <c r="E536" s="155" t="n">
        <v>2721</v>
      </c>
      <c r="F536" s="155" t="s">
        <v>781</v>
      </c>
      <c r="G536" s="162"/>
      <c r="H536" s="163"/>
      <c r="I536" s="153" t="s">
        <v>975</v>
      </c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customFormat="false" ht="15.75" hidden="true" customHeight="true" outlineLevel="0" collapsed="false">
      <c r="A537" s="152"/>
      <c r="B537" s="159" t="s">
        <v>976</v>
      </c>
      <c r="C537" s="160" t="s">
        <v>977</v>
      </c>
      <c r="D537" s="162"/>
      <c r="E537" s="155" t="n">
        <v>2721</v>
      </c>
      <c r="F537" s="155" t="s">
        <v>781</v>
      </c>
      <c r="G537" s="162"/>
      <c r="H537" s="163"/>
      <c r="I537" s="153" t="s">
        <v>975</v>
      </c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customFormat="false" ht="15.75" hidden="true" customHeight="true" outlineLevel="0" collapsed="false">
      <c r="A538" s="152"/>
      <c r="B538" s="153" t="s">
        <v>978</v>
      </c>
      <c r="C538" s="154" t="s">
        <v>979</v>
      </c>
      <c r="D538" s="162" t="s">
        <v>1043</v>
      </c>
      <c r="E538" s="155" t="n">
        <v>2721</v>
      </c>
      <c r="F538" s="155" t="s">
        <v>1044</v>
      </c>
      <c r="G538" s="162"/>
      <c r="H538" s="163"/>
      <c r="I538" s="153" t="s">
        <v>982</v>
      </c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customFormat="false" ht="15.75" hidden="true" customHeight="true" outlineLevel="0" collapsed="false">
      <c r="A539" s="152"/>
      <c r="B539" s="153" t="s">
        <v>983</v>
      </c>
      <c r="C539" s="154" t="s">
        <v>984</v>
      </c>
      <c r="D539" s="162" t="s">
        <v>692</v>
      </c>
      <c r="E539" s="155" t="n">
        <v>2721</v>
      </c>
      <c r="F539" s="155" t="s">
        <v>779</v>
      </c>
      <c r="G539" s="162"/>
      <c r="H539" s="163"/>
      <c r="I539" s="153" t="s">
        <v>577</v>
      </c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customFormat="false" ht="15.75" hidden="true" customHeight="true" outlineLevel="0" collapsed="false">
      <c r="A540" s="152"/>
      <c r="B540" s="153" t="s">
        <v>986</v>
      </c>
      <c r="C540" s="154" t="s">
        <v>1017</v>
      </c>
      <c r="D540" s="162" t="s">
        <v>1045</v>
      </c>
      <c r="E540" s="155" t="n">
        <v>2721</v>
      </c>
      <c r="F540" s="155" t="s">
        <v>1046</v>
      </c>
      <c r="G540" s="165" t="s">
        <v>1047</v>
      </c>
      <c r="H540" s="163"/>
      <c r="I540" s="153" t="s">
        <v>991</v>
      </c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customFormat="false" ht="15.75" hidden="true" customHeight="true" outlineLevel="0" collapsed="false">
      <c r="A541" s="152"/>
      <c r="B541" s="153" t="s">
        <v>992</v>
      </c>
      <c r="C541" s="154" t="s">
        <v>993</v>
      </c>
      <c r="D541" s="162"/>
      <c r="E541" s="155" t="n">
        <v>2721</v>
      </c>
      <c r="F541" s="155" t="s">
        <v>1048</v>
      </c>
      <c r="G541" s="162" t="s">
        <v>1049</v>
      </c>
      <c r="H541" s="163"/>
      <c r="I541" s="153" t="s">
        <v>268</v>
      </c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customFormat="false" ht="15.75" hidden="true" customHeight="true" outlineLevel="0" collapsed="false">
      <c r="A542" s="152"/>
      <c r="B542" s="153" t="s">
        <v>996</v>
      </c>
      <c r="C542" s="154" t="s">
        <v>997</v>
      </c>
      <c r="D542" s="162"/>
      <c r="E542" s="155" t="n">
        <v>2721</v>
      </c>
      <c r="F542" s="155" t="s">
        <v>1048</v>
      </c>
      <c r="G542" s="162" t="s">
        <v>1049</v>
      </c>
      <c r="H542" s="163"/>
      <c r="I542" s="153" t="s">
        <v>268</v>
      </c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customFormat="false" ht="15.75" hidden="true" customHeight="true" outlineLevel="0" collapsed="false">
      <c r="A543" s="152"/>
      <c r="B543" s="200" t="s">
        <v>998</v>
      </c>
      <c r="C543" s="154" t="s">
        <v>999</v>
      </c>
      <c r="D543" s="162"/>
      <c r="E543" s="155" t="n">
        <v>2721</v>
      </c>
      <c r="F543" s="155" t="s">
        <v>1048</v>
      </c>
      <c r="G543" s="162" t="s">
        <v>1049</v>
      </c>
      <c r="H543" s="163"/>
      <c r="I543" s="153" t="s">
        <v>268</v>
      </c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customFormat="false" ht="15.75" hidden="true" customHeight="true" outlineLevel="0" collapsed="false">
      <c r="A544" s="152"/>
      <c r="B544" s="163"/>
      <c r="C544" s="163"/>
      <c r="D544" s="163"/>
      <c r="E544" s="163"/>
      <c r="F544" s="163"/>
      <c r="G544" s="163"/>
      <c r="H544" s="163"/>
      <c r="I544" s="163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customFormat="false" ht="15.75" hidden="false" customHeight="true" outlineLevel="0" collapsed="false">
      <c r="A545" s="152"/>
      <c r="B545" s="153" t="s">
        <v>968</v>
      </c>
      <c r="C545" s="154" t="s">
        <v>969</v>
      </c>
      <c r="D545" s="161" t="s">
        <v>1050</v>
      </c>
      <c r="E545" s="154" t="n">
        <v>2722</v>
      </c>
      <c r="F545" s="154" t="s">
        <v>1051</v>
      </c>
      <c r="G545" s="162"/>
      <c r="H545" s="163"/>
      <c r="I545" s="153" t="s">
        <v>577</v>
      </c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customFormat="false" ht="15.75" hidden="false" customHeight="true" outlineLevel="0" collapsed="false">
      <c r="A546" s="152"/>
      <c r="B546" s="153" t="s">
        <v>972</v>
      </c>
      <c r="C546" s="154" t="s">
        <v>973</v>
      </c>
      <c r="D546" s="162"/>
      <c r="E546" s="154" t="n">
        <v>2722</v>
      </c>
      <c r="F546" s="154" t="s">
        <v>1052</v>
      </c>
      <c r="G546" s="162"/>
      <c r="H546" s="163"/>
      <c r="I546" s="153" t="s">
        <v>975</v>
      </c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customFormat="false" ht="15.75" hidden="false" customHeight="true" outlineLevel="0" collapsed="false">
      <c r="A547" s="152"/>
      <c r="B547" s="159" t="s">
        <v>976</v>
      </c>
      <c r="C547" s="160" t="s">
        <v>977</v>
      </c>
      <c r="D547" s="162"/>
      <c r="E547" s="154" t="n">
        <v>2722</v>
      </c>
      <c r="F547" s="154" t="s">
        <v>1052</v>
      </c>
      <c r="G547" s="162"/>
      <c r="H547" s="163"/>
      <c r="I547" s="153" t="s">
        <v>975</v>
      </c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customFormat="false" ht="15.75" hidden="false" customHeight="true" outlineLevel="0" collapsed="false">
      <c r="A548" s="152"/>
      <c r="B548" s="153" t="s">
        <v>978</v>
      </c>
      <c r="C548" s="154" t="s">
        <v>979</v>
      </c>
      <c r="D548" s="161" t="s">
        <v>1053</v>
      </c>
      <c r="E548" s="154" t="n">
        <v>2722</v>
      </c>
      <c r="F548" s="191" t="s">
        <v>1054</v>
      </c>
      <c r="G548" s="157"/>
      <c r="H548" s="163"/>
      <c r="I548" s="153" t="s">
        <v>982</v>
      </c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customFormat="false" ht="15.75" hidden="false" customHeight="true" outlineLevel="0" collapsed="false">
      <c r="A549" s="152"/>
      <c r="B549" s="153" t="s">
        <v>983</v>
      </c>
      <c r="C549" s="154" t="s">
        <v>984</v>
      </c>
      <c r="D549" s="161" t="s">
        <v>808</v>
      </c>
      <c r="E549" s="154" t="n">
        <v>2722</v>
      </c>
      <c r="F549" s="154" t="s">
        <v>806</v>
      </c>
      <c r="G549" s="162"/>
      <c r="H549" s="163"/>
      <c r="I549" s="153" t="s">
        <v>577</v>
      </c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customFormat="false" ht="15.75" hidden="false" customHeight="true" outlineLevel="0" collapsed="false">
      <c r="A550" s="152"/>
      <c r="B550" s="153" t="s">
        <v>986</v>
      </c>
      <c r="C550" s="154" t="s">
        <v>1017</v>
      </c>
      <c r="D550" s="161" t="s">
        <v>1055</v>
      </c>
      <c r="E550" s="154" t="n">
        <v>2722</v>
      </c>
      <c r="F550" s="154" t="s">
        <v>1028</v>
      </c>
      <c r="G550" s="161" t="s">
        <v>1029</v>
      </c>
      <c r="H550" s="163"/>
      <c r="I550" s="153" t="s">
        <v>991</v>
      </c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customFormat="false" ht="15.75" hidden="false" customHeight="true" outlineLevel="0" collapsed="false">
      <c r="A551" s="152"/>
      <c r="B551" s="153" t="s">
        <v>992</v>
      </c>
      <c r="C551" s="154" t="s">
        <v>993</v>
      </c>
      <c r="D551" s="162"/>
      <c r="E551" s="154" t="n">
        <v>2722</v>
      </c>
      <c r="F551" s="154" t="s">
        <v>1056</v>
      </c>
      <c r="G551" s="156" t="s">
        <v>1057</v>
      </c>
      <c r="H551" s="163"/>
      <c r="I551" s="153" t="s">
        <v>268</v>
      </c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customFormat="false" ht="15.75" hidden="false" customHeight="true" outlineLevel="0" collapsed="false">
      <c r="A552" s="152"/>
      <c r="B552" s="153" t="s">
        <v>996</v>
      </c>
      <c r="C552" s="154" t="s">
        <v>997</v>
      </c>
      <c r="D552" s="162"/>
      <c r="E552" s="154" t="n">
        <v>2722</v>
      </c>
      <c r="F552" s="154" t="s">
        <v>1056</v>
      </c>
      <c r="G552" s="156" t="s">
        <v>1057</v>
      </c>
      <c r="H552" s="163"/>
      <c r="I552" s="153" t="s">
        <v>268</v>
      </c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customFormat="false" ht="15.75" hidden="false" customHeight="true" outlineLevel="0" collapsed="false">
      <c r="A553" s="152"/>
      <c r="B553" s="200" t="s">
        <v>998</v>
      </c>
      <c r="C553" s="154" t="s">
        <v>999</v>
      </c>
      <c r="D553" s="162"/>
      <c r="E553" s="154" t="n">
        <v>2722</v>
      </c>
      <c r="F553" s="154" t="s">
        <v>1056</v>
      </c>
      <c r="G553" s="156" t="s">
        <v>1057</v>
      </c>
      <c r="H553" s="163"/>
      <c r="I553" s="153" t="s">
        <v>268</v>
      </c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customFormat="false" ht="15.75" hidden="false" customHeight="true" outlineLevel="0" collapsed="false">
      <c r="A554" s="152"/>
      <c r="B554" s="163"/>
      <c r="C554" s="163"/>
      <c r="D554" s="163"/>
      <c r="E554" s="163"/>
      <c r="F554" s="163"/>
      <c r="G554" s="163"/>
      <c r="H554" s="163"/>
      <c r="I554" s="163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customFormat="false" ht="15.75" hidden="false" customHeight="true" outlineLevel="0" collapsed="false">
      <c r="A555" s="152"/>
      <c r="B555" s="204" t="s">
        <v>968</v>
      </c>
      <c r="C555" s="154" t="s">
        <v>969</v>
      </c>
      <c r="D555" s="161" t="s">
        <v>1058</v>
      </c>
      <c r="E555" s="174" t="n">
        <v>2728</v>
      </c>
      <c r="F555" s="154" t="s">
        <v>836</v>
      </c>
      <c r="G555" s="162"/>
      <c r="H555" s="163"/>
      <c r="I555" s="153" t="s">
        <v>577</v>
      </c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customFormat="false" ht="15.75" hidden="false" customHeight="true" outlineLevel="0" collapsed="false">
      <c r="A556" s="152"/>
      <c r="B556" s="204" t="s">
        <v>972</v>
      </c>
      <c r="C556" s="154" t="s">
        <v>973</v>
      </c>
      <c r="D556" s="161"/>
      <c r="E556" s="174" t="n">
        <v>2728</v>
      </c>
      <c r="F556" s="154" t="s">
        <v>1059</v>
      </c>
      <c r="G556" s="162"/>
      <c r="H556" s="163"/>
      <c r="I556" s="153" t="s">
        <v>975</v>
      </c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customFormat="false" ht="15.75" hidden="false" customHeight="true" outlineLevel="0" collapsed="false">
      <c r="A557" s="152"/>
      <c r="B557" s="204" t="s">
        <v>976</v>
      </c>
      <c r="C557" s="154" t="s">
        <v>977</v>
      </c>
      <c r="D557" s="161"/>
      <c r="E557" s="174" t="n">
        <v>2728</v>
      </c>
      <c r="F557" s="154" t="s">
        <v>1059</v>
      </c>
      <c r="G557" s="162"/>
      <c r="H557" s="163"/>
      <c r="I557" s="153" t="s">
        <v>975</v>
      </c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customFormat="false" ht="15.75" hidden="false" customHeight="true" outlineLevel="0" collapsed="false">
      <c r="A558" s="152"/>
      <c r="B558" s="204" t="s">
        <v>978</v>
      </c>
      <c r="C558" s="154" t="s">
        <v>1060</v>
      </c>
      <c r="D558" s="161" t="s">
        <v>1061</v>
      </c>
      <c r="E558" s="174" t="n">
        <v>2728</v>
      </c>
      <c r="F558" s="154" t="s">
        <v>836</v>
      </c>
      <c r="G558" s="162"/>
      <c r="H558" s="163"/>
      <c r="I558" s="153" t="s">
        <v>577</v>
      </c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customFormat="false" ht="15.75" hidden="false" customHeight="true" outlineLevel="0" collapsed="false">
      <c r="A559" s="152"/>
      <c r="B559" s="204" t="s">
        <v>983</v>
      </c>
      <c r="C559" s="154" t="s">
        <v>984</v>
      </c>
      <c r="D559" s="161" t="s">
        <v>1062</v>
      </c>
      <c r="E559" s="174" t="n">
        <v>2728</v>
      </c>
      <c r="F559" s="154" t="s">
        <v>836</v>
      </c>
      <c r="G559" s="162"/>
      <c r="H559" s="163"/>
      <c r="I559" s="153" t="s">
        <v>577</v>
      </c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customFormat="false" ht="15" hidden="false" customHeight="true" outlineLevel="0" collapsed="false">
      <c r="A560" s="152"/>
      <c r="B560" s="204" t="s">
        <v>986</v>
      </c>
      <c r="C560" s="155" t="s">
        <v>1017</v>
      </c>
      <c r="D560" s="161" t="s">
        <v>1063</v>
      </c>
      <c r="E560" s="193" t="n">
        <v>2728</v>
      </c>
      <c r="F560" s="154" t="s">
        <v>1064</v>
      </c>
      <c r="G560" s="165" t="s">
        <v>1047</v>
      </c>
      <c r="H560" s="163"/>
      <c r="I560" s="153" t="s">
        <v>991</v>
      </c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customFormat="false" ht="15.75" hidden="false" customHeight="true" outlineLevel="0" collapsed="false">
      <c r="A561" s="152"/>
      <c r="B561" s="204" t="s">
        <v>992</v>
      </c>
      <c r="C561" s="154" t="s">
        <v>993</v>
      </c>
      <c r="D561" s="161"/>
      <c r="E561" s="193" t="n">
        <v>2728</v>
      </c>
      <c r="F561" s="154" t="s">
        <v>1065</v>
      </c>
      <c r="G561" s="162" t="s">
        <v>1049</v>
      </c>
      <c r="H561" s="163"/>
      <c r="I561" s="153" t="s">
        <v>268</v>
      </c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customFormat="false" ht="15.75" hidden="false" customHeight="true" outlineLevel="0" collapsed="false">
      <c r="A562" s="152"/>
      <c r="B562" s="204" t="s">
        <v>996</v>
      </c>
      <c r="C562" s="154" t="s">
        <v>997</v>
      </c>
      <c r="D562" s="161"/>
      <c r="E562" s="154" t="n">
        <v>2728</v>
      </c>
      <c r="F562" s="154" t="s">
        <v>1065</v>
      </c>
      <c r="G562" s="162" t="s">
        <v>1049</v>
      </c>
      <c r="H562" s="163"/>
      <c r="I562" s="153" t="s">
        <v>268</v>
      </c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customFormat="false" ht="15.75" hidden="false" customHeight="true" outlineLevel="0" collapsed="false">
      <c r="A563" s="152"/>
      <c r="B563" s="205" t="s">
        <v>998</v>
      </c>
      <c r="C563" s="154" t="s">
        <v>999</v>
      </c>
      <c r="D563" s="161"/>
      <c r="E563" s="154" t="n">
        <v>2728</v>
      </c>
      <c r="F563" s="154" t="s">
        <v>1065</v>
      </c>
      <c r="G563" s="162" t="s">
        <v>1049</v>
      </c>
      <c r="H563" s="163"/>
      <c r="I563" s="153" t="s">
        <v>268</v>
      </c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customFormat="false" ht="15.75" hidden="false" customHeight="true" outlineLevel="0" collapsed="false">
      <c r="A564" s="152"/>
      <c r="B564" s="204"/>
      <c r="C564" s="204"/>
      <c r="D564" s="204"/>
      <c r="E564" s="204"/>
      <c r="F564" s="204"/>
      <c r="G564" s="204"/>
      <c r="H564" s="204"/>
      <c r="I564" s="204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customFormat="false" ht="15.75" hidden="false" customHeight="true" outlineLevel="0" collapsed="false">
      <c r="A565" s="152"/>
      <c r="B565" s="204" t="s">
        <v>968</v>
      </c>
      <c r="C565" s="154" t="s">
        <v>969</v>
      </c>
      <c r="D565" s="161" t="s">
        <v>1066</v>
      </c>
      <c r="E565" s="154" t="n">
        <v>2729</v>
      </c>
      <c r="F565" s="154" t="s">
        <v>1067</v>
      </c>
      <c r="G565" s="162"/>
      <c r="H565" s="163"/>
      <c r="I565" s="153" t="s">
        <v>577</v>
      </c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customFormat="false" ht="15.75" hidden="false" customHeight="true" outlineLevel="0" collapsed="false">
      <c r="A566" s="152"/>
      <c r="B566" s="204" t="s">
        <v>972</v>
      </c>
      <c r="C566" s="154" t="s">
        <v>973</v>
      </c>
      <c r="D566" s="162"/>
      <c r="E566" s="154" t="n">
        <v>2729</v>
      </c>
      <c r="F566" s="154" t="s">
        <v>1068</v>
      </c>
      <c r="G566" s="162"/>
      <c r="H566" s="163"/>
      <c r="I566" s="153" t="s">
        <v>975</v>
      </c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customFormat="false" ht="15.75" hidden="false" customHeight="true" outlineLevel="0" collapsed="false">
      <c r="A567" s="152"/>
      <c r="B567" s="204" t="s">
        <v>976</v>
      </c>
      <c r="C567" s="154" t="s">
        <v>977</v>
      </c>
      <c r="D567" s="162"/>
      <c r="E567" s="154" t="n">
        <v>2729</v>
      </c>
      <c r="F567" s="154" t="s">
        <v>1068</v>
      </c>
      <c r="G567" s="162"/>
      <c r="H567" s="163"/>
      <c r="I567" s="153" t="s">
        <v>975</v>
      </c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customFormat="false" ht="15.75" hidden="false" customHeight="true" outlineLevel="0" collapsed="false">
      <c r="A568" s="152"/>
      <c r="B568" s="204" t="s">
        <v>978</v>
      </c>
      <c r="C568" s="154" t="s">
        <v>1060</v>
      </c>
      <c r="D568" s="161" t="s">
        <v>838</v>
      </c>
      <c r="E568" s="154" t="n">
        <v>2729</v>
      </c>
      <c r="F568" s="154" t="s">
        <v>1069</v>
      </c>
      <c r="G568" s="162"/>
      <c r="H568" s="163"/>
      <c r="I568" s="153" t="s">
        <v>577</v>
      </c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customFormat="false" ht="15.75" hidden="false" customHeight="true" outlineLevel="0" collapsed="false">
      <c r="A569" s="152"/>
      <c r="B569" s="204" t="s">
        <v>983</v>
      </c>
      <c r="C569" s="154" t="s">
        <v>984</v>
      </c>
      <c r="D569" s="161" t="s">
        <v>1070</v>
      </c>
      <c r="E569" s="154" t="n">
        <v>2729</v>
      </c>
      <c r="F569" s="154" t="s">
        <v>1071</v>
      </c>
      <c r="G569" s="162"/>
      <c r="H569" s="163"/>
      <c r="I569" s="153" t="s">
        <v>577</v>
      </c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customFormat="false" ht="15.75" hidden="false" customHeight="true" outlineLevel="0" collapsed="false">
      <c r="A570" s="152"/>
      <c r="B570" s="204" t="s">
        <v>986</v>
      </c>
      <c r="C570" s="155" t="s">
        <v>1007</v>
      </c>
      <c r="D570" s="161" t="s">
        <v>1072</v>
      </c>
      <c r="E570" s="154" t="n">
        <v>2729</v>
      </c>
      <c r="F570" s="154" t="s">
        <v>1073</v>
      </c>
      <c r="G570" s="161" t="s">
        <v>1074</v>
      </c>
      <c r="H570" s="163"/>
      <c r="I570" s="153" t="s">
        <v>991</v>
      </c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customFormat="false" ht="15.75" hidden="false" customHeight="true" outlineLevel="0" collapsed="false">
      <c r="A571" s="152"/>
      <c r="B571" s="204" t="s">
        <v>992</v>
      </c>
      <c r="C571" s="154" t="s">
        <v>993</v>
      </c>
      <c r="D571" s="162"/>
      <c r="E571" s="154" t="n">
        <v>2729</v>
      </c>
      <c r="F571" s="154" t="s">
        <v>1075</v>
      </c>
      <c r="G571" s="161" t="s">
        <v>1076</v>
      </c>
      <c r="H571" s="163"/>
      <c r="I571" s="153" t="s">
        <v>268</v>
      </c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customFormat="false" ht="15.75" hidden="false" customHeight="true" outlineLevel="0" collapsed="false">
      <c r="A572" s="152"/>
      <c r="B572" s="204" t="s">
        <v>996</v>
      </c>
      <c r="C572" s="154" t="s">
        <v>997</v>
      </c>
      <c r="D572" s="162"/>
      <c r="E572" s="154" t="n">
        <v>2729</v>
      </c>
      <c r="F572" s="154" t="s">
        <v>1075</v>
      </c>
      <c r="G572" s="161" t="s">
        <v>1076</v>
      </c>
      <c r="H572" s="163"/>
      <c r="I572" s="153" t="s">
        <v>268</v>
      </c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customFormat="false" ht="15.75" hidden="false" customHeight="true" outlineLevel="0" collapsed="false">
      <c r="A573" s="152"/>
      <c r="B573" s="205" t="s">
        <v>998</v>
      </c>
      <c r="C573" s="154" t="s">
        <v>999</v>
      </c>
      <c r="D573" s="162"/>
      <c r="E573" s="154" t="n">
        <v>2729</v>
      </c>
      <c r="F573" s="154" t="s">
        <v>1077</v>
      </c>
      <c r="G573" s="161" t="s">
        <v>1078</v>
      </c>
      <c r="H573" s="163"/>
      <c r="I573" s="153" t="s">
        <v>268</v>
      </c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  <row r="1114" customFormat="false" ht="15.75" hidden="false" customHeight="true" outlineLevel="0" collapsed="false"/>
    <row r="1115" customFormat="false" ht="15.75" hidden="false" customHeight="true" outlineLevel="0" collapsed="false"/>
    <row r="1116" customFormat="false" ht="15.75" hidden="false" customHeight="true" outlineLevel="0" collapsed="false"/>
    <row r="1117" customFormat="false" ht="15.75" hidden="false" customHeight="true" outlineLevel="0" collapsed="false"/>
    <row r="1118" customFormat="false" ht="15.75" hidden="false" customHeight="true" outlineLevel="0" collapsed="false"/>
    <row r="1119" customFormat="false" ht="15.75" hidden="false" customHeight="true" outlineLevel="0" collapsed="false"/>
    <row r="1120" customFormat="false" ht="15.75" hidden="false" customHeight="true" outlineLevel="0" collapsed="false"/>
    <row r="1121" customFormat="false" ht="15.75" hidden="false" customHeight="true" outlineLevel="0" collapsed="false"/>
    <row r="1122" customFormat="false" ht="15.75" hidden="false" customHeight="true" outlineLevel="0" collapsed="false"/>
    <row r="1123" customFormat="false" ht="15.75" hidden="false" customHeight="true" outlineLevel="0" collapsed="false"/>
    <row r="1124" customFormat="false" ht="15.75" hidden="false" customHeight="true" outlineLevel="0" collapsed="false"/>
    <row r="1125" customFormat="false" ht="15.75" hidden="false" customHeight="true" outlineLevel="0" collapsed="false"/>
    <row r="1126" customFormat="false" ht="15.75" hidden="false" customHeight="true" outlineLevel="0" collapsed="false"/>
    <row r="1127" customFormat="false" ht="15.75" hidden="false" customHeight="true" outlineLevel="0" collapsed="false"/>
    <row r="1128" customFormat="false" ht="15.75" hidden="false" customHeight="true" outlineLevel="0" collapsed="false"/>
    <row r="1129" customFormat="false" ht="15.75" hidden="false" customHeight="true" outlineLevel="0" collapsed="false"/>
    <row r="1130" customFormat="false" ht="15.75" hidden="false" customHeight="true" outlineLevel="0" collapsed="false"/>
    <row r="1131" customFormat="false" ht="15.75" hidden="false" customHeight="true" outlineLevel="0" collapsed="false"/>
    <row r="1132" customFormat="false" ht="15.75" hidden="false" customHeight="true" outlineLevel="0" collapsed="false"/>
    <row r="1133" customFormat="false" ht="15.75" hidden="false" customHeight="true" outlineLevel="0" collapsed="false"/>
    <row r="1134" customFormat="false" ht="15.75" hidden="false" customHeight="true" outlineLevel="0" collapsed="false"/>
    <row r="1135" customFormat="false" ht="15.75" hidden="false" customHeight="true" outlineLevel="0" collapsed="false"/>
    <row r="1136" customFormat="false" ht="15.75" hidden="false" customHeight="true" outlineLevel="0" collapsed="false"/>
    <row r="1137" customFormat="false" ht="15.75" hidden="false" customHeight="true" outlineLevel="0" collapsed="false"/>
    <row r="1138" customFormat="false" ht="15.75" hidden="false" customHeight="true" outlineLevel="0" collapsed="false"/>
    <row r="1139" customFormat="false" ht="15.75" hidden="false" customHeight="true" outlineLevel="0" collapsed="false"/>
    <row r="1140" customFormat="false" ht="15.75" hidden="false" customHeight="true" outlineLevel="0" collapsed="false"/>
    <row r="1141" customFormat="false" ht="15.75" hidden="false" customHeight="true" outlineLevel="0" collapsed="false"/>
    <row r="1142" customFormat="false" ht="15.75" hidden="false" customHeight="true" outlineLevel="0" collapsed="false"/>
    <row r="1143" customFormat="false" ht="15.75" hidden="false" customHeight="true" outlineLevel="0" collapsed="false"/>
    <row r="1144" customFormat="false" ht="15.75" hidden="false" customHeight="true" outlineLevel="0" collapsed="false"/>
    <row r="1145" customFormat="false" ht="15.75" hidden="false" customHeight="true" outlineLevel="0" collapsed="false"/>
    <row r="1146" customFormat="false" ht="15.75" hidden="false" customHeight="true" outlineLevel="0" collapsed="false"/>
    <row r="1147" customFormat="false" ht="15.75" hidden="false" customHeight="true" outlineLevel="0" collapsed="false"/>
    <row r="1148" customFormat="false" ht="15.75" hidden="false" customHeight="true" outlineLevel="0" collapsed="false"/>
    <row r="1149" customFormat="false" ht="15.75" hidden="false" customHeight="true" outlineLevel="0" collapsed="false"/>
    <row r="1150" customFormat="false" ht="15.75" hidden="false" customHeight="true" outlineLevel="0" collapsed="false"/>
    <row r="1151" customFormat="false" ht="15.75" hidden="false" customHeight="true" outlineLevel="0" collapsed="false"/>
    <row r="1152" customFormat="false" ht="15.75" hidden="false" customHeight="true" outlineLevel="0" collapsed="false"/>
    <row r="1153" customFormat="false" ht="15.75" hidden="false" customHeight="true" outlineLevel="0" collapsed="false"/>
    <row r="1154" customFormat="false" ht="15.75" hidden="false" customHeight="true" outlineLevel="0" collapsed="false"/>
    <row r="1155" customFormat="false" ht="15.75" hidden="false" customHeight="true" outlineLevel="0" collapsed="false"/>
    <row r="1156" customFormat="false" ht="15.75" hidden="false" customHeight="true" outlineLevel="0" collapsed="false"/>
    <row r="1157" customFormat="false" ht="15.75" hidden="false" customHeight="true" outlineLevel="0" collapsed="false"/>
    <row r="1158" customFormat="false" ht="15.75" hidden="false" customHeight="true" outlineLevel="0" collapsed="false"/>
    <row r="1159" customFormat="false" ht="15.75" hidden="false" customHeight="true" outlineLevel="0" collapsed="false"/>
    <row r="1160" customFormat="false" ht="15.75" hidden="false" customHeight="true" outlineLevel="0" collapsed="false"/>
    <row r="1161" customFormat="false" ht="15.75" hidden="false" customHeight="true" outlineLevel="0" collapsed="false"/>
    <row r="1162" customFormat="false" ht="15.75" hidden="false" customHeight="true" outlineLevel="0" collapsed="false"/>
    <row r="1163" customFormat="false" ht="15.75" hidden="false" customHeight="true" outlineLevel="0" collapsed="false"/>
    <row r="1164" customFormat="false" ht="15.75" hidden="false" customHeight="true" outlineLevel="0" collapsed="false"/>
    <row r="1165" customFormat="false" ht="15.75" hidden="false" customHeight="true" outlineLevel="0" collapsed="false"/>
    <row r="1166" customFormat="false" ht="15.75" hidden="false" customHeight="true" outlineLevel="0" collapsed="false"/>
    <row r="1167" customFormat="false" ht="15.75" hidden="false" customHeight="true" outlineLevel="0" collapsed="false"/>
    <row r="1168" customFormat="false" ht="15.75" hidden="false" customHeight="true" outlineLevel="0" collapsed="false"/>
    <row r="1169" customFormat="false" ht="15.75" hidden="false" customHeight="true" outlineLevel="0" collapsed="false"/>
    <row r="1170" customFormat="false" ht="15.75" hidden="false" customHeight="true" outlineLevel="0" collapsed="false"/>
    <row r="1171" customFormat="false" ht="15.75" hidden="false" customHeight="true" outlineLevel="0" collapsed="false"/>
    <row r="1172" customFormat="false" ht="15.75" hidden="false" customHeight="true" outlineLevel="0" collapsed="false"/>
    <row r="1173" customFormat="false" ht="15.75" hidden="false" customHeight="true" outlineLevel="0" collapsed="false"/>
    <row r="1174" customFormat="false" ht="15.75" hidden="false" customHeight="true" outlineLevel="0" collapsed="false"/>
    <row r="1175" customFormat="false" ht="15.75" hidden="false" customHeight="true" outlineLevel="0" collapsed="false"/>
    <row r="1176" customFormat="false" ht="15.75" hidden="false" customHeight="true" outlineLevel="0" collapsed="false"/>
    <row r="1177" customFormat="false" ht="15.75" hidden="false" customHeight="true" outlineLevel="0" collapsed="false"/>
    <row r="1178" customFormat="false" ht="15.75" hidden="false" customHeight="true" outlineLevel="0" collapsed="false"/>
    <row r="1179" customFormat="false" ht="15.75" hidden="false" customHeight="true" outlineLevel="0" collapsed="false"/>
    <row r="1180" customFormat="false" ht="15.75" hidden="false" customHeight="true" outlineLevel="0" collapsed="false"/>
    <row r="1181" customFormat="false" ht="15.75" hidden="false" customHeight="true" outlineLevel="0" collapsed="false"/>
    <row r="1182" customFormat="false" ht="15.75" hidden="false" customHeight="true" outlineLevel="0" collapsed="false"/>
    <row r="1183" customFormat="false" ht="15.75" hidden="false" customHeight="true" outlineLevel="0" collapsed="false"/>
    <row r="1184" customFormat="false" ht="15.75" hidden="false" customHeight="true" outlineLevel="0" collapsed="false"/>
    <row r="1185" customFormat="false" ht="15.75" hidden="false" customHeight="true" outlineLevel="0" collapsed="false"/>
    <row r="1186" customFormat="false" ht="15.75" hidden="false" customHeight="true" outlineLevel="0" collapsed="false"/>
    <row r="1187" customFormat="false" ht="15.75" hidden="false" customHeight="true" outlineLevel="0" collapsed="false"/>
    <row r="1188" customFormat="false" ht="15.75" hidden="false" customHeight="true" outlineLevel="0" collapsed="false"/>
    <row r="1189" customFormat="false" ht="15.75" hidden="false" customHeight="true" outlineLevel="0" collapsed="false"/>
    <row r="1190" customFormat="false" ht="15.75" hidden="false" customHeight="true" outlineLevel="0" collapsed="false"/>
    <row r="1191" customFormat="false" ht="15.75" hidden="false" customHeight="true" outlineLevel="0" collapsed="false"/>
    <row r="1192" customFormat="false" ht="15.75" hidden="false" customHeight="true" outlineLevel="0" collapsed="false"/>
    <row r="1193" customFormat="false" ht="15.75" hidden="false" customHeight="true" outlineLevel="0" collapsed="false"/>
    <row r="1194" customFormat="false" ht="15.75" hidden="false" customHeight="true" outlineLevel="0" collapsed="false"/>
    <row r="1195" customFormat="false" ht="15.75" hidden="false" customHeight="true" outlineLevel="0" collapsed="false"/>
    <row r="1196" customFormat="false" ht="15.75" hidden="false" customHeight="true" outlineLevel="0" collapsed="false"/>
  </sheetData>
  <mergeCells count="83">
    <mergeCell ref="A1:I1"/>
    <mergeCell ref="A2:I2"/>
    <mergeCell ref="A3:I3"/>
    <mergeCell ref="A5:A212"/>
    <mergeCell ref="I15:I27"/>
    <mergeCell ref="B28:I28"/>
    <mergeCell ref="I39:I51"/>
    <mergeCell ref="B52:I52"/>
    <mergeCell ref="F53:F58"/>
    <mergeCell ref="F61:G62"/>
    <mergeCell ref="F63:F68"/>
    <mergeCell ref="I63:I68"/>
    <mergeCell ref="B69:I69"/>
    <mergeCell ref="I80:I92"/>
    <mergeCell ref="B93:I93"/>
    <mergeCell ref="I104:I115"/>
    <mergeCell ref="B116:I116"/>
    <mergeCell ref="I127:I138"/>
    <mergeCell ref="B139:I139"/>
    <mergeCell ref="I150:I162"/>
    <mergeCell ref="B163:I163"/>
    <mergeCell ref="I174:I187"/>
    <mergeCell ref="F183:G183"/>
    <mergeCell ref="B188:I188"/>
    <mergeCell ref="I199:I212"/>
    <mergeCell ref="F208:G208"/>
    <mergeCell ref="A213:I213"/>
    <mergeCell ref="A214:A428"/>
    <mergeCell ref="G215:G216"/>
    <mergeCell ref="B237:I237"/>
    <mergeCell ref="B261:I261"/>
    <mergeCell ref="F270:G270"/>
    <mergeCell ref="F271:G271"/>
    <mergeCell ref="F272:G272"/>
    <mergeCell ref="F273:G273"/>
    <mergeCell ref="F274:G274"/>
    <mergeCell ref="F275:G275"/>
    <mergeCell ref="B285:I285"/>
    <mergeCell ref="B309:I309"/>
    <mergeCell ref="G318:G319"/>
    <mergeCell ref="G322:G323"/>
    <mergeCell ref="B333:I333"/>
    <mergeCell ref="B357:I357"/>
    <mergeCell ref="G359:G360"/>
    <mergeCell ref="B381:I381"/>
    <mergeCell ref="B405:I405"/>
    <mergeCell ref="A429:I429"/>
    <mergeCell ref="A430:A465"/>
    <mergeCell ref="B433:I433"/>
    <mergeCell ref="B437:I437"/>
    <mergeCell ref="F438:G438"/>
    <mergeCell ref="F439:G439"/>
    <mergeCell ref="F440:G440"/>
    <mergeCell ref="B441:I441"/>
    <mergeCell ref="B445:I445"/>
    <mergeCell ref="B449:I449"/>
    <mergeCell ref="B453:I453"/>
    <mergeCell ref="H456:H457"/>
    <mergeCell ref="B458:I458"/>
    <mergeCell ref="B462:I462"/>
    <mergeCell ref="A466:I466"/>
    <mergeCell ref="A467:A483"/>
    <mergeCell ref="B468:I468"/>
    <mergeCell ref="B470:I470"/>
    <mergeCell ref="F471:G471"/>
    <mergeCell ref="B472:I472"/>
    <mergeCell ref="B474:I474"/>
    <mergeCell ref="B476:I476"/>
    <mergeCell ref="B478:I478"/>
    <mergeCell ref="B480:I480"/>
    <mergeCell ref="B482:I482"/>
    <mergeCell ref="A484:I484"/>
    <mergeCell ref="A485:A573"/>
    <mergeCell ref="B494:I494"/>
    <mergeCell ref="B504:I504"/>
    <mergeCell ref="F510:G510"/>
    <mergeCell ref="H511:H513"/>
    <mergeCell ref="B514:I514"/>
    <mergeCell ref="B524:I524"/>
    <mergeCell ref="B534:I534"/>
    <mergeCell ref="B544:I544"/>
    <mergeCell ref="B554:I554"/>
    <mergeCell ref="B564:I564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3.13"/>
    <col collapsed="false" customWidth="true" hidden="false" outlineLevel="0" max="2" min="2" style="0" width="14.42"/>
    <col collapsed="false" customWidth="true" hidden="false" outlineLevel="0" max="3" min="3" style="0" width="28"/>
    <col collapsed="false" customWidth="true" hidden="false" outlineLevel="0" max="4" min="4" style="0" width="35.43"/>
    <col collapsed="false" customWidth="true" hidden="false" outlineLevel="0" max="5" min="5" style="0" width="55.71"/>
    <col collapsed="false" customWidth="true" hidden="false" outlineLevel="0" max="6" min="6" style="0" width="11.86"/>
    <col collapsed="false" customWidth="true" hidden="false" outlineLevel="0" max="26" min="7" style="0" width="8.71"/>
    <col collapsed="false" customWidth="true" hidden="false" outlineLevel="0" max="1025" min="27" style="0" width="14.42"/>
  </cols>
  <sheetData>
    <row r="1" customFormat="false" ht="12.75" hidden="false" customHeight="true" outlineLevel="0" collapsed="false">
      <c r="A1" s="206" t="s">
        <v>1079</v>
      </c>
      <c r="B1" s="206"/>
      <c r="C1" s="206"/>
      <c r="D1" s="206"/>
      <c r="E1" s="206"/>
    </row>
    <row r="2" customFormat="false" ht="12.75" hidden="false" customHeight="true" outlineLevel="0" collapsed="false">
      <c r="A2" s="207" t="s">
        <v>1080</v>
      </c>
      <c r="B2" s="207" t="s">
        <v>1081</v>
      </c>
      <c r="C2" s="208" t="s">
        <v>1082</v>
      </c>
      <c r="D2" s="208" t="s">
        <v>1083</v>
      </c>
      <c r="E2" s="208" t="s">
        <v>1084</v>
      </c>
    </row>
    <row r="3" customFormat="false" ht="63.75" hidden="false" customHeight="true" outlineLevel="0" collapsed="false">
      <c r="A3" s="209" t="n">
        <v>42038</v>
      </c>
      <c r="B3" s="209" t="n">
        <v>42058</v>
      </c>
      <c r="C3" s="210" t="s">
        <v>1085</v>
      </c>
      <c r="D3" s="210" t="s">
        <v>1086</v>
      </c>
      <c r="E3" s="210" t="s">
        <v>1087</v>
      </c>
    </row>
    <row r="4" customFormat="false" ht="25.5" hidden="false" customHeight="true" outlineLevel="0" collapsed="false">
      <c r="A4" s="211" t="n">
        <v>42109</v>
      </c>
      <c r="B4" s="212"/>
      <c r="C4" s="213" t="s">
        <v>1088</v>
      </c>
      <c r="D4" s="212"/>
      <c r="E4" s="214" t="s">
        <v>1089</v>
      </c>
    </row>
    <row r="5" customFormat="false" ht="12.75" hidden="false" customHeight="true" outlineLevel="0" collapsed="false">
      <c r="A5" s="215"/>
      <c r="B5" s="215"/>
      <c r="C5" s="215"/>
      <c r="D5" s="215"/>
      <c r="E5" s="215"/>
    </row>
    <row r="6" customFormat="false" ht="12.75" hidden="false" customHeight="true" outlineLevel="0" collapsed="false">
      <c r="A6" s="212"/>
      <c r="B6" s="212"/>
      <c r="C6" s="212"/>
      <c r="D6" s="212"/>
      <c r="E6" s="212"/>
    </row>
    <row r="7" customFormat="false" ht="12.75" hidden="false" customHeight="true" outlineLevel="0" collapsed="false">
      <c r="A7" s="215"/>
      <c r="B7" s="215"/>
      <c r="C7" s="215"/>
      <c r="D7" s="215"/>
      <c r="E7" s="215"/>
    </row>
    <row r="8" customFormat="false" ht="12.75" hidden="false" customHeight="true" outlineLevel="0" collapsed="false">
      <c r="A8" s="212"/>
      <c r="B8" s="212"/>
      <c r="C8" s="212"/>
      <c r="D8" s="212"/>
      <c r="E8" s="212"/>
    </row>
    <row r="9" customFormat="false" ht="12.75" hidden="false" customHeight="true" outlineLevel="0" collapsed="false">
      <c r="A9" s="215"/>
      <c r="B9" s="215"/>
      <c r="C9" s="215"/>
      <c r="D9" s="215"/>
      <c r="E9" s="215"/>
    </row>
    <row r="10" customFormat="false" ht="12.75" hidden="false" customHeight="true" outlineLevel="0" collapsed="false">
      <c r="A10" s="212"/>
      <c r="B10" s="212"/>
      <c r="C10" s="212"/>
      <c r="D10" s="212"/>
      <c r="E10" s="212"/>
    </row>
    <row r="11" customFormat="false" ht="12.75" hidden="false" customHeight="true" outlineLevel="0" collapsed="false">
      <c r="A11" s="215"/>
      <c r="B11" s="215"/>
      <c r="C11" s="215"/>
      <c r="D11" s="215"/>
      <c r="E11" s="215"/>
    </row>
    <row r="12" customFormat="false" ht="12.75" hidden="false" customHeight="true" outlineLevel="0" collapsed="false">
      <c r="A12" s="212"/>
      <c r="B12" s="212"/>
      <c r="C12" s="212"/>
      <c r="D12" s="212"/>
      <c r="E12" s="212"/>
    </row>
    <row r="13" customFormat="false" ht="12.75" hidden="false" customHeight="true" outlineLevel="0" collapsed="false">
      <c r="A13" s="215"/>
      <c r="B13" s="215"/>
      <c r="C13" s="215"/>
      <c r="D13" s="215"/>
      <c r="E13" s="215"/>
    </row>
    <row r="14" customFormat="false" ht="12.75" hidden="false" customHeight="true" outlineLevel="0" collapsed="false">
      <c r="A14" s="212"/>
      <c r="B14" s="212"/>
      <c r="C14" s="212"/>
      <c r="D14" s="212"/>
      <c r="E14" s="212"/>
    </row>
    <row r="15" customFormat="false" ht="12.75" hidden="false" customHeight="true" outlineLevel="0" collapsed="false">
      <c r="A15" s="215"/>
      <c r="B15" s="215"/>
      <c r="C15" s="215"/>
      <c r="D15" s="215"/>
      <c r="E15" s="215"/>
    </row>
    <row r="16" customFormat="false" ht="12.75" hidden="false" customHeight="true" outlineLevel="0" collapsed="false">
      <c r="A16" s="212"/>
      <c r="B16" s="212"/>
      <c r="C16" s="212"/>
      <c r="D16" s="212"/>
      <c r="E16" s="212"/>
    </row>
    <row r="17" customFormat="false" ht="12.75" hidden="false" customHeight="true" outlineLevel="0" collapsed="false">
      <c r="A17" s="215"/>
      <c r="B17" s="215"/>
      <c r="C17" s="215"/>
      <c r="D17" s="215"/>
      <c r="E17" s="215"/>
    </row>
    <row r="18" customFormat="false" ht="12.75" hidden="false" customHeight="true" outlineLevel="0" collapsed="false">
      <c r="A18" s="212"/>
      <c r="B18" s="212"/>
      <c r="C18" s="212"/>
      <c r="D18" s="212"/>
      <c r="E18" s="212"/>
    </row>
    <row r="19" customFormat="false" ht="12.75" hidden="false" customHeight="true" outlineLevel="0" collapsed="false">
      <c r="A19" s="215"/>
      <c r="B19" s="215"/>
      <c r="C19" s="215"/>
      <c r="D19" s="215"/>
      <c r="E19" s="215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" footer="0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  <dc:creator/>
  <dc:description/>
  <dc:language>pt-BR</dc:language>
  <cp:lastModifiedBy/>
  <dcterms:modified xsi:type="dcterms:W3CDTF">2026-07-02T09:49:00Z</dcterms:modified>
  <cp:revision>1</cp:revision>
  <dc:subject/>
  <dc:title/>
</cp:coreProperties>
</file>
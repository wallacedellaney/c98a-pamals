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<sst xmlns="http://schemas.openxmlformats.org/spreadsheetml/2006/main" count="343" uniqueCount="217">
  <si>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</si>
  <si>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</si>
  <si>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</si>
  <si>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</si>
  <si>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</si>
  <si>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</si>
  <si>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</si>
  <si>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</si>
  <si>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</si>
  <si>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</si>
  <si>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</si>
  <si>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</si>
  <si>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</si>
  <si>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</si>
  <si>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</si>
  <si>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</si>
  <si>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2025NE000369</t>
  </si>
  <si>
    <t>Ação</t>
  </si>
  <si>
    <t>C25516</t>
  </si>
  <si>
    <t>PAG</t>
  </si>
  <si>
    <t>25E0387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</si>
  <si>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</si>
  <si>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</si>
  <si>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</si>
  <si>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</si>
  <si>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</si>
  <si>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</si>
  <si>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</si>
  <si>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</si>
  <si>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</si>
  <si>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</si>
  <si>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</si>
  <si>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2025NE000371</t>
  </si>
  <si>
    <t>CELOG</t>
  </si>
  <si>
    <t>PAMALS</t>
  </si>
  <si>
    <t>25E0389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</si>
  <si>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</si>
  <si>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</si>
  <si>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</si>
  <si>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</si>
  <si>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</si>
  <si>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</si>
  <si>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</si>
  <si>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</si>
  <si>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</si>
  <si>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</si>
  <si>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</si>
  <si>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</si>
  <si>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</si>
  <si>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2025NE000559</t>
  </si>
  <si>
    <t>Módulo</t>
  </si>
  <si>
    <t>C25545</t>
  </si>
  <si>
    <t>25E0524</t>
  </si>
  <si>
    <t>Referência</t>
  </si>
  <si>
    <t>Nº recibo</t>
  </si>
  <si>
    <t>20X7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</si>
  <si>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</si>
  <si>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</si>
  <si>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</si>
  <si>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</si>
  <si>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</si>
  <si>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</si>
  <si>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</si>
  <si>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2025NE000770</t>
  </si>
  <si>
    <t>25E0731</t>
  </si>
  <si>
    <t>Faturado</t>
  </si>
  <si>
    <t>Pendente</t>
  </si>
  <si>
    <t>2025NE000774</t>
  </si>
  <si>
    <t>25E0737</t>
  </si>
  <si>
    <t>FEV/25</t>
  </si>
  <si>
    <t>-</t>
  </si>
  <si>
    <t xml:space="preserve">2025NE000369 </t>
  </si>
  <si>
    <t>2025NE000843</t>
  </si>
  <si>
    <t>C25630</t>
  </si>
  <si>
    <t>25E0787</t>
  </si>
  <si>
    <t>2025NP001980</t>
  </si>
  <si>
    <t>219C</t>
  </si>
  <si>
    <t>2025NE001065</t>
  </si>
  <si>
    <t>25E0999</t>
  </si>
  <si>
    <t>MAR/25</t>
  </si>
  <si>
    <t>2025NE001200</t>
  </si>
  <si>
    <t>C25590</t>
  </si>
  <si>
    <t>25E1128</t>
  </si>
  <si>
    <t>2025NE000367, 2025NE000369, 2025NE000371, 2025NE000413</t>
  </si>
  <si>
    <t>2025NP001979</t>
  </si>
  <si>
    <t>2025NE001598</t>
  </si>
  <si>
    <t>C25814</t>
  </si>
  <si>
    <t>25E1446</t>
  </si>
  <si>
    <t>ABR/25</t>
  </si>
  <si>
    <t>2025NE000413, 2025NE000414, 2025NE000559</t>
  </si>
  <si>
    <t>2025NP002341</t>
  </si>
  <si>
    <t>2025NE001627</t>
  </si>
  <si>
    <t>25E1475</t>
  </si>
  <si>
    <t>MAI/25</t>
  </si>
  <si>
    <t>2025NE001629</t>
  </si>
  <si>
    <t>C25820</t>
  </si>
  <si>
    <t>25E1477</t>
  </si>
  <si>
    <t>2025NP002884</t>
  </si>
  <si>
    <t>2025NE001687</t>
  </si>
  <si>
    <t>25E1535</t>
  </si>
  <si>
    <t>2025NE001688</t>
  </si>
  <si>
    <t>JUN/25</t>
  </si>
  <si>
    <t>25E1536</t>
  </si>
  <si>
    <t>2025NE000005,
 2025NE000414, 
2025NE000770, 
2025NE000774</t>
  </si>
  <si>
    <t>2025NE001689</t>
  </si>
  <si>
    <t>25E1537</t>
  </si>
  <si>
    <t>2025NP400522</t>
  </si>
  <si>
    <t>2025NE001690</t>
  </si>
  <si>
    <t>25E1538</t>
  </si>
  <si>
    <t>JUL/25</t>
  </si>
  <si>
    <t>2025NE000843, 2025NE001200</t>
  </si>
  <si>
    <t>2025NE001823</t>
  </si>
  <si>
    <t>C25865</t>
  </si>
  <si>
    <t>25E1666</t>
  </si>
  <si>
    <t>2025NP003724</t>
  </si>
  <si>
    <t>2025NE001828</t>
  </si>
  <si>
    <t>C25869</t>
  </si>
  <si>
    <t>25E1667</t>
  </si>
  <si>
    <t>AGO/25</t>
  </si>
  <si>
    <t>20YJ</t>
  </si>
  <si>
    <t>2025NE001830</t>
  </si>
  <si>
    <t>25E1669</t>
  </si>
  <si>
    <t>2025NP004558</t>
  </si>
  <si>
    <t>2025NE002200</t>
  </si>
  <si>
    <t>SET/25</t>
  </si>
  <si>
    <t>C25863</t>
  </si>
  <si>
    <t>25E2021</t>
  </si>
  <si>
    <t>2025NE001688 
2025NE001828</t>
  </si>
  <si>
    <t>2025NE002237</t>
  </si>
  <si>
    <t>25E2058</t>
  </si>
  <si>
    <t>2025NP004897</t>
  </si>
  <si>
    <t>OUT/25</t>
  </si>
  <si>
    <t>2026NE000330</t>
  </si>
  <si>
    <t>C26163</t>
  </si>
  <si>
    <t>26E0320</t>
  </si>
  <si>
    <t>2025NE001688, 2025NE001828, 2025NE002200</t>
  </si>
  <si>
    <t>2025NP004932</t>
  </si>
  <si>
    <t>2026NE000388</t>
  </si>
  <si>
    <t>C26193</t>
  </si>
  <si>
    <t>26E0375</t>
  </si>
  <si>
    <t>NOV/25</t>
  </si>
  <si>
    <t>2026NE000748</t>
  </si>
  <si>
    <t>C26312</t>
  </si>
  <si>
    <t>26E0709</t>
  </si>
  <si>
    <t>2025NE001687, 2025NE001689, 2025NE001690, 2025NE001823, 2025NE001830, 2025NE002237</t>
  </si>
  <si>
    <t>2026NP400440</t>
  </si>
  <si>
    <t>2026NE000816</t>
  </si>
  <si>
    <t>C26324</t>
  </si>
  <si>
    <t>26E0776</t>
  </si>
  <si>
    <t>2026NE000817</t>
  </si>
  <si>
    <t>DEZ/25</t>
  </si>
  <si>
    <t>C26326</t>
  </si>
  <si>
    <t>26E0777</t>
  </si>
  <si>
    <t>2025NE001065, 2025NE002200</t>
  </si>
  <si>
    <t>2026NE000842</t>
  </si>
  <si>
    <t>26E0803</t>
  </si>
  <si>
    <t>2026NP400412</t>
  </si>
  <si>
    <t>2026NE000944</t>
  </si>
  <si>
    <t>26E0906</t>
  </si>
  <si>
    <t>JAN/26</t>
  </si>
  <si>
    <t>2026NE001015</t>
  </si>
  <si>
    <t>C26363</t>
  </si>
  <si>
    <t>26E0959</t>
  </si>
  <si>
    <t>20XV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</si>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</sst>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17</v>
      </c>
      <c r="K4" s="16" t="s">
        <v>19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31</v>
      </c>
      <c r="E5" s="19" t="s">
        <v>33</v>
      </c>
      <c r="F5" s="19" t="s">
        <v>34</v>
      </c>
      <c r="G5" s="19" t="s">
        <v>34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8"/>
      <c r="V7" s="3"/>
    </row>
    <row r="8" ht="12.75" customHeight="1">
      <c r="A8" s="23"/>
      <c r="B8" s="23"/>
      <c r="C8" s="29" t="s">
        <v>50</v>
      </c>
      <c r="D8" s="29" t="s">
        <v>53</v>
      </c>
      <c r="E8" s="30" t="s">
        <v>54</v>
      </c>
      <c r="F8" s="29" t="s">
        <v>56</v>
      </c>
      <c r="G8" s="29" t="s">
        <v>57</v>
      </c>
      <c r="H8" s="29" t="s">
        <v>58</v>
      </c>
      <c r="I8" s="30" t="s">
        <v>59</v>
      </c>
      <c r="J8" s="29" t="s">
        <v>60</v>
      </c>
      <c r="K8" s="29" t="s">
        <v>61</v>
      </c>
      <c r="L8" s="31" t="s">
        <v>62</v>
      </c>
      <c r="M8" s="30" t="s">
        <v>65</v>
      </c>
      <c r="N8" s="29" t="s">
        <v>66</v>
      </c>
      <c r="O8" s="29"/>
      <c r="P8" s="28"/>
      <c r="V8" s="3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71</v>
      </c>
      <c r="I9" s="36"/>
      <c r="J9" s="36">
        <v>45778.0</v>
      </c>
      <c r="K9" s="37">
        <v>748504.24</v>
      </c>
      <c r="L9" s="35" t="s">
        <v>75</v>
      </c>
      <c r="M9" s="38">
        <f t="shared" ref="M9:M10" si="1">K9</f>
        <v>748504.24</v>
      </c>
      <c r="N9" s="39"/>
      <c r="O9" s="25"/>
      <c r="P9" s="28"/>
      <c r="V9" s="3"/>
    </row>
    <row r="10" ht="51.0" customHeight="1">
      <c r="A10" s="23"/>
      <c r="B10" s="23"/>
      <c r="C10" s="41"/>
      <c r="D10" s="33" t="s">
        <v>79</v>
      </c>
      <c r="E10" s="34" t="s">
        <v>70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84</v>
      </c>
      <c r="M10" s="38">
        <f t="shared" si="1"/>
        <v>1110378.24</v>
      </c>
      <c r="N10" s="42"/>
      <c r="O10" s="25"/>
      <c r="P10" s="28"/>
      <c r="V10" s="3"/>
    </row>
    <row r="11" ht="12.75" customHeight="1">
      <c r="A11" s="23"/>
      <c r="B11" s="23"/>
      <c r="C11" s="41"/>
      <c r="D11" s="33" t="s">
        <v>88</v>
      </c>
      <c r="E11" s="34" t="s">
        <v>70</v>
      </c>
      <c r="F11" s="35">
        <v>634.0</v>
      </c>
      <c r="G11" s="36">
        <v>45799.0</v>
      </c>
      <c r="H11" s="35" t="s">
        <v>89</v>
      </c>
      <c r="I11" s="36"/>
      <c r="J11" s="36">
        <v>45844.0</v>
      </c>
      <c r="K11" s="37">
        <v>974557.12</v>
      </c>
      <c r="L11" s="34" t="s">
        <v>90</v>
      </c>
      <c r="M11" s="38">
        <v>974557.12</v>
      </c>
      <c r="N11" s="42"/>
      <c r="O11" s="25"/>
      <c r="P11" s="28"/>
      <c r="V11" s="3"/>
    </row>
    <row r="12" ht="27.75" customHeight="1">
      <c r="A12" s="23"/>
      <c r="B12" s="23"/>
      <c r="C12" s="41"/>
      <c r="D12" s="33" t="s">
        <v>93</v>
      </c>
      <c r="E12" s="34" t="s">
        <v>70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8"/>
      <c r="V12" s="3"/>
    </row>
    <row r="13">
      <c r="A13" s="23"/>
      <c r="B13" s="23"/>
      <c r="C13" s="41"/>
      <c r="D13" s="48" t="s">
        <v>101</v>
      </c>
      <c r="E13" s="34" t="s">
        <v>70</v>
      </c>
      <c r="F13" s="35">
        <v>661.0</v>
      </c>
      <c r="G13" s="36">
        <v>45856.0</v>
      </c>
      <c r="H13" s="35" t="s">
        <v>103</v>
      </c>
      <c r="I13" s="43"/>
      <c r="J13" s="43">
        <v>45891.0</v>
      </c>
      <c r="K13" s="45">
        <v>1223702.3</v>
      </c>
      <c r="L13" s="34" t="s">
        <v>106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1"/>
      <c r="D14" s="48" t="s">
        <v>109</v>
      </c>
      <c r="E14" s="34" t="s">
        <v>70</v>
      </c>
      <c r="F14" s="34">
        <v>688.0</v>
      </c>
      <c r="G14" s="36">
        <v>45901.0</v>
      </c>
      <c r="H14" s="34" t="s">
        <v>110</v>
      </c>
      <c r="I14" s="43"/>
      <c r="J14" s="43">
        <v>45938.0</v>
      </c>
      <c r="K14" s="45">
        <v>1011677.95</v>
      </c>
      <c r="L14" s="34" t="s">
        <v>114</v>
      </c>
      <c r="M14" s="38">
        <v>1011677.95</v>
      </c>
      <c r="N14" s="42"/>
      <c r="O14" s="25"/>
      <c r="P14" s="28"/>
      <c r="V14" s="3"/>
    </row>
    <row r="15">
      <c r="A15" s="23"/>
      <c r="B15" s="23"/>
      <c r="C15" s="41"/>
      <c r="D15" s="48" t="s">
        <v>118</v>
      </c>
      <c r="E15" s="34" t="s">
        <v>70</v>
      </c>
      <c r="F15" s="34">
        <v>696.0</v>
      </c>
      <c r="G15" s="36">
        <v>45923.0</v>
      </c>
      <c r="H15" s="34" t="s">
        <v>80</v>
      </c>
      <c r="I15" s="43"/>
      <c r="J15" s="43">
        <v>45938.0</v>
      </c>
      <c r="K15" s="45">
        <v>896744.06</v>
      </c>
      <c r="L15" s="34" t="s">
        <v>122</v>
      </c>
      <c r="M15" s="38">
        <v>896744.06</v>
      </c>
      <c r="N15" s="47"/>
      <c r="O15" s="25"/>
      <c r="V15" s="3"/>
    </row>
    <row r="16">
      <c r="A16" s="23"/>
      <c r="B16" s="23"/>
      <c r="C16" s="41"/>
      <c r="D16" s="48" t="s">
        <v>124</v>
      </c>
      <c r="E16" s="34" t="s">
        <v>70</v>
      </c>
      <c r="F16" s="34">
        <v>704.0</v>
      </c>
      <c r="G16" s="36">
        <v>45957.0</v>
      </c>
      <c r="H16" s="34" t="s">
        <v>127</v>
      </c>
      <c r="I16" s="43"/>
      <c r="J16" s="43">
        <v>46003.0</v>
      </c>
      <c r="K16" s="45">
        <v>919329.06</v>
      </c>
      <c r="L16" s="34" t="s">
        <v>130</v>
      </c>
      <c r="M16" s="38">
        <v>919329.06</v>
      </c>
      <c r="N16" s="42"/>
      <c r="O16" s="25"/>
      <c r="V16" s="3"/>
    </row>
    <row r="17">
      <c r="A17" s="23"/>
      <c r="B17" s="23"/>
      <c r="C17" s="41"/>
      <c r="D17" s="48" t="s">
        <v>131</v>
      </c>
      <c r="E17" s="34"/>
      <c r="F17" s="34">
        <v>705.0</v>
      </c>
      <c r="G17" s="43">
        <v>45972.0</v>
      </c>
      <c r="H17" s="34" t="s">
        <v>135</v>
      </c>
      <c r="I17" s="34"/>
      <c r="J17" s="43">
        <v>46016.0</v>
      </c>
      <c r="K17" s="45">
        <v>1157009.26</v>
      </c>
      <c r="L17" s="34" t="s">
        <v>136</v>
      </c>
      <c r="M17" s="38">
        <v>1157009.26</v>
      </c>
      <c r="N17" s="51"/>
      <c r="O17" s="25"/>
      <c r="V17" s="3"/>
    </row>
    <row r="18">
      <c r="A18" s="23"/>
      <c r="B18" s="23"/>
      <c r="C18" s="41"/>
      <c r="D18" s="48" t="s">
        <v>140</v>
      </c>
      <c r="E18" s="34" t="s">
        <v>70</v>
      </c>
      <c r="F18" s="34">
        <v>728.0</v>
      </c>
      <c r="G18" s="43">
        <v>46008.0</v>
      </c>
      <c r="H18" s="34" t="s">
        <v>144</v>
      </c>
      <c r="I18" s="34"/>
      <c r="J18" s="43">
        <v>46040.0</v>
      </c>
      <c r="K18" s="45">
        <v>1214597.952</v>
      </c>
      <c r="L18" s="34" t="s">
        <v>145</v>
      </c>
      <c r="M18" s="38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8" t="s">
        <v>150</v>
      </c>
      <c r="E19" s="34" t="s">
        <v>70</v>
      </c>
      <c r="F19" s="34">
        <v>278.0</v>
      </c>
      <c r="G19" s="43">
        <v>46042.0</v>
      </c>
      <c r="H19" s="34" t="s">
        <v>153</v>
      </c>
      <c r="I19" s="43"/>
      <c r="J19" s="43">
        <v>46074.0</v>
      </c>
      <c r="K19" s="45">
        <v>967082.09</v>
      </c>
      <c r="L19" s="34" t="s">
        <v>156</v>
      </c>
      <c r="M19" s="38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8" t="s">
        <v>159</v>
      </c>
      <c r="E20" s="34"/>
      <c r="F20" s="34">
        <v>10.0</v>
      </c>
      <c r="G20" s="43">
        <v>46078.0</v>
      </c>
      <c r="H20" s="34" t="s">
        <v>111</v>
      </c>
      <c r="I20" s="43"/>
      <c r="J20" s="43">
        <v>46106.0</v>
      </c>
      <c r="K20" s="45">
        <v>719561.08</v>
      </c>
      <c r="L20" s="34" t="s">
        <v>164</v>
      </c>
      <c r="M20" s="38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8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8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8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8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137</v>
      </c>
      <c r="I27" s="43"/>
      <c r="J27" s="43">
        <v>46284.0</v>
      </c>
      <c r="K27" s="45"/>
      <c r="L27" s="34"/>
      <c r="M27" s="38" t="s">
        <v>183</v>
      </c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50</v>
      </c>
      <c r="D28" s="29" t="s">
        <v>53</v>
      </c>
      <c r="E28" s="30" t="s">
        <v>54</v>
      </c>
      <c r="F28" s="30" t="s">
        <v>56</v>
      </c>
      <c r="G28" s="30"/>
      <c r="H28" s="30" t="s">
        <v>58</v>
      </c>
      <c r="I28" s="30"/>
      <c r="J28" s="30"/>
      <c r="K28" s="30" t="s">
        <v>61</v>
      </c>
      <c r="L28" s="30" t="s">
        <v>62</v>
      </c>
      <c r="M28" s="30" t="s">
        <v>65</v>
      </c>
      <c r="N28" s="30" t="s">
        <v>66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63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63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72</v>
      </c>
      <c r="I33" s="64"/>
      <c r="J33" s="64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123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98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115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111</v>
      </c>
      <c r="I37" s="68"/>
      <c r="J37" s="67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8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8"/>
      <c r="N39" s="69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8"/>
      <c r="N40" s="70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8"/>
      <c r="N41" s="70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111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77</v>
      </c>
      <c r="I43" s="68"/>
      <c r="J43" s="67">
        <v>46233.0</v>
      </c>
      <c r="K43" s="45">
        <v>58868.35</v>
      </c>
      <c r="L43" s="34" t="s">
        <v>65</v>
      </c>
      <c r="M43" s="72">
        <v>58868.35</v>
      </c>
      <c r="N43" s="51"/>
      <c r="V43" s="3"/>
    </row>
    <row r="44" ht="12.75" customHeight="1">
      <c r="A44" s="15"/>
      <c r="B44" s="15"/>
      <c r="C44" s="41"/>
      <c r="K44" s="73"/>
      <c r="M44" s="73"/>
      <c r="V44" s="3"/>
    </row>
    <row r="45" ht="12.75" customHeight="1">
      <c r="A45" s="15"/>
      <c r="B45" s="15"/>
      <c r="C45" s="41"/>
      <c r="K45" s="73"/>
      <c r="M45" s="73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3"/>
      <c r="M50" s="73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46258.0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16</v>
      </c>
      <c r="B5" s="10" t="s">
        <v>18</v>
      </c>
      <c r="C5" s="10" t="s">
        <v>20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32</v>
      </c>
      <c r="B6" s="10" t="s">
        <v>18</v>
      </c>
      <c r="C6" s="10" t="s">
        <v>35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40</v>
      </c>
      <c r="B7" s="10" t="s">
        <v>41</v>
      </c>
      <c r="C7" s="10" t="s">
        <v>42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7"/>
      <c r="AB8" s="2"/>
      <c r="AC8" s="2"/>
      <c r="AD8" s="2"/>
      <c r="AE8" s="2"/>
      <c r="AF8" s="2"/>
      <c r="AG8" s="2"/>
      <c r="AH8" s="2"/>
    </row>
    <row r="9">
      <c r="A9" s="10" t="s">
        <v>49</v>
      </c>
      <c r="B9" s="10" t="s">
        <v>51</v>
      </c>
      <c r="C9" s="10" t="s">
        <v>52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55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63</v>
      </c>
      <c r="B10" s="10" t="s">
        <v>7</v>
      </c>
      <c r="C10" s="10" t="s">
        <v>64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67</v>
      </c>
      <c r="B11" s="10" t="s">
        <v>18</v>
      </c>
      <c r="C11" s="10" t="s">
        <v>68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72</v>
      </c>
      <c r="B12" s="10" t="s">
        <v>73</v>
      </c>
      <c r="C12" s="10" t="s">
        <v>74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76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77</v>
      </c>
      <c r="B13" s="10" t="s">
        <v>7</v>
      </c>
      <c r="C13" s="10" t="s">
        <v>78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40"/>
      <c r="AB13" s="2"/>
      <c r="AC13" s="2"/>
      <c r="AD13" s="2"/>
      <c r="AE13" s="2"/>
      <c r="AF13" s="2"/>
      <c r="AG13" s="2"/>
      <c r="AH13" s="2"/>
    </row>
    <row r="14">
      <c r="A14" s="10" t="s">
        <v>80</v>
      </c>
      <c r="B14" s="10" t="s">
        <v>81</v>
      </c>
      <c r="C14" s="10" t="s">
        <v>82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55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85</v>
      </c>
      <c r="B15" s="10" t="s">
        <v>86</v>
      </c>
      <c r="C15" s="10" t="s">
        <v>87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91</v>
      </c>
      <c r="B16" s="10" t="s">
        <v>7</v>
      </c>
      <c r="C16" s="10" t="s">
        <v>92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94</v>
      </c>
      <c r="B17" s="10" t="s">
        <v>95</v>
      </c>
      <c r="C17" s="10" t="s">
        <v>96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98</v>
      </c>
      <c r="B18" s="10" t="s">
        <v>81</v>
      </c>
      <c r="C18" s="10" t="s">
        <v>99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55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100</v>
      </c>
      <c r="B19" s="10" t="s">
        <v>73</v>
      </c>
      <c r="C19" s="10" t="s">
        <v>102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76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104</v>
      </c>
      <c r="B20" s="10" t="s">
        <v>7</v>
      </c>
      <c r="C20" s="10" t="s">
        <v>105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107</v>
      </c>
      <c r="B21" s="10" t="s">
        <v>18</v>
      </c>
      <c r="C21" s="10" t="s">
        <v>108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111</v>
      </c>
      <c r="B22" s="10" t="s">
        <v>112</v>
      </c>
      <c r="C22" s="10" t="s">
        <v>113</v>
      </c>
      <c r="D22" s="10" t="s">
        <v>4</v>
      </c>
      <c r="E22" s="50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115</v>
      </c>
      <c r="B23" s="10" t="s">
        <v>116</v>
      </c>
      <c r="C23" s="10" t="s">
        <v>117</v>
      </c>
      <c r="D23" s="10" t="s">
        <v>4</v>
      </c>
      <c r="E23" s="50">
        <v>45953.0</v>
      </c>
      <c r="F23" s="10" t="s">
        <v>5</v>
      </c>
      <c r="G23" s="10">
        <v>12.0</v>
      </c>
      <c r="H23" s="10">
        <v>339039.0</v>
      </c>
      <c r="I23" s="10" t="s">
        <v>119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120</v>
      </c>
      <c r="B24" s="10" t="s">
        <v>18</v>
      </c>
      <c r="C24" s="10" t="s">
        <v>121</v>
      </c>
      <c r="D24" s="10" t="s">
        <v>4</v>
      </c>
      <c r="E24" s="50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123</v>
      </c>
      <c r="B25" s="10" t="s">
        <v>125</v>
      </c>
      <c r="C25" s="10" t="s">
        <v>126</v>
      </c>
      <c r="D25" s="10" t="s">
        <v>4</v>
      </c>
      <c r="E25" s="50">
        <v>45975.0</v>
      </c>
      <c r="F25" s="10" t="s">
        <v>5</v>
      </c>
      <c r="G25" s="10">
        <v>12.0</v>
      </c>
      <c r="H25" s="10">
        <v>339039.0</v>
      </c>
      <c r="I25" s="10" t="s">
        <v>119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128</v>
      </c>
      <c r="B26" s="10" t="s">
        <v>7</v>
      </c>
      <c r="C26" s="10" t="s">
        <v>129</v>
      </c>
      <c r="D26" s="10" t="s">
        <v>4</v>
      </c>
      <c r="E26" s="50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132</v>
      </c>
      <c r="B27" s="10" t="s">
        <v>133</v>
      </c>
      <c r="C27" s="10" t="s">
        <v>134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137</v>
      </c>
      <c r="B28" s="10" t="s">
        <v>138</v>
      </c>
      <c r="C28" s="10" t="s">
        <v>139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4">
        <v>1629834.48</v>
      </c>
      <c r="L28" s="14">
        <v>282458.04</v>
      </c>
      <c r="AB28" s="2"/>
      <c r="AC28" s="2"/>
      <c r="AD28" s="2"/>
      <c r="AE28" s="2"/>
      <c r="AF28" s="2"/>
      <c r="AG28" s="2"/>
      <c r="AH28" s="2"/>
    </row>
    <row r="29">
      <c r="A29" s="10" t="s">
        <v>141</v>
      </c>
      <c r="B29" s="10" t="s">
        <v>142</v>
      </c>
      <c r="C29" s="10" t="s">
        <v>143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146</v>
      </c>
      <c r="B30" s="10" t="s">
        <v>147</v>
      </c>
      <c r="C30" s="10" t="s">
        <v>148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149</v>
      </c>
      <c r="B31" s="10" t="s">
        <v>151</v>
      </c>
      <c r="C31" s="10" t="s">
        <v>152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119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154</v>
      </c>
      <c r="B32" s="10" t="s">
        <v>151</v>
      </c>
      <c r="C32" s="14" t="s">
        <v>155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119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157</v>
      </c>
      <c r="B33" s="10" t="s">
        <v>142</v>
      </c>
      <c r="C33" s="14" t="s">
        <v>158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160</v>
      </c>
      <c r="B34" s="10" t="s">
        <v>161</v>
      </c>
      <c r="C34" s="10" t="s">
        <v>162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163</v>
      </c>
      <c r="J34" s="14">
        <v>236343.68</v>
      </c>
      <c r="K34" s="10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
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<sst xmlns="http://schemas.openxmlformats.org/spreadsheetml/2006/main" count="341" uniqueCount="216">
  <si>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</si>
  <si>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2025NE000005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</si>
  <si>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</si>
  <si>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</si>
  <si>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</si>
  <si>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</si>
  <si>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</si>
  <si>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</si>
  <si>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</si>
  <si>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</si>
  <si>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</si>
  <si>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</si>
  <si>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</si>
  <si>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</si>
  <si>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</si>
  <si>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</si>
  <si>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</si>
  <si>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</si>
  <si>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</si>
  <si>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</si>
  <si>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</si>
  <si>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</si>
  <si>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</si>
  <si>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</si>
  <si>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2025NE000413</t>
  </si>
  <si>
    <t>Valor Total do Contrato</t>
  </si>
  <si>
    <t>C25501</t>
  </si>
  <si>
    <t>Valor a Empenhar</t>
  </si>
  <si>
    <t>25E0403</t>
  </si>
  <si>
    <t>Valor Empenhado</t>
  </si>
  <si>
    <t>Valor Liquidado</t>
  </si>
  <si>
    <t>Saldo (Valor a Faturar)</t>
  </si>
  <si>
    <t>Fornecedor</t>
  </si>
  <si>
    <t>Tipo Despesa /Receita</t>
  </si>
  <si>
    <t>20SP</t>
  </si>
  <si>
    <t>Abrir</t>
  </si>
  <si>
    <t>Editar</t>
  </si>
  <si>
    <t>005/CELOG-PAMALS/2025</t>
  </si>
  <si>
    <t>2025NE000414</t>
  </si>
  <si>
    <t>CELOG</t>
  </si>
  <si>
    <t>C25525</t>
  </si>
  <si>
    <t>PAMALS</t>
  </si>
  <si>
    <t>25E0431</t>
  </si>
  <si>
    <t>Vigente</t>
  </si>
  <si>
    <t>2048 20YJ 21EM 219C 20SP 20X7 2000</t>
  </si>
  <si>
    <t>67101.001510/2024-12</t>
  </si>
  <si>
    <t>21EM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</si>
  <si>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</si>
  <si>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</si>
  <si>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</si>
  <si>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</si>
  <si>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</si>
  <si>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</si>
  <si>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</si>
  <si>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</si>
  <si>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</si>
  <si>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</si>
  <si>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Nº recibo</t>
  </si>
  <si>
    <t>Nº</t>
  </si>
  <si>
    <t>2025NE000774</t>
  </si>
  <si>
    <t>Data</t>
  </si>
  <si>
    <t>Empenho</t>
  </si>
  <si>
    <t>25E0737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</si>
  <si>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</si>
  <si>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</si>
  <si>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</si>
  <si>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</si>
  <si>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</si>
  <si>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</si>
  <si>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</si>
  <si>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</si>
  <si>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</si>
  <si>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</si>
  <si>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FEV/25</t>
  </si>
  <si>
    <t>2025NE001065</t>
  </si>
  <si>
    <t>-</t>
  </si>
  <si>
    <t>25E0999</t>
  </si>
  <si>
    <t xml:space="preserve">2025NE000369 </t>
  </si>
  <si>
    <t>2025NP001980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</si>
  <si>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</si>
  <si>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</si>
  <si>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</si>
  <si>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</si>
  <si>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</si>
  <si>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</si>
  <si>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</si>
  <si>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2025NE001627</t>
  </si>
  <si>
    <t>25E1475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</si>
  <si>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</si>
  <si>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</si>
  <si>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</si>
  <si>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</si>
  <si>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</si>
  <si>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</si>
  <si>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2025NE000413, 2025NE000414, 2025NE000559</t>
  </si>
  <si>
    <t>2025NP002341</t>
  </si>
  <si>
    <t>2025NE001687</t>
  </si>
  <si>
    <t>25E1535</t>
  </si>
  <si>
    <t>MAI/25</t>
  </si>
  <si>
    <t>2025NE001688</t>
  </si>
  <si>
    <t>2025NP002884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</si>
  <si>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</si>
  <si>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</si>
  <si>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</si>
  <si>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</si>
  <si>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</si>
  <si>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</si>
  <si>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</si>
  <si>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</si>
  <si>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</si>
  <si>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2025NE000843, 2025NE001200</t>
  </si>
  <si>
    <t>2025NE001823</t>
  </si>
  <si>
    <t>C25865</t>
  </si>
  <si>
    <t>25E1666</t>
  </si>
  <si>
    <t>2025NP003724</t>
  </si>
  <si>
    <t>AGO/25</t>
  </si>
  <si>
    <t>2025NE001828</t>
  </si>
  <si>
    <t>C25869</t>
  </si>
  <si>
    <t>25E1667</t>
  </si>
  <si>
    <t>2025NP004558</t>
  </si>
  <si>
    <t>20YJ</t>
  </si>
  <si>
    <t>2025NE001830</t>
  </si>
  <si>
    <t>SET/25</t>
  </si>
  <si>
    <t>25E1669</t>
  </si>
  <si>
    <t>2025NE001688 
2025NE001828</t>
  </si>
  <si>
    <t>2025NP004897</t>
  </si>
  <si>
    <t>2025NE002200</t>
  </si>
  <si>
    <t>C25863</t>
  </si>
  <si>
    <t>25E2021</t>
  </si>
  <si>
    <t>OUT/25</t>
  </si>
  <si>
    <t>2025NE001688, 2025NE001828, 2025NE002200</t>
  </si>
  <si>
    <t>2025NP004932</t>
  </si>
  <si>
    <t>2025NE002237</t>
  </si>
  <si>
    <t>25E2058</t>
  </si>
  <si>
    <t>NOV/25</t>
  </si>
  <si>
    <t>2025NE001687, 2025NE001689, 2025NE001690, 2025NE001823, 2025NE001830, 2025NE002237</t>
  </si>
  <si>
    <t>2026NE000330</t>
  </si>
  <si>
    <t>C26163</t>
  </si>
  <si>
    <t>26E0320</t>
  </si>
  <si>
    <t>2026NP400440</t>
  </si>
  <si>
    <t>2026NE000388</t>
  </si>
  <si>
    <t>DEZ/25</t>
  </si>
  <si>
    <t>C26193</t>
  </si>
  <si>
    <t>26E0375</t>
  </si>
  <si>
    <t>2025NE001065, 2025NE002200</t>
  </si>
  <si>
    <t>2026NP400412</t>
  </si>
  <si>
    <t>2026NE000748</t>
  </si>
  <si>
    <t>C26312</t>
  </si>
  <si>
    <t>26E0709</t>
  </si>
  <si>
    <t>JAN/26</t>
  </si>
  <si>
    <t>2026NE000816</t>
  </si>
  <si>
    <t>C26324</t>
  </si>
  <si>
    <t>26E0776</t>
  </si>
  <si>
    <t>2026NP401035</t>
  </si>
  <si>
    <t>FEV/26</t>
  </si>
  <si>
    <t>2026NE000817</t>
  </si>
  <si>
    <t>C26326</t>
  </si>
  <si>
    <t>26E0777</t>
  </si>
  <si>
    <t>2025NE001627, 2025NE001629, 2025NE001823</t>
  </si>
  <si>
    <t>2026NP402272</t>
  </si>
  <si>
    <t>2026NE000842</t>
  </si>
  <si>
    <t>26E0803</t>
  </si>
  <si>
    <t>MAR/26</t>
  </si>
  <si>
    <t>2025NE000770, 2025NE001627</t>
  </si>
  <si>
    <t>2026NE000944</t>
  </si>
  <si>
    <t>26E0906</t>
  </si>
  <si>
    <t>R$ 1.350.542,52</t>
  </si>
  <si>
    <t>2026NP401762</t>
  </si>
  <si>
    <t>2026NE001015</t>
  </si>
  <si>
    <t>C26363</t>
  </si>
  <si>
    <t>ABR/26</t>
  </si>
  <si>
    <t>26E0959</t>
  </si>
  <si>
    <t>20XV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</si>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</sst>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6"/>
      <c r="B2" s="9" t="s">
        <v>3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14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25</v>
      </c>
      <c r="N4" s="17" t="s">
        <v>27</v>
      </c>
      <c r="O4" s="17" t="s">
        <v>29</v>
      </c>
      <c r="P4" s="17" t="s">
        <v>30</v>
      </c>
      <c r="Q4" s="17" t="s">
        <v>31</v>
      </c>
      <c r="R4" s="16" t="s">
        <v>32</v>
      </c>
      <c r="S4" s="16" t="s">
        <v>33</v>
      </c>
      <c r="T4" s="16" t="s">
        <v>35</v>
      </c>
      <c r="U4" s="16" t="s">
        <v>36</v>
      </c>
      <c r="V4" s="5"/>
    </row>
    <row r="5" ht="12.75" customHeight="1">
      <c r="A5" s="15"/>
      <c r="B5" s="15"/>
      <c r="C5" s="18"/>
      <c r="D5" s="19" t="s">
        <v>37</v>
      </c>
      <c r="E5" s="19" t="s">
        <v>39</v>
      </c>
      <c r="F5" s="19" t="s">
        <v>41</v>
      </c>
      <c r="G5" s="19" t="s">
        <v>41</v>
      </c>
      <c r="H5" s="20">
        <v>1564.0</v>
      </c>
      <c r="I5" s="20">
        <v>1564.0</v>
      </c>
      <c r="J5" s="19" t="s">
        <v>43</v>
      </c>
      <c r="K5" s="19" t="s">
        <v>44</v>
      </c>
      <c r="L5" s="19" t="s">
        <v>45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5"/>
    </row>
    <row r="8" ht="12.75" customHeight="1">
      <c r="A8" s="24"/>
      <c r="B8" s="24"/>
      <c r="C8" s="29" t="s">
        <v>55</v>
      </c>
      <c r="D8" s="29" t="s">
        <v>56</v>
      </c>
      <c r="E8" s="30" t="s">
        <v>57</v>
      </c>
      <c r="F8" s="29" t="s">
        <v>58</v>
      </c>
      <c r="G8" s="29" t="s">
        <v>60</v>
      </c>
      <c r="H8" s="29" t="s">
        <v>61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5"/>
    </row>
    <row r="9" ht="19.5" customHeight="1">
      <c r="A9" s="24"/>
      <c r="B9" s="24"/>
      <c r="C9" s="32">
        <v>1.0</v>
      </c>
      <c r="D9" s="33" t="s">
        <v>73</v>
      </c>
      <c r="E9" s="34" t="s">
        <v>75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78</v>
      </c>
      <c r="M9" s="39">
        <f t="shared" ref="M9:M10" si="1">K9</f>
        <v>748504.24</v>
      </c>
      <c r="N9" s="40"/>
      <c r="O9" s="26"/>
      <c r="P9" s="28"/>
      <c r="V9" s="5"/>
    </row>
    <row r="10" ht="51.0" customHeight="1">
      <c r="A10" s="24"/>
      <c r="B10" s="24"/>
      <c r="C10" s="41"/>
      <c r="D10" s="33" t="s">
        <v>85</v>
      </c>
      <c r="E10" s="34" t="s">
        <v>75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8">
        <v>1110378.24</v>
      </c>
      <c r="L10" s="35" t="s">
        <v>89</v>
      </c>
      <c r="M10" s="39">
        <f t="shared" si="1"/>
        <v>1110378.24</v>
      </c>
      <c r="N10" s="42"/>
      <c r="O10" s="26"/>
      <c r="P10" s="28"/>
      <c r="V10" s="5"/>
    </row>
    <row r="11" ht="12.75" customHeight="1">
      <c r="A11" s="24"/>
      <c r="B11" s="24"/>
      <c r="C11" s="41"/>
      <c r="D11" s="33" t="s">
        <v>93</v>
      </c>
      <c r="E11" s="34" t="s">
        <v>75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8">
        <v>974557.12</v>
      </c>
      <c r="L11" s="34" t="s">
        <v>95</v>
      </c>
      <c r="M11" s="39">
        <v>974557.12</v>
      </c>
      <c r="N11" s="42"/>
      <c r="O11" s="26"/>
      <c r="P11" s="28"/>
      <c r="V11" s="5"/>
    </row>
    <row r="12" ht="27.75" customHeight="1">
      <c r="A12" s="24"/>
      <c r="B12" s="24"/>
      <c r="C12" s="41"/>
      <c r="D12" s="33" t="s">
        <v>98</v>
      </c>
      <c r="E12" s="34" t="s">
        <v>75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100</v>
      </c>
      <c r="M12" s="39">
        <v>1402001.34</v>
      </c>
      <c r="N12" s="47"/>
      <c r="O12" s="26"/>
      <c r="P12" s="28"/>
      <c r="V12" s="5"/>
    </row>
    <row r="13">
      <c r="A13" s="24"/>
      <c r="B13" s="24"/>
      <c r="C13" s="41"/>
      <c r="D13" s="48" t="s">
        <v>102</v>
      </c>
      <c r="E13" s="34" t="s">
        <v>75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9">
        <v>1223702.3</v>
      </c>
      <c r="N13" s="47"/>
      <c r="O13" s="26"/>
      <c r="P13" s="49"/>
      <c r="V13" s="5"/>
    </row>
    <row r="14">
      <c r="A14" s="24"/>
      <c r="B14" s="24"/>
      <c r="C14" s="41"/>
      <c r="D14" s="48" t="s">
        <v>109</v>
      </c>
      <c r="E14" s="34" t="s">
        <v>75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6"/>
      <c r="P14" s="28"/>
      <c r="V14" s="5"/>
    </row>
    <row r="15">
      <c r="A15" s="24"/>
      <c r="B15" s="24"/>
      <c r="C15" s="41"/>
      <c r="D15" s="48" t="s">
        <v>115</v>
      </c>
      <c r="E15" s="34" t="s">
        <v>75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9">
        <v>896744.06</v>
      </c>
      <c r="N15" s="47"/>
      <c r="O15" s="26"/>
      <c r="V15" s="5"/>
    </row>
    <row r="16">
      <c r="A16" s="24"/>
      <c r="B16" s="24"/>
      <c r="C16" s="41"/>
      <c r="D16" s="48" t="s">
        <v>122</v>
      </c>
      <c r="E16" s="34" t="s">
        <v>75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125</v>
      </c>
      <c r="M16" s="39">
        <v>919329.06</v>
      </c>
      <c r="N16" s="42"/>
      <c r="O16" s="26"/>
      <c r="V16" s="5"/>
    </row>
    <row r="17">
      <c r="A17" s="24"/>
      <c r="B17" s="24"/>
      <c r="C17" s="41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9">
        <v>1157009.26</v>
      </c>
      <c r="N17" s="51"/>
      <c r="O17" s="26"/>
      <c r="V17" s="5"/>
    </row>
    <row r="18">
      <c r="A18" s="24"/>
      <c r="B18" s="24"/>
      <c r="C18" s="41"/>
      <c r="D18" s="48" t="s">
        <v>134</v>
      </c>
      <c r="E18" s="34" t="s">
        <v>75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8" t="s">
        <v>141</v>
      </c>
      <c r="E19" s="34" t="s">
        <v>75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145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8" t="s">
        <v>149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153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8" t="s">
        <v>154</v>
      </c>
      <c r="E21" s="34"/>
      <c r="F21" s="34">
        <v>15.0</v>
      </c>
      <c r="G21" s="43">
        <v>46094.0</v>
      </c>
      <c r="H21" s="34" t="s">
        <v>158</v>
      </c>
      <c r="I21" s="43"/>
      <c r="J21" s="43">
        <v>46128.0</v>
      </c>
      <c r="K21" s="45">
        <v>885881.08</v>
      </c>
      <c r="L21" s="34" t="s">
        <v>159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8" t="s">
        <v>170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159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56</v>
      </c>
      <c r="E28" s="30" t="s">
        <v>57</v>
      </c>
      <c r="F28" s="29" t="s">
        <v>58</v>
      </c>
      <c r="G28" s="29"/>
      <c r="H28" s="29" t="s">
        <v>61</v>
      </c>
      <c r="I28" s="29"/>
      <c r="J28" s="29"/>
      <c r="K28" s="56" t="s">
        <v>65</v>
      </c>
      <c r="L28" s="31" t="s">
        <v>66</v>
      </c>
      <c r="M28" s="57" t="s">
        <v>67</v>
      </c>
      <c r="N28" s="29" t="s">
        <v>68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8">
        <v>188246.17</v>
      </c>
      <c r="L29" s="34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8">
        <v>112720.77</v>
      </c>
      <c r="L30" s="34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53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53</v>
      </c>
      <c r="I32" s="43"/>
      <c r="J32" s="43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96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116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111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74</v>
      </c>
      <c r="I43" s="70"/>
      <c r="J43" s="69">
        <v>46233.0</v>
      </c>
      <c r="K43" s="45">
        <v>58868.35</v>
      </c>
      <c r="L43" s="34" t="s">
        <v>67</v>
      </c>
      <c r="M43" s="74">
        <v>58868.35</v>
      </c>
      <c r="N43" s="51"/>
      <c r="V43" s="5"/>
    </row>
    <row r="44" ht="12.75" customHeight="1">
      <c r="A44" s="15"/>
      <c r="B44" s="15"/>
      <c r="C44" s="41"/>
      <c r="K44" s="75"/>
      <c r="M44" s="75"/>
      <c r="V44" s="5"/>
    </row>
    <row r="45" ht="12.75" customHeight="1">
      <c r="A45" s="15"/>
      <c r="B45" s="15"/>
      <c r="C45" s="41"/>
      <c r="K45" s="75"/>
      <c r="M45" s="75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5"/>
      <c r="M50" s="75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2</v>
      </c>
      <c r="C3" s="8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13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24</v>
      </c>
      <c r="B7" s="7" t="s">
        <v>26</v>
      </c>
      <c r="C7" s="7" t="s">
        <v>28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34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38</v>
      </c>
      <c r="B8" s="7" t="s">
        <v>40</v>
      </c>
      <c r="C8" s="7" t="s">
        <v>42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46</v>
      </c>
      <c r="J8" s="13">
        <v>524584.95</v>
      </c>
      <c r="K8" s="13">
        <v>524584.95</v>
      </c>
      <c r="L8" s="7">
        <v>0.0</v>
      </c>
      <c r="O8" s="22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59</v>
      </c>
      <c r="B11" s="7" t="s">
        <v>10</v>
      </c>
      <c r="C11" s="7" t="s">
        <v>62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69</v>
      </c>
      <c r="B12" s="7" t="s">
        <v>70</v>
      </c>
      <c r="C12" s="7" t="s">
        <v>71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72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74</v>
      </c>
      <c r="B13" s="7" t="s">
        <v>7</v>
      </c>
      <c r="C13" s="7" t="s">
        <v>76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7" t="s">
        <v>79</v>
      </c>
      <c r="B14" s="7" t="s">
        <v>80</v>
      </c>
      <c r="C14" s="7" t="s">
        <v>81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84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34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86</v>
      </c>
      <c r="B16" s="7" t="s">
        <v>7</v>
      </c>
      <c r="C16" s="7" t="s">
        <v>87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90</v>
      </c>
      <c r="B17" s="7" t="s">
        <v>91</v>
      </c>
      <c r="C17" s="7" t="s">
        <v>92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96</v>
      </c>
      <c r="B18" s="7" t="s">
        <v>80</v>
      </c>
      <c r="C18" s="7" t="s">
        <v>97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99</v>
      </c>
      <c r="B19" s="7" t="s">
        <v>70</v>
      </c>
      <c r="C19" s="7" t="s">
        <v>101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72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103</v>
      </c>
      <c r="B20" s="7" t="s">
        <v>7</v>
      </c>
      <c r="C20" s="7" t="s">
        <v>104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107</v>
      </c>
      <c r="B21" s="7" t="s">
        <v>10</v>
      </c>
      <c r="C21" s="7" t="s">
        <v>108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111</v>
      </c>
      <c r="B22" s="7" t="s">
        <v>112</v>
      </c>
      <c r="C22" s="7" t="s">
        <v>113</v>
      </c>
      <c r="D22" s="7" t="s">
        <v>4</v>
      </c>
      <c r="E22" s="50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116</v>
      </c>
      <c r="B23" s="7" t="s">
        <v>117</v>
      </c>
      <c r="C23" s="7" t="s">
        <v>118</v>
      </c>
      <c r="D23" s="7" t="s">
        <v>4</v>
      </c>
      <c r="E23" s="50">
        <v>45953.0</v>
      </c>
      <c r="F23" s="7" t="s">
        <v>5</v>
      </c>
      <c r="G23" s="7">
        <v>12.0</v>
      </c>
      <c r="H23" s="7">
        <v>339039.0</v>
      </c>
      <c r="I23" s="7" t="s">
        <v>120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121</v>
      </c>
      <c r="B24" s="7" t="s">
        <v>10</v>
      </c>
      <c r="C24" s="7" t="s">
        <v>123</v>
      </c>
      <c r="D24" s="7" t="s">
        <v>4</v>
      </c>
      <c r="E24" s="50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126</v>
      </c>
      <c r="B25" s="7" t="s">
        <v>127</v>
      </c>
      <c r="C25" s="7" t="s">
        <v>128</v>
      </c>
      <c r="D25" s="7" t="s">
        <v>4</v>
      </c>
      <c r="E25" s="50">
        <v>45975.0</v>
      </c>
      <c r="F25" s="7" t="s">
        <v>5</v>
      </c>
      <c r="G25" s="7">
        <v>12.0</v>
      </c>
      <c r="H25" s="7">
        <v>339039.0</v>
      </c>
      <c r="I25" s="7" t="s">
        <v>120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132</v>
      </c>
      <c r="B26" s="7" t="s">
        <v>7</v>
      </c>
      <c r="C26" s="7" t="s">
        <v>133</v>
      </c>
      <c r="D26" s="7" t="s">
        <v>4</v>
      </c>
      <c r="E26" s="50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136</v>
      </c>
      <c r="B27" s="7" t="s">
        <v>137</v>
      </c>
      <c r="C27" s="7" t="s">
        <v>138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140</v>
      </c>
      <c r="B28" s="7" t="s">
        <v>142</v>
      </c>
      <c r="C28" s="7" t="s">
        <v>143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46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146</v>
      </c>
      <c r="B29" s="7" t="s">
        <v>147</v>
      </c>
      <c r="C29" s="7" t="s">
        <v>148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150</v>
      </c>
      <c r="B30" s="7" t="s">
        <v>151</v>
      </c>
      <c r="C30" s="7" t="s">
        <v>152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34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155</v>
      </c>
      <c r="B31" s="7" t="s">
        <v>156</v>
      </c>
      <c r="C31" s="7" t="s">
        <v>157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120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160</v>
      </c>
      <c r="B32" s="7" t="s">
        <v>156</v>
      </c>
      <c r="C32" s="13" t="s">
        <v>161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120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164</v>
      </c>
      <c r="B33" s="7" t="s">
        <v>147</v>
      </c>
      <c r="C33" s="13" t="s">
        <v>165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168</v>
      </c>
      <c r="B34" s="7" t="s">
        <v>169</v>
      </c>
      <c r="C34" s="7" t="s">
        <v>171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172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
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<sst xmlns="http://schemas.openxmlformats.org/spreadsheetml/2006/main" count="21700" uniqueCount="2961">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</sst>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46301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603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587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587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587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565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565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565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565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565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565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565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565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565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565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565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565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565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565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565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565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565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565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532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532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532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/>
      </c>
      <c r="U49" s="51" t="str">
        <f t="array" ref="U49">IFERROR(_xlfn.XLOOKUP($F49,'Acerto virtual'!$E:$E,'Acerto virtual'!G:G),"")</f>
        <v/>
      </c>
      <c r="V49" s="51" t="str">
        <f t="array" ref="V49">IFERROR(_xlfn.XLOOKUP($F49,'Acerto virtual'!$E:$E,'Acerto virtual'!H:H),"")</f>
        <v/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/>
      </c>
      <c r="Y49" s="51" t="str">
        <f t="array" ref="Y49">IFERROR(_xlfn.XLOOKUP($F49,'Acerto virtual'!$E:$E,'Acerto virtual'!K:K),"")</f>
        <v/>
      </c>
      <c r="Z49" s="51" t="str">
        <f t="array" ref="Z49">IFERROR(_xlfn.XLOOKUP($F49,'Acerto virtual'!$E:$E,'Acerto virtual'!L:L),"")</f>
        <v/>
      </c>
      <c r="AA49" s="51" t="str">
        <f t="array" ref="AA49">IFERROR(_xlfn.XLOOKUP($F49,'Acerto virtual'!$E:$E,'Acerto virtual'!M:M),"")</f>
        <v/>
      </c>
      <c r="AB49" s="51" t="str">
        <f t="array" ref="AB49">IFERROR(_xlfn.XLOOKUP($F49,'Acerto virtual'!$E:$E,'Acerto virtual'!N:N),"")</f>
        <v/>
      </c>
      <c r="AC49" s="51" t="str">
        <f t="array" ref="AC49">IFERROR(_xlfn.XLOOKUP($F49,'Acerto virtual'!$E:$E,'Acerto virtual'!O:O),"")</f>
        <v/>
      </c>
      <c r="AD49" s="51" t="str">
        <f t="array" ref="AD49">IFERROR(_xlfn.XLOOKUP($F49,'Acerto virtual'!$E:$E,'Acerto virtual'!P:P),"")</f>
        <v/>
      </c>
      <c r="AE49" s="51" t="str">
        <f t="array" ref="AE49">IFERROR(_xlfn.XLOOKUP($F49,'Acerto virtual'!$E:$E,'Acerto virtual'!Q:Q),"")</f>
        <v/>
      </c>
      <c r="AF49" s="51" t="str">
        <f t="array" ref="AF49">IFERROR(_xlfn.XLOOKUP($F49,'Acerto virtual'!$E:$E,'Acerto virtual'!R:R),"")</f>
        <v/>
      </c>
      <c r="AG49" s="51" t="str">
        <f t="array" ref="AG49">IFERROR(_xlfn.XLOOKUP($F49,'Acerto virtual'!$E:$E,'Acerto virtual'!S:S),"")</f>
        <v/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532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532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532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532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532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532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502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502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498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498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498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498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488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488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488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488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488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470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470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470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461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461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461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461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461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461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461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461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461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461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461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461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452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452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448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446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432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432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432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432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419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410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410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410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410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410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407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407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403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403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391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384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384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384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384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364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364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364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362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362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362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362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355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336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336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334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333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333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322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315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315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315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315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315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315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301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301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294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294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294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291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291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291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273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273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273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273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273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265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265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253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253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251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238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238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238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238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238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238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238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238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238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238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238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238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224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224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216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216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211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194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189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176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176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176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176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176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176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176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176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176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176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176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176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176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176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176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176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176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176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176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176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176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176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159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159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159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159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159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159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159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159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159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159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159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159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159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159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159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159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159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159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159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153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153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153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153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152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152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147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147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147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147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147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147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147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147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137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130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130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130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130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130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130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130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130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118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118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118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118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118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113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113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113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113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113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113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113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113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113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113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113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113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113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113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113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113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113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113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113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113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113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113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105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105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98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96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90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90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75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75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75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71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71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71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71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71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70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68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68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68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68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67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71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71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71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71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71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71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71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71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71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70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70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70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70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70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70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70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70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70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70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70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70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70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70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70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70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70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70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70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70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70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70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70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70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70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70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70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70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70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70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69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69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69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64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64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64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61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61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57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57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49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49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49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47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47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47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47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47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36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36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36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36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32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27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27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27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27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27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27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27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27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27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27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27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27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27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27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27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27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27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20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20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20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20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20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20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20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20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20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20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20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13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13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RBS06/10/26.")</f>
        <v>Acerto virtual de item atendido pela empresa Vee One através do contrato 005/CELOG-PAMALS/2025; RBS06/10/26.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NGS06/10/26.")</f>
        <v>Acerto virtual de item atendido pela empresa Vee One através do contrato 005/CELOG-PAMALS/2025; NGS06/10/26.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/>
      <c r="B188" s="138"/>
      <c r="C188" s="138"/>
      <c r="D188" s="138" t="str">
        <f>IFERROR(__xludf.DUMMYFUNCTION("""COMPUTED_VALUE"""),"")</f>
        <v/>
      </c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>
      <c r="A189" s="138"/>
      <c r="B189" s="138"/>
      <c r="C189" s="138"/>
      <c r="D189" s="138" t="str">
        <f>IFERROR(__xludf.DUMMYFUNCTION("""COMPUTED_VALUE"""),"")</f>
        <v/>
      </c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/>
      <c r="B190" s="138"/>
      <c r="C190" s="138"/>
      <c r="D190" s="138" t="str">
        <f>IFERROR(__xludf.DUMMYFUNCTION("""COMPUTED_VALUE"""),"")</f>
        <v/>
      </c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/>
      <c r="B191" s="138"/>
      <c r="C191" s="138"/>
      <c r="D191" s="138" t="str">
        <f>IFERROR(__xludf.DUMMYFUNCTION("""COMPUTED_VALUE"""),"")</f>
        <v/>
      </c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/>
      <c r="B192" s="138"/>
      <c r="C192" s="138"/>
      <c r="D192" s="138" t="str">
        <f>IFERROR(__xludf.DUMMYFUNCTION("""COMPUTED_VALUE"""),"")</f>
        <v/>
      </c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
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<sst xmlns="http://schemas.openxmlformats.org/spreadsheetml/2006/main" count="21700" uniqueCount="2961">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</sst>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619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603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603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603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581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581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581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581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581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581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581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581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581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581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581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581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581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581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581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581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581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581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548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548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548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548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548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548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548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548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548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518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518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514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514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514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514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504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504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504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504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504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486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486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486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477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477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477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477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477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477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477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477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477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477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477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477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468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468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464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462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448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448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448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448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435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426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426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426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426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426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423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423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419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419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407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400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400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400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400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380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380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380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378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378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378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378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371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352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352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350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349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349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338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331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331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331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331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331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331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317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317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310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310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310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307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307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307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289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289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289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289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289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281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281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269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269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267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254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254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254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254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254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254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254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254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254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254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254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254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240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240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232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232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227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210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205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192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192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192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192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192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192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192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192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192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192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192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192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192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192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192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192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192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192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192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192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192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192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175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175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175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175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175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175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175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175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175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175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175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175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175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175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175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175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175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175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175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169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169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169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169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168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168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163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163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163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163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163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163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163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163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153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146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146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146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146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146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146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146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146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134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134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134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134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134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129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129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129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129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129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129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129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129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129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129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129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129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129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129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129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129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129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129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129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129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129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129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121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121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114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112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106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106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91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91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91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87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87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87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87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87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86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84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84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84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84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83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87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87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87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87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87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87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87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87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87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86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86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86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86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86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86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86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86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86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86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86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86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86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86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86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86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86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86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86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86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86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86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86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86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86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86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86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86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86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86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85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85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85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80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80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80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77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77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73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73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65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65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65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63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63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63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63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63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52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52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52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52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48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43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43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43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43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43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43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43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43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43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43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43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43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43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43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43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43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43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36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36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36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36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36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36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36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36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36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36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36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29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29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RBS22/10/26.")</f>
        <v>Acerto virtual de item atendido pela empresa Vee One através do contrato 005/CELOG-PAMALS/2025; RBS22/10/26.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NGS22/10/26.")</f>
        <v>Acerto virtual de item atendido pela empresa Vee One através do contrato 005/CELOG-PAMALS/2025; NGS22/10/26.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 t="str">
        <f>IFERROR(__xludf.DUMMYFUNCTION("""COMPUTED_VALUE"""),"20/10")</f>
        <v>20/10</v>
      </c>
      <c r="N189" s="138" t="str">
        <f>IFERROR(__xludf.DUMMYFUNCTION("""COMPUTED_VALUE"""),"20/10")</f>
        <v>20/10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IFERROR(__xludf.DUMMYFUNCTION("""COMPUTED_VALUE"""),"09/10")</f>
        <v>09/10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 t="str">
        <f>IFERROR(__xludf.DUMMYFUNCTION("""COMPUTED_VALUE"""),"08/10")</f>
        <v>08/10</v>
      </c>
      <c r="K191" s="138" t="str">
        <f>IFERROR(__xludf.DUMMYFUNCTION("""COMPUTED_VALUE"""),"09/10")</f>
        <v>09/10</v>
      </c>
      <c r="L191" s="138" t="str">
        <f>IFERROR(__xludf.DUMMYFUNCTION("""COMPUTED_VALUE"""),"09/10")</f>
        <v>09/10</v>
      </c>
      <c r="M191" s="138" t="str">
        <f>IFERROR(__xludf.DUMMYFUNCTION("""COMPUTED_VALUE"""),"09/10")</f>
        <v>09/10</v>
      </c>
      <c r="N191" s="138" t="str">
        <f>IFERROR(__xludf.DUMMYFUNCTION("""COMPUTED_VALUE"""),"09/10")</f>
        <v>09/10</v>
      </c>
      <c r="O191" s="138" t="str">
        <f>IFERROR(__xludf.DUMMYFUNCTION("""COMPUTED_VALUE"""),"09/10")</f>
        <v>09/10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 t="str">
        <f>IFERROR(__xludf.DUMMYFUNCTION("""COMPUTED_VALUE"""),"08/10")</f>
        <v>08/10</v>
      </c>
      <c r="K192" s="138" t="str">
        <f>IFERROR(__xludf.DUMMYFUNCTION("""COMPUTED_VALUE"""),"09/10")</f>
        <v>09/10</v>
      </c>
      <c r="L192" s="138" t="str">
        <f>IFERROR(__xludf.DUMMYFUNCTION("""COMPUTED_VALUE"""),"09/10")</f>
        <v>09/10</v>
      </c>
      <c r="M192" s="138" t="str">
        <f>IFERROR(__xludf.DUMMYFUNCTION("""COMPUTED_VALUE"""),"09/10")</f>
        <v>09/10</v>
      </c>
      <c r="N192" s="138" t="str">
        <f>IFERROR(__xludf.DUMMYFUNCTION("""COMPUTED_VALUE"""),"09/10")</f>
        <v>09/10</v>
      </c>
      <c r="O192" s="138" t="str">
        <f>IFERROR(__xludf.DUMMYFUNCTION("""COMPUTED_VALUE"""),"09/10")</f>
        <v>09/10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 t="str">
        <f>IFERROR(__xludf.DUMMYFUNCTION("""COMPUTED_VALUE"""),"VEE ONE")</f>
        <v>VEE ONE</v>
      </c>
      <c r="B193" s="138" t="str">
        <f>IFERROR(__xludf.DUMMYFUNCTION("""COMPUTED_VALUE"""),"BAMN")</f>
        <v>BAMN</v>
      </c>
      <c r="C193" s="138" t="str">
        <f>IFERROR(__xludf.DUMMYFUNCTION("""COMPUTED_VALUE"""),"3244809-4")</f>
        <v>3244809-4</v>
      </c>
      <c r="D193" s="138" t="str">
        <f>IFERROR(__xludf.DUMMYFUNCTION("""COMPUTED_VALUE"""),"FUEL CONTROL UNIT")</f>
        <v>FUEL CONTROL UNIT</v>
      </c>
      <c r="E193" s="138" t="str">
        <f>IFERROR(__xludf.DUMMYFUNCTION("""COMPUTED_VALUE"""),"C25208")</f>
        <v>C25208</v>
      </c>
      <c r="F193" s="138" t="str">
        <f>IFERROR(__xludf.DUMMYFUNCTION("""COMPUTED_VALUE"""),"097/2026")</f>
        <v>097/2026</v>
      </c>
      <c r="G193" s="138" t="str">
        <f>IFERROR(__xludf.DUMMYFUNCTION("""COMPUTED_VALUE"""),"24/09")</f>
        <v>24/09</v>
      </c>
      <c r="H193" s="138" t="str">
        <f>IFERROR(__xludf.DUMMYFUNCTION("""COMPUTED_VALUE"""),"06/10")</f>
        <v>06/10</v>
      </c>
      <c r="I193" s="138" t="str">
        <f>IFERROR(__xludf.DUMMYFUNCTION("""COMPUTED_VALUE"""),"acerto recolhimento")</f>
        <v>acerto recolhimento</v>
      </c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
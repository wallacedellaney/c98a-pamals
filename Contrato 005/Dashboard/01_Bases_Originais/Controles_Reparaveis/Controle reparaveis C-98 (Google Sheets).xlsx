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<sst xmlns="http://schemas.openxmlformats.org/spreadsheetml/2006/main" count="21700" uniqueCount="2961">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</sst>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46321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623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607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607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607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585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585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585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585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585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585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585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585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585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585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585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585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585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585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585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585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585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585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552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552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552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552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552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552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552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552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552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522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522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518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518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518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518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508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508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508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508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508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490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490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490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481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481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481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481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481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481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481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481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481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481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481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481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472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472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468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466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452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452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452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452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439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430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430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430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430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430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427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427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423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423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411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404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404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404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404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384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384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384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382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382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382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382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375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356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356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354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353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353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342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335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335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335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335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335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335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321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321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314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314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314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311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311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311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293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293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293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293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293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285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285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273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273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271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258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258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258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258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258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258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258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258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258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258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258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258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244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244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236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236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231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214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209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196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196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196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196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196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196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196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196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196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196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196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196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196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196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196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196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196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196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196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196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196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196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179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179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179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179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179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179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179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179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179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179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179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179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179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179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179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179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179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179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179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173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173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173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173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172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172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167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167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167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167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167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167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167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167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157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150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150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150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150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150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150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150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150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138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138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138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138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138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133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133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133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133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133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133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133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133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133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133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133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133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133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133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133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133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133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133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133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133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133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133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125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125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118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116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110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110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95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95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95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91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91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91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91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91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90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88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88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88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88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87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91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91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91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91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91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91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91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91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91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90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90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90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90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90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90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90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90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90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90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90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90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90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90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90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90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90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90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90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90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90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90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90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90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90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90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90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90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90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90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89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89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89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84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84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84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81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81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77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77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69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69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69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67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67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67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67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67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56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56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56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56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52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47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47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47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47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47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47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47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47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47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47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47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47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47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47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47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47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47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40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40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40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40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40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40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40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40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40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40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40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33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33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RBS26/10/26.")</f>
        <v>Acerto virtual de item atendido pela empresa Vee One através do contrato 005/CELOG-PAMALS/2025; RBS26/10/26.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NGS26/10/26.")</f>
        <v>Acerto virtual de item atendido pela empresa Vee One através do contrato 005/CELOG-PAMALS/2025; NGS26/10/26.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 t="str">
        <f>IFERROR(__xludf.DUMMYFUNCTION("""COMPUTED_VALUE"""),"07/10")</f>
        <v>07/10</v>
      </c>
      <c r="O188" s="138" t="str">
        <f>IFERROR(__xludf.DUMMYFUNCTION("""COMPUTED_VALUE"""),"07/10")</f>
        <v>07/10</v>
      </c>
      <c r="P188" s="138" t="str">
        <f>IFERROR(__xludf.DUMMYFUNCTION("""COMPUTED_VALUE"""),"08/10")</f>
        <v>08/10</v>
      </c>
      <c r="Q188" s="138" t="str">
        <f>IFERROR(__xludf.DUMMYFUNCTION("""COMPUTED_VALUE"""),"08/10")</f>
        <v>08/10</v>
      </c>
      <c r="R188" s="138" t="str">
        <f>IFERROR(__xludf.DUMMYFUNCTION("""COMPUTED_VALUE"""),"08/10")</f>
        <v>08/10</v>
      </c>
      <c r="S188" s="138" t="str">
        <f>IFERROR(__xludf.DUMMYFUNCTION("""COMPUTED_VALUE"""),"08/10")</f>
        <v>08/10</v>
      </c>
      <c r="T188" s="138"/>
      <c r="U188" s="138"/>
      <c r="V188" s="138"/>
      <c r="W188" s="138"/>
      <c r="X188" s="138"/>
      <c r="Y188" s="138"/>
      <c r="Z188" s="138"/>
    </row>
    <row r="189">
      <c r="A189" s="138" t="str">
        <f>IFERROR(__xludf.DUMMYFUNCTION("""COMPUTED_VALUE"""),"VEE ONE")</f>
        <v>VEE ONE</v>
      </c>
      <c r="B189" s="138" t="str">
        <f>IFERROR(__xludf.DUMMYFUNCTION("""COMPUTED_VALUE"""),"BABE")</f>
        <v>BABE</v>
      </c>
      <c r="C189" s="138" t="str">
        <f>IFERROR(__xludf.DUMMYFUNCTION("""COMPUTED_VALUE"""),"2643100-206")</f>
        <v>2643100-206</v>
      </c>
      <c r="D189" s="138" t="str">
        <f>IFERROR(__xludf.DUMMYFUNCTION("""COMPUTED_VALUE"""),"NOSE GEAR STRUT ASSY - TALL FORK")</f>
        <v>NOSE GEAR STRUT ASSY - TALL FORK</v>
      </c>
      <c r="E189" s="138" t="str">
        <f>IFERROR(__xludf.DUMMYFUNCTION("""COMPUTED_VALUE"""),"445")</f>
        <v>445</v>
      </c>
      <c r="F189" s="138" t="str">
        <f>IFERROR(__xludf.DUMMYFUNCTION("""COMPUTED_VALUE"""),"033/2026")</f>
        <v>033/2026</v>
      </c>
      <c r="G189" s="138" t="str">
        <f>IFERROR(__xludf.DUMMYFUNCTION("""COMPUTED_VALUE"""),"07/10")</f>
        <v>07/10</v>
      </c>
      <c r="H189" s="138" t="str">
        <f>IFERROR(__xludf.DUMMYFUNCTION("""COMPUTED_VALUE"""),"07/10")</f>
        <v>07/10</v>
      </c>
      <c r="I189" s="138"/>
      <c r="J189" s="138" t="str">
        <f>IFERROR(__xludf.DUMMYFUNCTION("""COMPUTED_VALUE"""),"08/10")</f>
        <v>08/10</v>
      </c>
      <c r="K189" s="138" t="str">
        <f>IFERROR(__xludf.DUMMYFUNCTION("""COMPUTED_VALUE"""),"08/10")</f>
        <v>08/10</v>
      </c>
      <c r="L189" s="138" t="str">
        <f>IFERROR(__xludf.DUMMYFUNCTION("""COMPUTED_VALUE"""),"08/10")</f>
        <v>08/10</v>
      </c>
      <c r="M189" s="138" t="str">
        <f>IFERROR(__xludf.DUMMYFUNCTION("""COMPUTED_VALUE"""),"20/10")</f>
        <v>20/10</v>
      </c>
      <c r="N189" s="138" t="str">
        <f>IFERROR(__xludf.DUMMYFUNCTION("""COMPUTED_VALUE"""),"20/10")</f>
        <v>20/10</v>
      </c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 t="str">
        <f>IFERROR(__xludf.DUMMYFUNCTION("""COMPUTED_VALUE"""),"VEE ONE")</f>
        <v>VEE ONE</v>
      </c>
      <c r="B190" s="138" t="str">
        <f>IFERROR(__xludf.DUMMYFUNCTION("""COMPUTED_VALUE"""),"BABR")</f>
        <v>BABR</v>
      </c>
      <c r="C190" s="138" t="str">
        <f>IFERROR(__xludf.DUMMYFUNCTION("""COMPUTED_VALUE"""),"3122678-04")</f>
        <v>3122678-04</v>
      </c>
      <c r="D190" s="138" t="str">
        <f>IFERROR(__xludf.DUMMYFUNCTION("""COMPUTED_VALUE"""),"FUEL CONTROL UNIT")</f>
        <v>FUEL CONTROL UNIT</v>
      </c>
      <c r="E190" s="138" t="str">
        <f>IFERROR(__xludf.DUMMYFUNCTION("""COMPUTED_VALUE"""),"C66221")</f>
        <v>C66221</v>
      </c>
      <c r="F190" s="138" t="str">
        <f>IFERROR(__xludf.DUMMYFUNCTION("""COMPUTED_VALUE"""),"034/2026")</f>
        <v>034/2026</v>
      </c>
      <c r="G190" s="138" t="str">
        <f>IFERROR(__xludf.DUMMYFUNCTION("""COMPUTED_VALUE"""),"01/10")</f>
        <v>01/10</v>
      </c>
      <c r="H190" s="138" t="str">
        <f>IFERROR(__xludf.DUMMYFUNCTION("""COMPUTED_VALUE"""),"08/10")</f>
        <v>08/10</v>
      </c>
      <c r="I190" s="138"/>
      <c r="J190" s="138" t="str">
        <f>IFERROR(__xludf.DUMMYFUNCTION("""COMPUTED_VALUE"""),"09/10")</f>
        <v>09/10</v>
      </c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 t="str">
        <f>IFERROR(__xludf.DUMMYFUNCTION("""COMPUTED_VALUE"""),"VEE ONE")</f>
        <v>VEE ONE</v>
      </c>
      <c r="B191" s="138" t="str">
        <f>IFERROR(__xludf.DUMMYFUNCTION("""COMPUTED_VALUE"""),"BAMN")</f>
        <v>BAMN</v>
      </c>
      <c r="C191" s="138" t="str">
        <f>IFERROR(__xludf.DUMMYFUNCTION("""COMPUTED_VALUE"""),"9910592-2")</f>
        <v>9910592-2</v>
      </c>
      <c r="D191" s="138" t="str">
        <f>IFERROR(__xludf.DUMMYFUNCTION("""COMPUTED_VALUE"""),"ALTERNATOR ASSY")</f>
        <v>ALTERNATOR ASSY</v>
      </c>
      <c r="E191" s="138" t="str">
        <f>IFERROR(__xludf.DUMMYFUNCTION("""COMPUTED_VALUE"""),"H-S111135")</f>
        <v>H-S111135</v>
      </c>
      <c r="F191" s="138" t="str">
        <f>IFERROR(__xludf.DUMMYFUNCTION("""COMPUTED_VALUE"""),"098/2026")</f>
        <v>098/2026</v>
      </c>
      <c r="G191" s="138" t="str">
        <f>IFERROR(__xludf.DUMMYFUNCTION("""COMPUTED_VALUE"""),"06/10")</f>
        <v>06/10</v>
      </c>
      <c r="H191" s="138" t="str">
        <f>IFERROR(__xludf.DUMMYFUNCTION("""COMPUTED_VALUE"""),"08/10")</f>
        <v>08/10</v>
      </c>
      <c r="I191" s="138"/>
      <c r="J191" s="138" t="str">
        <f>IFERROR(__xludf.DUMMYFUNCTION("""COMPUTED_VALUE"""),"08/10")</f>
        <v>08/10</v>
      </c>
      <c r="K191" s="138" t="str">
        <f>IFERROR(__xludf.DUMMYFUNCTION("""COMPUTED_VALUE"""),"09/10")</f>
        <v>09/10</v>
      </c>
      <c r="L191" s="138" t="str">
        <f>IFERROR(__xludf.DUMMYFUNCTION("""COMPUTED_VALUE"""),"09/10")</f>
        <v>09/10</v>
      </c>
      <c r="M191" s="138" t="str">
        <f>IFERROR(__xludf.DUMMYFUNCTION("""COMPUTED_VALUE"""),"09/10")</f>
        <v>09/10</v>
      </c>
      <c r="N191" s="138" t="str">
        <f>IFERROR(__xludf.DUMMYFUNCTION("""COMPUTED_VALUE"""),"09/10")</f>
        <v>09/10</v>
      </c>
      <c r="O191" s="138" t="str">
        <f>IFERROR(__xludf.DUMMYFUNCTION("""COMPUTED_VALUE"""),"09/10")</f>
        <v>09/10</v>
      </c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 t="str">
        <f>IFERROR(__xludf.DUMMYFUNCTION("""COMPUTED_VALUE"""),"VEE ONE")</f>
        <v>VEE ONE</v>
      </c>
      <c r="B192" s="138" t="str">
        <f>IFERROR(__xludf.DUMMYFUNCTION("""COMPUTED_VALUE"""),"BAMN")</f>
        <v>BAMN</v>
      </c>
      <c r="C192" s="138" t="str">
        <f>IFERROR(__xludf.DUMMYFUNCTION("""COMPUTED_VALUE"""),"C611008-0101")</f>
        <v>C611008-0101</v>
      </c>
      <c r="D192" s="138" t="str">
        <f>IFERROR(__xludf.DUMMYFUNCTION("""COMPUTED_VALUE"""),"ALTERNADOR CONTROL UNIT")</f>
        <v>ALTERNADOR CONTROL UNIT</v>
      </c>
      <c r="E192" s="138" t="str">
        <f>IFERROR(__xludf.DUMMYFUNCTION("""COMPUTED_VALUE"""),"D051688")</f>
        <v>D051688</v>
      </c>
      <c r="F192" s="138" t="str">
        <f>IFERROR(__xludf.DUMMYFUNCTION("""COMPUTED_VALUE"""),"098/2026")</f>
        <v>098/2026</v>
      </c>
      <c r="G192" s="138" t="str">
        <f>IFERROR(__xludf.DUMMYFUNCTION("""COMPUTED_VALUE"""),"06/10")</f>
        <v>06/10</v>
      </c>
      <c r="H192" s="138" t="str">
        <f>IFERROR(__xludf.DUMMYFUNCTION("""COMPUTED_VALUE"""),"08/10")</f>
        <v>08/10</v>
      </c>
      <c r="I192" s="138"/>
      <c r="J192" s="138" t="str">
        <f>IFERROR(__xludf.DUMMYFUNCTION("""COMPUTED_VALUE"""),"08/10")</f>
        <v>08/10</v>
      </c>
      <c r="K192" s="138" t="str">
        <f>IFERROR(__xludf.DUMMYFUNCTION("""COMPUTED_VALUE"""),"09/10")</f>
        <v>09/10</v>
      </c>
      <c r="L192" s="138" t="str">
        <f>IFERROR(__xludf.DUMMYFUNCTION("""COMPUTED_VALUE"""),"09/10")</f>
        <v>09/10</v>
      </c>
      <c r="M192" s="138" t="str">
        <f>IFERROR(__xludf.DUMMYFUNCTION("""COMPUTED_VALUE"""),"09/10")</f>
        <v>09/10</v>
      </c>
      <c r="N192" s="138" t="str">
        <f>IFERROR(__xludf.DUMMYFUNCTION("""COMPUTED_VALUE"""),"09/10")</f>
        <v>09/10</v>
      </c>
      <c r="O192" s="138" t="str">
        <f>IFERROR(__xludf.DUMMYFUNCTION("""COMPUTED_VALUE"""),"09/10")</f>
        <v>09/10</v>
      </c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 t="str">
        <f>IFERROR(__xludf.DUMMYFUNCTION("""COMPUTED_VALUE"""),"VEE ONE")</f>
        <v>VEE ONE</v>
      </c>
      <c r="B193" s="138" t="str">
        <f>IFERROR(__xludf.DUMMYFUNCTION("""COMPUTED_VALUE"""),"BAMN")</f>
        <v>BAMN</v>
      </c>
      <c r="C193" s="138" t="str">
        <f>IFERROR(__xludf.DUMMYFUNCTION("""COMPUTED_VALUE"""),"3244809-4")</f>
        <v>3244809-4</v>
      </c>
      <c r="D193" s="138" t="str">
        <f>IFERROR(__xludf.DUMMYFUNCTION("""COMPUTED_VALUE"""),"FUEL CONTROL UNIT")</f>
        <v>FUEL CONTROL UNIT</v>
      </c>
      <c r="E193" s="138" t="str">
        <f>IFERROR(__xludf.DUMMYFUNCTION("""COMPUTED_VALUE"""),"C25208")</f>
        <v>C25208</v>
      </c>
      <c r="F193" s="138" t="str">
        <f>IFERROR(__xludf.DUMMYFUNCTION("""COMPUTED_VALUE"""),"097/2026")</f>
        <v>097/2026</v>
      </c>
      <c r="G193" s="138" t="str">
        <f>IFERROR(__xludf.DUMMYFUNCTION("""COMPUTED_VALUE"""),"24/09")</f>
        <v>24/09</v>
      </c>
      <c r="H193" s="138" t="str">
        <f>IFERROR(__xludf.DUMMYFUNCTION("""COMPUTED_VALUE"""),"06/10")</f>
        <v>06/10</v>
      </c>
      <c r="I193" s="138" t="str">
        <f>IFERROR(__xludf.DUMMYFUNCTION("""COMPUTED_VALUE"""),"acerto recolhimento")</f>
        <v>acerto recolhimento</v>
      </c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
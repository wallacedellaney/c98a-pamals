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<sst xmlns="http://schemas.openxmlformats.org/spreadsheetml/2006/main" count="21700" uniqueCount="2961">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</sst>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46302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604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588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588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588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566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566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566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566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566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566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566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566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566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566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566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566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566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566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566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566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566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566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533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533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533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/>
      </c>
      <c r="AC49" s="51" t="str">
        <f t="array" ref="AC49">IFERROR(_xlfn.XLOOKUP($F49,'Acerto virtual'!$E:$E,'Acerto virtual'!O:O),"")</f>
        <v/>
      </c>
      <c r="AD49" s="51" t="str">
        <f t="array" ref="AD49">IFERROR(_xlfn.XLOOKUP($F49,'Acerto virtual'!$E:$E,'Acerto virtual'!P:P),"")</f>
        <v/>
      </c>
      <c r="AE49" s="51" t="str">
        <f t="array" ref="AE49">IFERROR(_xlfn.XLOOKUP($F49,'Acerto virtual'!$E:$E,'Acerto virtual'!Q:Q),"")</f>
        <v/>
      </c>
      <c r="AF49" s="51" t="str">
        <f t="array" ref="AF49">IFERROR(_xlfn.XLOOKUP($F49,'Acerto virtual'!$E:$E,'Acerto virtual'!R:R),"")</f>
        <v/>
      </c>
      <c r="AG49" s="51" t="str">
        <f t="array" ref="AG49">IFERROR(_xlfn.XLOOKUP($F49,'Acerto virtual'!$E:$E,'Acerto virtual'!S:S),"")</f>
        <v/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533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533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533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533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533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533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503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503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499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499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499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499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489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489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489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489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489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471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471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471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462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462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462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462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462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462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462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462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462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462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462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462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453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453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449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447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433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433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433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433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420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411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411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411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411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411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408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408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404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404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392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385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385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385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385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365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365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365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363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363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363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363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356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337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337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335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334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334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323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316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316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316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316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316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316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302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302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295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295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295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292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292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292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274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274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274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274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274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266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266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254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254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252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239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239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239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239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239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239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239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239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239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239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239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239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225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225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217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217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212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195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190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177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177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177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177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177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177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177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177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177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177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177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177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177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177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177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177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177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177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177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177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177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177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160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160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160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160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160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160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160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160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160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160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160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160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160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160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160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160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160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160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160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154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154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154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154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153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153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148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148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148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148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148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148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148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148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138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131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131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131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131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131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131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131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131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119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119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119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119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119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114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114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114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114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114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114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114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114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114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114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114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114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114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114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114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114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114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114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114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114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114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114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106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106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99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97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91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91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76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76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76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72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72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72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72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72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71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69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69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69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69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68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72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72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72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72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72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72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72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72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72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71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71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71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71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71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71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71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71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71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71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71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71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71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71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71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71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71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71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71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71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71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71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71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71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71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71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71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71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71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71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70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70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70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65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65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65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62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62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58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58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50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50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50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48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48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48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48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48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37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37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37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37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33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28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28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28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28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28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28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28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28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28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28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28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28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28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28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28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28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28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21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21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21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21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21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21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21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21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21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21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21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14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14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RBS07/10/26.")</f>
        <v>Acerto virtual de item atendido pela empresa Vee One através do contrato 005/CELOG-PAMALS/2025; RBS07/10/26.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NGS07/10/26.")</f>
        <v>Acerto virtual de item atendido pela empresa Vee One através do contrato 005/CELOG-PAMALS/2025; NGS07/10/26.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>
      <c r="A189" s="138"/>
      <c r="B189" s="138"/>
      <c r="C189" s="138"/>
      <c r="D189" s="138" t="str">
        <f>IFERROR(__xludf.DUMMYFUNCTION("""COMPUTED_VALUE"""),"")</f>
        <v/>
      </c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/>
      <c r="B190" s="138"/>
      <c r="C190" s="138"/>
      <c r="D190" s="138" t="str">
        <f>IFERROR(__xludf.DUMMYFUNCTION("""COMPUTED_VALUE"""),"")</f>
        <v/>
      </c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/>
      <c r="B191" s="138"/>
      <c r="C191" s="138"/>
      <c r="D191" s="138" t="str">
        <f>IFERROR(__xludf.DUMMYFUNCTION("""COMPUTED_VALUE"""),"")</f>
        <v/>
      </c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/>
      <c r="B192" s="138"/>
      <c r="C192" s="138"/>
      <c r="D192" s="138" t="str">
        <f>IFERROR(__xludf.DUMMYFUNCTION("""COMPUTED_VALUE"""),"")</f>
        <v/>
      </c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
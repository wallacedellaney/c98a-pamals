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<sst xmlns="http://schemas.openxmlformats.org/spreadsheetml/2006/main" count="21700" uniqueCount="2961">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</sst>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46322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624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608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608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608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586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586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586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586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586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586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586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586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586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586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586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586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586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586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586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586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586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586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553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553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553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553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553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553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553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553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553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523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523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519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519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519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519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509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509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509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509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509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491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491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491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482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482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482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482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482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482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482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482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482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482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482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482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473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473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469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467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453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453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453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453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440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431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431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431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431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431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428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428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424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424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412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405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405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405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405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385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385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385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383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383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383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383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376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357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357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355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354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354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343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336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336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336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336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336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336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322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322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315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315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315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312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312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312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294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294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294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294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294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286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286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274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274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272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259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259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259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259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259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259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259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259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259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259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259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259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245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245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237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237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232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215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210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197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197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197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197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197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197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197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197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197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197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197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197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197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197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197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197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197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197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197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197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197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197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180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180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180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180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180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180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180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180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180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180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180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180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180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180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180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180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180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180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180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174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174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174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174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173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173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168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168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168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168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168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168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168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168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158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151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151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151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151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151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151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151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151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139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139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139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139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139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134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134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134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134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134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134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134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134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134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134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134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134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134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134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134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134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134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134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134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134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134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134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126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126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119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117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111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111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96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96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96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92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92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92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92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92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91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89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89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89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89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88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92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92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92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92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92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92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92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92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92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91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91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91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91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91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91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91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91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91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91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91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91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91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91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91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91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91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91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91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91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91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91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91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91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91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91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91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91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91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91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90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90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90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85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85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85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82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82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78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78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70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70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70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68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68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68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68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68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57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57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57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57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53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48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48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48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48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48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48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48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48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48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48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48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48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48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48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48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48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48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41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41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41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41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41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41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41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41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41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41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41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34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34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RBS27/10/26.")</f>
        <v>Acerto virtual de item atendido pela empresa Vee One através do contrato 005/CELOG-PAMALS/2025; RBS27/10/26.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NGS27/10/26.")</f>
        <v>Acerto virtual de item atendido pela empresa Vee One através do contrato 005/CELOG-PAMALS/2025; NGS27/10/26.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 t="str">
        <f>IFERROR(__xludf.DUMMYFUNCTION("""COMPUTED_VALUE"""),"20/10")</f>
        <v>20/10</v>
      </c>
      <c r="N189" s="138" t="str">
        <f>IFERROR(__xludf.DUMMYFUNCTION("""COMPUTED_VALUE"""),"20/10")</f>
        <v>20/10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IFERROR(__xludf.DUMMYFUNCTION("""COMPUTED_VALUE"""),"09/10")</f>
        <v>09/10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 t="str">
        <f>IFERROR(__xludf.DUMMYFUNCTION("""COMPUTED_VALUE"""),"08/10")</f>
        <v>08/10</v>
      </c>
      <c r="K191" s="138" t="str">
        <f>IFERROR(__xludf.DUMMYFUNCTION("""COMPUTED_VALUE"""),"09/10")</f>
        <v>09/10</v>
      </c>
      <c r="L191" s="138" t="str">
        <f>IFERROR(__xludf.DUMMYFUNCTION("""COMPUTED_VALUE"""),"09/10")</f>
        <v>09/10</v>
      </c>
      <c r="M191" s="138" t="str">
        <f>IFERROR(__xludf.DUMMYFUNCTION("""COMPUTED_VALUE"""),"09/10")</f>
        <v>09/10</v>
      </c>
      <c r="N191" s="138" t="str">
        <f>IFERROR(__xludf.DUMMYFUNCTION("""COMPUTED_VALUE"""),"09/10")</f>
        <v>09/10</v>
      </c>
      <c r="O191" s="138" t="str">
        <f>IFERROR(__xludf.DUMMYFUNCTION("""COMPUTED_VALUE"""),"09/10")</f>
        <v>09/10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 t="str">
        <f>IFERROR(__xludf.DUMMYFUNCTION("""COMPUTED_VALUE"""),"08/10")</f>
        <v>08/10</v>
      </c>
      <c r="K192" s="138" t="str">
        <f>IFERROR(__xludf.DUMMYFUNCTION("""COMPUTED_VALUE"""),"09/10")</f>
        <v>09/10</v>
      </c>
      <c r="L192" s="138" t="str">
        <f>IFERROR(__xludf.DUMMYFUNCTION("""COMPUTED_VALUE"""),"09/10")</f>
        <v>09/10</v>
      </c>
      <c r="M192" s="138" t="str">
        <f>IFERROR(__xludf.DUMMYFUNCTION("""COMPUTED_VALUE"""),"09/10")</f>
        <v>09/10</v>
      </c>
      <c r="N192" s="138" t="str">
        <f>IFERROR(__xludf.DUMMYFUNCTION("""COMPUTED_VALUE"""),"09/10")</f>
        <v>09/10</v>
      </c>
      <c r="O192" s="138" t="str">
        <f>IFERROR(__xludf.DUMMYFUNCTION("""COMPUTED_VALUE"""),"09/10")</f>
        <v>09/10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 t="str">
        <f>IFERROR(__xludf.DUMMYFUNCTION("""COMPUTED_VALUE"""),"VEE ONE")</f>
        <v>VEE ONE</v>
      </c>
      <c r="B193" s="138" t="str">
        <f>IFERROR(__xludf.DUMMYFUNCTION("""COMPUTED_VALUE"""),"BAMN")</f>
        <v>BAMN</v>
      </c>
      <c r="C193" s="138" t="str">
        <f>IFERROR(__xludf.DUMMYFUNCTION("""COMPUTED_VALUE"""),"3244809-4")</f>
        <v>3244809-4</v>
      </c>
      <c r="D193" s="138" t="str">
        <f>IFERROR(__xludf.DUMMYFUNCTION("""COMPUTED_VALUE"""),"FUEL CONTROL UNIT")</f>
        <v>FUEL CONTROL UNIT</v>
      </c>
      <c r="E193" s="138" t="str">
        <f>IFERROR(__xludf.DUMMYFUNCTION("""COMPUTED_VALUE"""),"C25208")</f>
        <v>C25208</v>
      </c>
      <c r="F193" s="138" t="str">
        <f>IFERROR(__xludf.DUMMYFUNCTION("""COMPUTED_VALUE"""),"097/2026")</f>
        <v>097/2026</v>
      </c>
      <c r="G193" s="138" t="str">
        <f>IFERROR(__xludf.DUMMYFUNCTION("""COMPUTED_VALUE"""),"24/09")</f>
        <v>24/09</v>
      </c>
      <c r="H193" s="138" t="str">
        <f>IFERROR(__xludf.DUMMYFUNCTION("""COMPUTED_VALUE"""),"06/10")</f>
        <v>06/10</v>
      </c>
      <c r="I193" s="138" t="str">
        <f>IFERROR(__xludf.DUMMYFUNCTION("""COMPUTED_VALUE"""),"acerto recolhimento")</f>
        <v>acerto recolhimento</v>
      </c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 t="str">
        <f>IFERROR(__xludf.DUMMYFUNCTION("""COMPUTED_VALUE"""),"VEE ONE")</f>
        <v>VEE ONE</v>
      </c>
      <c r="B194" s="138" t="str">
        <f>IFERROR(__xludf.DUMMYFUNCTION("""COMPUTED_VALUE"""),"BABR")</f>
        <v>BABR</v>
      </c>
      <c r="C194" s="138" t="str">
        <f>IFERROR(__xludf.DUMMYFUNCTION("""COMPUTED_VALUE"""),"069-01033-0101")</f>
        <v>069-01033-0101</v>
      </c>
      <c r="D194" s="138" t="str">
        <f>IFERROR(__xludf.DUMMYFUNCTION("""COMPUTED_VALUE"""),"TRANSCEIVER")</f>
        <v>TRANSCEIVER</v>
      </c>
      <c r="E194" s="138" t="str">
        <f>IFERROR(__xludf.DUMMYFUNCTION("""COMPUTED_VALUE"""),"4078")</f>
        <v>4078</v>
      </c>
      <c r="F194" s="138" t="str">
        <f>IFERROR(__xludf.DUMMYFUNCTION("""COMPUTED_VALUE"""),"035/2026")</f>
        <v>035/2026</v>
      </c>
      <c r="G194" s="138" t="str">
        <f>IFERROR(__xludf.DUMMYFUNCTION("""COMPUTED_VALUE"""),"19/10")</f>
        <v>19/10</v>
      </c>
      <c r="H194" s="138" t="str">
        <f>IFERROR(__xludf.DUMMYFUNCTION("""COMPUTED_VALUE"""),"20/10")</f>
        <v>20/10</v>
      </c>
      <c r="I194" s="138"/>
      <c r="J194" s="138" t="str">
        <f>IFERROR(__xludf.DUMMYFUNCTION("""COMPUTED_VALUE"""),"27/10")</f>
        <v>27/10</v>
      </c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
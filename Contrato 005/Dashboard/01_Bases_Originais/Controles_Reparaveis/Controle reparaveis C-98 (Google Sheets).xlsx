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<sst xmlns="http://schemas.openxmlformats.org/spreadsheetml/2006/main" count="21700" uniqueCount="2961">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</sst>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46316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618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602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602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602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580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580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580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580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580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580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580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580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580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580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580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580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580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580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580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580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580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580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547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547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547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547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547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547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547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547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547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517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517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513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513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513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513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503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503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503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503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503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485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485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485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476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476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476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476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476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476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476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476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476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476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476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476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467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467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463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461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447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447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447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447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434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425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425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425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425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425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422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422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418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418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406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399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399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399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399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379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379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379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377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377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377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377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370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351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351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349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348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348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337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330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330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330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330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330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330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316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316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309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309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309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306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306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306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288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288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288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288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288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280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280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268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268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266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253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253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253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253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253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253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253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253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253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253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253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253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239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239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231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231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226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209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204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191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191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191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191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191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191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191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191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191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191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191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191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191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191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191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191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191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191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191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191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191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191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174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174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174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174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174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174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174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174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174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174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174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174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174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174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174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174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174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174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174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168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168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168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168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167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167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162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162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162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162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162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162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162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162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152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145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145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145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145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145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145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145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145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133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133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133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133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133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128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128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128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128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128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128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128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128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128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128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128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128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128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128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128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128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128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128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128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128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128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128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120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120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113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111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105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105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90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90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90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86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86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86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86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86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85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83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83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83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83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82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86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86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86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86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86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86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86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86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86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85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85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85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85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85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85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85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85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85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85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85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85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85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85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85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85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85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85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85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85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85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85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85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85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85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85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85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85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85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85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84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84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84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79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79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79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76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76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72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72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64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64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64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62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62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62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62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62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51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51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51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51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47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42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42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42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42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42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42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42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42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42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42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42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42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42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42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42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42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42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35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35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35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35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35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35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35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35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35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35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35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28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28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RBS21/10/26.")</f>
        <v>Acerto virtual de item atendido pela empresa Vee One através do contrato 005/CELOG-PAMALS/2025; RBS21/10/26.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NGS21/10/26.")</f>
        <v>Acerto virtual de item atendido pela empresa Vee One através do contrato 005/CELOG-PAMALS/2025; NGS21/10/26.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 t="str">
        <f>IFERROR(__xludf.DUMMYFUNCTION("""COMPUTED_VALUE"""),"20/10")</f>
        <v>20/10</v>
      </c>
      <c r="N189" s="138" t="str">
        <f>IFERROR(__xludf.DUMMYFUNCTION("""COMPUTED_VALUE"""),"20/10")</f>
        <v>20/10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IFERROR(__xludf.DUMMYFUNCTION("""COMPUTED_VALUE"""),"09/10")</f>
        <v>09/10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 t="str">
        <f>IFERROR(__xludf.DUMMYFUNCTION("""COMPUTED_VALUE"""),"08/10")</f>
        <v>08/10</v>
      </c>
      <c r="K191" s="138" t="str">
        <f>IFERROR(__xludf.DUMMYFUNCTION("""COMPUTED_VALUE"""),"09/10")</f>
        <v>09/10</v>
      </c>
      <c r="L191" s="138" t="str">
        <f>IFERROR(__xludf.DUMMYFUNCTION("""COMPUTED_VALUE"""),"09/10")</f>
        <v>09/10</v>
      </c>
      <c r="M191" s="138" t="str">
        <f>IFERROR(__xludf.DUMMYFUNCTION("""COMPUTED_VALUE"""),"09/10")</f>
        <v>09/10</v>
      </c>
      <c r="N191" s="138" t="str">
        <f>IFERROR(__xludf.DUMMYFUNCTION("""COMPUTED_VALUE"""),"09/10")</f>
        <v>09/10</v>
      </c>
      <c r="O191" s="138" t="str">
        <f>IFERROR(__xludf.DUMMYFUNCTION("""COMPUTED_VALUE"""),"09/10")</f>
        <v>09/10</v>
      </c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 t="str">
        <f>IFERROR(__xludf.DUMMYFUNCTION("""COMPUTED_VALUE"""),"08/10")</f>
        <v>08/10</v>
      </c>
      <c r="K192" s="138" t="str">
        <f>IFERROR(__xludf.DUMMYFUNCTION("""COMPUTED_VALUE"""),"09/10")</f>
        <v>09/10</v>
      </c>
      <c r="L192" s="138" t="str">
        <f>IFERROR(__xludf.DUMMYFUNCTION("""COMPUTED_VALUE"""),"09/10")</f>
        <v>09/10</v>
      </c>
      <c r="M192" s="138" t="str">
        <f>IFERROR(__xludf.DUMMYFUNCTION("""COMPUTED_VALUE"""),"09/10")</f>
        <v>09/10</v>
      </c>
      <c r="N192" s="138" t="str">
        <f>IFERROR(__xludf.DUMMYFUNCTION("""COMPUTED_VALUE"""),"09/10")</f>
        <v>09/10</v>
      </c>
      <c r="O192" s="138" t="str">
        <f>IFERROR(__xludf.DUMMYFUNCTION("""COMPUTED_VALUE"""),"09/10")</f>
        <v>09/10</v>
      </c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
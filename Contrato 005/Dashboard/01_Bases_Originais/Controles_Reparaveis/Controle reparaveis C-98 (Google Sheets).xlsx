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o Ideal" sheetId="1" r:id="rId5"/>
    <sheet state="visible" name="Divulgação" sheetId="2" r:id="rId6"/>
    <sheet state="visible" name="Atual" sheetId="3" r:id="rId7"/>
    <sheet state="visible" name="Histórico" sheetId="4" r:id="rId8"/>
    <sheet state="visible" name="EMPRESA_1" sheetId="5" r:id="rId9"/>
    <sheet state="visible" name="RMA" sheetId="6" r:id="rId10"/>
    <sheet state="visible" name="Acerto virtual" sheetId="7" r:id="rId11"/>
  </sheets>
  <definedNames>
    <definedName hidden="1" localSheetId="1" name="_xlnm._FilterDatabase">'Divulgação'!$B$4:$AF$561</definedName>
    <definedName hidden="1" localSheetId="2" name="_xlnm._FilterDatabase">Atual!$A$2:$AG$387</definedName>
    <definedName hidden="1" localSheetId="3" name="_xlnm._FilterDatabase">'Histórico'!$A$2:$AG$557</definedName>
    <definedName hidden="1" localSheetId="4" name="_xlnm._FilterDatabase">EMPRESA_1!$A$4:$Z$309</definedName>
    <definedName hidden="1" localSheetId="6" name="_xlnm._FilterDatabase">'Acerto virtual'!$A$4:$Z$147</definedName>
  </definedNames>
  <calcPr/>
</workbook>
</file>

<file path=xl/sharedStrings.xml><?xml version="1.0" encoding="utf-8"?>
<sst xmlns="http://schemas.openxmlformats.org/spreadsheetml/2006/main" count="21700" uniqueCount="2961">
  <si>
    <t>INFORMATIVO</t>
  </si>
  <si>
    <t>ESTOQUE FAB</t>
  </si>
  <si>
    <t>SUGESTÃO DE REESTOQUE (OPUS)</t>
  </si>
  <si>
    <t>SUGESTÃO DE ESTOQUE (OPUS)</t>
  </si>
  <si>
    <t>PN</t>
  </si>
  <si>
    <t>Discrepancia</t>
  </si>
  <si>
    <t>CFF</t>
  </si>
  <si>
    <t>NOMECLATURA</t>
  </si>
  <si>
    <t>QPA</t>
  </si>
  <si>
    <t>PREÇO</t>
  </si>
  <si>
    <t>TIPO</t>
  </si>
  <si>
    <t>QTD TOTAL DE CADA PN (FAB)</t>
  </si>
  <si>
    <t>PAMALS</t>
  </si>
  <si>
    <t>BABE</t>
  </si>
  <si>
    <t>BABR</t>
  </si>
  <si>
    <t>BACG</t>
  </si>
  <si>
    <t>BAMN</t>
  </si>
  <si>
    <t>BANT</t>
  </si>
  <si>
    <t>BACI</t>
  </si>
  <si>
    <t>BABV</t>
  </si>
  <si>
    <t>BAPV</t>
  </si>
  <si>
    <t>CLA</t>
  </si>
  <si>
    <t>BASM</t>
  </si>
  <si>
    <t>DACTAII</t>
  </si>
  <si>
    <t>EEAR</t>
  </si>
  <si>
    <t>EPCAR</t>
  </si>
  <si>
    <t>QTD TOTAL DE CADA PN (SUGESTÃO OPUS)</t>
  </si>
  <si>
    <t>453-5000-710</t>
  </si>
  <si>
    <t>EMERGENCY LOCATOR TRANSMITTER</t>
  </si>
  <si>
    <t>REPARÁVEL</t>
  </si>
  <si>
    <t>-</t>
  </si>
  <si>
    <t>2622083-18</t>
  </si>
  <si>
    <t>GUINHOL DO FLAPE</t>
  </si>
  <si>
    <t>2613440-1</t>
  </si>
  <si>
    <t>HASTE DIANT. COMANDO DO PROFUNDOR</t>
  </si>
  <si>
    <t>9514A-1</t>
  </si>
  <si>
    <t>BOMBA DE CIRCULAÇÃO DO TKS</t>
  </si>
  <si>
    <t>2641014-1</t>
  </si>
  <si>
    <t>MOLA CENTRAL TREM DE POUSO PRINCIPAL</t>
  </si>
  <si>
    <t>2641012-1</t>
  </si>
  <si>
    <t>TRUNNION LH</t>
  </si>
  <si>
    <t>2641012-2</t>
  </si>
  <si>
    <t>TRUNNION RH</t>
  </si>
  <si>
    <t>2641013-1</t>
  </si>
  <si>
    <t>MOLA TREM DE POUSO PRINCIPAL</t>
  </si>
  <si>
    <t>2641008-1</t>
  </si>
  <si>
    <t>PINO FIXAÇÃO TREM DE POUSO PRINCIPAL</t>
  </si>
  <si>
    <t>2641011-1</t>
  </si>
  <si>
    <t>7EK50</t>
  </si>
  <si>
    <t>EIXO DO TREM DE POUSO PRINCIPAL</t>
  </si>
  <si>
    <t>2641010-1</t>
  </si>
  <si>
    <t>SUPORTE DO EIXO DE TREM DE POUSO PRINCIPAL</t>
  </si>
  <si>
    <t>2643062-1</t>
  </si>
  <si>
    <t>MOLA DE TREM DE POUSO AUXILIAR</t>
  </si>
  <si>
    <t>2643045-1</t>
  </si>
  <si>
    <t>2643045-202</t>
  </si>
  <si>
    <t>TREM DE POUSO AUXILIAR</t>
  </si>
  <si>
    <t>2643030-1</t>
  </si>
  <si>
    <t>SUPORTE DA MOLA DO TREM DE POUSO AUXILIAR</t>
  </si>
  <si>
    <t>2643031-1</t>
  </si>
  <si>
    <t>GARFO DA MOLA DO TREM DE POUSO AUXILIAR</t>
  </si>
  <si>
    <t>162-11800</t>
  </si>
  <si>
    <t>SEMI-CUBO EXTERNO PRINCIPAL</t>
  </si>
  <si>
    <t>161-12800</t>
  </si>
  <si>
    <t>SEMI-CUBO INTERNO PRINCIPAL</t>
  </si>
  <si>
    <t>161-117-00</t>
  </si>
  <si>
    <t>SEMI-CUBO EXTERNO NARIZ</t>
  </si>
  <si>
    <t>162-107-00</t>
  </si>
  <si>
    <t>SEMI-CUBO INTERNO NARIZ</t>
  </si>
  <si>
    <t>C482001-0402</t>
  </si>
  <si>
    <t>VÁLVULA DE ALÍVIO DE VÁCUO</t>
  </si>
  <si>
    <t>A210507</t>
  </si>
  <si>
    <t>GOVERNADOR DE SOBREVELOCIDADE</t>
  </si>
  <si>
    <t>2651022-1</t>
  </si>
  <si>
    <t>ANEL DO BERÇO DO MONTANTE</t>
  </si>
  <si>
    <t>2651023-1</t>
  </si>
  <si>
    <t>BERÇO DO MOTOR</t>
  </si>
  <si>
    <t>EMU-A-010-3</t>
  </si>
  <si>
    <t>PROCESSADOR SISTEMA ADAS+</t>
  </si>
  <si>
    <t>DAAS-A-010-1</t>
  </si>
  <si>
    <t>PROCESSADOR SISTEMA ADAS-D</t>
  </si>
  <si>
    <t>200SGL119Q</t>
  </si>
  <si>
    <t>ARRANQUE GERADOR</t>
  </si>
  <si>
    <t>065-0061-36</t>
  </si>
  <si>
    <t>ACTUATOR TRIM (KS272A)</t>
  </si>
  <si>
    <t>066-3059-01</t>
  </si>
  <si>
    <t>ADF INDICATOR - DUAL (KI228)
ADF INDICATOR - SINGLE (KI227)</t>
  </si>
  <si>
    <t>C661065-0237</t>
  </si>
  <si>
    <t>AIRSPEED INDICATOR</t>
  </si>
  <si>
    <t>011-00134-00</t>
  </si>
  <si>
    <t>ANTENNA ACCESSORY</t>
  </si>
  <si>
    <t>071-1378-00</t>
  </si>
  <si>
    <t>ANTENNA RADAR</t>
  </si>
  <si>
    <t>CI268-60</t>
  </si>
  <si>
    <t>ANTENNA VHF COMM</t>
  </si>
  <si>
    <t>066-1055-00</t>
  </si>
  <si>
    <t>AUDIO CONTROL PANEL (KMA-24)</t>
  </si>
  <si>
    <t>065-0042-03</t>
  </si>
  <si>
    <t>AUTOPILOT COMPUTER</t>
  </si>
  <si>
    <t>24535-026</t>
  </si>
  <si>
    <t>BATTERY
BATTERY NICKEL CADMIUM
BATTERY NONRECHARGEABLE
BATTERY STORAGE 
BATTERY-MARATHON TSP410 NICAD</t>
  </si>
  <si>
    <t>2682001-1</t>
  </si>
  <si>
    <t>BRAKE CYL MAST</t>
  </si>
  <si>
    <t>164-22201</t>
  </si>
  <si>
    <t>BRAKE DISC</t>
  </si>
  <si>
    <t>064-1019-05</t>
  </si>
  <si>
    <t>VHF TRANSCEIVE KY196</t>
  </si>
  <si>
    <t>C661030-0301</t>
  </si>
  <si>
    <t>TURN COORD</t>
  </si>
  <si>
    <t>799-1</t>
  </si>
  <si>
    <t>TRANSDUCER</t>
  </si>
  <si>
    <t>066-1070-01</t>
  </si>
  <si>
    <t>TRANSCEIVER DME (KN63)</t>
  </si>
  <si>
    <t>MD82-4</t>
  </si>
  <si>
    <t>TORQUE INDICATOR
TORQUE INDICATOR MECHANICAL</t>
  </si>
  <si>
    <t>069-1025-25</t>
  </si>
  <si>
    <t>RECEIVER-TRANSMITTER RADIO - KX165
RECEIVER-TRANSMITTER RADIO
RECEIVER VOR/LOC (KNS81)
RECEIVER-TRANSMITTER RADIO (KT71)
RECEIVER ADF (KING KR87)
RECEIVER-TRANSMITTER SUBASSEMBLY
RECEPTOR-TRANSMISSOR DE RADIO</t>
  </si>
  <si>
    <t>071-1242-06</t>
  </si>
  <si>
    <t>SLAVING ACCESS SPEC</t>
  </si>
  <si>
    <t>065-0065-01</t>
  </si>
  <si>
    <t>SELECTOR ALT</t>
  </si>
  <si>
    <t>066-1061-03</t>
  </si>
  <si>
    <t>RT RADAR ALTIM (KRA10A)</t>
  </si>
  <si>
    <t>071-01519-0101</t>
  </si>
  <si>
    <t>RECEIVER-EXCITER RADAR</t>
  </si>
  <si>
    <t>066-3114-00</t>
  </si>
  <si>
    <t>RECEIVER RADAR</t>
  </si>
  <si>
    <t>011-00916-00</t>
  </si>
  <si>
    <t>DISPLAY UNIT GDU 1040A</t>
  </si>
  <si>
    <t>060-0017-00</t>
  </si>
  <si>
    <t>FLIGHT DIR HOR</t>
  </si>
  <si>
    <t>C611008-0101</t>
  </si>
  <si>
    <t>ALTERNATOR CONTROL UNIT
ALTERNATOR CONTROL UNIT ASSY</t>
  </si>
  <si>
    <t>C414007-0102</t>
  </si>
  <si>
    <t>BLOWER ASSY</t>
  </si>
  <si>
    <t>011-00882-10</t>
  </si>
  <si>
    <t>COMPUTER AIR DATA</t>
  </si>
  <si>
    <t>060-0015-00</t>
  </si>
  <si>
    <t>CONTROL DIRECTIONAL AUTOMATIC PILOT</t>
  </si>
  <si>
    <t>066-3046-01</t>
  </si>
  <si>
    <t>VOR INDICATOR
CONTROL INDICATOR</t>
  </si>
  <si>
    <t>064-1016-00</t>
  </si>
  <si>
    <t>CONTROL RECEIVER</t>
  </si>
  <si>
    <t>3244897-4</t>
  </si>
  <si>
    <t>FUEL CONTROL UNIT
FUEL CONTROL MAIN TURBINE ENGINE</t>
  </si>
  <si>
    <t>702801-5</t>
  </si>
  <si>
    <t>FUEL PUMP</t>
  </si>
  <si>
    <t>C661053-0101</t>
  </si>
  <si>
    <t>GYRO HORIZON
GYRO DIRECTION</t>
  </si>
  <si>
    <t>066-3084-32</t>
  </si>
  <si>
    <t>IND RDR 2000 IN-182A
COLOR RADAR INDICATOR</t>
  </si>
  <si>
    <t>066-3060-00</t>
  </si>
  <si>
    <t>IND RMI KNI582</t>
  </si>
  <si>
    <t>2606013-1AM</t>
  </si>
  <si>
    <t>INDICADOR PERCENTUAL RPM</t>
  </si>
  <si>
    <t>011-01105-01</t>
  </si>
  <si>
    <t>INTEGRATED AVIONICS UNIT GIA63W</t>
  </si>
  <si>
    <t>011-00870-00</t>
  </si>
  <si>
    <t>MAGNETOMETER GMU 44</t>
  </si>
  <si>
    <t>62800-00</t>
  </si>
  <si>
    <t>MICROPHONE</t>
  </si>
  <si>
    <t>011-00883-20</t>
  </si>
  <si>
    <t>RADAR GWX 68 WEATHER</t>
  </si>
  <si>
    <t>5934PAD-3</t>
  </si>
  <si>
    <t>ALTIMETER
ENCODING ALTIM - KEA130A</t>
  </si>
  <si>
    <t>C660501-0102</t>
  </si>
  <si>
    <t>COMPASS ASSY</t>
  </si>
  <si>
    <t>51539-012N</t>
  </si>
  <si>
    <t>CONTROL UNIT ASSY-GENERATOR</t>
  </si>
  <si>
    <t>C662504-0101</t>
  </si>
  <si>
    <t>GAGE VOLT AMME</t>
  </si>
  <si>
    <t>C662041-0102</t>
  </si>
  <si>
    <t>FUEL QUANTITY INDICA</t>
  </si>
  <si>
    <t>2C6-8</t>
  </si>
  <si>
    <t>FUEL BOOST PUMP</t>
  </si>
  <si>
    <t>0901-1</t>
  </si>
  <si>
    <t>FAN ASSY-VENTE</t>
  </si>
  <si>
    <t>22A703</t>
  </si>
  <si>
    <t>GENERATOR TACHOMETER</t>
  </si>
  <si>
    <t>8210-002</t>
  </si>
  <si>
    <t>GOVERNOR CONSTANT SPEED DRIVE
GOVERNOR FUEL CONTROL</t>
  </si>
  <si>
    <t>011-00877-00</t>
  </si>
  <si>
    <t>GSA-80 SERVO ROL YAW SPEC</t>
  </si>
  <si>
    <t>011-00878-10</t>
  </si>
  <si>
    <t>GSA-81 TORQUE SERVO</t>
  </si>
  <si>
    <t>3107453-01</t>
  </si>
  <si>
    <t>HOUSING</t>
  </si>
  <si>
    <t>324843-2020</t>
  </si>
  <si>
    <t>HEADSET-MICROPHONE
HEADSET-MICROPHONE PHONE-MICROPHONE ASSY</t>
  </si>
  <si>
    <t>2606015-2</t>
  </si>
  <si>
    <t>IND OIL TEMP/P
INDICATOR-OIL TEMP/OIL PRESS</t>
  </si>
  <si>
    <t>2606014-1</t>
  </si>
  <si>
    <t>INDICATOR PROPELLER RPM</t>
  </si>
  <si>
    <t>066-1069-00</t>
  </si>
  <si>
    <t>INDICATOR BEARING-DISTANCE-HEADING (KDI572)</t>
  </si>
  <si>
    <t>9910338-8</t>
  </si>
  <si>
    <t>INDICATOR FUEL FLOW</t>
  </si>
  <si>
    <t>S3326-2</t>
  </si>
  <si>
    <t>INDICATOR HORIZONTAL SITUATION
INDICATOR COURSE DEVIATION</t>
  </si>
  <si>
    <t>066-3054-01</t>
  </si>
  <si>
    <t>INDICATOR RADAR ALTIMETER - TYPE KI250</t>
  </si>
  <si>
    <t>066-3038-00</t>
  </si>
  <si>
    <t>INDICATOR RADIO-MAGNETIC COMPASS - MODEL KI229</t>
  </si>
  <si>
    <t>C661035-0101</t>
  </si>
  <si>
    <t>INDICATOR VERTICAL VELOCITY</t>
  </si>
  <si>
    <t>2606012-1</t>
  </si>
  <si>
    <t>INDICATOR-INTER-TURBINE TEMPERATURE</t>
  </si>
  <si>
    <t>C163030-1001</t>
  </si>
  <si>
    <t>MAIN W BRAKE A</t>
  </si>
  <si>
    <t>3106347-01</t>
  </si>
  <si>
    <t>MANIFOLD FLUID AIRCRAFT</t>
  </si>
  <si>
    <t>069-01034-0102</t>
  </si>
  <si>
    <t>NAVIGATION SET SATELLITE SIGNALS KLN-94</t>
  </si>
  <si>
    <t>011-00412-00</t>
  </si>
  <si>
    <t>RECEIVER</t>
  </si>
  <si>
    <t>011-00054-00</t>
  </si>
  <si>
    <t>RECEIVER COORDINATE DATA</t>
  </si>
  <si>
    <t>066-01148-0101</t>
  </si>
  <si>
    <t>RECEIVER GPS KLN-89B</t>
  </si>
  <si>
    <t>065-0058-01</t>
  </si>
  <si>
    <t>REMOTE MODE</t>
  </si>
  <si>
    <t>76-207-1</t>
  </si>
  <si>
    <t>SENSOR FUEL LEVEL</t>
  </si>
  <si>
    <t>2643007-1</t>
  </si>
  <si>
    <t>SHIMMY DAMP AS
SHIMMY DAMPENE
SHIMMY DAMPENER ASSY</t>
  </si>
  <si>
    <t>RFN3934</t>
  </si>
  <si>
    <t>T5 SET</t>
  </si>
  <si>
    <t>9910338-6</t>
  </si>
  <si>
    <t>TRANSMITTER RATE OF FLOW
FUEL TOTALIZER INDICATOR</t>
  </si>
  <si>
    <t>3049038-03</t>
  </si>
  <si>
    <t>VALVE COMPRESSOR BLEED</t>
  </si>
  <si>
    <t>011-00779-10</t>
  </si>
  <si>
    <t>0TRC3</t>
  </si>
  <si>
    <t>TRANSPONDER RADIO GTX33</t>
  </si>
  <si>
    <t>011-00868-10</t>
  </si>
  <si>
    <t>UNIT-AHRS</t>
  </si>
  <si>
    <t>8095536-8101</t>
  </si>
  <si>
    <t>SENSOR-RADAR</t>
  </si>
  <si>
    <t>065-0059-01</t>
  </si>
  <si>
    <t>SERVO PITCH</t>
  </si>
  <si>
    <t>C668540-0102</t>
  </si>
  <si>
    <t>SUCTION GAGE</t>
  </si>
  <si>
    <t>156-0019G</t>
  </si>
  <si>
    <t>LIGHT STROB RH</t>
  </si>
  <si>
    <t>C622010-0101</t>
  </si>
  <si>
    <t>LIGHT STROBE LH</t>
  </si>
  <si>
    <t>251500-0141-1</t>
  </si>
  <si>
    <t>PRESSURE SWITCH</t>
  </si>
  <si>
    <t>3100829-03</t>
  </si>
  <si>
    <t>VALVE ASSEMBLY COMP
VALVE ASSEMBLY COMPRESSOR BLEED
VALVE BLEED TURBINEENGINE
BLEED VALVE</t>
  </si>
  <si>
    <t>VANE ASSEMBLY TURBINE</t>
  </si>
  <si>
    <t>MD41-448</t>
  </si>
  <si>
    <t>GPS ANNUNCIATION CONTROL UNIT</t>
  </si>
  <si>
    <t>C611505-0102</t>
  </si>
  <si>
    <t>GENERATOR ENGINE ACCESSORY</t>
  </si>
  <si>
    <t>FLOW DIVIDER</t>
  </si>
  <si>
    <t>2654014-15</t>
  </si>
  <si>
    <t>EXHAUST DUCT ASSY-PRIMARY
EXHAUST DUCT ASSY-PRIMARY U/O ENGINE PT6A-114
EXAUSHT DUCT</t>
  </si>
  <si>
    <t>071-00097-0100</t>
  </si>
  <si>
    <t>ELECTRONIC MODULE STANDARDIZED</t>
  </si>
  <si>
    <t>065-0060-01</t>
  </si>
  <si>
    <t>CONTROL SERVO AUTOMATIC PILOT</t>
  </si>
  <si>
    <t>80-0583-3</t>
  </si>
  <si>
    <t>ANNUNCIATOR PA
ANNUNCIATOR PANEL</t>
  </si>
  <si>
    <t>ADAPTER ASSEMBLY IN
ADAPTER ASSEMBLY MA</t>
  </si>
  <si>
    <t>065-00178-2200</t>
  </si>
  <si>
    <t>SERVO-PITCH KS270C</t>
  </si>
  <si>
    <t>C661053-0103</t>
  </si>
  <si>
    <t>GIRO DIRECTION</t>
  </si>
  <si>
    <t>071-1052-00</t>
  </si>
  <si>
    <t>TRANSMITTER INDUCTION COMPASS
FLUX DETECTOR TYPE KMT 112</t>
  </si>
  <si>
    <t>1H101-4</t>
  </si>
  <si>
    <t>FLOW CONTROL VALVE</t>
  </si>
  <si>
    <t>2601188-204</t>
  </si>
  <si>
    <t>COMPRESSOR DRIVE ASSY</t>
  </si>
  <si>
    <t>011-00809-00</t>
  </si>
  <si>
    <t>AUDIO PANEL GMA-1347</t>
  </si>
  <si>
    <t>064-1017-01</t>
  </si>
  <si>
    <t>AMPLIFIER ANTE
AMPLIFIER-ANTENNA C</t>
  </si>
  <si>
    <t>SD5H14C4527</t>
  </si>
  <si>
    <t>AIR COMPRESSOR</t>
  </si>
  <si>
    <t>ADAPTER FUEL
ADAPTER FUEL MANIFO</t>
  </si>
  <si>
    <t>011-01020-10</t>
  </si>
  <si>
    <t>AFCS MODE CONTROLLER GMC 710</t>
  </si>
  <si>
    <t>2661215-1</t>
  </si>
  <si>
    <t>ACTUATOR ASSY-ELEVATOR TRIM TAB</t>
  </si>
  <si>
    <t>065-0030-00</t>
  </si>
  <si>
    <t>PLATE MOUNTING</t>
  </si>
  <si>
    <t>C664503-0101</t>
  </si>
  <si>
    <t>HOURMETER-FLIGHT RECORDER</t>
  </si>
  <si>
    <t>C145-350</t>
  </si>
  <si>
    <t>MOTOR DIRECT CURRENT</t>
  </si>
  <si>
    <t>HOJE:</t>
  </si>
  <si>
    <t>DATA DE DOWNLOAD SILOMS</t>
  </si>
  <si>
    <t>INFORMAÇÕES DO  SILOMS</t>
  </si>
  <si>
    <t xml:space="preserve">INFORMAÇÕES DA EMPRESA </t>
  </si>
  <si>
    <t>COMREC/ACERTO VIRTUAL</t>
  </si>
  <si>
    <t>Qt</t>
  </si>
  <si>
    <t>OS</t>
  </si>
  <si>
    <t>NOMENCLATURA</t>
  </si>
  <si>
    <t>SN</t>
  </si>
  <si>
    <t xml:space="preserve">DATA INICIO </t>
  </si>
  <si>
    <t>UNIDADE SOLIC.</t>
  </si>
  <si>
    <t>ST_OS</t>
  </si>
  <si>
    <t xml:space="preserve">TAT SILOMS </t>
  </si>
  <si>
    <t>OBSERVAÇÃO COORDENADORIA / FISCAL</t>
  </si>
  <si>
    <t xml:space="preserve">TAT </t>
  </si>
  <si>
    <t>OBSERVAÇÃO VEE ONE</t>
  </si>
  <si>
    <t xml:space="preserve">Data de devolução empresa </t>
  </si>
  <si>
    <t>ONDE SE ENCONTRA</t>
  </si>
  <si>
    <t>RECIBO CASO TENHA</t>
  </si>
  <si>
    <t>CONDIÇÃO</t>
  </si>
  <si>
    <t>SN TROCADO (EXCHANGE)</t>
  </si>
  <si>
    <t>TERMO DE RECEBIMENTO</t>
  </si>
  <si>
    <t>DATA DO TERMO</t>
  </si>
  <si>
    <t>RECEBIMENTO DO TERMO</t>
  </si>
  <si>
    <t>SOLICITAR ACERTO à Vee One</t>
  </si>
  <si>
    <t>SOLICITAR CONCLUSÃO OS</t>
  </si>
  <si>
    <t>OS CONCLUÍDA</t>
  </si>
  <si>
    <t>SOLICITAR RECEBIMENTO</t>
  </si>
  <si>
    <t>ITEM RECEBIDO</t>
  </si>
  <si>
    <t>SOLICITAR ARMAZENAGEM</t>
  </si>
  <si>
    <t>ITEM ARMAZENADO</t>
  </si>
  <si>
    <t>TRANSFERIR E SOLICITAR ATENDIMENTO TSAU</t>
  </si>
  <si>
    <t>SOLICITAR TRANSFERÊNCIA TSAE</t>
  </si>
  <si>
    <t>ENVIO</t>
  </si>
  <si>
    <t>SOL REC OPERADOR</t>
  </si>
  <si>
    <t>REC OPERADOR</t>
  </si>
  <si>
    <t>1</t>
  </si>
  <si>
    <t>3040249831</t>
  </si>
  <si>
    <t>2</t>
  </si>
  <si>
    <t>3040250248</t>
  </si>
  <si>
    <t>3</t>
  </si>
  <si>
    <t>3040250249</t>
  </si>
  <si>
    <t>4</t>
  </si>
  <si>
    <t>3040250234</t>
  </si>
  <si>
    <t>5</t>
  </si>
  <si>
    <t>3040250816</t>
  </si>
  <si>
    <t>6</t>
  </si>
  <si>
    <t>3040250830</t>
  </si>
  <si>
    <t>7</t>
  </si>
  <si>
    <t>3040250829</t>
  </si>
  <si>
    <t>8</t>
  </si>
  <si>
    <t>3040250828</t>
  </si>
  <si>
    <t>9</t>
  </si>
  <si>
    <t>3040250827</t>
  </si>
  <si>
    <t>10</t>
  </si>
  <si>
    <t>3040250831</t>
  </si>
  <si>
    <t>11</t>
  </si>
  <si>
    <t>3040250833</t>
  </si>
  <si>
    <t>12</t>
  </si>
  <si>
    <t>3040250834</t>
  </si>
  <si>
    <t>13</t>
  </si>
  <si>
    <t>3040250832</t>
  </si>
  <si>
    <t>14</t>
  </si>
  <si>
    <t>3040250835</t>
  </si>
  <si>
    <t>15</t>
  </si>
  <si>
    <t>3040250841</t>
  </si>
  <si>
    <t>16</t>
  </si>
  <si>
    <t>3040250842</t>
  </si>
  <si>
    <t>17</t>
  </si>
  <si>
    <t>3040250844</t>
  </si>
  <si>
    <t>18</t>
  </si>
  <si>
    <t>3040250843</t>
  </si>
  <si>
    <t>19</t>
  </si>
  <si>
    <t>3040250719</t>
  </si>
  <si>
    <t>20</t>
  </si>
  <si>
    <t>3040250720</t>
  </si>
  <si>
    <t xml:space="preserve"> NÃO POSSUIMOS TR/RECIBO</t>
  </si>
  <si>
    <t>21</t>
  </si>
  <si>
    <t>3040250722</t>
  </si>
  <si>
    <t>22</t>
  </si>
  <si>
    <t>3040250723</t>
  </si>
  <si>
    <t>23</t>
  </si>
  <si>
    <t>3040250721</t>
  </si>
  <si>
    <t>24</t>
  </si>
  <si>
    <t>3040250725</t>
  </si>
  <si>
    <t>25</t>
  </si>
  <si>
    <t>3040250724</t>
  </si>
  <si>
    <t>26</t>
  </si>
  <si>
    <t>3040250732</t>
  </si>
  <si>
    <t>27</t>
  </si>
  <si>
    <t>3040250782</t>
  </si>
  <si>
    <t>28</t>
  </si>
  <si>
    <t>3040250775</t>
  </si>
  <si>
    <t>29</t>
  </si>
  <si>
    <t>3040250773</t>
  </si>
  <si>
    <t>30</t>
  </si>
  <si>
    <t>3040250718</t>
  </si>
  <si>
    <t>31</t>
  </si>
  <si>
    <t>3040250716</t>
  </si>
  <si>
    <t>32</t>
  </si>
  <si>
    <t>3040250717</t>
  </si>
  <si>
    <t>33</t>
  </si>
  <si>
    <t>3040250780</t>
  </si>
  <si>
    <t>34</t>
  </si>
  <si>
    <t>3040250781</t>
  </si>
  <si>
    <t>35</t>
  </si>
  <si>
    <t>3040250778</t>
  </si>
  <si>
    <t>36</t>
  </si>
  <si>
    <t>3040250776</t>
  </si>
  <si>
    <t>37</t>
  </si>
  <si>
    <t>3040250790</t>
  </si>
  <si>
    <t>38</t>
  </si>
  <si>
    <t>3040250791</t>
  </si>
  <si>
    <t>39</t>
  </si>
  <si>
    <t>3040250792</t>
  </si>
  <si>
    <t>40</t>
  </si>
  <si>
    <t>3040250789</t>
  </si>
  <si>
    <t>41</t>
  </si>
  <si>
    <t>3040250793</t>
  </si>
  <si>
    <t>42</t>
  </si>
  <si>
    <t>3040250798</t>
  </si>
  <si>
    <t>43</t>
  </si>
  <si>
    <t>3040252191</t>
  </si>
  <si>
    <t>44</t>
  </si>
  <si>
    <t>3040252159</t>
  </si>
  <si>
    <t>45</t>
  </si>
  <si>
    <t>3040252161</t>
  </si>
  <si>
    <t>46</t>
  </si>
  <si>
    <t>3040252162</t>
  </si>
  <si>
    <t>47</t>
  </si>
  <si>
    <t>3040252164</t>
  </si>
  <si>
    <t>48</t>
  </si>
  <si>
    <t>3040252165</t>
  </si>
  <si>
    <t>49</t>
  </si>
  <si>
    <t>3040252166</t>
  </si>
  <si>
    <t>50</t>
  </si>
  <si>
    <t>3040252168</t>
  </si>
  <si>
    <t>51</t>
  </si>
  <si>
    <t>3040252173</t>
  </si>
  <si>
    <t>52</t>
  </si>
  <si>
    <t>3040252172</t>
  </si>
  <si>
    <t>53</t>
  </si>
  <si>
    <t>3040252170</t>
  </si>
  <si>
    <t>54</t>
  </si>
  <si>
    <t>3040252178</t>
  </si>
  <si>
    <t>55</t>
  </si>
  <si>
    <t>3040252182</t>
  </si>
  <si>
    <t>56</t>
  </si>
  <si>
    <t>3040252181</t>
  </si>
  <si>
    <t>Devolvido recibo 407 , porém ainda em OS, GMM FRIA</t>
  </si>
  <si>
    <t>57</t>
  </si>
  <si>
    <t>3040252180</t>
  </si>
  <si>
    <t>58</t>
  </si>
  <si>
    <t>3040252185</t>
  </si>
  <si>
    <t>59</t>
  </si>
  <si>
    <t>3040252189</t>
  </si>
  <si>
    <t>60</t>
  </si>
  <si>
    <t>3040252190</t>
  </si>
  <si>
    <t>61</t>
  </si>
  <si>
    <t>3040252160</t>
  </si>
  <si>
    <t>62</t>
  </si>
  <si>
    <t>3040252939</t>
  </si>
  <si>
    <t>63</t>
  </si>
  <si>
    <t>3040252936</t>
  </si>
  <si>
    <t>64</t>
  </si>
  <si>
    <t>3040252935</t>
  </si>
  <si>
    <t>65</t>
  </si>
  <si>
    <t>3040252940</t>
  </si>
  <si>
    <t>66</t>
  </si>
  <si>
    <t>3040252942</t>
  </si>
  <si>
    <t>67</t>
  </si>
  <si>
    <t>3040252943</t>
  </si>
  <si>
    <t>68</t>
  </si>
  <si>
    <t>3040253170</t>
  </si>
  <si>
    <t>69</t>
  </si>
  <si>
    <t>3040253168</t>
  </si>
  <si>
    <t>70</t>
  </si>
  <si>
    <t>3040253172</t>
  </si>
  <si>
    <t>71</t>
  </si>
  <si>
    <t>3040253174</t>
  </si>
  <si>
    <t>72</t>
  </si>
  <si>
    <t>3040253173</t>
  </si>
  <si>
    <t>73</t>
  </si>
  <si>
    <t>3040253176</t>
  </si>
  <si>
    <t>74</t>
  </si>
  <si>
    <t>3040253177</t>
  </si>
  <si>
    <t>75</t>
  </si>
  <si>
    <t>3040253178</t>
  </si>
  <si>
    <t>76</t>
  </si>
  <si>
    <t>3040253179</t>
  </si>
  <si>
    <t>77</t>
  </si>
  <si>
    <t>3040253181</t>
  </si>
  <si>
    <t>78</t>
  </si>
  <si>
    <t>3040253180</t>
  </si>
  <si>
    <t>79</t>
  </si>
  <si>
    <t>3040253182</t>
  </si>
  <si>
    <t>80</t>
  </si>
  <si>
    <t>3040253536</t>
  </si>
  <si>
    <t>81</t>
  </si>
  <si>
    <t>3040253529</t>
  </si>
  <si>
    <t>82</t>
  </si>
  <si>
    <t>3040253528</t>
  </si>
  <si>
    <t>83</t>
  </si>
  <si>
    <t>3040253532</t>
  </si>
  <si>
    <t>84</t>
  </si>
  <si>
    <t>3040253535</t>
  </si>
  <si>
    <t>85</t>
  </si>
  <si>
    <t>3040253531</t>
  </si>
  <si>
    <t>86</t>
  </si>
  <si>
    <t>3040253530</t>
  </si>
  <si>
    <t>87</t>
  </si>
  <si>
    <t>3040253526</t>
  </si>
  <si>
    <t>88</t>
  </si>
  <si>
    <t>3040253527</t>
  </si>
  <si>
    <t>89</t>
  </si>
  <si>
    <t>3040254195</t>
  </si>
  <si>
    <t>90</t>
  </si>
  <si>
    <t>3040254201</t>
  </si>
  <si>
    <t>91</t>
  </si>
  <si>
    <t>3040254203</t>
  </si>
  <si>
    <t>92</t>
  </si>
  <si>
    <t>3040254205</t>
  </si>
  <si>
    <t>93</t>
  </si>
  <si>
    <t>3040254206</t>
  </si>
  <si>
    <t>94</t>
  </si>
  <si>
    <t>3040254208</t>
  </si>
  <si>
    <t>95</t>
  </si>
  <si>
    <t>3040254210</t>
  </si>
  <si>
    <t>96</t>
  </si>
  <si>
    <t>3040254792</t>
  </si>
  <si>
    <t>97</t>
  </si>
  <si>
    <t>3040254770</t>
  </si>
  <si>
    <t>98</t>
  </si>
  <si>
    <t>3040254799</t>
  </si>
  <si>
    <t>99</t>
  </si>
  <si>
    <t>3040254806</t>
  </si>
  <si>
    <t>100</t>
  </si>
  <si>
    <t>3040254805</t>
  </si>
  <si>
    <t>101</t>
  </si>
  <si>
    <t>3040254810</t>
  </si>
  <si>
    <t>102</t>
  </si>
  <si>
    <t>3040254809</t>
  </si>
  <si>
    <t>103</t>
  </si>
  <si>
    <t>3040254803</t>
  </si>
  <si>
    <t>104</t>
  </si>
  <si>
    <t>3040254808</t>
  </si>
  <si>
    <t>105</t>
  </si>
  <si>
    <t>3040254795</t>
  </si>
  <si>
    <t>106</t>
  </si>
  <si>
    <t>3040254793</t>
  </si>
  <si>
    <t>107</t>
  </si>
  <si>
    <t>3040254815</t>
  </si>
  <si>
    <t>108</t>
  </si>
  <si>
    <t>3040254816</t>
  </si>
  <si>
    <t>109</t>
  </si>
  <si>
    <t>3040254820</t>
  </si>
  <si>
    <t>110</t>
  </si>
  <si>
    <t>3040254817</t>
  </si>
  <si>
    <t>111</t>
  </si>
  <si>
    <t>3040254818</t>
  </si>
  <si>
    <t>112</t>
  </si>
  <si>
    <t>3040254819</t>
  </si>
  <si>
    <t>113</t>
  </si>
  <si>
    <t>3040254796</t>
  </si>
  <si>
    <t>114</t>
  </si>
  <si>
    <t>3040254789</t>
  </si>
  <si>
    <t>115</t>
  </si>
  <si>
    <t>3040254788</t>
  </si>
  <si>
    <t>116</t>
  </si>
  <si>
    <t>3040254787</t>
  </si>
  <si>
    <t>117</t>
  </si>
  <si>
    <t>3040254786</t>
  </si>
  <si>
    <t>118</t>
  </si>
  <si>
    <t>3040254785</t>
  </si>
  <si>
    <t>119</t>
  </si>
  <si>
    <t>3040254784</t>
  </si>
  <si>
    <t>120</t>
  </si>
  <si>
    <t>3040255326</t>
  </si>
  <si>
    <t>121</t>
  </si>
  <si>
    <t>3040255319</t>
  </si>
  <si>
    <t>122</t>
  </si>
  <si>
    <t>3040255321</t>
  </si>
  <si>
    <t>123</t>
  </si>
  <si>
    <t>3040255461</t>
  </si>
  <si>
    <t>124</t>
  </si>
  <si>
    <t>3040255589</t>
  </si>
  <si>
    <t>125</t>
  </si>
  <si>
    <t>3040255590</t>
  </si>
  <si>
    <t>126</t>
  </si>
  <si>
    <t>3040255706</t>
  </si>
  <si>
    <t>127</t>
  </si>
  <si>
    <t>3040256114</t>
  </si>
  <si>
    <t>128</t>
  </si>
  <si>
    <t>3040256119</t>
  </si>
  <si>
    <t>129</t>
  </si>
  <si>
    <t>3040256112</t>
  </si>
  <si>
    <t>130</t>
  </si>
  <si>
    <t>3040256115</t>
  </si>
  <si>
    <t>131</t>
  </si>
  <si>
    <t>3040256118</t>
  </si>
  <si>
    <t>132</t>
  </si>
  <si>
    <t>3040256120</t>
  </si>
  <si>
    <t>133</t>
  </si>
  <si>
    <t>3040256314</t>
  </si>
  <si>
    <t>134</t>
  </si>
  <si>
    <t>3040256311</t>
  </si>
  <si>
    <t>135</t>
  </si>
  <si>
    <t>3040256704</t>
  </si>
  <si>
    <t>136</t>
  </si>
  <si>
    <t>3040256707</t>
  </si>
  <si>
    <t>137</t>
  </si>
  <si>
    <t>3040256708</t>
  </si>
  <si>
    <t>138</t>
  </si>
  <si>
    <t>3040256702</t>
  </si>
  <si>
    <t>139</t>
  </si>
  <si>
    <t>3040256703</t>
  </si>
  <si>
    <t>140</t>
  </si>
  <si>
    <t>3040256662</t>
  </si>
  <si>
    <t>141</t>
  </si>
  <si>
    <t>3040256665</t>
  </si>
  <si>
    <t>142</t>
  </si>
  <si>
    <t>3040256666</t>
  </si>
  <si>
    <t>143</t>
  </si>
  <si>
    <t>3040256667</t>
  </si>
  <si>
    <t>144</t>
  </si>
  <si>
    <t>3040256668</t>
  </si>
  <si>
    <t>145</t>
  </si>
  <si>
    <t>3040256669</t>
  </si>
  <si>
    <t>146</t>
  </si>
  <si>
    <t>3040256670</t>
  </si>
  <si>
    <t>147</t>
  </si>
  <si>
    <t>3040256671</t>
  </si>
  <si>
    <t>148</t>
  </si>
  <si>
    <t>3040256698</t>
  </si>
  <si>
    <t>149</t>
  </si>
  <si>
    <t>3040256713</t>
  </si>
  <si>
    <t>150</t>
  </si>
  <si>
    <t>3040256694</t>
  </si>
  <si>
    <t>151</t>
  </si>
  <si>
    <t>3040256696</t>
  </si>
  <si>
    <t>152</t>
  </si>
  <si>
    <t>3040256672</t>
  </si>
  <si>
    <t>153</t>
  </si>
  <si>
    <t>3040256675</t>
  </si>
  <si>
    <t>154</t>
  </si>
  <si>
    <t>3040256792</t>
  </si>
  <si>
    <t>155</t>
  </si>
  <si>
    <t>3040256787</t>
  </si>
  <si>
    <t>156</t>
  </si>
  <si>
    <t>3040256828</t>
  </si>
  <si>
    <t>157</t>
  </si>
  <si>
    <t>3040256709</t>
  </si>
  <si>
    <t>158</t>
  </si>
  <si>
    <t>3040256673</t>
  </si>
  <si>
    <t>159</t>
  </si>
  <si>
    <t>3040257095</t>
  </si>
  <si>
    <t>160</t>
  </si>
  <si>
    <t>3040257096</t>
  </si>
  <si>
    <t>161</t>
  </si>
  <si>
    <t>3040257093</t>
  </si>
  <si>
    <t>162</t>
  </si>
  <si>
    <t>3040257094</t>
  </si>
  <si>
    <t>163</t>
  </si>
  <si>
    <t>3040257443</t>
  </si>
  <si>
    <t>164</t>
  </si>
  <si>
    <t>3040257442</t>
  </si>
  <si>
    <t>165</t>
  </si>
  <si>
    <t>3040257452</t>
  </si>
  <si>
    <t>166</t>
  </si>
  <si>
    <t>3040257454</t>
  </si>
  <si>
    <t>167</t>
  </si>
  <si>
    <t>3040257453</t>
  </si>
  <si>
    <t>168</t>
  </si>
  <si>
    <t>3040257451</t>
  </si>
  <si>
    <t>169</t>
  </si>
  <si>
    <t>3040257450</t>
  </si>
  <si>
    <t>170</t>
  </si>
  <si>
    <t>3040257438</t>
  </si>
  <si>
    <t>171</t>
  </si>
  <si>
    <t>3040257444</t>
  </si>
  <si>
    <t>172</t>
  </si>
  <si>
    <t>3040257447</t>
  </si>
  <si>
    <t>173</t>
  </si>
  <si>
    <t>3040257436</t>
  </si>
  <si>
    <t>174</t>
  </si>
  <si>
    <t>3040257441</t>
  </si>
  <si>
    <t>175</t>
  </si>
  <si>
    <t>3040257440</t>
  </si>
  <si>
    <t>176</t>
  </si>
  <si>
    <t>3040257439</t>
  </si>
  <si>
    <t>177</t>
  </si>
  <si>
    <t>3040258306</t>
  </si>
  <si>
    <t>178</t>
  </si>
  <si>
    <t>3040258310</t>
  </si>
  <si>
    <t>179</t>
  </si>
  <si>
    <t>3040258309</t>
  </si>
  <si>
    <t>180</t>
  </si>
  <si>
    <t>3040258308</t>
  </si>
  <si>
    <t>181</t>
  </si>
  <si>
    <t>3040258307</t>
  </si>
  <si>
    <t>182</t>
  </si>
  <si>
    <t>3040258303</t>
  </si>
  <si>
    <t>183</t>
  </si>
  <si>
    <t>3040258422</t>
  </si>
  <si>
    <t>184</t>
  </si>
  <si>
    <t>3040258419</t>
  </si>
  <si>
    <t>185</t>
  </si>
  <si>
    <t>3040258420</t>
  </si>
  <si>
    <t>186</t>
  </si>
  <si>
    <t>3040258421</t>
  </si>
  <si>
    <t>187</t>
  </si>
  <si>
    <t>3040258764</t>
  </si>
  <si>
    <t>188</t>
  </si>
  <si>
    <t>3040259152</t>
  </si>
  <si>
    <t>189</t>
  </si>
  <si>
    <t>3040259151</t>
  </si>
  <si>
    <t>190</t>
  </si>
  <si>
    <t>3040259251</t>
  </si>
  <si>
    <t>191</t>
  </si>
  <si>
    <t>3040259146</t>
  </si>
  <si>
    <t>192</t>
  </si>
  <si>
    <t>3040259147</t>
  </si>
  <si>
    <t>193</t>
  </si>
  <si>
    <t>3040259148</t>
  </si>
  <si>
    <t>194</t>
  </si>
  <si>
    <t>3040259316</t>
  </si>
  <si>
    <t>195</t>
  </si>
  <si>
    <t>3040259564</t>
  </si>
  <si>
    <t>196</t>
  </si>
  <si>
    <t>3040259568</t>
  </si>
  <si>
    <t>197</t>
  </si>
  <si>
    <t>3040259570</t>
  </si>
  <si>
    <t>198</t>
  </si>
  <si>
    <t>3040259694</t>
  </si>
  <si>
    <t>199</t>
  </si>
  <si>
    <t>3040259922</t>
  </si>
  <si>
    <t>200</t>
  </si>
  <si>
    <t>3040259928</t>
  </si>
  <si>
    <t>201</t>
  </si>
  <si>
    <t>3040259924</t>
  </si>
  <si>
    <t>202</t>
  </si>
  <si>
    <t>3040259918</t>
  </si>
  <si>
    <t>203</t>
  </si>
  <si>
    <t>3040259950</t>
  </si>
  <si>
    <t>204</t>
  </si>
  <si>
    <t>3040259949</t>
  </si>
  <si>
    <t>205</t>
  </si>
  <si>
    <t>3040259947</t>
  </si>
  <si>
    <t>206</t>
  </si>
  <si>
    <t>3040259946</t>
  </si>
  <si>
    <t>207</t>
  </si>
  <si>
    <t>3040259944</t>
  </si>
  <si>
    <t>208</t>
  </si>
  <si>
    <t>3040260209</t>
  </si>
  <si>
    <t>209</t>
  </si>
  <si>
    <t>3040260208</t>
  </si>
  <si>
    <t>210</t>
  </si>
  <si>
    <t>3040260204</t>
  </si>
  <si>
    <t>211</t>
  </si>
  <si>
    <t>3040260205</t>
  </si>
  <si>
    <t>212</t>
  </si>
  <si>
    <t>3040260388</t>
  </si>
  <si>
    <t>213</t>
  </si>
  <si>
    <t>3040260382</t>
  </si>
  <si>
    <t>214</t>
  </si>
  <si>
    <t>3040260389</t>
  </si>
  <si>
    <t>215</t>
  </si>
  <si>
    <t>3040260517</t>
  </si>
  <si>
    <t>216</t>
  </si>
  <si>
    <t>3040260524</t>
  </si>
  <si>
    <t>217</t>
  </si>
  <si>
    <t>3040260516</t>
  </si>
  <si>
    <t>218</t>
  </si>
  <si>
    <t>3040260523</t>
  </si>
  <si>
    <t>219</t>
  </si>
  <si>
    <t>3040260522</t>
  </si>
  <si>
    <t>220</t>
  </si>
  <si>
    <t>3040260547</t>
  </si>
  <si>
    <t>221</t>
  </si>
  <si>
    <t>3040260545</t>
  </si>
  <si>
    <t>222</t>
  </si>
  <si>
    <t>3040260544</t>
  </si>
  <si>
    <t>223</t>
  </si>
  <si>
    <t>3040260546</t>
  </si>
  <si>
    <t>224</t>
  </si>
  <si>
    <t>3040260548</t>
  </si>
  <si>
    <t>225</t>
  </si>
  <si>
    <t>3040260549</t>
  </si>
  <si>
    <t>226</t>
  </si>
  <si>
    <t>3040260550</t>
  </si>
  <si>
    <t>227</t>
  </si>
  <si>
    <t>3040260551</t>
  </si>
  <si>
    <t>228</t>
  </si>
  <si>
    <t>3040260552</t>
  </si>
  <si>
    <t>229</t>
  </si>
  <si>
    <t>3040260543</t>
  </si>
  <si>
    <t>230</t>
  </si>
  <si>
    <t>3040260542</t>
  </si>
  <si>
    <t>231</t>
  </si>
  <si>
    <t>3040260541</t>
  </si>
  <si>
    <t>232</t>
  </si>
  <si>
    <t>3040260540</t>
  </si>
  <si>
    <t>233</t>
  </si>
  <si>
    <t>3040260538</t>
  </si>
  <si>
    <t>234</t>
  </si>
  <si>
    <t>3040260539</t>
  </si>
  <si>
    <t>235</t>
  </si>
  <si>
    <t>3040260595</t>
  </si>
  <si>
    <t>236</t>
  </si>
  <si>
    <t>3040260597</t>
  </si>
  <si>
    <t>237</t>
  </si>
  <si>
    <t>3040260583</t>
  </si>
  <si>
    <t>238</t>
  </si>
  <si>
    <t>3040260750</t>
  </si>
  <si>
    <t>239</t>
  </si>
  <si>
    <t>3040260752</t>
  </si>
  <si>
    <t>240</t>
  </si>
  <si>
    <t>3040260753</t>
  </si>
  <si>
    <t>241</t>
  </si>
  <si>
    <t>3040260754</t>
  </si>
  <si>
    <t>242</t>
  </si>
  <si>
    <t>3040254794</t>
  </si>
  <si>
    <t>243</t>
  </si>
  <si>
    <t>3040260913</t>
  </si>
  <si>
    <t>244</t>
  </si>
  <si>
    <t>3040260915</t>
  </si>
  <si>
    <t>245</t>
  </si>
  <si>
    <t>3040260811</t>
  </si>
  <si>
    <t>246</t>
  </si>
  <si>
    <t>3040260812</t>
  </si>
  <si>
    <t>247</t>
  </si>
  <si>
    <t>3040260922</t>
  </si>
  <si>
    <t>248</t>
  </si>
  <si>
    <t>3040260923</t>
  </si>
  <si>
    <t>249</t>
  </si>
  <si>
    <t>3040261389</t>
  </si>
  <si>
    <t>250</t>
  </si>
  <si>
    <t>3040261388</t>
  </si>
  <si>
    <t>251</t>
  </si>
  <si>
    <t>3040261387</t>
  </si>
  <si>
    <t>252</t>
  </si>
  <si>
    <t>3040261371</t>
  </si>
  <si>
    <t>253</t>
  </si>
  <si>
    <t>3040261375</t>
  </si>
  <si>
    <t>254</t>
  </si>
  <si>
    <t>3040261373</t>
  </si>
  <si>
    <t>255</t>
  </si>
  <si>
    <t>3040261322</t>
  </si>
  <si>
    <t>256</t>
  </si>
  <si>
    <t>3040261326</t>
  </si>
  <si>
    <t>257</t>
  </si>
  <si>
    <t>3040261324</t>
  </si>
  <si>
    <t>258</t>
  </si>
  <si>
    <t>3040261327</t>
  </si>
  <si>
    <t>259</t>
  </si>
  <si>
    <t>3040261336</t>
  </si>
  <si>
    <t>260</t>
  </si>
  <si>
    <t>3040261334</t>
  </si>
  <si>
    <t>261</t>
  </si>
  <si>
    <t>3040261331</t>
  </si>
  <si>
    <t>262</t>
  </si>
  <si>
    <t>3040261329</t>
  </si>
  <si>
    <t>263</t>
  </si>
  <si>
    <t>3040261335</t>
  </si>
  <si>
    <t>264</t>
  </si>
  <si>
    <t>3040261342</t>
  </si>
  <si>
    <t>265</t>
  </si>
  <si>
    <t>3040261340</t>
  </si>
  <si>
    <t>266</t>
  </si>
  <si>
    <t>3040261377</t>
  </si>
  <si>
    <t>267</t>
  </si>
  <si>
    <t>3040261376</t>
  </si>
  <si>
    <t>268</t>
  </si>
  <si>
    <t>3040261352</t>
  </si>
  <si>
    <t>269</t>
  </si>
  <si>
    <t>3040261347</t>
  </si>
  <si>
    <t>270</t>
  </si>
  <si>
    <t>3040261344</t>
  </si>
  <si>
    <t>271</t>
  </si>
  <si>
    <t>3040261353</t>
  </si>
  <si>
    <t>272</t>
  </si>
  <si>
    <t>3040261357</t>
  </si>
  <si>
    <t>273</t>
  </si>
  <si>
    <t>3040261356</t>
  </si>
  <si>
    <t>274</t>
  </si>
  <si>
    <t>3040261355</t>
  </si>
  <si>
    <t>275</t>
  </si>
  <si>
    <t>3040261354</t>
  </si>
  <si>
    <t>276</t>
  </si>
  <si>
    <t>3040261364</t>
  </si>
  <si>
    <t>277</t>
  </si>
  <si>
    <t>3040261627</t>
  </si>
  <si>
    <t>278</t>
  </si>
  <si>
    <t>3040261628</t>
  </si>
  <si>
    <t>279</t>
  </si>
  <si>
    <t>3040261851</t>
  </si>
  <si>
    <t>280</t>
  </si>
  <si>
    <t>3040261852</t>
  </si>
  <si>
    <t>281</t>
  </si>
  <si>
    <t>3040261843</t>
  </si>
  <si>
    <t>282</t>
  </si>
  <si>
    <t>3040262245</t>
  </si>
  <si>
    <t>283</t>
  </si>
  <si>
    <t>3040262246</t>
  </si>
  <si>
    <t>284</t>
  </si>
  <si>
    <t>3040262273</t>
  </si>
  <si>
    <t>285</t>
  </si>
  <si>
    <t>3040262275</t>
  </si>
  <si>
    <t>286</t>
  </si>
  <si>
    <t>3040262363</t>
  </si>
  <si>
    <t>287</t>
  </si>
  <si>
    <t>3040262367</t>
  </si>
  <si>
    <t>288</t>
  </si>
  <si>
    <t>3040262368</t>
  </si>
  <si>
    <t>289</t>
  </si>
  <si>
    <t>3040262372</t>
  </si>
  <si>
    <t>290</t>
  </si>
  <si>
    <t>3040262371</t>
  </si>
  <si>
    <t>291</t>
  </si>
  <si>
    <t>3040262419</t>
  </si>
  <si>
    <t>292</t>
  </si>
  <si>
    <t>3040262734</t>
  </si>
  <si>
    <t>293</t>
  </si>
  <si>
    <t>3040262738</t>
  </si>
  <si>
    <t>294</t>
  </si>
  <si>
    <t>3040262739</t>
  </si>
  <si>
    <t>295</t>
  </si>
  <si>
    <t>3040262740</t>
  </si>
  <si>
    <t>296</t>
  </si>
  <si>
    <t>3040262766</t>
  </si>
  <si>
    <t>297</t>
  </si>
  <si>
    <t>3040262765</t>
  </si>
  <si>
    <t>298</t>
  </si>
  <si>
    <t>3040262772</t>
  </si>
  <si>
    <t>299</t>
  </si>
  <si>
    <t>3040262770</t>
  </si>
  <si>
    <t>300</t>
  </si>
  <si>
    <t>3040262773</t>
  </si>
  <si>
    <t>301</t>
  </si>
  <si>
    <t>3040262746</t>
  </si>
  <si>
    <t>302</t>
  </si>
  <si>
    <t>3040262745</t>
  </si>
  <si>
    <t>303</t>
  </si>
  <si>
    <t>3040262747</t>
  </si>
  <si>
    <t>304</t>
  </si>
  <si>
    <t>3040262748</t>
  </si>
  <si>
    <t>305</t>
  </si>
  <si>
    <t>3040262769</t>
  </si>
  <si>
    <t>306</t>
  </si>
  <si>
    <t>3040262768</t>
  </si>
  <si>
    <t>307</t>
  </si>
  <si>
    <t>3040262767</t>
  </si>
  <si>
    <t>308</t>
  </si>
  <si>
    <t>3040262791</t>
  </si>
  <si>
    <t>309</t>
  </si>
  <si>
    <t>3040262630</t>
  </si>
  <si>
    <t>310</t>
  </si>
  <si>
    <t>3040262792</t>
  </si>
  <si>
    <t>311</t>
  </si>
  <si>
    <t>3040262634</t>
  </si>
  <si>
    <t>312</t>
  </si>
  <si>
    <t>3040262632</t>
  </si>
  <si>
    <t>313</t>
  </si>
  <si>
    <t>3040262633</t>
  </si>
  <si>
    <t>314</t>
  </si>
  <si>
    <t>3040262635</t>
  </si>
  <si>
    <t>315</t>
  </si>
  <si>
    <t>3040262637</t>
  </si>
  <si>
    <t>316</t>
  </si>
  <si>
    <t>3040262636</t>
  </si>
  <si>
    <t>317</t>
  </si>
  <si>
    <t>3040262646</t>
  </si>
  <si>
    <t>318</t>
  </si>
  <si>
    <t>3040262639</t>
  </si>
  <si>
    <t>319</t>
  </si>
  <si>
    <t>3040262638</t>
  </si>
  <si>
    <t>320</t>
  </si>
  <si>
    <t>3040262757</t>
  </si>
  <si>
    <t>321</t>
  </si>
  <si>
    <t>3040262706</t>
  </si>
  <si>
    <t>322</t>
  </si>
  <si>
    <t>3040262707</t>
  </si>
  <si>
    <t>323</t>
  </si>
  <si>
    <t>3040262717</t>
  </si>
  <si>
    <t>324</t>
  </si>
  <si>
    <t>3040262714</t>
  </si>
  <si>
    <t>325</t>
  </si>
  <si>
    <t>3040262713</t>
  </si>
  <si>
    <t>326</t>
  </si>
  <si>
    <t>3040262712</t>
  </si>
  <si>
    <t>327</t>
  </si>
  <si>
    <t>3040262711</t>
  </si>
  <si>
    <t>328</t>
  </si>
  <si>
    <t>3040262709</t>
  </si>
  <si>
    <t>329</t>
  </si>
  <si>
    <t>3040262708</t>
  </si>
  <si>
    <t>330</t>
  </si>
  <si>
    <t>3040262744</t>
  </si>
  <si>
    <t>331</t>
  </si>
  <si>
    <t>3040262758</t>
  </si>
  <si>
    <t>332</t>
  </si>
  <si>
    <t>3040262759</t>
  </si>
  <si>
    <t>333</t>
  </si>
  <si>
    <t>3040262760</t>
  </si>
  <si>
    <t>334</t>
  </si>
  <si>
    <t>3040262966</t>
  </si>
  <si>
    <t>335</t>
  </si>
  <si>
    <t>3040262967</t>
  </si>
  <si>
    <t>336</t>
  </si>
  <si>
    <t>3040262968</t>
  </si>
  <si>
    <t>337</t>
  </si>
  <si>
    <t>3040262969</t>
  </si>
  <si>
    <t>338</t>
  </si>
  <si>
    <t>3040263069</t>
  </si>
  <si>
    <t>339</t>
  </si>
  <si>
    <t>3040263283</t>
  </si>
  <si>
    <t>340</t>
  </si>
  <si>
    <t>3040263284</t>
  </si>
  <si>
    <t>341</t>
  </si>
  <si>
    <t>3040263324</t>
  </si>
  <si>
    <t>342</t>
  </si>
  <si>
    <t>3040263287</t>
  </si>
  <si>
    <t>343</t>
  </si>
  <si>
    <t>3040263288</t>
  </si>
  <si>
    <t>344</t>
  </si>
  <si>
    <t>3040263314</t>
  </si>
  <si>
    <t>345</t>
  </si>
  <si>
    <t>3040263319</t>
  </si>
  <si>
    <t>346</t>
  </si>
  <si>
    <t>3040263317</t>
  </si>
  <si>
    <t>347</t>
  </si>
  <si>
    <t>3040263316</t>
  </si>
  <si>
    <t>348</t>
  </si>
  <si>
    <t>3040263320</t>
  </si>
  <si>
    <t>349</t>
  </si>
  <si>
    <t>3040263325</t>
  </si>
  <si>
    <t>350</t>
  </si>
  <si>
    <t>3040263335</t>
  </si>
  <si>
    <t>351</t>
  </si>
  <si>
    <t>3040263336</t>
  </si>
  <si>
    <t>352</t>
  </si>
  <si>
    <t>3040263286</t>
  </si>
  <si>
    <t>353</t>
  </si>
  <si>
    <t>3040263322</t>
  </si>
  <si>
    <t>354</t>
  </si>
  <si>
    <t>3040263326</t>
  </si>
  <si>
    <t>355</t>
  </si>
  <si>
    <t>3040263315</t>
  </si>
  <si>
    <t>356</t>
  </si>
  <si>
    <t>3040263334</t>
  </si>
  <si>
    <t>357</t>
  </si>
  <si>
    <t>3040263333</t>
  </si>
  <si>
    <t>358</t>
  </si>
  <si>
    <t>3040263332</t>
  </si>
  <si>
    <t>359</t>
  </si>
  <si>
    <t>3040263331</t>
  </si>
  <si>
    <t>360</t>
  </si>
  <si>
    <t>3040263329</t>
  </si>
  <si>
    <t>361</t>
  </si>
  <si>
    <t>3040263328</t>
  </si>
  <si>
    <t>362</t>
  </si>
  <si>
    <t>3040263327</t>
  </si>
  <si>
    <t>363</t>
  </si>
  <si>
    <t>3040263330</t>
  </si>
  <si>
    <t>364</t>
  </si>
  <si>
    <t>3040263338</t>
  </si>
  <si>
    <t>365</t>
  </si>
  <si>
    <t>3040263433</t>
  </si>
  <si>
    <t>366</t>
  </si>
  <si>
    <t>3040263435</t>
  </si>
  <si>
    <t>367</t>
  </si>
  <si>
    <t>3040263434</t>
  </si>
  <si>
    <t>368</t>
  </si>
  <si>
    <t>3040263417</t>
  </si>
  <si>
    <t>369</t>
  </si>
  <si>
    <t>3040263416</t>
  </si>
  <si>
    <t>370</t>
  </si>
  <si>
    <t>3040263415</t>
  </si>
  <si>
    <t>371</t>
  </si>
  <si>
    <t>3040263447</t>
  </si>
  <si>
    <t>372</t>
  </si>
  <si>
    <t>3040263443</t>
  </si>
  <si>
    <t>373</t>
  </si>
  <si>
    <t>3040263444</t>
  </si>
  <si>
    <t>374</t>
  </si>
  <si>
    <t>3040263577</t>
  </si>
  <si>
    <t>375</t>
  </si>
  <si>
    <t>3040263574</t>
  </si>
  <si>
    <t>376</t>
  </si>
  <si>
    <t>3040263576</t>
  </si>
  <si>
    <t>377</t>
  </si>
  <si>
    <t>3040263575</t>
  </si>
  <si>
    <t>378</t>
  </si>
  <si>
    <t>3040263573</t>
  </si>
  <si>
    <t>379</t>
  </si>
  <si>
    <t>3040263571</t>
  </si>
  <si>
    <t>380</t>
  </si>
  <si>
    <t>3040263572</t>
  </si>
  <si>
    <t>381</t>
  </si>
  <si>
    <t>3040263448</t>
  </si>
  <si>
    <t>382</t>
  </si>
  <si>
    <t>3040263449</t>
  </si>
  <si>
    <t>383</t>
  </si>
  <si>
    <t>3040263877</t>
  </si>
  <si>
    <t>384</t>
  </si>
  <si>
    <t>3040263878</t>
  </si>
  <si>
    <t>385</t>
  </si>
  <si>
    <t>3040264243</t>
  </si>
  <si>
    <t>386</t>
  </si>
  <si>
    <t>3040264244</t>
  </si>
  <si>
    <t>387</t>
  </si>
  <si>
    <t>3040264246</t>
  </si>
  <si>
    <t>388</t>
  </si>
  <si>
    <t>3040264237</t>
  </si>
  <si>
    <t>389</t>
  </si>
  <si>
    <t>3040264236</t>
  </si>
  <si>
    <t>390</t>
  </si>
  <si>
    <t>3040264121</t>
  </si>
  <si>
    <t>391</t>
  </si>
  <si>
    <t>3040264263</t>
  </si>
  <si>
    <t>392</t>
  </si>
  <si>
    <t>3040264262</t>
  </si>
  <si>
    <t>393</t>
  </si>
  <si>
    <t>3040264242</t>
  </si>
  <si>
    <t>394</t>
  </si>
  <si>
    <t>3040264264</t>
  </si>
  <si>
    <t>395</t>
  </si>
  <si>
    <t>3040264238</t>
  </si>
  <si>
    <t>396</t>
  </si>
  <si>
    <t>3040264241</t>
  </si>
  <si>
    <t>397</t>
  </si>
  <si>
    <t>3040264240</t>
  </si>
  <si>
    <t>398</t>
  </si>
  <si>
    <t>3040264122</t>
  </si>
  <si>
    <t>399</t>
  </si>
  <si>
    <t>3040263797</t>
  </si>
  <si>
    <t>400</t>
  </si>
  <si>
    <t>3040263798</t>
  </si>
  <si>
    <t>401</t>
  </si>
  <si>
    <t>3040263799</t>
  </si>
  <si>
    <t>402</t>
  </si>
  <si>
    <t>3040263795</t>
  </si>
  <si>
    <t>403</t>
  </si>
  <si>
    <t>3040263796</t>
  </si>
  <si>
    <t>3040264579</t>
  </si>
  <si>
    <t>3040264577</t>
  </si>
  <si>
    <t>3040264573</t>
  </si>
  <si>
    <t>3040264574</t>
  </si>
  <si>
    <t>3040264576</t>
  </si>
  <si>
    <t>3040264572</t>
  </si>
  <si>
    <t>3040264647</t>
  </si>
  <si>
    <t>3040264646</t>
  </si>
  <si>
    <t>3040264645</t>
  </si>
  <si>
    <t>3040264643</t>
  </si>
  <si>
    <t>3040264707</t>
  </si>
  <si>
    <t>3040264709</t>
  </si>
  <si>
    <t>3040264710</t>
  </si>
  <si>
    <t>3040264711</t>
  </si>
  <si>
    <t>3040264712</t>
  </si>
  <si>
    <t>3040264718</t>
  </si>
  <si>
    <t>3040264719</t>
  </si>
  <si>
    <t>3040264720</t>
  </si>
  <si>
    <t>3040264721</t>
  </si>
  <si>
    <t>3040264724</t>
  </si>
  <si>
    <t>3040264725</t>
  </si>
  <si>
    <t>3040264726</t>
  </si>
  <si>
    <t>3040264727</t>
  </si>
  <si>
    <t>3040264728</t>
  </si>
  <si>
    <t>3040264729</t>
  </si>
  <si>
    <t>3040264730</t>
  </si>
  <si>
    <t>3040264731</t>
  </si>
  <si>
    <t>3040264732</t>
  </si>
  <si>
    <t>3040264733</t>
  </si>
  <si>
    <t>3040264734</t>
  </si>
  <si>
    <t>3040264735</t>
  </si>
  <si>
    <t>3040264736</t>
  </si>
  <si>
    <t>3040264737</t>
  </si>
  <si>
    <t>3040264738</t>
  </si>
  <si>
    <t>3040264807</t>
  </si>
  <si>
    <t>3040264808</t>
  </si>
  <si>
    <t>3040264907</t>
  </si>
  <si>
    <t>3040264908</t>
  </si>
  <si>
    <t>3040264974</t>
  </si>
  <si>
    <t>3040264961</t>
  </si>
  <si>
    <t>3040264960</t>
  </si>
  <si>
    <t>3040265144</t>
  </si>
  <si>
    <t>3040265140</t>
  </si>
  <si>
    <t>3040265482</t>
  </si>
  <si>
    <t>3040265484</t>
  </si>
  <si>
    <t>3040265485</t>
  </si>
  <si>
    <t>3040265526</t>
  </si>
  <si>
    <t>3040265525</t>
  </si>
  <si>
    <t>3040265527</t>
  </si>
  <si>
    <t>3040265533</t>
  </si>
  <si>
    <t>3040265532</t>
  </si>
  <si>
    <t>3040265530</t>
  </si>
  <si>
    <t>3040265528</t>
  </si>
  <si>
    <t>3040265724</t>
  </si>
  <si>
    <t>3040265474</t>
  </si>
  <si>
    <t>3040265475</t>
  </si>
  <si>
    <t>3040265476</t>
  </si>
  <si>
    <t>3040265477</t>
  </si>
  <si>
    <t>3040265576</t>
  </si>
  <si>
    <t>3040265580</t>
  </si>
  <si>
    <t>3040265581</t>
  </si>
  <si>
    <t>3040265589</t>
  </si>
  <si>
    <t>3040265590</t>
  </si>
  <si>
    <t>3040265591</t>
  </si>
  <si>
    <t>3040265592</t>
  </si>
  <si>
    <t>3040265668</t>
  </si>
  <si>
    <t>3040265678</t>
  </si>
  <si>
    <t>3040265679</t>
  </si>
  <si>
    <t>3040265680</t>
  </si>
  <si>
    <t>3040265726</t>
  </si>
  <si>
    <t>3040265727</t>
  </si>
  <si>
    <t>3040265728</t>
  </si>
  <si>
    <t>3040265731</t>
  </si>
  <si>
    <t>3040265732</t>
  </si>
  <si>
    <t>3040265734</t>
  </si>
  <si>
    <t>3040265735</t>
  </si>
  <si>
    <t>3040265736</t>
  </si>
  <si>
    <t>3040265737</t>
  </si>
  <si>
    <t>3040265738</t>
  </si>
  <si>
    <t>3040265739</t>
  </si>
  <si>
    <t>3040265740</t>
  </si>
  <si>
    <t>3040265741</t>
  </si>
  <si>
    <t>3040265742</t>
  </si>
  <si>
    <t>3040265743</t>
  </si>
  <si>
    <t>3040265744</t>
  </si>
  <si>
    <t>3040265745</t>
  </si>
  <si>
    <t>3040265746</t>
  </si>
  <si>
    <t>3040265747</t>
  </si>
  <si>
    <t>3040265748</t>
  </si>
  <si>
    <t>3040265749</t>
  </si>
  <si>
    <t>3040265750</t>
  </si>
  <si>
    <t>3040265751</t>
  </si>
  <si>
    <t>3040265752</t>
  </si>
  <si>
    <t>3040265753</t>
  </si>
  <si>
    <t>3040265754</t>
  </si>
  <si>
    <t>3040265755</t>
  </si>
  <si>
    <t>3040265757</t>
  </si>
  <si>
    <t>3040265758</t>
  </si>
  <si>
    <t>3040265759</t>
  </si>
  <si>
    <t>3040265769</t>
  </si>
  <si>
    <t>3040265771</t>
  </si>
  <si>
    <t>3040265772</t>
  </si>
  <si>
    <t>3040265892</t>
  </si>
  <si>
    <t>3040265893</t>
  </si>
  <si>
    <t>3040265894</t>
  </si>
  <si>
    <t>3040265895</t>
  </si>
  <si>
    <t>3040265946</t>
  </si>
  <si>
    <t>3040265947</t>
  </si>
  <si>
    <t>3040266034</t>
  </si>
  <si>
    <t>3040266040</t>
  </si>
  <si>
    <t>3040266036</t>
  </si>
  <si>
    <t>3040266035</t>
  </si>
  <si>
    <t>3040266039</t>
  </si>
  <si>
    <t>3040266041</t>
  </si>
  <si>
    <t>3040266307</t>
  </si>
  <si>
    <t>3040266308</t>
  </si>
  <si>
    <t>3040266306</t>
  </si>
  <si>
    <t>3040266568</t>
  </si>
  <si>
    <t>3040266567</t>
  </si>
  <si>
    <t>3040266566</t>
  </si>
  <si>
    <t>3040266569</t>
  </si>
  <si>
    <t>3040266644</t>
  </si>
  <si>
    <t>3040266685</t>
  </si>
  <si>
    <t>3040266684</t>
  </si>
  <si>
    <t>3040266682</t>
  </si>
  <si>
    <t>3040266683</t>
  </si>
  <si>
    <t>3040266681</t>
  </si>
  <si>
    <t>3040266667</t>
  </si>
  <si>
    <t>3040266666</t>
  </si>
  <si>
    <t>3040266664</t>
  </si>
  <si>
    <t>3040266665</t>
  </si>
  <si>
    <t>3040266660</t>
  </si>
  <si>
    <t>3040266662</t>
  </si>
  <si>
    <t>3040266663</t>
  </si>
  <si>
    <t>3040266661</t>
  </si>
  <si>
    <t>3040266656</t>
  </si>
  <si>
    <t>3040266657</t>
  </si>
  <si>
    <t>3040266658</t>
  </si>
  <si>
    <t>3040266643</t>
  </si>
  <si>
    <t>3040266737</t>
  </si>
  <si>
    <t>3040266724</t>
  </si>
  <si>
    <t>3040266725</t>
  </si>
  <si>
    <t>3040266726</t>
  </si>
  <si>
    <t>3040266727</t>
  </si>
  <si>
    <t>3040266730</t>
  </si>
  <si>
    <t>3040266731</t>
  </si>
  <si>
    <t>3040266723</t>
  </si>
  <si>
    <t>3040266722</t>
  </si>
  <si>
    <t>3040266728</t>
  </si>
  <si>
    <t>3040266732</t>
  </si>
  <si>
    <t>3040266884</t>
  </si>
  <si>
    <t>3040266882</t>
  </si>
  <si>
    <t>CSV</t>
  </si>
  <si>
    <t>Empresa</t>
  </si>
  <si>
    <t>02GRK-VEE ONE</t>
  </si>
  <si>
    <t>Histórico</t>
  </si>
  <si>
    <t>OS ORIGEM</t>
  </si>
  <si>
    <t>STATUS</t>
  </si>
  <si>
    <t>DATA STATUS</t>
  </si>
  <si>
    <t>PROJETO</t>
  </si>
  <si>
    <t>DATA RECEBIMENTO</t>
  </si>
  <si>
    <t>MATRICULA</t>
  </si>
  <si>
    <t>LOTE</t>
  </si>
  <si>
    <t>ITEM NAO LISTADO</t>
  </si>
  <si>
    <t>SOLICITANTE</t>
  </si>
  <si>
    <t>QUANTIDADE</t>
  </si>
  <si>
    <t>DATA INICIO PREV.</t>
  </si>
  <si>
    <t>DATA FIM PREV.</t>
  </si>
  <si>
    <t>DATA INICIO REAL</t>
  </si>
  <si>
    <t>DATA FIM REAL</t>
  </si>
  <si>
    <t>PRIORIDADE</t>
  </si>
  <si>
    <t>EMERGÊNCIA</t>
  </si>
  <si>
    <t>UNIDADE EXEC.</t>
  </si>
  <si>
    <t>SETOR EXEC.</t>
  </si>
  <si>
    <t>SOLICITACAO</t>
  </si>
  <si>
    <t>SETOR SOLIC.</t>
  </si>
  <si>
    <t>PESSOA SOLICITANTE</t>
  </si>
  <si>
    <t>COMENTARIOS</t>
  </si>
  <si>
    <t>EXTERNA</t>
  </si>
  <si>
    <t>REC</t>
  </si>
  <si>
    <t>U8</t>
  </si>
  <si>
    <t>066-01141-5101</t>
  </si>
  <si>
    <t>22373</t>
  </si>
  <si>
    <t>RECEIVER-TRANSMITTER,RADIO (KT71)</t>
  </si>
  <si>
    <t>3859</t>
  </si>
  <si>
    <t>M</t>
  </si>
  <si>
    <t>LEP</t>
  </si>
  <si>
    <t>1S WELLINGTON</t>
  </si>
  <si>
    <t>452-0133</t>
  </si>
  <si>
    <t>78286</t>
  </si>
  <si>
    <t>BATTERY,NONRECHARGEABLE</t>
  </si>
  <si>
    <t>382750-016</t>
  </si>
  <si>
    <t>GLOGAVI</t>
  </si>
  <si>
    <t>SO AZEVEDO</t>
  </si>
  <si>
    <t>382750-023</t>
  </si>
  <si>
    <t>SMAV</t>
  </si>
  <si>
    <t>SO MAXIMILIANO</t>
  </si>
  <si>
    <t>3034792</t>
  </si>
  <si>
    <t>BOMBA DE COMBUSTÍVEL</t>
  </si>
  <si>
    <t>3342</t>
  </si>
  <si>
    <t>2S SPINATO</t>
  </si>
  <si>
    <t>453-5060</t>
  </si>
  <si>
    <t>60253</t>
  </si>
  <si>
    <t>BEACON,DISTRESS</t>
  </si>
  <si>
    <t>9450</t>
  </si>
  <si>
    <t>83326</t>
  </si>
  <si>
    <t>2697</t>
  </si>
  <si>
    <t>SAA-29</t>
  </si>
  <si>
    <t>SO MARDEN</t>
  </si>
  <si>
    <t>71379</t>
  </si>
  <si>
    <t>2410</t>
  </si>
  <si>
    <t>E</t>
  </si>
  <si>
    <t>AVI</t>
  </si>
  <si>
    <t>2S BERTIN</t>
  </si>
  <si>
    <t>P1916</t>
  </si>
  <si>
    <t>1920</t>
  </si>
  <si>
    <t>BACO</t>
  </si>
  <si>
    <t>AVIH3</t>
  </si>
  <si>
    <t>2S MICHELLE</t>
  </si>
  <si>
    <t>9910338-4</t>
  </si>
  <si>
    <t>13068</t>
  </si>
  <si>
    <t>FUEL TOTALIZER INDICATOR</t>
  </si>
  <si>
    <t>0215-217</t>
  </si>
  <si>
    <t>MNU</t>
  </si>
  <si>
    <t>1S CERQUEIRA</t>
  </si>
  <si>
    <t>9910586-4</t>
  </si>
  <si>
    <t>FLAP ACTUATOR AND MOTOR ASSEMBLY</t>
  </si>
  <si>
    <t>1569</t>
  </si>
  <si>
    <t>ALA 3</t>
  </si>
  <si>
    <t>5LMNT2</t>
  </si>
  <si>
    <t>SO OLIVEIRA</t>
  </si>
  <si>
    <t>TURN BANK</t>
  </si>
  <si>
    <t>9911-257</t>
  </si>
  <si>
    <t>1S RAMOS</t>
  </si>
  <si>
    <t>INDICATOR FUEL</t>
  </si>
  <si>
    <t>791</t>
  </si>
  <si>
    <t>ALA 5</t>
  </si>
  <si>
    <t>AVI-C</t>
  </si>
  <si>
    <t>1S DANILLO</t>
  </si>
  <si>
    <t>7077</t>
  </si>
  <si>
    <t>ALA 9</t>
  </si>
  <si>
    <t>GLOGBEI</t>
  </si>
  <si>
    <t>SO RHODSON</t>
  </si>
  <si>
    <t>3885</t>
  </si>
  <si>
    <t>GLOGBET</t>
  </si>
  <si>
    <t>1S EDER</t>
  </si>
  <si>
    <t>3861</t>
  </si>
  <si>
    <t>SO JEFERSON</t>
  </si>
  <si>
    <t>KI256-25711</t>
  </si>
  <si>
    <t>LLM</t>
  </si>
  <si>
    <t>SO DUARTE</t>
  </si>
  <si>
    <t>066-04035-1101</t>
  </si>
  <si>
    <t>DISPLAY UNIT,RADAR</t>
  </si>
  <si>
    <t>KMD540-10071</t>
  </si>
  <si>
    <t>RECEIVER-TRANSMITTER,RADIO - KX165</t>
  </si>
  <si>
    <t>75123</t>
  </si>
  <si>
    <t>TCQI</t>
  </si>
  <si>
    <t>SO JACKSON</t>
  </si>
  <si>
    <t>161-11700</t>
  </si>
  <si>
    <t>71513</t>
  </si>
  <si>
    <t>INNER WHEEL HALF ASSY</t>
  </si>
  <si>
    <t>2S BRUNO CAMPOS</t>
  </si>
  <si>
    <t>030-18200</t>
  </si>
  <si>
    <t>33269</t>
  </si>
  <si>
    <t>MAIN WHEEL BRAKE</t>
  </si>
  <si>
    <t>5028A</t>
  </si>
  <si>
    <t>SMNT</t>
  </si>
  <si>
    <t>1S SOUZA AGUIAR</t>
  </si>
  <si>
    <t>2643090-1</t>
  </si>
  <si>
    <t>SHIMMY DAMPENE</t>
  </si>
  <si>
    <t>SHA-29</t>
  </si>
  <si>
    <t>1S ADONIAS</t>
  </si>
  <si>
    <t>ALTERNATOR CONTROL UNIT</t>
  </si>
  <si>
    <t>LS0414</t>
  </si>
  <si>
    <t>3S NORBERTO</t>
  </si>
  <si>
    <t>28411</t>
  </si>
  <si>
    <t>COMPUTER PA</t>
  </si>
  <si>
    <t>53450</t>
  </si>
  <si>
    <t>R50653</t>
  </si>
  <si>
    <t>ALA 10</t>
  </si>
  <si>
    <t>STAA-29</t>
  </si>
  <si>
    <t>2S LUISE</t>
  </si>
  <si>
    <t>86805596</t>
  </si>
  <si>
    <t>3S REIS</t>
  </si>
  <si>
    <t>52537</t>
  </si>
  <si>
    <t>066-03064-0005</t>
  </si>
  <si>
    <t>ALTIMETER,SERVO CONTROLLED,AUTOMATIC PRESSURE</t>
  </si>
  <si>
    <t>30865</t>
  </si>
  <si>
    <t>4355</t>
  </si>
  <si>
    <t>ALA 7</t>
  </si>
  <si>
    <t>SSEI</t>
  </si>
  <si>
    <t>1S TAYANA LIMA</t>
  </si>
  <si>
    <t>34257</t>
  </si>
  <si>
    <t>1882C</t>
  </si>
  <si>
    <t>HIDH3</t>
  </si>
  <si>
    <t>1S TASSO</t>
  </si>
  <si>
    <t>WHEEL HALF ASSY-INNER</t>
  </si>
  <si>
    <t>UNK01</t>
  </si>
  <si>
    <t>SO SATYRO</t>
  </si>
  <si>
    <t>967</t>
  </si>
  <si>
    <t>162-10700</t>
  </si>
  <si>
    <t>OUTER WHEEL HALF ASSY</t>
  </si>
  <si>
    <t>WHEEL HALF ASSY-OUTER</t>
  </si>
  <si>
    <t>HID</t>
  </si>
  <si>
    <t>2S LUCCA</t>
  </si>
  <si>
    <t>3945</t>
  </si>
  <si>
    <t>DSM-MN</t>
  </si>
  <si>
    <t>MOAV</t>
  </si>
  <si>
    <t>1T LENIL</t>
  </si>
  <si>
    <t>2643099-4</t>
  </si>
  <si>
    <t>SUPPORT ASSY FOWARD, NLG SPRING</t>
  </si>
  <si>
    <t>GLOGHID</t>
  </si>
  <si>
    <t>SO R. CUNHA</t>
  </si>
  <si>
    <t>2469</t>
  </si>
  <si>
    <t>3S WESLEY</t>
  </si>
  <si>
    <t>168394-05</t>
  </si>
  <si>
    <t>3S T. BARROS</t>
  </si>
  <si>
    <t>540-1407-4</t>
  </si>
  <si>
    <t>077L2</t>
  </si>
  <si>
    <t>VALVE,BLEED,TURBINEENGINE</t>
  </si>
  <si>
    <t>5385</t>
  </si>
  <si>
    <t>908</t>
  </si>
  <si>
    <t>SAC-95</t>
  </si>
  <si>
    <t>SO DEIVY</t>
  </si>
  <si>
    <t>C660501-0103</t>
  </si>
  <si>
    <t>COMPASS,SPEC</t>
  </si>
  <si>
    <t>CE-09234</t>
  </si>
  <si>
    <t>ALA 8</t>
  </si>
  <si>
    <t>M2AV</t>
  </si>
  <si>
    <t>SO LUIZ COSTA</t>
  </si>
  <si>
    <t>2606013-1RX</t>
  </si>
  <si>
    <t>26055</t>
  </si>
  <si>
    <t>INDICATOR-PERCENT RPM</t>
  </si>
  <si>
    <t>203103</t>
  </si>
  <si>
    <t>GLOGELE</t>
  </si>
  <si>
    <t>SO JANDER</t>
  </si>
  <si>
    <t>56422</t>
  </si>
  <si>
    <t>1S ALAMAR</t>
  </si>
  <si>
    <t>VACUUM REGULAT</t>
  </si>
  <si>
    <t>7AC</t>
  </si>
  <si>
    <t>LAV</t>
  </si>
  <si>
    <t>D145-00-46-2</t>
  </si>
  <si>
    <t>FLAP ACTUATOR ASSY</t>
  </si>
  <si>
    <t>30998</t>
  </si>
  <si>
    <t>SO REZENDE</t>
  </si>
  <si>
    <t>6132</t>
  </si>
  <si>
    <t>SO WALBE</t>
  </si>
  <si>
    <t>5AL</t>
  </si>
  <si>
    <t>18560</t>
  </si>
  <si>
    <t>369783-021</t>
  </si>
  <si>
    <t>3S EVELYN ORNELLAS</t>
  </si>
  <si>
    <t>363749-030</t>
  </si>
  <si>
    <t>74703</t>
  </si>
  <si>
    <t>BATTERY PACK,AIRCRAFT</t>
  </si>
  <si>
    <t>376422-005</t>
  </si>
  <si>
    <t>DACTA II</t>
  </si>
  <si>
    <t>CAV</t>
  </si>
  <si>
    <t>2S ISMAEL</t>
  </si>
  <si>
    <t>363761-060</t>
  </si>
  <si>
    <t>363749-085</t>
  </si>
  <si>
    <t>376415-037</t>
  </si>
  <si>
    <t>86800893</t>
  </si>
  <si>
    <t>59875</t>
  </si>
  <si>
    <t>3614</t>
  </si>
  <si>
    <t>PAMASP</t>
  </si>
  <si>
    <t>S4J</t>
  </si>
  <si>
    <t>1S CLAUDINEI</t>
  </si>
  <si>
    <t>1YQ22</t>
  </si>
  <si>
    <t>ADAS-D PROCESSOR</t>
  </si>
  <si>
    <t>U0625</t>
  </si>
  <si>
    <t>RECEIVER-EXCITER,RADAR</t>
  </si>
  <si>
    <t>5236</t>
  </si>
  <si>
    <t>SO VANESSA</t>
  </si>
  <si>
    <t>16455</t>
  </si>
  <si>
    <t>ALTIMETER,PRESSURE</t>
  </si>
  <si>
    <t>5K660</t>
  </si>
  <si>
    <t>71306307</t>
  </si>
  <si>
    <t>BET</t>
  </si>
  <si>
    <t>1S LILIAN DI LÊU</t>
  </si>
  <si>
    <t>71308676</t>
  </si>
  <si>
    <t>3S CINTIA</t>
  </si>
  <si>
    <t>47204432</t>
  </si>
  <si>
    <t>3S GABRIELLE XAVIER</t>
  </si>
  <si>
    <t>066-4010-12</t>
  </si>
  <si>
    <t>RECEIVER VOR/LOC (KNS81)</t>
  </si>
  <si>
    <t>8259</t>
  </si>
  <si>
    <t>2S RAPHAELA</t>
  </si>
  <si>
    <t>D210507</t>
  </si>
  <si>
    <t>66503</t>
  </si>
  <si>
    <t>GOVERNOR,OVERSPEED</t>
  </si>
  <si>
    <t>12056029</t>
  </si>
  <si>
    <t>016B</t>
  </si>
  <si>
    <t>SIPAAI</t>
  </si>
  <si>
    <t>SO MUNIZ</t>
  </si>
  <si>
    <t>GSA-80 SERVO ROL,YAW,SPEC</t>
  </si>
  <si>
    <t>66305791</t>
  </si>
  <si>
    <t>66306636</t>
  </si>
  <si>
    <t>47203806</t>
  </si>
  <si>
    <t>3121248-03</t>
  </si>
  <si>
    <t>VALVE ASSEMBLY,COMPRESSOR BLEED</t>
  </si>
  <si>
    <t>28A403</t>
  </si>
  <si>
    <t>TSAM</t>
  </si>
  <si>
    <t>2S RONILDO</t>
  </si>
  <si>
    <t>479</t>
  </si>
  <si>
    <t>15W008701</t>
  </si>
  <si>
    <t>SO DAVID SANTOS</t>
  </si>
  <si>
    <t>15W006615</t>
  </si>
  <si>
    <t>2S DYANA</t>
  </si>
  <si>
    <t>3244809-7</t>
  </si>
  <si>
    <t>7213</t>
  </si>
  <si>
    <t>FUEL CONTROL,MAIN,TURBINE ENGINE</t>
  </si>
  <si>
    <t>C25361</t>
  </si>
  <si>
    <t>1S ITAMUR</t>
  </si>
  <si>
    <t>015A</t>
  </si>
  <si>
    <t>2S JOÃO PAULO</t>
  </si>
  <si>
    <t>SMHI</t>
  </si>
  <si>
    <t>1S REIS</t>
  </si>
  <si>
    <t>SHC-95</t>
  </si>
  <si>
    <t>SO JEMILSON</t>
  </si>
  <si>
    <t>66307595</t>
  </si>
  <si>
    <t>12253839V</t>
  </si>
  <si>
    <t>SO PAULO</t>
  </si>
  <si>
    <t>16389901</t>
  </si>
  <si>
    <t>1S JATNIEL</t>
  </si>
  <si>
    <t>2601188-8</t>
  </si>
  <si>
    <t>COMPRESSOR DRIVE ASSY R134A</t>
  </si>
  <si>
    <t>2S FREDERICO</t>
  </si>
  <si>
    <t>66307058</t>
  </si>
  <si>
    <t>1S ARINOS</t>
  </si>
  <si>
    <t>66306759</t>
  </si>
  <si>
    <t>1S MONTEIRO</t>
  </si>
  <si>
    <t>66307562</t>
  </si>
  <si>
    <t>NAVIGATION SET,SATELLITE SIGNALS KLN-94</t>
  </si>
  <si>
    <t>21107</t>
  </si>
  <si>
    <t>K0268</t>
  </si>
  <si>
    <t>TRANSPONDER,RADAR</t>
  </si>
  <si>
    <t>1608</t>
  </si>
  <si>
    <t>1318</t>
  </si>
  <si>
    <t>SO TIAGO</t>
  </si>
  <si>
    <t>17869</t>
  </si>
  <si>
    <t>1U149-015-15</t>
  </si>
  <si>
    <t>86887</t>
  </si>
  <si>
    <t>HORIZ. GYRO-STADBY</t>
  </si>
  <si>
    <t>T97147Q</t>
  </si>
  <si>
    <t>025323-150</t>
  </si>
  <si>
    <t>99167</t>
  </si>
  <si>
    <t>1439</t>
  </si>
  <si>
    <t>0801LS</t>
  </si>
  <si>
    <t>1S MARIANA</t>
  </si>
  <si>
    <t>0707LS</t>
  </si>
  <si>
    <t>CONTROL,SERVO,AUTOMATIC PILOT</t>
  </si>
  <si>
    <t>39816</t>
  </si>
  <si>
    <t>3S BORGES</t>
  </si>
  <si>
    <t>37940</t>
  </si>
  <si>
    <t>066-3046-07</t>
  </si>
  <si>
    <t>CONTROL,INDICATOR</t>
  </si>
  <si>
    <t>96293</t>
  </si>
  <si>
    <t>SO EDSON</t>
  </si>
  <si>
    <t>89287</t>
  </si>
  <si>
    <t>86805429</t>
  </si>
  <si>
    <t>324843-W020</t>
  </si>
  <si>
    <t>32108</t>
  </si>
  <si>
    <t>HEADSET-MICROPHONE</t>
  </si>
  <si>
    <t>073200G02170010AE</t>
  </si>
  <si>
    <t>1141111980</t>
  </si>
  <si>
    <t>1381310971</t>
  </si>
  <si>
    <t>065-00183-0501</t>
  </si>
  <si>
    <t>AUTOPILOT COMPUTER KFC225</t>
  </si>
  <si>
    <t>KC225-3029</t>
  </si>
  <si>
    <t>SO YAMAMOTO</t>
  </si>
  <si>
    <t>51539-012M</t>
  </si>
  <si>
    <t>3201</t>
  </si>
  <si>
    <t>ASG12000-2</t>
  </si>
  <si>
    <t>71653</t>
  </si>
  <si>
    <t>ALTERNATOR</t>
  </si>
  <si>
    <t>A-183643</t>
  </si>
  <si>
    <t>9910592-2</t>
  </si>
  <si>
    <t>ALTERNADOR</t>
  </si>
  <si>
    <t>A-134709</t>
  </si>
  <si>
    <t>3S BRENDA</t>
  </si>
  <si>
    <t>073200G02170034AE</t>
  </si>
  <si>
    <t>073200G02170087AE</t>
  </si>
  <si>
    <t>073200G90080045AE</t>
  </si>
  <si>
    <t>073200G90080062AE</t>
  </si>
  <si>
    <t>2165</t>
  </si>
  <si>
    <t>7 ETA</t>
  </si>
  <si>
    <t>SCEL</t>
  </si>
  <si>
    <t>SO ISRAEL</t>
  </si>
  <si>
    <t>3122678-04</t>
  </si>
  <si>
    <t>FUEL CONTROL UNIT</t>
  </si>
  <si>
    <t>F66933</t>
  </si>
  <si>
    <t>SO PAULO SERGIO</t>
  </si>
  <si>
    <t>3244809-1</t>
  </si>
  <si>
    <t>B10380</t>
  </si>
  <si>
    <t>2S DOS SANTOS</t>
  </si>
  <si>
    <t>064-1054-30</t>
  </si>
  <si>
    <t>RECEIVER-TRANSMITTER SUBASSEMBLY</t>
  </si>
  <si>
    <t>24277</t>
  </si>
  <si>
    <t>3S SIQUEIRA</t>
  </si>
  <si>
    <t>22102</t>
  </si>
  <si>
    <t>2L094</t>
  </si>
  <si>
    <t>2S AZEREDO</t>
  </si>
  <si>
    <t>C661065-0240RX</t>
  </si>
  <si>
    <t>INDICATOR, AIRSPEED</t>
  </si>
  <si>
    <t>T49314</t>
  </si>
  <si>
    <t>1S LORENA</t>
  </si>
  <si>
    <t>TFF2905-13</t>
  </si>
  <si>
    <t>FUEL FLOW TRANSDUCER</t>
  </si>
  <si>
    <t>1656</t>
  </si>
  <si>
    <t>SO GEORJACIR</t>
  </si>
  <si>
    <t>011-00831-00</t>
  </si>
  <si>
    <t>ENGINE INTERFA,SPEC</t>
  </si>
  <si>
    <t>46710866</t>
  </si>
  <si>
    <t>BEI</t>
  </si>
  <si>
    <t>2S DESIRREE</t>
  </si>
  <si>
    <t>KAS297B-A23223</t>
  </si>
  <si>
    <t>066-3084-02</t>
  </si>
  <si>
    <t>COLOR RADAR INDICATOR</t>
  </si>
  <si>
    <t>22950</t>
  </si>
  <si>
    <t>3S DELEON</t>
  </si>
  <si>
    <t>11154</t>
  </si>
  <si>
    <t>17714</t>
  </si>
  <si>
    <t>071-1234-00</t>
  </si>
  <si>
    <t>KTA77B-A87365</t>
  </si>
  <si>
    <t>ALA 1</t>
  </si>
  <si>
    <t>1S JOANDRO</t>
  </si>
  <si>
    <t>8306</t>
  </si>
  <si>
    <t>SSAAD</t>
  </si>
  <si>
    <t>SO SANTOS</t>
  </si>
  <si>
    <t>1134380-4</t>
  </si>
  <si>
    <t>0B9E8</t>
  </si>
  <si>
    <t>EVAPORATOR MODULE ASSY-RH</t>
  </si>
  <si>
    <t>SMCE</t>
  </si>
  <si>
    <t>2S MIGUEL</t>
  </si>
  <si>
    <t>2643100-201</t>
  </si>
  <si>
    <t>NOSE GEAR STRUT ASSY - TALL FORK</t>
  </si>
  <si>
    <t>B4H-011</t>
  </si>
  <si>
    <t>8210-002-01</t>
  </si>
  <si>
    <t>GOVERNOR PROPELLER</t>
  </si>
  <si>
    <t>20675473</t>
  </si>
  <si>
    <t>S3828-1</t>
  </si>
  <si>
    <t>ALTIMETER</t>
  </si>
  <si>
    <t>470055</t>
  </si>
  <si>
    <t>3S JÚLIA ADEODATO</t>
  </si>
  <si>
    <t>471591</t>
  </si>
  <si>
    <t>2S DAMAZIO</t>
  </si>
  <si>
    <t>51539-012MRX</t>
  </si>
  <si>
    <t>8868</t>
  </si>
  <si>
    <t>2S OLEGARIO</t>
  </si>
  <si>
    <t>4965</t>
  </si>
  <si>
    <t>1S ALDEIRTON</t>
  </si>
  <si>
    <t>745</t>
  </si>
  <si>
    <t>99743</t>
  </si>
  <si>
    <t>2S KAYSA</t>
  </si>
  <si>
    <t>KS272A-49392</t>
  </si>
  <si>
    <t>C352</t>
  </si>
  <si>
    <t>81205</t>
  </si>
  <si>
    <t>PORTABLE HALON FIRE EXTINGUISHERS</t>
  </si>
  <si>
    <t>B-10811222</t>
  </si>
  <si>
    <t>CEL</t>
  </si>
  <si>
    <t>2S ROCHA</t>
  </si>
  <si>
    <t>47202512</t>
  </si>
  <si>
    <t>C352TS</t>
  </si>
  <si>
    <t>54905</t>
  </si>
  <si>
    <t>EXTINGUISHER,FIRE</t>
  </si>
  <si>
    <t>B10811221</t>
  </si>
  <si>
    <t>SEQVO</t>
  </si>
  <si>
    <t>SO GLÁUCIO</t>
  </si>
  <si>
    <t>18156</t>
  </si>
  <si>
    <t>1S AVELLAR</t>
  </si>
  <si>
    <t>32207</t>
  </si>
  <si>
    <t>066-1072-00</t>
  </si>
  <si>
    <t>RECEIVER ADF (KING KR87)</t>
  </si>
  <si>
    <t>37971</t>
  </si>
  <si>
    <t>SSET</t>
  </si>
  <si>
    <t>2S CLODERSON</t>
  </si>
  <si>
    <t>84317</t>
  </si>
  <si>
    <t>84326</t>
  </si>
  <si>
    <t>83773</t>
  </si>
  <si>
    <t>2S MATHEUS</t>
  </si>
  <si>
    <t>9727</t>
  </si>
  <si>
    <t>95270</t>
  </si>
  <si>
    <t>STARTER GENERATOR</t>
  </si>
  <si>
    <t>1391</t>
  </si>
  <si>
    <t>08AF1</t>
  </si>
  <si>
    <t>IND OIL TEMP/P</t>
  </si>
  <si>
    <t>120315</t>
  </si>
  <si>
    <t>1S FELIPE</t>
  </si>
  <si>
    <t>2641011-5</t>
  </si>
  <si>
    <t>AXLE-MAIN GEAR</t>
  </si>
  <si>
    <t>3454</t>
  </si>
  <si>
    <t>3S FERREIRA</t>
  </si>
  <si>
    <t>1469-5</t>
  </si>
  <si>
    <t>2S CARROCINO</t>
  </si>
  <si>
    <t>3235</t>
  </si>
  <si>
    <t>3611-5</t>
  </si>
  <si>
    <t>3581-5</t>
  </si>
  <si>
    <t>1588-5</t>
  </si>
  <si>
    <t>3244809-1A</t>
  </si>
  <si>
    <t>F.C.U</t>
  </si>
  <si>
    <t>B10274</t>
  </si>
  <si>
    <t>9715-096</t>
  </si>
  <si>
    <t>TRANSMITTER,RATE OF FLOW</t>
  </si>
  <si>
    <t>1378</t>
  </si>
  <si>
    <t>1062</t>
  </si>
  <si>
    <t>CP MARQUES</t>
  </si>
  <si>
    <t>8619</t>
  </si>
  <si>
    <t>BAFL</t>
  </si>
  <si>
    <t>PAFL1</t>
  </si>
  <si>
    <t>069-01033-0101</t>
  </si>
  <si>
    <t>RECEIVER-TRANSMITTER,RADIO</t>
  </si>
  <si>
    <t>4136</t>
  </si>
  <si>
    <t>20238</t>
  </si>
  <si>
    <t>16810</t>
  </si>
  <si>
    <t>4152</t>
  </si>
  <si>
    <t>AUDIO CONTROL PANEL</t>
  </si>
  <si>
    <t>108207</t>
  </si>
  <si>
    <t>96123</t>
  </si>
  <si>
    <t>4100932</t>
  </si>
  <si>
    <t>T36593</t>
  </si>
  <si>
    <t>30316</t>
  </si>
  <si>
    <t>4155</t>
  </si>
  <si>
    <t>2S FERNANDES</t>
  </si>
  <si>
    <t>C661064-0237</t>
  </si>
  <si>
    <t>T25488</t>
  </si>
  <si>
    <t>T23036</t>
  </si>
  <si>
    <t>T20503</t>
  </si>
  <si>
    <t>T22974</t>
  </si>
  <si>
    <t>T23740</t>
  </si>
  <si>
    <t>011-00916-10</t>
  </si>
  <si>
    <t>DISPLAY UNIT,FLIGHT INFORMATION</t>
  </si>
  <si>
    <t>86815595</t>
  </si>
  <si>
    <t>4112112</t>
  </si>
  <si>
    <t>3958</t>
  </si>
  <si>
    <t>SO ZAMBENEDETTI</t>
  </si>
  <si>
    <t>4129</t>
  </si>
  <si>
    <t>2S TATIANE</t>
  </si>
  <si>
    <t>2913</t>
  </si>
  <si>
    <t>2S MARLON REIS</t>
  </si>
  <si>
    <t>4157</t>
  </si>
  <si>
    <t>C66508</t>
  </si>
  <si>
    <t>C66698</t>
  </si>
  <si>
    <t>CONTROL,DIRECTIONAL,AUTOMATIC PILOT</t>
  </si>
  <si>
    <t>35511</t>
  </si>
  <si>
    <t>1S PILATI</t>
  </si>
  <si>
    <t>066-1072-04</t>
  </si>
  <si>
    <t>RECEIVER,RADIO</t>
  </si>
  <si>
    <t>85023</t>
  </si>
  <si>
    <t>83287</t>
  </si>
  <si>
    <t>IND RDR 2000 IN-182A</t>
  </si>
  <si>
    <t>25424</t>
  </si>
  <si>
    <t>21156</t>
  </si>
  <si>
    <t>24970</t>
  </si>
  <si>
    <t>2618510-10</t>
  </si>
  <si>
    <t>ALTERNATOR CONTROL UNIT ASSY</t>
  </si>
  <si>
    <t>1652</t>
  </si>
  <si>
    <t>1S GARCIA</t>
  </si>
  <si>
    <t>1713</t>
  </si>
  <si>
    <t>1328-5</t>
  </si>
  <si>
    <t>3S PORTELA</t>
  </si>
  <si>
    <t>89177</t>
  </si>
  <si>
    <t>1S LOBO</t>
  </si>
  <si>
    <t>4164</t>
  </si>
  <si>
    <t>94934</t>
  </si>
  <si>
    <t>2S CAROLINA GOMES</t>
  </si>
  <si>
    <t>4154</t>
  </si>
  <si>
    <t>17143</t>
  </si>
  <si>
    <t>ORDEM DE SERVIÇO GERADA EM GARANTIA CONFORME SOLICITAÇÃO DO REP LOG EMPRESA VEE ONE, SO R1 REZENDE.</t>
  </si>
  <si>
    <t>5155</t>
  </si>
  <si>
    <t>200SGL119Q-2</t>
  </si>
  <si>
    <t>1ZAW4</t>
  </si>
  <si>
    <t>3391XL</t>
  </si>
  <si>
    <t>2333</t>
  </si>
  <si>
    <t>19945</t>
  </si>
  <si>
    <t>1S WILLIAMS</t>
  </si>
  <si>
    <t>20528</t>
  </si>
  <si>
    <t>14396</t>
  </si>
  <si>
    <t>9920</t>
  </si>
  <si>
    <t>TSAU</t>
  </si>
  <si>
    <t>2S LEITE</t>
  </si>
  <si>
    <t>14251</t>
  </si>
  <si>
    <t>3S RAFAELA COSTA</t>
  </si>
  <si>
    <t>1H75-21</t>
  </si>
  <si>
    <t>PRESSURE REGULATOR</t>
  </si>
  <si>
    <t>2BC10</t>
  </si>
  <si>
    <t>1S FERNANDO</t>
  </si>
  <si>
    <t>3BF23</t>
  </si>
  <si>
    <t>3S GARRITANO</t>
  </si>
  <si>
    <t>10BE80</t>
  </si>
  <si>
    <t>1T D GOMES</t>
  </si>
  <si>
    <t>00D10</t>
  </si>
  <si>
    <t>CELT</t>
  </si>
  <si>
    <t>C661051-0201</t>
  </si>
  <si>
    <t>GYRO HORIZON</t>
  </si>
  <si>
    <t>6309</t>
  </si>
  <si>
    <t>SSCH</t>
  </si>
  <si>
    <t>SO HBORGES</t>
  </si>
  <si>
    <t>INDICATOR,FUEL FLOW</t>
  </si>
  <si>
    <t>580</t>
  </si>
  <si>
    <t>1S JULIANA</t>
  </si>
  <si>
    <t>INDICATOR,HORIZONTAL SITUATION</t>
  </si>
  <si>
    <t>T1011900</t>
  </si>
  <si>
    <t>T97125Q</t>
  </si>
  <si>
    <t>T91786Q</t>
  </si>
  <si>
    <t>L442</t>
  </si>
  <si>
    <t>2606015-4</t>
  </si>
  <si>
    <t>INDICATOR-OIL TEMP/OIL PRESS</t>
  </si>
  <si>
    <t>E05-11026</t>
  </si>
  <si>
    <t>00D175</t>
  </si>
  <si>
    <t>5844</t>
  </si>
  <si>
    <t>2S LUIZ</t>
  </si>
  <si>
    <t>477</t>
  </si>
  <si>
    <t>2S BRUNO COSTA</t>
  </si>
  <si>
    <t>200SGL153Q</t>
  </si>
  <si>
    <t>STARTER-GENERATOR,ENGINE,AIRCRAFT</t>
  </si>
  <si>
    <t>S00006XL2</t>
  </si>
  <si>
    <t>GOVERNOR,CONSTANT SPEED DRIVE</t>
  </si>
  <si>
    <t>1992457/AC</t>
  </si>
  <si>
    <t>1S ORLANDO</t>
  </si>
  <si>
    <t>8210-003</t>
  </si>
  <si>
    <t>GOVERNOR,FUEL CONTROL</t>
  </si>
  <si>
    <t>1116740R</t>
  </si>
  <si>
    <t>1S RAÍSSA</t>
  </si>
  <si>
    <t>1715715AC</t>
  </si>
  <si>
    <t>SMPR</t>
  </si>
  <si>
    <t>2S PLÁCIDO</t>
  </si>
  <si>
    <t>15W013930</t>
  </si>
  <si>
    <t>15W013724</t>
  </si>
  <si>
    <t>2S CAROLINA PASSOS</t>
  </si>
  <si>
    <t>86815651</t>
  </si>
  <si>
    <t>3244809-8</t>
  </si>
  <si>
    <t>6848</t>
  </si>
  <si>
    <t>C25994</t>
  </si>
  <si>
    <t>3S PAVAN</t>
  </si>
  <si>
    <t>22005733</t>
  </si>
  <si>
    <t>22006508</t>
  </si>
  <si>
    <t>3357</t>
  </si>
  <si>
    <t>23874</t>
  </si>
  <si>
    <t>25031</t>
  </si>
  <si>
    <t>C66221</t>
  </si>
  <si>
    <t>GLOGMOT</t>
  </si>
  <si>
    <t>1S AUGUSTO</t>
  </si>
  <si>
    <t>C611505-0201</t>
  </si>
  <si>
    <t>2316</t>
  </si>
  <si>
    <t>A-146338</t>
  </si>
  <si>
    <t>2S VINICIUS</t>
  </si>
  <si>
    <t>A-184434</t>
  </si>
  <si>
    <t>C66691</t>
  </si>
  <si>
    <t>4100928</t>
  </si>
  <si>
    <t>1017</t>
  </si>
  <si>
    <t>E0211</t>
  </si>
  <si>
    <t>D051688</t>
  </si>
  <si>
    <t>SO PIERRO</t>
  </si>
  <si>
    <t>86816876</t>
  </si>
  <si>
    <t>324843-0020</t>
  </si>
  <si>
    <t>53468</t>
  </si>
  <si>
    <t>053851C30080014AE</t>
  </si>
  <si>
    <t>053851C30080005AE</t>
  </si>
  <si>
    <t>053851C30080023AE</t>
  </si>
  <si>
    <t>2314</t>
  </si>
  <si>
    <t>EA-5175-52-CES</t>
  </si>
  <si>
    <t>INDICATOR TRUE</t>
  </si>
  <si>
    <t>T34321</t>
  </si>
  <si>
    <t>T33486</t>
  </si>
  <si>
    <t>T32276</t>
  </si>
  <si>
    <t>3S LORRAYNE</t>
  </si>
  <si>
    <t>T42285</t>
  </si>
  <si>
    <t>3S ÁTILA</t>
  </si>
  <si>
    <t>H-S111135</t>
  </si>
  <si>
    <t>47526110</t>
  </si>
  <si>
    <t>2S DÉBORAH</t>
  </si>
  <si>
    <t>47509146</t>
  </si>
  <si>
    <t>3894</t>
  </si>
  <si>
    <t>482</t>
  </si>
  <si>
    <t>2S DAYANA CAMPOS</t>
  </si>
  <si>
    <t>1S MADSON</t>
  </si>
  <si>
    <t>830-5</t>
  </si>
  <si>
    <t>1568-5</t>
  </si>
  <si>
    <t>5091750</t>
  </si>
  <si>
    <t>4051378</t>
  </si>
  <si>
    <t>A051385</t>
  </si>
  <si>
    <t>5091817</t>
  </si>
  <si>
    <t>2S YASMIN</t>
  </si>
  <si>
    <t>662</t>
  </si>
  <si>
    <t>1813</t>
  </si>
  <si>
    <t>1306</t>
  </si>
  <si>
    <t>2152</t>
  </si>
  <si>
    <t>3767</t>
  </si>
  <si>
    <t>84327</t>
  </si>
  <si>
    <t>86801593</t>
  </si>
  <si>
    <t>89129</t>
  </si>
  <si>
    <t>2S CIPRIANO</t>
  </si>
  <si>
    <t>88215</t>
  </si>
  <si>
    <t>86800896</t>
  </si>
  <si>
    <t>83247</t>
  </si>
  <si>
    <t>066-01141-0101</t>
  </si>
  <si>
    <t>12185</t>
  </si>
  <si>
    <t>16013</t>
  </si>
  <si>
    <t>73267</t>
  </si>
  <si>
    <t>67239</t>
  </si>
  <si>
    <t>71067</t>
  </si>
  <si>
    <t>25098</t>
  </si>
  <si>
    <t>22401</t>
  </si>
  <si>
    <t>U7451</t>
  </si>
  <si>
    <t>4042</t>
  </si>
  <si>
    <t>023694-000</t>
  </si>
  <si>
    <t>F6177</t>
  </si>
  <si>
    <t>BATTERY NICKEL CADMIUM</t>
  </si>
  <si>
    <t>09052002930AA</t>
  </si>
  <si>
    <t>3S MICAELE</t>
  </si>
  <si>
    <t>2651023-23</t>
  </si>
  <si>
    <t>ENGINE MOUNT ASSEMBLY</t>
  </si>
  <si>
    <t>PZL/10/127</t>
  </si>
  <si>
    <t>1S ELVES</t>
  </si>
  <si>
    <t>PZL/06/022</t>
  </si>
  <si>
    <t>4078</t>
  </si>
  <si>
    <t>4134</t>
  </si>
  <si>
    <t>4137</t>
  </si>
  <si>
    <t>CE-12529</t>
  </si>
  <si>
    <t>SO JUCHEM</t>
  </si>
  <si>
    <t>918598-L112807</t>
  </si>
  <si>
    <t>LS0609</t>
  </si>
  <si>
    <t>LS008</t>
  </si>
  <si>
    <t>1S DIEGO</t>
  </si>
  <si>
    <t>LS009</t>
  </si>
  <si>
    <t>2643100-206</t>
  </si>
  <si>
    <t>445</t>
  </si>
  <si>
    <t>2706</t>
  </si>
  <si>
    <t>1412</t>
  </si>
  <si>
    <t>3S JACQUELINE</t>
  </si>
  <si>
    <t>37F</t>
  </si>
  <si>
    <t>792</t>
  </si>
  <si>
    <t>1S LAVERDE</t>
  </si>
  <si>
    <t>972</t>
  </si>
  <si>
    <t>487</t>
  </si>
  <si>
    <t>2S MENDES</t>
  </si>
  <si>
    <t>1187-5</t>
  </si>
  <si>
    <t>2683-5</t>
  </si>
  <si>
    <t>2694-5</t>
  </si>
  <si>
    <t>2643031-7</t>
  </si>
  <si>
    <t>FORK ASSY,NOSE GEAR SPRING</t>
  </si>
  <si>
    <t>602</t>
  </si>
  <si>
    <t>2641012-14</t>
  </si>
  <si>
    <t>TRUNNION ASSY-RH-MAIN GEAR</t>
  </si>
  <si>
    <t>TSUP</t>
  </si>
  <si>
    <t>2S ANGÉLICA CERCA</t>
  </si>
  <si>
    <t>704</t>
  </si>
  <si>
    <t>659</t>
  </si>
  <si>
    <t>961</t>
  </si>
  <si>
    <t>5352</t>
  </si>
  <si>
    <t>SO CONTI</t>
  </si>
  <si>
    <t>722</t>
  </si>
  <si>
    <t>3S ARTHUR</t>
  </si>
  <si>
    <t>C661025-0101</t>
  </si>
  <si>
    <t>ALTIMETER (2P)</t>
  </si>
  <si>
    <t>409493</t>
  </si>
  <si>
    <t>21181</t>
  </si>
  <si>
    <t>1S ARAÚJO</t>
  </si>
  <si>
    <t>2135</t>
  </si>
  <si>
    <t>3889</t>
  </si>
  <si>
    <t>2590</t>
  </si>
  <si>
    <t>30419</t>
  </si>
  <si>
    <t>37709</t>
  </si>
  <si>
    <t>23094</t>
  </si>
  <si>
    <t>KAS297B-A23222</t>
  </si>
  <si>
    <t>16798</t>
  </si>
  <si>
    <t>1S PORFIRIO</t>
  </si>
  <si>
    <t>84300</t>
  </si>
  <si>
    <t>16206310W</t>
  </si>
  <si>
    <t>17252785</t>
  </si>
  <si>
    <t>SMC-95</t>
  </si>
  <si>
    <t>AUT</t>
  </si>
  <si>
    <t>196L</t>
  </si>
  <si>
    <t>2S UBIRATA</t>
  </si>
  <si>
    <t>30994-001</t>
  </si>
  <si>
    <t>74025</t>
  </si>
  <si>
    <t>BATTERY-MARATHON TSP410 NICAD</t>
  </si>
  <si>
    <t>10603744</t>
  </si>
  <si>
    <t>10603742</t>
  </si>
  <si>
    <t>10603745</t>
  </si>
  <si>
    <t>11200477</t>
  </si>
  <si>
    <t>392-000003</t>
  </si>
  <si>
    <t>S110</t>
  </si>
  <si>
    <t>2S TAYANA LIMA</t>
  </si>
  <si>
    <t>Dados Manuais</t>
  </si>
  <si>
    <t>Divulgação</t>
  </si>
  <si>
    <t>10/02/2025</t>
  </si>
  <si>
    <t>26/02/2025</t>
  </si>
  <si>
    <t>00198</t>
  </si>
  <si>
    <t>003342</t>
  </si>
  <si>
    <t>20/03/2025</t>
  </si>
  <si>
    <t>09450</t>
  </si>
  <si>
    <t>96967</t>
  </si>
  <si>
    <t>3LMNT2</t>
  </si>
  <si>
    <t>2S EDUARDO GOMES</t>
  </si>
  <si>
    <t>K010158</t>
  </si>
  <si>
    <t>2S AVERALDO</t>
  </si>
  <si>
    <t>2S DANILLO</t>
  </si>
  <si>
    <t>3890</t>
  </si>
  <si>
    <t>SO ALDEMIR</t>
  </si>
  <si>
    <t>KI256-25707</t>
  </si>
  <si>
    <t>96782</t>
  </si>
  <si>
    <t>SO MAMEDE</t>
  </si>
  <si>
    <t>00B205C</t>
  </si>
  <si>
    <t>SO R CUNHA</t>
  </si>
  <si>
    <t>7951</t>
  </si>
  <si>
    <t>2S AURI</t>
  </si>
  <si>
    <t>02B</t>
  </si>
  <si>
    <t>2S LUAN</t>
  </si>
  <si>
    <t>0011</t>
  </si>
  <si>
    <t>2S CONDACK</t>
  </si>
  <si>
    <t>988</t>
  </si>
  <si>
    <t>SO MARCAL</t>
  </si>
  <si>
    <t>994</t>
  </si>
  <si>
    <t>SBAT</t>
  </si>
  <si>
    <t>SO CAMPELO</t>
  </si>
  <si>
    <t>22/04/2025</t>
  </si>
  <si>
    <t>51767</t>
  </si>
  <si>
    <t>36025</t>
  </si>
  <si>
    <t>38197</t>
  </si>
  <si>
    <t>85131</t>
  </si>
  <si>
    <t>86012</t>
  </si>
  <si>
    <t>85068</t>
  </si>
  <si>
    <t>84459</t>
  </si>
  <si>
    <t>AAT5599</t>
  </si>
  <si>
    <t>AAE3882</t>
  </si>
  <si>
    <t>23/04/2025</t>
  </si>
  <si>
    <t>22005920</t>
  </si>
  <si>
    <t>22/05/2025</t>
  </si>
  <si>
    <t>02</t>
  </si>
  <si>
    <t>30-182</t>
  </si>
  <si>
    <t>2S CABRAL</t>
  </si>
  <si>
    <t>26/05/2025</t>
  </si>
  <si>
    <t>475</t>
  </si>
  <si>
    <t>772</t>
  </si>
  <si>
    <t>CHID</t>
  </si>
  <si>
    <t>01</t>
  </si>
  <si>
    <t>969</t>
  </si>
  <si>
    <t>05/06/2025</t>
  </si>
  <si>
    <t>1311</t>
  </si>
  <si>
    <t>35378</t>
  </si>
  <si>
    <t>2S RODRIGUES</t>
  </si>
  <si>
    <t>2S GIOVANNI</t>
  </si>
  <si>
    <t>23/06/2025</t>
  </si>
  <si>
    <t>2643090-3</t>
  </si>
  <si>
    <t>SHIMMY DAMPER-NOSE GEAR</t>
  </si>
  <si>
    <t>001</t>
  </si>
  <si>
    <t>SE1070-6</t>
  </si>
  <si>
    <t>76005</t>
  </si>
  <si>
    <t>SHIMMY DAMPENER ASSY</t>
  </si>
  <si>
    <t>BACGINAT</t>
  </si>
  <si>
    <t>SSHID</t>
  </si>
  <si>
    <t>CE-11200</t>
  </si>
  <si>
    <t>CE-08838</t>
  </si>
  <si>
    <t>3S SCHIMACK</t>
  </si>
  <si>
    <t>02/07/2025</t>
  </si>
  <si>
    <t>EMERGENCY LOCATOR TRANSMITTER MODEL C406-2</t>
  </si>
  <si>
    <t>07915</t>
  </si>
  <si>
    <t>X-330970</t>
  </si>
  <si>
    <t>X-412785</t>
  </si>
  <si>
    <t>B10811721</t>
  </si>
  <si>
    <t>2S J. RODRIGUES</t>
  </si>
  <si>
    <t>X330978</t>
  </si>
  <si>
    <t>PAMAGL</t>
  </si>
  <si>
    <t>1S BARROSO</t>
  </si>
  <si>
    <t>X-467664</t>
  </si>
  <si>
    <t>2 ETA</t>
  </si>
  <si>
    <t>EMU</t>
  </si>
  <si>
    <t>SO VIEIRA</t>
  </si>
  <si>
    <t>D00397798</t>
  </si>
  <si>
    <t>SEQSSS</t>
  </si>
  <si>
    <t>2S TIAGO</t>
  </si>
  <si>
    <t>030998</t>
  </si>
  <si>
    <t>26/01/2026</t>
  </si>
  <si>
    <t>54071</t>
  </si>
  <si>
    <t>MOTOR,DIRECT CURRENT</t>
  </si>
  <si>
    <t>6949</t>
  </si>
  <si>
    <t>2668-5</t>
  </si>
  <si>
    <t>3155-5</t>
  </si>
  <si>
    <t>3124-5</t>
  </si>
  <si>
    <t>3275-5</t>
  </si>
  <si>
    <t>9902509</t>
  </si>
  <si>
    <t>SSBAT</t>
  </si>
  <si>
    <t>11/07/2025</t>
  </si>
  <si>
    <t>003614</t>
  </si>
  <si>
    <t>15100008</t>
  </si>
  <si>
    <t>15/07/2025</t>
  </si>
  <si>
    <t>0235</t>
  </si>
  <si>
    <t>17/07/2025</t>
  </si>
  <si>
    <t>ART2000-13237</t>
  </si>
  <si>
    <t>18/07/2025</t>
  </si>
  <si>
    <t>2S PANTOJA</t>
  </si>
  <si>
    <t>31/07/2025</t>
  </si>
  <si>
    <t>409496</t>
  </si>
  <si>
    <t>86819178</t>
  </si>
  <si>
    <t>13/08/2025</t>
  </si>
  <si>
    <t>22A805</t>
  </si>
  <si>
    <t>22/08/2025</t>
  </si>
  <si>
    <t>1S DANIELE</t>
  </si>
  <si>
    <t>15508160</t>
  </si>
  <si>
    <t>T25426</t>
  </si>
  <si>
    <t>03</t>
  </si>
  <si>
    <t>C98</t>
  </si>
  <si>
    <t>778</t>
  </si>
  <si>
    <t>048F</t>
  </si>
  <si>
    <t>3270</t>
  </si>
  <si>
    <t>LSEAM3250</t>
  </si>
  <si>
    <t>A4H-106-02</t>
  </si>
  <si>
    <t>K517</t>
  </si>
  <si>
    <t>SO M. MOREIRA</t>
  </si>
  <si>
    <t>935</t>
  </si>
  <si>
    <t>B4H-018</t>
  </si>
  <si>
    <t>25/08/2025</t>
  </si>
  <si>
    <t>29/08/2025</t>
  </si>
  <si>
    <t>2953</t>
  </si>
  <si>
    <t>2982</t>
  </si>
  <si>
    <t>17/09/2025</t>
  </si>
  <si>
    <t>02LS</t>
  </si>
  <si>
    <t>06848</t>
  </si>
  <si>
    <t>B10133</t>
  </si>
  <si>
    <t>MOT</t>
  </si>
  <si>
    <t>3S EMANUEL</t>
  </si>
  <si>
    <t>EA-5172-45-CES</t>
  </si>
  <si>
    <t>INDICATOR,AIRSPEED</t>
  </si>
  <si>
    <t>T20874</t>
  </si>
  <si>
    <t>SO MAICON</t>
  </si>
  <si>
    <t>T20976</t>
  </si>
  <si>
    <t>SMN</t>
  </si>
  <si>
    <t>07213</t>
  </si>
  <si>
    <t>3244809-4</t>
  </si>
  <si>
    <t>C25208</t>
  </si>
  <si>
    <t>3S LUCAS CARDOSO</t>
  </si>
  <si>
    <t>571</t>
  </si>
  <si>
    <t>776</t>
  </si>
  <si>
    <t>LSEAM3239</t>
  </si>
  <si>
    <t>07/10/2025</t>
  </si>
  <si>
    <t>18384912</t>
  </si>
  <si>
    <t>MOTH3</t>
  </si>
  <si>
    <t>2S CARDOSO</t>
  </si>
  <si>
    <t>12245097V</t>
  </si>
  <si>
    <t>16940865</t>
  </si>
  <si>
    <t>2S BRITTO</t>
  </si>
  <si>
    <t>09/10/2025</t>
  </si>
  <si>
    <t>16/10/2025</t>
  </si>
  <si>
    <t>04/11/2025</t>
  </si>
  <si>
    <t>06/11/2025</t>
  </si>
  <si>
    <t>07/11/2025</t>
  </si>
  <si>
    <t>07</t>
  </si>
  <si>
    <t>VALVE,COMPRESSOR BLEED</t>
  </si>
  <si>
    <t>6891</t>
  </si>
  <si>
    <t>2S FILIPE</t>
  </si>
  <si>
    <t>10/11/2025</t>
  </si>
  <si>
    <t>D12-10002</t>
  </si>
  <si>
    <t>1S RIBAS</t>
  </si>
  <si>
    <t>17/11/2025</t>
  </si>
  <si>
    <t>0709LS</t>
  </si>
  <si>
    <t>H9533</t>
  </si>
  <si>
    <t>STIM</t>
  </si>
  <si>
    <t>SO GENIVAL</t>
  </si>
  <si>
    <t>1902269</t>
  </si>
  <si>
    <t>1S SUELLEN</t>
  </si>
  <si>
    <t>18/11/2025</t>
  </si>
  <si>
    <t>25/11/2025</t>
  </si>
  <si>
    <t>H9817</t>
  </si>
  <si>
    <t>1S BRUNO GARCIA</t>
  </si>
  <si>
    <t>89292</t>
  </si>
  <si>
    <t>09/12/2025</t>
  </si>
  <si>
    <t>073200G71030137AE</t>
  </si>
  <si>
    <t>073200G71360003AE</t>
  </si>
  <si>
    <t>16/12/2025</t>
  </si>
  <si>
    <t>01381310971</t>
  </si>
  <si>
    <t>19/12/2025</t>
  </si>
  <si>
    <t>A-180560</t>
  </si>
  <si>
    <t>06/01/2026</t>
  </si>
  <si>
    <t>822</t>
  </si>
  <si>
    <t>795</t>
  </si>
  <si>
    <t>2S BRAGA</t>
  </si>
  <si>
    <t>784</t>
  </si>
  <si>
    <t>LSEAM3218</t>
  </si>
  <si>
    <t>LSEAM3167</t>
  </si>
  <si>
    <t>01B</t>
  </si>
  <si>
    <t>3S FRANÇA</t>
  </si>
  <si>
    <t>073200G02170089AE</t>
  </si>
  <si>
    <t>073200G63200008AE</t>
  </si>
  <si>
    <t>1270</t>
  </si>
  <si>
    <t>1S V. MARINHO</t>
  </si>
  <si>
    <t>14/01/2026</t>
  </si>
  <si>
    <t>C66477</t>
  </si>
  <si>
    <t>A76103</t>
  </si>
  <si>
    <t>1S LOSCHI</t>
  </si>
  <si>
    <t>28/01/2026</t>
  </si>
  <si>
    <t>002798</t>
  </si>
  <si>
    <t>2S J. MAIA</t>
  </si>
  <si>
    <t>004106</t>
  </si>
  <si>
    <t>968</t>
  </si>
  <si>
    <t>10/02/2026</t>
  </si>
  <si>
    <t>003665</t>
  </si>
  <si>
    <t>SO FLAVIO</t>
  </si>
  <si>
    <t>004201</t>
  </si>
  <si>
    <t>2S BOSCO</t>
  </si>
  <si>
    <t>004207</t>
  </si>
  <si>
    <t>C661065-0240</t>
  </si>
  <si>
    <t>T49816</t>
  </si>
  <si>
    <t>COMPUTER,AIR DATA</t>
  </si>
  <si>
    <t>20624851</t>
  </si>
  <si>
    <t>20625310</t>
  </si>
  <si>
    <t>2926</t>
  </si>
  <si>
    <t>SO MAINEL</t>
  </si>
  <si>
    <t>12023</t>
  </si>
  <si>
    <t>42966</t>
  </si>
  <si>
    <t>2S BASSANI</t>
  </si>
  <si>
    <t>48741</t>
  </si>
  <si>
    <t>21940</t>
  </si>
  <si>
    <t>066-1053-00</t>
  </si>
  <si>
    <t>7310</t>
  </si>
  <si>
    <t>1S JULIANA PAIM</t>
  </si>
  <si>
    <t>5BE34</t>
  </si>
  <si>
    <t>S4H004</t>
  </si>
  <si>
    <t>1S ARTHUR</t>
  </si>
  <si>
    <t>2670104-2</t>
  </si>
  <si>
    <t>ANNUNCIATOR PANEL</t>
  </si>
  <si>
    <t>0919</t>
  </si>
  <si>
    <t>B4H-015</t>
  </si>
  <si>
    <t>2S MAGNO CESAR</t>
  </si>
  <si>
    <t>24/02/2026</t>
  </si>
  <si>
    <t>04/03/2026</t>
  </si>
  <si>
    <t>09/03/2026</t>
  </si>
  <si>
    <t>000745</t>
  </si>
  <si>
    <t>10/09/2025</t>
  </si>
  <si>
    <t>8459XL2</t>
  </si>
  <si>
    <t>S00062XL</t>
  </si>
  <si>
    <t>073200G02170082AE</t>
  </si>
  <si>
    <t>073200G91260061AE</t>
  </si>
  <si>
    <t>1S FRAGOSO</t>
  </si>
  <si>
    <t>35971</t>
  </si>
  <si>
    <t>107178</t>
  </si>
  <si>
    <t>108773</t>
  </si>
  <si>
    <t>7086</t>
  </si>
  <si>
    <t>B10811220</t>
  </si>
  <si>
    <t>B10811724</t>
  </si>
  <si>
    <t>47203152</t>
  </si>
  <si>
    <t>22005580</t>
  </si>
  <si>
    <t>22005955</t>
  </si>
  <si>
    <t>22005661</t>
  </si>
  <si>
    <t>3S ALCEMIR</t>
  </si>
  <si>
    <t>2S AVELLAR</t>
  </si>
  <si>
    <t>83740</t>
  </si>
  <si>
    <t>6708</t>
  </si>
  <si>
    <t>LSEAM3269</t>
  </si>
  <si>
    <t>LSEAM3168</t>
  </si>
  <si>
    <t>965</t>
  </si>
  <si>
    <t>2007</t>
  </si>
  <si>
    <t>688</t>
  </si>
  <si>
    <t>B4H-038</t>
  </si>
  <si>
    <t>1938-XL</t>
  </si>
  <si>
    <t>3711XL</t>
  </si>
  <si>
    <t>2S XAVIER</t>
  </si>
  <si>
    <t>535933</t>
  </si>
  <si>
    <t>289029</t>
  </si>
  <si>
    <t>3493</t>
  </si>
  <si>
    <t>625052</t>
  </si>
  <si>
    <t>614095</t>
  </si>
  <si>
    <t>ATE2717</t>
  </si>
  <si>
    <t>LS005</t>
  </si>
  <si>
    <t>ATE2714</t>
  </si>
  <si>
    <t>ATE2730</t>
  </si>
  <si>
    <t>ELT C406-N</t>
  </si>
  <si>
    <t>6291</t>
  </si>
  <si>
    <t>30/04/2026</t>
  </si>
  <si>
    <t>28/04/2026</t>
  </si>
  <si>
    <t>05/05/2026</t>
  </si>
  <si>
    <t>3040111096</t>
  </si>
  <si>
    <t>3040144137</t>
  </si>
  <si>
    <t>3040309923</t>
  </si>
  <si>
    <t>T35158</t>
  </si>
  <si>
    <t>3040312644</t>
  </si>
  <si>
    <t>T35507</t>
  </si>
  <si>
    <t>26/05/2026</t>
  </si>
  <si>
    <t>3040317874</t>
  </si>
  <si>
    <t>304250073782</t>
  </si>
  <si>
    <t>3040308554</t>
  </si>
  <si>
    <t>102549</t>
  </si>
  <si>
    <t>01/11/2025</t>
  </si>
  <si>
    <t>01/01/2026</t>
  </si>
  <si>
    <t>3040295440</t>
  </si>
  <si>
    <t>16784</t>
  </si>
  <si>
    <t>3040317876</t>
  </si>
  <si>
    <t>3040316939</t>
  </si>
  <si>
    <t>3040199902</t>
  </si>
  <si>
    <t>3040309924</t>
  </si>
  <si>
    <t>3040312962</t>
  </si>
  <si>
    <t>3040312963</t>
  </si>
  <si>
    <t>3040312431</t>
  </si>
  <si>
    <t>01/03/2026</t>
  </si>
  <si>
    <t>3040246980</t>
  </si>
  <si>
    <t>3040311258</t>
  </si>
  <si>
    <t>18685</t>
  </si>
  <si>
    <t>3040311508</t>
  </si>
  <si>
    <t>3040300102</t>
  </si>
  <si>
    <t>86816588</t>
  </si>
  <si>
    <t>3040297852</t>
  </si>
  <si>
    <t>86815646</t>
  </si>
  <si>
    <t>3040296082</t>
  </si>
  <si>
    <t>3040326012</t>
  </si>
  <si>
    <t>3040326010</t>
  </si>
  <si>
    <t>3040324490</t>
  </si>
  <si>
    <t>3040324489</t>
  </si>
  <si>
    <t>3040326011</t>
  </si>
  <si>
    <t>3040312965</t>
  </si>
  <si>
    <t>06/05/2026</t>
  </si>
  <si>
    <t>30559</t>
  </si>
  <si>
    <t>11/05/2026</t>
  </si>
  <si>
    <t>3040316902</t>
  </si>
  <si>
    <t>34851</t>
  </si>
  <si>
    <t>3040319929</t>
  </si>
  <si>
    <t>01/06/2026</t>
  </si>
  <si>
    <t>3040317879</t>
  </si>
  <si>
    <t>3040315566</t>
  </si>
  <si>
    <t>3040314519</t>
  </si>
  <si>
    <t>3040323016</t>
  </si>
  <si>
    <t>KI525A-B100660</t>
  </si>
  <si>
    <t>12/05/2026</t>
  </si>
  <si>
    <t>3040326281</t>
  </si>
  <si>
    <t>07/05/2026</t>
  </si>
  <si>
    <t>3040326318</t>
  </si>
  <si>
    <t>3040326319</t>
  </si>
  <si>
    <t>01/02/2026</t>
  </si>
  <si>
    <t>3040258407</t>
  </si>
  <si>
    <t>15/05/2026</t>
  </si>
  <si>
    <t>3040284801</t>
  </si>
  <si>
    <t>64318</t>
  </si>
  <si>
    <t>3040308132</t>
  </si>
  <si>
    <t>3040297976</t>
  </si>
  <si>
    <t>3040313660</t>
  </si>
  <si>
    <t>3040310539</t>
  </si>
  <si>
    <t>3040312970</t>
  </si>
  <si>
    <t>3040306480</t>
  </si>
  <si>
    <t>3040312972</t>
  </si>
  <si>
    <t>22/05/2026</t>
  </si>
  <si>
    <t>18/05/2026</t>
  </si>
  <si>
    <t>3040325494</t>
  </si>
  <si>
    <t>2309-5</t>
  </si>
  <si>
    <t>3040325495</t>
  </si>
  <si>
    <t>29/05/2026</t>
  </si>
  <si>
    <t>27/05/2026</t>
  </si>
  <si>
    <t>02/06/2026</t>
  </si>
  <si>
    <t>3040315568</t>
  </si>
  <si>
    <t>3040317884</t>
  </si>
  <si>
    <t>3040327373</t>
  </si>
  <si>
    <t>3040314544</t>
  </si>
  <si>
    <t>S00007XL</t>
  </si>
  <si>
    <t>3040313703</t>
  </si>
  <si>
    <t>21/05/2026</t>
  </si>
  <si>
    <t>3040327236</t>
  </si>
  <si>
    <t>GLOGMHE</t>
  </si>
  <si>
    <t>9933-49</t>
  </si>
  <si>
    <t>28/05/2026</t>
  </si>
  <si>
    <t>03/06/2026</t>
  </si>
  <si>
    <t>3040312880</t>
  </si>
  <si>
    <t>0612</t>
  </si>
  <si>
    <t>3040287420</t>
  </si>
  <si>
    <t>070407910680166AE</t>
  </si>
  <si>
    <t>3040302343</t>
  </si>
  <si>
    <t>070407983320094AE</t>
  </si>
  <si>
    <t>3040287128</t>
  </si>
  <si>
    <t>070407983320096AE</t>
  </si>
  <si>
    <t>3040287127</t>
  </si>
  <si>
    <t>070407983320111AE</t>
  </si>
  <si>
    <t>3040292324</t>
  </si>
  <si>
    <t>070407983320130AE</t>
  </si>
  <si>
    <t>3040292323</t>
  </si>
  <si>
    <t>3040327238</t>
  </si>
  <si>
    <t>14/05/2026</t>
  </si>
  <si>
    <t>20/05/2026</t>
  </si>
  <si>
    <t>3040313698</t>
  </si>
  <si>
    <t>25304</t>
  </si>
  <si>
    <t>3040317881</t>
  </si>
  <si>
    <t>3040317882</t>
  </si>
  <si>
    <t>3040313689</t>
  </si>
  <si>
    <t>3040316665</t>
  </si>
  <si>
    <t>9599</t>
  </si>
  <si>
    <t>11BG159</t>
  </si>
  <si>
    <t>SO JOEL</t>
  </si>
  <si>
    <t>S00456</t>
  </si>
  <si>
    <t>1S M. VINICIUS</t>
  </si>
  <si>
    <t>S00167XL</t>
  </si>
  <si>
    <t>2S MARIANA</t>
  </si>
  <si>
    <t>504-0111-906</t>
  </si>
  <si>
    <t>504011190625165</t>
  </si>
  <si>
    <t>504011190625185</t>
  </si>
  <si>
    <t>23/06/2026</t>
  </si>
  <si>
    <t>18/06/2026</t>
  </si>
  <si>
    <t>24/06/2026</t>
  </si>
  <si>
    <t>3040232651</t>
  </si>
  <si>
    <t>3040307754</t>
  </si>
  <si>
    <t>86817554</t>
  </si>
  <si>
    <t>F66912</t>
  </si>
  <si>
    <t>H-K121983</t>
  </si>
  <si>
    <t>A102704</t>
  </si>
  <si>
    <t>A-180215</t>
  </si>
  <si>
    <t>053851C30040004AE</t>
  </si>
  <si>
    <t>Data de modificação V1.:</t>
  </si>
  <si>
    <t>DATA INICIO</t>
  </si>
  <si>
    <t>TAT SILOMS</t>
  </si>
  <si>
    <t>TAT VEE ONE</t>
  </si>
  <si>
    <t>EM REPARO</t>
  </si>
  <si>
    <t>LEAP</t>
  </si>
  <si>
    <t>282/FAB/25</t>
  </si>
  <si>
    <t>CONDENADO</t>
  </si>
  <si>
    <t>VEE ONE</t>
  </si>
  <si>
    <t>AMA - VEE ONE</t>
  </si>
  <si>
    <t>AV AERONAUTICA</t>
  </si>
  <si>
    <t>208/FAB/26</t>
  </si>
  <si>
    <t>271/FAB/26</t>
  </si>
  <si>
    <t>P2033</t>
  </si>
  <si>
    <t>1082/2025</t>
  </si>
  <si>
    <t>161/FAB/25</t>
  </si>
  <si>
    <t>122/C98/2025</t>
  </si>
  <si>
    <t>103/C98/2025</t>
  </si>
  <si>
    <t>148515‐04</t>
  </si>
  <si>
    <t>168393-11</t>
  </si>
  <si>
    <t>352/FAB/26</t>
  </si>
  <si>
    <t>1049/2025</t>
  </si>
  <si>
    <t>PAMA-LS</t>
  </si>
  <si>
    <t>159/C98/2025</t>
  </si>
  <si>
    <t>045/C98/2025</t>
  </si>
  <si>
    <t>REPARADO</t>
  </si>
  <si>
    <t>V1 PAMA-LS</t>
  </si>
  <si>
    <t>WILLIAM</t>
  </si>
  <si>
    <t>263/FAB/26</t>
  </si>
  <si>
    <t>1034/2025</t>
  </si>
  <si>
    <t>223/FAB/26</t>
  </si>
  <si>
    <t>NO ESTADO</t>
  </si>
  <si>
    <t xml:space="preserve">EM REPARO </t>
  </si>
  <si>
    <t>176/FAB/26</t>
  </si>
  <si>
    <t>133/FAB/25</t>
  </si>
  <si>
    <t>598/FAB/26</t>
  </si>
  <si>
    <t>PROCURANDO</t>
  </si>
  <si>
    <t>487/TRA/26</t>
  </si>
  <si>
    <t>039-c98-2025</t>
  </si>
  <si>
    <t>210012‐01</t>
  </si>
  <si>
    <t>108/C98/2025</t>
  </si>
  <si>
    <t>209717‐10</t>
  </si>
  <si>
    <t>DEVOLViDO NO ESTADO</t>
  </si>
  <si>
    <t>TERMO 027/2025</t>
  </si>
  <si>
    <t>148515-04</t>
  </si>
  <si>
    <t>682/FAB/26</t>
  </si>
  <si>
    <t>EM REPARO EM GARANTIA</t>
  </si>
  <si>
    <t>1049/LS-C98/2025</t>
  </si>
  <si>
    <t>438/FAB/26</t>
  </si>
  <si>
    <t>161/C98/2025</t>
  </si>
  <si>
    <t>143/C98/2025</t>
  </si>
  <si>
    <t>Por acaso o sn é 5263 ?</t>
  </si>
  <si>
    <t>329/FAB/26</t>
  </si>
  <si>
    <t>083/FAB/25</t>
  </si>
  <si>
    <t>734/FAB/26</t>
  </si>
  <si>
    <t>623/FAB/26</t>
  </si>
  <si>
    <t>162/FAB/25</t>
  </si>
  <si>
    <t>182/FAB/25</t>
  </si>
  <si>
    <t>15W005529</t>
  </si>
  <si>
    <t>140/FAB/25</t>
  </si>
  <si>
    <t>NÃO TEVE MOVIMENTAÇÃO</t>
  </si>
  <si>
    <t>290/FAB/26</t>
  </si>
  <si>
    <t>198/FAB/25</t>
  </si>
  <si>
    <t>228/FAB/25</t>
  </si>
  <si>
    <t>529/fab/26</t>
  </si>
  <si>
    <t>DEVOLVODO NO ESTADO</t>
  </si>
  <si>
    <t>MATERIAL VOLTOU EM GARANTIA</t>
  </si>
  <si>
    <t>329/FAB/25</t>
  </si>
  <si>
    <t>1096/LS-C98/2025</t>
  </si>
  <si>
    <t>282/FAB/2026</t>
  </si>
  <si>
    <t>593/fab/26</t>
  </si>
  <si>
    <t>1087/PAMA-LS/2025</t>
  </si>
  <si>
    <t>682/fab/26</t>
  </si>
  <si>
    <t>1116/LS-C98/2026</t>
  </si>
  <si>
    <t>362/FAB/26</t>
  </si>
  <si>
    <t>1112/LS-C98/2026</t>
  </si>
  <si>
    <t>598/fab/26</t>
  </si>
  <si>
    <t>490/FAB/26</t>
  </si>
  <si>
    <t>3200G02170010</t>
  </si>
  <si>
    <t>VAI SER DEVOLVIDO SEM REPARO</t>
  </si>
  <si>
    <t>339/FAB/25</t>
  </si>
  <si>
    <t>058/FAB/26</t>
  </si>
  <si>
    <t>babr</t>
  </si>
  <si>
    <t>596/fab/26</t>
  </si>
  <si>
    <t>dacta II</t>
  </si>
  <si>
    <t>687/fab/26</t>
  </si>
  <si>
    <t>487/tra/26</t>
  </si>
  <si>
    <t>3200G02170087</t>
  </si>
  <si>
    <t>195/FAB/26</t>
  </si>
  <si>
    <t>3200G02170034</t>
  </si>
  <si>
    <t>3200G90080045</t>
  </si>
  <si>
    <t>269/FAB/26</t>
  </si>
  <si>
    <t>473/FAB/26</t>
  </si>
  <si>
    <t>551/FAB/26</t>
  </si>
  <si>
    <t>3200G90080062</t>
  </si>
  <si>
    <t>063/FAB/26</t>
  </si>
  <si>
    <t>EM QUARENTENA</t>
  </si>
  <si>
    <t>688/FAB/26</t>
  </si>
  <si>
    <t>485/FAB/26</t>
  </si>
  <si>
    <t>261/FAB/26</t>
  </si>
  <si>
    <t>498/FAB/26</t>
  </si>
  <si>
    <t>2AY7</t>
  </si>
  <si>
    <t>PARA REPARO</t>
  </si>
  <si>
    <t>KAS297B-A2322</t>
  </si>
  <si>
    <t>599/FAB/26</t>
  </si>
  <si>
    <t>P1224</t>
  </si>
  <si>
    <t>3200G02170082</t>
  </si>
  <si>
    <t>448/FAB/26</t>
  </si>
  <si>
    <t>3200G91260061</t>
  </si>
  <si>
    <t>680/FAB/26</t>
  </si>
  <si>
    <t>392/FAB/26</t>
  </si>
  <si>
    <t>379/FAB/26</t>
  </si>
  <si>
    <t>461/FAB/26</t>
  </si>
  <si>
    <t>548/FAB/26</t>
  </si>
  <si>
    <t>AV AERONÁUTICA</t>
  </si>
  <si>
    <t>591/FAB/26</t>
  </si>
  <si>
    <t>582/FAB/26</t>
  </si>
  <si>
    <t>447/FAB/26</t>
  </si>
  <si>
    <t>355/FAB/26</t>
  </si>
  <si>
    <t>645/FAB/26</t>
  </si>
  <si>
    <t>409/FAB/26</t>
  </si>
  <si>
    <t>435/FAB/26</t>
  </si>
  <si>
    <t>697/FAB/26</t>
  </si>
  <si>
    <t>640/FAB/26</t>
  </si>
  <si>
    <t>431/FAB/26</t>
  </si>
  <si>
    <t>735/FAB/26</t>
  </si>
  <si>
    <t>709/FAB/26</t>
  </si>
  <si>
    <t>252/2026</t>
  </si>
  <si>
    <t>486/FAB/26</t>
  </si>
  <si>
    <t>690/FAB/26</t>
  </si>
  <si>
    <t>641/FAB/26</t>
  </si>
  <si>
    <t>Nº de Ordem</t>
  </si>
  <si>
    <t>PN Original</t>
  </si>
  <si>
    <t>Nomenclatura</t>
  </si>
  <si>
    <t>Tipo de Emergência</t>
  </si>
  <si>
    <t>Matricula ANV</t>
  </si>
  <si>
    <t>SN Orig.</t>
  </si>
  <si>
    <t>Nº da OS</t>
  </si>
  <si>
    <t>Prazo para devolução</t>
  </si>
  <si>
    <t>Data prevista para devolução</t>
  </si>
  <si>
    <t>Data da devolução</t>
  </si>
  <si>
    <t>NS devolvido(exchange)</t>
  </si>
  <si>
    <t>N° do Recibo</t>
  </si>
  <si>
    <t>Operador</t>
  </si>
  <si>
    <t>GSA SERVO</t>
  </si>
  <si>
    <t>223/FAB/2025</t>
  </si>
  <si>
    <t>329/FAB/2025</t>
  </si>
  <si>
    <t>GSA</t>
  </si>
  <si>
    <t>RADAR</t>
  </si>
  <si>
    <t>83/FAB/2025</t>
  </si>
  <si>
    <t>RADAR GWX</t>
  </si>
  <si>
    <t>1125/C-98/2026</t>
  </si>
  <si>
    <t>1100/2025</t>
  </si>
  <si>
    <t>DISPLAY UNIT,GDU</t>
  </si>
  <si>
    <t>1047/2025</t>
  </si>
  <si>
    <t>DISPLEY UNIT</t>
  </si>
  <si>
    <t>129/2025</t>
  </si>
  <si>
    <t>DISPLAY UNIT</t>
  </si>
  <si>
    <t>128/2025</t>
  </si>
  <si>
    <t>DISPLAY UNIT FLIGT</t>
  </si>
  <si>
    <t>138/2025 E 104/FAB/2026</t>
  </si>
  <si>
    <t>BABE- REC 104/2026</t>
  </si>
  <si>
    <t>1126/LS-C98-2026</t>
  </si>
  <si>
    <t>INTEGR AVIONIC UNIT</t>
  </si>
  <si>
    <t>86/2025</t>
  </si>
  <si>
    <t>44/2025</t>
  </si>
  <si>
    <t>J716</t>
  </si>
  <si>
    <t>036/2025</t>
  </si>
  <si>
    <t>2L343</t>
  </si>
  <si>
    <t>29/FAB/2025</t>
  </si>
  <si>
    <t>92/2025</t>
  </si>
  <si>
    <t>133/FAB/2025</t>
  </si>
  <si>
    <t>112/2025</t>
  </si>
  <si>
    <t>L4H162</t>
  </si>
  <si>
    <t>105/C-98/25</t>
  </si>
  <si>
    <t>133/FAB/2026</t>
  </si>
  <si>
    <t>176/2026</t>
  </si>
  <si>
    <t>CJ FREIO</t>
  </si>
  <si>
    <t>VHF TRANSP</t>
  </si>
  <si>
    <t>1087/PAMALS/2025</t>
  </si>
  <si>
    <t>RECEIVER/TRANSM</t>
  </si>
  <si>
    <t>1017/2025</t>
  </si>
  <si>
    <t>AUTOPILOT COMP</t>
  </si>
  <si>
    <t>140/FAB/2025</t>
  </si>
  <si>
    <t>1028/2025</t>
  </si>
  <si>
    <t>263/2026</t>
  </si>
  <si>
    <t>1085/2025</t>
  </si>
  <si>
    <t>1080/2025</t>
  </si>
  <si>
    <t>TRANSPONDER</t>
  </si>
  <si>
    <t>282/2026</t>
  </si>
  <si>
    <t>1019/2025</t>
  </si>
  <si>
    <t>1016/2025</t>
  </si>
  <si>
    <t>1022/2025</t>
  </si>
  <si>
    <t>INDICATOR,BEARING-DISTANCE-HEADING (KDI572)</t>
  </si>
  <si>
    <t>LS04022</t>
  </si>
  <si>
    <t>1081/2025</t>
  </si>
  <si>
    <t>1050/2025</t>
  </si>
  <si>
    <t>1032/2025</t>
  </si>
  <si>
    <t>1045/2025</t>
  </si>
  <si>
    <t>1072/2025</t>
  </si>
  <si>
    <t>407/FAB/2026</t>
  </si>
  <si>
    <t>1094/2025</t>
  </si>
  <si>
    <t>05/12/2025/23/03/2026</t>
  </si>
  <si>
    <t>1099/LS-C-98/2025 -261/2026</t>
  </si>
  <si>
    <t>1013/2025</t>
  </si>
  <si>
    <t>X92479</t>
  </si>
  <si>
    <t>1011/2025</t>
  </si>
  <si>
    <t>IND RDR</t>
  </si>
  <si>
    <t>1088/PAMALS</t>
  </si>
  <si>
    <t>1042/2025</t>
  </si>
  <si>
    <t>1008/2025</t>
  </si>
  <si>
    <t>1065/2025</t>
  </si>
  <si>
    <t>RECEIVER/TRANSM RADIO</t>
  </si>
  <si>
    <t>1085/PAMALS</t>
  </si>
  <si>
    <t>GPS</t>
  </si>
  <si>
    <t>1096/LS-C-98/2025</t>
  </si>
  <si>
    <t>RECIVER TRANSM</t>
  </si>
  <si>
    <t>1031/2025</t>
  </si>
  <si>
    <t>RECEP RADAR</t>
  </si>
  <si>
    <t>1063/2005</t>
  </si>
  <si>
    <t>ART2000-14856</t>
  </si>
  <si>
    <t>INNER WHEEL AUX</t>
  </si>
  <si>
    <t>159/C 98/25</t>
  </si>
  <si>
    <t>161/FAB/26</t>
  </si>
  <si>
    <t>015/FAB/2026</t>
  </si>
  <si>
    <t>598/FAB/2026</t>
  </si>
  <si>
    <t>WHEEL INNER MAIN ESQ/DIR</t>
  </si>
  <si>
    <t>127/FAB/2025</t>
  </si>
  <si>
    <t>250/FAB/2025</t>
  </si>
  <si>
    <t>160/C-98/2025</t>
  </si>
  <si>
    <t>145/C98/2025</t>
  </si>
  <si>
    <t>A4H-024-03</t>
  </si>
  <si>
    <t>328/2026</t>
  </si>
  <si>
    <t>WHEEL OUTER AUX</t>
  </si>
  <si>
    <t>015/FAB/26</t>
  </si>
  <si>
    <t>WHEEL OUTER MAIN ESQ/DIR</t>
  </si>
  <si>
    <t>92E</t>
  </si>
  <si>
    <t>009/FAB/2025</t>
  </si>
  <si>
    <t>11AL75</t>
  </si>
  <si>
    <t>143/2025</t>
  </si>
  <si>
    <t>GIRO HORIZ</t>
  </si>
  <si>
    <t>STARTER</t>
  </si>
  <si>
    <t>2741XL</t>
  </si>
  <si>
    <t>1040/2025</t>
  </si>
  <si>
    <t>2325XL</t>
  </si>
  <si>
    <t>S00103XL2</t>
  </si>
  <si>
    <t>S00200XL</t>
  </si>
  <si>
    <t>1039/2025</t>
  </si>
  <si>
    <t>COMPRES DRIVE</t>
  </si>
  <si>
    <t>N/A</t>
  </si>
  <si>
    <t>99K124C</t>
  </si>
  <si>
    <t>55/2025</t>
  </si>
  <si>
    <t>2606013-1</t>
  </si>
  <si>
    <t>IND PERCEN RPM</t>
  </si>
  <si>
    <t>1021/2025</t>
  </si>
  <si>
    <t>IND RPM</t>
  </si>
  <si>
    <t>98J183</t>
  </si>
  <si>
    <t>38C7</t>
  </si>
  <si>
    <t>1049/LS/2025</t>
  </si>
  <si>
    <t>1035/2025</t>
  </si>
  <si>
    <t>IND TEMP OLEO</t>
  </si>
  <si>
    <t>J23379</t>
  </si>
  <si>
    <t>080/FAB/26</t>
  </si>
  <si>
    <t>F07-10625</t>
  </si>
  <si>
    <t>1090/PAMALS</t>
  </si>
  <si>
    <t>1007/2025</t>
  </si>
  <si>
    <t>822-5</t>
  </si>
  <si>
    <t>1033/2025</t>
  </si>
  <si>
    <t>2305-5</t>
  </si>
  <si>
    <t>228/FAB/26</t>
  </si>
  <si>
    <t>237/FAB/26</t>
  </si>
  <si>
    <t>2641014-9</t>
  </si>
  <si>
    <t>SPRING ASSY</t>
  </si>
  <si>
    <t>55/C-98/2025</t>
  </si>
  <si>
    <t>SEM N/S</t>
  </si>
  <si>
    <t>SHIMMY DAMPER</t>
  </si>
  <si>
    <t>161/C-98/2025</t>
  </si>
  <si>
    <t>TREM NARIZ</t>
  </si>
  <si>
    <t>129/FAB</t>
  </si>
  <si>
    <t>S4H003</t>
  </si>
  <si>
    <t>K295-4</t>
  </si>
  <si>
    <t>142/2025</t>
  </si>
  <si>
    <t>198/FAB/2025</t>
  </si>
  <si>
    <t>30-182A</t>
  </si>
  <si>
    <t>LS04</t>
  </si>
  <si>
    <t>111/2025</t>
  </si>
  <si>
    <t>282/FAB/2025</t>
  </si>
  <si>
    <t>BLADE VALVE</t>
  </si>
  <si>
    <t>1037/C-98/LS/2025</t>
  </si>
  <si>
    <t>3074154-01</t>
  </si>
  <si>
    <t>321/FAB/25</t>
  </si>
  <si>
    <t>487/TRA/2026</t>
  </si>
  <si>
    <t>BATERIA</t>
  </si>
  <si>
    <t>131/FAB/2025</t>
  </si>
  <si>
    <t>BATERIA MARAT</t>
  </si>
  <si>
    <t>VALVE ASSY BLADE</t>
  </si>
  <si>
    <t>162/FAB/2025</t>
  </si>
  <si>
    <t>3H399</t>
  </si>
  <si>
    <t>136/FAB/2025</t>
  </si>
  <si>
    <t>C66689</t>
  </si>
  <si>
    <t>21/2025</t>
  </si>
  <si>
    <t>C66726</t>
  </si>
  <si>
    <t>FCU</t>
  </si>
  <si>
    <t>C66369</t>
  </si>
  <si>
    <t>B10555</t>
  </si>
  <si>
    <t>14/5/2025 E 25/07/2025</t>
  </si>
  <si>
    <t>107/2025</t>
  </si>
  <si>
    <t>327/FAB/25</t>
  </si>
  <si>
    <t>145/2025</t>
  </si>
  <si>
    <t>B1025</t>
  </si>
  <si>
    <t>137/FAB/25</t>
  </si>
  <si>
    <t>C65376</t>
  </si>
  <si>
    <t>248/FAB/25</t>
  </si>
  <si>
    <t>453-0421-710</t>
  </si>
  <si>
    <t>ELT</t>
  </si>
  <si>
    <t>453-5000</t>
  </si>
  <si>
    <t>170-11243</t>
  </si>
  <si>
    <t>159/C 98/2025</t>
  </si>
  <si>
    <t>VALVE BLEED</t>
  </si>
  <si>
    <t>1055/C 98/2025</t>
  </si>
  <si>
    <t>GA1536</t>
  </si>
  <si>
    <t>95/FAB/2025</t>
  </si>
  <si>
    <t>ALTIMETER PRESS</t>
  </si>
  <si>
    <t>1043/2025</t>
  </si>
  <si>
    <t>62800-001</t>
  </si>
  <si>
    <t>MICROFONE</t>
  </si>
  <si>
    <t>1088/2025</t>
  </si>
  <si>
    <t>GOV SPEED</t>
  </si>
  <si>
    <t>822-1543-201</t>
  </si>
  <si>
    <t>FILE SERVER</t>
  </si>
  <si>
    <t>4D98H3</t>
  </si>
  <si>
    <t>4C409V</t>
  </si>
  <si>
    <t>45/2025</t>
  </si>
  <si>
    <t>196/2026</t>
  </si>
  <si>
    <t>9912034-1</t>
  </si>
  <si>
    <t>GENERATOR,TACHOMETER</t>
  </si>
  <si>
    <t>1006/2025</t>
  </si>
  <si>
    <t>AIFP</t>
  </si>
  <si>
    <t>592/FAB/26</t>
  </si>
  <si>
    <t>K060493</t>
  </si>
  <si>
    <t>1054/2025</t>
  </si>
  <si>
    <t>H-T101006</t>
  </si>
  <si>
    <t>ASG12000-2RX</t>
  </si>
  <si>
    <t>H-U041059</t>
  </si>
  <si>
    <t>IPLR</t>
  </si>
  <si>
    <t>529/FAB/26</t>
  </si>
  <si>
    <t>EXTINTOR</t>
  </si>
  <si>
    <t>X-375447</t>
  </si>
  <si>
    <t>1062/C98/2025</t>
  </si>
  <si>
    <t>438/FAB/2026</t>
  </si>
  <si>
    <t>X330991</t>
  </si>
  <si>
    <t>1062/C98/25</t>
  </si>
  <si>
    <t>X330926</t>
  </si>
  <si>
    <t>X-468923</t>
  </si>
  <si>
    <t>Y-299709</t>
  </si>
  <si>
    <t>X-690164</t>
  </si>
  <si>
    <t>VACUUM REGUL</t>
  </si>
  <si>
    <t>H99080013</t>
  </si>
  <si>
    <t>H00060285</t>
  </si>
  <si>
    <t>H-00020134</t>
  </si>
  <si>
    <t>LIGHT STROBE RH</t>
  </si>
  <si>
    <t>C622010-0102</t>
  </si>
  <si>
    <t>H00040217</t>
  </si>
  <si>
    <t>COMPASS</t>
  </si>
  <si>
    <t>92A0049A</t>
  </si>
  <si>
    <t>VELOCIMETRO</t>
  </si>
  <si>
    <t>T23149</t>
  </si>
  <si>
    <t>1038/2025</t>
  </si>
  <si>
    <t>T23157</t>
  </si>
  <si>
    <t>1044/2025</t>
  </si>
  <si>
    <t>1059/LS/25</t>
  </si>
  <si>
    <t>T26117</t>
  </si>
  <si>
    <t>T33124</t>
  </si>
  <si>
    <t>T39023</t>
  </si>
  <si>
    <t>54/2025</t>
  </si>
  <si>
    <t>LS0015</t>
  </si>
  <si>
    <t>LS05040</t>
  </si>
  <si>
    <t>143/C-98/2025</t>
  </si>
  <si>
    <t>2249866V</t>
  </si>
  <si>
    <t>1071/LS-C98/2025</t>
  </si>
  <si>
    <t>2249882V</t>
  </si>
  <si>
    <t>045/FAB/25</t>
  </si>
  <si>
    <t>GOVERN SOBREV</t>
  </si>
  <si>
    <t>GOV SOBREV</t>
  </si>
  <si>
    <t>ADAS D PROCESS</t>
  </si>
  <si>
    <t>IND VELOCIDADE</t>
  </si>
  <si>
    <t>T20990</t>
  </si>
  <si>
    <t>NA</t>
  </si>
  <si>
    <t>1116/LS/C-98/2026</t>
  </si>
  <si>
    <t>H8940</t>
  </si>
  <si>
    <t>1099/LS-C-98/2025</t>
  </si>
  <si>
    <t>1098/LS-C98/2025</t>
  </si>
  <si>
    <t>KA51B-43711</t>
  </si>
  <si>
    <t>1102/LS-C-98/2025</t>
  </si>
  <si>
    <t>CONTROL SERVO AUT PILOT</t>
  </si>
  <si>
    <t>1103/C98/25</t>
  </si>
  <si>
    <t>CONTROL INDICATOR HSI</t>
  </si>
  <si>
    <t>283/FAB/26</t>
  </si>
  <si>
    <t>326/FAB/2026</t>
  </si>
  <si>
    <t>T25814</t>
  </si>
  <si>
    <t>T23915</t>
  </si>
  <si>
    <t>2070C01A</t>
  </si>
  <si>
    <t>PUMP</t>
  </si>
  <si>
    <t>A-181157</t>
  </si>
  <si>
    <t>1106/C-98/2025</t>
  </si>
  <si>
    <t>596/FAB/26</t>
  </si>
  <si>
    <t>UNIT CONT GENER</t>
  </si>
  <si>
    <t>UNID GDU</t>
  </si>
  <si>
    <t>18/06/0202</t>
  </si>
  <si>
    <t>HEADSET</t>
  </si>
  <si>
    <t>073200G71030096AE</t>
  </si>
  <si>
    <t>1105/LS/25</t>
  </si>
  <si>
    <t>1114/LS/26</t>
  </si>
  <si>
    <t>375/FAB/2026</t>
  </si>
  <si>
    <t>073200G900800033AE</t>
  </si>
  <si>
    <t>073200G710300087AE</t>
  </si>
  <si>
    <t>623/FAB/2026</t>
  </si>
  <si>
    <t>075/FAB/26</t>
  </si>
  <si>
    <t>195/2026</t>
  </si>
  <si>
    <t>COMPR AR COND</t>
  </si>
  <si>
    <t>AUTOP COMP</t>
  </si>
  <si>
    <t>ATUAD FLAP</t>
  </si>
  <si>
    <t>269/2026</t>
  </si>
  <si>
    <t>CUBO EXTERNO</t>
  </si>
  <si>
    <t>CUBO RODA</t>
  </si>
  <si>
    <t>CUBO INTERO</t>
  </si>
  <si>
    <t>GMM 202667113000655</t>
  </si>
  <si>
    <t>LDG150Y4</t>
  </si>
  <si>
    <t>CONTAC MAGN</t>
  </si>
  <si>
    <t>R32928</t>
  </si>
  <si>
    <t>Q33475</t>
  </si>
  <si>
    <t>Q35885</t>
  </si>
  <si>
    <t>WKA37447</t>
  </si>
  <si>
    <t>CILINDRO ASSY</t>
  </si>
  <si>
    <t>FUEL CONTROL</t>
  </si>
  <si>
    <t>070/FAB/26</t>
  </si>
  <si>
    <t>42/FAB/2026</t>
  </si>
  <si>
    <t>256/FAB/26</t>
  </si>
  <si>
    <t>499/FAB/26</t>
  </si>
  <si>
    <t>1117/LS-C-98/2026</t>
  </si>
  <si>
    <t>BB COMB</t>
  </si>
  <si>
    <t>FREIO</t>
  </si>
  <si>
    <t>ATUADOR TRIM</t>
  </si>
  <si>
    <t>261/2026</t>
  </si>
  <si>
    <t>232/FAB/2026</t>
  </si>
  <si>
    <t>ANTENA</t>
  </si>
  <si>
    <t>IND RADAR</t>
  </si>
  <si>
    <t>COMP AIR DATA</t>
  </si>
  <si>
    <t>ENGINE INTERFACE</t>
  </si>
  <si>
    <t>FUEL FLOW</t>
  </si>
  <si>
    <t>ANCE</t>
  </si>
  <si>
    <t>ANUNCIADOR</t>
  </si>
  <si>
    <t>143/FAB/2026</t>
  </si>
  <si>
    <t>502/FAB/26</t>
  </si>
  <si>
    <t>153/2026</t>
  </si>
  <si>
    <t>CIL BRACK</t>
  </si>
  <si>
    <t>301/2026</t>
  </si>
  <si>
    <t>TREM AUX</t>
  </si>
  <si>
    <t>222/FAB/2026</t>
  </si>
  <si>
    <t>REG PRESS</t>
  </si>
  <si>
    <t>RT RADAR</t>
  </si>
  <si>
    <t>EVAPORADOR</t>
  </si>
  <si>
    <t>GOV PROPELLER</t>
  </si>
  <si>
    <t>ALTIMETRO</t>
  </si>
  <si>
    <t>GCU</t>
  </si>
  <si>
    <t>448/FAB/2026</t>
  </si>
  <si>
    <t>383/FAB/26</t>
  </si>
  <si>
    <t>AUDIO CONTROL</t>
  </si>
  <si>
    <t>313/2026</t>
  </si>
  <si>
    <t>278/FAB/2026</t>
  </si>
  <si>
    <t>UCG</t>
  </si>
  <si>
    <t>CIL FREIO</t>
  </si>
  <si>
    <t>AFCS</t>
  </si>
  <si>
    <t>379/FAB/2026</t>
  </si>
  <si>
    <t>AN T RADAR</t>
  </si>
  <si>
    <t>RECEI ADF</t>
  </si>
  <si>
    <t>DME</t>
  </si>
  <si>
    <t>TRANSM FLOW</t>
  </si>
  <si>
    <t>AXLE- MAIN GEAR</t>
  </si>
  <si>
    <t>2691-5</t>
  </si>
  <si>
    <t>3367-5</t>
  </si>
  <si>
    <t>IND CONTROL</t>
  </si>
  <si>
    <t>IND FUEL</t>
  </si>
  <si>
    <t>IND TEMP OIL</t>
  </si>
  <si>
    <t>IND RMI</t>
  </si>
  <si>
    <t>CUBO</t>
  </si>
  <si>
    <t>99103385-6</t>
  </si>
  <si>
    <t>VHF</t>
  </si>
  <si>
    <t>B4H-0385</t>
  </si>
  <si>
    <t>VELOCIM</t>
  </si>
  <si>
    <t>UCA</t>
  </si>
  <si>
    <t>384/FAB/26</t>
  </si>
  <si>
    <t>563/FAB/26</t>
  </si>
  <si>
    <t>AUDIO CONT</t>
  </si>
  <si>
    <t>DISPLEY</t>
  </si>
  <si>
    <t>536/FAB/26</t>
  </si>
  <si>
    <t>DIR VOO</t>
  </si>
  <si>
    <t>447/FAB/2026</t>
  </si>
  <si>
    <t>RECEIVER TRANSM</t>
  </si>
  <si>
    <t>355/FAB/2026</t>
  </si>
  <si>
    <t>CONT AUDIO</t>
  </si>
  <si>
    <t>ATUADOR FLAP</t>
  </si>
  <si>
    <t>344/FAB/26</t>
  </si>
  <si>
    <t>409/FAB/2026</t>
  </si>
  <si>
    <t>ALTIMETER SERV</t>
  </si>
  <si>
    <t>CONTROL DIREC</t>
  </si>
  <si>
    <t>RECEIVER RADIO</t>
  </si>
  <si>
    <t>456/FAB/26</t>
  </si>
  <si>
    <t>AXLE MAIN</t>
  </si>
  <si>
    <t>HSI</t>
  </si>
  <si>
    <t>555/FAB/26</t>
  </si>
  <si>
    <t>IND COMB</t>
  </si>
  <si>
    <t>RECEIV/TRANSM</t>
  </si>
  <si>
    <t>488/FAB/26</t>
  </si>
  <si>
    <t>IND PERC RPM</t>
  </si>
  <si>
    <t>GOV SOBREVEL</t>
  </si>
  <si>
    <t>GOV FUEL CONTR</t>
  </si>
  <si>
    <t>IND HORIZ</t>
  </si>
  <si>
    <t>BLED VALVE</t>
  </si>
  <si>
    <t>605/FAB/2026</t>
  </si>
  <si>
    <t>INTEG AVIONICS</t>
  </si>
  <si>
    <t>GDU</t>
  </si>
  <si>
    <t>AFCS CONTR</t>
  </si>
  <si>
    <t>DISPLEY UNIT FLIGHT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</si>
</sst>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-[$$-409]* #,##0.00_ ;_-[$$-409]* \-#,##0.00\ ;_-[$$-409]* &quot;-&quot;??_ ;_-@_ "/>
    <numFmt numFmtId="165" formatCode="yyyy\-m"/>
    <numFmt numFmtId="166" formatCode="dd/MM/yyyy"/>
    <numFmt numFmtId="167" formatCode="ddmmmyyyy"/>
    <numFmt numFmtId="168" formatCode="dd/mm/yyyy"/>
    <numFmt numFmtId="169" formatCode="d/m/yyyy"/>
    <numFmt numFmtId="170" formatCode="00000"/>
    <numFmt numFmtId="171" formatCode="000000"/>
    <numFmt numFmtId="172" formatCode="00"/>
    <numFmt numFmtId="173" formatCode="000"/>
    <numFmt numFmtId="174" formatCode="0000"/>
    <numFmt numFmtId="175" formatCode="00000000000"/>
    <numFmt numFmtId="176" formatCode="0000000000000"/>
  </numFmts>
  <fonts count="20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/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b/>
      <sz val="14.0"/>
      <color theme="1"/>
      <name val="Calibri"/>
    </font>
    <font>
      <sz val="14.0"/>
      <color theme="1"/>
      <name val="Calibri"/>
    </font>
    <font>
      <b/>
      <sz val="12.0"/>
      <color theme="1"/>
      <name val="Arial"/>
      <scheme val="minor"/>
    </font>
    <font>
      <sz val="8.0"/>
      <color theme="1"/>
      <name val="Arial"/>
    </font>
    <font>
      <color theme="1"/>
      <name val="Times New Roman"/>
    </font>
    <font>
      <sz val="9.0"/>
      <color theme="1"/>
      <name val="Arial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sz val="11.0"/>
      <color rgb="FF434343"/>
      <name val="Calibri"/>
    </font>
    <font>
      <sz val="8.0"/>
      <color theme="1"/>
      <name val="Calibri"/>
    </font>
    <font>
      <sz val="11.0"/>
      <color rgb="FF2C363A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A5429"/>
        <bgColor rgb="FF1A5429"/>
      </patternFill>
    </fill>
    <fill>
      <patternFill patternType="solid">
        <fgColor rgb="FF8FD7DC"/>
        <bgColor rgb="FF8FD7DC"/>
      </patternFill>
    </fill>
    <fill>
      <patternFill patternType="solid">
        <fgColor rgb="FF000000"/>
        <bgColor rgb="FF000000"/>
      </patternFill>
    </fill>
    <fill>
      <patternFill patternType="solid">
        <fgColor rgb="FFFBBC04"/>
        <bgColor rgb="FFFBBC04"/>
      </patternFill>
    </fill>
    <fill>
      <patternFill patternType="solid">
        <fgColor rgb="FFC22114"/>
        <bgColor rgb="FFC22114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  <fill>
      <patternFill patternType="solid">
        <fgColor rgb="FFF9CB9C"/>
        <bgColor rgb="FFF9CB9C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3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4" fontId="2" numFmtId="0" xfId="0" applyAlignment="1" applyBorder="1" applyFill="1" applyFont="1">
      <alignment horizontal="center" vertical="center"/>
    </xf>
    <xf borderId="3" fillId="5" fontId="3" numFmtId="0" xfId="0" applyAlignment="1" applyBorder="1" applyFill="1" applyFont="1">
      <alignment horizontal="center" vertical="center"/>
    </xf>
    <xf borderId="3" fillId="6" fontId="1" numFmtId="0" xfId="0" applyAlignment="1" applyBorder="1" applyFill="1" applyFont="1">
      <alignment horizontal="center" vertical="center"/>
    </xf>
    <xf borderId="7" fillId="7" fontId="3" numFmtId="0" xfId="0" applyAlignment="1" applyBorder="1" applyFill="1" applyFont="1">
      <alignment horizontal="center" vertical="center"/>
    </xf>
    <xf borderId="7" fillId="7" fontId="3" numFmtId="0" xfId="0" applyAlignment="1" applyBorder="1" applyFill="1" applyFont="1">
      <alignment horizontal="center" shrinkToFit="0" vertical="center" wrapText="1"/>
    </xf>
    <xf borderId="0" fillId="7" fontId="3" numFmtId="0" xfId="0" applyAlignment="1" applyFill="1" applyFont="1">
      <alignment horizontal="center" shrinkToFit="0" vertical="center" wrapText="1"/>
    </xf>
    <xf borderId="8" fillId="7" fontId="3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7" fillId="0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2" numFmtId="165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8" fontId="8" numFmtId="49" xfId="0" applyAlignment="1" applyFill="1" applyFont="1" applyNumberFormat="1">
      <alignment horizontal="center" vertical="center"/>
    </xf>
    <xf borderId="3" fillId="8" fontId="8" numFmtId="49" xfId="0" applyAlignment="1" applyBorder="1" applyFill="1" applyFont="1" applyNumberFormat="1">
      <alignment horizontal="center" vertical="center"/>
    </xf>
    <xf borderId="9" fillId="8" fontId="9" numFmtId="14" xfId="0" applyAlignment="1" applyBorder="1" applyFill="1" applyFont="1" applyNumberFormat="1">
      <alignment horizontal="center" readingOrder="0" vertical="center"/>
    </xf>
    <xf borderId="9" fillId="8" fontId="2" numFmtId="0" xfId="0" applyAlignment="1" applyBorder="1" applyFill="1" applyFont="1">
      <alignment horizontal="center" vertical="center"/>
    </xf>
    <xf borderId="9" fillId="8" fontId="2" numFmtId="0" xfId="0" applyAlignment="1" applyBorder="1" applyFill="1" applyFont="1">
      <alignment horizontal="center" vertical="center"/>
    </xf>
    <xf borderId="9" fillId="8" fontId="2" numFmtId="14" xfId="0" applyAlignment="1" applyBorder="1" applyFill="1" applyFont="1" applyNumberFormat="1">
      <alignment horizontal="center" vertical="center"/>
    </xf>
    <xf borderId="9" fillId="8" fontId="2" numFmtId="166" xfId="0" applyAlignment="1" applyBorder="1" applyFill="1" applyFont="1" applyNumberFormat="1">
      <alignment horizontal="center" vertical="center"/>
    </xf>
    <xf borderId="9" fillId="8" fontId="2" numFmtId="49" xfId="0" applyAlignment="1" applyBorder="1" applyFill="1" applyFont="1" applyNumberFormat="1">
      <alignment horizontal="center" vertical="center"/>
    </xf>
    <xf borderId="9" fillId="8" fontId="2" numFmtId="1" xfId="0" applyAlignment="1" applyBorder="1" applyFill="1" applyFont="1" applyNumberFormat="1">
      <alignment horizontal="center" vertical="center"/>
    </xf>
    <xf borderId="9" fillId="9" fontId="2" numFmtId="0" xfId="0" applyAlignment="1" applyBorder="1" applyFill="1" applyFont="1">
      <alignment horizontal="center" vertical="center"/>
    </xf>
    <xf borderId="9" fillId="9" fontId="2" numFmtId="166" xfId="0" applyAlignment="1" applyBorder="1" applyFill="1" applyFont="1" applyNumberFormat="1">
      <alignment horizontal="center" vertical="center"/>
    </xf>
    <xf borderId="0" fillId="9" fontId="2" numFmtId="166" xfId="0" applyAlignment="1" applyFill="1" applyFont="1" applyNumberFormat="1">
      <alignment horizontal="center" vertical="center"/>
    </xf>
    <xf borderId="7" fillId="9" fontId="8" numFmtId="0" xfId="0" applyAlignment="1" applyBorder="1" applyFill="1" applyFont="1">
      <alignment horizontal="center" vertical="center"/>
    </xf>
    <xf borderId="7" fillId="9" fontId="8" numFmtId="167" xfId="0" applyAlignment="1" applyBorder="1" applyFill="1" applyFont="1" applyNumberFormat="1">
      <alignment horizontal="center" vertical="center"/>
    </xf>
    <xf borderId="7" fillId="9" fontId="2" numFmtId="166" xfId="0" applyAlignment="1" applyBorder="1" applyFill="1" applyFont="1" applyNumberFormat="1">
      <alignment horizontal="center" vertical="center"/>
    </xf>
    <xf borderId="9" fillId="8" fontId="3" numFmtId="0" xfId="0" applyAlignment="1" applyBorder="1" applyFill="1" applyFont="1">
      <alignment horizontal="center" readingOrder="0" vertical="center"/>
    </xf>
    <xf borderId="0" fillId="9" fontId="2" numFmtId="0" xfId="0" applyAlignment="1" applyFill="1" applyFont="1">
      <alignment horizontal="center" vertical="center"/>
    </xf>
    <xf borderId="0" fillId="9" fontId="8" numFmtId="0" xfId="0" applyAlignment="1" applyFill="1" applyFont="1">
      <alignment horizontal="center" vertical="center"/>
    </xf>
    <xf borderId="0" fillId="9" fontId="8" numFmtId="167" xfId="0" applyAlignment="1" applyFill="1" applyFont="1" applyNumberFormat="1">
      <alignment horizontal="center" vertical="center"/>
    </xf>
    <xf borderId="10" fillId="10" fontId="3" numFmtId="49" xfId="0" applyAlignment="1" applyBorder="1" applyFill="1" applyFont="1" applyNumberFormat="1">
      <alignment horizontal="center" readingOrder="0" vertical="center"/>
    </xf>
    <xf borderId="10" fillId="0" fontId="4" numFmtId="0" xfId="0" applyBorder="1" applyFont="1"/>
    <xf borderId="9" fillId="0" fontId="4" numFmtId="0" xfId="0" applyBorder="1" applyFont="1"/>
    <xf borderId="10" fillId="10" fontId="3" numFmtId="0" xfId="0" applyAlignment="1" applyBorder="1" applyFill="1" applyFont="1">
      <alignment horizontal="center" readingOrder="0" vertical="center"/>
    </xf>
    <xf borderId="7" fillId="8" fontId="8" numFmtId="49" xfId="0" applyAlignment="1" applyBorder="1" applyFill="1" applyFont="1" applyNumberFormat="1">
      <alignment horizontal="center" readingOrder="0" shrinkToFit="0" vertical="center" wrapText="1"/>
    </xf>
    <xf borderId="7" fillId="8" fontId="8" numFmtId="0" xfId="0" applyAlignment="1" applyBorder="1" applyFill="1" applyFont="1">
      <alignment horizontal="center" readingOrder="0" shrinkToFit="0" vertical="center" wrapText="1"/>
    </xf>
    <xf borderId="7" fillId="8" fontId="8" numFmtId="166" xfId="0" applyAlignment="1" applyBorder="1" applyFill="1" applyFont="1" applyNumberFormat="1">
      <alignment horizontal="center" readingOrder="0" shrinkToFit="0" vertical="center" wrapText="1"/>
    </xf>
    <xf borderId="7" fillId="9" fontId="7" numFmtId="0" xfId="0" applyAlignment="1" applyBorder="1" applyFill="1" applyFont="1">
      <alignment horizontal="center" vertical="center"/>
    </xf>
    <xf borderId="0" fillId="0" fontId="7" numFmtId="49" xfId="0" applyAlignment="1" applyFont="1" applyNumberFormat="1">
      <alignment horizontal="center" readingOrder="0" vertical="center"/>
    </xf>
    <xf borderId="0" fillId="0" fontId="7" numFmtId="49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9" fontId="7" numFmtId="0" xfId="0" applyAlignment="1" applyFill="1" applyFont="1">
      <alignment horizontal="center" vertical="center"/>
    </xf>
    <xf borderId="0" fillId="0" fontId="7" numFmtId="0" xfId="0" applyAlignment="1" applyFont="1">
      <alignment horizontal="center" vertical="center"/>
    </xf>
    <xf quotePrefix="1" borderId="0" fillId="0" fontId="7" numFmtId="49" xfId="0" applyAlignment="1" applyFont="1" applyNumberFormat="1">
      <alignment horizontal="center" readingOrder="0" vertical="center"/>
    </xf>
    <xf borderId="0" fillId="0" fontId="10" numFmtId="49" xfId="0" applyAlignment="1" applyFont="1" applyNumberFormat="1">
      <alignment horizontal="center" readingOrder="0" vertical="center"/>
    </xf>
    <xf borderId="0" fillId="11" fontId="7" numFmtId="0" xfId="0" applyAlignment="1" applyFill="1" applyFont="1">
      <alignment horizontal="center" readingOrder="0" vertical="center"/>
    </xf>
    <xf borderId="0" fillId="0" fontId="7" numFmtId="49" xfId="0" applyAlignment="1" applyFont="1" applyNumberFormat="1">
      <alignment horizontal="left" vertical="center"/>
    </xf>
    <xf borderId="0" fillId="8" fontId="11" numFmtId="49" xfId="0" applyAlignment="1" applyFill="1" applyFont="1" applyNumberForma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0" fillId="0" fontId="7" numFmtId="168" xfId="0" applyAlignment="1" applyFont="1" applyNumberFormat="1">
      <alignment horizontal="center" readingOrder="0" vertical="center"/>
    </xf>
    <xf borderId="0" fillId="0" fontId="7" numFmtId="49" xfId="0" applyAlignment="1" applyFont="1" applyNumberFormat="1">
      <alignment horizontal="left" readingOrder="0" vertical="center"/>
    </xf>
    <xf borderId="0" fillId="0" fontId="7" numFmtId="169" xfId="0" applyAlignment="1" applyFont="1" applyNumberFormat="1">
      <alignment horizontal="center" readingOrder="0" vertical="center"/>
    </xf>
    <xf quotePrefix="1" borderId="0" fillId="0" fontId="7" numFmtId="0" xfId="0" applyAlignment="1" applyFont="1">
      <alignment horizontal="center" readingOrder="0" vertical="center"/>
    </xf>
    <xf borderId="3" fillId="8" fontId="3" numFmtId="49" xfId="0" applyAlignment="1" applyBorder="1" applyFill="1" applyFont="1" applyNumberFormat="1">
      <alignment horizontal="left" shrinkToFit="0" vertical="top" wrapText="1"/>
    </xf>
    <xf borderId="7" fillId="8" fontId="2" numFmtId="14" xfId="0" applyAlignment="1" applyBorder="1" applyFill="1" applyFont="1" applyNumberFormat="1">
      <alignment horizontal="center" vertical="top"/>
    </xf>
    <xf borderId="7" fillId="8" fontId="12" numFmtId="0" xfId="0" applyBorder="1" applyFill="1" applyFont="1"/>
    <xf borderId="0" fillId="0" fontId="12" numFmtId="0" xfId="0" applyAlignment="1" applyFont="1">
      <alignment horizontal="center" vertical="top"/>
    </xf>
    <xf borderId="0" fillId="0" fontId="12" numFmtId="0" xfId="0" applyAlignment="1" applyFont="1">
      <alignment vertical="top"/>
    </xf>
    <xf borderId="0" fillId="0" fontId="12" numFmtId="0" xfId="0" applyAlignment="1" applyFont="1">
      <alignment horizontal="center" readingOrder="0" vertical="top"/>
    </xf>
    <xf borderId="0" fillId="0" fontId="12" numFmtId="168" xfId="0" applyAlignment="1" applyFont="1" applyNumberFormat="1">
      <alignment horizontal="center" readingOrder="0" vertical="top"/>
    </xf>
    <xf borderId="3" fillId="10" fontId="3" numFmtId="49" xfId="0" applyAlignment="1" applyBorder="1" applyFill="1" applyFont="1" applyNumberFormat="1">
      <alignment horizontal="left" shrinkToFit="0" vertical="top" wrapText="1"/>
    </xf>
    <xf borderId="7" fillId="8" fontId="12" numFmtId="0" xfId="0" applyAlignment="1" applyBorder="1" applyFill="1" applyFont="1">
      <alignment vertical="bottom"/>
    </xf>
    <xf borderId="7" fillId="8" fontId="3" numFmtId="49" xfId="0" applyAlignment="1" applyBorder="1" applyFill="1" applyFont="1" applyNumberFormat="1">
      <alignment horizontal="left" shrinkToFit="0" vertical="top" wrapText="1"/>
    </xf>
    <xf borderId="7" fillId="8" fontId="3" numFmtId="0" xfId="0" applyAlignment="1" applyBorder="1" applyFill="1" applyFont="1">
      <alignment horizontal="center" shrinkToFit="0" vertical="top" wrapText="1"/>
    </xf>
    <xf borderId="7" fillId="8" fontId="3" numFmtId="0" xfId="0" applyAlignment="1" applyBorder="1" applyFill="1" applyFont="1">
      <alignment shrinkToFit="0" vertical="top" wrapText="1"/>
    </xf>
    <xf borderId="11" fillId="8" fontId="3" numFmtId="0" xfId="0" applyAlignment="1" applyBorder="1" applyFill="1" applyFont="1">
      <alignment horizontal="center" shrinkToFit="0" vertical="top" wrapText="1"/>
    </xf>
    <xf borderId="7" fillId="0" fontId="2" numFmtId="49" xfId="0" applyAlignment="1" applyBorder="1" applyFont="1" applyNumberFormat="1">
      <alignment horizontal="left" vertical="top"/>
    </xf>
    <xf borderId="7" fillId="0" fontId="2" numFmtId="0" xfId="0" applyAlignment="1" applyBorder="1" applyFont="1">
      <alignment horizontal="center" shrinkToFit="0" vertical="top" wrapText="1"/>
    </xf>
    <xf borderId="7" fillId="0" fontId="2" numFmtId="1" xfId="0" applyAlignment="1" applyBorder="1" applyFont="1" applyNumberFormat="1">
      <alignment horizontal="center" vertical="top"/>
    </xf>
    <xf borderId="7" fillId="0" fontId="2" numFmtId="14" xfId="0" applyAlignment="1" applyBorder="1" applyFont="1" applyNumberFormat="1">
      <alignment horizontal="center" vertical="top"/>
    </xf>
    <xf borderId="7" fillId="12" fontId="2" numFmtId="1" xfId="0" applyAlignment="1" applyBorder="1" applyFill="1" applyFont="1" applyNumberFormat="1">
      <alignment horizontal="center" vertical="top"/>
    </xf>
    <xf borderId="7" fillId="0" fontId="2" numFmtId="0" xfId="0" applyAlignment="1" applyBorder="1" applyFont="1">
      <alignment horizontal="center" vertical="top"/>
    </xf>
    <xf borderId="7" fillId="13" fontId="2" numFmtId="0" xfId="0" applyAlignment="1" applyBorder="1" applyFill="1" applyFont="1">
      <alignment horizontal="center" vertical="top"/>
    </xf>
    <xf borderId="7" fillId="0" fontId="12" numFmtId="0" xfId="0" applyAlignment="1" applyBorder="1" applyFont="1">
      <alignment horizontal="center" vertical="top"/>
    </xf>
    <xf borderId="7" fillId="0" fontId="12" numFmtId="0" xfId="0" applyAlignment="1" applyBorder="1" applyFont="1">
      <alignment vertical="top"/>
    </xf>
    <xf borderId="7" fillId="0" fontId="2" numFmtId="170" xfId="0" applyAlignment="1" applyBorder="1" applyFont="1" applyNumberFormat="1">
      <alignment horizontal="center" vertical="top"/>
    </xf>
    <xf borderId="7" fillId="0" fontId="2" numFmtId="171" xfId="0" applyAlignment="1" applyBorder="1" applyFont="1" applyNumberFormat="1">
      <alignment horizontal="center" vertical="top"/>
    </xf>
    <xf borderId="7" fillId="0" fontId="12" numFmtId="0" xfId="0" applyAlignment="1" applyBorder="1" applyFont="1">
      <alignment vertical="bottom"/>
    </xf>
    <xf borderId="7" fillId="0" fontId="2" numFmtId="168" xfId="0" applyAlignment="1" applyBorder="1" applyFont="1" applyNumberFormat="1">
      <alignment horizontal="center" vertical="top"/>
    </xf>
    <xf borderId="7" fillId="0" fontId="13" numFmtId="0" xfId="0" applyAlignment="1" applyBorder="1" applyFont="1">
      <alignment horizontal="center" vertical="top"/>
    </xf>
    <xf borderId="7" fillId="0" fontId="2" numFmtId="172" xfId="0" applyAlignment="1" applyBorder="1" applyFont="1" applyNumberFormat="1">
      <alignment horizontal="center" vertical="top"/>
    </xf>
    <xf borderId="7" fillId="0" fontId="12" numFmtId="168" xfId="0" applyAlignment="1" applyBorder="1" applyFont="1" applyNumberFormat="1">
      <alignment horizontal="center" readingOrder="0" vertical="top"/>
    </xf>
    <xf borderId="7" fillId="0" fontId="12" numFmtId="0" xfId="0" applyAlignment="1" applyBorder="1" applyFont="1">
      <alignment horizontal="center" readingOrder="0" vertical="top"/>
    </xf>
    <xf borderId="7" fillId="0" fontId="2" numFmtId="168" xfId="0" applyAlignment="1" applyBorder="1" applyFont="1" applyNumberFormat="1">
      <alignment horizontal="center" readingOrder="0" vertical="top"/>
    </xf>
    <xf borderId="7" fillId="13" fontId="2" numFmtId="49" xfId="0" applyAlignment="1" applyBorder="1" applyFill="1" applyFont="1" applyNumberFormat="1">
      <alignment horizontal="center" vertical="top"/>
    </xf>
    <xf borderId="7" fillId="0" fontId="2" numFmtId="173" xfId="0" applyAlignment="1" applyBorder="1" applyFont="1" applyNumberFormat="1">
      <alignment horizontal="center" vertical="top"/>
    </xf>
    <xf borderId="7" fillId="0" fontId="2" numFmtId="174" xfId="0" applyAlignment="1" applyBorder="1" applyFont="1" applyNumberFormat="1">
      <alignment horizontal="center" vertical="top"/>
    </xf>
    <xf borderId="7" fillId="0" fontId="2" numFmtId="169" xfId="0" applyAlignment="1" applyBorder="1" applyFont="1" applyNumberFormat="1">
      <alignment horizontal="center" vertical="top"/>
    </xf>
    <xf borderId="7" fillId="13" fontId="2" numFmtId="0" xfId="0" applyAlignment="1" applyBorder="1" applyFill="1" applyFont="1">
      <alignment horizontal="center" readingOrder="0" vertical="top"/>
    </xf>
    <xf borderId="7" fillId="0" fontId="12" numFmtId="0" xfId="0" applyAlignment="1" applyBorder="1" applyFont="1">
      <alignment readingOrder="0" vertical="top"/>
    </xf>
    <xf borderId="7" fillId="0" fontId="13" numFmtId="168" xfId="0" applyAlignment="1" applyBorder="1" applyFont="1" applyNumberFormat="1">
      <alignment horizontal="center" vertical="top"/>
    </xf>
    <xf borderId="7" fillId="0" fontId="2" numFmtId="175" xfId="0" applyAlignment="1" applyBorder="1" applyFont="1" applyNumberFormat="1">
      <alignment horizontal="center" vertical="top"/>
    </xf>
    <xf borderId="7" fillId="0" fontId="13" numFmtId="168" xfId="0" applyAlignment="1" applyBorder="1" applyFont="1" applyNumberFormat="1">
      <alignment horizontal="center" readingOrder="0" vertical="top"/>
    </xf>
    <xf borderId="7" fillId="14" fontId="2" numFmtId="1" xfId="0" applyAlignment="1" applyBorder="1" applyFill="1" applyFont="1" applyNumberFormat="1">
      <alignment horizontal="center" vertical="top"/>
    </xf>
    <xf borderId="7" fillId="13" fontId="2" numFmtId="1" xfId="0" applyAlignment="1" applyBorder="1" applyFill="1" applyFont="1" applyNumberFormat="1">
      <alignment horizontal="center" vertical="top"/>
    </xf>
    <xf borderId="7" fillId="9" fontId="6" numFmtId="0" xfId="0" applyAlignment="1" applyBorder="1" applyFill="1" applyFont="1">
      <alignment horizontal="center"/>
    </xf>
    <xf borderId="7" fillId="15" fontId="6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 readingOrder="0" vertical="top"/>
    </xf>
    <xf borderId="7" fillId="0" fontId="2" numFmtId="176" xfId="0" applyAlignment="1" applyBorder="1" applyFont="1" applyNumberFormat="1">
      <alignment horizontal="center" vertical="top"/>
    </xf>
    <xf borderId="0" fillId="0" fontId="7" numFmtId="49" xfId="0" applyAlignment="1" applyFont="1" applyNumberFormat="1">
      <alignment horizontal="left"/>
    </xf>
    <xf borderId="0" fillId="0" fontId="7" numFmtId="0" xfId="0" applyAlignment="1" applyFont="1">
      <alignment horizontal="center"/>
    </xf>
    <xf borderId="11" fillId="0" fontId="14" numFmtId="0" xfId="0" applyAlignment="1" applyBorder="1" applyFont="1">
      <alignment horizontal="center" shrinkToFit="0" wrapText="1"/>
    </xf>
    <xf borderId="11" fillId="0" fontId="15" numFmtId="0" xfId="0" applyAlignment="1" applyBorder="1" applyFont="1">
      <alignment horizontal="center"/>
    </xf>
    <xf borderId="8" fillId="15" fontId="15" numFmtId="0" xfId="0" applyAlignment="1" applyBorder="1" applyFill="1" applyFont="1">
      <alignment horizontal="center"/>
    </xf>
    <xf borderId="7" fillId="0" fontId="16" numFmtId="0" xfId="0" applyBorder="1" applyFont="1"/>
    <xf borderId="7" fillId="0" fontId="15" numFmtId="0" xfId="0" applyAlignment="1" applyBorder="1" applyFont="1">
      <alignment horizontal="center" shrinkToFit="0" wrapText="1"/>
    </xf>
    <xf borderId="7" fillId="15" fontId="16" numFmtId="0" xfId="0" applyAlignment="1" applyBorder="1" applyFill="1" applyFont="1">
      <alignment horizontal="center" shrinkToFit="0" wrapText="1"/>
    </xf>
    <xf borderId="7" fillId="15" fontId="16" numFmtId="0" xfId="0" applyBorder="1" applyFill="1" applyFont="1"/>
    <xf borderId="5" fillId="0" fontId="16" numFmtId="0" xfId="0" applyBorder="1" applyFont="1"/>
    <xf borderId="7" fillId="9" fontId="16" numFmtId="0" xfId="0" applyAlignment="1" applyBorder="1" applyFill="1" applyFont="1">
      <alignment horizontal="center" shrinkToFit="0" wrapText="1"/>
    </xf>
    <xf borderId="7" fillId="9" fontId="16" numFmtId="0" xfId="0" applyBorder="1" applyFill="1" applyFont="1"/>
    <xf borderId="7" fillId="15" fontId="16" numFmtId="14" xfId="0" applyAlignment="1" applyBorder="1" applyFill="1" applyFont="1" applyNumberFormat="1">
      <alignment horizontal="center" shrinkToFit="0" wrapText="1"/>
    </xf>
    <xf borderId="7" fillId="15" fontId="17" numFmtId="14" xfId="0" applyAlignment="1" applyBorder="1" applyFill="1" applyFont="1" applyNumberFormat="1">
      <alignment horizontal="center" shrinkToFit="0" wrapText="1"/>
    </xf>
    <xf borderId="7" fillId="15" fontId="16" numFmtId="0" xfId="0" applyAlignment="1" applyBorder="1" applyFill="1" applyFont="1">
      <alignment horizontal="center"/>
    </xf>
    <xf borderId="7" fillId="15" fontId="17" numFmtId="0" xfId="0" applyAlignment="1" applyBorder="1" applyFill="1" applyFont="1">
      <alignment horizontal="center" shrinkToFit="0" wrapText="1"/>
    </xf>
    <xf borderId="7" fillId="9" fontId="16" numFmtId="0" xfId="0" applyAlignment="1" applyBorder="1" applyFill="1" applyFont="1">
      <alignment horizontal="center"/>
    </xf>
    <xf borderId="7" fillId="15" fontId="15" numFmtId="14" xfId="0" applyAlignment="1" applyBorder="1" applyFill="1" applyFont="1" applyNumberFormat="1">
      <alignment horizontal="center" shrinkToFit="0" wrapText="1"/>
    </xf>
    <xf borderId="7" fillId="15" fontId="15" numFmtId="0" xfId="0" applyAlignment="1" applyBorder="1" applyFill="1" applyFont="1">
      <alignment horizontal="center" shrinkToFit="0" wrapText="1"/>
    </xf>
    <xf borderId="7" fillId="0" fontId="18" numFmtId="0" xfId="0" applyAlignment="1" applyBorder="1" applyFont="1">
      <alignment horizontal="center" shrinkToFit="0" wrapText="1"/>
    </xf>
    <xf borderId="7" fillId="15" fontId="19" numFmtId="0" xfId="0" applyAlignment="1" applyBorder="1" applyFill="1" applyFont="1">
      <alignment horizontal="center" shrinkToFit="0" wrapText="1"/>
    </xf>
    <xf borderId="7" fillId="15" fontId="16" numFmtId="17" xfId="0" applyAlignment="1" applyBorder="1" applyFill="1" applyFont="1" applyNumberFormat="1">
      <alignment horizontal="center" shrinkToFit="0" wrapText="1"/>
    </xf>
    <xf borderId="7" fillId="9" fontId="18" numFmtId="0" xfId="0" applyAlignment="1" applyBorder="1" applyFill="1" applyFont="1">
      <alignment horizontal="center" shrinkToFit="0" wrapText="1"/>
    </xf>
    <xf borderId="7" fillId="15" fontId="18" numFmtId="0" xfId="0" applyAlignment="1" applyBorder="1" applyFill="1" applyFont="1">
      <alignment horizontal="center" shrinkToFit="0" wrapText="1"/>
    </xf>
    <xf borderId="11" fillId="0" fontId="15" numFmtId="0" xfId="0" applyAlignment="1" applyBorder="1" applyFont="1">
      <alignment horizontal="center" shrinkToFit="0" wrapText="1"/>
    </xf>
    <xf borderId="8" fillId="15" fontId="16" numFmtId="0" xfId="0" applyAlignment="1" applyBorder="1" applyFill="1" applyFont="1">
      <alignment horizontal="center" shrinkToFit="0" wrapText="1"/>
    </xf>
    <xf borderId="8" fillId="15" fontId="16" numFmtId="0" xfId="0" applyBorder="1" applyFill="1" applyFont="1"/>
    <xf borderId="11" fillId="0" fontId="16" numFmtId="0" xfId="0" applyBorder="1" applyFont="1"/>
    <xf borderId="12" fillId="0" fontId="16" numFmtId="0" xfId="0" applyBorder="1" applyFont="1"/>
    <xf borderId="0" fillId="0" fontId="7" numFmtId="49" xfId="0" applyFont="1" applyNumberFormat="1"/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4" width="37.38"/>
    <col hidden="1" min="8" max="40" width="12.63"/>
    <col customWidth="1" min="41" max="41" width="31.0"/>
    <col hidden="1" min="42" max="55" width="12.63"/>
  </cols>
  <sheetData>
    <row r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6"/>
      <c r="Z1" s="7" t="s">
        <v>2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6"/>
      <c r="AO1" s="8" t="s">
        <v>3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</row>
    <row r="2">
      <c r="A2" s="9" t="s">
        <v>4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10" t="s">
        <v>11</v>
      </c>
      <c r="I2" s="11"/>
      <c r="J2" s="6"/>
      <c r="K2" s="12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s="12" t="s">
        <v>17</v>
      </c>
      <c r="Q2" s="12" t="s">
        <v>18</v>
      </c>
      <c r="R2" s="12" t="s">
        <v>19</v>
      </c>
      <c r="S2" s="12" t="s">
        <v>20</v>
      </c>
      <c r="T2" s="12" t="s">
        <v>21</v>
      </c>
      <c r="U2" s="12" t="s">
        <v>22</v>
      </c>
      <c r="V2" s="12" t="s">
        <v>23</v>
      </c>
      <c r="W2" s="12" t="s">
        <v>24</v>
      </c>
      <c r="X2" s="12" t="s">
        <v>25</v>
      </c>
      <c r="Y2" s="6"/>
      <c r="Z2" s="9" t="s">
        <v>12</v>
      </c>
      <c r="AA2" s="9" t="s">
        <v>13</v>
      </c>
      <c r="AB2" s="9" t="s">
        <v>14</v>
      </c>
      <c r="AC2" s="9" t="s">
        <v>15</v>
      </c>
      <c r="AD2" s="9" t="s">
        <v>16</v>
      </c>
      <c r="AE2" s="9" t="s">
        <v>17</v>
      </c>
      <c r="AF2" s="9" t="s">
        <v>18</v>
      </c>
      <c r="AG2" s="9" t="s">
        <v>19</v>
      </c>
      <c r="AH2" s="9" t="s">
        <v>20</v>
      </c>
      <c r="AI2" s="9" t="s">
        <v>21</v>
      </c>
      <c r="AJ2" s="9" t="s">
        <v>22</v>
      </c>
      <c r="AK2" s="9" t="s">
        <v>23</v>
      </c>
      <c r="AL2" s="9" t="s">
        <v>24</v>
      </c>
      <c r="AM2" s="9" t="s">
        <v>25</v>
      </c>
      <c r="AN2" s="6"/>
      <c r="AO2" s="10" t="s">
        <v>26</v>
      </c>
      <c r="AP2" s="9" t="s">
        <v>12</v>
      </c>
      <c r="AQ2" s="9" t="s">
        <v>13</v>
      </c>
      <c r="AR2" s="9" t="s">
        <v>14</v>
      </c>
      <c r="AS2" s="9" t="s">
        <v>15</v>
      </c>
      <c r="AT2" s="9" t="s">
        <v>16</v>
      </c>
      <c r="AU2" s="9" t="s">
        <v>17</v>
      </c>
      <c r="AV2" s="9" t="s">
        <v>18</v>
      </c>
      <c r="AW2" s="9" t="s">
        <v>19</v>
      </c>
      <c r="AX2" s="9" t="s">
        <v>20</v>
      </c>
      <c r="AY2" s="9" t="s">
        <v>21</v>
      </c>
      <c r="AZ2" s="9" t="s">
        <v>22</v>
      </c>
      <c r="BA2" s="9" t="s">
        <v>23</v>
      </c>
      <c r="BB2" s="9" t="s">
        <v>24</v>
      </c>
      <c r="BC2" s="9" t="s">
        <v>25</v>
      </c>
    </row>
    <row r="3">
      <c r="A3" s="13" t="s">
        <v>27</v>
      </c>
      <c r="B3" s="13"/>
      <c r="C3" s="13">
        <v>18560.0</v>
      </c>
      <c r="D3" s="13" t="s">
        <v>28</v>
      </c>
      <c r="E3" s="13">
        <v>1.0</v>
      </c>
      <c r="F3" s="14">
        <v>1065.31</v>
      </c>
      <c r="G3" s="13" t="s">
        <v>29</v>
      </c>
      <c r="H3" s="13">
        <v>1.0</v>
      </c>
      <c r="I3" s="15"/>
      <c r="J3" s="6"/>
      <c r="K3" s="13">
        <v>1.0</v>
      </c>
      <c r="L3" s="16">
        <v>0.0</v>
      </c>
      <c r="M3" s="16">
        <v>0.0</v>
      </c>
      <c r="N3" s="16">
        <v>0.0</v>
      </c>
      <c r="O3" s="16">
        <v>0.0</v>
      </c>
      <c r="P3" s="16">
        <v>0.0</v>
      </c>
      <c r="Q3" s="16">
        <v>0.0</v>
      </c>
      <c r="R3" s="16">
        <v>0.0</v>
      </c>
      <c r="S3" s="16">
        <v>0.0</v>
      </c>
      <c r="T3" s="16">
        <v>0.0</v>
      </c>
      <c r="U3" s="16">
        <v>0.0</v>
      </c>
      <c r="V3" s="16">
        <v>0.0</v>
      </c>
      <c r="W3" s="16">
        <v>0.0</v>
      </c>
      <c r="X3" s="16">
        <v>0.0</v>
      </c>
      <c r="Y3" s="6"/>
      <c r="Z3" s="13"/>
      <c r="AA3" s="13"/>
      <c r="AB3" s="13"/>
      <c r="AC3" s="13"/>
      <c r="AD3" s="13">
        <v>1.0</v>
      </c>
      <c r="AE3" s="13"/>
      <c r="AF3" s="13"/>
      <c r="AG3" s="13" t="s">
        <v>30</v>
      </c>
      <c r="AH3" s="13" t="s">
        <v>30</v>
      </c>
      <c r="AI3" s="13" t="s">
        <v>30</v>
      </c>
      <c r="AJ3" s="13" t="s">
        <v>30</v>
      </c>
      <c r="AK3" s="13" t="s">
        <v>30</v>
      </c>
      <c r="AL3" s="13" t="s">
        <v>30</v>
      </c>
      <c r="AM3" s="13" t="s">
        <v>30</v>
      </c>
      <c r="AN3" s="6"/>
      <c r="AO3" s="13">
        <v>10.0</v>
      </c>
      <c r="AP3" s="13">
        <v>1.0</v>
      </c>
      <c r="AQ3" s="13">
        <v>2.0</v>
      </c>
      <c r="AR3" s="13">
        <v>1.0</v>
      </c>
      <c r="AS3" s="13">
        <v>1.0</v>
      </c>
      <c r="AT3" s="13">
        <v>2.0</v>
      </c>
      <c r="AU3" s="13">
        <v>1.0</v>
      </c>
      <c r="AV3" s="13">
        <v>2.0</v>
      </c>
      <c r="AW3" s="13" t="s">
        <v>30</v>
      </c>
      <c r="AX3" s="13" t="s">
        <v>30</v>
      </c>
      <c r="AY3" s="13" t="s">
        <v>30</v>
      </c>
      <c r="AZ3" s="13" t="s">
        <v>30</v>
      </c>
      <c r="BA3" s="13" t="s">
        <v>30</v>
      </c>
      <c r="BB3" s="13" t="s">
        <v>30</v>
      </c>
      <c r="BC3" s="13" t="s">
        <v>30</v>
      </c>
    </row>
    <row r="4">
      <c r="A4" s="13" t="s">
        <v>31</v>
      </c>
      <c r="B4" s="13"/>
      <c r="C4" s="13"/>
      <c r="D4" s="13" t="s">
        <v>32</v>
      </c>
      <c r="E4" s="13">
        <v>1.0</v>
      </c>
      <c r="F4" s="14">
        <v>1035.2</v>
      </c>
      <c r="G4" s="13" t="s">
        <v>29</v>
      </c>
      <c r="H4" s="13">
        <v>8.0</v>
      </c>
      <c r="I4" s="15"/>
      <c r="J4" s="6"/>
      <c r="K4" s="13">
        <v>6.0</v>
      </c>
      <c r="L4" s="16">
        <v>0.0</v>
      </c>
      <c r="M4" s="16">
        <v>0.0</v>
      </c>
      <c r="N4" s="16">
        <v>0.0</v>
      </c>
      <c r="O4" s="16">
        <v>1.0</v>
      </c>
      <c r="P4" s="16">
        <v>0.0</v>
      </c>
      <c r="Q4" s="16">
        <v>0.0</v>
      </c>
      <c r="R4" s="16">
        <v>0.0</v>
      </c>
      <c r="S4" s="16">
        <v>0.0</v>
      </c>
      <c r="T4" s="16">
        <v>0.0</v>
      </c>
      <c r="U4" s="16">
        <v>1.0</v>
      </c>
      <c r="V4" s="16">
        <v>0.0</v>
      </c>
      <c r="W4" s="16">
        <v>0.0</v>
      </c>
      <c r="X4" s="16">
        <v>0.0</v>
      </c>
      <c r="Y4" s="6"/>
      <c r="Z4" s="13">
        <v>1.0</v>
      </c>
      <c r="AA4" s="13">
        <v>1.0</v>
      </c>
      <c r="AB4" s="13">
        <v>1.0</v>
      </c>
      <c r="AC4" s="13">
        <v>1.0</v>
      </c>
      <c r="AD4" s="13">
        <v>2.0</v>
      </c>
      <c r="AE4" s="13">
        <v>1.0</v>
      </c>
      <c r="AF4" s="13">
        <v>1.0</v>
      </c>
      <c r="AG4" s="13" t="s">
        <v>30</v>
      </c>
      <c r="AH4" s="13" t="s">
        <v>30</v>
      </c>
      <c r="AI4" s="13" t="s">
        <v>30</v>
      </c>
      <c r="AJ4" s="13" t="s">
        <v>30</v>
      </c>
      <c r="AK4" s="13" t="s">
        <v>30</v>
      </c>
      <c r="AL4" s="13" t="s">
        <v>30</v>
      </c>
      <c r="AM4" s="13" t="s">
        <v>30</v>
      </c>
      <c r="AN4" s="6"/>
      <c r="AO4" s="13">
        <v>8.0</v>
      </c>
      <c r="AP4" s="13">
        <v>1.0</v>
      </c>
      <c r="AQ4" s="13">
        <v>1.0</v>
      </c>
      <c r="AR4" s="13">
        <v>1.0</v>
      </c>
      <c r="AS4" s="13">
        <v>1.0</v>
      </c>
      <c r="AT4" s="13">
        <v>2.0</v>
      </c>
      <c r="AU4" s="13">
        <v>1.0</v>
      </c>
      <c r="AV4" s="13">
        <v>1.0</v>
      </c>
      <c r="AW4" s="13" t="s">
        <v>30</v>
      </c>
      <c r="AX4" s="13" t="s">
        <v>30</v>
      </c>
      <c r="AY4" s="13" t="s">
        <v>30</v>
      </c>
      <c r="AZ4" s="13" t="s">
        <v>30</v>
      </c>
      <c r="BA4" s="13" t="s">
        <v>30</v>
      </c>
      <c r="BB4" s="13" t="s">
        <v>30</v>
      </c>
      <c r="BC4" s="13" t="s">
        <v>30</v>
      </c>
    </row>
    <row r="5">
      <c r="A5" s="13" t="s">
        <v>33</v>
      </c>
      <c r="B5" s="13"/>
      <c r="C5" s="13"/>
      <c r="D5" s="13" t="s">
        <v>34</v>
      </c>
      <c r="E5" s="13">
        <v>1.0</v>
      </c>
      <c r="F5" s="14">
        <v>858.78</v>
      </c>
      <c r="G5" s="13" t="s">
        <v>29</v>
      </c>
      <c r="H5" s="13">
        <v>2.0</v>
      </c>
      <c r="I5" s="15"/>
      <c r="J5" s="6"/>
      <c r="K5" s="13">
        <v>1.0</v>
      </c>
      <c r="L5" s="17">
        <v>1.0</v>
      </c>
      <c r="M5" s="17">
        <v>0.0</v>
      </c>
      <c r="N5" s="17">
        <v>0.0</v>
      </c>
      <c r="O5" s="17">
        <v>0.0</v>
      </c>
      <c r="P5" s="17">
        <v>0.0</v>
      </c>
      <c r="Q5" s="17">
        <v>0.0</v>
      </c>
      <c r="R5" s="17">
        <v>0.0</v>
      </c>
      <c r="S5" s="17">
        <v>0.0</v>
      </c>
      <c r="T5" s="17">
        <v>0.0</v>
      </c>
      <c r="U5" s="17">
        <v>0.0</v>
      </c>
      <c r="V5" s="17">
        <v>0.0</v>
      </c>
      <c r="W5" s="17">
        <v>0.0</v>
      </c>
      <c r="X5" s="17">
        <v>0.0</v>
      </c>
      <c r="Y5" s="6"/>
      <c r="Z5" s="13"/>
      <c r="AA5" s="13"/>
      <c r="AB5" s="13"/>
      <c r="AC5" s="13"/>
      <c r="AD5" s="13">
        <v>1.0</v>
      </c>
      <c r="AE5" s="13"/>
      <c r="AF5" s="13">
        <v>1.0</v>
      </c>
      <c r="AG5" s="13" t="s">
        <v>30</v>
      </c>
      <c r="AH5" s="13" t="s">
        <v>30</v>
      </c>
      <c r="AI5" s="13" t="s">
        <v>30</v>
      </c>
      <c r="AJ5" s="13" t="s">
        <v>30</v>
      </c>
      <c r="AK5" s="13" t="s">
        <v>30</v>
      </c>
      <c r="AL5" s="13" t="s">
        <v>30</v>
      </c>
      <c r="AM5" s="13" t="s">
        <v>30</v>
      </c>
      <c r="AN5" s="6"/>
      <c r="AO5" s="13">
        <v>2.0</v>
      </c>
      <c r="AP5" s="13"/>
      <c r="AQ5" s="13"/>
      <c r="AR5" s="13"/>
      <c r="AS5" s="13"/>
      <c r="AT5" s="13">
        <v>1.0</v>
      </c>
      <c r="AU5" s="13"/>
      <c r="AV5" s="13">
        <v>1.0</v>
      </c>
      <c r="AW5" s="13" t="s">
        <v>30</v>
      </c>
      <c r="AX5" s="13" t="s">
        <v>30</v>
      </c>
      <c r="AY5" s="13" t="s">
        <v>30</v>
      </c>
      <c r="AZ5" s="13" t="s">
        <v>30</v>
      </c>
      <c r="BA5" s="13" t="s">
        <v>30</v>
      </c>
      <c r="BB5" s="13" t="s">
        <v>30</v>
      </c>
      <c r="BC5" s="13" t="s">
        <v>30</v>
      </c>
    </row>
    <row r="6">
      <c r="A6" s="13" t="s">
        <v>35</v>
      </c>
      <c r="B6" s="13"/>
      <c r="C6" s="13"/>
      <c r="D6" s="13" t="s">
        <v>36</v>
      </c>
      <c r="E6" s="13">
        <v>2.0</v>
      </c>
      <c r="F6" s="14">
        <v>12095.62</v>
      </c>
      <c r="G6" s="13" t="s">
        <v>29</v>
      </c>
      <c r="H6" s="13">
        <v>0.0</v>
      </c>
      <c r="I6" s="15"/>
      <c r="J6" s="6"/>
      <c r="K6" s="13">
        <v>0.0</v>
      </c>
      <c r="L6" s="17">
        <v>0.0</v>
      </c>
      <c r="M6" s="17">
        <v>0.0</v>
      </c>
      <c r="N6" s="17">
        <v>0.0</v>
      </c>
      <c r="O6" s="17">
        <v>0.0</v>
      </c>
      <c r="P6" s="17">
        <v>0.0</v>
      </c>
      <c r="Q6" s="17">
        <v>0.0</v>
      </c>
      <c r="R6" s="17">
        <v>0.0</v>
      </c>
      <c r="S6" s="17">
        <v>0.0</v>
      </c>
      <c r="T6" s="17">
        <v>0.0</v>
      </c>
      <c r="U6" s="17">
        <v>0.0</v>
      </c>
      <c r="V6" s="17">
        <v>0.0</v>
      </c>
      <c r="W6" s="17">
        <v>0.0</v>
      </c>
      <c r="X6" s="17">
        <v>0.0</v>
      </c>
      <c r="Y6" s="6"/>
      <c r="Z6" s="13"/>
      <c r="AA6" s="13"/>
      <c r="AB6" s="13"/>
      <c r="AC6" s="13"/>
      <c r="AD6" s="13"/>
      <c r="AE6" s="13"/>
      <c r="AF6" s="13"/>
      <c r="AG6" s="13" t="s">
        <v>30</v>
      </c>
      <c r="AH6" s="13" t="s">
        <v>30</v>
      </c>
      <c r="AI6" s="13" t="s">
        <v>30</v>
      </c>
      <c r="AJ6" s="13" t="s">
        <v>30</v>
      </c>
      <c r="AK6" s="13" t="s">
        <v>30</v>
      </c>
      <c r="AL6" s="13" t="s">
        <v>30</v>
      </c>
      <c r="AM6" s="13" t="s">
        <v>30</v>
      </c>
      <c r="AN6" s="6"/>
      <c r="AO6" s="13">
        <v>0.0</v>
      </c>
      <c r="AP6" s="13"/>
      <c r="AQ6" s="13"/>
      <c r="AR6" s="13"/>
      <c r="AS6" s="13"/>
      <c r="AT6" s="13"/>
      <c r="AU6" s="13"/>
      <c r="AV6" s="13"/>
      <c r="AW6" s="13" t="s">
        <v>30</v>
      </c>
      <c r="AX6" s="13" t="s">
        <v>30</v>
      </c>
      <c r="AY6" s="13" t="s">
        <v>30</v>
      </c>
      <c r="AZ6" s="13" t="s">
        <v>30</v>
      </c>
      <c r="BA6" s="13" t="s">
        <v>30</v>
      </c>
      <c r="BB6" s="13" t="s">
        <v>30</v>
      </c>
      <c r="BC6" s="13" t="s">
        <v>30</v>
      </c>
    </row>
    <row r="7">
      <c r="A7" s="13" t="s">
        <v>37</v>
      </c>
      <c r="B7" s="13"/>
      <c r="C7" s="13"/>
      <c r="D7" s="13" t="s">
        <v>38</v>
      </c>
      <c r="E7" s="13">
        <v>1.0</v>
      </c>
      <c r="F7" s="14">
        <v>6539.14</v>
      </c>
      <c r="G7" s="13" t="s">
        <v>29</v>
      </c>
      <c r="H7" s="13">
        <v>4.0</v>
      </c>
      <c r="I7" s="15"/>
      <c r="J7" s="6"/>
      <c r="K7" s="13">
        <v>4.0</v>
      </c>
      <c r="L7" s="17">
        <v>0.0</v>
      </c>
      <c r="M7" s="17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0.0</v>
      </c>
      <c r="W7" s="17">
        <v>0.0</v>
      </c>
      <c r="X7" s="17">
        <v>0.0</v>
      </c>
      <c r="Y7" s="6"/>
      <c r="Z7" s="13"/>
      <c r="AA7" s="13">
        <v>1.0</v>
      </c>
      <c r="AB7" s="13"/>
      <c r="AC7" s="13"/>
      <c r="AD7" s="13">
        <v>1.0</v>
      </c>
      <c r="AE7" s="13">
        <v>1.0</v>
      </c>
      <c r="AF7" s="13">
        <v>1.0</v>
      </c>
      <c r="AG7" s="13" t="s">
        <v>30</v>
      </c>
      <c r="AH7" s="13" t="s">
        <v>30</v>
      </c>
      <c r="AI7" s="13" t="s">
        <v>30</v>
      </c>
      <c r="AJ7" s="13" t="s">
        <v>30</v>
      </c>
      <c r="AK7" s="13" t="s">
        <v>30</v>
      </c>
      <c r="AL7" s="13" t="s">
        <v>30</v>
      </c>
      <c r="AM7" s="13" t="s">
        <v>30</v>
      </c>
      <c r="AN7" s="6"/>
      <c r="AO7" s="13">
        <v>4.0</v>
      </c>
      <c r="AP7" s="13"/>
      <c r="AQ7" s="13">
        <v>1.0</v>
      </c>
      <c r="AR7" s="13"/>
      <c r="AS7" s="13"/>
      <c r="AT7" s="13">
        <v>1.0</v>
      </c>
      <c r="AU7" s="13">
        <v>1.0</v>
      </c>
      <c r="AV7" s="13">
        <v>1.0</v>
      </c>
      <c r="AW7" s="13" t="s">
        <v>30</v>
      </c>
      <c r="AX7" s="13" t="s">
        <v>30</v>
      </c>
      <c r="AY7" s="13" t="s">
        <v>30</v>
      </c>
      <c r="AZ7" s="13" t="s">
        <v>30</v>
      </c>
      <c r="BA7" s="13" t="s">
        <v>30</v>
      </c>
      <c r="BB7" s="13" t="s">
        <v>30</v>
      </c>
      <c r="BC7" s="13" t="s">
        <v>30</v>
      </c>
    </row>
    <row r="8">
      <c r="A8" s="13" t="s">
        <v>39</v>
      </c>
      <c r="B8" s="13"/>
      <c r="C8" s="13"/>
      <c r="D8" s="13" t="s">
        <v>40</v>
      </c>
      <c r="E8" s="13">
        <v>1.0</v>
      </c>
      <c r="F8" s="14">
        <v>1864.06</v>
      </c>
      <c r="G8" s="13" t="s">
        <v>29</v>
      </c>
      <c r="H8" s="13">
        <v>13.0</v>
      </c>
      <c r="I8" s="15"/>
      <c r="J8" s="6"/>
      <c r="K8" s="13">
        <v>9.0</v>
      </c>
      <c r="L8" s="17">
        <v>0.0</v>
      </c>
      <c r="M8" s="17">
        <v>0.0</v>
      </c>
      <c r="N8" s="17">
        <v>0.0</v>
      </c>
      <c r="O8" s="17">
        <v>0.0</v>
      </c>
      <c r="P8" s="17">
        <v>1.0</v>
      </c>
      <c r="Q8" s="17">
        <v>0.0</v>
      </c>
      <c r="R8" s="17">
        <v>0.0</v>
      </c>
      <c r="S8" s="17">
        <v>0.0</v>
      </c>
      <c r="T8" s="17">
        <v>2.0</v>
      </c>
      <c r="U8" s="17">
        <v>0.0</v>
      </c>
      <c r="V8" s="17">
        <v>1.0</v>
      </c>
      <c r="W8" s="17">
        <v>0.0</v>
      </c>
      <c r="X8" s="17">
        <v>0.0</v>
      </c>
      <c r="Y8" s="6"/>
      <c r="Z8" s="13">
        <v>1.0</v>
      </c>
      <c r="AA8" s="13">
        <v>2.0</v>
      </c>
      <c r="AB8" s="13">
        <v>2.0</v>
      </c>
      <c r="AC8" s="13">
        <v>2.0</v>
      </c>
      <c r="AD8" s="13">
        <v>2.0</v>
      </c>
      <c r="AE8" s="13">
        <v>2.0</v>
      </c>
      <c r="AF8" s="13">
        <v>2.0</v>
      </c>
      <c r="AG8" s="13" t="s">
        <v>30</v>
      </c>
      <c r="AH8" s="13" t="s">
        <v>30</v>
      </c>
      <c r="AI8" s="13" t="s">
        <v>30</v>
      </c>
      <c r="AJ8" s="13" t="s">
        <v>30</v>
      </c>
      <c r="AK8" s="13" t="s">
        <v>30</v>
      </c>
      <c r="AL8" s="13" t="s">
        <v>30</v>
      </c>
      <c r="AM8" s="13" t="s">
        <v>30</v>
      </c>
      <c r="AN8" s="6"/>
      <c r="AO8" s="13">
        <v>13.0</v>
      </c>
      <c r="AP8" s="13">
        <v>1.0</v>
      </c>
      <c r="AQ8" s="13">
        <v>2.0</v>
      </c>
      <c r="AR8" s="13">
        <v>2.0</v>
      </c>
      <c r="AS8" s="13">
        <v>2.0</v>
      </c>
      <c r="AT8" s="13">
        <v>2.0</v>
      </c>
      <c r="AU8" s="13">
        <v>2.0</v>
      </c>
      <c r="AV8" s="13">
        <v>2.0</v>
      </c>
      <c r="AW8" s="13" t="s">
        <v>30</v>
      </c>
      <c r="AX8" s="13" t="s">
        <v>30</v>
      </c>
      <c r="AY8" s="13" t="s">
        <v>30</v>
      </c>
      <c r="AZ8" s="13" t="s">
        <v>30</v>
      </c>
      <c r="BA8" s="13" t="s">
        <v>30</v>
      </c>
      <c r="BB8" s="13" t="s">
        <v>30</v>
      </c>
      <c r="BC8" s="13" t="s">
        <v>30</v>
      </c>
    </row>
    <row r="9">
      <c r="A9" s="13" t="s">
        <v>41</v>
      </c>
      <c r="B9" s="13"/>
      <c r="C9" s="13"/>
      <c r="D9" s="13" t="s">
        <v>42</v>
      </c>
      <c r="E9" s="13">
        <v>1.0</v>
      </c>
      <c r="F9" s="14">
        <v>2084.42</v>
      </c>
      <c r="G9" s="13" t="s">
        <v>29</v>
      </c>
      <c r="H9" s="13">
        <v>7.0</v>
      </c>
      <c r="I9" s="15"/>
      <c r="J9" s="6"/>
      <c r="K9" s="13">
        <v>6.0</v>
      </c>
      <c r="L9" s="17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1.0</v>
      </c>
      <c r="X9" s="17">
        <v>0.0</v>
      </c>
      <c r="Y9" s="6"/>
      <c r="Z9" s="13">
        <v>1.0</v>
      </c>
      <c r="AA9" s="13">
        <v>1.0</v>
      </c>
      <c r="AB9" s="13">
        <v>1.0</v>
      </c>
      <c r="AC9" s="13">
        <v>1.0</v>
      </c>
      <c r="AD9" s="13">
        <v>1.0</v>
      </c>
      <c r="AE9" s="13">
        <v>1.0</v>
      </c>
      <c r="AF9" s="13">
        <v>1.0</v>
      </c>
      <c r="AG9" s="13" t="s">
        <v>30</v>
      </c>
      <c r="AH9" s="13" t="s">
        <v>30</v>
      </c>
      <c r="AI9" s="13" t="s">
        <v>30</v>
      </c>
      <c r="AJ9" s="13" t="s">
        <v>30</v>
      </c>
      <c r="AK9" s="13" t="s">
        <v>30</v>
      </c>
      <c r="AL9" s="13" t="s">
        <v>30</v>
      </c>
      <c r="AM9" s="13" t="s">
        <v>30</v>
      </c>
      <c r="AN9" s="6"/>
      <c r="AO9" s="13">
        <v>7.0</v>
      </c>
      <c r="AP9" s="13">
        <v>1.0</v>
      </c>
      <c r="AQ9" s="13">
        <v>1.0</v>
      </c>
      <c r="AR9" s="13">
        <v>1.0</v>
      </c>
      <c r="AS9" s="13">
        <v>1.0</v>
      </c>
      <c r="AT9" s="13">
        <v>1.0</v>
      </c>
      <c r="AU9" s="13">
        <v>1.0</v>
      </c>
      <c r="AV9" s="13">
        <v>1.0</v>
      </c>
      <c r="AW9" s="13" t="s">
        <v>30</v>
      </c>
      <c r="AX9" s="13" t="s">
        <v>30</v>
      </c>
      <c r="AY9" s="13" t="s">
        <v>30</v>
      </c>
      <c r="AZ9" s="13" t="s">
        <v>30</v>
      </c>
      <c r="BA9" s="13" t="s">
        <v>30</v>
      </c>
      <c r="BB9" s="13" t="s">
        <v>30</v>
      </c>
      <c r="BC9" s="13" t="s">
        <v>30</v>
      </c>
    </row>
    <row r="10">
      <c r="A10" s="13" t="s">
        <v>43</v>
      </c>
      <c r="B10" s="13"/>
      <c r="C10" s="13"/>
      <c r="D10" s="13" t="s">
        <v>44</v>
      </c>
      <c r="E10" s="13">
        <v>1.0</v>
      </c>
      <c r="F10" s="14">
        <v>3133.82</v>
      </c>
      <c r="G10" s="13" t="s">
        <v>29</v>
      </c>
      <c r="H10" s="13">
        <v>8.0</v>
      </c>
      <c r="I10" s="15"/>
      <c r="J10" s="6"/>
      <c r="K10" s="13">
        <v>8.0</v>
      </c>
      <c r="L10" s="17">
        <v>0.0</v>
      </c>
      <c r="M10" s="17">
        <v>0.0</v>
      </c>
      <c r="N10" s="17">
        <v>0.0</v>
      </c>
      <c r="O10" s="17">
        <v>0.0</v>
      </c>
      <c r="P10" s="17">
        <v>0.0</v>
      </c>
      <c r="Q10" s="17">
        <v>0.0</v>
      </c>
      <c r="R10" s="17">
        <v>0.0</v>
      </c>
      <c r="S10" s="17">
        <v>0.0</v>
      </c>
      <c r="T10" s="17">
        <v>0.0</v>
      </c>
      <c r="U10" s="17">
        <v>0.0</v>
      </c>
      <c r="V10" s="17">
        <v>0.0</v>
      </c>
      <c r="W10" s="17">
        <v>0.0</v>
      </c>
      <c r="X10" s="17">
        <v>0.0</v>
      </c>
      <c r="Y10" s="6"/>
      <c r="Z10" s="13">
        <v>1.0</v>
      </c>
      <c r="AA10" s="13">
        <v>1.0</v>
      </c>
      <c r="AB10" s="13">
        <v>1.0</v>
      </c>
      <c r="AC10" s="13">
        <v>1.0</v>
      </c>
      <c r="AD10" s="13">
        <v>2.0</v>
      </c>
      <c r="AE10" s="13">
        <v>1.0</v>
      </c>
      <c r="AF10" s="13">
        <v>1.0</v>
      </c>
      <c r="AG10" s="13" t="s">
        <v>30</v>
      </c>
      <c r="AH10" s="13" t="s">
        <v>30</v>
      </c>
      <c r="AI10" s="13" t="s">
        <v>30</v>
      </c>
      <c r="AJ10" s="13" t="s">
        <v>30</v>
      </c>
      <c r="AK10" s="13" t="s">
        <v>30</v>
      </c>
      <c r="AL10" s="13" t="s">
        <v>30</v>
      </c>
      <c r="AM10" s="13" t="s">
        <v>30</v>
      </c>
      <c r="AN10" s="6"/>
      <c r="AO10" s="13">
        <v>8.0</v>
      </c>
      <c r="AP10" s="13">
        <v>1.0</v>
      </c>
      <c r="AQ10" s="13">
        <v>1.0</v>
      </c>
      <c r="AR10" s="13">
        <v>1.0</v>
      </c>
      <c r="AS10" s="13">
        <v>1.0</v>
      </c>
      <c r="AT10" s="13">
        <v>2.0</v>
      </c>
      <c r="AU10" s="13">
        <v>1.0</v>
      </c>
      <c r="AV10" s="13">
        <v>1.0</v>
      </c>
      <c r="AW10" s="13" t="s">
        <v>30</v>
      </c>
      <c r="AX10" s="13" t="s">
        <v>30</v>
      </c>
      <c r="AY10" s="13" t="s">
        <v>30</v>
      </c>
      <c r="AZ10" s="13" t="s">
        <v>30</v>
      </c>
      <c r="BA10" s="13" t="s">
        <v>30</v>
      </c>
      <c r="BB10" s="13" t="s">
        <v>30</v>
      </c>
      <c r="BC10" s="13" t="s">
        <v>30</v>
      </c>
    </row>
    <row r="11">
      <c r="A11" s="13" t="s">
        <v>45</v>
      </c>
      <c r="B11" s="13"/>
      <c r="C11" s="13"/>
      <c r="D11" s="13" t="s">
        <v>46</v>
      </c>
      <c r="E11" s="13">
        <v>1.0</v>
      </c>
      <c r="F11" s="14">
        <v>270.71</v>
      </c>
      <c r="G11" s="13" t="s">
        <v>29</v>
      </c>
      <c r="H11" s="13">
        <v>16.0</v>
      </c>
      <c r="I11" s="15"/>
      <c r="J11" s="6"/>
      <c r="K11" s="13">
        <v>16.0</v>
      </c>
      <c r="L11" s="17">
        <v>0.0</v>
      </c>
      <c r="M11" s="17">
        <v>0.0</v>
      </c>
      <c r="N11" s="17">
        <v>0.0</v>
      </c>
      <c r="O11" s="17">
        <v>0.0</v>
      </c>
      <c r="P11" s="17">
        <v>0.0</v>
      </c>
      <c r="Q11" s="17">
        <v>0.0</v>
      </c>
      <c r="R11" s="17">
        <v>0.0</v>
      </c>
      <c r="S11" s="17">
        <v>0.0</v>
      </c>
      <c r="T11" s="17">
        <v>0.0</v>
      </c>
      <c r="U11" s="17">
        <v>0.0</v>
      </c>
      <c r="V11" s="17">
        <v>0.0</v>
      </c>
      <c r="W11" s="17">
        <v>0.0</v>
      </c>
      <c r="X11" s="17">
        <v>0.0</v>
      </c>
      <c r="Y11" s="6"/>
      <c r="Z11" s="13">
        <v>2.0</v>
      </c>
      <c r="AA11" s="13">
        <v>2.0</v>
      </c>
      <c r="AB11" s="13">
        <v>2.0</v>
      </c>
      <c r="AC11" s="13">
        <v>2.0</v>
      </c>
      <c r="AD11" s="13">
        <v>3.0</v>
      </c>
      <c r="AE11" s="13">
        <v>2.0</v>
      </c>
      <c r="AF11" s="13">
        <v>3.0</v>
      </c>
      <c r="AG11" s="13" t="s">
        <v>30</v>
      </c>
      <c r="AH11" s="13" t="s">
        <v>30</v>
      </c>
      <c r="AI11" s="13" t="s">
        <v>30</v>
      </c>
      <c r="AJ11" s="13" t="s">
        <v>30</v>
      </c>
      <c r="AK11" s="13" t="s">
        <v>30</v>
      </c>
      <c r="AL11" s="13" t="s">
        <v>30</v>
      </c>
      <c r="AM11" s="13" t="s">
        <v>30</v>
      </c>
      <c r="AN11" s="6"/>
      <c r="AO11" s="13">
        <v>16.0</v>
      </c>
      <c r="AP11" s="13">
        <v>2.0</v>
      </c>
      <c r="AQ11" s="13">
        <v>2.0</v>
      </c>
      <c r="AR11" s="13">
        <v>2.0</v>
      </c>
      <c r="AS11" s="13">
        <v>2.0</v>
      </c>
      <c r="AT11" s="13">
        <v>3.0</v>
      </c>
      <c r="AU11" s="13">
        <v>2.0</v>
      </c>
      <c r="AV11" s="13">
        <v>3.0</v>
      </c>
      <c r="AW11" s="13" t="s">
        <v>30</v>
      </c>
      <c r="AX11" s="13" t="s">
        <v>30</v>
      </c>
      <c r="AY11" s="13" t="s">
        <v>30</v>
      </c>
      <c r="AZ11" s="13" t="s">
        <v>30</v>
      </c>
      <c r="BA11" s="13" t="s">
        <v>30</v>
      </c>
      <c r="BB11" s="13" t="s">
        <v>30</v>
      </c>
      <c r="BC11" s="13" t="s">
        <v>30</v>
      </c>
    </row>
    <row r="12">
      <c r="A12" s="13" t="s">
        <v>47</v>
      </c>
      <c r="B12" s="13"/>
      <c r="C12" s="13" t="s">
        <v>48</v>
      </c>
      <c r="D12" s="13" t="s">
        <v>49</v>
      </c>
      <c r="E12" s="13">
        <v>1.0</v>
      </c>
      <c r="F12" s="14">
        <v>1000.69</v>
      </c>
      <c r="G12" s="13" t="s">
        <v>29</v>
      </c>
      <c r="H12" s="13">
        <v>6.0</v>
      </c>
      <c r="I12" s="15"/>
      <c r="J12" s="6"/>
      <c r="K12" s="13">
        <v>3.0</v>
      </c>
      <c r="L12" s="17">
        <v>0.0</v>
      </c>
      <c r="M12" s="17">
        <v>0.0</v>
      </c>
      <c r="N12" s="17">
        <v>0.0</v>
      </c>
      <c r="O12" s="17">
        <v>0.0</v>
      </c>
      <c r="P12" s="17">
        <v>1.0</v>
      </c>
      <c r="Q12" s="17">
        <v>0.0</v>
      </c>
      <c r="R12" s="17">
        <v>0.0</v>
      </c>
      <c r="S12" s="17">
        <v>2.0</v>
      </c>
      <c r="T12" s="17">
        <v>0.0</v>
      </c>
      <c r="U12" s="17">
        <v>0.0</v>
      </c>
      <c r="V12" s="17">
        <v>0.0</v>
      </c>
      <c r="W12" s="17">
        <v>0.0</v>
      </c>
      <c r="X12" s="17">
        <v>0.0</v>
      </c>
      <c r="Y12" s="6"/>
      <c r="Z12" s="13"/>
      <c r="AA12" s="13">
        <v>1.0</v>
      </c>
      <c r="AB12" s="13">
        <v>1.0</v>
      </c>
      <c r="AC12" s="13">
        <v>1.0</v>
      </c>
      <c r="AD12" s="13">
        <v>1.0</v>
      </c>
      <c r="AE12" s="13">
        <v>1.0</v>
      </c>
      <c r="AF12" s="13">
        <v>1.0</v>
      </c>
      <c r="AG12" s="13" t="s">
        <v>30</v>
      </c>
      <c r="AH12" s="13" t="s">
        <v>30</v>
      </c>
      <c r="AI12" s="13" t="s">
        <v>30</v>
      </c>
      <c r="AJ12" s="13" t="s">
        <v>30</v>
      </c>
      <c r="AK12" s="13" t="s">
        <v>30</v>
      </c>
      <c r="AL12" s="13" t="s">
        <v>30</v>
      </c>
      <c r="AM12" s="13" t="s">
        <v>30</v>
      </c>
      <c r="AN12" s="6"/>
      <c r="AO12" s="13">
        <v>7.0</v>
      </c>
      <c r="AP12" s="13">
        <v>1.0</v>
      </c>
      <c r="AQ12" s="13">
        <v>1.0</v>
      </c>
      <c r="AR12" s="13">
        <v>1.0</v>
      </c>
      <c r="AS12" s="13">
        <v>1.0</v>
      </c>
      <c r="AT12" s="13">
        <v>1.0</v>
      </c>
      <c r="AU12" s="13">
        <v>1.0</v>
      </c>
      <c r="AV12" s="13">
        <v>1.0</v>
      </c>
      <c r="AW12" s="13" t="s">
        <v>30</v>
      </c>
      <c r="AX12" s="13" t="s">
        <v>30</v>
      </c>
      <c r="AY12" s="13" t="s">
        <v>30</v>
      </c>
      <c r="AZ12" s="13" t="s">
        <v>30</v>
      </c>
      <c r="BA12" s="13" t="s">
        <v>30</v>
      </c>
      <c r="BB12" s="13" t="s">
        <v>30</v>
      </c>
      <c r="BC12" s="13" t="s">
        <v>30</v>
      </c>
    </row>
    <row r="13">
      <c r="A13" s="13" t="s">
        <v>50</v>
      </c>
      <c r="B13" s="13"/>
      <c r="C13" s="13"/>
      <c r="D13" s="13" t="s">
        <v>51</v>
      </c>
      <c r="E13" s="13">
        <v>1.0</v>
      </c>
      <c r="F13" s="14">
        <v>825.08</v>
      </c>
      <c r="G13" s="13" t="s">
        <v>29</v>
      </c>
      <c r="H13" s="13">
        <v>20.0</v>
      </c>
      <c r="I13" s="15"/>
      <c r="J13" s="6"/>
      <c r="K13" s="13">
        <v>18.0</v>
      </c>
      <c r="L13" s="17">
        <v>0.0</v>
      </c>
      <c r="M13" s="17">
        <v>0.0</v>
      </c>
      <c r="N13" s="17">
        <v>0.0</v>
      </c>
      <c r="O13" s="17">
        <v>0.0</v>
      </c>
      <c r="P13" s="17">
        <v>0.0</v>
      </c>
      <c r="Q13" s="17">
        <v>0.0</v>
      </c>
      <c r="R13" s="17">
        <v>0.0</v>
      </c>
      <c r="S13" s="17">
        <v>2.0</v>
      </c>
      <c r="T13" s="17">
        <v>0.0</v>
      </c>
      <c r="U13" s="17">
        <v>0.0</v>
      </c>
      <c r="V13" s="17">
        <v>0.0</v>
      </c>
      <c r="W13" s="17">
        <v>0.0</v>
      </c>
      <c r="X13" s="17">
        <v>0.0</v>
      </c>
      <c r="Y13" s="6"/>
      <c r="Z13" s="13">
        <v>2.0</v>
      </c>
      <c r="AA13" s="13">
        <v>3.0</v>
      </c>
      <c r="AB13" s="13">
        <v>3.0</v>
      </c>
      <c r="AC13" s="13">
        <v>2.0</v>
      </c>
      <c r="AD13" s="13">
        <v>4.0</v>
      </c>
      <c r="AE13" s="13">
        <v>3.0</v>
      </c>
      <c r="AF13" s="13">
        <v>3.0</v>
      </c>
      <c r="AG13" s="13" t="s">
        <v>30</v>
      </c>
      <c r="AH13" s="13" t="s">
        <v>30</v>
      </c>
      <c r="AI13" s="13" t="s">
        <v>30</v>
      </c>
      <c r="AJ13" s="13" t="s">
        <v>30</v>
      </c>
      <c r="AK13" s="13" t="s">
        <v>30</v>
      </c>
      <c r="AL13" s="13" t="s">
        <v>30</v>
      </c>
      <c r="AM13" s="13" t="s">
        <v>30</v>
      </c>
      <c r="AN13" s="6"/>
      <c r="AO13" s="13">
        <v>20.0</v>
      </c>
      <c r="AP13" s="13">
        <v>2.0</v>
      </c>
      <c r="AQ13" s="13">
        <v>3.0</v>
      </c>
      <c r="AR13" s="13">
        <v>3.0</v>
      </c>
      <c r="AS13" s="13">
        <v>2.0</v>
      </c>
      <c r="AT13" s="13">
        <v>4.0</v>
      </c>
      <c r="AU13" s="13">
        <v>3.0</v>
      </c>
      <c r="AV13" s="13">
        <v>3.0</v>
      </c>
      <c r="AW13" s="13" t="s">
        <v>30</v>
      </c>
      <c r="AX13" s="13" t="s">
        <v>30</v>
      </c>
      <c r="AY13" s="13" t="s">
        <v>30</v>
      </c>
      <c r="AZ13" s="13" t="s">
        <v>30</v>
      </c>
      <c r="BA13" s="13" t="s">
        <v>30</v>
      </c>
      <c r="BB13" s="13" t="s">
        <v>30</v>
      </c>
      <c r="BC13" s="13" t="s">
        <v>30</v>
      </c>
    </row>
    <row r="14">
      <c r="A14" s="13" t="s">
        <v>52</v>
      </c>
      <c r="B14" s="13"/>
      <c r="C14" s="13"/>
      <c r="D14" s="13" t="s">
        <v>53</v>
      </c>
      <c r="E14" s="13">
        <v>1.0</v>
      </c>
      <c r="F14" s="14">
        <v>2495.05</v>
      </c>
      <c r="G14" s="13" t="s">
        <v>29</v>
      </c>
      <c r="H14" s="13">
        <v>8.0</v>
      </c>
      <c r="I14" s="15"/>
      <c r="J14" s="6"/>
      <c r="K14" s="13">
        <v>6.0</v>
      </c>
      <c r="L14" s="17">
        <v>0.0</v>
      </c>
      <c r="M14" s="17">
        <v>0.0</v>
      </c>
      <c r="N14" s="17">
        <v>0.0</v>
      </c>
      <c r="O14" s="17">
        <v>0.0</v>
      </c>
      <c r="P14" s="17">
        <v>0.0</v>
      </c>
      <c r="Q14" s="17">
        <v>0.0</v>
      </c>
      <c r="R14" s="17">
        <v>1.0</v>
      </c>
      <c r="S14" s="17">
        <v>0.0</v>
      </c>
      <c r="T14" s="17">
        <v>1.0</v>
      </c>
      <c r="U14" s="17">
        <v>0.0</v>
      </c>
      <c r="V14" s="17">
        <v>0.0</v>
      </c>
      <c r="W14" s="17">
        <v>0.0</v>
      </c>
      <c r="X14" s="17">
        <v>0.0</v>
      </c>
      <c r="Y14" s="6"/>
      <c r="Z14" s="13">
        <v>1.0</v>
      </c>
      <c r="AA14" s="13">
        <v>1.0</v>
      </c>
      <c r="AB14" s="13">
        <v>1.0</v>
      </c>
      <c r="AC14" s="13">
        <v>1.0</v>
      </c>
      <c r="AD14" s="13">
        <v>2.0</v>
      </c>
      <c r="AE14" s="13">
        <v>1.0</v>
      </c>
      <c r="AF14" s="13">
        <v>1.0</v>
      </c>
      <c r="AG14" s="13" t="s">
        <v>30</v>
      </c>
      <c r="AH14" s="13" t="s">
        <v>30</v>
      </c>
      <c r="AI14" s="13" t="s">
        <v>30</v>
      </c>
      <c r="AJ14" s="13" t="s">
        <v>30</v>
      </c>
      <c r="AK14" s="13" t="s">
        <v>30</v>
      </c>
      <c r="AL14" s="13" t="s">
        <v>30</v>
      </c>
      <c r="AM14" s="13" t="s">
        <v>30</v>
      </c>
      <c r="AN14" s="6"/>
      <c r="AO14" s="13">
        <v>8.0</v>
      </c>
      <c r="AP14" s="13">
        <v>1.0</v>
      </c>
      <c r="AQ14" s="13">
        <v>1.0</v>
      </c>
      <c r="AR14" s="13">
        <v>1.0</v>
      </c>
      <c r="AS14" s="13">
        <v>1.0</v>
      </c>
      <c r="AT14" s="13">
        <v>2.0</v>
      </c>
      <c r="AU14" s="13">
        <v>1.0</v>
      </c>
      <c r="AV14" s="13">
        <v>1.0</v>
      </c>
      <c r="AW14" s="13" t="s">
        <v>30</v>
      </c>
      <c r="AX14" s="13" t="s">
        <v>30</v>
      </c>
      <c r="AY14" s="13" t="s">
        <v>30</v>
      </c>
      <c r="AZ14" s="13" t="s">
        <v>30</v>
      </c>
      <c r="BA14" s="13" t="s">
        <v>30</v>
      </c>
      <c r="BB14" s="13" t="s">
        <v>30</v>
      </c>
      <c r="BC14" s="13" t="s">
        <v>30</v>
      </c>
    </row>
    <row r="15">
      <c r="A15" s="13" t="s">
        <v>54</v>
      </c>
      <c r="B15" s="13" t="s">
        <v>55</v>
      </c>
      <c r="C15" s="13" t="s">
        <v>48</v>
      </c>
      <c r="D15" s="13" t="s">
        <v>56</v>
      </c>
      <c r="E15" s="13">
        <v>1.0</v>
      </c>
      <c r="F15" s="14">
        <v>39536.05</v>
      </c>
      <c r="G15" s="13" t="s">
        <v>29</v>
      </c>
      <c r="H15" s="13">
        <v>0.0</v>
      </c>
      <c r="I15" s="15"/>
      <c r="J15" s="6"/>
      <c r="K15" s="13">
        <v>0.0</v>
      </c>
      <c r="L15" s="17">
        <v>0.0</v>
      </c>
      <c r="M15" s="17">
        <v>0.0</v>
      </c>
      <c r="N15" s="17">
        <v>0.0</v>
      </c>
      <c r="O15" s="17">
        <v>0.0</v>
      </c>
      <c r="P15" s="17">
        <v>0.0</v>
      </c>
      <c r="Q15" s="17">
        <v>0.0</v>
      </c>
      <c r="R15" s="17">
        <v>0.0</v>
      </c>
      <c r="S15" s="17">
        <v>0.0</v>
      </c>
      <c r="T15" s="17">
        <v>0.0</v>
      </c>
      <c r="U15" s="17">
        <v>0.0</v>
      </c>
      <c r="V15" s="17">
        <v>0.0</v>
      </c>
      <c r="W15" s="17">
        <v>0.0</v>
      </c>
      <c r="X15" s="17">
        <v>0.0</v>
      </c>
      <c r="Y15" s="6"/>
      <c r="Z15" s="13"/>
      <c r="AA15" s="13"/>
      <c r="AB15" s="13"/>
      <c r="AC15" s="13"/>
      <c r="AD15" s="13"/>
      <c r="AE15" s="13"/>
      <c r="AF15" s="13"/>
      <c r="AG15" s="13" t="s">
        <v>30</v>
      </c>
      <c r="AH15" s="13" t="s">
        <v>30</v>
      </c>
      <c r="AI15" s="13" t="s">
        <v>30</v>
      </c>
      <c r="AJ15" s="13" t="s">
        <v>30</v>
      </c>
      <c r="AK15" s="13" t="s">
        <v>30</v>
      </c>
      <c r="AL15" s="13" t="s">
        <v>30</v>
      </c>
      <c r="AM15" s="13" t="s">
        <v>30</v>
      </c>
      <c r="AN15" s="6"/>
      <c r="AO15" s="13">
        <v>1.0</v>
      </c>
      <c r="AP15" s="13"/>
      <c r="AQ15" s="13"/>
      <c r="AR15" s="13"/>
      <c r="AS15" s="13"/>
      <c r="AT15" s="13">
        <v>1.0</v>
      </c>
      <c r="AU15" s="13"/>
      <c r="AV15" s="13"/>
      <c r="AW15" s="13" t="s">
        <v>30</v>
      </c>
      <c r="AX15" s="13" t="s">
        <v>30</v>
      </c>
      <c r="AY15" s="13" t="s">
        <v>30</v>
      </c>
      <c r="AZ15" s="13" t="s">
        <v>30</v>
      </c>
      <c r="BA15" s="13" t="s">
        <v>30</v>
      </c>
      <c r="BB15" s="13" t="s">
        <v>30</v>
      </c>
      <c r="BC15" s="13" t="s">
        <v>30</v>
      </c>
    </row>
    <row r="16">
      <c r="A16" s="13" t="s">
        <v>57</v>
      </c>
      <c r="B16" s="13"/>
      <c r="C16" s="13"/>
      <c r="D16" s="13" t="s">
        <v>58</v>
      </c>
      <c r="E16" s="13">
        <v>1.0</v>
      </c>
      <c r="F16" s="14">
        <v>958.28</v>
      </c>
      <c r="G16" s="13" t="s">
        <v>29</v>
      </c>
      <c r="H16" s="13">
        <v>9.0</v>
      </c>
      <c r="I16" s="15"/>
      <c r="J16" s="6"/>
      <c r="K16" s="13">
        <v>3.0</v>
      </c>
      <c r="L16" s="17">
        <v>0.0</v>
      </c>
      <c r="M16" s="17">
        <v>1.0</v>
      </c>
      <c r="N16" s="17">
        <v>1.0</v>
      </c>
      <c r="O16" s="17">
        <v>0.0</v>
      </c>
      <c r="P16" s="17">
        <v>2.0</v>
      </c>
      <c r="Q16" s="17">
        <v>0.0</v>
      </c>
      <c r="R16" s="17">
        <v>1.0</v>
      </c>
      <c r="S16" s="17">
        <v>0.0</v>
      </c>
      <c r="T16" s="17">
        <v>0.0</v>
      </c>
      <c r="U16" s="17">
        <v>1.0</v>
      </c>
      <c r="V16" s="17">
        <v>0.0</v>
      </c>
      <c r="W16" s="17">
        <v>0.0</v>
      </c>
      <c r="X16" s="17">
        <v>0.0</v>
      </c>
      <c r="Y16" s="6"/>
      <c r="Z16" s="13">
        <v>1.0</v>
      </c>
      <c r="AA16" s="13">
        <v>1.0</v>
      </c>
      <c r="AB16" s="13">
        <v>1.0</v>
      </c>
      <c r="AC16" s="13">
        <v>1.0</v>
      </c>
      <c r="AD16" s="13">
        <v>2.0</v>
      </c>
      <c r="AE16" s="13">
        <v>1.0</v>
      </c>
      <c r="AF16" s="13">
        <v>2.0</v>
      </c>
      <c r="AG16" s="13" t="s">
        <v>30</v>
      </c>
      <c r="AH16" s="13" t="s">
        <v>30</v>
      </c>
      <c r="AI16" s="13" t="s">
        <v>30</v>
      </c>
      <c r="AJ16" s="13" t="s">
        <v>30</v>
      </c>
      <c r="AK16" s="13" t="s">
        <v>30</v>
      </c>
      <c r="AL16" s="13" t="s">
        <v>30</v>
      </c>
      <c r="AM16" s="13" t="s">
        <v>30</v>
      </c>
      <c r="AN16" s="6"/>
      <c r="AO16" s="13">
        <v>9.0</v>
      </c>
      <c r="AP16" s="13">
        <v>1.0</v>
      </c>
      <c r="AQ16" s="13">
        <v>1.0</v>
      </c>
      <c r="AR16" s="13">
        <v>1.0</v>
      </c>
      <c r="AS16" s="13">
        <v>1.0</v>
      </c>
      <c r="AT16" s="13">
        <v>2.0</v>
      </c>
      <c r="AU16" s="13">
        <v>1.0</v>
      </c>
      <c r="AV16" s="13">
        <v>2.0</v>
      </c>
      <c r="AW16" s="13" t="s">
        <v>30</v>
      </c>
      <c r="AX16" s="13" t="s">
        <v>30</v>
      </c>
      <c r="AY16" s="13" t="s">
        <v>30</v>
      </c>
      <c r="AZ16" s="13" t="s">
        <v>30</v>
      </c>
      <c r="BA16" s="13" t="s">
        <v>30</v>
      </c>
      <c r="BB16" s="13" t="s">
        <v>30</v>
      </c>
      <c r="BC16" s="13" t="s">
        <v>30</v>
      </c>
    </row>
    <row r="17">
      <c r="A17" s="13" t="s">
        <v>59</v>
      </c>
      <c r="B17" s="13"/>
      <c r="C17" s="13"/>
      <c r="D17" s="13" t="s">
        <v>60</v>
      </c>
      <c r="E17" s="13">
        <v>1.0</v>
      </c>
      <c r="F17" s="14">
        <v>831.34</v>
      </c>
      <c r="G17" s="13" t="s">
        <v>29</v>
      </c>
      <c r="H17" s="13">
        <v>4.0</v>
      </c>
      <c r="I17" s="15"/>
      <c r="J17" s="6"/>
      <c r="K17" s="13">
        <v>4.0</v>
      </c>
      <c r="L17" s="17">
        <v>0.0</v>
      </c>
      <c r="M17" s="17">
        <v>0.0</v>
      </c>
      <c r="N17" s="17">
        <v>0.0</v>
      </c>
      <c r="O17" s="17">
        <v>0.0</v>
      </c>
      <c r="P17" s="17">
        <v>0.0</v>
      </c>
      <c r="Q17" s="17">
        <v>0.0</v>
      </c>
      <c r="R17" s="17">
        <v>0.0</v>
      </c>
      <c r="S17" s="17">
        <v>0.0</v>
      </c>
      <c r="T17" s="17">
        <v>0.0</v>
      </c>
      <c r="U17" s="17">
        <v>0.0</v>
      </c>
      <c r="V17" s="17">
        <v>0.0</v>
      </c>
      <c r="W17" s="17">
        <v>0.0</v>
      </c>
      <c r="X17" s="17">
        <v>0.0</v>
      </c>
      <c r="Y17" s="6"/>
      <c r="Z17" s="13"/>
      <c r="AA17" s="13">
        <v>1.0</v>
      </c>
      <c r="AB17" s="13"/>
      <c r="AC17" s="13"/>
      <c r="AD17" s="13">
        <v>1.0</v>
      </c>
      <c r="AE17" s="13">
        <v>1.0</v>
      </c>
      <c r="AF17" s="13">
        <v>1.0</v>
      </c>
      <c r="AG17" s="13" t="s">
        <v>30</v>
      </c>
      <c r="AH17" s="13" t="s">
        <v>30</v>
      </c>
      <c r="AI17" s="13" t="s">
        <v>30</v>
      </c>
      <c r="AJ17" s="13" t="s">
        <v>30</v>
      </c>
      <c r="AK17" s="13" t="s">
        <v>30</v>
      </c>
      <c r="AL17" s="13" t="s">
        <v>30</v>
      </c>
      <c r="AM17" s="13" t="s">
        <v>30</v>
      </c>
      <c r="AN17" s="6"/>
      <c r="AO17" s="13">
        <v>4.0</v>
      </c>
      <c r="AP17" s="13"/>
      <c r="AQ17" s="13">
        <v>1.0</v>
      </c>
      <c r="AR17" s="13"/>
      <c r="AS17" s="13"/>
      <c r="AT17" s="13">
        <v>1.0</v>
      </c>
      <c r="AU17" s="13">
        <v>1.0</v>
      </c>
      <c r="AV17" s="13">
        <v>1.0</v>
      </c>
      <c r="AW17" s="13" t="s">
        <v>30</v>
      </c>
      <c r="AX17" s="13" t="s">
        <v>30</v>
      </c>
      <c r="AY17" s="13" t="s">
        <v>30</v>
      </c>
      <c r="AZ17" s="13" t="s">
        <v>30</v>
      </c>
      <c r="BA17" s="13" t="s">
        <v>30</v>
      </c>
      <c r="BB17" s="13" t="s">
        <v>30</v>
      </c>
      <c r="BC17" s="13" t="s">
        <v>30</v>
      </c>
    </row>
    <row r="18">
      <c r="A18" s="13" t="s">
        <v>61</v>
      </c>
      <c r="B18" s="13"/>
      <c r="C18" s="13">
        <v>33269.0</v>
      </c>
      <c r="D18" s="13" t="s">
        <v>62</v>
      </c>
      <c r="E18" s="13">
        <v>2.0</v>
      </c>
      <c r="F18" s="14">
        <v>526.97</v>
      </c>
      <c r="G18" s="13" t="s">
        <v>29</v>
      </c>
      <c r="H18" s="13">
        <v>7.0</v>
      </c>
      <c r="I18" s="15"/>
      <c r="J18" s="6"/>
      <c r="K18" s="13">
        <v>3.0</v>
      </c>
      <c r="L18" s="17">
        <v>0.0</v>
      </c>
      <c r="M18" s="17">
        <v>0.0</v>
      </c>
      <c r="N18" s="17">
        <v>0.0</v>
      </c>
      <c r="O18" s="17">
        <v>0.0</v>
      </c>
      <c r="P18" s="17">
        <v>0.0</v>
      </c>
      <c r="Q18" s="17">
        <v>0.0</v>
      </c>
      <c r="R18" s="17">
        <v>0.0</v>
      </c>
      <c r="S18" s="17">
        <v>2.0</v>
      </c>
      <c r="T18" s="17">
        <v>1.0</v>
      </c>
      <c r="U18" s="17">
        <v>0.0</v>
      </c>
      <c r="V18" s="17">
        <v>1.0</v>
      </c>
      <c r="W18" s="17">
        <v>0.0</v>
      </c>
      <c r="X18" s="17">
        <v>0.0</v>
      </c>
      <c r="Y18" s="6"/>
      <c r="Z18" s="13">
        <v>1.0</v>
      </c>
      <c r="AA18" s="13">
        <v>1.0</v>
      </c>
      <c r="AB18" s="13">
        <v>1.0</v>
      </c>
      <c r="AC18" s="13">
        <v>1.0</v>
      </c>
      <c r="AD18" s="13">
        <v>1.0</v>
      </c>
      <c r="AE18" s="13">
        <v>1.0</v>
      </c>
      <c r="AF18" s="13">
        <v>1.0</v>
      </c>
      <c r="AG18" s="13" t="s">
        <v>30</v>
      </c>
      <c r="AH18" s="13" t="s">
        <v>30</v>
      </c>
      <c r="AI18" s="13" t="s">
        <v>30</v>
      </c>
      <c r="AJ18" s="13" t="s">
        <v>30</v>
      </c>
      <c r="AK18" s="13" t="s">
        <v>30</v>
      </c>
      <c r="AL18" s="13" t="s">
        <v>30</v>
      </c>
      <c r="AM18" s="13" t="s">
        <v>30</v>
      </c>
      <c r="AN18" s="6"/>
      <c r="AO18" s="13">
        <v>8.0</v>
      </c>
      <c r="AP18" s="13">
        <v>1.0</v>
      </c>
      <c r="AQ18" s="13">
        <v>1.0</v>
      </c>
      <c r="AR18" s="13">
        <v>1.0</v>
      </c>
      <c r="AS18" s="13">
        <v>1.0</v>
      </c>
      <c r="AT18" s="13">
        <v>2.0</v>
      </c>
      <c r="AU18" s="13">
        <v>1.0</v>
      </c>
      <c r="AV18" s="13">
        <v>1.0</v>
      </c>
      <c r="AW18" s="13" t="s">
        <v>30</v>
      </c>
      <c r="AX18" s="13" t="s">
        <v>30</v>
      </c>
      <c r="AY18" s="13" t="s">
        <v>30</v>
      </c>
      <c r="AZ18" s="13" t="s">
        <v>30</v>
      </c>
      <c r="BA18" s="13" t="s">
        <v>30</v>
      </c>
      <c r="BB18" s="13" t="s">
        <v>30</v>
      </c>
      <c r="BC18" s="13" t="s">
        <v>30</v>
      </c>
    </row>
    <row r="19">
      <c r="A19" s="13" t="s">
        <v>63</v>
      </c>
      <c r="B19" s="13"/>
      <c r="C19" s="13"/>
      <c r="D19" s="13" t="s">
        <v>64</v>
      </c>
      <c r="E19" s="13">
        <v>2.0</v>
      </c>
      <c r="F19" s="14">
        <v>485.68</v>
      </c>
      <c r="G19" s="13" t="s">
        <v>29</v>
      </c>
      <c r="H19" s="13">
        <v>10.0</v>
      </c>
      <c r="I19" s="15"/>
      <c r="J19" s="6"/>
      <c r="K19" s="13">
        <v>3.0</v>
      </c>
      <c r="L19" s="17">
        <v>0.0</v>
      </c>
      <c r="M19" s="17">
        <v>0.0</v>
      </c>
      <c r="N19" s="17">
        <v>0.0</v>
      </c>
      <c r="O19" s="17">
        <v>2.0</v>
      </c>
      <c r="P19" s="17">
        <v>0.0</v>
      </c>
      <c r="Q19" s="17">
        <v>0.0</v>
      </c>
      <c r="R19" s="17">
        <v>0.0</v>
      </c>
      <c r="S19" s="17">
        <v>2.0</v>
      </c>
      <c r="T19" s="17">
        <v>1.0</v>
      </c>
      <c r="U19" s="17">
        <v>1.0</v>
      </c>
      <c r="V19" s="17">
        <v>1.0</v>
      </c>
      <c r="W19" s="17">
        <v>0.0</v>
      </c>
      <c r="X19" s="17">
        <v>0.0</v>
      </c>
      <c r="Y19" s="6"/>
      <c r="Z19" s="13">
        <v>1.0</v>
      </c>
      <c r="AA19" s="13">
        <v>2.0</v>
      </c>
      <c r="AB19" s="13">
        <v>1.0</v>
      </c>
      <c r="AC19" s="13">
        <v>1.0</v>
      </c>
      <c r="AD19" s="13">
        <v>2.0</v>
      </c>
      <c r="AE19" s="13">
        <v>1.0</v>
      </c>
      <c r="AF19" s="13">
        <v>2.0</v>
      </c>
      <c r="AG19" s="13" t="s">
        <v>30</v>
      </c>
      <c r="AH19" s="13" t="s">
        <v>30</v>
      </c>
      <c r="AI19" s="13" t="s">
        <v>30</v>
      </c>
      <c r="AJ19" s="13" t="s">
        <v>30</v>
      </c>
      <c r="AK19" s="13" t="s">
        <v>30</v>
      </c>
      <c r="AL19" s="13" t="s">
        <v>30</v>
      </c>
      <c r="AM19" s="13" t="s">
        <v>30</v>
      </c>
      <c r="AN19" s="6"/>
      <c r="AO19" s="13">
        <v>10.0</v>
      </c>
      <c r="AP19" s="13">
        <v>1.0</v>
      </c>
      <c r="AQ19" s="13">
        <v>2.0</v>
      </c>
      <c r="AR19" s="13">
        <v>1.0</v>
      </c>
      <c r="AS19" s="13">
        <v>1.0</v>
      </c>
      <c r="AT19" s="13">
        <v>2.0</v>
      </c>
      <c r="AU19" s="13">
        <v>1.0</v>
      </c>
      <c r="AV19" s="13">
        <v>2.0</v>
      </c>
      <c r="AW19" s="13" t="s">
        <v>30</v>
      </c>
      <c r="AX19" s="13" t="s">
        <v>30</v>
      </c>
      <c r="AY19" s="13" t="s">
        <v>30</v>
      </c>
      <c r="AZ19" s="13" t="s">
        <v>30</v>
      </c>
      <c r="BA19" s="13" t="s">
        <v>30</v>
      </c>
      <c r="BB19" s="13" t="s">
        <v>30</v>
      </c>
      <c r="BC19" s="13" t="s">
        <v>30</v>
      </c>
    </row>
    <row r="20">
      <c r="A20" s="13" t="s">
        <v>65</v>
      </c>
      <c r="B20" s="13"/>
      <c r="C20" s="13" t="s">
        <v>48</v>
      </c>
      <c r="D20" s="13" t="s">
        <v>66</v>
      </c>
      <c r="E20" s="13">
        <v>1.0</v>
      </c>
      <c r="F20" s="14">
        <v>1569.44</v>
      </c>
      <c r="G20" s="13" t="s">
        <v>29</v>
      </c>
      <c r="H20" s="13">
        <v>0.0</v>
      </c>
      <c r="I20" s="15"/>
      <c r="J20" s="6"/>
      <c r="K20" s="13">
        <v>0.0</v>
      </c>
      <c r="L20" s="17">
        <v>0.0</v>
      </c>
      <c r="M20" s="17">
        <v>0.0</v>
      </c>
      <c r="N20" s="17">
        <v>0.0</v>
      </c>
      <c r="O20" s="17">
        <v>0.0</v>
      </c>
      <c r="P20" s="17">
        <v>0.0</v>
      </c>
      <c r="Q20" s="17">
        <v>0.0</v>
      </c>
      <c r="R20" s="17">
        <v>0.0</v>
      </c>
      <c r="S20" s="17">
        <v>0.0</v>
      </c>
      <c r="T20" s="17">
        <v>0.0</v>
      </c>
      <c r="U20" s="17">
        <v>0.0</v>
      </c>
      <c r="V20" s="17">
        <v>0.0</v>
      </c>
      <c r="W20" s="17">
        <v>0.0</v>
      </c>
      <c r="X20" s="17">
        <v>0.0</v>
      </c>
      <c r="Y20" s="6"/>
      <c r="Z20" s="13"/>
      <c r="AA20" s="13"/>
      <c r="AB20" s="13"/>
      <c r="AC20" s="13"/>
      <c r="AD20" s="13"/>
      <c r="AE20" s="13"/>
      <c r="AF20" s="13"/>
      <c r="AG20" s="13" t="s">
        <v>30</v>
      </c>
      <c r="AH20" s="13" t="s">
        <v>30</v>
      </c>
      <c r="AI20" s="13" t="s">
        <v>30</v>
      </c>
      <c r="AJ20" s="13" t="s">
        <v>30</v>
      </c>
      <c r="AK20" s="13" t="s">
        <v>30</v>
      </c>
      <c r="AL20" s="13" t="s">
        <v>30</v>
      </c>
      <c r="AM20" s="13" t="s">
        <v>30</v>
      </c>
      <c r="AN20" s="6"/>
      <c r="AO20" s="13">
        <v>7.0</v>
      </c>
      <c r="AP20" s="13">
        <v>1.0</v>
      </c>
      <c r="AQ20" s="13">
        <v>1.0</v>
      </c>
      <c r="AR20" s="13">
        <v>1.0</v>
      </c>
      <c r="AS20" s="13">
        <v>1.0</v>
      </c>
      <c r="AT20" s="13">
        <v>1.0</v>
      </c>
      <c r="AU20" s="13">
        <v>1.0</v>
      </c>
      <c r="AV20" s="13">
        <v>1.0</v>
      </c>
      <c r="AW20" s="13" t="s">
        <v>30</v>
      </c>
      <c r="AX20" s="13" t="s">
        <v>30</v>
      </c>
      <c r="AY20" s="13" t="s">
        <v>30</v>
      </c>
      <c r="AZ20" s="13" t="s">
        <v>30</v>
      </c>
      <c r="BA20" s="13" t="s">
        <v>30</v>
      </c>
      <c r="BB20" s="13" t="s">
        <v>30</v>
      </c>
      <c r="BC20" s="13" t="s">
        <v>30</v>
      </c>
    </row>
    <row r="21">
      <c r="A21" s="13" t="s">
        <v>67</v>
      </c>
      <c r="B21" s="13"/>
      <c r="C21" s="13" t="s">
        <v>48</v>
      </c>
      <c r="D21" s="13" t="s">
        <v>68</v>
      </c>
      <c r="E21" s="13">
        <v>1.0</v>
      </c>
      <c r="F21" s="14">
        <v>1569.44</v>
      </c>
      <c r="G21" s="13" t="s">
        <v>29</v>
      </c>
      <c r="H21" s="13">
        <v>0.0</v>
      </c>
      <c r="I21" s="15"/>
      <c r="J21" s="6"/>
      <c r="K21" s="13">
        <v>0.0</v>
      </c>
      <c r="L21" s="17">
        <v>0.0</v>
      </c>
      <c r="M21" s="17">
        <v>0.0</v>
      </c>
      <c r="N21" s="17">
        <v>0.0</v>
      </c>
      <c r="O21" s="17">
        <v>0.0</v>
      </c>
      <c r="P21" s="17">
        <v>0.0</v>
      </c>
      <c r="Q21" s="17">
        <v>0.0</v>
      </c>
      <c r="R21" s="17">
        <v>0.0</v>
      </c>
      <c r="S21" s="17">
        <v>0.0</v>
      </c>
      <c r="T21" s="17">
        <v>0.0</v>
      </c>
      <c r="U21" s="17">
        <v>0.0</v>
      </c>
      <c r="V21" s="17">
        <v>0.0</v>
      </c>
      <c r="W21" s="17">
        <v>0.0</v>
      </c>
      <c r="X21" s="17">
        <v>0.0</v>
      </c>
      <c r="Y21" s="6"/>
      <c r="Z21" s="13"/>
      <c r="AA21" s="13"/>
      <c r="AB21" s="13"/>
      <c r="AC21" s="13"/>
      <c r="AD21" s="13"/>
      <c r="AE21" s="13"/>
      <c r="AF21" s="13"/>
      <c r="AG21" s="13" t="s">
        <v>30</v>
      </c>
      <c r="AH21" s="13" t="s">
        <v>30</v>
      </c>
      <c r="AI21" s="13" t="s">
        <v>30</v>
      </c>
      <c r="AJ21" s="13" t="s">
        <v>30</v>
      </c>
      <c r="AK21" s="13" t="s">
        <v>30</v>
      </c>
      <c r="AL21" s="13" t="s">
        <v>30</v>
      </c>
      <c r="AM21" s="13" t="s">
        <v>30</v>
      </c>
      <c r="AN21" s="6"/>
      <c r="AO21" s="13">
        <v>7.0</v>
      </c>
      <c r="AP21" s="13">
        <v>1.0</v>
      </c>
      <c r="AQ21" s="13">
        <v>1.0</v>
      </c>
      <c r="AR21" s="13">
        <v>1.0</v>
      </c>
      <c r="AS21" s="13">
        <v>1.0</v>
      </c>
      <c r="AT21" s="13">
        <v>1.0</v>
      </c>
      <c r="AU21" s="13">
        <v>1.0</v>
      </c>
      <c r="AV21" s="13">
        <v>1.0</v>
      </c>
      <c r="AW21" s="13" t="s">
        <v>30</v>
      </c>
      <c r="AX21" s="13" t="s">
        <v>30</v>
      </c>
      <c r="AY21" s="13" t="s">
        <v>30</v>
      </c>
      <c r="AZ21" s="13" t="s">
        <v>30</v>
      </c>
      <c r="BA21" s="13" t="s">
        <v>30</v>
      </c>
      <c r="BB21" s="13" t="s">
        <v>30</v>
      </c>
      <c r="BC21" s="13" t="s">
        <v>30</v>
      </c>
    </row>
    <row r="22">
      <c r="A22" s="13" t="s">
        <v>69</v>
      </c>
      <c r="B22" s="13"/>
      <c r="C22" s="13" t="s">
        <v>48</v>
      </c>
      <c r="D22" s="13" t="s">
        <v>70</v>
      </c>
      <c r="E22" s="13">
        <v>1.0</v>
      </c>
      <c r="F22" s="14">
        <v>1005.81</v>
      </c>
      <c r="G22" s="13" t="s">
        <v>29</v>
      </c>
      <c r="H22" s="13">
        <v>3.0</v>
      </c>
      <c r="I22" s="15"/>
      <c r="J22" s="6"/>
      <c r="K22" s="13">
        <v>2.0</v>
      </c>
      <c r="L22" s="17">
        <v>0.0</v>
      </c>
      <c r="M22" s="17">
        <v>0.0</v>
      </c>
      <c r="N22" s="17">
        <v>0.0</v>
      </c>
      <c r="O22" s="17">
        <v>1.0</v>
      </c>
      <c r="P22" s="17">
        <v>0.0</v>
      </c>
      <c r="Q22" s="17">
        <v>0.0</v>
      </c>
      <c r="R22" s="17">
        <v>0.0</v>
      </c>
      <c r="S22" s="17">
        <v>0.0</v>
      </c>
      <c r="T22" s="17">
        <v>0.0</v>
      </c>
      <c r="U22" s="17">
        <v>0.0</v>
      </c>
      <c r="V22" s="17">
        <v>0.0</v>
      </c>
      <c r="W22" s="17">
        <v>0.0</v>
      </c>
      <c r="X22" s="17">
        <v>0.0</v>
      </c>
      <c r="Y22" s="6"/>
      <c r="Z22" s="13"/>
      <c r="AA22" s="13">
        <v>1.0</v>
      </c>
      <c r="AB22" s="13">
        <v>1.0</v>
      </c>
      <c r="AC22" s="13"/>
      <c r="AD22" s="13"/>
      <c r="AE22" s="13">
        <v>1.0</v>
      </c>
      <c r="AF22" s="13"/>
      <c r="AG22" s="13" t="s">
        <v>30</v>
      </c>
      <c r="AH22" s="13" t="s">
        <v>30</v>
      </c>
      <c r="AI22" s="13" t="s">
        <v>30</v>
      </c>
      <c r="AJ22" s="13" t="s">
        <v>30</v>
      </c>
      <c r="AK22" s="13" t="s">
        <v>30</v>
      </c>
      <c r="AL22" s="13" t="s">
        <v>30</v>
      </c>
      <c r="AM22" s="13" t="s">
        <v>30</v>
      </c>
      <c r="AN22" s="6"/>
      <c r="AO22" s="13">
        <v>7.0</v>
      </c>
      <c r="AP22" s="13">
        <v>1.0</v>
      </c>
      <c r="AQ22" s="13">
        <v>1.0</v>
      </c>
      <c r="AR22" s="13">
        <v>1.0</v>
      </c>
      <c r="AS22" s="13">
        <v>1.0</v>
      </c>
      <c r="AT22" s="13">
        <v>1.0</v>
      </c>
      <c r="AU22" s="13">
        <v>1.0</v>
      </c>
      <c r="AV22" s="13">
        <v>1.0</v>
      </c>
      <c r="AW22" s="13" t="s">
        <v>30</v>
      </c>
      <c r="AX22" s="13" t="s">
        <v>30</v>
      </c>
      <c r="AY22" s="13" t="s">
        <v>30</v>
      </c>
      <c r="AZ22" s="13" t="s">
        <v>30</v>
      </c>
      <c r="BA22" s="13" t="s">
        <v>30</v>
      </c>
      <c r="BB22" s="13" t="s">
        <v>30</v>
      </c>
      <c r="BC22" s="13" t="s">
        <v>30</v>
      </c>
    </row>
    <row r="23">
      <c r="A23" s="13" t="s">
        <v>71</v>
      </c>
      <c r="B23" s="13"/>
      <c r="C23" s="13"/>
      <c r="D23" s="13" t="s">
        <v>72</v>
      </c>
      <c r="E23" s="13">
        <v>1.0</v>
      </c>
      <c r="F23" s="14">
        <v>3128.59</v>
      </c>
      <c r="G23" s="13" t="s">
        <v>29</v>
      </c>
      <c r="H23" s="13">
        <v>9.0</v>
      </c>
      <c r="I23" s="15"/>
      <c r="J23" s="6"/>
      <c r="K23" s="13">
        <v>9.0</v>
      </c>
      <c r="L23" s="17">
        <v>0.0</v>
      </c>
      <c r="M23" s="17">
        <v>0.0</v>
      </c>
      <c r="N23" s="17">
        <v>0.0</v>
      </c>
      <c r="O23" s="17">
        <v>0.0</v>
      </c>
      <c r="P23" s="17">
        <v>0.0</v>
      </c>
      <c r="Q23" s="17">
        <v>0.0</v>
      </c>
      <c r="R23" s="17">
        <v>0.0</v>
      </c>
      <c r="S23" s="17">
        <v>0.0</v>
      </c>
      <c r="T23" s="17">
        <v>0.0</v>
      </c>
      <c r="U23" s="17">
        <v>0.0</v>
      </c>
      <c r="V23" s="17">
        <v>0.0</v>
      </c>
      <c r="W23" s="17">
        <v>0.0</v>
      </c>
      <c r="X23" s="17">
        <v>0.0</v>
      </c>
      <c r="Y23" s="6"/>
      <c r="Z23" s="13">
        <v>1.0</v>
      </c>
      <c r="AA23" s="13">
        <v>1.0</v>
      </c>
      <c r="AB23" s="13">
        <v>1.0</v>
      </c>
      <c r="AC23" s="13">
        <v>1.0</v>
      </c>
      <c r="AD23" s="13">
        <v>2.0</v>
      </c>
      <c r="AE23" s="13">
        <v>1.0</v>
      </c>
      <c r="AF23" s="13">
        <v>2.0</v>
      </c>
      <c r="AG23" s="13" t="s">
        <v>30</v>
      </c>
      <c r="AH23" s="13" t="s">
        <v>30</v>
      </c>
      <c r="AI23" s="13" t="s">
        <v>30</v>
      </c>
      <c r="AJ23" s="13" t="s">
        <v>30</v>
      </c>
      <c r="AK23" s="13" t="s">
        <v>30</v>
      </c>
      <c r="AL23" s="13" t="s">
        <v>30</v>
      </c>
      <c r="AM23" s="13" t="s">
        <v>30</v>
      </c>
      <c r="AN23" s="6"/>
      <c r="AO23" s="13">
        <v>9.0</v>
      </c>
      <c r="AP23" s="13">
        <v>1.0</v>
      </c>
      <c r="AQ23" s="13">
        <v>1.0</v>
      </c>
      <c r="AR23" s="13">
        <v>1.0</v>
      </c>
      <c r="AS23" s="13">
        <v>1.0</v>
      </c>
      <c r="AT23" s="13">
        <v>2.0</v>
      </c>
      <c r="AU23" s="13">
        <v>1.0</v>
      </c>
      <c r="AV23" s="13">
        <v>2.0</v>
      </c>
      <c r="AW23" s="13" t="s">
        <v>30</v>
      </c>
      <c r="AX23" s="13" t="s">
        <v>30</v>
      </c>
      <c r="AY23" s="13" t="s">
        <v>30</v>
      </c>
      <c r="AZ23" s="13" t="s">
        <v>30</v>
      </c>
      <c r="BA23" s="13" t="s">
        <v>30</v>
      </c>
      <c r="BB23" s="13" t="s">
        <v>30</v>
      </c>
      <c r="BC23" s="13" t="s">
        <v>30</v>
      </c>
    </row>
    <row r="24">
      <c r="A24" s="13" t="s">
        <v>73</v>
      </c>
      <c r="B24" s="13"/>
      <c r="C24" s="13" t="s">
        <v>48</v>
      </c>
      <c r="D24" s="13" t="s">
        <v>74</v>
      </c>
      <c r="E24" s="13">
        <v>1.0</v>
      </c>
      <c r="F24" s="14">
        <v>6062.85</v>
      </c>
      <c r="G24" s="13" t="s">
        <v>29</v>
      </c>
      <c r="H24" s="13">
        <v>3.0</v>
      </c>
      <c r="I24" s="15"/>
      <c r="J24" s="6"/>
      <c r="K24" s="13">
        <v>3.0</v>
      </c>
      <c r="L24" s="17">
        <v>0.0</v>
      </c>
      <c r="M24" s="17">
        <v>0.0</v>
      </c>
      <c r="N24" s="17">
        <v>0.0</v>
      </c>
      <c r="O24" s="17">
        <v>0.0</v>
      </c>
      <c r="P24" s="17">
        <v>0.0</v>
      </c>
      <c r="Q24" s="17">
        <v>0.0</v>
      </c>
      <c r="R24" s="17">
        <v>0.0</v>
      </c>
      <c r="S24" s="17">
        <v>0.0</v>
      </c>
      <c r="T24" s="17">
        <v>0.0</v>
      </c>
      <c r="U24" s="17">
        <v>0.0</v>
      </c>
      <c r="V24" s="17">
        <v>0.0</v>
      </c>
      <c r="W24" s="17">
        <v>0.0</v>
      </c>
      <c r="X24" s="17">
        <v>0.0</v>
      </c>
      <c r="Y24" s="6"/>
      <c r="Z24" s="13"/>
      <c r="AA24" s="13">
        <v>1.0</v>
      </c>
      <c r="AB24" s="13"/>
      <c r="AC24" s="13"/>
      <c r="AD24" s="13">
        <v>1.0</v>
      </c>
      <c r="AE24" s="13"/>
      <c r="AF24" s="13">
        <v>1.0</v>
      </c>
      <c r="AG24" s="13" t="s">
        <v>30</v>
      </c>
      <c r="AH24" s="13" t="s">
        <v>30</v>
      </c>
      <c r="AI24" s="13" t="s">
        <v>30</v>
      </c>
      <c r="AJ24" s="13" t="s">
        <v>30</v>
      </c>
      <c r="AK24" s="13" t="s">
        <v>30</v>
      </c>
      <c r="AL24" s="13" t="s">
        <v>30</v>
      </c>
      <c r="AM24" s="13" t="s">
        <v>30</v>
      </c>
      <c r="AN24" s="6"/>
      <c r="AO24" s="13">
        <v>6.0</v>
      </c>
      <c r="AP24" s="13"/>
      <c r="AQ24" s="13">
        <v>1.0</v>
      </c>
      <c r="AR24" s="13">
        <v>1.0</v>
      </c>
      <c r="AS24" s="13">
        <v>1.0</v>
      </c>
      <c r="AT24" s="13">
        <v>1.0</v>
      </c>
      <c r="AU24" s="13">
        <v>1.0</v>
      </c>
      <c r="AV24" s="13">
        <v>1.0</v>
      </c>
      <c r="AW24" s="13" t="s">
        <v>30</v>
      </c>
      <c r="AX24" s="13" t="s">
        <v>30</v>
      </c>
      <c r="AY24" s="13" t="s">
        <v>30</v>
      </c>
      <c r="AZ24" s="13" t="s">
        <v>30</v>
      </c>
      <c r="BA24" s="13" t="s">
        <v>30</v>
      </c>
      <c r="BB24" s="13" t="s">
        <v>30</v>
      </c>
      <c r="BC24" s="13" t="s">
        <v>30</v>
      </c>
    </row>
    <row r="25">
      <c r="A25" s="13" t="s">
        <v>75</v>
      </c>
      <c r="B25" s="13"/>
      <c r="C25" s="13" t="s">
        <v>48</v>
      </c>
      <c r="D25" s="13" t="s">
        <v>76</v>
      </c>
      <c r="E25" s="13">
        <v>1.0</v>
      </c>
      <c r="F25" s="14">
        <v>5469.37</v>
      </c>
      <c r="G25" s="13" t="s">
        <v>29</v>
      </c>
      <c r="H25" s="13">
        <v>1.0</v>
      </c>
      <c r="I25" s="15"/>
      <c r="J25" s="6"/>
      <c r="K25" s="13">
        <v>1.0</v>
      </c>
      <c r="L25" s="17">
        <v>0.0</v>
      </c>
      <c r="M25" s="17">
        <v>0.0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  <c r="S25" s="17">
        <v>0.0</v>
      </c>
      <c r="T25" s="17">
        <v>0.0</v>
      </c>
      <c r="U25" s="17">
        <v>0.0</v>
      </c>
      <c r="V25" s="17">
        <v>0.0</v>
      </c>
      <c r="W25" s="17">
        <v>0.0</v>
      </c>
      <c r="X25" s="17">
        <v>0.0</v>
      </c>
      <c r="Y25" s="6"/>
      <c r="Z25" s="13"/>
      <c r="AA25" s="13"/>
      <c r="AB25" s="13"/>
      <c r="AC25" s="13"/>
      <c r="AD25" s="13">
        <v>1.0</v>
      </c>
      <c r="AE25" s="13"/>
      <c r="AF25" s="13"/>
      <c r="AG25" s="13" t="s">
        <v>30</v>
      </c>
      <c r="AH25" s="13" t="s">
        <v>30</v>
      </c>
      <c r="AI25" s="13" t="s">
        <v>30</v>
      </c>
      <c r="AJ25" s="13" t="s">
        <v>30</v>
      </c>
      <c r="AK25" s="13" t="s">
        <v>30</v>
      </c>
      <c r="AL25" s="13" t="s">
        <v>30</v>
      </c>
      <c r="AM25" s="13" t="s">
        <v>30</v>
      </c>
      <c r="AN25" s="6"/>
      <c r="AO25" s="13">
        <v>6.0</v>
      </c>
      <c r="AP25" s="13"/>
      <c r="AQ25" s="13">
        <v>1.0</v>
      </c>
      <c r="AR25" s="13">
        <v>1.0</v>
      </c>
      <c r="AS25" s="13">
        <v>1.0</v>
      </c>
      <c r="AT25" s="13">
        <v>1.0</v>
      </c>
      <c r="AU25" s="13">
        <v>1.0</v>
      </c>
      <c r="AV25" s="13">
        <v>1.0</v>
      </c>
      <c r="AW25" s="13" t="s">
        <v>30</v>
      </c>
      <c r="AX25" s="13" t="s">
        <v>30</v>
      </c>
      <c r="AY25" s="13" t="s">
        <v>30</v>
      </c>
      <c r="AZ25" s="13" t="s">
        <v>30</v>
      </c>
      <c r="BA25" s="13" t="s">
        <v>30</v>
      </c>
      <c r="BB25" s="13" t="s">
        <v>30</v>
      </c>
      <c r="BC25" s="13" t="s">
        <v>30</v>
      </c>
    </row>
    <row r="26">
      <c r="A26" s="13" t="s">
        <v>77</v>
      </c>
      <c r="B26" s="13"/>
      <c r="C26" s="13"/>
      <c r="D26" s="13" t="s">
        <v>78</v>
      </c>
      <c r="E26" s="13">
        <v>1.0</v>
      </c>
      <c r="F26" s="14">
        <v>17500.0</v>
      </c>
      <c r="G26" s="13" t="s">
        <v>29</v>
      </c>
      <c r="H26" s="13">
        <v>36.0</v>
      </c>
      <c r="I26" s="15"/>
      <c r="J26" s="6"/>
      <c r="K26" s="13">
        <v>35.0</v>
      </c>
      <c r="L26" s="17">
        <v>1.0</v>
      </c>
      <c r="M26" s="17">
        <v>0.0</v>
      </c>
      <c r="N26" s="17">
        <v>0.0</v>
      </c>
      <c r="O26" s="17">
        <v>0.0</v>
      </c>
      <c r="P26" s="17">
        <v>0.0</v>
      </c>
      <c r="Q26" s="17">
        <v>0.0</v>
      </c>
      <c r="R26" s="17">
        <v>0.0</v>
      </c>
      <c r="S26" s="17">
        <v>0.0</v>
      </c>
      <c r="T26" s="17">
        <v>0.0</v>
      </c>
      <c r="U26" s="17">
        <v>0.0</v>
      </c>
      <c r="V26" s="17">
        <v>0.0</v>
      </c>
      <c r="W26" s="17">
        <v>0.0</v>
      </c>
      <c r="X26" s="17">
        <v>0.0</v>
      </c>
      <c r="Y26" s="6"/>
      <c r="Z26" s="13">
        <v>4.0</v>
      </c>
      <c r="AA26" s="13">
        <v>4.0</v>
      </c>
      <c r="AB26" s="13">
        <v>4.0</v>
      </c>
      <c r="AC26" s="13">
        <v>4.0</v>
      </c>
      <c r="AD26" s="13">
        <v>10.0</v>
      </c>
      <c r="AE26" s="13">
        <v>4.0</v>
      </c>
      <c r="AF26" s="13">
        <v>6.0</v>
      </c>
      <c r="AG26" s="13" t="s">
        <v>30</v>
      </c>
      <c r="AH26" s="13" t="s">
        <v>30</v>
      </c>
      <c r="AI26" s="13" t="s">
        <v>30</v>
      </c>
      <c r="AJ26" s="13" t="s">
        <v>30</v>
      </c>
      <c r="AK26" s="13" t="s">
        <v>30</v>
      </c>
      <c r="AL26" s="13" t="s">
        <v>30</v>
      </c>
      <c r="AM26" s="13" t="s">
        <v>30</v>
      </c>
      <c r="AN26" s="6"/>
      <c r="AO26" s="13">
        <v>36.0</v>
      </c>
      <c r="AP26" s="13">
        <v>4.0</v>
      </c>
      <c r="AQ26" s="13">
        <v>4.0</v>
      </c>
      <c r="AR26" s="13">
        <v>4.0</v>
      </c>
      <c r="AS26" s="13">
        <v>4.0</v>
      </c>
      <c r="AT26" s="13">
        <v>10.0</v>
      </c>
      <c r="AU26" s="13">
        <v>4.0</v>
      </c>
      <c r="AV26" s="13">
        <v>6.0</v>
      </c>
      <c r="AW26" s="13" t="s">
        <v>30</v>
      </c>
      <c r="AX26" s="13" t="s">
        <v>30</v>
      </c>
      <c r="AY26" s="13" t="s">
        <v>30</v>
      </c>
      <c r="AZ26" s="13" t="s">
        <v>30</v>
      </c>
      <c r="BA26" s="13" t="s">
        <v>30</v>
      </c>
      <c r="BB26" s="13" t="s">
        <v>30</v>
      </c>
      <c r="BC26" s="13" t="s">
        <v>30</v>
      </c>
    </row>
    <row r="27">
      <c r="A27" s="13" t="s">
        <v>79</v>
      </c>
      <c r="B27" s="13"/>
      <c r="C27" s="13"/>
      <c r="D27" s="13" t="s">
        <v>80</v>
      </c>
      <c r="E27" s="13">
        <v>1.0</v>
      </c>
      <c r="F27" s="14">
        <v>16751.8</v>
      </c>
      <c r="G27" s="13" t="s">
        <v>29</v>
      </c>
      <c r="H27" s="13">
        <v>1.0</v>
      </c>
      <c r="I27" s="15"/>
      <c r="J27" s="6"/>
      <c r="K27" s="13">
        <v>1.0</v>
      </c>
      <c r="L27" s="17">
        <v>0.0</v>
      </c>
      <c r="M27" s="17">
        <v>0.0</v>
      </c>
      <c r="N27" s="17">
        <v>0.0</v>
      </c>
      <c r="O27" s="17">
        <v>0.0</v>
      </c>
      <c r="P27" s="17">
        <v>0.0</v>
      </c>
      <c r="Q27" s="17">
        <v>0.0</v>
      </c>
      <c r="R27" s="17">
        <v>0.0</v>
      </c>
      <c r="S27" s="17">
        <v>0.0</v>
      </c>
      <c r="T27" s="17">
        <v>0.0</v>
      </c>
      <c r="U27" s="17">
        <v>0.0</v>
      </c>
      <c r="V27" s="17">
        <v>0.0</v>
      </c>
      <c r="W27" s="17">
        <v>0.0</v>
      </c>
      <c r="X27" s="17">
        <v>0.0</v>
      </c>
      <c r="Y27" s="6"/>
      <c r="Z27" s="13"/>
      <c r="AA27" s="13"/>
      <c r="AB27" s="13"/>
      <c r="AC27" s="13"/>
      <c r="AD27" s="13">
        <v>1.0</v>
      </c>
      <c r="AE27" s="13"/>
      <c r="AF27" s="13"/>
      <c r="AG27" s="13" t="s">
        <v>30</v>
      </c>
      <c r="AH27" s="13" t="s">
        <v>30</v>
      </c>
      <c r="AI27" s="13" t="s">
        <v>30</v>
      </c>
      <c r="AJ27" s="13" t="s">
        <v>30</v>
      </c>
      <c r="AK27" s="13" t="s">
        <v>30</v>
      </c>
      <c r="AL27" s="13" t="s">
        <v>30</v>
      </c>
      <c r="AM27" s="13" t="s">
        <v>30</v>
      </c>
      <c r="AN27" s="6"/>
      <c r="AO27" s="13">
        <v>1.0</v>
      </c>
      <c r="AP27" s="13"/>
      <c r="AQ27" s="13"/>
      <c r="AR27" s="13"/>
      <c r="AS27" s="13"/>
      <c r="AT27" s="13">
        <v>1.0</v>
      </c>
      <c r="AU27" s="13"/>
      <c r="AV27" s="13"/>
      <c r="AW27" s="13" t="s">
        <v>30</v>
      </c>
      <c r="AX27" s="13" t="s">
        <v>30</v>
      </c>
      <c r="AY27" s="13" t="s">
        <v>30</v>
      </c>
      <c r="AZ27" s="13" t="s">
        <v>30</v>
      </c>
      <c r="BA27" s="13" t="s">
        <v>30</v>
      </c>
      <c r="BB27" s="13" t="s">
        <v>30</v>
      </c>
      <c r="BC27" s="13" t="s">
        <v>30</v>
      </c>
    </row>
    <row r="28">
      <c r="A28" s="13" t="s">
        <v>81</v>
      </c>
      <c r="B28" s="13"/>
      <c r="C28" s="13"/>
      <c r="D28" s="13" t="s">
        <v>82</v>
      </c>
      <c r="E28" s="13">
        <v>1.0</v>
      </c>
      <c r="F28" s="14">
        <v>20999.78</v>
      </c>
      <c r="G28" s="13" t="s">
        <v>29</v>
      </c>
      <c r="H28" s="13">
        <v>6.0</v>
      </c>
      <c r="I28" s="15"/>
      <c r="J28" s="6"/>
      <c r="K28" s="13">
        <v>5.0</v>
      </c>
      <c r="L28" s="17">
        <v>0.0</v>
      </c>
      <c r="M28" s="17">
        <v>0.0</v>
      </c>
      <c r="N28" s="17">
        <v>1.0</v>
      </c>
      <c r="O28" s="17">
        <v>0.0</v>
      </c>
      <c r="P28" s="17">
        <v>0.0</v>
      </c>
      <c r="Q28" s="17">
        <v>0.0</v>
      </c>
      <c r="R28" s="17">
        <v>0.0</v>
      </c>
      <c r="S28" s="17">
        <v>0.0</v>
      </c>
      <c r="T28" s="17">
        <v>0.0</v>
      </c>
      <c r="U28" s="17">
        <v>0.0</v>
      </c>
      <c r="V28" s="17">
        <v>0.0</v>
      </c>
      <c r="W28" s="17">
        <v>0.0</v>
      </c>
      <c r="X28" s="17">
        <v>0.0</v>
      </c>
      <c r="Y28" s="6"/>
      <c r="Z28" s="13"/>
      <c r="AA28" s="13">
        <v>1.0</v>
      </c>
      <c r="AB28" s="13">
        <v>1.0</v>
      </c>
      <c r="AC28" s="13">
        <v>1.0</v>
      </c>
      <c r="AD28" s="13">
        <v>1.0</v>
      </c>
      <c r="AE28" s="13">
        <v>1.0</v>
      </c>
      <c r="AF28" s="13">
        <v>1.0</v>
      </c>
      <c r="AG28" s="13" t="s">
        <v>30</v>
      </c>
      <c r="AH28" s="13" t="s">
        <v>30</v>
      </c>
      <c r="AI28" s="13" t="s">
        <v>30</v>
      </c>
      <c r="AJ28" s="13" t="s">
        <v>30</v>
      </c>
      <c r="AK28" s="13" t="s">
        <v>30</v>
      </c>
      <c r="AL28" s="13" t="s">
        <v>30</v>
      </c>
      <c r="AM28" s="13" t="s">
        <v>30</v>
      </c>
      <c r="AN28" s="6"/>
      <c r="AO28" s="13">
        <v>6.0</v>
      </c>
      <c r="AP28" s="13"/>
      <c r="AQ28" s="13">
        <v>1.0</v>
      </c>
      <c r="AR28" s="13">
        <v>1.0</v>
      </c>
      <c r="AS28" s="13">
        <v>1.0</v>
      </c>
      <c r="AT28" s="13">
        <v>1.0</v>
      </c>
      <c r="AU28" s="13">
        <v>1.0</v>
      </c>
      <c r="AV28" s="13">
        <v>1.0</v>
      </c>
      <c r="AW28" s="13" t="s">
        <v>30</v>
      </c>
      <c r="AX28" s="13" t="s">
        <v>30</v>
      </c>
      <c r="AY28" s="13" t="s">
        <v>30</v>
      </c>
      <c r="AZ28" s="13" t="s">
        <v>30</v>
      </c>
      <c r="BA28" s="13" t="s">
        <v>30</v>
      </c>
      <c r="BB28" s="13" t="s">
        <v>30</v>
      </c>
      <c r="BC28" s="13" t="s">
        <v>30</v>
      </c>
    </row>
    <row r="29">
      <c r="A29" s="13" t="s">
        <v>83</v>
      </c>
      <c r="B29" s="13"/>
      <c r="C29" s="13"/>
      <c r="D29" s="13" t="s">
        <v>84</v>
      </c>
      <c r="E29" s="13">
        <v>1.0</v>
      </c>
      <c r="F29" s="14">
        <v>8905.83</v>
      </c>
      <c r="G29" s="13" t="s">
        <v>29</v>
      </c>
      <c r="H29" s="13">
        <v>5.0</v>
      </c>
      <c r="I29" s="15"/>
      <c r="J29" s="6"/>
      <c r="K29" s="13">
        <v>5.0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6"/>
      <c r="Z29" s="13">
        <v>1.0</v>
      </c>
      <c r="AA29" s="13">
        <v>1.0</v>
      </c>
      <c r="AB29" s="13">
        <v>1.0</v>
      </c>
      <c r="AC29" s="13">
        <v>1.0</v>
      </c>
      <c r="AD29" s="13"/>
      <c r="AE29" s="13">
        <v>1.0</v>
      </c>
      <c r="AF29" s="13"/>
      <c r="AG29" s="13" t="s">
        <v>30</v>
      </c>
      <c r="AH29" s="13" t="s">
        <v>30</v>
      </c>
      <c r="AI29" s="13" t="s">
        <v>30</v>
      </c>
      <c r="AJ29" s="13" t="s">
        <v>30</v>
      </c>
      <c r="AK29" s="13" t="s">
        <v>30</v>
      </c>
      <c r="AL29" s="13" t="s">
        <v>30</v>
      </c>
      <c r="AM29" s="13" t="s">
        <v>30</v>
      </c>
      <c r="AN29" s="6"/>
      <c r="AO29" s="13">
        <v>5.0</v>
      </c>
      <c r="AP29" s="13">
        <v>1.0</v>
      </c>
      <c r="AQ29" s="13">
        <v>1.0</v>
      </c>
      <c r="AR29" s="13">
        <v>1.0</v>
      </c>
      <c r="AS29" s="13">
        <v>1.0</v>
      </c>
      <c r="AT29" s="13"/>
      <c r="AU29" s="13">
        <v>1.0</v>
      </c>
      <c r="AV29" s="13"/>
      <c r="AW29" s="13" t="s">
        <v>30</v>
      </c>
      <c r="AX29" s="13" t="s">
        <v>30</v>
      </c>
      <c r="AY29" s="13" t="s">
        <v>30</v>
      </c>
      <c r="AZ29" s="13" t="s">
        <v>30</v>
      </c>
      <c r="BA29" s="13" t="s">
        <v>30</v>
      </c>
      <c r="BB29" s="13" t="s">
        <v>30</v>
      </c>
      <c r="BC29" s="13" t="s">
        <v>30</v>
      </c>
    </row>
    <row r="30">
      <c r="A30" s="13" t="s">
        <v>85</v>
      </c>
      <c r="B30" s="13"/>
      <c r="C30" s="13">
        <v>22373.0</v>
      </c>
      <c r="D30" s="13" t="s">
        <v>86</v>
      </c>
      <c r="E30" s="13">
        <v>1.0</v>
      </c>
      <c r="F30" s="14">
        <v>917.42</v>
      </c>
      <c r="G30" s="13" t="s">
        <v>29</v>
      </c>
      <c r="H30" s="13">
        <v>1.0</v>
      </c>
      <c r="I30" s="15"/>
      <c r="J30" s="6"/>
      <c r="K30" s="13">
        <v>0.0</v>
      </c>
      <c r="L30" s="17">
        <v>0.0</v>
      </c>
      <c r="M30" s="17">
        <v>0.0</v>
      </c>
      <c r="N30" s="17">
        <v>0.0</v>
      </c>
      <c r="O30" s="17">
        <v>0.0</v>
      </c>
      <c r="P30" s="17">
        <v>0.0</v>
      </c>
      <c r="Q30" s="17">
        <v>0.0</v>
      </c>
      <c r="R30" s="16">
        <v>1.0</v>
      </c>
      <c r="S30" s="17">
        <v>0.0</v>
      </c>
      <c r="T30" s="17">
        <v>0.0</v>
      </c>
      <c r="U30" s="17">
        <v>0.0</v>
      </c>
      <c r="V30" s="17">
        <v>0.0</v>
      </c>
      <c r="W30" s="17">
        <v>0.0</v>
      </c>
      <c r="X30" s="17">
        <v>0.0</v>
      </c>
      <c r="Y30" s="6"/>
      <c r="Z30" s="13"/>
      <c r="AA30" s="13"/>
      <c r="AB30" s="13"/>
      <c r="AC30" s="13"/>
      <c r="AD30" s="13"/>
      <c r="AE30" s="13">
        <v>1.0</v>
      </c>
      <c r="AF30" s="13"/>
      <c r="AG30" s="13" t="s">
        <v>30</v>
      </c>
      <c r="AH30" s="13" t="s">
        <v>30</v>
      </c>
      <c r="AI30" s="13" t="s">
        <v>30</v>
      </c>
      <c r="AJ30" s="13" t="s">
        <v>30</v>
      </c>
      <c r="AK30" s="13" t="s">
        <v>30</v>
      </c>
      <c r="AL30" s="13" t="s">
        <v>30</v>
      </c>
      <c r="AM30" s="13" t="s">
        <v>30</v>
      </c>
      <c r="AN30" s="6"/>
      <c r="AO30" s="13">
        <v>7.0</v>
      </c>
      <c r="AP30" s="13">
        <v>1.0</v>
      </c>
      <c r="AQ30" s="13">
        <v>1.0</v>
      </c>
      <c r="AR30" s="13">
        <v>1.0</v>
      </c>
      <c r="AS30" s="13">
        <v>1.0</v>
      </c>
      <c r="AT30" s="13">
        <v>1.0</v>
      </c>
      <c r="AU30" s="13">
        <v>1.0</v>
      </c>
      <c r="AV30" s="13">
        <v>1.0</v>
      </c>
      <c r="AW30" s="13" t="s">
        <v>30</v>
      </c>
      <c r="AX30" s="13" t="s">
        <v>30</v>
      </c>
      <c r="AY30" s="13" t="s">
        <v>30</v>
      </c>
      <c r="AZ30" s="13" t="s">
        <v>30</v>
      </c>
      <c r="BA30" s="13" t="s">
        <v>30</v>
      </c>
      <c r="BB30" s="13" t="s">
        <v>30</v>
      </c>
      <c r="BC30" s="13" t="s">
        <v>30</v>
      </c>
    </row>
    <row r="31">
      <c r="A31" s="13" t="s">
        <v>87</v>
      </c>
      <c r="B31" s="13"/>
      <c r="C31" s="13"/>
      <c r="D31" s="13" t="s">
        <v>88</v>
      </c>
      <c r="E31" s="13">
        <v>1.0</v>
      </c>
      <c r="F31" s="14">
        <v>1034.96</v>
      </c>
      <c r="G31" s="13" t="s">
        <v>29</v>
      </c>
      <c r="H31" s="13">
        <v>13.0</v>
      </c>
      <c r="I31" s="15"/>
      <c r="J31" s="6"/>
      <c r="K31" s="13">
        <v>13.0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7">
        <v>0.0</v>
      </c>
      <c r="S31" s="17">
        <v>0.0</v>
      </c>
      <c r="T31" s="17">
        <v>0.0</v>
      </c>
      <c r="U31" s="17">
        <v>0.0</v>
      </c>
      <c r="V31" s="17">
        <v>0.0</v>
      </c>
      <c r="W31" s="17">
        <v>0.0</v>
      </c>
      <c r="X31" s="17">
        <v>0.0</v>
      </c>
      <c r="Y31" s="6"/>
      <c r="Z31" s="13">
        <v>2.0</v>
      </c>
      <c r="AA31" s="13">
        <v>2.0</v>
      </c>
      <c r="AB31" s="13">
        <v>2.0</v>
      </c>
      <c r="AC31" s="13">
        <v>2.0</v>
      </c>
      <c r="AD31" s="13">
        <v>2.0</v>
      </c>
      <c r="AE31" s="13">
        <v>2.0</v>
      </c>
      <c r="AF31" s="13">
        <v>1.0</v>
      </c>
      <c r="AG31" s="13" t="s">
        <v>30</v>
      </c>
      <c r="AH31" s="13" t="s">
        <v>30</v>
      </c>
      <c r="AI31" s="13" t="s">
        <v>30</v>
      </c>
      <c r="AJ31" s="13" t="s">
        <v>30</v>
      </c>
      <c r="AK31" s="13" t="s">
        <v>30</v>
      </c>
      <c r="AL31" s="13" t="s">
        <v>30</v>
      </c>
      <c r="AM31" s="13" t="s">
        <v>30</v>
      </c>
      <c r="AN31" s="6"/>
      <c r="AO31" s="13">
        <v>13.0</v>
      </c>
      <c r="AP31" s="13">
        <v>2.0</v>
      </c>
      <c r="AQ31" s="13">
        <v>2.0</v>
      </c>
      <c r="AR31" s="13">
        <v>2.0</v>
      </c>
      <c r="AS31" s="13">
        <v>2.0</v>
      </c>
      <c r="AT31" s="13">
        <v>2.0</v>
      </c>
      <c r="AU31" s="13">
        <v>2.0</v>
      </c>
      <c r="AV31" s="13">
        <v>1.0</v>
      </c>
      <c r="AW31" s="13" t="s">
        <v>30</v>
      </c>
      <c r="AX31" s="13" t="s">
        <v>30</v>
      </c>
      <c r="AY31" s="13" t="s">
        <v>30</v>
      </c>
      <c r="AZ31" s="13" t="s">
        <v>30</v>
      </c>
      <c r="BA31" s="13" t="s">
        <v>30</v>
      </c>
      <c r="BB31" s="13" t="s">
        <v>30</v>
      </c>
      <c r="BC31" s="13" t="s">
        <v>30</v>
      </c>
    </row>
    <row r="32">
      <c r="A32" s="13" t="s">
        <v>89</v>
      </c>
      <c r="B32" s="13"/>
      <c r="C32" s="13"/>
      <c r="D32" s="13" t="s">
        <v>90</v>
      </c>
      <c r="E32" s="13">
        <v>1.0</v>
      </c>
      <c r="F32" s="14">
        <v>532.33</v>
      </c>
      <c r="G32" s="13" t="s">
        <v>29</v>
      </c>
      <c r="H32" s="13">
        <v>38.0</v>
      </c>
      <c r="I32" s="15"/>
      <c r="J32" s="6"/>
      <c r="K32" s="13">
        <v>38.0</v>
      </c>
      <c r="L32" s="17">
        <v>0.0</v>
      </c>
      <c r="M32" s="17">
        <v>0.0</v>
      </c>
      <c r="N32" s="17">
        <v>0.0</v>
      </c>
      <c r="O32" s="17">
        <v>0.0</v>
      </c>
      <c r="P32" s="17">
        <v>0.0</v>
      </c>
      <c r="Q32" s="17">
        <v>0.0</v>
      </c>
      <c r="R32" s="17">
        <v>0.0</v>
      </c>
      <c r="S32" s="17">
        <v>0.0</v>
      </c>
      <c r="T32" s="17">
        <v>0.0</v>
      </c>
      <c r="U32" s="17">
        <v>0.0</v>
      </c>
      <c r="V32" s="17">
        <v>0.0</v>
      </c>
      <c r="W32" s="17">
        <v>0.0</v>
      </c>
      <c r="X32" s="17">
        <v>0.0</v>
      </c>
      <c r="Y32" s="6"/>
      <c r="Z32" s="13" t="s">
        <v>30</v>
      </c>
      <c r="AA32" s="13">
        <v>4.0</v>
      </c>
      <c r="AB32" s="13" t="s">
        <v>30</v>
      </c>
      <c r="AC32" s="13" t="s">
        <v>30</v>
      </c>
      <c r="AD32" s="13">
        <v>23.0</v>
      </c>
      <c r="AE32" s="13" t="s">
        <v>30</v>
      </c>
      <c r="AF32" s="13">
        <v>11.0</v>
      </c>
      <c r="AG32" s="13" t="s">
        <v>30</v>
      </c>
      <c r="AH32" s="13" t="s">
        <v>30</v>
      </c>
      <c r="AI32" s="13" t="s">
        <v>30</v>
      </c>
      <c r="AJ32" s="13" t="s">
        <v>30</v>
      </c>
      <c r="AK32" s="13" t="s">
        <v>30</v>
      </c>
      <c r="AL32" s="13" t="s">
        <v>30</v>
      </c>
      <c r="AM32" s="13" t="s">
        <v>30</v>
      </c>
      <c r="AN32" s="6"/>
      <c r="AO32" s="13">
        <v>38.0</v>
      </c>
      <c r="AP32" s="13" t="s">
        <v>30</v>
      </c>
      <c r="AQ32" s="13">
        <v>4.0</v>
      </c>
      <c r="AR32" s="13" t="s">
        <v>30</v>
      </c>
      <c r="AS32" s="13" t="s">
        <v>30</v>
      </c>
      <c r="AT32" s="13">
        <v>23.0</v>
      </c>
      <c r="AU32" s="13" t="s">
        <v>30</v>
      </c>
      <c r="AV32" s="13">
        <v>11.0</v>
      </c>
      <c r="AW32" s="13" t="s">
        <v>30</v>
      </c>
      <c r="AX32" s="13" t="s">
        <v>30</v>
      </c>
      <c r="AY32" s="13" t="s">
        <v>30</v>
      </c>
      <c r="AZ32" s="13" t="s">
        <v>30</v>
      </c>
      <c r="BA32" s="13" t="s">
        <v>30</v>
      </c>
      <c r="BB32" s="13" t="s">
        <v>30</v>
      </c>
      <c r="BC32" s="13" t="s">
        <v>30</v>
      </c>
    </row>
    <row r="33">
      <c r="A33" s="13" t="s">
        <v>91</v>
      </c>
      <c r="B33" s="13"/>
      <c r="C33" s="13"/>
      <c r="D33" s="13" t="s">
        <v>92</v>
      </c>
      <c r="E33" s="13">
        <v>1.0</v>
      </c>
      <c r="F33" s="14">
        <v>13787.11</v>
      </c>
      <c r="G33" s="13" t="s">
        <v>29</v>
      </c>
      <c r="H33" s="13">
        <v>8.0</v>
      </c>
      <c r="I33" s="15"/>
      <c r="J33" s="6"/>
      <c r="K33" s="13">
        <v>8.0</v>
      </c>
      <c r="L33" s="17">
        <v>0.0</v>
      </c>
      <c r="M33" s="17">
        <v>0.0</v>
      </c>
      <c r="N33" s="17">
        <v>0.0</v>
      </c>
      <c r="O33" s="17">
        <v>0.0</v>
      </c>
      <c r="P33" s="17">
        <v>0.0</v>
      </c>
      <c r="Q33" s="17">
        <v>0.0</v>
      </c>
      <c r="R33" s="17">
        <v>0.0</v>
      </c>
      <c r="S33" s="17">
        <v>0.0</v>
      </c>
      <c r="T33" s="17">
        <v>0.0</v>
      </c>
      <c r="U33" s="17">
        <v>0.0</v>
      </c>
      <c r="V33" s="17">
        <v>0.0</v>
      </c>
      <c r="W33" s="17">
        <v>0.0</v>
      </c>
      <c r="X33" s="17">
        <v>0.0</v>
      </c>
      <c r="Y33" s="6"/>
      <c r="Z33" s="13" t="s">
        <v>30</v>
      </c>
      <c r="AA33" s="13">
        <v>2.0</v>
      </c>
      <c r="AB33" s="13" t="s">
        <v>30</v>
      </c>
      <c r="AC33" s="13" t="s">
        <v>30</v>
      </c>
      <c r="AD33" s="13">
        <v>3.0</v>
      </c>
      <c r="AE33" s="13" t="s">
        <v>30</v>
      </c>
      <c r="AF33" s="13">
        <v>3.0</v>
      </c>
      <c r="AG33" s="13" t="s">
        <v>30</v>
      </c>
      <c r="AH33" s="13" t="s">
        <v>30</v>
      </c>
      <c r="AI33" s="13" t="s">
        <v>30</v>
      </c>
      <c r="AJ33" s="13" t="s">
        <v>30</v>
      </c>
      <c r="AK33" s="13" t="s">
        <v>30</v>
      </c>
      <c r="AL33" s="13" t="s">
        <v>30</v>
      </c>
      <c r="AM33" s="13" t="s">
        <v>30</v>
      </c>
      <c r="AN33" s="6"/>
      <c r="AO33" s="13">
        <v>8.0</v>
      </c>
      <c r="AP33" s="13" t="s">
        <v>30</v>
      </c>
      <c r="AQ33" s="13">
        <v>2.0</v>
      </c>
      <c r="AR33" s="13" t="s">
        <v>30</v>
      </c>
      <c r="AS33" s="13" t="s">
        <v>30</v>
      </c>
      <c r="AT33" s="13">
        <v>3.0</v>
      </c>
      <c r="AU33" s="13" t="s">
        <v>30</v>
      </c>
      <c r="AV33" s="13">
        <v>3.0</v>
      </c>
      <c r="AW33" s="13" t="s">
        <v>30</v>
      </c>
      <c r="AX33" s="13" t="s">
        <v>30</v>
      </c>
      <c r="AY33" s="13" t="s">
        <v>30</v>
      </c>
      <c r="AZ33" s="13" t="s">
        <v>30</v>
      </c>
      <c r="BA33" s="13" t="s">
        <v>30</v>
      </c>
      <c r="BB33" s="13" t="s">
        <v>30</v>
      </c>
      <c r="BC33" s="13" t="s">
        <v>30</v>
      </c>
    </row>
    <row r="34">
      <c r="A34" s="13" t="s">
        <v>93</v>
      </c>
      <c r="B34" s="13"/>
      <c r="C34" s="13"/>
      <c r="D34" s="13" t="s">
        <v>94</v>
      </c>
      <c r="E34" s="13">
        <v>1.0</v>
      </c>
      <c r="F34" s="14">
        <v>1399.52</v>
      </c>
      <c r="G34" s="13" t="s">
        <v>29</v>
      </c>
      <c r="H34" s="13">
        <v>9.0</v>
      </c>
      <c r="I34" s="15"/>
      <c r="J34" s="6"/>
      <c r="K34" s="13">
        <v>7.0</v>
      </c>
      <c r="L34" s="17">
        <v>0.0</v>
      </c>
      <c r="M34" s="16">
        <v>1.0</v>
      </c>
      <c r="N34" s="17">
        <v>0.0</v>
      </c>
      <c r="O34" s="17">
        <v>0.0</v>
      </c>
      <c r="P34" s="17">
        <v>0.0</v>
      </c>
      <c r="Q34" s="17">
        <v>0.0</v>
      </c>
      <c r="R34" s="17">
        <v>0.0</v>
      </c>
      <c r="S34" s="16">
        <v>1.0</v>
      </c>
      <c r="T34" s="17">
        <v>0.0</v>
      </c>
      <c r="U34" s="17">
        <v>0.0</v>
      </c>
      <c r="V34" s="17">
        <v>0.0</v>
      </c>
      <c r="W34" s="17">
        <v>0.0</v>
      </c>
      <c r="X34" s="17">
        <v>0.0</v>
      </c>
      <c r="Y34" s="6"/>
      <c r="Z34" s="13" t="s">
        <v>30</v>
      </c>
      <c r="AA34" s="13">
        <v>2.0</v>
      </c>
      <c r="AB34" s="13" t="s">
        <v>30</v>
      </c>
      <c r="AC34" s="13" t="s">
        <v>30</v>
      </c>
      <c r="AD34" s="13">
        <v>4.0</v>
      </c>
      <c r="AE34" s="13" t="s">
        <v>30</v>
      </c>
      <c r="AF34" s="13">
        <v>3.0</v>
      </c>
      <c r="AG34" s="13" t="s">
        <v>30</v>
      </c>
      <c r="AH34" s="13" t="s">
        <v>30</v>
      </c>
      <c r="AI34" s="13" t="s">
        <v>30</v>
      </c>
      <c r="AJ34" s="13" t="s">
        <v>30</v>
      </c>
      <c r="AK34" s="13" t="s">
        <v>30</v>
      </c>
      <c r="AL34" s="13" t="s">
        <v>30</v>
      </c>
      <c r="AM34" s="13" t="s">
        <v>30</v>
      </c>
      <c r="AN34" s="6"/>
      <c r="AO34" s="13">
        <v>9.0</v>
      </c>
      <c r="AP34" s="13" t="s">
        <v>30</v>
      </c>
      <c r="AQ34" s="13">
        <v>2.0</v>
      </c>
      <c r="AR34" s="13" t="s">
        <v>30</v>
      </c>
      <c r="AS34" s="13" t="s">
        <v>30</v>
      </c>
      <c r="AT34" s="13">
        <v>4.0</v>
      </c>
      <c r="AU34" s="13" t="s">
        <v>30</v>
      </c>
      <c r="AV34" s="13">
        <v>3.0</v>
      </c>
      <c r="AW34" s="13" t="s">
        <v>30</v>
      </c>
      <c r="AX34" s="13" t="s">
        <v>30</v>
      </c>
      <c r="AY34" s="13" t="s">
        <v>30</v>
      </c>
      <c r="AZ34" s="13" t="s">
        <v>30</v>
      </c>
      <c r="BA34" s="13" t="s">
        <v>30</v>
      </c>
      <c r="BB34" s="13" t="s">
        <v>30</v>
      </c>
      <c r="BC34" s="13" t="s">
        <v>30</v>
      </c>
    </row>
    <row r="35">
      <c r="A35" s="13" t="s">
        <v>95</v>
      </c>
      <c r="B35" s="13"/>
      <c r="C35" s="13"/>
      <c r="D35" s="13" t="s">
        <v>96</v>
      </c>
      <c r="E35" s="13">
        <v>1.0</v>
      </c>
      <c r="F35" s="14">
        <v>1742.25</v>
      </c>
      <c r="G35" s="13" t="s">
        <v>29</v>
      </c>
      <c r="H35" s="13">
        <v>13.0</v>
      </c>
      <c r="I35" s="15"/>
      <c r="J35" s="6"/>
      <c r="K35" s="13">
        <v>12.0</v>
      </c>
      <c r="L35" s="17">
        <v>0.0</v>
      </c>
      <c r="M35" s="17">
        <v>0.0</v>
      </c>
      <c r="N35" s="17">
        <v>0.0</v>
      </c>
      <c r="O35" s="17">
        <v>0.0</v>
      </c>
      <c r="P35" s="17">
        <v>0.0</v>
      </c>
      <c r="Q35" s="17">
        <v>0.0</v>
      </c>
      <c r="R35" s="17">
        <v>0.0</v>
      </c>
      <c r="S35" s="17">
        <v>0.0</v>
      </c>
      <c r="T35" s="16">
        <v>1.0</v>
      </c>
      <c r="U35" s="17">
        <v>0.0</v>
      </c>
      <c r="V35" s="17">
        <v>0.0</v>
      </c>
      <c r="W35" s="17">
        <v>0.0</v>
      </c>
      <c r="X35" s="17">
        <v>0.0</v>
      </c>
      <c r="Y35" s="6"/>
      <c r="Z35" s="13">
        <v>2.0</v>
      </c>
      <c r="AA35" s="13">
        <v>2.0</v>
      </c>
      <c r="AB35" s="13">
        <v>2.0</v>
      </c>
      <c r="AC35" s="13">
        <v>2.0</v>
      </c>
      <c r="AD35" s="13">
        <v>2.0</v>
      </c>
      <c r="AE35" s="13">
        <v>2.0</v>
      </c>
      <c r="AF35" s="13">
        <v>1.0</v>
      </c>
      <c r="AG35" s="13" t="s">
        <v>30</v>
      </c>
      <c r="AH35" s="13" t="s">
        <v>30</v>
      </c>
      <c r="AI35" s="13" t="s">
        <v>30</v>
      </c>
      <c r="AJ35" s="13" t="s">
        <v>30</v>
      </c>
      <c r="AK35" s="13" t="s">
        <v>30</v>
      </c>
      <c r="AL35" s="13" t="s">
        <v>30</v>
      </c>
      <c r="AM35" s="13" t="s">
        <v>30</v>
      </c>
      <c r="AN35" s="6"/>
      <c r="AO35" s="13">
        <v>13.0</v>
      </c>
      <c r="AP35" s="13">
        <v>2.0</v>
      </c>
      <c r="AQ35" s="13">
        <v>2.0</v>
      </c>
      <c r="AR35" s="13">
        <v>2.0</v>
      </c>
      <c r="AS35" s="13">
        <v>2.0</v>
      </c>
      <c r="AT35" s="13">
        <v>2.0</v>
      </c>
      <c r="AU35" s="13">
        <v>2.0</v>
      </c>
      <c r="AV35" s="13">
        <v>1.0</v>
      </c>
      <c r="AW35" s="13" t="s">
        <v>30</v>
      </c>
      <c r="AX35" s="13" t="s">
        <v>30</v>
      </c>
      <c r="AY35" s="13" t="s">
        <v>30</v>
      </c>
      <c r="AZ35" s="13" t="s">
        <v>30</v>
      </c>
      <c r="BA35" s="13" t="s">
        <v>30</v>
      </c>
      <c r="BB35" s="13" t="s">
        <v>30</v>
      </c>
      <c r="BC35" s="13" t="s">
        <v>30</v>
      </c>
    </row>
    <row r="36">
      <c r="A36" s="13" t="s">
        <v>97</v>
      </c>
      <c r="B36" s="13"/>
      <c r="C36" s="13"/>
      <c r="D36" s="13" t="s">
        <v>98</v>
      </c>
      <c r="E36" s="13">
        <v>1.0</v>
      </c>
      <c r="F36" s="14">
        <v>10292.41</v>
      </c>
      <c r="G36" s="13" t="s">
        <v>29</v>
      </c>
      <c r="H36" s="13">
        <v>10.0</v>
      </c>
      <c r="I36" s="15"/>
      <c r="J36" s="6"/>
      <c r="K36" s="13">
        <v>8.0</v>
      </c>
      <c r="L36" s="17">
        <v>0.0</v>
      </c>
      <c r="M36" s="17">
        <v>0.0</v>
      </c>
      <c r="N36" s="17">
        <v>0.0</v>
      </c>
      <c r="O36" s="17">
        <v>0.0</v>
      </c>
      <c r="P36" s="17">
        <v>0.0</v>
      </c>
      <c r="Q36" s="17">
        <v>0.0</v>
      </c>
      <c r="R36" s="17">
        <v>0.0</v>
      </c>
      <c r="S36" s="17">
        <v>0.0</v>
      </c>
      <c r="T36" s="17">
        <v>0.0</v>
      </c>
      <c r="U36" s="17">
        <v>0.0</v>
      </c>
      <c r="V36" s="17">
        <v>0.0</v>
      </c>
      <c r="W36" s="16">
        <v>2.0</v>
      </c>
      <c r="X36" s="17">
        <v>0.0</v>
      </c>
      <c r="Y36" s="6"/>
      <c r="Z36" s="13" t="s">
        <v>30</v>
      </c>
      <c r="AA36" s="13">
        <v>3.0</v>
      </c>
      <c r="AB36" s="13" t="s">
        <v>30</v>
      </c>
      <c r="AC36" s="13" t="s">
        <v>30</v>
      </c>
      <c r="AD36" s="13">
        <v>4.0</v>
      </c>
      <c r="AE36" s="13" t="s">
        <v>30</v>
      </c>
      <c r="AF36" s="13">
        <v>3.0</v>
      </c>
      <c r="AG36" s="13" t="s">
        <v>30</v>
      </c>
      <c r="AH36" s="13" t="s">
        <v>30</v>
      </c>
      <c r="AI36" s="13" t="s">
        <v>30</v>
      </c>
      <c r="AJ36" s="13" t="s">
        <v>30</v>
      </c>
      <c r="AK36" s="13" t="s">
        <v>30</v>
      </c>
      <c r="AL36" s="13" t="s">
        <v>30</v>
      </c>
      <c r="AM36" s="13" t="s">
        <v>30</v>
      </c>
      <c r="AN36" s="6"/>
      <c r="AO36" s="13">
        <v>10.0</v>
      </c>
      <c r="AP36" s="13" t="s">
        <v>30</v>
      </c>
      <c r="AQ36" s="13">
        <v>3.0</v>
      </c>
      <c r="AR36" s="13" t="s">
        <v>30</v>
      </c>
      <c r="AS36" s="13" t="s">
        <v>30</v>
      </c>
      <c r="AT36" s="13">
        <v>4.0</v>
      </c>
      <c r="AU36" s="13" t="s">
        <v>30</v>
      </c>
      <c r="AV36" s="13">
        <v>3.0</v>
      </c>
      <c r="AW36" s="13" t="s">
        <v>30</v>
      </c>
      <c r="AX36" s="13" t="s">
        <v>30</v>
      </c>
      <c r="AY36" s="13" t="s">
        <v>30</v>
      </c>
      <c r="AZ36" s="13" t="s">
        <v>30</v>
      </c>
      <c r="BA36" s="13" t="s">
        <v>30</v>
      </c>
      <c r="BB36" s="13" t="s">
        <v>30</v>
      </c>
      <c r="BC36" s="13" t="s">
        <v>30</v>
      </c>
    </row>
    <row r="37">
      <c r="A37" s="13" t="s">
        <v>99</v>
      </c>
      <c r="B37" s="13"/>
      <c r="C37" s="13"/>
      <c r="D37" s="13" t="s">
        <v>100</v>
      </c>
      <c r="E37" s="13">
        <v>1.0</v>
      </c>
      <c r="F37" s="14">
        <v>3379.72</v>
      </c>
      <c r="G37" s="13" t="s">
        <v>29</v>
      </c>
      <c r="H37" s="13">
        <v>6.0</v>
      </c>
      <c r="I37" s="15"/>
      <c r="J37" s="6"/>
      <c r="K37" s="13">
        <v>6.0</v>
      </c>
      <c r="L37" s="17">
        <v>0.0</v>
      </c>
      <c r="M37" s="17">
        <v>0.0</v>
      </c>
      <c r="N37" s="17">
        <v>0.0</v>
      </c>
      <c r="O37" s="17">
        <v>0.0</v>
      </c>
      <c r="P37" s="17">
        <v>0.0</v>
      </c>
      <c r="Q37" s="17">
        <v>0.0</v>
      </c>
      <c r="R37" s="17">
        <v>0.0</v>
      </c>
      <c r="S37" s="17">
        <v>0.0</v>
      </c>
      <c r="T37" s="17">
        <v>0.0</v>
      </c>
      <c r="U37" s="17">
        <v>0.0</v>
      </c>
      <c r="V37" s="17">
        <v>0.0</v>
      </c>
      <c r="W37" s="17">
        <v>0.0</v>
      </c>
      <c r="X37" s="17">
        <v>0.0</v>
      </c>
      <c r="Y37" s="6"/>
      <c r="Z37" s="13" t="s">
        <v>30</v>
      </c>
      <c r="AA37" s="13">
        <v>1.0</v>
      </c>
      <c r="AB37" s="13" t="s">
        <v>30</v>
      </c>
      <c r="AC37" s="13" t="s">
        <v>30</v>
      </c>
      <c r="AD37" s="13">
        <v>3.0</v>
      </c>
      <c r="AE37" s="13" t="s">
        <v>30</v>
      </c>
      <c r="AF37" s="13">
        <v>2.0</v>
      </c>
      <c r="AG37" s="13" t="s">
        <v>30</v>
      </c>
      <c r="AH37" s="13" t="s">
        <v>30</v>
      </c>
      <c r="AI37" s="13" t="s">
        <v>30</v>
      </c>
      <c r="AJ37" s="13" t="s">
        <v>30</v>
      </c>
      <c r="AK37" s="13" t="s">
        <v>30</v>
      </c>
      <c r="AL37" s="13" t="s">
        <v>30</v>
      </c>
      <c r="AM37" s="13" t="s">
        <v>30</v>
      </c>
      <c r="AN37" s="6"/>
      <c r="AO37" s="13">
        <v>6.0</v>
      </c>
      <c r="AP37" s="13" t="s">
        <v>30</v>
      </c>
      <c r="AQ37" s="13">
        <v>1.0</v>
      </c>
      <c r="AR37" s="13" t="s">
        <v>30</v>
      </c>
      <c r="AS37" s="13" t="s">
        <v>30</v>
      </c>
      <c r="AT37" s="13">
        <v>3.0</v>
      </c>
      <c r="AU37" s="13" t="s">
        <v>30</v>
      </c>
      <c r="AV37" s="13">
        <v>2.0</v>
      </c>
      <c r="AW37" s="13" t="s">
        <v>30</v>
      </c>
      <c r="AX37" s="13" t="s">
        <v>30</v>
      </c>
      <c r="AY37" s="13" t="s">
        <v>30</v>
      </c>
      <c r="AZ37" s="13" t="s">
        <v>30</v>
      </c>
      <c r="BA37" s="13" t="s">
        <v>30</v>
      </c>
      <c r="BB37" s="13" t="s">
        <v>30</v>
      </c>
      <c r="BC37" s="13" t="s">
        <v>30</v>
      </c>
    </row>
    <row r="38">
      <c r="A38" s="13" t="s">
        <v>101</v>
      </c>
      <c r="B38" s="13"/>
      <c r="C38" s="13" t="s">
        <v>48</v>
      </c>
      <c r="D38" s="13" t="s">
        <v>102</v>
      </c>
      <c r="E38" s="13">
        <v>2.0</v>
      </c>
      <c r="F38" s="14">
        <v>633.28</v>
      </c>
      <c r="G38" s="13" t="s">
        <v>29</v>
      </c>
      <c r="H38" s="13">
        <v>0.0</v>
      </c>
      <c r="I38" s="15"/>
      <c r="J38" s="6"/>
      <c r="K38" s="13">
        <v>0.0</v>
      </c>
      <c r="L38" s="16">
        <v>0.0</v>
      </c>
      <c r="M38" s="16">
        <v>0.0</v>
      </c>
      <c r="N38" s="16">
        <v>0.0</v>
      </c>
      <c r="O38" s="16">
        <v>0.0</v>
      </c>
      <c r="P38" s="16">
        <v>0.0</v>
      </c>
      <c r="Q38" s="16">
        <v>0.0</v>
      </c>
      <c r="R38" s="16">
        <v>0.0</v>
      </c>
      <c r="S38" s="16">
        <v>0.0</v>
      </c>
      <c r="T38" s="16">
        <v>0.0</v>
      </c>
      <c r="U38" s="16">
        <v>0.0</v>
      </c>
      <c r="V38" s="16">
        <v>0.0</v>
      </c>
      <c r="W38" s="16">
        <v>0.0</v>
      </c>
      <c r="X38" s="16">
        <v>0.0</v>
      </c>
      <c r="Y38" s="6"/>
      <c r="Z38" s="13"/>
      <c r="AA38" s="13"/>
      <c r="AB38" s="13"/>
      <c r="AC38" s="13"/>
      <c r="AD38" s="13"/>
      <c r="AE38" s="13"/>
      <c r="AF38" s="13"/>
      <c r="AG38" s="13" t="s">
        <v>30</v>
      </c>
      <c r="AH38" s="13" t="s">
        <v>30</v>
      </c>
      <c r="AI38" s="13" t="s">
        <v>30</v>
      </c>
      <c r="AJ38" s="13" t="s">
        <v>30</v>
      </c>
      <c r="AK38" s="13" t="s">
        <v>30</v>
      </c>
      <c r="AL38" s="13" t="s">
        <v>30</v>
      </c>
      <c r="AM38" s="13" t="s">
        <v>30</v>
      </c>
      <c r="AN38" s="6"/>
      <c r="AO38" s="13">
        <v>8.0</v>
      </c>
      <c r="AP38" s="13">
        <v>1.0</v>
      </c>
      <c r="AQ38" s="13">
        <v>1.0</v>
      </c>
      <c r="AR38" s="13">
        <v>1.0</v>
      </c>
      <c r="AS38" s="13">
        <v>1.0</v>
      </c>
      <c r="AT38" s="13">
        <v>2.0</v>
      </c>
      <c r="AU38" s="13">
        <v>1.0</v>
      </c>
      <c r="AV38" s="13">
        <v>1.0</v>
      </c>
      <c r="AW38" s="13" t="s">
        <v>30</v>
      </c>
      <c r="AX38" s="13" t="s">
        <v>30</v>
      </c>
      <c r="AY38" s="13" t="s">
        <v>30</v>
      </c>
      <c r="AZ38" s="13" t="s">
        <v>30</v>
      </c>
      <c r="BA38" s="13" t="s">
        <v>30</v>
      </c>
      <c r="BB38" s="13" t="s">
        <v>30</v>
      </c>
      <c r="BC38" s="13" t="s">
        <v>30</v>
      </c>
    </row>
    <row r="39">
      <c r="A39" s="13" t="s">
        <v>103</v>
      </c>
      <c r="B39" s="13"/>
      <c r="C39" s="13" t="s">
        <v>48</v>
      </c>
      <c r="D39" s="13" t="s">
        <v>104</v>
      </c>
      <c r="E39" s="13">
        <v>2.0</v>
      </c>
      <c r="F39" s="14">
        <v>203.83</v>
      </c>
      <c r="G39" s="13" t="s">
        <v>29</v>
      </c>
      <c r="H39" s="13">
        <v>0.0</v>
      </c>
      <c r="I39" s="15"/>
      <c r="J39" s="6"/>
      <c r="K39" s="13">
        <v>0.0</v>
      </c>
      <c r="L39" s="16">
        <v>0.0</v>
      </c>
      <c r="M39" s="16">
        <v>0.0</v>
      </c>
      <c r="N39" s="16">
        <v>0.0</v>
      </c>
      <c r="O39" s="16">
        <v>0.0</v>
      </c>
      <c r="P39" s="16">
        <v>0.0</v>
      </c>
      <c r="Q39" s="16">
        <v>0.0</v>
      </c>
      <c r="R39" s="16">
        <v>0.0</v>
      </c>
      <c r="S39" s="16">
        <v>0.0</v>
      </c>
      <c r="T39" s="16">
        <v>0.0</v>
      </c>
      <c r="U39" s="16">
        <v>0.0</v>
      </c>
      <c r="V39" s="16">
        <v>0.0</v>
      </c>
      <c r="W39" s="16">
        <v>0.0</v>
      </c>
      <c r="X39" s="16">
        <v>0.0</v>
      </c>
      <c r="Y39" s="6"/>
      <c r="Z39" s="13"/>
      <c r="AA39" s="13"/>
      <c r="AB39" s="13"/>
      <c r="AC39" s="13"/>
      <c r="AD39" s="13"/>
      <c r="AE39" s="13"/>
      <c r="AF39" s="13"/>
      <c r="AG39" s="13" t="s">
        <v>30</v>
      </c>
      <c r="AH39" s="13" t="s">
        <v>30</v>
      </c>
      <c r="AI39" s="13" t="s">
        <v>30</v>
      </c>
      <c r="AJ39" s="13" t="s">
        <v>30</v>
      </c>
      <c r="AK39" s="13" t="s">
        <v>30</v>
      </c>
      <c r="AL39" s="13" t="s">
        <v>30</v>
      </c>
      <c r="AM39" s="13" t="s">
        <v>30</v>
      </c>
      <c r="AN39" s="6"/>
      <c r="AO39" s="13">
        <v>7.0</v>
      </c>
      <c r="AP39" s="13">
        <v>1.0</v>
      </c>
      <c r="AQ39" s="13">
        <v>1.0</v>
      </c>
      <c r="AR39" s="13">
        <v>1.0</v>
      </c>
      <c r="AS39" s="13">
        <v>1.0</v>
      </c>
      <c r="AT39" s="13">
        <v>1.0</v>
      </c>
      <c r="AU39" s="13">
        <v>1.0</v>
      </c>
      <c r="AV39" s="13">
        <v>1.0</v>
      </c>
      <c r="AW39" s="13" t="s">
        <v>30</v>
      </c>
      <c r="AX39" s="13" t="s">
        <v>30</v>
      </c>
      <c r="AY39" s="13" t="s">
        <v>30</v>
      </c>
      <c r="AZ39" s="13" t="s">
        <v>30</v>
      </c>
      <c r="BA39" s="13" t="s">
        <v>30</v>
      </c>
      <c r="BB39" s="13" t="s">
        <v>30</v>
      </c>
      <c r="BC39" s="13" t="s">
        <v>30</v>
      </c>
    </row>
    <row r="40">
      <c r="A40" s="13" t="s">
        <v>105</v>
      </c>
      <c r="B40" s="13"/>
      <c r="C40" s="13">
        <v>22373.0</v>
      </c>
      <c r="D40" s="13" t="s">
        <v>106</v>
      </c>
      <c r="E40" s="13">
        <v>1.0</v>
      </c>
      <c r="F40" s="14">
        <v>1412.98</v>
      </c>
      <c r="G40" s="13" t="s">
        <v>29</v>
      </c>
      <c r="H40" s="13">
        <v>1.0</v>
      </c>
      <c r="I40" s="15"/>
      <c r="J40" s="6"/>
      <c r="K40" s="13">
        <v>0.0</v>
      </c>
      <c r="L40" s="16">
        <v>0.0</v>
      </c>
      <c r="M40" s="16">
        <v>0.0</v>
      </c>
      <c r="N40" s="16">
        <v>0.0</v>
      </c>
      <c r="O40" s="16">
        <v>0.0</v>
      </c>
      <c r="P40" s="16">
        <v>0.0</v>
      </c>
      <c r="Q40" s="16">
        <v>0.0</v>
      </c>
      <c r="R40" s="16">
        <v>0.0</v>
      </c>
      <c r="S40" s="16">
        <v>0.0</v>
      </c>
      <c r="T40" s="16">
        <v>1.0</v>
      </c>
      <c r="U40" s="16">
        <v>0.0</v>
      </c>
      <c r="V40" s="16">
        <v>0.0</v>
      </c>
      <c r="W40" s="16">
        <v>0.0</v>
      </c>
      <c r="X40" s="16">
        <v>0.0</v>
      </c>
      <c r="Y40" s="6"/>
      <c r="Z40" s="13"/>
      <c r="AA40" s="13"/>
      <c r="AB40" s="13"/>
      <c r="AC40" s="13"/>
      <c r="AD40" s="13"/>
      <c r="AE40" s="13">
        <v>1.0</v>
      </c>
      <c r="AF40" s="13"/>
      <c r="AG40" s="13" t="s">
        <v>30</v>
      </c>
      <c r="AH40" s="13" t="s">
        <v>30</v>
      </c>
      <c r="AI40" s="13" t="s">
        <v>30</v>
      </c>
      <c r="AJ40" s="13" t="s">
        <v>30</v>
      </c>
      <c r="AK40" s="13" t="s">
        <v>30</v>
      </c>
      <c r="AL40" s="13" t="s">
        <v>30</v>
      </c>
      <c r="AM40" s="13" t="s">
        <v>30</v>
      </c>
      <c r="AN40" s="6"/>
      <c r="AO40" s="13">
        <v>5.0</v>
      </c>
      <c r="AP40" s="13">
        <v>1.0</v>
      </c>
      <c r="AQ40" s="13">
        <v>1.0</v>
      </c>
      <c r="AR40" s="13">
        <v>1.0</v>
      </c>
      <c r="AS40" s="13">
        <v>1.0</v>
      </c>
      <c r="AT40" s="13"/>
      <c r="AU40" s="13">
        <v>1.0</v>
      </c>
      <c r="AV40" s="13"/>
      <c r="AW40" s="13" t="s">
        <v>30</v>
      </c>
      <c r="AX40" s="13" t="s">
        <v>30</v>
      </c>
      <c r="AY40" s="13" t="s">
        <v>30</v>
      </c>
      <c r="AZ40" s="13" t="s">
        <v>30</v>
      </c>
      <c r="BA40" s="13" t="s">
        <v>30</v>
      </c>
      <c r="BB40" s="13" t="s">
        <v>30</v>
      </c>
      <c r="BC40" s="13" t="s">
        <v>30</v>
      </c>
    </row>
    <row r="41">
      <c r="A41" s="13" t="s">
        <v>107</v>
      </c>
      <c r="B41" s="13"/>
      <c r="C41" s="13"/>
      <c r="D41" s="13" t="s">
        <v>108</v>
      </c>
      <c r="E41" s="13">
        <v>1.0</v>
      </c>
      <c r="F41" s="14">
        <v>766.76</v>
      </c>
      <c r="G41" s="13" t="s">
        <v>29</v>
      </c>
      <c r="H41" s="13">
        <v>10.0</v>
      </c>
      <c r="I41" s="15"/>
      <c r="J41" s="6"/>
      <c r="K41" s="13">
        <v>9.0</v>
      </c>
      <c r="L41" s="17">
        <v>0.0</v>
      </c>
      <c r="M41" s="17">
        <v>0.0</v>
      </c>
      <c r="N41" s="17">
        <v>0.0</v>
      </c>
      <c r="O41" s="17">
        <v>0.0</v>
      </c>
      <c r="P41" s="17">
        <v>0.0</v>
      </c>
      <c r="Q41" s="17">
        <v>0.0</v>
      </c>
      <c r="R41" s="17">
        <v>0.0</v>
      </c>
      <c r="S41" s="17">
        <v>0.0</v>
      </c>
      <c r="T41" s="16">
        <v>1.0</v>
      </c>
      <c r="U41" s="17">
        <v>0.0</v>
      </c>
      <c r="V41" s="17">
        <v>0.0</v>
      </c>
      <c r="W41" s="17">
        <v>0.0</v>
      </c>
      <c r="X41" s="17">
        <v>0.0</v>
      </c>
      <c r="Y41" s="6"/>
      <c r="Z41" s="13">
        <v>1.0</v>
      </c>
      <c r="AA41" s="13">
        <v>2.0</v>
      </c>
      <c r="AB41" s="13">
        <v>2.0</v>
      </c>
      <c r="AC41" s="13">
        <v>1.0</v>
      </c>
      <c r="AD41" s="13">
        <v>1.0</v>
      </c>
      <c r="AE41" s="13">
        <v>2.0</v>
      </c>
      <c r="AF41" s="13">
        <v>1.0</v>
      </c>
      <c r="AG41" s="13" t="s">
        <v>30</v>
      </c>
      <c r="AH41" s="13" t="s">
        <v>30</v>
      </c>
      <c r="AI41" s="13" t="s">
        <v>30</v>
      </c>
      <c r="AJ41" s="13" t="s">
        <v>30</v>
      </c>
      <c r="AK41" s="13" t="s">
        <v>30</v>
      </c>
      <c r="AL41" s="13" t="s">
        <v>30</v>
      </c>
      <c r="AM41" s="13" t="s">
        <v>30</v>
      </c>
      <c r="AN41" s="6"/>
      <c r="AO41" s="13">
        <v>10.0</v>
      </c>
      <c r="AP41" s="13">
        <v>1.0</v>
      </c>
      <c r="AQ41" s="13">
        <v>2.0</v>
      </c>
      <c r="AR41" s="13">
        <v>2.0</v>
      </c>
      <c r="AS41" s="13">
        <v>1.0</v>
      </c>
      <c r="AT41" s="13">
        <v>1.0</v>
      </c>
      <c r="AU41" s="13">
        <v>2.0</v>
      </c>
      <c r="AV41" s="13">
        <v>1.0</v>
      </c>
      <c r="AW41" s="13" t="s">
        <v>30</v>
      </c>
      <c r="AX41" s="13" t="s">
        <v>30</v>
      </c>
      <c r="AY41" s="13" t="s">
        <v>30</v>
      </c>
      <c r="AZ41" s="13" t="s">
        <v>30</v>
      </c>
      <c r="BA41" s="13" t="s">
        <v>30</v>
      </c>
      <c r="BB41" s="13" t="s">
        <v>30</v>
      </c>
      <c r="BC41" s="13" t="s">
        <v>30</v>
      </c>
    </row>
    <row r="42">
      <c r="A42" s="13" t="s">
        <v>109</v>
      </c>
      <c r="B42" s="13"/>
      <c r="C42" s="13">
        <v>83326.0</v>
      </c>
      <c r="D42" s="13" t="s">
        <v>110</v>
      </c>
      <c r="E42" s="13">
        <v>1.0</v>
      </c>
      <c r="F42" s="14">
        <v>3089.89</v>
      </c>
      <c r="G42" s="13" t="s">
        <v>29</v>
      </c>
      <c r="H42" s="13">
        <v>2.0</v>
      </c>
      <c r="I42" s="15"/>
      <c r="J42" s="6"/>
      <c r="K42" s="13">
        <v>1.0</v>
      </c>
      <c r="L42" s="17">
        <v>0.0</v>
      </c>
      <c r="M42" s="16">
        <v>1.0</v>
      </c>
      <c r="N42" s="17">
        <v>0.0</v>
      </c>
      <c r="O42" s="17">
        <v>0.0</v>
      </c>
      <c r="P42" s="17">
        <v>0.0</v>
      </c>
      <c r="Q42" s="17">
        <v>0.0</v>
      </c>
      <c r="R42" s="17">
        <v>0.0</v>
      </c>
      <c r="S42" s="17">
        <v>0.0</v>
      </c>
      <c r="T42" s="17">
        <v>0.0</v>
      </c>
      <c r="U42" s="17">
        <v>0.0</v>
      </c>
      <c r="V42" s="17">
        <v>0.0</v>
      </c>
      <c r="W42" s="17">
        <v>0.0</v>
      </c>
      <c r="X42" s="17">
        <v>0.0</v>
      </c>
      <c r="Y42" s="6"/>
      <c r="Z42" s="13"/>
      <c r="AA42" s="13"/>
      <c r="AB42" s="13"/>
      <c r="AC42" s="13"/>
      <c r="AD42" s="13">
        <v>1.0</v>
      </c>
      <c r="AE42" s="13"/>
      <c r="AF42" s="13">
        <v>1.0</v>
      </c>
      <c r="AG42" s="13" t="s">
        <v>30</v>
      </c>
      <c r="AH42" s="13" t="s">
        <v>30</v>
      </c>
      <c r="AI42" s="13" t="s">
        <v>30</v>
      </c>
      <c r="AJ42" s="13" t="s">
        <v>30</v>
      </c>
      <c r="AK42" s="13" t="s">
        <v>30</v>
      </c>
      <c r="AL42" s="13" t="s">
        <v>30</v>
      </c>
      <c r="AM42" s="13" t="s">
        <v>30</v>
      </c>
      <c r="AN42" s="6"/>
      <c r="AO42" s="13">
        <v>4.0</v>
      </c>
      <c r="AP42" s="13"/>
      <c r="AQ42" s="13">
        <v>1.0</v>
      </c>
      <c r="AR42" s="13"/>
      <c r="AS42" s="13"/>
      <c r="AT42" s="13">
        <v>1.0</v>
      </c>
      <c r="AU42" s="13">
        <v>1.0</v>
      </c>
      <c r="AV42" s="13">
        <v>1.0</v>
      </c>
      <c r="AW42" s="13" t="s">
        <v>30</v>
      </c>
      <c r="AX42" s="13" t="s">
        <v>30</v>
      </c>
      <c r="AY42" s="13" t="s">
        <v>30</v>
      </c>
      <c r="AZ42" s="13" t="s">
        <v>30</v>
      </c>
      <c r="BA42" s="13" t="s">
        <v>30</v>
      </c>
      <c r="BB42" s="13" t="s">
        <v>30</v>
      </c>
      <c r="BC42" s="13" t="s">
        <v>30</v>
      </c>
    </row>
    <row r="43">
      <c r="A43" s="13" t="s">
        <v>111</v>
      </c>
      <c r="B43" s="13"/>
      <c r="C43" s="13"/>
      <c r="D43" s="13" t="s">
        <v>112</v>
      </c>
      <c r="E43" s="13">
        <v>1.0</v>
      </c>
      <c r="F43" s="14">
        <v>1250.0</v>
      </c>
      <c r="G43" s="13" t="s">
        <v>29</v>
      </c>
      <c r="H43" s="13">
        <v>6.0</v>
      </c>
      <c r="I43" s="15"/>
      <c r="J43" s="6"/>
      <c r="K43" s="13">
        <v>6.0</v>
      </c>
      <c r="L43" s="17">
        <v>0.0</v>
      </c>
      <c r="M43" s="17">
        <v>0.0</v>
      </c>
      <c r="N43" s="17">
        <v>0.0</v>
      </c>
      <c r="O43" s="17">
        <v>0.0</v>
      </c>
      <c r="P43" s="17">
        <v>0.0</v>
      </c>
      <c r="Q43" s="17">
        <v>0.0</v>
      </c>
      <c r="R43" s="17">
        <v>0.0</v>
      </c>
      <c r="S43" s="17">
        <v>0.0</v>
      </c>
      <c r="T43" s="17">
        <v>0.0</v>
      </c>
      <c r="U43" s="17">
        <v>0.0</v>
      </c>
      <c r="V43" s="17">
        <v>0.0</v>
      </c>
      <c r="W43" s="17">
        <v>0.0</v>
      </c>
      <c r="X43" s="17">
        <v>0.0</v>
      </c>
      <c r="Y43" s="6"/>
      <c r="Z43" s="13">
        <v>1.0</v>
      </c>
      <c r="AA43" s="13">
        <v>1.0</v>
      </c>
      <c r="AB43" s="13">
        <v>1.0</v>
      </c>
      <c r="AC43" s="13">
        <v>1.0</v>
      </c>
      <c r="AD43" s="13">
        <v>1.0</v>
      </c>
      <c r="AE43" s="13">
        <v>1.0</v>
      </c>
      <c r="AF43" s="13"/>
      <c r="AG43" s="13" t="s">
        <v>30</v>
      </c>
      <c r="AH43" s="13" t="s">
        <v>30</v>
      </c>
      <c r="AI43" s="13" t="s">
        <v>30</v>
      </c>
      <c r="AJ43" s="13" t="s">
        <v>30</v>
      </c>
      <c r="AK43" s="13" t="s">
        <v>30</v>
      </c>
      <c r="AL43" s="13" t="s">
        <v>30</v>
      </c>
      <c r="AM43" s="13" t="s">
        <v>30</v>
      </c>
      <c r="AN43" s="6"/>
      <c r="AO43" s="13">
        <v>6.0</v>
      </c>
      <c r="AP43" s="13">
        <v>1.0</v>
      </c>
      <c r="AQ43" s="13">
        <v>1.0</v>
      </c>
      <c r="AR43" s="13">
        <v>1.0</v>
      </c>
      <c r="AS43" s="13">
        <v>1.0</v>
      </c>
      <c r="AT43" s="13">
        <v>1.0</v>
      </c>
      <c r="AU43" s="13">
        <v>1.0</v>
      </c>
      <c r="AV43" s="13"/>
      <c r="AW43" s="13" t="s">
        <v>30</v>
      </c>
      <c r="AX43" s="13" t="s">
        <v>30</v>
      </c>
      <c r="AY43" s="13" t="s">
        <v>30</v>
      </c>
      <c r="AZ43" s="13" t="s">
        <v>30</v>
      </c>
      <c r="BA43" s="13" t="s">
        <v>30</v>
      </c>
      <c r="BB43" s="13" t="s">
        <v>30</v>
      </c>
      <c r="BC43" s="13" t="s">
        <v>30</v>
      </c>
    </row>
    <row r="44">
      <c r="A44" s="13" t="s">
        <v>113</v>
      </c>
      <c r="B44" s="13"/>
      <c r="C44" s="13"/>
      <c r="D44" s="13" t="s">
        <v>114</v>
      </c>
      <c r="E44" s="13">
        <v>1.0</v>
      </c>
      <c r="F44" s="14">
        <v>3325.66</v>
      </c>
      <c r="G44" s="13" t="s">
        <v>29</v>
      </c>
      <c r="H44" s="13">
        <v>22.0</v>
      </c>
      <c r="I44" s="15"/>
      <c r="J44" s="6"/>
      <c r="K44" s="13">
        <v>22.0</v>
      </c>
      <c r="L44" s="17">
        <v>0.0</v>
      </c>
      <c r="M44" s="17">
        <v>0.0</v>
      </c>
      <c r="N44" s="17">
        <v>0.0</v>
      </c>
      <c r="O44" s="17">
        <v>0.0</v>
      </c>
      <c r="P44" s="17">
        <v>0.0</v>
      </c>
      <c r="Q44" s="17">
        <v>0.0</v>
      </c>
      <c r="R44" s="17">
        <v>0.0</v>
      </c>
      <c r="S44" s="17">
        <v>0.0</v>
      </c>
      <c r="T44" s="17">
        <v>0.0</v>
      </c>
      <c r="U44" s="17">
        <v>0.0</v>
      </c>
      <c r="V44" s="17">
        <v>0.0</v>
      </c>
      <c r="W44" s="17">
        <v>0.0</v>
      </c>
      <c r="X44" s="17">
        <v>0.0</v>
      </c>
      <c r="Y44" s="6"/>
      <c r="Z44" s="13" t="s">
        <v>30</v>
      </c>
      <c r="AA44" s="13">
        <v>4.0</v>
      </c>
      <c r="AB44" s="13" t="s">
        <v>30</v>
      </c>
      <c r="AC44" s="13" t="s">
        <v>30</v>
      </c>
      <c r="AD44" s="13">
        <v>12.0</v>
      </c>
      <c r="AE44" s="13" t="s">
        <v>30</v>
      </c>
      <c r="AF44" s="13">
        <v>6.0</v>
      </c>
      <c r="AG44" s="13" t="s">
        <v>30</v>
      </c>
      <c r="AH44" s="13" t="s">
        <v>30</v>
      </c>
      <c r="AI44" s="13" t="s">
        <v>30</v>
      </c>
      <c r="AJ44" s="13" t="s">
        <v>30</v>
      </c>
      <c r="AK44" s="13" t="s">
        <v>30</v>
      </c>
      <c r="AL44" s="13" t="s">
        <v>30</v>
      </c>
      <c r="AM44" s="13" t="s">
        <v>30</v>
      </c>
      <c r="AN44" s="6"/>
      <c r="AO44" s="13">
        <v>22.0</v>
      </c>
      <c r="AP44" s="13" t="s">
        <v>30</v>
      </c>
      <c r="AQ44" s="13">
        <v>4.0</v>
      </c>
      <c r="AR44" s="13" t="s">
        <v>30</v>
      </c>
      <c r="AS44" s="13" t="s">
        <v>30</v>
      </c>
      <c r="AT44" s="13">
        <v>12.0</v>
      </c>
      <c r="AU44" s="13" t="s">
        <v>30</v>
      </c>
      <c r="AV44" s="13">
        <v>6.0</v>
      </c>
      <c r="AW44" s="13" t="s">
        <v>30</v>
      </c>
      <c r="AX44" s="13" t="s">
        <v>30</v>
      </c>
      <c r="AY44" s="13" t="s">
        <v>30</v>
      </c>
      <c r="AZ44" s="13" t="s">
        <v>30</v>
      </c>
      <c r="BA44" s="13" t="s">
        <v>30</v>
      </c>
      <c r="BB44" s="13" t="s">
        <v>30</v>
      </c>
      <c r="BC44" s="13" t="s">
        <v>30</v>
      </c>
    </row>
    <row r="45">
      <c r="A45" s="13" t="s">
        <v>115</v>
      </c>
      <c r="B45" s="13"/>
      <c r="C45" s="13"/>
      <c r="D45" s="13" t="s">
        <v>116</v>
      </c>
      <c r="E45" s="13">
        <v>1.0</v>
      </c>
      <c r="F45" s="14">
        <v>5710.68</v>
      </c>
      <c r="G45" s="13" t="s">
        <v>29</v>
      </c>
      <c r="H45" s="13">
        <v>101.0</v>
      </c>
      <c r="I45" s="15"/>
      <c r="J45" s="6"/>
      <c r="K45" s="13">
        <v>99.0</v>
      </c>
      <c r="L45" s="17">
        <v>0.0</v>
      </c>
      <c r="M45" s="17">
        <v>0.0</v>
      </c>
      <c r="N45" s="17">
        <v>0.0</v>
      </c>
      <c r="O45" s="17">
        <v>0.0</v>
      </c>
      <c r="P45" s="17">
        <v>0.0</v>
      </c>
      <c r="Q45" s="17">
        <v>0.0</v>
      </c>
      <c r="R45" s="17">
        <v>1.0</v>
      </c>
      <c r="S45" s="17">
        <v>1.0</v>
      </c>
      <c r="T45" s="17">
        <v>0.0</v>
      </c>
      <c r="U45" s="17">
        <v>0.0</v>
      </c>
      <c r="V45" s="17">
        <v>0.0</v>
      </c>
      <c r="W45" s="17">
        <v>0.0</v>
      </c>
      <c r="X45" s="17">
        <v>0.0</v>
      </c>
      <c r="Y45" s="6"/>
      <c r="Z45" s="13">
        <v>7.0</v>
      </c>
      <c r="AA45" s="13">
        <v>28.0</v>
      </c>
      <c r="AB45" s="13">
        <v>9.0</v>
      </c>
      <c r="AC45" s="13">
        <v>11.0</v>
      </c>
      <c r="AD45" s="13">
        <v>7.0</v>
      </c>
      <c r="AE45" s="13">
        <v>32.0</v>
      </c>
      <c r="AF45" s="13">
        <v>7.0</v>
      </c>
      <c r="AG45" s="13" t="s">
        <v>30</v>
      </c>
      <c r="AH45" s="13" t="s">
        <v>30</v>
      </c>
      <c r="AI45" s="13" t="s">
        <v>30</v>
      </c>
      <c r="AJ45" s="13" t="s">
        <v>30</v>
      </c>
      <c r="AK45" s="13" t="s">
        <v>30</v>
      </c>
      <c r="AL45" s="13" t="s">
        <v>30</v>
      </c>
      <c r="AM45" s="13" t="s">
        <v>30</v>
      </c>
      <c r="AN45" s="6"/>
      <c r="AO45" s="13">
        <v>101.0</v>
      </c>
      <c r="AP45" s="13">
        <v>7.0</v>
      </c>
      <c r="AQ45" s="13">
        <v>28.0</v>
      </c>
      <c r="AR45" s="13">
        <v>9.0</v>
      </c>
      <c r="AS45" s="13">
        <v>11.0</v>
      </c>
      <c r="AT45" s="13">
        <v>7.0</v>
      </c>
      <c r="AU45" s="13">
        <v>32.0</v>
      </c>
      <c r="AV45" s="13">
        <v>7.0</v>
      </c>
      <c r="AW45" s="13" t="s">
        <v>30</v>
      </c>
      <c r="AX45" s="13" t="s">
        <v>30</v>
      </c>
      <c r="AY45" s="13" t="s">
        <v>30</v>
      </c>
      <c r="AZ45" s="13" t="s">
        <v>30</v>
      </c>
      <c r="BA45" s="13" t="s">
        <v>30</v>
      </c>
      <c r="BB45" s="13" t="s">
        <v>30</v>
      </c>
      <c r="BC45" s="13" t="s">
        <v>30</v>
      </c>
    </row>
    <row r="46">
      <c r="A46" s="13" t="s">
        <v>117</v>
      </c>
      <c r="B46" s="13"/>
      <c r="C46" s="13">
        <v>22373.0</v>
      </c>
      <c r="D46" s="13" t="s">
        <v>118</v>
      </c>
      <c r="E46" s="13">
        <v>1.0</v>
      </c>
      <c r="F46" s="14">
        <v>482.87</v>
      </c>
      <c r="G46" s="13" t="s">
        <v>29</v>
      </c>
      <c r="H46" s="13">
        <v>2.0</v>
      </c>
      <c r="I46" s="15"/>
      <c r="J46" s="6"/>
      <c r="K46" s="13">
        <v>1.0</v>
      </c>
      <c r="L46" s="17">
        <v>0.0</v>
      </c>
      <c r="M46" s="16">
        <v>1.0</v>
      </c>
      <c r="N46" s="17">
        <v>0.0</v>
      </c>
      <c r="O46" s="17">
        <v>0.0</v>
      </c>
      <c r="P46" s="17">
        <v>0.0</v>
      </c>
      <c r="Q46" s="17">
        <v>0.0</v>
      </c>
      <c r="R46" s="17">
        <v>0.0</v>
      </c>
      <c r="S46" s="17">
        <v>0.0</v>
      </c>
      <c r="T46" s="17">
        <v>0.0</v>
      </c>
      <c r="U46" s="17">
        <v>0.0</v>
      </c>
      <c r="V46" s="17">
        <v>0.0</v>
      </c>
      <c r="W46" s="17">
        <v>0.0</v>
      </c>
      <c r="X46" s="17">
        <v>0.0</v>
      </c>
      <c r="Y46" s="6"/>
      <c r="Z46" s="13"/>
      <c r="AA46" s="13">
        <v>1.0</v>
      </c>
      <c r="AB46" s="13"/>
      <c r="AC46" s="13"/>
      <c r="AD46" s="13"/>
      <c r="AE46" s="13">
        <v>1.0</v>
      </c>
      <c r="AF46" s="13"/>
      <c r="AG46" s="13" t="s">
        <v>30</v>
      </c>
      <c r="AH46" s="13" t="s">
        <v>30</v>
      </c>
      <c r="AI46" s="13" t="s">
        <v>30</v>
      </c>
      <c r="AJ46" s="13" t="s">
        <v>30</v>
      </c>
      <c r="AK46" s="13" t="s">
        <v>30</v>
      </c>
      <c r="AL46" s="13" t="s">
        <v>30</v>
      </c>
      <c r="AM46" s="13" t="s">
        <v>30</v>
      </c>
      <c r="AN46" s="6"/>
      <c r="AO46" s="13">
        <v>7.0</v>
      </c>
      <c r="AP46" s="13">
        <v>1.0</v>
      </c>
      <c r="AQ46" s="13">
        <v>1.0</v>
      </c>
      <c r="AR46" s="13">
        <v>1.0</v>
      </c>
      <c r="AS46" s="13">
        <v>1.0</v>
      </c>
      <c r="AT46" s="13">
        <v>1.0</v>
      </c>
      <c r="AU46" s="13">
        <v>1.0</v>
      </c>
      <c r="AV46" s="13">
        <v>1.0</v>
      </c>
      <c r="AW46" s="13" t="s">
        <v>30</v>
      </c>
      <c r="AX46" s="13" t="s">
        <v>30</v>
      </c>
      <c r="AY46" s="13" t="s">
        <v>30</v>
      </c>
      <c r="AZ46" s="13" t="s">
        <v>30</v>
      </c>
      <c r="BA46" s="13" t="s">
        <v>30</v>
      </c>
      <c r="BB46" s="13" t="s">
        <v>30</v>
      </c>
      <c r="BC46" s="13" t="s">
        <v>30</v>
      </c>
    </row>
    <row r="47">
      <c r="A47" s="13" t="s">
        <v>119</v>
      </c>
      <c r="B47" s="13"/>
      <c r="C47" s="13"/>
      <c r="D47" s="13" t="s">
        <v>120</v>
      </c>
      <c r="E47" s="13">
        <v>1.0</v>
      </c>
      <c r="F47" s="14">
        <v>8704.7</v>
      </c>
      <c r="G47" s="13" t="s">
        <v>29</v>
      </c>
      <c r="H47" s="13">
        <v>6.0</v>
      </c>
      <c r="I47" s="15"/>
      <c r="J47" s="6"/>
      <c r="K47" s="13">
        <v>6.0</v>
      </c>
      <c r="L47" s="17">
        <v>0.0</v>
      </c>
      <c r="M47" s="17">
        <v>0.0</v>
      </c>
      <c r="N47" s="17">
        <v>0.0</v>
      </c>
      <c r="O47" s="17">
        <v>0.0</v>
      </c>
      <c r="P47" s="17">
        <v>0.0</v>
      </c>
      <c r="Q47" s="17">
        <v>0.0</v>
      </c>
      <c r="R47" s="17">
        <v>0.0</v>
      </c>
      <c r="S47" s="17">
        <v>0.0</v>
      </c>
      <c r="T47" s="17">
        <v>0.0</v>
      </c>
      <c r="U47" s="17">
        <v>0.0</v>
      </c>
      <c r="V47" s="17">
        <v>0.0</v>
      </c>
      <c r="W47" s="17">
        <v>0.0</v>
      </c>
      <c r="X47" s="17">
        <v>0.0</v>
      </c>
      <c r="Y47" s="6"/>
      <c r="Z47" s="13">
        <v>1.0</v>
      </c>
      <c r="AA47" s="13">
        <v>1.0</v>
      </c>
      <c r="AB47" s="13">
        <v>1.0</v>
      </c>
      <c r="AC47" s="13">
        <v>1.0</v>
      </c>
      <c r="AD47" s="13">
        <v>1.0</v>
      </c>
      <c r="AE47" s="13">
        <v>1.0</v>
      </c>
      <c r="AF47" s="13"/>
      <c r="AG47" s="13" t="s">
        <v>30</v>
      </c>
      <c r="AH47" s="13" t="s">
        <v>30</v>
      </c>
      <c r="AI47" s="13" t="s">
        <v>30</v>
      </c>
      <c r="AJ47" s="13" t="s">
        <v>30</v>
      </c>
      <c r="AK47" s="13" t="s">
        <v>30</v>
      </c>
      <c r="AL47" s="13" t="s">
        <v>30</v>
      </c>
      <c r="AM47" s="13" t="s">
        <v>30</v>
      </c>
      <c r="AN47" s="6"/>
      <c r="AO47" s="13">
        <v>6.0</v>
      </c>
      <c r="AP47" s="13">
        <v>1.0</v>
      </c>
      <c r="AQ47" s="13">
        <v>1.0</v>
      </c>
      <c r="AR47" s="13">
        <v>1.0</v>
      </c>
      <c r="AS47" s="13">
        <v>1.0</v>
      </c>
      <c r="AT47" s="13">
        <v>1.0</v>
      </c>
      <c r="AU47" s="13">
        <v>1.0</v>
      </c>
      <c r="AV47" s="13"/>
      <c r="AW47" s="13" t="s">
        <v>30</v>
      </c>
      <c r="AX47" s="13" t="s">
        <v>30</v>
      </c>
      <c r="AY47" s="13" t="s">
        <v>30</v>
      </c>
      <c r="AZ47" s="13" t="s">
        <v>30</v>
      </c>
      <c r="BA47" s="13" t="s">
        <v>30</v>
      </c>
      <c r="BB47" s="13" t="s">
        <v>30</v>
      </c>
      <c r="BC47" s="13" t="s">
        <v>30</v>
      </c>
    </row>
    <row r="48">
      <c r="A48" s="13" t="s">
        <v>121</v>
      </c>
      <c r="B48" s="13"/>
      <c r="C48" s="13"/>
      <c r="D48" s="13" t="s">
        <v>122</v>
      </c>
      <c r="E48" s="13">
        <v>1.0</v>
      </c>
      <c r="F48" s="14">
        <v>8065.09</v>
      </c>
      <c r="G48" s="13" t="s">
        <v>29</v>
      </c>
      <c r="H48" s="13">
        <v>0.0</v>
      </c>
      <c r="I48" s="15"/>
      <c r="J48" s="6"/>
      <c r="K48" s="13">
        <v>0.0</v>
      </c>
      <c r="L48" s="17">
        <v>0.0</v>
      </c>
      <c r="M48" s="17">
        <v>0.0</v>
      </c>
      <c r="N48" s="17">
        <v>0.0</v>
      </c>
      <c r="O48" s="17">
        <v>0.0</v>
      </c>
      <c r="P48" s="17">
        <v>0.0</v>
      </c>
      <c r="Q48" s="17">
        <v>0.0</v>
      </c>
      <c r="R48" s="17">
        <v>0.0</v>
      </c>
      <c r="S48" s="17">
        <v>0.0</v>
      </c>
      <c r="T48" s="17">
        <v>0.0</v>
      </c>
      <c r="U48" s="17">
        <v>0.0</v>
      </c>
      <c r="V48" s="17">
        <v>0.0</v>
      </c>
      <c r="W48" s="17">
        <v>0.0</v>
      </c>
      <c r="X48" s="17">
        <v>0.0</v>
      </c>
      <c r="Y48" s="6"/>
      <c r="Z48" s="13"/>
      <c r="AA48" s="13"/>
      <c r="AB48" s="13"/>
      <c r="AC48" s="13"/>
      <c r="AD48" s="13"/>
      <c r="AE48" s="13"/>
      <c r="AF48" s="13"/>
      <c r="AG48" s="13" t="s">
        <v>30</v>
      </c>
      <c r="AH48" s="13" t="s">
        <v>30</v>
      </c>
      <c r="AI48" s="13" t="s">
        <v>30</v>
      </c>
      <c r="AJ48" s="13" t="s">
        <v>30</v>
      </c>
      <c r="AK48" s="13" t="s">
        <v>30</v>
      </c>
      <c r="AL48" s="13" t="s">
        <v>30</v>
      </c>
      <c r="AM48" s="13" t="s">
        <v>30</v>
      </c>
      <c r="AN48" s="6"/>
      <c r="AO48" s="13">
        <v>0.0</v>
      </c>
      <c r="AP48" s="13"/>
      <c r="AQ48" s="13"/>
      <c r="AR48" s="13"/>
      <c r="AS48" s="13"/>
      <c r="AT48" s="13"/>
      <c r="AU48" s="13"/>
      <c r="AV48" s="13"/>
      <c r="AW48" s="13" t="s">
        <v>30</v>
      </c>
      <c r="AX48" s="13" t="s">
        <v>30</v>
      </c>
      <c r="AY48" s="13" t="s">
        <v>30</v>
      </c>
      <c r="AZ48" s="13" t="s">
        <v>30</v>
      </c>
      <c r="BA48" s="13" t="s">
        <v>30</v>
      </c>
      <c r="BB48" s="13" t="s">
        <v>30</v>
      </c>
      <c r="BC48" s="13" t="s">
        <v>30</v>
      </c>
    </row>
    <row r="49">
      <c r="A49" s="13" t="s">
        <v>123</v>
      </c>
      <c r="B49" s="13"/>
      <c r="C49" s="13"/>
      <c r="D49" s="13" t="s">
        <v>124</v>
      </c>
      <c r="E49" s="13">
        <v>1.0</v>
      </c>
      <c r="F49" s="14">
        <v>36397.06</v>
      </c>
      <c r="G49" s="13" t="s">
        <v>29</v>
      </c>
      <c r="H49" s="13">
        <v>6.0</v>
      </c>
      <c r="I49" s="15"/>
      <c r="J49" s="6"/>
      <c r="K49" s="13">
        <v>5.0</v>
      </c>
      <c r="L49" s="17">
        <v>0.0</v>
      </c>
      <c r="M49" s="16">
        <v>1.0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  <c r="S49" s="17">
        <v>0.0</v>
      </c>
      <c r="T49" s="17">
        <v>0.0</v>
      </c>
      <c r="U49" s="17">
        <v>0.0</v>
      </c>
      <c r="V49" s="17">
        <v>0.0</v>
      </c>
      <c r="W49" s="17">
        <v>0.0</v>
      </c>
      <c r="X49" s="17">
        <v>0.0</v>
      </c>
      <c r="Y49" s="6"/>
      <c r="Z49" s="13" t="s">
        <v>30</v>
      </c>
      <c r="AA49" s="13">
        <v>2.0</v>
      </c>
      <c r="AB49" s="13" t="s">
        <v>30</v>
      </c>
      <c r="AC49" s="13" t="s">
        <v>30</v>
      </c>
      <c r="AD49" s="13">
        <v>2.0</v>
      </c>
      <c r="AE49" s="13" t="s">
        <v>30</v>
      </c>
      <c r="AF49" s="13">
        <v>2.0</v>
      </c>
      <c r="AG49" s="13" t="s">
        <v>30</v>
      </c>
      <c r="AH49" s="13" t="s">
        <v>30</v>
      </c>
      <c r="AI49" s="13" t="s">
        <v>30</v>
      </c>
      <c r="AJ49" s="13" t="s">
        <v>30</v>
      </c>
      <c r="AK49" s="13" t="s">
        <v>30</v>
      </c>
      <c r="AL49" s="13" t="s">
        <v>30</v>
      </c>
      <c r="AM49" s="13" t="s">
        <v>30</v>
      </c>
      <c r="AN49" s="6"/>
      <c r="AO49" s="13">
        <v>6.0</v>
      </c>
      <c r="AP49" s="13" t="s">
        <v>30</v>
      </c>
      <c r="AQ49" s="13">
        <v>2.0</v>
      </c>
      <c r="AR49" s="13" t="s">
        <v>30</v>
      </c>
      <c r="AS49" s="13" t="s">
        <v>30</v>
      </c>
      <c r="AT49" s="13">
        <v>2.0</v>
      </c>
      <c r="AU49" s="13" t="s">
        <v>30</v>
      </c>
      <c r="AV49" s="13">
        <v>2.0</v>
      </c>
      <c r="AW49" s="13" t="s">
        <v>30</v>
      </c>
      <c r="AX49" s="13" t="s">
        <v>30</v>
      </c>
      <c r="AY49" s="13" t="s">
        <v>30</v>
      </c>
      <c r="AZ49" s="13" t="s">
        <v>30</v>
      </c>
      <c r="BA49" s="13" t="s">
        <v>30</v>
      </c>
      <c r="BB49" s="13" t="s">
        <v>30</v>
      </c>
      <c r="BC49" s="13" t="s">
        <v>30</v>
      </c>
    </row>
    <row r="50">
      <c r="A50" s="13" t="s">
        <v>125</v>
      </c>
      <c r="B50" s="13"/>
      <c r="C50" s="13"/>
      <c r="D50" s="13" t="s">
        <v>126</v>
      </c>
      <c r="E50" s="13">
        <v>1.0</v>
      </c>
      <c r="F50" s="14">
        <v>4878.94</v>
      </c>
      <c r="G50" s="13" t="s">
        <v>29</v>
      </c>
      <c r="H50" s="13">
        <v>13.0</v>
      </c>
      <c r="I50" s="15"/>
      <c r="J50" s="6"/>
      <c r="K50" s="13">
        <v>13.0</v>
      </c>
      <c r="L50" s="17">
        <v>0.0</v>
      </c>
      <c r="M50" s="17">
        <v>0.0</v>
      </c>
      <c r="N50" s="17">
        <v>0.0</v>
      </c>
      <c r="O50" s="17">
        <v>0.0</v>
      </c>
      <c r="P50" s="17">
        <v>0.0</v>
      </c>
      <c r="Q50" s="17">
        <v>0.0</v>
      </c>
      <c r="R50" s="17">
        <v>0.0</v>
      </c>
      <c r="S50" s="17">
        <v>0.0</v>
      </c>
      <c r="T50" s="17">
        <v>0.0</v>
      </c>
      <c r="U50" s="17">
        <v>0.0</v>
      </c>
      <c r="V50" s="17">
        <v>0.0</v>
      </c>
      <c r="W50" s="17">
        <v>0.0</v>
      </c>
      <c r="X50" s="17">
        <v>0.0</v>
      </c>
      <c r="Y50" s="6"/>
      <c r="Z50" s="13">
        <v>2.0</v>
      </c>
      <c r="AA50" s="13">
        <v>2.0</v>
      </c>
      <c r="AB50" s="13">
        <v>2.0</v>
      </c>
      <c r="AC50" s="13">
        <v>2.0</v>
      </c>
      <c r="AD50" s="13">
        <v>2.0</v>
      </c>
      <c r="AE50" s="13">
        <v>2.0</v>
      </c>
      <c r="AF50" s="13">
        <v>1.0</v>
      </c>
      <c r="AG50" s="13" t="s">
        <v>30</v>
      </c>
      <c r="AH50" s="13" t="s">
        <v>30</v>
      </c>
      <c r="AI50" s="13" t="s">
        <v>30</v>
      </c>
      <c r="AJ50" s="13" t="s">
        <v>30</v>
      </c>
      <c r="AK50" s="13" t="s">
        <v>30</v>
      </c>
      <c r="AL50" s="13" t="s">
        <v>30</v>
      </c>
      <c r="AM50" s="13" t="s">
        <v>30</v>
      </c>
      <c r="AN50" s="6"/>
      <c r="AO50" s="13">
        <v>13.0</v>
      </c>
      <c r="AP50" s="13">
        <v>2.0</v>
      </c>
      <c r="AQ50" s="13">
        <v>2.0</v>
      </c>
      <c r="AR50" s="13">
        <v>2.0</v>
      </c>
      <c r="AS50" s="13">
        <v>2.0</v>
      </c>
      <c r="AT50" s="13">
        <v>2.0</v>
      </c>
      <c r="AU50" s="13">
        <v>2.0</v>
      </c>
      <c r="AV50" s="13">
        <v>1.0</v>
      </c>
      <c r="AW50" s="13" t="s">
        <v>30</v>
      </c>
      <c r="AX50" s="13" t="s">
        <v>30</v>
      </c>
      <c r="AY50" s="13" t="s">
        <v>30</v>
      </c>
      <c r="AZ50" s="13" t="s">
        <v>30</v>
      </c>
      <c r="BA50" s="13" t="s">
        <v>30</v>
      </c>
      <c r="BB50" s="13" t="s">
        <v>30</v>
      </c>
      <c r="BC50" s="13" t="s">
        <v>30</v>
      </c>
    </row>
    <row r="51">
      <c r="A51" s="13" t="s">
        <v>127</v>
      </c>
      <c r="B51" s="13"/>
      <c r="C51" s="13"/>
      <c r="D51" s="13" t="s">
        <v>128</v>
      </c>
      <c r="E51" s="13">
        <v>1.0</v>
      </c>
      <c r="F51" s="14">
        <v>13607.99</v>
      </c>
      <c r="G51" s="13" t="s">
        <v>29</v>
      </c>
      <c r="H51" s="13">
        <v>7.0</v>
      </c>
      <c r="I51" s="15"/>
      <c r="J51" s="6"/>
      <c r="K51" s="13">
        <v>7.0</v>
      </c>
      <c r="L51" s="17">
        <v>0.0</v>
      </c>
      <c r="M51" s="17">
        <v>0.0</v>
      </c>
      <c r="N51" s="17">
        <v>0.0</v>
      </c>
      <c r="O51" s="17">
        <v>0.0</v>
      </c>
      <c r="P51" s="17">
        <v>0.0</v>
      </c>
      <c r="Q51" s="17">
        <v>0.0</v>
      </c>
      <c r="R51" s="17">
        <v>0.0</v>
      </c>
      <c r="S51" s="17">
        <v>0.0</v>
      </c>
      <c r="T51" s="17">
        <v>0.0</v>
      </c>
      <c r="U51" s="17">
        <v>0.0</v>
      </c>
      <c r="V51" s="17">
        <v>0.0</v>
      </c>
      <c r="W51" s="17">
        <v>0.0</v>
      </c>
      <c r="X51" s="17">
        <v>0.0</v>
      </c>
      <c r="Y51" s="6"/>
      <c r="Z51" s="13" t="s">
        <v>30</v>
      </c>
      <c r="AA51" s="13">
        <v>2.0</v>
      </c>
      <c r="AB51" s="13" t="s">
        <v>30</v>
      </c>
      <c r="AC51" s="13" t="s">
        <v>30</v>
      </c>
      <c r="AD51" s="13">
        <v>3.0</v>
      </c>
      <c r="AE51" s="13" t="s">
        <v>30</v>
      </c>
      <c r="AF51" s="13">
        <v>2.0</v>
      </c>
      <c r="AG51" s="13" t="s">
        <v>30</v>
      </c>
      <c r="AH51" s="13" t="s">
        <v>30</v>
      </c>
      <c r="AI51" s="13" t="s">
        <v>30</v>
      </c>
      <c r="AJ51" s="13" t="s">
        <v>30</v>
      </c>
      <c r="AK51" s="13" t="s">
        <v>30</v>
      </c>
      <c r="AL51" s="13" t="s">
        <v>30</v>
      </c>
      <c r="AM51" s="13" t="s">
        <v>30</v>
      </c>
      <c r="AN51" s="6"/>
      <c r="AO51" s="13">
        <v>7.0</v>
      </c>
      <c r="AP51" s="13" t="s">
        <v>30</v>
      </c>
      <c r="AQ51" s="13">
        <v>2.0</v>
      </c>
      <c r="AR51" s="13" t="s">
        <v>30</v>
      </c>
      <c r="AS51" s="13" t="s">
        <v>30</v>
      </c>
      <c r="AT51" s="13">
        <v>3.0</v>
      </c>
      <c r="AU51" s="13" t="s">
        <v>30</v>
      </c>
      <c r="AV51" s="13">
        <v>2.0</v>
      </c>
      <c r="AW51" s="13" t="s">
        <v>30</v>
      </c>
      <c r="AX51" s="13" t="s">
        <v>30</v>
      </c>
      <c r="AY51" s="13" t="s">
        <v>30</v>
      </c>
      <c r="AZ51" s="13" t="s">
        <v>30</v>
      </c>
      <c r="BA51" s="13" t="s">
        <v>30</v>
      </c>
      <c r="BB51" s="13" t="s">
        <v>30</v>
      </c>
      <c r="BC51" s="13" t="s">
        <v>30</v>
      </c>
    </row>
    <row r="52">
      <c r="A52" s="13" t="s">
        <v>129</v>
      </c>
      <c r="B52" s="13"/>
      <c r="C52" s="13">
        <v>22373.0</v>
      </c>
      <c r="D52" s="13" t="s">
        <v>130</v>
      </c>
      <c r="E52" s="13">
        <v>1.0</v>
      </c>
      <c r="F52" s="14">
        <v>1700.0</v>
      </c>
      <c r="G52" s="13" t="s">
        <v>29</v>
      </c>
      <c r="H52" s="13">
        <v>5.0</v>
      </c>
      <c r="I52" s="15"/>
      <c r="J52" s="6"/>
      <c r="K52" s="13">
        <v>5.0</v>
      </c>
      <c r="L52" s="17">
        <v>0.0</v>
      </c>
      <c r="M52" s="17">
        <v>0.0</v>
      </c>
      <c r="N52" s="17">
        <v>0.0</v>
      </c>
      <c r="O52" s="17">
        <v>0.0</v>
      </c>
      <c r="P52" s="17">
        <v>0.0</v>
      </c>
      <c r="Q52" s="17">
        <v>0.0</v>
      </c>
      <c r="R52" s="17">
        <v>0.0</v>
      </c>
      <c r="S52" s="17">
        <v>0.0</v>
      </c>
      <c r="T52" s="17">
        <v>0.0</v>
      </c>
      <c r="U52" s="17">
        <v>0.0</v>
      </c>
      <c r="V52" s="17">
        <v>0.0</v>
      </c>
      <c r="W52" s="17">
        <v>0.0</v>
      </c>
      <c r="X52" s="17">
        <v>0.0</v>
      </c>
      <c r="Y52" s="6"/>
      <c r="Z52" s="13">
        <v>1.0</v>
      </c>
      <c r="AA52" s="13">
        <v>1.0</v>
      </c>
      <c r="AB52" s="13">
        <v>1.0</v>
      </c>
      <c r="AC52" s="13">
        <v>1.0</v>
      </c>
      <c r="AD52" s="13"/>
      <c r="AE52" s="13">
        <v>1.0</v>
      </c>
      <c r="AF52" s="13"/>
      <c r="AG52" s="13" t="s">
        <v>30</v>
      </c>
      <c r="AH52" s="13" t="s">
        <v>30</v>
      </c>
      <c r="AI52" s="13" t="s">
        <v>30</v>
      </c>
      <c r="AJ52" s="13" t="s">
        <v>30</v>
      </c>
      <c r="AK52" s="13" t="s">
        <v>30</v>
      </c>
      <c r="AL52" s="13" t="s">
        <v>30</v>
      </c>
      <c r="AM52" s="13" t="s">
        <v>30</v>
      </c>
      <c r="AN52" s="6"/>
      <c r="AO52" s="13">
        <v>7.0</v>
      </c>
      <c r="AP52" s="13">
        <v>1.0</v>
      </c>
      <c r="AQ52" s="13">
        <v>1.0</v>
      </c>
      <c r="AR52" s="13">
        <v>1.0</v>
      </c>
      <c r="AS52" s="13">
        <v>1.0</v>
      </c>
      <c r="AT52" s="13">
        <v>1.0</v>
      </c>
      <c r="AU52" s="13">
        <v>1.0</v>
      </c>
      <c r="AV52" s="13">
        <v>1.0</v>
      </c>
      <c r="AW52" s="13" t="s">
        <v>30</v>
      </c>
      <c r="AX52" s="13" t="s">
        <v>30</v>
      </c>
      <c r="AY52" s="13" t="s">
        <v>30</v>
      </c>
      <c r="AZ52" s="13" t="s">
        <v>30</v>
      </c>
      <c r="BA52" s="13" t="s">
        <v>30</v>
      </c>
      <c r="BB52" s="13" t="s">
        <v>30</v>
      </c>
      <c r="BC52" s="13" t="s">
        <v>30</v>
      </c>
    </row>
    <row r="53">
      <c r="A53" s="13" t="s">
        <v>131</v>
      </c>
      <c r="B53" s="13"/>
      <c r="C53" s="13"/>
      <c r="D53" s="13" t="s">
        <v>132</v>
      </c>
      <c r="E53" s="13">
        <v>1.0</v>
      </c>
      <c r="F53" s="14">
        <v>1821.41</v>
      </c>
      <c r="G53" s="13" t="s">
        <v>29</v>
      </c>
      <c r="H53" s="13">
        <v>26.0</v>
      </c>
      <c r="I53" s="15"/>
      <c r="J53" s="6"/>
      <c r="K53" s="13">
        <v>26.0</v>
      </c>
      <c r="L53" s="17">
        <v>0.0</v>
      </c>
      <c r="M53" s="17">
        <v>0.0</v>
      </c>
      <c r="N53" s="17">
        <v>0.0</v>
      </c>
      <c r="O53" s="17">
        <v>0.0</v>
      </c>
      <c r="P53" s="17">
        <v>0.0</v>
      </c>
      <c r="Q53" s="17">
        <v>0.0</v>
      </c>
      <c r="R53" s="17">
        <v>0.0</v>
      </c>
      <c r="S53" s="17">
        <v>0.0</v>
      </c>
      <c r="T53" s="17">
        <v>0.0</v>
      </c>
      <c r="U53" s="17">
        <v>0.0</v>
      </c>
      <c r="V53" s="17">
        <v>0.0</v>
      </c>
      <c r="W53" s="17">
        <v>0.0</v>
      </c>
      <c r="X53" s="17">
        <v>0.0</v>
      </c>
      <c r="Y53" s="6"/>
      <c r="Z53" s="13">
        <v>3.0</v>
      </c>
      <c r="AA53" s="13">
        <v>4.0</v>
      </c>
      <c r="AB53" s="13">
        <v>3.0</v>
      </c>
      <c r="AC53" s="13">
        <v>3.0</v>
      </c>
      <c r="AD53" s="13">
        <v>5.0</v>
      </c>
      <c r="AE53" s="13">
        <v>4.0</v>
      </c>
      <c r="AF53" s="13">
        <v>4.0</v>
      </c>
      <c r="AG53" s="13" t="s">
        <v>30</v>
      </c>
      <c r="AH53" s="13" t="s">
        <v>30</v>
      </c>
      <c r="AI53" s="13" t="s">
        <v>30</v>
      </c>
      <c r="AJ53" s="13" t="s">
        <v>30</v>
      </c>
      <c r="AK53" s="13" t="s">
        <v>30</v>
      </c>
      <c r="AL53" s="13" t="s">
        <v>30</v>
      </c>
      <c r="AM53" s="13" t="s">
        <v>30</v>
      </c>
      <c r="AN53" s="6"/>
      <c r="AO53" s="13">
        <v>26.0</v>
      </c>
      <c r="AP53" s="13">
        <v>3.0</v>
      </c>
      <c r="AQ53" s="13">
        <v>4.0</v>
      </c>
      <c r="AR53" s="13">
        <v>3.0</v>
      </c>
      <c r="AS53" s="13">
        <v>3.0</v>
      </c>
      <c r="AT53" s="13">
        <v>5.0</v>
      </c>
      <c r="AU53" s="13">
        <v>4.0</v>
      </c>
      <c r="AV53" s="13">
        <v>4.0</v>
      </c>
      <c r="AW53" s="13" t="s">
        <v>30</v>
      </c>
      <c r="AX53" s="13" t="s">
        <v>30</v>
      </c>
      <c r="AY53" s="13" t="s">
        <v>30</v>
      </c>
      <c r="AZ53" s="13" t="s">
        <v>30</v>
      </c>
      <c r="BA53" s="13" t="s">
        <v>30</v>
      </c>
      <c r="BB53" s="13" t="s">
        <v>30</v>
      </c>
      <c r="BC53" s="13" t="s">
        <v>30</v>
      </c>
    </row>
    <row r="54">
      <c r="A54" s="13" t="s">
        <v>133</v>
      </c>
      <c r="B54" s="13"/>
      <c r="C54" s="13"/>
      <c r="D54" s="13" t="s">
        <v>134</v>
      </c>
      <c r="E54" s="13">
        <v>1.0</v>
      </c>
      <c r="F54" s="14">
        <v>446.4</v>
      </c>
      <c r="G54" s="13" t="s">
        <v>29</v>
      </c>
      <c r="H54" s="13">
        <v>11.0</v>
      </c>
      <c r="I54" s="15"/>
      <c r="J54" s="6"/>
      <c r="K54" s="13">
        <v>9.0</v>
      </c>
      <c r="L54" s="17">
        <v>0.0</v>
      </c>
      <c r="M54" s="17">
        <v>0.0</v>
      </c>
      <c r="N54" s="17">
        <v>0.0</v>
      </c>
      <c r="O54" s="17">
        <v>0.0</v>
      </c>
      <c r="P54" s="16">
        <v>1.0</v>
      </c>
      <c r="Q54" s="17">
        <v>0.0</v>
      </c>
      <c r="R54" s="17">
        <v>0.0</v>
      </c>
      <c r="S54" s="17">
        <v>0.0</v>
      </c>
      <c r="T54" s="17">
        <v>0.0</v>
      </c>
      <c r="U54" s="17">
        <v>0.0</v>
      </c>
      <c r="V54" s="17">
        <v>0.0</v>
      </c>
      <c r="W54" s="16">
        <v>1.0</v>
      </c>
      <c r="X54" s="17">
        <v>0.0</v>
      </c>
      <c r="Y54" s="6"/>
      <c r="Z54" s="13">
        <v>1.0</v>
      </c>
      <c r="AA54" s="13">
        <v>2.0</v>
      </c>
      <c r="AB54" s="13">
        <v>2.0</v>
      </c>
      <c r="AC54" s="13">
        <v>2.0</v>
      </c>
      <c r="AD54" s="13">
        <v>1.0</v>
      </c>
      <c r="AE54" s="13">
        <v>2.0</v>
      </c>
      <c r="AF54" s="13">
        <v>1.0</v>
      </c>
      <c r="AG54" s="13" t="s">
        <v>30</v>
      </c>
      <c r="AH54" s="13" t="s">
        <v>30</v>
      </c>
      <c r="AI54" s="13" t="s">
        <v>30</v>
      </c>
      <c r="AJ54" s="13" t="s">
        <v>30</v>
      </c>
      <c r="AK54" s="13" t="s">
        <v>30</v>
      </c>
      <c r="AL54" s="13" t="s">
        <v>30</v>
      </c>
      <c r="AM54" s="13" t="s">
        <v>30</v>
      </c>
      <c r="AN54" s="6"/>
      <c r="AO54" s="13">
        <v>11.0</v>
      </c>
      <c r="AP54" s="13">
        <v>1.0</v>
      </c>
      <c r="AQ54" s="13">
        <v>2.0</v>
      </c>
      <c r="AR54" s="13">
        <v>2.0</v>
      </c>
      <c r="AS54" s="13">
        <v>2.0</v>
      </c>
      <c r="AT54" s="13">
        <v>1.0</v>
      </c>
      <c r="AU54" s="13">
        <v>2.0</v>
      </c>
      <c r="AV54" s="13">
        <v>1.0</v>
      </c>
      <c r="AW54" s="13" t="s">
        <v>30</v>
      </c>
      <c r="AX54" s="13" t="s">
        <v>30</v>
      </c>
      <c r="AY54" s="13" t="s">
        <v>30</v>
      </c>
      <c r="AZ54" s="13" t="s">
        <v>30</v>
      </c>
      <c r="BA54" s="13" t="s">
        <v>30</v>
      </c>
      <c r="BB54" s="13" t="s">
        <v>30</v>
      </c>
      <c r="BC54" s="13" t="s">
        <v>30</v>
      </c>
    </row>
    <row r="55">
      <c r="A55" s="13" t="s">
        <v>135</v>
      </c>
      <c r="B55" s="13"/>
      <c r="C55" s="13"/>
      <c r="D55" s="13" t="s">
        <v>136</v>
      </c>
      <c r="E55" s="13">
        <v>2.0</v>
      </c>
      <c r="F55" s="14">
        <v>5450.0</v>
      </c>
      <c r="G55" s="13" t="s">
        <v>29</v>
      </c>
      <c r="H55" s="13">
        <v>9.0</v>
      </c>
      <c r="I55" s="15"/>
      <c r="J55" s="6"/>
      <c r="K55" s="13">
        <v>9.0</v>
      </c>
      <c r="L55" s="17">
        <v>0.0</v>
      </c>
      <c r="M55" s="17">
        <v>0.0</v>
      </c>
      <c r="N55" s="17">
        <v>0.0</v>
      </c>
      <c r="O55" s="17">
        <v>0.0</v>
      </c>
      <c r="P55" s="17">
        <v>0.0</v>
      </c>
      <c r="Q55" s="17">
        <v>0.0</v>
      </c>
      <c r="R55" s="17">
        <v>0.0</v>
      </c>
      <c r="S55" s="17">
        <v>0.0</v>
      </c>
      <c r="T55" s="17">
        <v>0.0</v>
      </c>
      <c r="U55" s="17">
        <v>0.0</v>
      </c>
      <c r="V55" s="17">
        <v>0.0</v>
      </c>
      <c r="W55" s="17">
        <v>0.0</v>
      </c>
      <c r="X55" s="17">
        <v>0.0</v>
      </c>
      <c r="Y55" s="6"/>
      <c r="Z55" s="13" t="s">
        <v>30</v>
      </c>
      <c r="AA55" s="13">
        <v>2.0</v>
      </c>
      <c r="AB55" s="13" t="s">
        <v>30</v>
      </c>
      <c r="AC55" s="13" t="s">
        <v>30</v>
      </c>
      <c r="AD55" s="13">
        <v>4.0</v>
      </c>
      <c r="AE55" s="13" t="s">
        <v>30</v>
      </c>
      <c r="AF55" s="13">
        <v>3.0</v>
      </c>
      <c r="AG55" s="13" t="s">
        <v>30</v>
      </c>
      <c r="AH55" s="13" t="s">
        <v>30</v>
      </c>
      <c r="AI55" s="13" t="s">
        <v>30</v>
      </c>
      <c r="AJ55" s="13" t="s">
        <v>30</v>
      </c>
      <c r="AK55" s="13" t="s">
        <v>30</v>
      </c>
      <c r="AL55" s="13" t="s">
        <v>30</v>
      </c>
      <c r="AM55" s="13" t="s">
        <v>30</v>
      </c>
      <c r="AN55" s="6"/>
      <c r="AO55" s="13">
        <v>9.0</v>
      </c>
      <c r="AP55" s="13" t="s">
        <v>30</v>
      </c>
      <c r="AQ55" s="13">
        <v>2.0</v>
      </c>
      <c r="AR55" s="13" t="s">
        <v>30</v>
      </c>
      <c r="AS55" s="13" t="s">
        <v>30</v>
      </c>
      <c r="AT55" s="13">
        <v>4.0</v>
      </c>
      <c r="AU55" s="13" t="s">
        <v>30</v>
      </c>
      <c r="AV55" s="13">
        <v>3.0</v>
      </c>
      <c r="AW55" s="13" t="s">
        <v>30</v>
      </c>
      <c r="AX55" s="13" t="s">
        <v>30</v>
      </c>
      <c r="AY55" s="13" t="s">
        <v>30</v>
      </c>
      <c r="AZ55" s="13" t="s">
        <v>30</v>
      </c>
      <c r="BA55" s="13" t="s">
        <v>30</v>
      </c>
      <c r="BB55" s="13" t="s">
        <v>30</v>
      </c>
      <c r="BC55" s="13" t="s">
        <v>30</v>
      </c>
    </row>
    <row r="56">
      <c r="A56" s="13" t="s">
        <v>137</v>
      </c>
      <c r="B56" s="13"/>
      <c r="C56" s="13"/>
      <c r="D56" s="13" t="s">
        <v>138</v>
      </c>
      <c r="E56" s="13">
        <v>1.0</v>
      </c>
      <c r="F56" s="14">
        <v>4126.92</v>
      </c>
      <c r="G56" s="13" t="s">
        <v>29</v>
      </c>
      <c r="H56" s="13">
        <v>16.0</v>
      </c>
      <c r="I56" s="15"/>
      <c r="J56" s="6"/>
      <c r="K56" s="13">
        <v>16.0</v>
      </c>
      <c r="L56" s="17">
        <v>0.0</v>
      </c>
      <c r="M56" s="17">
        <v>0.0</v>
      </c>
      <c r="N56" s="17">
        <v>0.0</v>
      </c>
      <c r="O56" s="17">
        <v>0.0</v>
      </c>
      <c r="P56" s="17">
        <v>0.0</v>
      </c>
      <c r="Q56" s="17">
        <v>0.0</v>
      </c>
      <c r="R56" s="17">
        <v>0.0</v>
      </c>
      <c r="S56" s="17">
        <v>0.0</v>
      </c>
      <c r="T56" s="17">
        <v>0.0</v>
      </c>
      <c r="U56" s="17">
        <v>0.0</v>
      </c>
      <c r="V56" s="17">
        <v>0.0</v>
      </c>
      <c r="W56" s="17">
        <v>0.0</v>
      </c>
      <c r="X56" s="17">
        <v>0.0</v>
      </c>
      <c r="Y56" s="6"/>
      <c r="Z56" s="13">
        <v>2.0</v>
      </c>
      <c r="AA56" s="13">
        <v>3.0</v>
      </c>
      <c r="AB56" s="13">
        <v>2.0</v>
      </c>
      <c r="AC56" s="13">
        <v>2.0</v>
      </c>
      <c r="AD56" s="13">
        <v>2.0</v>
      </c>
      <c r="AE56" s="13">
        <v>3.0</v>
      </c>
      <c r="AF56" s="13">
        <v>2.0</v>
      </c>
      <c r="AG56" s="13" t="s">
        <v>30</v>
      </c>
      <c r="AH56" s="13" t="s">
        <v>30</v>
      </c>
      <c r="AI56" s="13" t="s">
        <v>30</v>
      </c>
      <c r="AJ56" s="13" t="s">
        <v>30</v>
      </c>
      <c r="AK56" s="13" t="s">
        <v>30</v>
      </c>
      <c r="AL56" s="13" t="s">
        <v>30</v>
      </c>
      <c r="AM56" s="13" t="s">
        <v>30</v>
      </c>
      <c r="AN56" s="6"/>
      <c r="AO56" s="13">
        <v>16.0</v>
      </c>
      <c r="AP56" s="13">
        <v>2.0</v>
      </c>
      <c r="AQ56" s="13">
        <v>3.0</v>
      </c>
      <c r="AR56" s="13">
        <v>2.0</v>
      </c>
      <c r="AS56" s="13">
        <v>2.0</v>
      </c>
      <c r="AT56" s="13">
        <v>2.0</v>
      </c>
      <c r="AU56" s="13">
        <v>3.0</v>
      </c>
      <c r="AV56" s="13">
        <v>2.0</v>
      </c>
      <c r="AW56" s="13" t="s">
        <v>30</v>
      </c>
      <c r="AX56" s="13" t="s">
        <v>30</v>
      </c>
      <c r="AY56" s="13" t="s">
        <v>30</v>
      </c>
      <c r="AZ56" s="13" t="s">
        <v>30</v>
      </c>
      <c r="BA56" s="13" t="s">
        <v>30</v>
      </c>
      <c r="BB56" s="13" t="s">
        <v>30</v>
      </c>
      <c r="BC56" s="13" t="s">
        <v>30</v>
      </c>
    </row>
    <row r="57">
      <c r="A57" s="13" t="s">
        <v>139</v>
      </c>
      <c r="B57" s="13"/>
      <c r="C57" s="13"/>
      <c r="D57" s="13" t="s">
        <v>140</v>
      </c>
      <c r="E57" s="13">
        <v>1.0</v>
      </c>
      <c r="F57" s="14">
        <v>4091.38</v>
      </c>
      <c r="G57" s="13" t="s">
        <v>29</v>
      </c>
      <c r="H57" s="13">
        <v>39.0</v>
      </c>
      <c r="I57" s="15"/>
      <c r="J57" s="6"/>
      <c r="K57" s="13">
        <v>37.0</v>
      </c>
      <c r="L57" s="17">
        <v>0.0</v>
      </c>
      <c r="M57" s="16">
        <v>1.0</v>
      </c>
      <c r="N57" s="17">
        <v>0.0</v>
      </c>
      <c r="O57" s="17">
        <v>0.0</v>
      </c>
      <c r="P57" s="17">
        <v>0.0</v>
      </c>
      <c r="Q57" s="17">
        <v>0.0</v>
      </c>
      <c r="R57" s="17">
        <v>0.0</v>
      </c>
      <c r="S57" s="17">
        <v>0.0</v>
      </c>
      <c r="T57" s="17">
        <v>0.0</v>
      </c>
      <c r="U57" s="17">
        <v>0.0</v>
      </c>
      <c r="V57" s="17">
        <v>0.0</v>
      </c>
      <c r="W57" s="17">
        <v>1.0</v>
      </c>
      <c r="X57" s="17">
        <v>0.0</v>
      </c>
      <c r="Y57" s="6"/>
      <c r="Z57" s="13">
        <v>4.0</v>
      </c>
      <c r="AA57" s="13">
        <v>8.0</v>
      </c>
      <c r="AB57" s="13">
        <v>5.0</v>
      </c>
      <c r="AC57" s="13">
        <v>5.0</v>
      </c>
      <c r="AD57" s="13">
        <v>4.0</v>
      </c>
      <c r="AE57" s="13">
        <v>9.0</v>
      </c>
      <c r="AF57" s="13">
        <v>4.0</v>
      </c>
      <c r="AG57" s="13" t="s">
        <v>30</v>
      </c>
      <c r="AH57" s="13" t="s">
        <v>30</v>
      </c>
      <c r="AI57" s="13" t="s">
        <v>30</v>
      </c>
      <c r="AJ57" s="13" t="s">
        <v>30</v>
      </c>
      <c r="AK57" s="13" t="s">
        <v>30</v>
      </c>
      <c r="AL57" s="13" t="s">
        <v>30</v>
      </c>
      <c r="AM57" s="13" t="s">
        <v>30</v>
      </c>
      <c r="AN57" s="6"/>
      <c r="AO57" s="13">
        <v>39.0</v>
      </c>
      <c r="AP57" s="13">
        <v>4.0</v>
      </c>
      <c r="AQ57" s="13">
        <v>8.0</v>
      </c>
      <c r="AR57" s="13">
        <v>5.0</v>
      </c>
      <c r="AS57" s="13">
        <v>5.0</v>
      </c>
      <c r="AT57" s="13">
        <v>4.0</v>
      </c>
      <c r="AU57" s="13">
        <v>9.0</v>
      </c>
      <c r="AV57" s="13">
        <v>4.0</v>
      </c>
      <c r="AW57" s="13" t="s">
        <v>30</v>
      </c>
      <c r="AX57" s="13" t="s">
        <v>30</v>
      </c>
      <c r="AY57" s="13" t="s">
        <v>30</v>
      </c>
      <c r="AZ57" s="13" t="s">
        <v>30</v>
      </c>
      <c r="BA57" s="13" t="s">
        <v>30</v>
      </c>
      <c r="BB57" s="13" t="s">
        <v>30</v>
      </c>
      <c r="BC57" s="13" t="s">
        <v>30</v>
      </c>
    </row>
    <row r="58">
      <c r="A58" s="13" t="s">
        <v>141</v>
      </c>
      <c r="B58" s="13"/>
      <c r="C58" s="13"/>
      <c r="D58" s="13" t="s">
        <v>142</v>
      </c>
      <c r="E58" s="13">
        <v>1.0</v>
      </c>
      <c r="F58" s="14">
        <v>6661.29</v>
      </c>
      <c r="G58" s="13" t="s">
        <v>29</v>
      </c>
      <c r="H58" s="13">
        <v>5.0</v>
      </c>
      <c r="I58" s="15"/>
      <c r="J58" s="6"/>
      <c r="K58" s="13">
        <v>4.0</v>
      </c>
      <c r="L58" s="17">
        <v>0.0</v>
      </c>
      <c r="M58" s="17">
        <v>0.0</v>
      </c>
      <c r="N58" s="17">
        <v>0.0</v>
      </c>
      <c r="O58" s="17">
        <v>0.0</v>
      </c>
      <c r="P58" s="16">
        <v>1.0</v>
      </c>
      <c r="Q58" s="17">
        <v>0.0</v>
      </c>
      <c r="R58" s="17">
        <v>0.0</v>
      </c>
      <c r="S58" s="17">
        <v>0.0</v>
      </c>
      <c r="T58" s="17">
        <v>0.0</v>
      </c>
      <c r="U58" s="17">
        <v>0.0</v>
      </c>
      <c r="V58" s="17">
        <v>0.0</v>
      </c>
      <c r="W58" s="17">
        <v>0.0</v>
      </c>
      <c r="X58" s="17">
        <v>0.0</v>
      </c>
      <c r="Y58" s="6"/>
      <c r="Z58" s="13" t="s">
        <v>30</v>
      </c>
      <c r="AA58" s="13">
        <v>1.0</v>
      </c>
      <c r="AB58" s="13" t="s">
        <v>30</v>
      </c>
      <c r="AC58" s="13" t="s">
        <v>30</v>
      </c>
      <c r="AD58" s="13">
        <v>2.0</v>
      </c>
      <c r="AE58" s="13" t="s">
        <v>30</v>
      </c>
      <c r="AF58" s="13">
        <v>2.0</v>
      </c>
      <c r="AG58" s="13" t="s">
        <v>30</v>
      </c>
      <c r="AH58" s="13" t="s">
        <v>30</v>
      </c>
      <c r="AI58" s="13" t="s">
        <v>30</v>
      </c>
      <c r="AJ58" s="13" t="s">
        <v>30</v>
      </c>
      <c r="AK58" s="13" t="s">
        <v>30</v>
      </c>
      <c r="AL58" s="13" t="s">
        <v>30</v>
      </c>
      <c r="AM58" s="13" t="s">
        <v>30</v>
      </c>
      <c r="AN58" s="6"/>
      <c r="AO58" s="13">
        <v>5.0</v>
      </c>
      <c r="AP58" s="13" t="s">
        <v>30</v>
      </c>
      <c r="AQ58" s="13">
        <v>1.0</v>
      </c>
      <c r="AR58" s="13" t="s">
        <v>30</v>
      </c>
      <c r="AS58" s="13" t="s">
        <v>30</v>
      </c>
      <c r="AT58" s="13">
        <v>2.0</v>
      </c>
      <c r="AU58" s="13" t="s">
        <v>30</v>
      </c>
      <c r="AV58" s="13">
        <v>2.0</v>
      </c>
      <c r="AW58" s="13" t="s">
        <v>30</v>
      </c>
      <c r="AX58" s="13" t="s">
        <v>30</v>
      </c>
      <c r="AY58" s="13" t="s">
        <v>30</v>
      </c>
      <c r="AZ58" s="13" t="s">
        <v>30</v>
      </c>
      <c r="BA58" s="13" t="s">
        <v>30</v>
      </c>
      <c r="BB58" s="13" t="s">
        <v>30</v>
      </c>
      <c r="BC58" s="13" t="s">
        <v>30</v>
      </c>
    </row>
    <row r="59">
      <c r="A59" s="13" t="s">
        <v>143</v>
      </c>
      <c r="B59" s="13"/>
      <c r="C59" s="13"/>
      <c r="D59" s="13" t="s">
        <v>144</v>
      </c>
      <c r="E59" s="13">
        <v>1.0</v>
      </c>
      <c r="F59" s="14">
        <v>24809.05</v>
      </c>
      <c r="G59" s="13" t="s">
        <v>29</v>
      </c>
      <c r="H59" s="13">
        <v>6.0</v>
      </c>
      <c r="I59" s="15"/>
      <c r="J59" s="6"/>
      <c r="K59" s="13">
        <v>6.0</v>
      </c>
      <c r="L59" s="17">
        <v>0.0</v>
      </c>
      <c r="M59" s="17">
        <v>0.0</v>
      </c>
      <c r="N59" s="17">
        <v>0.0</v>
      </c>
      <c r="O59" s="17">
        <v>0.0</v>
      </c>
      <c r="P59" s="17">
        <v>0.0</v>
      </c>
      <c r="Q59" s="17">
        <v>0.0</v>
      </c>
      <c r="R59" s="17">
        <v>0.0</v>
      </c>
      <c r="S59" s="17">
        <v>0.0</v>
      </c>
      <c r="T59" s="17">
        <v>0.0</v>
      </c>
      <c r="U59" s="17">
        <v>0.0</v>
      </c>
      <c r="V59" s="17">
        <v>0.0</v>
      </c>
      <c r="W59" s="17">
        <v>0.0</v>
      </c>
      <c r="X59" s="17">
        <v>0.0</v>
      </c>
      <c r="Y59" s="6"/>
      <c r="Z59" s="13" t="s">
        <v>30</v>
      </c>
      <c r="AA59" s="13">
        <v>1.0</v>
      </c>
      <c r="AB59" s="13" t="s">
        <v>30</v>
      </c>
      <c r="AC59" s="13" t="s">
        <v>30</v>
      </c>
      <c r="AD59" s="13">
        <v>3.0</v>
      </c>
      <c r="AE59" s="13" t="s">
        <v>30</v>
      </c>
      <c r="AF59" s="13">
        <v>2.0</v>
      </c>
      <c r="AG59" s="13" t="s">
        <v>30</v>
      </c>
      <c r="AH59" s="13" t="s">
        <v>30</v>
      </c>
      <c r="AI59" s="13" t="s">
        <v>30</v>
      </c>
      <c r="AJ59" s="13" t="s">
        <v>30</v>
      </c>
      <c r="AK59" s="13" t="s">
        <v>30</v>
      </c>
      <c r="AL59" s="13" t="s">
        <v>30</v>
      </c>
      <c r="AM59" s="13" t="s">
        <v>30</v>
      </c>
      <c r="AN59" s="6"/>
      <c r="AO59" s="13">
        <v>6.0</v>
      </c>
      <c r="AP59" s="13" t="s">
        <v>30</v>
      </c>
      <c r="AQ59" s="13">
        <v>1.0</v>
      </c>
      <c r="AR59" s="13" t="s">
        <v>30</v>
      </c>
      <c r="AS59" s="13" t="s">
        <v>30</v>
      </c>
      <c r="AT59" s="13">
        <v>3.0</v>
      </c>
      <c r="AU59" s="13" t="s">
        <v>30</v>
      </c>
      <c r="AV59" s="13">
        <v>2.0</v>
      </c>
      <c r="AW59" s="13" t="s">
        <v>30</v>
      </c>
      <c r="AX59" s="13" t="s">
        <v>30</v>
      </c>
      <c r="AY59" s="13" t="s">
        <v>30</v>
      </c>
      <c r="AZ59" s="13" t="s">
        <v>30</v>
      </c>
      <c r="BA59" s="13" t="s">
        <v>30</v>
      </c>
      <c r="BB59" s="13" t="s">
        <v>30</v>
      </c>
      <c r="BC59" s="13" t="s">
        <v>30</v>
      </c>
    </row>
    <row r="60">
      <c r="A60" s="13" t="s">
        <v>145</v>
      </c>
      <c r="B60" s="13"/>
      <c r="C60" s="13"/>
      <c r="D60" s="13" t="s">
        <v>146</v>
      </c>
      <c r="E60" s="13">
        <v>1.0</v>
      </c>
      <c r="F60" s="14">
        <v>13789.49</v>
      </c>
      <c r="G60" s="13" t="s">
        <v>29</v>
      </c>
      <c r="H60" s="13">
        <v>5.0</v>
      </c>
      <c r="I60" s="15"/>
      <c r="J60" s="6"/>
      <c r="K60" s="13">
        <v>5.0</v>
      </c>
      <c r="L60" s="17">
        <v>0.0</v>
      </c>
      <c r="M60" s="17">
        <v>0.0</v>
      </c>
      <c r="N60" s="17">
        <v>0.0</v>
      </c>
      <c r="O60" s="17">
        <v>0.0</v>
      </c>
      <c r="P60" s="17">
        <v>0.0</v>
      </c>
      <c r="Q60" s="17">
        <v>0.0</v>
      </c>
      <c r="R60" s="17">
        <v>0.0</v>
      </c>
      <c r="S60" s="17">
        <v>0.0</v>
      </c>
      <c r="T60" s="17">
        <v>0.0</v>
      </c>
      <c r="U60" s="17">
        <v>0.0</v>
      </c>
      <c r="V60" s="17">
        <v>0.0</v>
      </c>
      <c r="W60" s="17">
        <v>0.0</v>
      </c>
      <c r="X60" s="17">
        <v>0.0</v>
      </c>
      <c r="Y60" s="6"/>
      <c r="Z60" s="13" t="s">
        <v>30</v>
      </c>
      <c r="AA60" s="13">
        <v>1.0</v>
      </c>
      <c r="AB60" s="13" t="s">
        <v>30</v>
      </c>
      <c r="AC60" s="13" t="s">
        <v>30</v>
      </c>
      <c r="AD60" s="13">
        <v>2.0</v>
      </c>
      <c r="AE60" s="13" t="s">
        <v>30</v>
      </c>
      <c r="AF60" s="13">
        <v>2.0</v>
      </c>
      <c r="AG60" s="13" t="s">
        <v>30</v>
      </c>
      <c r="AH60" s="13" t="s">
        <v>30</v>
      </c>
      <c r="AI60" s="13" t="s">
        <v>30</v>
      </c>
      <c r="AJ60" s="13" t="s">
        <v>30</v>
      </c>
      <c r="AK60" s="13" t="s">
        <v>30</v>
      </c>
      <c r="AL60" s="13" t="s">
        <v>30</v>
      </c>
      <c r="AM60" s="13" t="s">
        <v>30</v>
      </c>
      <c r="AN60" s="6"/>
      <c r="AO60" s="13">
        <v>5.0</v>
      </c>
      <c r="AP60" s="13" t="s">
        <v>30</v>
      </c>
      <c r="AQ60" s="13">
        <v>1.0</v>
      </c>
      <c r="AR60" s="13" t="s">
        <v>30</v>
      </c>
      <c r="AS60" s="13" t="s">
        <v>30</v>
      </c>
      <c r="AT60" s="13">
        <v>2.0</v>
      </c>
      <c r="AU60" s="13" t="s">
        <v>30</v>
      </c>
      <c r="AV60" s="13">
        <v>2.0</v>
      </c>
      <c r="AW60" s="13" t="s">
        <v>30</v>
      </c>
      <c r="AX60" s="13" t="s">
        <v>30</v>
      </c>
      <c r="AY60" s="13" t="s">
        <v>30</v>
      </c>
      <c r="AZ60" s="13" t="s">
        <v>30</v>
      </c>
      <c r="BA60" s="13" t="s">
        <v>30</v>
      </c>
      <c r="BB60" s="13" t="s">
        <v>30</v>
      </c>
      <c r="BC60" s="13" t="s">
        <v>30</v>
      </c>
    </row>
    <row r="61">
      <c r="A61" s="13" t="s">
        <v>147</v>
      </c>
      <c r="B61" s="13"/>
      <c r="C61" s="13"/>
      <c r="D61" s="13" t="s">
        <v>148</v>
      </c>
      <c r="E61" s="13">
        <v>1.0</v>
      </c>
      <c r="F61" s="14">
        <v>2907.34</v>
      </c>
      <c r="G61" s="13" t="s">
        <v>29</v>
      </c>
      <c r="H61" s="13">
        <v>14.0</v>
      </c>
      <c r="I61" s="15"/>
      <c r="J61" s="6"/>
      <c r="K61" s="13">
        <v>14.0</v>
      </c>
      <c r="L61" s="17">
        <v>0.0</v>
      </c>
      <c r="M61" s="17">
        <v>0.0</v>
      </c>
      <c r="N61" s="17">
        <v>0.0</v>
      </c>
      <c r="O61" s="17">
        <v>0.0</v>
      </c>
      <c r="P61" s="17">
        <v>0.0</v>
      </c>
      <c r="Q61" s="17">
        <v>0.0</v>
      </c>
      <c r="R61" s="17">
        <v>0.0</v>
      </c>
      <c r="S61" s="17">
        <v>0.0</v>
      </c>
      <c r="T61" s="17">
        <v>0.0</v>
      </c>
      <c r="U61" s="17">
        <v>0.0</v>
      </c>
      <c r="V61" s="17">
        <v>0.0</v>
      </c>
      <c r="W61" s="17">
        <v>0.0</v>
      </c>
      <c r="X61" s="17">
        <v>0.0</v>
      </c>
      <c r="Y61" s="6"/>
      <c r="Z61" s="13">
        <v>2.0</v>
      </c>
      <c r="AA61" s="13">
        <v>2.0</v>
      </c>
      <c r="AB61" s="13">
        <v>2.0</v>
      </c>
      <c r="AC61" s="13">
        <v>2.0</v>
      </c>
      <c r="AD61" s="13">
        <v>2.0</v>
      </c>
      <c r="AE61" s="13">
        <v>2.0</v>
      </c>
      <c r="AF61" s="13">
        <v>2.0</v>
      </c>
      <c r="AG61" s="13" t="s">
        <v>30</v>
      </c>
      <c r="AH61" s="13" t="s">
        <v>30</v>
      </c>
      <c r="AI61" s="13" t="s">
        <v>30</v>
      </c>
      <c r="AJ61" s="13" t="s">
        <v>30</v>
      </c>
      <c r="AK61" s="13" t="s">
        <v>30</v>
      </c>
      <c r="AL61" s="13" t="s">
        <v>30</v>
      </c>
      <c r="AM61" s="13" t="s">
        <v>30</v>
      </c>
      <c r="AN61" s="6"/>
      <c r="AO61" s="13">
        <v>14.0</v>
      </c>
      <c r="AP61" s="13">
        <v>2.0</v>
      </c>
      <c r="AQ61" s="13">
        <v>2.0</v>
      </c>
      <c r="AR61" s="13">
        <v>2.0</v>
      </c>
      <c r="AS61" s="13">
        <v>2.0</v>
      </c>
      <c r="AT61" s="13">
        <v>2.0</v>
      </c>
      <c r="AU61" s="13">
        <v>2.0</v>
      </c>
      <c r="AV61" s="13">
        <v>2.0</v>
      </c>
      <c r="AW61" s="13" t="s">
        <v>30</v>
      </c>
      <c r="AX61" s="13" t="s">
        <v>30</v>
      </c>
      <c r="AY61" s="13" t="s">
        <v>30</v>
      </c>
      <c r="AZ61" s="13" t="s">
        <v>30</v>
      </c>
      <c r="BA61" s="13" t="s">
        <v>30</v>
      </c>
      <c r="BB61" s="13" t="s">
        <v>30</v>
      </c>
      <c r="BC61" s="13" t="s">
        <v>30</v>
      </c>
    </row>
    <row r="62">
      <c r="A62" s="13" t="s">
        <v>149</v>
      </c>
      <c r="B62" s="13"/>
      <c r="C62" s="13"/>
      <c r="D62" s="13" t="s">
        <v>150</v>
      </c>
      <c r="E62" s="13">
        <v>1.0</v>
      </c>
      <c r="F62" s="14">
        <v>8155.36</v>
      </c>
      <c r="G62" s="13" t="s">
        <v>29</v>
      </c>
      <c r="H62" s="13">
        <v>4.0</v>
      </c>
      <c r="I62" s="15"/>
      <c r="J62" s="6"/>
      <c r="K62" s="13">
        <v>4.0</v>
      </c>
      <c r="L62" s="17">
        <v>0.0</v>
      </c>
      <c r="M62" s="17">
        <v>0.0</v>
      </c>
      <c r="N62" s="17">
        <v>0.0</v>
      </c>
      <c r="O62" s="17">
        <v>0.0</v>
      </c>
      <c r="P62" s="17">
        <v>0.0</v>
      </c>
      <c r="Q62" s="17">
        <v>0.0</v>
      </c>
      <c r="R62" s="17">
        <v>0.0</v>
      </c>
      <c r="S62" s="17">
        <v>0.0</v>
      </c>
      <c r="T62" s="17">
        <v>0.0</v>
      </c>
      <c r="U62" s="17">
        <v>0.0</v>
      </c>
      <c r="V62" s="17">
        <v>0.0</v>
      </c>
      <c r="W62" s="17">
        <v>0.0</v>
      </c>
      <c r="X62" s="17">
        <v>0.0</v>
      </c>
      <c r="Y62" s="6"/>
      <c r="Z62" s="13"/>
      <c r="AA62" s="13">
        <v>1.0</v>
      </c>
      <c r="AB62" s="13">
        <v>1.0</v>
      </c>
      <c r="AC62" s="13">
        <v>1.0</v>
      </c>
      <c r="AD62" s="13"/>
      <c r="AE62" s="13">
        <v>1.0</v>
      </c>
      <c r="AF62" s="13"/>
      <c r="AG62" s="13" t="s">
        <v>30</v>
      </c>
      <c r="AH62" s="13" t="s">
        <v>30</v>
      </c>
      <c r="AI62" s="13" t="s">
        <v>30</v>
      </c>
      <c r="AJ62" s="13" t="s">
        <v>30</v>
      </c>
      <c r="AK62" s="13" t="s">
        <v>30</v>
      </c>
      <c r="AL62" s="13" t="s">
        <v>30</v>
      </c>
      <c r="AM62" s="13" t="s">
        <v>30</v>
      </c>
      <c r="AN62" s="6"/>
      <c r="AO62" s="13">
        <v>4.0</v>
      </c>
      <c r="AP62" s="13"/>
      <c r="AQ62" s="13">
        <v>1.0</v>
      </c>
      <c r="AR62" s="13">
        <v>1.0</v>
      </c>
      <c r="AS62" s="13">
        <v>1.0</v>
      </c>
      <c r="AT62" s="13"/>
      <c r="AU62" s="13">
        <v>1.0</v>
      </c>
      <c r="AV62" s="13"/>
      <c r="AW62" s="13" t="s">
        <v>30</v>
      </c>
      <c r="AX62" s="13" t="s">
        <v>30</v>
      </c>
      <c r="AY62" s="13" t="s">
        <v>30</v>
      </c>
      <c r="AZ62" s="13" t="s">
        <v>30</v>
      </c>
      <c r="BA62" s="13" t="s">
        <v>30</v>
      </c>
      <c r="BB62" s="13" t="s">
        <v>30</v>
      </c>
      <c r="BC62" s="13" t="s">
        <v>30</v>
      </c>
    </row>
    <row r="63">
      <c r="A63" s="13" t="s">
        <v>151</v>
      </c>
      <c r="B63" s="13"/>
      <c r="C63" s="13"/>
      <c r="D63" s="13" t="s">
        <v>152</v>
      </c>
      <c r="E63" s="13">
        <v>1.0</v>
      </c>
      <c r="F63" s="14">
        <v>5844.53</v>
      </c>
      <c r="G63" s="13" t="s">
        <v>29</v>
      </c>
      <c r="H63" s="13">
        <v>1.0</v>
      </c>
      <c r="I63" s="15"/>
      <c r="J63" s="6"/>
      <c r="K63" s="13">
        <v>1.0</v>
      </c>
      <c r="L63" s="17">
        <v>0.0</v>
      </c>
      <c r="M63" s="17">
        <v>0.0</v>
      </c>
      <c r="N63" s="17">
        <v>0.0</v>
      </c>
      <c r="O63" s="17">
        <v>0.0</v>
      </c>
      <c r="P63" s="17">
        <v>0.0</v>
      </c>
      <c r="Q63" s="17">
        <v>0.0</v>
      </c>
      <c r="R63" s="17">
        <v>0.0</v>
      </c>
      <c r="S63" s="17">
        <v>0.0</v>
      </c>
      <c r="T63" s="17">
        <v>0.0</v>
      </c>
      <c r="U63" s="17">
        <v>0.0</v>
      </c>
      <c r="V63" s="17">
        <v>0.0</v>
      </c>
      <c r="W63" s="17">
        <v>0.0</v>
      </c>
      <c r="X63" s="17">
        <v>0.0</v>
      </c>
      <c r="Y63" s="6"/>
      <c r="Z63" s="13"/>
      <c r="AA63" s="13"/>
      <c r="AB63" s="13"/>
      <c r="AC63" s="13"/>
      <c r="AD63" s="13"/>
      <c r="AE63" s="13">
        <v>1.0</v>
      </c>
      <c r="AF63" s="13"/>
      <c r="AG63" s="13" t="s">
        <v>30</v>
      </c>
      <c r="AH63" s="13" t="s">
        <v>30</v>
      </c>
      <c r="AI63" s="13" t="s">
        <v>30</v>
      </c>
      <c r="AJ63" s="13" t="s">
        <v>30</v>
      </c>
      <c r="AK63" s="13" t="s">
        <v>30</v>
      </c>
      <c r="AL63" s="13" t="s">
        <v>30</v>
      </c>
      <c r="AM63" s="13" t="s">
        <v>30</v>
      </c>
      <c r="AN63" s="6"/>
      <c r="AO63" s="13">
        <v>1.0</v>
      </c>
      <c r="AP63" s="13"/>
      <c r="AQ63" s="13"/>
      <c r="AR63" s="13"/>
      <c r="AS63" s="13"/>
      <c r="AT63" s="13"/>
      <c r="AU63" s="13">
        <v>1.0</v>
      </c>
      <c r="AV63" s="13"/>
      <c r="AW63" s="13" t="s">
        <v>30</v>
      </c>
      <c r="AX63" s="13" t="s">
        <v>30</v>
      </c>
      <c r="AY63" s="13" t="s">
        <v>30</v>
      </c>
      <c r="AZ63" s="13" t="s">
        <v>30</v>
      </c>
      <c r="BA63" s="13" t="s">
        <v>30</v>
      </c>
      <c r="BB63" s="13" t="s">
        <v>30</v>
      </c>
      <c r="BC63" s="13" t="s">
        <v>30</v>
      </c>
    </row>
    <row r="64">
      <c r="A64" s="13" t="s">
        <v>153</v>
      </c>
      <c r="B64" s="13"/>
      <c r="C64" s="13">
        <v>26055.0</v>
      </c>
      <c r="D64" s="13" t="s">
        <v>154</v>
      </c>
      <c r="E64" s="13">
        <v>1.0</v>
      </c>
      <c r="F64" s="14">
        <v>2276.26</v>
      </c>
      <c r="G64" s="13" t="s">
        <v>29</v>
      </c>
      <c r="H64" s="13">
        <v>1.0</v>
      </c>
      <c r="I64" s="15"/>
      <c r="J64" s="6"/>
      <c r="K64" s="13">
        <v>0.0</v>
      </c>
      <c r="L64" s="17">
        <v>0.0</v>
      </c>
      <c r="M64" s="17">
        <v>1.0</v>
      </c>
      <c r="N64" s="17">
        <v>0.0</v>
      </c>
      <c r="O64" s="17">
        <v>0.0</v>
      </c>
      <c r="P64" s="17">
        <v>0.0</v>
      </c>
      <c r="Q64" s="17">
        <v>0.0</v>
      </c>
      <c r="R64" s="17">
        <v>0.0</v>
      </c>
      <c r="S64" s="17">
        <v>0.0</v>
      </c>
      <c r="T64" s="17">
        <v>0.0</v>
      </c>
      <c r="U64" s="17">
        <v>0.0</v>
      </c>
      <c r="V64" s="17">
        <v>0.0</v>
      </c>
      <c r="W64" s="17">
        <v>0.0</v>
      </c>
      <c r="X64" s="17">
        <v>0.0</v>
      </c>
      <c r="Y64" s="6"/>
      <c r="Z64" s="13"/>
      <c r="AA64" s="13"/>
      <c r="AB64" s="13"/>
      <c r="AC64" s="13"/>
      <c r="AD64" s="13"/>
      <c r="AE64" s="13">
        <v>1.0</v>
      </c>
      <c r="AF64" s="13"/>
      <c r="AG64" s="13" t="s">
        <v>30</v>
      </c>
      <c r="AH64" s="13" t="s">
        <v>30</v>
      </c>
      <c r="AI64" s="13" t="s">
        <v>30</v>
      </c>
      <c r="AJ64" s="13" t="s">
        <v>30</v>
      </c>
      <c r="AK64" s="13" t="s">
        <v>30</v>
      </c>
      <c r="AL64" s="13" t="s">
        <v>30</v>
      </c>
      <c r="AM64" s="13" t="s">
        <v>30</v>
      </c>
      <c r="AN64" s="6"/>
      <c r="AO64" s="13">
        <v>5.0</v>
      </c>
      <c r="AP64" s="13">
        <v>1.0</v>
      </c>
      <c r="AQ64" s="13">
        <v>1.0</v>
      </c>
      <c r="AR64" s="13">
        <v>1.0</v>
      </c>
      <c r="AS64" s="13">
        <v>1.0</v>
      </c>
      <c r="AT64" s="13"/>
      <c r="AU64" s="13">
        <v>1.0</v>
      </c>
      <c r="AV64" s="13"/>
      <c r="AW64" s="13" t="s">
        <v>30</v>
      </c>
      <c r="AX64" s="13" t="s">
        <v>30</v>
      </c>
      <c r="AY64" s="13" t="s">
        <v>30</v>
      </c>
      <c r="AZ64" s="13" t="s">
        <v>30</v>
      </c>
      <c r="BA64" s="13" t="s">
        <v>30</v>
      </c>
      <c r="BB64" s="13" t="s">
        <v>30</v>
      </c>
      <c r="BC64" s="13" t="s">
        <v>30</v>
      </c>
    </row>
    <row r="65">
      <c r="A65" s="13" t="s">
        <v>155</v>
      </c>
      <c r="B65" s="13"/>
      <c r="C65" s="13"/>
      <c r="D65" s="13" t="s">
        <v>156</v>
      </c>
      <c r="E65" s="13">
        <v>2.0</v>
      </c>
      <c r="F65" s="14">
        <v>13256.69</v>
      </c>
      <c r="G65" s="13" t="s">
        <v>29</v>
      </c>
      <c r="H65" s="13">
        <v>3.0</v>
      </c>
      <c r="I65" s="15"/>
      <c r="J65" s="6"/>
      <c r="K65" s="13">
        <v>3.0</v>
      </c>
      <c r="L65" s="17">
        <v>0.0</v>
      </c>
      <c r="M65" s="17">
        <v>0.0</v>
      </c>
      <c r="N65" s="17">
        <v>0.0</v>
      </c>
      <c r="O65" s="17">
        <v>0.0</v>
      </c>
      <c r="P65" s="17">
        <v>0.0</v>
      </c>
      <c r="Q65" s="17">
        <v>0.0</v>
      </c>
      <c r="R65" s="17">
        <v>0.0</v>
      </c>
      <c r="S65" s="17">
        <v>0.0</v>
      </c>
      <c r="T65" s="17">
        <v>0.0</v>
      </c>
      <c r="U65" s="17">
        <v>0.0</v>
      </c>
      <c r="V65" s="17">
        <v>0.0</v>
      </c>
      <c r="W65" s="17">
        <v>0.0</v>
      </c>
      <c r="X65" s="17">
        <v>0.0</v>
      </c>
      <c r="Y65" s="6"/>
      <c r="Z65" s="13" t="s">
        <v>30</v>
      </c>
      <c r="AA65" s="13">
        <v>1.0</v>
      </c>
      <c r="AB65" s="13" t="s">
        <v>30</v>
      </c>
      <c r="AC65" s="13" t="s">
        <v>30</v>
      </c>
      <c r="AD65" s="13">
        <v>1.0</v>
      </c>
      <c r="AE65" s="13" t="s">
        <v>30</v>
      </c>
      <c r="AF65" s="13">
        <v>1.0</v>
      </c>
      <c r="AG65" s="13" t="s">
        <v>30</v>
      </c>
      <c r="AH65" s="13" t="s">
        <v>30</v>
      </c>
      <c r="AI65" s="13" t="s">
        <v>30</v>
      </c>
      <c r="AJ65" s="13" t="s">
        <v>30</v>
      </c>
      <c r="AK65" s="13" t="s">
        <v>30</v>
      </c>
      <c r="AL65" s="13" t="s">
        <v>30</v>
      </c>
      <c r="AM65" s="13" t="s">
        <v>30</v>
      </c>
      <c r="AN65" s="6"/>
      <c r="AO65" s="13">
        <v>3.0</v>
      </c>
      <c r="AP65" s="13" t="s">
        <v>30</v>
      </c>
      <c r="AQ65" s="13">
        <v>1.0</v>
      </c>
      <c r="AR65" s="13" t="s">
        <v>30</v>
      </c>
      <c r="AS65" s="13" t="s">
        <v>30</v>
      </c>
      <c r="AT65" s="13">
        <v>1.0</v>
      </c>
      <c r="AU65" s="13" t="s">
        <v>30</v>
      </c>
      <c r="AV65" s="13">
        <v>1.0</v>
      </c>
      <c r="AW65" s="13" t="s">
        <v>30</v>
      </c>
      <c r="AX65" s="13" t="s">
        <v>30</v>
      </c>
      <c r="AY65" s="13" t="s">
        <v>30</v>
      </c>
      <c r="AZ65" s="13" t="s">
        <v>30</v>
      </c>
      <c r="BA65" s="13" t="s">
        <v>30</v>
      </c>
      <c r="BB65" s="13" t="s">
        <v>30</v>
      </c>
      <c r="BC65" s="13" t="s">
        <v>30</v>
      </c>
    </row>
    <row r="66">
      <c r="A66" s="13" t="s">
        <v>157</v>
      </c>
      <c r="B66" s="13"/>
      <c r="C66" s="13"/>
      <c r="D66" s="13" t="s">
        <v>158</v>
      </c>
      <c r="E66" s="13">
        <v>1.0</v>
      </c>
      <c r="F66" s="14">
        <v>2450.0</v>
      </c>
      <c r="G66" s="13" t="s">
        <v>29</v>
      </c>
      <c r="H66" s="13">
        <v>6.0</v>
      </c>
      <c r="I66" s="15"/>
      <c r="J66" s="6"/>
      <c r="K66" s="13">
        <v>6.0</v>
      </c>
      <c r="L66" s="17">
        <v>0.0</v>
      </c>
      <c r="M66" s="17">
        <v>0.0</v>
      </c>
      <c r="N66" s="17">
        <v>0.0</v>
      </c>
      <c r="O66" s="17">
        <v>0.0</v>
      </c>
      <c r="P66" s="17">
        <v>0.0</v>
      </c>
      <c r="Q66" s="17">
        <v>0.0</v>
      </c>
      <c r="R66" s="17">
        <v>0.0</v>
      </c>
      <c r="S66" s="17">
        <v>0.0</v>
      </c>
      <c r="T66" s="17">
        <v>0.0</v>
      </c>
      <c r="U66" s="17">
        <v>0.0</v>
      </c>
      <c r="V66" s="17">
        <v>0.0</v>
      </c>
      <c r="W66" s="17">
        <v>0.0</v>
      </c>
      <c r="X66" s="17">
        <v>0.0</v>
      </c>
      <c r="Y66" s="6"/>
      <c r="Z66" s="13" t="s">
        <v>30</v>
      </c>
      <c r="AA66" s="13">
        <v>2.0</v>
      </c>
      <c r="AB66" s="13" t="s">
        <v>30</v>
      </c>
      <c r="AC66" s="13" t="s">
        <v>30</v>
      </c>
      <c r="AD66" s="13">
        <v>2.0</v>
      </c>
      <c r="AE66" s="13" t="s">
        <v>30</v>
      </c>
      <c r="AF66" s="13">
        <v>2.0</v>
      </c>
      <c r="AG66" s="13" t="s">
        <v>30</v>
      </c>
      <c r="AH66" s="13" t="s">
        <v>30</v>
      </c>
      <c r="AI66" s="13" t="s">
        <v>30</v>
      </c>
      <c r="AJ66" s="13" t="s">
        <v>30</v>
      </c>
      <c r="AK66" s="13" t="s">
        <v>30</v>
      </c>
      <c r="AL66" s="13" t="s">
        <v>30</v>
      </c>
      <c r="AM66" s="13" t="s">
        <v>30</v>
      </c>
      <c r="AN66" s="6"/>
      <c r="AO66" s="13">
        <v>6.0</v>
      </c>
      <c r="AP66" s="13" t="s">
        <v>30</v>
      </c>
      <c r="AQ66" s="13">
        <v>2.0</v>
      </c>
      <c r="AR66" s="13" t="s">
        <v>30</v>
      </c>
      <c r="AS66" s="13" t="s">
        <v>30</v>
      </c>
      <c r="AT66" s="13">
        <v>2.0</v>
      </c>
      <c r="AU66" s="13" t="s">
        <v>30</v>
      </c>
      <c r="AV66" s="13">
        <v>2.0</v>
      </c>
      <c r="AW66" s="13" t="s">
        <v>30</v>
      </c>
      <c r="AX66" s="13" t="s">
        <v>30</v>
      </c>
      <c r="AY66" s="13" t="s">
        <v>30</v>
      </c>
      <c r="AZ66" s="13" t="s">
        <v>30</v>
      </c>
      <c r="BA66" s="13" t="s">
        <v>30</v>
      </c>
      <c r="BB66" s="13" t="s">
        <v>30</v>
      </c>
      <c r="BC66" s="13" t="s">
        <v>30</v>
      </c>
    </row>
    <row r="67">
      <c r="A67" s="13" t="s">
        <v>159</v>
      </c>
      <c r="B67" s="13"/>
      <c r="C67" s="13"/>
      <c r="D67" s="13" t="s">
        <v>160</v>
      </c>
      <c r="E67" s="13">
        <v>1.0</v>
      </c>
      <c r="F67" s="14">
        <v>85.1</v>
      </c>
      <c r="G67" s="13" t="s">
        <v>29</v>
      </c>
      <c r="H67" s="13">
        <v>12.0</v>
      </c>
      <c r="I67" s="15"/>
      <c r="J67" s="6"/>
      <c r="K67" s="13">
        <v>11.0</v>
      </c>
      <c r="L67" s="17">
        <v>0.0</v>
      </c>
      <c r="M67" s="17">
        <v>0.0</v>
      </c>
      <c r="N67" s="17">
        <v>0.0</v>
      </c>
      <c r="O67" s="17">
        <v>0.0</v>
      </c>
      <c r="P67" s="17">
        <v>0.0</v>
      </c>
      <c r="Q67" s="17">
        <v>0.0</v>
      </c>
      <c r="R67" s="17">
        <v>0.0</v>
      </c>
      <c r="S67" s="17">
        <v>0.0</v>
      </c>
      <c r="T67" s="17">
        <v>1.0</v>
      </c>
      <c r="U67" s="17">
        <v>0.0</v>
      </c>
      <c r="V67" s="17">
        <v>0.0</v>
      </c>
      <c r="W67" s="17">
        <v>0.0</v>
      </c>
      <c r="X67" s="17">
        <v>0.0</v>
      </c>
      <c r="Y67" s="6"/>
      <c r="Z67" s="13">
        <v>1.0</v>
      </c>
      <c r="AA67" s="13">
        <v>2.0</v>
      </c>
      <c r="AB67" s="13">
        <v>2.0</v>
      </c>
      <c r="AC67" s="13">
        <v>1.0</v>
      </c>
      <c r="AD67" s="13">
        <v>2.0</v>
      </c>
      <c r="AE67" s="13">
        <v>2.0</v>
      </c>
      <c r="AF67" s="13">
        <v>2.0</v>
      </c>
      <c r="AG67" s="13" t="s">
        <v>30</v>
      </c>
      <c r="AH67" s="13" t="s">
        <v>30</v>
      </c>
      <c r="AI67" s="13" t="s">
        <v>30</v>
      </c>
      <c r="AJ67" s="13" t="s">
        <v>30</v>
      </c>
      <c r="AK67" s="13" t="s">
        <v>30</v>
      </c>
      <c r="AL67" s="13" t="s">
        <v>30</v>
      </c>
      <c r="AM67" s="13" t="s">
        <v>30</v>
      </c>
      <c r="AN67" s="6"/>
      <c r="AO67" s="13">
        <v>12.0</v>
      </c>
      <c r="AP67" s="13">
        <v>1.0</v>
      </c>
      <c r="AQ67" s="13">
        <v>2.0</v>
      </c>
      <c r="AR67" s="13">
        <v>2.0</v>
      </c>
      <c r="AS67" s="13">
        <v>1.0</v>
      </c>
      <c r="AT67" s="13">
        <v>2.0</v>
      </c>
      <c r="AU67" s="13">
        <v>2.0</v>
      </c>
      <c r="AV67" s="13">
        <v>2.0</v>
      </c>
      <c r="AW67" s="13" t="s">
        <v>30</v>
      </c>
      <c r="AX67" s="13" t="s">
        <v>30</v>
      </c>
      <c r="AY67" s="13" t="s">
        <v>30</v>
      </c>
      <c r="AZ67" s="13" t="s">
        <v>30</v>
      </c>
      <c r="BA67" s="13" t="s">
        <v>30</v>
      </c>
      <c r="BB67" s="13" t="s">
        <v>30</v>
      </c>
      <c r="BC67" s="13" t="s">
        <v>30</v>
      </c>
    </row>
    <row r="68">
      <c r="A68" s="13" t="s">
        <v>161</v>
      </c>
      <c r="B68" s="13"/>
      <c r="C68" s="13"/>
      <c r="D68" s="13" t="s">
        <v>162</v>
      </c>
      <c r="E68" s="13">
        <v>1.0</v>
      </c>
      <c r="F68" s="14">
        <v>31126.49</v>
      </c>
      <c r="G68" s="13" t="s">
        <v>29</v>
      </c>
      <c r="H68" s="13">
        <v>3.0</v>
      </c>
      <c r="I68" s="15"/>
      <c r="J68" s="6"/>
      <c r="K68" s="13">
        <v>3.0</v>
      </c>
      <c r="L68" s="17">
        <v>0.0</v>
      </c>
      <c r="M68" s="17">
        <v>0.0</v>
      </c>
      <c r="N68" s="17">
        <v>0.0</v>
      </c>
      <c r="O68" s="17">
        <v>0.0</v>
      </c>
      <c r="P68" s="17">
        <v>0.0</v>
      </c>
      <c r="Q68" s="17">
        <v>0.0</v>
      </c>
      <c r="R68" s="17">
        <v>0.0</v>
      </c>
      <c r="S68" s="17">
        <v>0.0</v>
      </c>
      <c r="T68" s="17">
        <v>0.0</v>
      </c>
      <c r="U68" s="17">
        <v>0.0</v>
      </c>
      <c r="V68" s="17">
        <v>0.0</v>
      </c>
      <c r="W68" s="17">
        <v>0.0</v>
      </c>
      <c r="X68" s="17">
        <v>0.0</v>
      </c>
      <c r="Y68" s="6"/>
      <c r="Z68" s="13" t="s">
        <v>30</v>
      </c>
      <c r="AA68" s="13">
        <v>1.0</v>
      </c>
      <c r="AB68" s="13" t="s">
        <v>30</v>
      </c>
      <c r="AC68" s="13" t="s">
        <v>30</v>
      </c>
      <c r="AD68" s="13">
        <v>1.0</v>
      </c>
      <c r="AE68" s="13" t="s">
        <v>30</v>
      </c>
      <c r="AF68" s="13">
        <v>1.0</v>
      </c>
      <c r="AG68" s="13" t="s">
        <v>30</v>
      </c>
      <c r="AH68" s="13" t="s">
        <v>30</v>
      </c>
      <c r="AI68" s="13" t="s">
        <v>30</v>
      </c>
      <c r="AJ68" s="13" t="s">
        <v>30</v>
      </c>
      <c r="AK68" s="13" t="s">
        <v>30</v>
      </c>
      <c r="AL68" s="13" t="s">
        <v>30</v>
      </c>
      <c r="AM68" s="13" t="s">
        <v>30</v>
      </c>
      <c r="AN68" s="6"/>
      <c r="AO68" s="13">
        <v>3.0</v>
      </c>
      <c r="AP68" s="13" t="s">
        <v>30</v>
      </c>
      <c r="AQ68" s="13">
        <v>1.0</v>
      </c>
      <c r="AR68" s="13" t="s">
        <v>30</v>
      </c>
      <c r="AS68" s="13" t="s">
        <v>30</v>
      </c>
      <c r="AT68" s="13">
        <v>1.0</v>
      </c>
      <c r="AU68" s="13" t="s">
        <v>30</v>
      </c>
      <c r="AV68" s="13">
        <v>1.0</v>
      </c>
      <c r="AW68" s="13" t="s">
        <v>30</v>
      </c>
      <c r="AX68" s="13" t="s">
        <v>30</v>
      </c>
      <c r="AY68" s="13" t="s">
        <v>30</v>
      </c>
      <c r="AZ68" s="13" t="s">
        <v>30</v>
      </c>
      <c r="BA68" s="13" t="s">
        <v>30</v>
      </c>
      <c r="BB68" s="13" t="s">
        <v>30</v>
      </c>
      <c r="BC68" s="13" t="s">
        <v>30</v>
      </c>
    </row>
    <row r="69">
      <c r="A69" s="13" t="s">
        <v>163</v>
      </c>
      <c r="B69" s="13"/>
      <c r="C69" s="13"/>
      <c r="D69" s="13" t="s">
        <v>164</v>
      </c>
      <c r="E69" s="13">
        <v>1.0</v>
      </c>
      <c r="F69" s="14">
        <v>3295.65</v>
      </c>
      <c r="G69" s="13" t="s">
        <v>29</v>
      </c>
      <c r="H69" s="13">
        <v>14.0</v>
      </c>
      <c r="I69" s="15"/>
      <c r="J69" s="6"/>
      <c r="K69" s="13">
        <v>13.0</v>
      </c>
      <c r="L69" s="17">
        <v>0.0</v>
      </c>
      <c r="M69" s="17">
        <v>1.0</v>
      </c>
      <c r="N69" s="17">
        <v>0.0</v>
      </c>
      <c r="O69" s="17">
        <v>0.0</v>
      </c>
      <c r="P69" s="17">
        <v>0.0</v>
      </c>
      <c r="Q69" s="17">
        <v>0.0</v>
      </c>
      <c r="R69" s="17">
        <v>0.0</v>
      </c>
      <c r="S69" s="17">
        <v>0.0</v>
      </c>
      <c r="T69" s="17">
        <v>0.0</v>
      </c>
      <c r="U69" s="17">
        <v>0.0</v>
      </c>
      <c r="V69" s="17">
        <v>0.0</v>
      </c>
      <c r="W69" s="17">
        <v>0.0</v>
      </c>
      <c r="X69" s="17">
        <v>0.0</v>
      </c>
      <c r="Y69" s="6"/>
      <c r="Z69" s="13" t="s">
        <v>30</v>
      </c>
      <c r="AA69" s="13">
        <v>4.0</v>
      </c>
      <c r="AB69" s="13" t="s">
        <v>30</v>
      </c>
      <c r="AC69" s="13" t="s">
        <v>30</v>
      </c>
      <c r="AD69" s="13">
        <v>5.0</v>
      </c>
      <c r="AE69" s="13" t="s">
        <v>30</v>
      </c>
      <c r="AF69" s="13">
        <v>5.0</v>
      </c>
      <c r="AG69" s="13" t="s">
        <v>30</v>
      </c>
      <c r="AH69" s="13" t="s">
        <v>30</v>
      </c>
      <c r="AI69" s="13" t="s">
        <v>30</v>
      </c>
      <c r="AJ69" s="13" t="s">
        <v>30</v>
      </c>
      <c r="AK69" s="13" t="s">
        <v>30</v>
      </c>
      <c r="AL69" s="13" t="s">
        <v>30</v>
      </c>
      <c r="AM69" s="13" t="s">
        <v>30</v>
      </c>
      <c r="AN69" s="6"/>
      <c r="AO69" s="13">
        <v>14.0</v>
      </c>
      <c r="AP69" s="13" t="s">
        <v>30</v>
      </c>
      <c r="AQ69" s="13">
        <v>4.0</v>
      </c>
      <c r="AR69" s="13" t="s">
        <v>30</v>
      </c>
      <c r="AS69" s="13" t="s">
        <v>30</v>
      </c>
      <c r="AT69" s="13">
        <v>5.0</v>
      </c>
      <c r="AU69" s="13" t="s">
        <v>30</v>
      </c>
      <c r="AV69" s="13">
        <v>5.0</v>
      </c>
      <c r="AW69" s="13" t="s">
        <v>30</v>
      </c>
      <c r="AX69" s="13" t="s">
        <v>30</v>
      </c>
      <c r="AY69" s="13" t="s">
        <v>30</v>
      </c>
      <c r="AZ69" s="13" t="s">
        <v>30</v>
      </c>
      <c r="BA69" s="13" t="s">
        <v>30</v>
      </c>
      <c r="BB69" s="13" t="s">
        <v>30</v>
      </c>
      <c r="BC69" s="13" t="s">
        <v>30</v>
      </c>
    </row>
    <row r="70">
      <c r="A70" s="13" t="s">
        <v>165</v>
      </c>
      <c r="B70" s="13"/>
      <c r="C70" s="13" t="s">
        <v>48</v>
      </c>
      <c r="D70" s="13" t="s">
        <v>166</v>
      </c>
      <c r="E70" s="13">
        <v>1.0</v>
      </c>
      <c r="F70" s="14">
        <v>162.66</v>
      </c>
      <c r="G70" s="13" t="s">
        <v>29</v>
      </c>
      <c r="H70" s="13">
        <v>6.0</v>
      </c>
      <c r="I70" s="15"/>
      <c r="J70" s="6"/>
      <c r="K70" s="13">
        <v>6.0</v>
      </c>
      <c r="L70" s="17">
        <v>0.0</v>
      </c>
      <c r="M70" s="17">
        <v>0.0</v>
      </c>
      <c r="N70" s="17">
        <v>0.0</v>
      </c>
      <c r="O70" s="17">
        <v>0.0</v>
      </c>
      <c r="P70" s="17">
        <v>0.0</v>
      </c>
      <c r="Q70" s="17">
        <v>0.0</v>
      </c>
      <c r="R70" s="17">
        <v>0.0</v>
      </c>
      <c r="S70" s="17">
        <v>0.0</v>
      </c>
      <c r="T70" s="17">
        <v>0.0</v>
      </c>
      <c r="U70" s="17">
        <v>0.0</v>
      </c>
      <c r="V70" s="17">
        <v>0.0</v>
      </c>
      <c r="W70" s="17">
        <v>0.0</v>
      </c>
      <c r="X70" s="17">
        <v>0.0</v>
      </c>
      <c r="Y70" s="6"/>
      <c r="Z70" s="13">
        <v>1.0</v>
      </c>
      <c r="AA70" s="13">
        <v>1.0</v>
      </c>
      <c r="AB70" s="13">
        <v>1.0</v>
      </c>
      <c r="AC70" s="13">
        <v>1.0</v>
      </c>
      <c r="AD70" s="13">
        <v>1.0</v>
      </c>
      <c r="AE70" s="13">
        <v>1.0</v>
      </c>
      <c r="AF70" s="13"/>
      <c r="AG70" s="13" t="s">
        <v>30</v>
      </c>
      <c r="AH70" s="13" t="s">
        <v>30</v>
      </c>
      <c r="AI70" s="13" t="s">
        <v>30</v>
      </c>
      <c r="AJ70" s="13" t="s">
        <v>30</v>
      </c>
      <c r="AK70" s="13" t="s">
        <v>30</v>
      </c>
      <c r="AL70" s="13" t="s">
        <v>30</v>
      </c>
      <c r="AM70" s="13" t="s">
        <v>30</v>
      </c>
      <c r="AN70" s="6"/>
      <c r="AO70" s="13">
        <v>7.0</v>
      </c>
      <c r="AP70" s="13">
        <v>1.0</v>
      </c>
      <c r="AQ70" s="13">
        <v>1.0</v>
      </c>
      <c r="AR70" s="13">
        <v>1.0</v>
      </c>
      <c r="AS70" s="13">
        <v>1.0</v>
      </c>
      <c r="AT70" s="13">
        <v>1.0</v>
      </c>
      <c r="AU70" s="13">
        <v>1.0</v>
      </c>
      <c r="AV70" s="13">
        <v>1.0</v>
      </c>
      <c r="AW70" s="13" t="s">
        <v>30</v>
      </c>
      <c r="AX70" s="13" t="s">
        <v>30</v>
      </c>
      <c r="AY70" s="13" t="s">
        <v>30</v>
      </c>
      <c r="AZ70" s="13" t="s">
        <v>30</v>
      </c>
      <c r="BA70" s="13" t="s">
        <v>30</v>
      </c>
      <c r="BB70" s="13" t="s">
        <v>30</v>
      </c>
      <c r="BC70" s="13" t="s">
        <v>30</v>
      </c>
    </row>
    <row r="71">
      <c r="A71" s="13" t="s">
        <v>167</v>
      </c>
      <c r="B71" s="13"/>
      <c r="C71" s="13" t="s">
        <v>48</v>
      </c>
      <c r="D71" s="13" t="s">
        <v>168</v>
      </c>
      <c r="E71" s="13">
        <v>1.0</v>
      </c>
      <c r="F71" s="14">
        <v>11218.11</v>
      </c>
      <c r="G71" s="13" t="s">
        <v>29</v>
      </c>
      <c r="H71" s="13">
        <v>1.0</v>
      </c>
      <c r="I71" s="15"/>
      <c r="J71" s="6"/>
      <c r="K71" s="13">
        <v>1.0</v>
      </c>
      <c r="L71" s="17">
        <v>0.0</v>
      </c>
      <c r="M71" s="17">
        <v>0.0</v>
      </c>
      <c r="N71" s="17">
        <v>0.0</v>
      </c>
      <c r="O71" s="17">
        <v>0.0</v>
      </c>
      <c r="P71" s="17">
        <v>0.0</v>
      </c>
      <c r="Q71" s="17">
        <v>0.0</v>
      </c>
      <c r="R71" s="17">
        <v>0.0</v>
      </c>
      <c r="S71" s="17">
        <v>0.0</v>
      </c>
      <c r="T71" s="17">
        <v>0.0</v>
      </c>
      <c r="U71" s="17">
        <v>0.0</v>
      </c>
      <c r="V71" s="17">
        <v>0.0</v>
      </c>
      <c r="W71" s="17">
        <v>0.0</v>
      </c>
      <c r="X71" s="17">
        <v>0.0</v>
      </c>
      <c r="Y71" s="6"/>
      <c r="Z71" s="13"/>
      <c r="AA71" s="13"/>
      <c r="AB71" s="13"/>
      <c r="AC71" s="13"/>
      <c r="AD71" s="13">
        <v>1.0</v>
      </c>
      <c r="AE71" s="13"/>
      <c r="AF71" s="13"/>
      <c r="AG71" s="13" t="s">
        <v>30</v>
      </c>
      <c r="AH71" s="13" t="s">
        <v>30</v>
      </c>
      <c r="AI71" s="13" t="s">
        <v>30</v>
      </c>
      <c r="AJ71" s="13" t="s">
        <v>30</v>
      </c>
      <c r="AK71" s="13" t="s">
        <v>30</v>
      </c>
      <c r="AL71" s="13" t="s">
        <v>30</v>
      </c>
      <c r="AM71" s="13" t="s">
        <v>30</v>
      </c>
      <c r="AN71" s="6"/>
      <c r="AO71" s="13">
        <v>3.0</v>
      </c>
      <c r="AP71" s="13"/>
      <c r="AQ71" s="13">
        <v>1.0</v>
      </c>
      <c r="AR71" s="13"/>
      <c r="AS71" s="13"/>
      <c r="AT71" s="13">
        <v>1.0</v>
      </c>
      <c r="AU71" s="13"/>
      <c r="AV71" s="13">
        <v>1.0</v>
      </c>
      <c r="AW71" s="13" t="s">
        <v>30</v>
      </c>
      <c r="AX71" s="13" t="s">
        <v>30</v>
      </c>
      <c r="AY71" s="13" t="s">
        <v>30</v>
      </c>
      <c r="AZ71" s="13" t="s">
        <v>30</v>
      </c>
      <c r="BA71" s="13" t="s">
        <v>30</v>
      </c>
      <c r="BB71" s="13" t="s">
        <v>30</v>
      </c>
      <c r="BC71" s="13" t="s">
        <v>30</v>
      </c>
    </row>
    <row r="72">
      <c r="A72" s="13" t="s">
        <v>169</v>
      </c>
      <c r="B72" s="13"/>
      <c r="C72" s="13"/>
      <c r="D72" s="13" t="s">
        <v>170</v>
      </c>
      <c r="E72" s="13">
        <v>1.0</v>
      </c>
      <c r="F72" s="14">
        <v>554.46</v>
      </c>
      <c r="G72" s="13" t="s">
        <v>29</v>
      </c>
      <c r="H72" s="13">
        <v>9.0</v>
      </c>
      <c r="I72" s="15"/>
      <c r="J72" s="6"/>
      <c r="K72" s="13">
        <v>9.0</v>
      </c>
      <c r="L72" s="17">
        <v>0.0</v>
      </c>
      <c r="M72" s="17">
        <v>0.0</v>
      </c>
      <c r="N72" s="17">
        <v>0.0</v>
      </c>
      <c r="O72" s="17">
        <v>0.0</v>
      </c>
      <c r="P72" s="17">
        <v>0.0</v>
      </c>
      <c r="Q72" s="17">
        <v>0.0</v>
      </c>
      <c r="R72" s="17">
        <v>0.0</v>
      </c>
      <c r="S72" s="17">
        <v>0.0</v>
      </c>
      <c r="T72" s="17">
        <v>0.0</v>
      </c>
      <c r="U72" s="17">
        <v>0.0</v>
      </c>
      <c r="V72" s="17">
        <v>0.0</v>
      </c>
      <c r="W72" s="17">
        <v>0.0</v>
      </c>
      <c r="X72" s="17">
        <v>0.0</v>
      </c>
      <c r="Y72" s="6"/>
      <c r="Z72" s="13">
        <v>1.0</v>
      </c>
      <c r="AA72" s="13">
        <v>1.0</v>
      </c>
      <c r="AB72" s="13">
        <v>1.0</v>
      </c>
      <c r="AC72" s="13">
        <v>1.0</v>
      </c>
      <c r="AD72" s="13">
        <v>2.0</v>
      </c>
      <c r="AE72" s="13">
        <v>1.0</v>
      </c>
      <c r="AF72" s="13">
        <v>2.0</v>
      </c>
      <c r="AG72" s="13" t="s">
        <v>30</v>
      </c>
      <c r="AH72" s="13" t="s">
        <v>30</v>
      </c>
      <c r="AI72" s="13" t="s">
        <v>30</v>
      </c>
      <c r="AJ72" s="13" t="s">
        <v>30</v>
      </c>
      <c r="AK72" s="13" t="s">
        <v>30</v>
      </c>
      <c r="AL72" s="13" t="s">
        <v>30</v>
      </c>
      <c r="AM72" s="13" t="s">
        <v>30</v>
      </c>
      <c r="AN72" s="6"/>
      <c r="AO72" s="13">
        <v>9.0</v>
      </c>
      <c r="AP72" s="13">
        <v>1.0</v>
      </c>
      <c r="AQ72" s="13">
        <v>1.0</v>
      </c>
      <c r="AR72" s="13">
        <v>1.0</v>
      </c>
      <c r="AS72" s="13">
        <v>1.0</v>
      </c>
      <c r="AT72" s="13">
        <v>2.0</v>
      </c>
      <c r="AU72" s="13">
        <v>1.0</v>
      </c>
      <c r="AV72" s="13">
        <v>2.0</v>
      </c>
      <c r="AW72" s="13" t="s">
        <v>30</v>
      </c>
      <c r="AX72" s="13" t="s">
        <v>30</v>
      </c>
      <c r="AY72" s="13" t="s">
        <v>30</v>
      </c>
      <c r="AZ72" s="13" t="s">
        <v>30</v>
      </c>
      <c r="BA72" s="13" t="s">
        <v>30</v>
      </c>
      <c r="BB72" s="13" t="s">
        <v>30</v>
      </c>
      <c r="BC72" s="13" t="s">
        <v>30</v>
      </c>
    </row>
    <row r="73">
      <c r="A73" s="13" t="s">
        <v>171</v>
      </c>
      <c r="B73" s="13"/>
      <c r="C73" s="13">
        <v>71739.0</v>
      </c>
      <c r="D73" s="13" t="s">
        <v>172</v>
      </c>
      <c r="E73" s="13">
        <v>2.0</v>
      </c>
      <c r="F73" s="14">
        <v>4530.62</v>
      </c>
      <c r="G73" s="13" t="s">
        <v>29</v>
      </c>
      <c r="H73" s="13">
        <v>0.0</v>
      </c>
      <c r="I73" s="15"/>
      <c r="J73" s="6"/>
      <c r="K73" s="13">
        <v>0.0</v>
      </c>
      <c r="L73" s="17">
        <v>0.0</v>
      </c>
      <c r="M73" s="17">
        <v>0.0</v>
      </c>
      <c r="N73" s="17">
        <v>0.0</v>
      </c>
      <c r="O73" s="17">
        <v>0.0</v>
      </c>
      <c r="P73" s="17">
        <v>0.0</v>
      </c>
      <c r="Q73" s="17">
        <v>0.0</v>
      </c>
      <c r="R73" s="17">
        <v>0.0</v>
      </c>
      <c r="S73" s="17">
        <v>0.0</v>
      </c>
      <c r="T73" s="17">
        <v>0.0</v>
      </c>
      <c r="U73" s="17">
        <v>0.0</v>
      </c>
      <c r="V73" s="17">
        <v>0.0</v>
      </c>
      <c r="W73" s="17">
        <v>0.0</v>
      </c>
      <c r="X73" s="17">
        <v>0.0</v>
      </c>
      <c r="Y73" s="6"/>
      <c r="Z73" s="13"/>
      <c r="AA73" s="13"/>
      <c r="AB73" s="13"/>
      <c r="AC73" s="13"/>
      <c r="AD73" s="13"/>
      <c r="AE73" s="13"/>
      <c r="AF73" s="13"/>
      <c r="AG73" s="13" t="s">
        <v>30</v>
      </c>
      <c r="AH73" s="13" t="s">
        <v>30</v>
      </c>
      <c r="AI73" s="13" t="s">
        <v>30</v>
      </c>
      <c r="AJ73" s="13" t="s">
        <v>30</v>
      </c>
      <c r="AK73" s="13" t="s">
        <v>30</v>
      </c>
      <c r="AL73" s="13" t="s">
        <v>30</v>
      </c>
      <c r="AM73" s="13" t="s">
        <v>30</v>
      </c>
      <c r="AN73" s="6"/>
      <c r="AO73" s="13">
        <v>2.0</v>
      </c>
      <c r="AP73" s="13"/>
      <c r="AQ73" s="13">
        <v>1.0</v>
      </c>
      <c r="AR73" s="13"/>
      <c r="AS73" s="13"/>
      <c r="AT73" s="13"/>
      <c r="AU73" s="13">
        <v>1.0</v>
      </c>
      <c r="AV73" s="13"/>
      <c r="AW73" s="13" t="s">
        <v>30</v>
      </c>
      <c r="AX73" s="13" t="s">
        <v>30</v>
      </c>
      <c r="AY73" s="13" t="s">
        <v>30</v>
      </c>
      <c r="AZ73" s="13" t="s">
        <v>30</v>
      </c>
      <c r="BA73" s="13" t="s">
        <v>30</v>
      </c>
      <c r="BB73" s="13" t="s">
        <v>30</v>
      </c>
      <c r="BC73" s="13" t="s">
        <v>30</v>
      </c>
    </row>
    <row r="74">
      <c r="A74" s="13" t="s">
        <v>173</v>
      </c>
      <c r="B74" s="13"/>
      <c r="C74" s="13"/>
      <c r="D74" s="13" t="s">
        <v>174</v>
      </c>
      <c r="E74" s="13">
        <v>1.0</v>
      </c>
      <c r="F74" s="14">
        <v>1530.0</v>
      </c>
      <c r="G74" s="13" t="s">
        <v>29</v>
      </c>
      <c r="H74" s="13">
        <v>3.0</v>
      </c>
      <c r="I74" s="15"/>
      <c r="J74" s="6"/>
      <c r="K74" s="13">
        <v>3.0</v>
      </c>
      <c r="L74" s="17">
        <v>0.0</v>
      </c>
      <c r="M74" s="17">
        <v>0.0</v>
      </c>
      <c r="N74" s="17">
        <v>0.0</v>
      </c>
      <c r="O74" s="17">
        <v>0.0</v>
      </c>
      <c r="P74" s="17">
        <v>0.0</v>
      </c>
      <c r="Q74" s="17">
        <v>0.0</v>
      </c>
      <c r="R74" s="17">
        <v>0.0</v>
      </c>
      <c r="S74" s="17">
        <v>0.0</v>
      </c>
      <c r="T74" s="17">
        <v>0.0</v>
      </c>
      <c r="U74" s="17">
        <v>0.0</v>
      </c>
      <c r="V74" s="17">
        <v>0.0</v>
      </c>
      <c r="W74" s="17">
        <v>0.0</v>
      </c>
      <c r="X74" s="17">
        <v>0.0</v>
      </c>
      <c r="Y74" s="6"/>
      <c r="Z74" s="13"/>
      <c r="AA74" s="13">
        <v>1.0</v>
      </c>
      <c r="AB74" s="13"/>
      <c r="AC74" s="13"/>
      <c r="AD74" s="13">
        <v>1.0</v>
      </c>
      <c r="AE74" s="13"/>
      <c r="AF74" s="13">
        <v>1.0</v>
      </c>
      <c r="AG74" s="13" t="s">
        <v>30</v>
      </c>
      <c r="AH74" s="13" t="s">
        <v>30</v>
      </c>
      <c r="AI74" s="13" t="s">
        <v>30</v>
      </c>
      <c r="AJ74" s="13" t="s">
        <v>30</v>
      </c>
      <c r="AK74" s="13" t="s">
        <v>30</v>
      </c>
      <c r="AL74" s="13" t="s">
        <v>30</v>
      </c>
      <c r="AM74" s="13" t="s">
        <v>30</v>
      </c>
      <c r="AN74" s="6"/>
      <c r="AO74" s="13">
        <v>3.0</v>
      </c>
      <c r="AP74" s="13"/>
      <c r="AQ74" s="13">
        <v>1.0</v>
      </c>
      <c r="AR74" s="13"/>
      <c r="AS74" s="13"/>
      <c r="AT74" s="13">
        <v>1.0</v>
      </c>
      <c r="AU74" s="13"/>
      <c r="AV74" s="13">
        <v>1.0</v>
      </c>
      <c r="AW74" s="13" t="s">
        <v>30</v>
      </c>
      <c r="AX74" s="13" t="s">
        <v>30</v>
      </c>
      <c r="AY74" s="13" t="s">
        <v>30</v>
      </c>
      <c r="AZ74" s="13" t="s">
        <v>30</v>
      </c>
      <c r="BA74" s="13" t="s">
        <v>30</v>
      </c>
      <c r="BB74" s="13" t="s">
        <v>30</v>
      </c>
      <c r="BC74" s="13" t="s">
        <v>30</v>
      </c>
    </row>
    <row r="75">
      <c r="A75" s="18" t="s">
        <v>175</v>
      </c>
      <c r="B75" s="18"/>
      <c r="C75" s="13">
        <v>34163.0</v>
      </c>
      <c r="D75" s="13" t="s">
        <v>176</v>
      </c>
      <c r="E75" s="13">
        <v>2.0</v>
      </c>
      <c r="F75" s="14">
        <v>1124.62</v>
      </c>
      <c r="G75" s="13" t="s">
        <v>29</v>
      </c>
      <c r="H75" s="13">
        <v>4.0</v>
      </c>
      <c r="I75" s="15"/>
      <c r="J75" s="6"/>
      <c r="K75" s="13">
        <v>1.0</v>
      </c>
      <c r="L75" s="17">
        <v>0.0</v>
      </c>
      <c r="M75" s="17">
        <v>0.0</v>
      </c>
      <c r="N75" s="17">
        <v>0.0</v>
      </c>
      <c r="O75" s="17">
        <v>0.0</v>
      </c>
      <c r="P75" s="17">
        <v>0.0</v>
      </c>
      <c r="Q75" s="17">
        <v>0.0</v>
      </c>
      <c r="R75" s="16">
        <v>2.0</v>
      </c>
      <c r="S75" s="17">
        <v>0.0</v>
      </c>
      <c r="T75" s="17">
        <v>0.0</v>
      </c>
      <c r="U75" s="17">
        <v>0.0</v>
      </c>
      <c r="V75" s="17">
        <v>0.0</v>
      </c>
      <c r="W75" s="17">
        <v>0.0</v>
      </c>
      <c r="X75" s="16">
        <v>1.0</v>
      </c>
      <c r="Y75" s="6"/>
      <c r="Z75" s="13"/>
      <c r="AA75" s="13">
        <v>1.0</v>
      </c>
      <c r="AB75" s="13"/>
      <c r="AC75" s="13"/>
      <c r="AD75" s="13">
        <v>1.0</v>
      </c>
      <c r="AE75" s="13">
        <v>1.0</v>
      </c>
      <c r="AF75" s="13">
        <v>1.0</v>
      </c>
      <c r="AG75" s="13" t="s">
        <v>30</v>
      </c>
      <c r="AH75" s="13" t="s">
        <v>30</v>
      </c>
      <c r="AI75" s="13" t="s">
        <v>30</v>
      </c>
      <c r="AJ75" s="13" t="s">
        <v>30</v>
      </c>
      <c r="AK75" s="13" t="s">
        <v>30</v>
      </c>
      <c r="AL75" s="13" t="s">
        <v>30</v>
      </c>
      <c r="AM75" s="13" t="s">
        <v>30</v>
      </c>
      <c r="AN75" s="6"/>
      <c r="AO75" s="13">
        <v>6.0</v>
      </c>
      <c r="AP75" s="13"/>
      <c r="AQ75" s="13">
        <v>1.0</v>
      </c>
      <c r="AR75" s="13">
        <v>1.0</v>
      </c>
      <c r="AS75" s="13">
        <v>1.0</v>
      </c>
      <c r="AT75" s="13">
        <v>1.0</v>
      </c>
      <c r="AU75" s="13">
        <v>1.0</v>
      </c>
      <c r="AV75" s="13">
        <v>1.0</v>
      </c>
      <c r="AW75" s="13" t="s">
        <v>30</v>
      </c>
      <c r="AX75" s="13" t="s">
        <v>30</v>
      </c>
      <c r="AY75" s="13" t="s">
        <v>30</v>
      </c>
      <c r="AZ75" s="13" t="s">
        <v>30</v>
      </c>
      <c r="BA75" s="13" t="s">
        <v>30</v>
      </c>
      <c r="BB75" s="13" t="s">
        <v>30</v>
      </c>
      <c r="BC75" s="13" t="s">
        <v>30</v>
      </c>
    </row>
    <row r="76">
      <c r="A76" s="13" t="s">
        <v>177</v>
      </c>
      <c r="B76" s="13"/>
      <c r="C76" s="13"/>
      <c r="D76" s="13" t="s">
        <v>178</v>
      </c>
      <c r="E76" s="13">
        <v>1.0</v>
      </c>
      <c r="F76" s="14">
        <v>1816.53</v>
      </c>
      <c r="G76" s="13" t="s">
        <v>29</v>
      </c>
      <c r="H76" s="13">
        <v>8.0</v>
      </c>
      <c r="I76" s="15"/>
      <c r="J76" s="6"/>
      <c r="K76" s="13">
        <v>6.0</v>
      </c>
      <c r="L76" s="17">
        <v>0.0</v>
      </c>
      <c r="M76" s="17">
        <v>0.0</v>
      </c>
      <c r="N76" s="17">
        <v>0.0</v>
      </c>
      <c r="O76" s="17">
        <v>0.0</v>
      </c>
      <c r="P76" s="17">
        <v>0.0</v>
      </c>
      <c r="Q76" s="17">
        <v>0.0</v>
      </c>
      <c r="R76" s="17">
        <v>0.0</v>
      </c>
      <c r="S76" s="17">
        <v>0.0</v>
      </c>
      <c r="T76" s="17">
        <v>0.0</v>
      </c>
      <c r="U76" s="17">
        <v>0.0</v>
      </c>
      <c r="V76" s="17">
        <v>2.0</v>
      </c>
      <c r="W76" s="17">
        <v>0.0</v>
      </c>
      <c r="X76" s="17">
        <v>0.0</v>
      </c>
      <c r="Y76" s="6"/>
      <c r="Z76" s="13">
        <v>1.0</v>
      </c>
      <c r="AA76" s="13">
        <v>1.0</v>
      </c>
      <c r="AB76" s="13">
        <v>1.0</v>
      </c>
      <c r="AC76" s="13">
        <v>1.0</v>
      </c>
      <c r="AD76" s="13">
        <v>2.0</v>
      </c>
      <c r="AE76" s="13">
        <v>1.0</v>
      </c>
      <c r="AF76" s="13">
        <v>1.0</v>
      </c>
      <c r="AG76" s="13" t="s">
        <v>30</v>
      </c>
      <c r="AH76" s="13" t="s">
        <v>30</v>
      </c>
      <c r="AI76" s="13" t="s">
        <v>30</v>
      </c>
      <c r="AJ76" s="13" t="s">
        <v>30</v>
      </c>
      <c r="AK76" s="13" t="s">
        <v>30</v>
      </c>
      <c r="AL76" s="13" t="s">
        <v>30</v>
      </c>
      <c r="AM76" s="13" t="s">
        <v>30</v>
      </c>
      <c r="AN76" s="6"/>
      <c r="AO76" s="13">
        <v>8.0</v>
      </c>
      <c r="AP76" s="13">
        <v>1.0</v>
      </c>
      <c r="AQ76" s="13">
        <v>1.0</v>
      </c>
      <c r="AR76" s="13">
        <v>1.0</v>
      </c>
      <c r="AS76" s="13">
        <v>1.0</v>
      </c>
      <c r="AT76" s="13">
        <v>2.0</v>
      </c>
      <c r="AU76" s="13">
        <v>1.0</v>
      </c>
      <c r="AV76" s="13">
        <v>1.0</v>
      </c>
      <c r="AW76" s="13" t="s">
        <v>30</v>
      </c>
      <c r="AX76" s="13" t="s">
        <v>30</v>
      </c>
      <c r="AY76" s="13" t="s">
        <v>30</v>
      </c>
      <c r="AZ76" s="13" t="s">
        <v>30</v>
      </c>
      <c r="BA76" s="13" t="s">
        <v>30</v>
      </c>
      <c r="BB76" s="13" t="s">
        <v>30</v>
      </c>
      <c r="BC76" s="13" t="s">
        <v>30</v>
      </c>
    </row>
    <row r="77">
      <c r="A77" s="13" t="s">
        <v>179</v>
      </c>
      <c r="B77" s="13"/>
      <c r="C77" s="13">
        <v>66503.0</v>
      </c>
      <c r="D77" s="13" t="s">
        <v>180</v>
      </c>
      <c r="E77" s="13">
        <v>1.0</v>
      </c>
      <c r="F77" s="14">
        <v>6821.81</v>
      </c>
      <c r="G77" s="13" t="s">
        <v>29</v>
      </c>
      <c r="H77" s="13">
        <v>0.0</v>
      </c>
      <c r="I77" s="15"/>
      <c r="J77" s="6"/>
      <c r="K77" s="13">
        <v>0.0</v>
      </c>
      <c r="L77" s="17">
        <v>0.0</v>
      </c>
      <c r="M77" s="17">
        <v>0.0</v>
      </c>
      <c r="N77" s="17">
        <v>0.0</v>
      </c>
      <c r="O77" s="17">
        <v>0.0</v>
      </c>
      <c r="P77" s="17">
        <v>0.0</v>
      </c>
      <c r="Q77" s="17">
        <v>0.0</v>
      </c>
      <c r="R77" s="17">
        <v>0.0</v>
      </c>
      <c r="S77" s="17">
        <v>0.0</v>
      </c>
      <c r="T77" s="17">
        <v>0.0</v>
      </c>
      <c r="U77" s="17">
        <v>0.0</v>
      </c>
      <c r="V77" s="17">
        <v>0.0</v>
      </c>
      <c r="W77" s="17">
        <v>0.0</v>
      </c>
      <c r="X77" s="17">
        <v>0.0</v>
      </c>
      <c r="Y77" s="6"/>
      <c r="Z77" s="13"/>
      <c r="AA77" s="13"/>
      <c r="AB77" s="13"/>
      <c r="AC77" s="13"/>
      <c r="AD77" s="13"/>
      <c r="AE77" s="13"/>
      <c r="AF77" s="13"/>
      <c r="AG77" s="13" t="s">
        <v>30</v>
      </c>
      <c r="AH77" s="13" t="s">
        <v>30</v>
      </c>
      <c r="AI77" s="13" t="s">
        <v>30</v>
      </c>
      <c r="AJ77" s="13" t="s">
        <v>30</v>
      </c>
      <c r="AK77" s="13" t="s">
        <v>30</v>
      </c>
      <c r="AL77" s="13" t="s">
        <v>30</v>
      </c>
      <c r="AM77" s="13" t="s">
        <v>30</v>
      </c>
      <c r="AN77" s="6"/>
      <c r="AO77" s="13">
        <v>1.0</v>
      </c>
      <c r="AP77" s="13"/>
      <c r="AQ77" s="13"/>
      <c r="AR77" s="13"/>
      <c r="AS77" s="13"/>
      <c r="AT77" s="13">
        <v>1.0</v>
      </c>
      <c r="AU77" s="13"/>
      <c r="AV77" s="13"/>
      <c r="AW77" s="13" t="s">
        <v>30</v>
      </c>
      <c r="AX77" s="13" t="s">
        <v>30</v>
      </c>
      <c r="AY77" s="13" t="s">
        <v>30</v>
      </c>
      <c r="AZ77" s="13" t="s">
        <v>30</v>
      </c>
      <c r="BA77" s="13" t="s">
        <v>30</v>
      </c>
      <c r="BB77" s="13" t="s">
        <v>30</v>
      </c>
      <c r="BC77" s="13" t="s">
        <v>30</v>
      </c>
    </row>
    <row r="78">
      <c r="A78" s="13" t="s">
        <v>181</v>
      </c>
      <c r="B78" s="13"/>
      <c r="C78" s="13"/>
      <c r="D78" s="13" t="s">
        <v>182</v>
      </c>
      <c r="E78" s="13">
        <v>1.0</v>
      </c>
      <c r="F78" s="14">
        <v>2357.14</v>
      </c>
      <c r="G78" s="13" t="s">
        <v>29</v>
      </c>
      <c r="H78" s="13">
        <v>6.0</v>
      </c>
      <c r="I78" s="15"/>
      <c r="J78" s="6"/>
      <c r="K78" s="13">
        <v>6.0</v>
      </c>
      <c r="L78" s="17">
        <v>0.0</v>
      </c>
      <c r="M78" s="17">
        <v>0.0</v>
      </c>
      <c r="N78" s="17">
        <v>0.0</v>
      </c>
      <c r="O78" s="17">
        <v>0.0</v>
      </c>
      <c r="P78" s="17">
        <v>0.0</v>
      </c>
      <c r="Q78" s="17">
        <v>0.0</v>
      </c>
      <c r="R78" s="17">
        <v>0.0</v>
      </c>
      <c r="S78" s="17">
        <v>0.0</v>
      </c>
      <c r="T78" s="17">
        <v>0.0</v>
      </c>
      <c r="U78" s="17">
        <v>0.0</v>
      </c>
      <c r="V78" s="17">
        <v>0.0</v>
      </c>
      <c r="W78" s="17">
        <v>0.0</v>
      </c>
      <c r="X78" s="17">
        <v>0.0</v>
      </c>
      <c r="Y78" s="6"/>
      <c r="Z78" s="13" t="s">
        <v>30</v>
      </c>
      <c r="AA78" s="13">
        <v>2.0</v>
      </c>
      <c r="AB78" s="13" t="s">
        <v>30</v>
      </c>
      <c r="AC78" s="13" t="s">
        <v>30</v>
      </c>
      <c r="AD78" s="13">
        <v>2.0</v>
      </c>
      <c r="AE78" s="13" t="s">
        <v>30</v>
      </c>
      <c r="AF78" s="13">
        <v>2.0</v>
      </c>
      <c r="AG78" s="13" t="s">
        <v>30</v>
      </c>
      <c r="AH78" s="13" t="s">
        <v>30</v>
      </c>
      <c r="AI78" s="13" t="s">
        <v>30</v>
      </c>
      <c r="AJ78" s="13" t="s">
        <v>30</v>
      </c>
      <c r="AK78" s="13" t="s">
        <v>30</v>
      </c>
      <c r="AL78" s="13" t="s">
        <v>30</v>
      </c>
      <c r="AM78" s="13" t="s">
        <v>30</v>
      </c>
      <c r="AN78" s="6"/>
      <c r="AO78" s="13">
        <v>6.0</v>
      </c>
      <c r="AP78" s="13" t="s">
        <v>30</v>
      </c>
      <c r="AQ78" s="13">
        <v>2.0</v>
      </c>
      <c r="AR78" s="13" t="s">
        <v>30</v>
      </c>
      <c r="AS78" s="13" t="s">
        <v>30</v>
      </c>
      <c r="AT78" s="13">
        <v>2.0</v>
      </c>
      <c r="AU78" s="13" t="s">
        <v>30</v>
      </c>
      <c r="AV78" s="13">
        <v>2.0</v>
      </c>
      <c r="AW78" s="13" t="s">
        <v>30</v>
      </c>
      <c r="AX78" s="13" t="s">
        <v>30</v>
      </c>
      <c r="AY78" s="13" t="s">
        <v>30</v>
      </c>
      <c r="AZ78" s="13" t="s">
        <v>30</v>
      </c>
      <c r="BA78" s="13" t="s">
        <v>30</v>
      </c>
      <c r="BB78" s="13" t="s">
        <v>30</v>
      </c>
      <c r="BC78" s="13" t="s">
        <v>30</v>
      </c>
    </row>
    <row r="79">
      <c r="A79" s="13" t="s">
        <v>183</v>
      </c>
      <c r="B79" s="13"/>
      <c r="C79" s="13"/>
      <c r="D79" s="13" t="s">
        <v>184</v>
      </c>
      <c r="E79" s="13">
        <v>1.0</v>
      </c>
      <c r="F79" s="14">
        <v>1714.29</v>
      </c>
      <c r="G79" s="13" t="s">
        <v>29</v>
      </c>
      <c r="H79" s="13">
        <v>3.0</v>
      </c>
      <c r="I79" s="15"/>
      <c r="J79" s="6"/>
      <c r="K79" s="13">
        <v>3.0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17">
        <v>0.0</v>
      </c>
      <c r="U79" s="17">
        <v>0.0</v>
      </c>
      <c r="V79" s="17">
        <v>0.0</v>
      </c>
      <c r="W79" s="17">
        <v>0.0</v>
      </c>
      <c r="X79" s="17">
        <v>0.0</v>
      </c>
      <c r="Y79" s="6"/>
      <c r="Z79" s="13" t="s">
        <v>30</v>
      </c>
      <c r="AA79" s="13">
        <v>1.0</v>
      </c>
      <c r="AB79" s="13" t="s">
        <v>30</v>
      </c>
      <c r="AC79" s="13" t="s">
        <v>30</v>
      </c>
      <c r="AD79" s="13">
        <v>1.0</v>
      </c>
      <c r="AE79" s="13" t="s">
        <v>30</v>
      </c>
      <c r="AF79" s="13">
        <v>1.0</v>
      </c>
      <c r="AG79" s="13" t="s">
        <v>30</v>
      </c>
      <c r="AH79" s="13" t="s">
        <v>30</v>
      </c>
      <c r="AI79" s="13" t="s">
        <v>30</v>
      </c>
      <c r="AJ79" s="13" t="s">
        <v>30</v>
      </c>
      <c r="AK79" s="13" t="s">
        <v>30</v>
      </c>
      <c r="AL79" s="13" t="s">
        <v>30</v>
      </c>
      <c r="AM79" s="13" t="s">
        <v>30</v>
      </c>
      <c r="AN79" s="6"/>
      <c r="AO79" s="13">
        <v>3.0</v>
      </c>
      <c r="AP79" s="13" t="s">
        <v>30</v>
      </c>
      <c r="AQ79" s="13">
        <v>1.0</v>
      </c>
      <c r="AR79" s="13" t="s">
        <v>30</v>
      </c>
      <c r="AS79" s="13" t="s">
        <v>30</v>
      </c>
      <c r="AT79" s="13">
        <v>1.0</v>
      </c>
      <c r="AU79" s="13" t="s">
        <v>30</v>
      </c>
      <c r="AV79" s="13">
        <v>1.0</v>
      </c>
      <c r="AW79" s="13" t="s">
        <v>30</v>
      </c>
      <c r="AX79" s="13" t="s">
        <v>30</v>
      </c>
      <c r="AY79" s="13" t="s">
        <v>30</v>
      </c>
      <c r="AZ79" s="13" t="s">
        <v>30</v>
      </c>
      <c r="BA79" s="13" t="s">
        <v>30</v>
      </c>
      <c r="BB79" s="13" t="s">
        <v>30</v>
      </c>
      <c r="BC79" s="13" t="s">
        <v>30</v>
      </c>
    </row>
    <row r="80">
      <c r="A80" s="13" t="s">
        <v>185</v>
      </c>
      <c r="B80" s="13"/>
      <c r="C80" s="13"/>
      <c r="D80" s="13" t="s">
        <v>186</v>
      </c>
      <c r="E80" s="13">
        <v>1.0</v>
      </c>
      <c r="F80" s="14">
        <v>14047.55</v>
      </c>
      <c r="G80" s="13" t="s">
        <v>29</v>
      </c>
      <c r="H80" s="13">
        <v>0.0</v>
      </c>
      <c r="I80" s="15"/>
      <c r="J80" s="6"/>
      <c r="K80" s="13">
        <v>0.0</v>
      </c>
      <c r="L80" s="17">
        <v>0.0</v>
      </c>
      <c r="M80" s="17">
        <v>0.0</v>
      </c>
      <c r="N80" s="17">
        <v>0.0</v>
      </c>
      <c r="O80" s="17">
        <v>0.0</v>
      </c>
      <c r="P80" s="17">
        <v>0.0</v>
      </c>
      <c r="Q80" s="17">
        <v>0.0</v>
      </c>
      <c r="R80" s="17">
        <v>0.0</v>
      </c>
      <c r="S80" s="17">
        <v>0.0</v>
      </c>
      <c r="T80" s="17">
        <v>0.0</v>
      </c>
      <c r="U80" s="17">
        <v>0.0</v>
      </c>
      <c r="V80" s="17">
        <v>0.0</v>
      </c>
      <c r="W80" s="17">
        <v>0.0</v>
      </c>
      <c r="X80" s="17">
        <v>0.0</v>
      </c>
      <c r="Y80" s="6"/>
      <c r="Z80" s="13"/>
      <c r="AA80" s="13"/>
      <c r="AB80" s="13"/>
      <c r="AC80" s="13"/>
      <c r="AD80" s="13"/>
      <c r="AE80" s="13"/>
      <c r="AF80" s="13"/>
      <c r="AG80" s="13" t="s">
        <v>30</v>
      </c>
      <c r="AH80" s="13" t="s">
        <v>30</v>
      </c>
      <c r="AI80" s="13" t="s">
        <v>30</v>
      </c>
      <c r="AJ80" s="13" t="s">
        <v>30</v>
      </c>
      <c r="AK80" s="13" t="s">
        <v>30</v>
      </c>
      <c r="AL80" s="13" t="s">
        <v>30</v>
      </c>
      <c r="AM80" s="13" t="s">
        <v>30</v>
      </c>
      <c r="AN80" s="6"/>
      <c r="AO80" s="13">
        <v>0.0</v>
      </c>
      <c r="AP80" s="13"/>
      <c r="AQ80" s="13"/>
      <c r="AR80" s="13"/>
      <c r="AS80" s="13"/>
      <c r="AT80" s="13"/>
      <c r="AU80" s="13"/>
      <c r="AV80" s="13"/>
      <c r="AW80" s="13" t="s">
        <v>30</v>
      </c>
      <c r="AX80" s="13" t="s">
        <v>30</v>
      </c>
      <c r="AY80" s="13" t="s">
        <v>30</v>
      </c>
      <c r="AZ80" s="13" t="s">
        <v>30</v>
      </c>
      <c r="BA80" s="13" t="s">
        <v>30</v>
      </c>
      <c r="BB80" s="13" t="s">
        <v>30</v>
      </c>
      <c r="BC80" s="13" t="s">
        <v>30</v>
      </c>
    </row>
    <row r="81">
      <c r="A81" s="13" t="s">
        <v>187</v>
      </c>
      <c r="B81" s="13"/>
      <c r="C81" s="13"/>
      <c r="D81" s="13" t="s">
        <v>188</v>
      </c>
      <c r="E81" s="13">
        <v>2.0</v>
      </c>
      <c r="F81" s="14">
        <v>484.87</v>
      </c>
      <c r="G81" s="13" t="s">
        <v>29</v>
      </c>
      <c r="H81" s="13">
        <v>23.0</v>
      </c>
      <c r="I81" s="15"/>
      <c r="J81" s="6"/>
      <c r="K81" s="13">
        <v>23.0</v>
      </c>
      <c r="L81" s="17">
        <v>0.0</v>
      </c>
      <c r="M81" s="17">
        <v>0.0</v>
      </c>
      <c r="N81" s="17">
        <v>0.0</v>
      </c>
      <c r="O81" s="17">
        <v>0.0</v>
      </c>
      <c r="P81" s="17">
        <v>0.0</v>
      </c>
      <c r="Q81" s="17">
        <v>0.0</v>
      </c>
      <c r="R81" s="17">
        <v>0.0</v>
      </c>
      <c r="S81" s="17">
        <v>0.0</v>
      </c>
      <c r="T81" s="17">
        <v>0.0</v>
      </c>
      <c r="U81" s="17">
        <v>0.0</v>
      </c>
      <c r="V81" s="17">
        <v>0.0</v>
      </c>
      <c r="W81" s="17">
        <v>0.0</v>
      </c>
      <c r="X81" s="17">
        <v>0.0</v>
      </c>
      <c r="Y81" s="6"/>
      <c r="Z81" s="13">
        <v>2.0</v>
      </c>
      <c r="AA81" s="13">
        <v>4.0</v>
      </c>
      <c r="AB81" s="13">
        <v>3.0</v>
      </c>
      <c r="AC81" s="13">
        <v>3.0</v>
      </c>
      <c r="AD81" s="13">
        <v>4.0</v>
      </c>
      <c r="AE81" s="13">
        <v>3.0</v>
      </c>
      <c r="AF81" s="13">
        <v>4.0</v>
      </c>
      <c r="AG81" s="13" t="s">
        <v>30</v>
      </c>
      <c r="AH81" s="13" t="s">
        <v>30</v>
      </c>
      <c r="AI81" s="13" t="s">
        <v>30</v>
      </c>
      <c r="AJ81" s="13" t="s">
        <v>30</v>
      </c>
      <c r="AK81" s="13" t="s">
        <v>30</v>
      </c>
      <c r="AL81" s="13" t="s">
        <v>30</v>
      </c>
      <c r="AM81" s="13" t="s">
        <v>30</v>
      </c>
      <c r="AN81" s="6"/>
      <c r="AO81" s="13">
        <v>23.0</v>
      </c>
      <c r="AP81" s="13">
        <v>2.0</v>
      </c>
      <c r="AQ81" s="13">
        <v>4.0</v>
      </c>
      <c r="AR81" s="13">
        <v>3.0</v>
      </c>
      <c r="AS81" s="13">
        <v>3.0</v>
      </c>
      <c r="AT81" s="13">
        <v>4.0</v>
      </c>
      <c r="AU81" s="13">
        <v>3.0</v>
      </c>
      <c r="AV81" s="13">
        <v>4.0</v>
      </c>
      <c r="AW81" s="13" t="s">
        <v>30</v>
      </c>
      <c r="AX81" s="13" t="s">
        <v>30</v>
      </c>
      <c r="AY81" s="13" t="s">
        <v>30</v>
      </c>
      <c r="AZ81" s="13" t="s">
        <v>30</v>
      </c>
      <c r="BA81" s="13" t="s">
        <v>30</v>
      </c>
      <c r="BB81" s="13" t="s">
        <v>30</v>
      </c>
      <c r="BC81" s="13" t="s">
        <v>30</v>
      </c>
    </row>
    <row r="82">
      <c r="A82" s="13" t="s">
        <v>189</v>
      </c>
      <c r="B82" s="13"/>
      <c r="C82" s="13"/>
      <c r="D82" s="13" t="s">
        <v>190</v>
      </c>
      <c r="E82" s="13">
        <v>1.0</v>
      </c>
      <c r="F82" s="14">
        <v>3240.9</v>
      </c>
      <c r="G82" s="13" t="s">
        <v>29</v>
      </c>
      <c r="H82" s="13">
        <v>8.0</v>
      </c>
      <c r="I82" s="15"/>
      <c r="J82" s="6"/>
      <c r="K82" s="13">
        <v>8.0</v>
      </c>
      <c r="L82" s="17">
        <v>0.0</v>
      </c>
      <c r="M82" s="17">
        <v>0.0</v>
      </c>
      <c r="N82" s="17">
        <v>0.0</v>
      </c>
      <c r="O82" s="17">
        <v>0.0</v>
      </c>
      <c r="P82" s="17">
        <v>0.0</v>
      </c>
      <c r="Q82" s="17">
        <v>0.0</v>
      </c>
      <c r="R82" s="17">
        <v>0.0</v>
      </c>
      <c r="S82" s="17">
        <v>0.0</v>
      </c>
      <c r="T82" s="17">
        <v>0.0</v>
      </c>
      <c r="U82" s="17">
        <v>0.0</v>
      </c>
      <c r="V82" s="17">
        <v>0.0</v>
      </c>
      <c r="W82" s="17">
        <v>0.0</v>
      </c>
      <c r="X82" s="17">
        <v>0.0</v>
      </c>
      <c r="Y82" s="6"/>
      <c r="Z82" s="13">
        <v>1.0</v>
      </c>
      <c r="AA82" s="13">
        <v>1.0</v>
      </c>
      <c r="AB82" s="13">
        <v>1.0</v>
      </c>
      <c r="AC82" s="13">
        <v>1.0</v>
      </c>
      <c r="AD82" s="13">
        <v>1.0</v>
      </c>
      <c r="AE82" s="13">
        <v>2.0</v>
      </c>
      <c r="AF82" s="13">
        <v>1.0</v>
      </c>
      <c r="AG82" s="13" t="s">
        <v>30</v>
      </c>
      <c r="AH82" s="13" t="s">
        <v>30</v>
      </c>
      <c r="AI82" s="13" t="s">
        <v>30</v>
      </c>
      <c r="AJ82" s="13" t="s">
        <v>30</v>
      </c>
      <c r="AK82" s="13" t="s">
        <v>30</v>
      </c>
      <c r="AL82" s="13" t="s">
        <v>30</v>
      </c>
      <c r="AM82" s="13" t="s">
        <v>30</v>
      </c>
      <c r="AN82" s="6"/>
      <c r="AO82" s="13">
        <v>8.0</v>
      </c>
      <c r="AP82" s="13">
        <v>1.0</v>
      </c>
      <c r="AQ82" s="13">
        <v>1.0</v>
      </c>
      <c r="AR82" s="13">
        <v>1.0</v>
      </c>
      <c r="AS82" s="13">
        <v>1.0</v>
      </c>
      <c r="AT82" s="13">
        <v>1.0</v>
      </c>
      <c r="AU82" s="13">
        <v>2.0</v>
      </c>
      <c r="AV82" s="13">
        <v>1.0</v>
      </c>
      <c r="AW82" s="13" t="s">
        <v>30</v>
      </c>
      <c r="AX82" s="13" t="s">
        <v>30</v>
      </c>
      <c r="AY82" s="13" t="s">
        <v>30</v>
      </c>
      <c r="AZ82" s="13" t="s">
        <v>30</v>
      </c>
      <c r="BA82" s="13" t="s">
        <v>30</v>
      </c>
      <c r="BB82" s="13" t="s">
        <v>30</v>
      </c>
      <c r="BC82" s="13" t="s">
        <v>30</v>
      </c>
    </row>
    <row r="83">
      <c r="A83" s="13" t="s">
        <v>191</v>
      </c>
      <c r="B83" s="13"/>
      <c r="C83" s="13">
        <v>26055.0</v>
      </c>
      <c r="D83" s="13" t="s">
        <v>192</v>
      </c>
      <c r="E83" s="13">
        <v>1.0</v>
      </c>
      <c r="F83" s="14">
        <v>1157.17</v>
      </c>
      <c r="G83" s="13" t="s">
        <v>29</v>
      </c>
      <c r="H83" s="13">
        <v>5.0</v>
      </c>
      <c r="I83" s="15"/>
      <c r="J83" s="6"/>
      <c r="K83" s="13">
        <v>4.0</v>
      </c>
      <c r="L83" s="17">
        <v>0.0</v>
      </c>
      <c r="M83" s="17">
        <v>0.0</v>
      </c>
      <c r="N83" s="17">
        <v>0.0</v>
      </c>
      <c r="O83" s="16">
        <v>1.0</v>
      </c>
      <c r="P83" s="17">
        <v>0.0</v>
      </c>
      <c r="Q83" s="17">
        <v>0.0</v>
      </c>
      <c r="R83" s="17">
        <v>0.0</v>
      </c>
      <c r="S83" s="17">
        <v>0.0</v>
      </c>
      <c r="T83" s="17">
        <v>0.0</v>
      </c>
      <c r="U83" s="17">
        <v>0.0</v>
      </c>
      <c r="V83" s="17">
        <v>0.0</v>
      </c>
      <c r="W83" s="17">
        <v>0.0</v>
      </c>
      <c r="X83" s="17">
        <v>0.0</v>
      </c>
      <c r="Y83" s="6"/>
      <c r="Z83" s="13">
        <v>1.0</v>
      </c>
      <c r="AA83" s="13">
        <v>1.0</v>
      </c>
      <c r="AB83" s="13">
        <v>1.0</v>
      </c>
      <c r="AC83" s="13">
        <v>1.0</v>
      </c>
      <c r="AD83" s="13"/>
      <c r="AE83" s="13">
        <v>1.0</v>
      </c>
      <c r="AF83" s="13"/>
      <c r="AG83" s="13" t="s">
        <v>30</v>
      </c>
      <c r="AH83" s="13" t="s">
        <v>30</v>
      </c>
      <c r="AI83" s="13" t="s">
        <v>30</v>
      </c>
      <c r="AJ83" s="13" t="s">
        <v>30</v>
      </c>
      <c r="AK83" s="13" t="s">
        <v>30</v>
      </c>
      <c r="AL83" s="13" t="s">
        <v>30</v>
      </c>
      <c r="AM83" s="13" t="s">
        <v>30</v>
      </c>
      <c r="AN83" s="6"/>
      <c r="AO83" s="13">
        <v>6.0</v>
      </c>
      <c r="AP83" s="13">
        <v>1.0</v>
      </c>
      <c r="AQ83" s="13">
        <v>1.0</v>
      </c>
      <c r="AR83" s="13">
        <v>1.0</v>
      </c>
      <c r="AS83" s="13">
        <v>1.0</v>
      </c>
      <c r="AT83" s="13">
        <v>1.0</v>
      </c>
      <c r="AU83" s="13">
        <v>1.0</v>
      </c>
      <c r="AV83" s="13"/>
      <c r="AW83" s="13" t="s">
        <v>30</v>
      </c>
      <c r="AX83" s="13" t="s">
        <v>30</v>
      </c>
      <c r="AY83" s="13" t="s">
        <v>30</v>
      </c>
      <c r="AZ83" s="13" t="s">
        <v>30</v>
      </c>
      <c r="BA83" s="13" t="s">
        <v>30</v>
      </c>
      <c r="BB83" s="13" t="s">
        <v>30</v>
      </c>
      <c r="BC83" s="13" t="s">
        <v>30</v>
      </c>
    </row>
    <row r="84">
      <c r="A84" s="13" t="s">
        <v>193</v>
      </c>
      <c r="B84" s="13"/>
      <c r="C84" s="13">
        <v>22373.0</v>
      </c>
      <c r="D84" s="13" t="s">
        <v>194</v>
      </c>
      <c r="E84" s="13">
        <v>1.0</v>
      </c>
      <c r="F84" s="14">
        <v>1297.0</v>
      </c>
      <c r="G84" s="13" t="s">
        <v>29</v>
      </c>
      <c r="H84" s="13">
        <v>0.0</v>
      </c>
      <c r="I84" s="15"/>
      <c r="J84" s="6"/>
      <c r="K84" s="13">
        <v>0.0</v>
      </c>
      <c r="L84" s="17">
        <v>0.0</v>
      </c>
      <c r="M84" s="17">
        <v>0.0</v>
      </c>
      <c r="N84" s="17">
        <v>0.0</v>
      </c>
      <c r="O84" s="17">
        <v>0.0</v>
      </c>
      <c r="P84" s="17">
        <v>0.0</v>
      </c>
      <c r="Q84" s="17">
        <v>0.0</v>
      </c>
      <c r="R84" s="17">
        <v>0.0</v>
      </c>
      <c r="S84" s="17">
        <v>0.0</v>
      </c>
      <c r="T84" s="17">
        <v>0.0</v>
      </c>
      <c r="U84" s="17">
        <v>0.0</v>
      </c>
      <c r="V84" s="17">
        <v>0.0</v>
      </c>
      <c r="W84" s="17">
        <v>0.0</v>
      </c>
      <c r="X84" s="17">
        <v>0.0</v>
      </c>
      <c r="Y84" s="6"/>
      <c r="Z84" s="13"/>
      <c r="AA84" s="13"/>
      <c r="AB84" s="13"/>
      <c r="AC84" s="13"/>
      <c r="AD84" s="13"/>
      <c r="AE84" s="13"/>
      <c r="AF84" s="13"/>
      <c r="AG84" s="13" t="s">
        <v>30</v>
      </c>
      <c r="AH84" s="13" t="s">
        <v>30</v>
      </c>
      <c r="AI84" s="13" t="s">
        <v>30</v>
      </c>
      <c r="AJ84" s="13" t="s">
        <v>30</v>
      </c>
      <c r="AK84" s="13" t="s">
        <v>30</v>
      </c>
      <c r="AL84" s="13" t="s">
        <v>30</v>
      </c>
      <c r="AM84" s="13" t="s">
        <v>30</v>
      </c>
      <c r="AN84" s="6"/>
      <c r="AO84" s="13">
        <v>4.0</v>
      </c>
      <c r="AP84" s="13"/>
      <c r="AQ84" s="13">
        <v>1.0</v>
      </c>
      <c r="AR84" s="13">
        <v>1.0</v>
      </c>
      <c r="AS84" s="13">
        <v>1.0</v>
      </c>
      <c r="AT84" s="13"/>
      <c r="AU84" s="13">
        <v>1.0</v>
      </c>
      <c r="AV84" s="13"/>
      <c r="AW84" s="13" t="s">
        <v>30</v>
      </c>
      <c r="AX84" s="13" t="s">
        <v>30</v>
      </c>
      <c r="AY84" s="13" t="s">
        <v>30</v>
      </c>
      <c r="AZ84" s="13" t="s">
        <v>30</v>
      </c>
      <c r="BA84" s="13" t="s">
        <v>30</v>
      </c>
      <c r="BB84" s="13" t="s">
        <v>30</v>
      </c>
      <c r="BC84" s="13" t="s">
        <v>30</v>
      </c>
    </row>
    <row r="85">
      <c r="A85" s="13" t="s">
        <v>195</v>
      </c>
      <c r="B85" s="13"/>
      <c r="C85" s="13"/>
      <c r="D85" s="13" t="s">
        <v>196</v>
      </c>
      <c r="E85" s="13">
        <v>1.0</v>
      </c>
      <c r="F85" s="14">
        <v>6777.64</v>
      </c>
      <c r="G85" s="13" t="s">
        <v>29</v>
      </c>
      <c r="H85" s="13">
        <v>0.0</v>
      </c>
      <c r="I85" s="15"/>
      <c r="J85" s="6"/>
      <c r="K85" s="13">
        <v>0.0</v>
      </c>
      <c r="L85" s="17">
        <v>0.0</v>
      </c>
      <c r="M85" s="17">
        <v>0.0</v>
      </c>
      <c r="N85" s="17">
        <v>0.0</v>
      </c>
      <c r="O85" s="17">
        <v>0.0</v>
      </c>
      <c r="P85" s="17">
        <v>0.0</v>
      </c>
      <c r="Q85" s="17">
        <v>0.0</v>
      </c>
      <c r="R85" s="17">
        <v>0.0</v>
      </c>
      <c r="S85" s="17">
        <v>0.0</v>
      </c>
      <c r="T85" s="17">
        <v>0.0</v>
      </c>
      <c r="U85" s="17">
        <v>0.0</v>
      </c>
      <c r="V85" s="17">
        <v>0.0</v>
      </c>
      <c r="W85" s="17">
        <v>0.0</v>
      </c>
      <c r="X85" s="17">
        <v>0.0</v>
      </c>
      <c r="Y85" s="6"/>
      <c r="Z85" s="13"/>
      <c r="AA85" s="13"/>
      <c r="AB85" s="13"/>
      <c r="AC85" s="13"/>
      <c r="AD85" s="13"/>
      <c r="AE85" s="13"/>
      <c r="AF85" s="13"/>
      <c r="AG85" s="13" t="s">
        <v>30</v>
      </c>
      <c r="AH85" s="13" t="s">
        <v>30</v>
      </c>
      <c r="AI85" s="13" t="s">
        <v>30</v>
      </c>
      <c r="AJ85" s="13" t="s">
        <v>30</v>
      </c>
      <c r="AK85" s="13" t="s">
        <v>30</v>
      </c>
      <c r="AL85" s="13" t="s">
        <v>30</v>
      </c>
      <c r="AM85" s="13" t="s">
        <v>30</v>
      </c>
      <c r="AN85" s="6"/>
      <c r="AO85" s="13">
        <v>0.0</v>
      </c>
      <c r="AP85" s="13"/>
      <c r="AQ85" s="13"/>
      <c r="AR85" s="13"/>
      <c r="AS85" s="13"/>
      <c r="AT85" s="13"/>
      <c r="AU85" s="13"/>
      <c r="AV85" s="13"/>
      <c r="AW85" s="13" t="s">
        <v>30</v>
      </c>
      <c r="AX85" s="13" t="s">
        <v>30</v>
      </c>
      <c r="AY85" s="13" t="s">
        <v>30</v>
      </c>
      <c r="AZ85" s="13" t="s">
        <v>30</v>
      </c>
      <c r="BA85" s="13" t="s">
        <v>30</v>
      </c>
      <c r="BB85" s="13" t="s">
        <v>30</v>
      </c>
      <c r="BC85" s="13" t="s">
        <v>30</v>
      </c>
    </row>
    <row r="86">
      <c r="A86" s="13" t="s">
        <v>197</v>
      </c>
      <c r="B86" s="13"/>
      <c r="C86" s="13"/>
      <c r="D86" s="13" t="s">
        <v>198</v>
      </c>
      <c r="E86" s="13">
        <v>1.0</v>
      </c>
      <c r="F86" s="14">
        <v>2617.63</v>
      </c>
      <c r="G86" s="13" t="s">
        <v>29</v>
      </c>
      <c r="H86" s="13">
        <v>7.0</v>
      </c>
      <c r="I86" s="15"/>
      <c r="J86" s="6"/>
      <c r="K86" s="13">
        <v>6.0</v>
      </c>
      <c r="L86" s="17">
        <v>0.0</v>
      </c>
      <c r="M86" s="17">
        <v>0.0</v>
      </c>
      <c r="N86" s="17">
        <v>0.0</v>
      </c>
      <c r="O86" s="17">
        <v>0.0</v>
      </c>
      <c r="P86" s="17">
        <v>1.0</v>
      </c>
      <c r="Q86" s="17">
        <v>0.0</v>
      </c>
      <c r="R86" s="17">
        <v>0.0</v>
      </c>
      <c r="S86" s="17">
        <v>0.0</v>
      </c>
      <c r="T86" s="17">
        <v>0.0</v>
      </c>
      <c r="U86" s="17">
        <v>0.0</v>
      </c>
      <c r="V86" s="17">
        <v>0.0</v>
      </c>
      <c r="W86" s="17">
        <v>0.0</v>
      </c>
      <c r="X86" s="17">
        <v>0.0</v>
      </c>
      <c r="Y86" s="6"/>
      <c r="Z86" s="13" t="s">
        <v>30</v>
      </c>
      <c r="AA86" s="13">
        <v>2.0</v>
      </c>
      <c r="AB86" s="13" t="s">
        <v>30</v>
      </c>
      <c r="AC86" s="13" t="s">
        <v>30</v>
      </c>
      <c r="AD86" s="13">
        <v>3.0</v>
      </c>
      <c r="AE86" s="13" t="s">
        <v>30</v>
      </c>
      <c r="AF86" s="13">
        <v>2.0</v>
      </c>
      <c r="AG86" s="13" t="s">
        <v>30</v>
      </c>
      <c r="AH86" s="13" t="s">
        <v>30</v>
      </c>
      <c r="AI86" s="13" t="s">
        <v>30</v>
      </c>
      <c r="AJ86" s="13" t="s">
        <v>30</v>
      </c>
      <c r="AK86" s="13" t="s">
        <v>30</v>
      </c>
      <c r="AL86" s="13" t="s">
        <v>30</v>
      </c>
      <c r="AM86" s="13" t="s">
        <v>30</v>
      </c>
      <c r="AN86" s="6"/>
      <c r="AO86" s="13">
        <v>7.0</v>
      </c>
      <c r="AP86" s="13" t="s">
        <v>30</v>
      </c>
      <c r="AQ86" s="13">
        <v>2.0</v>
      </c>
      <c r="AR86" s="13" t="s">
        <v>30</v>
      </c>
      <c r="AS86" s="13" t="s">
        <v>30</v>
      </c>
      <c r="AT86" s="13">
        <v>3.0</v>
      </c>
      <c r="AU86" s="13" t="s">
        <v>30</v>
      </c>
      <c r="AV86" s="13">
        <v>2.0</v>
      </c>
      <c r="AW86" s="13" t="s">
        <v>30</v>
      </c>
      <c r="AX86" s="13" t="s">
        <v>30</v>
      </c>
      <c r="AY86" s="13" t="s">
        <v>30</v>
      </c>
      <c r="AZ86" s="13" t="s">
        <v>30</v>
      </c>
      <c r="BA86" s="13" t="s">
        <v>30</v>
      </c>
      <c r="BB86" s="13" t="s">
        <v>30</v>
      </c>
      <c r="BC86" s="13" t="s">
        <v>30</v>
      </c>
    </row>
    <row r="87">
      <c r="A87" s="13" t="s">
        <v>199</v>
      </c>
      <c r="B87" s="13"/>
      <c r="C87" s="13">
        <v>22373.0</v>
      </c>
      <c r="D87" s="13" t="s">
        <v>200</v>
      </c>
      <c r="E87" s="13">
        <v>1.0</v>
      </c>
      <c r="F87" s="14">
        <v>1374.63</v>
      </c>
      <c r="G87" s="13" t="s">
        <v>29</v>
      </c>
      <c r="H87" s="13">
        <v>0.0</v>
      </c>
      <c r="I87" s="15"/>
      <c r="J87" s="6"/>
      <c r="K87" s="13">
        <v>0.0</v>
      </c>
      <c r="L87" s="17">
        <v>0.0</v>
      </c>
      <c r="M87" s="17">
        <v>0.0</v>
      </c>
      <c r="N87" s="17">
        <v>0.0</v>
      </c>
      <c r="O87" s="17">
        <v>0.0</v>
      </c>
      <c r="P87" s="17">
        <v>0.0</v>
      </c>
      <c r="Q87" s="17">
        <v>0.0</v>
      </c>
      <c r="R87" s="17">
        <v>0.0</v>
      </c>
      <c r="S87" s="17">
        <v>0.0</v>
      </c>
      <c r="T87" s="17">
        <v>0.0</v>
      </c>
      <c r="U87" s="17">
        <v>0.0</v>
      </c>
      <c r="V87" s="17">
        <v>0.0</v>
      </c>
      <c r="W87" s="17">
        <v>0.0</v>
      </c>
      <c r="X87" s="17">
        <v>0.0</v>
      </c>
      <c r="Y87" s="6"/>
      <c r="Z87" s="13"/>
      <c r="AA87" s="13"/>
      <c r="AB87" s="13"/>
      <c r="AC87" s="13"/>
      <c r="AD87" s="13"/>
      <c r="AE87" s="13"/>
      <c r="AF87" s="13"/>
      <c r="AG87" s="13" t="s">
        <v>30</v>
      </c>
      <c r="AH87" s="13" t="s">
        <v>30</v>
      </c>
      <c r="AI87" s="13" t="s">
        <v>30</v>
      </c>
      <c r="AJ87" s="13" t="s">
        <v>30</v>
      </c>
      <c r="AK87" s="13" t="s">
        <v>30</v>
      </c>
      <c r="AL87" s="13" t="s">
        <v>30</v>
      </c>
      <c r="AM87" s="13" t="s">
        <v>30</v>
      </c>
      <c r="AN87" s="6"/>
      <c r="AO87" s="13">
        <v>4.0</v>
      </c>
      <c r="AP87" s="13"/>
      <c r="AQ87" s="13">
        <v>1.0</v>
      </c>
      <c r="AR87" s="13"/>
      <c r="AS87" s="13"/>
      <c r="AT87" s="13">
        <v>1.0</v>
      </c>
      <c r="AU87" s="13">
        <v>1.0</v>
      </c>
      <c r="AV87" s="13">
        <v>1.0</v>
      </c>
      <c r="AW87" s="13" t="s">
        <v>30</v>
      </c>
      <c r="AX87" s="13" t="s">
        <v>30</v>
      </c>
      <c r="AY87" s="13" t="s">
        <v>30</v>
      </c>
      <c r="AZ87" s="13" t="s">
        <v>30</v>
      </c>
      <c r="BA87" s="13" t="s">
        <v>30</v>
      </c>
      <c r="BB87" s="13" t="s">
        <v>30</v>
      </c>
      <c r="BC87" s="13" t="s">
        <v>30</v>
      </c>
    </row>
    <row r="88">
      <c r="A88" s="13" t="s">
        <v>201</v>
      </c>
      <c r="B88" s="13"/>
      <c r="C88" s="13"/>
      <c r="D88" s="13" t="s">
        <v>202</v>
      </c>
      <c r="E88" s="13">
        <v>1.0</v>
      </c>
      <c r="F88" s="14">
        <v>2500.0</v>
      </c>
      <c r="G88" s="13" t="s">
        <v>29</v>
      </c>
      <c r="H88" s="13">
        <v>7.0</v>
      </c>
      <c r="I88" s="15"/>
      <c r="J88" s="6"/>
      <c r="K88" s="13">
        <v>6.0</v>
      </c>
      <c r="L88" s="17">
        <v>0.0</v>
      </c>
      <c r="M88" s="17">
        <v>0.0</v>
      </c>
      <c r="N88" s="17">
        <v>0.0</v>
      </c>
      <c r="O88" s="17">
        <v>0.0</v>
      </c>
      <c r="P88" s="17">
        <v>0.0</v>
      </c>
      <c r="Q88" s="17">
        <v>0.0</v>
      </c>
      <c r="R88" s="16">
        <v>1.0</v>
      </c>
      <c r="S88" s="17">
        <v>0.0</v>
      </c>
      <c r="T88" s="17">
        <v>0.0</v>
      </c>
      <c r="U88" s="17">
        <v>0.0</v>
      </c>
      <c r="V88" s="17">
        <v>0.0</v>
      </c>
      <c r="W88" s="17">
        <v>0.0</v>
      </c>
      <c r="X88" s="17">
        <v>0.0</v>
      </c>
      <c r="Y88" s="6"/>
      <c r="Z88" s="13">
        <v>1.0</v>
      </c>
      <c r="AA88" s="13">
        <v>1.0</v>
      </c>
      <c r="AB88" s="13">
        <v>1.0</v>
      </c>
      <c r="AC88" s="13">
        <v>1.0</v>
      </c>
      <c r="AD88" s="13">
        <v>1.0</v>
      </c>
      <c r="AE88" s="13">
        <v>1.0</v>
      </c>
      <c r="AF88" s="13">
        <v>1.0</v>
      </c>
      <c r="AG88" s="13" t="s">
        <v>30</v>
      </c>
      <c r="AH88" s="13" t="s">
        <v>30</v>
      </c>
      <c r="AI88" s="13" t="s">
        <v>30</v>
      </c>
      <c r="AJ88" s="13" t="s">
        <v>30</v>
      </c>
      <c r="AK88" s="13" t="s">
        <v>30</v>
      </c>
      <c r="AL88" s="13" t="s">
        <v>30</v>
      </c>
      <c r="AM88" s="13" t="s">
        <v>30</v>
      </c>
      <c r="AN88" s="6"/>
      <c r="AO88" s="13">
        <v>7.0</v>
      </c>
      <c r="AP88" s="13">
        <v>1.0</v>
      </c>
      <c r="AQ88" s="13">
        <v>1.0</v>
      </c>
      <c r="AR88" s="13">
        <v>1.0</v>
      </c>
      <c r="AS88" s="13">
        <v>1.0</v>
      </c>
      <c r="AT88" s="13">
        <v>1.0</v>
      </c>
      <c r="AU88" s="13">
        <v>1.0</v>
      </c>
      <c r="AV88" s="13">
        <v>1.0</v>
      </c>
      <c r="AW88" s="13" t="s">
        <v>30</v>
      </c>
      <c r="AX88" s="13" t="s">
        <v>30</v>
      </c>
      <c r="AY88" s="13" t="s">
        <v>30</v>
      </c>
      <c r="AZ88" s="13" t="s">
        <v>30</v>
      </c>
      <c r="BA88" s="13" t="s">
        <v>30</v>
      </c>
      <c r="BB88" s="13" t="s">
        <v>30</v>
      </c>
      <c r="BC88" s="13" t="s">
        <v>30</v>
      </c>
    </row>
    <row r="89">
      <c r="A89" s="13" t="s">
        <v>203</v>
      </c>
      <c r="B89" s="13"/>
      <c r="C89" s="13"/>
      <c r="D89" s="13" t="s">
        <v>204</v>
      </c>
      <c r="E89" s="13">
        <v>1.0</v>
      </c>
      <c r="F89" s="14">
        <v>751.71</v>
      </c>
      <c r="G89" s="13" t="s">
        <v>29</v>
      </c>
      <c r="H89" s="13">
        <v>3.0</v>
      </c>
      <c r="I89" s="15"/>
      <c r="J89" s="6"/>
      <c r="K89" s="13">
        <v>3.0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  <c r="R89" s="17">
        <v>0.0</v>
      </c>
      <c r="S89" s="17">
        <v>0.0</v>
      </c>
      <c r="T89" s="17">
        <v>0.0</v>
      </c>
      <c r="U89" s="17">
        <v>0.0</v>
      </c>
      <c r="V89" s="17">
        <v>0.0</v>
      </c>
      <c r="W89" s="17">
        <v>0.0</v>
      </c>
      <c r="X89" s="17">
        <v>0.0</v>
      </c>
      <c r="Y89" s="6"/>
      <c r="Z89" s="13"/>
      <c r="AA89" s="13">
        <v>1.0</v>
      </c>
      <c r="AB89" s="13">
        <v>1.0</v>
      </c>
      <c r="AC89" s="13"/>
      <c r="AD89" s="13"/>
      <c r="AE89" s="13">
        <v>1.0</v>
      </c>
      <c r="AF89" s="13"/>
      <c r="AG89" s="13" t="s">
        <v>30</v>
      </c>
      <c r="AH89" s="13" t="s">
        <v>30</v>
      </c>
      <c r="AI89" s="13" t="s">
        <v>30</v>
      </c>
      <c r="AJ89" s="13" t="s">
        <v>30</v>
      </c>
      <c r="AK89" s="13" t="s">
        <v>30</v>
      </c>
      <c r="AL89" s="13" t="s">
        <v>30</v>
      </c>
      <c r="AM89" s="13" t="s">
        <v>30</v>
      </c>
      <c r="AN89" s="6"/>
      <c r="AO89" s="13">
        <v>3.0</v>
      </c>
      <c r="AP89" s="13"/>
      <c r="AQ89" s="13">
        <v>1.0</v>
      </c>
      <c r="AR89" s="13">
        <v>1.0</v>
      </c>
      <c r="AS89" s="13"/>
      <c r="AT89" s="13"/>
      <c r="AU89" s="13">
        <v>1.0</v>
      </c>
      <c r="AV89" s="13"/>
      <c r="AW89" s="13" t="s">
        <v>30</v>
      </c>
      <c r="AX89" s="13" t="s">
        <v>30</v>
      </c>
      <c r="AY89" s="13" t="s">
        <v>30</v>
      </c>
      <c r="AZ89" s="13" t="s">
        <v>30</v>
      </c>
      <c r="BA89" s="13" t="s">
        <v>30</v>
      </c>
      <c r="BB89" s="13" t="s">
        <v>30</v>
      </c>
      <c r="BC89" s="13" t="s">
        <v>30</v>
      </c>
    </row>
    <row r="90">
      <c r="A90" s="13" t="s">
        <v>205</v>
      </c>
      <c r="B90" s="13"/>
      <c r="C90" s="13"/>
      <c r="D90" s="13" t="s">
        <v>206</v>
      </c>
      <c r="E90" s="13">
        <v>1.0</v>
      </c>
      <c r="F90" s="14">
        <v>5457.72</v>
      </c>
      <c r="G90" s="13" t="s">
        <v>29</v>
      </c>
      <c r="H90" s="13">
        <v>8.0</v>
      </c>
      <c r="I90" s="15"/>
      <c r="J90" s="6"/>
      <c r="K90" s="13">
        <v>7.0</v>
      </c>
      <c r="L90" s="17">
        <v>0.0</v>
      </c>
      <c r="M90" s="17">
        <v>0.0</v>
      </c>
      <c r="N90" s="17">
        <v>0.0</v>
      </c>
      <c r="O90" s="17">
        <v>0.0</v>
      </c>
      <c r="P90" s="17">
        <v>0.0</v>
      </c>
      <c r="Q90" s="17">
        <v>0.0</v>
      </c>
      <c r="R90" s="17">
        <v>0.0</v>
      </c>
      <c r="S90" s="16">
        <v>1.0</v>
      </c>
      <c r="T90" s="17">
        <v>0.0</v>
      </c>
      <c r="U90" s="17">
        <v>0.0</v>
      </c>
      <c r="V90" s="17">
        <v>0.0</v>
      </c>
      <c r="W90" s="17">
        <v>0.0</v>
      </c>
      <c r="X90" s="17">
        <v>0.0</v>
      </c>
      <c r="Y90" s="6"/>
      <c r="Z90" s="13">
        <v>1.0</v>
      </c>
      <c r="AA90" s="13">
        <v>1.0</v>
      </c>
      <c r="AB90" s="13">
        <v>1.0</v>
      </c>
      <c r="AC90" s="13">
        <v>1.0</v>
      </c>
      <c r="AD90" s="13">
        <v>1.0</v>
      </c>
      <c r="AE90" s="13">
        <v>2.0</v>
      </c>
      <c r="AF90" s="13">
        <v>1.0</v>
      </c>
      <c r="AG90" s="13" t="s">
        <v>30</v>
      </c>
      <c r="AH90" s="13" t="s">
        <v>30</v>
      </c>
      <c r="AI90" s="13" t="s">
        <v>30</v>
      </c>
      <c r="AJ90" s="13" t="s">
        <v>30</v>
      </c>
      <c r="AK90" s="13" t="s">
        <v>30</v>
      </c>
      <c r="AL90" s="13" t="s">
        <v>30</v>
      </c>
      <c r="AM90" s="13" t="s">
        <v>30</v>
      </c>
      <c r="AN90" s="6"/>
      <c r="AO90" s="13">
        <v>8.0</v>
      </c>
      <c r="AP90" s="13">
        <v>1.0</v>
      </c>
      <c r="AQ90" s="13">
        <v>1.0</v>
      </c>
      <c r="AR90" s="13">
        <v>1.0</v>
      </c>
      <c r="AS90" s="13">
        <v>1.0</v>
      </c>
      <c r="AT90" s="13">
        <v>1.0</v>
      </c>
      <c r="AU90" s="13">
        <v>2.0</v>
      </c>
      <c r="AV90" s="13">
        <v>1.0</v>
      </c>
      <c r="AW90" s="13" t="s">
        <v>30</v>
      </c>
      <c r="AX90" s="13" t="s">
        <v>30</v>
      </c>
      <c r="AY90" s="13" t="s">
        <v>30</v>
      </c>
      <c r="AZ90" s="13" t="s">
        <v>30</v>
      </c>
      <c r="BA90" s="13" t="s">
        <v>30</v>
      </c>
      <c r="BB90" s="13" t="s">
        <v>30</v>
      </c>
      <c r="BC90" s="13" t="s">
        <v>30</v>
      </c>
    </row>
    <row r="91">
      <c r="A91" s="13" t="s">
        <v>207</v>
      </c>
      <c r="B91" s="13"/>
      <c r="C91" s="13" t="s">
        <v>48</v>
      </c>
      <c r="D91" s="13" t="s">
        <v>208</v>
      </c>
      <c r="E91" s="13">
        <v>2.0</v>
      </c>
      <c r="F91" s="14">
        <v>1725.65</v>
      </c>
      <c r="G91" s="13" t="s">
        <v>29</v>
      </c>
      <c r="H91" s="13">
        <v>3.0</v>
      </c>
      <c r="I91" s="15"/>
      <c r="J91" s="6"/>
      <c r="K91" s="13">
        <v>3.0</v>
      </c>
      <c r="L91" s="17">
        <v>0.0</v>
      </c>
      <c r="M91" s="17">
        <v>0.0</v>
      </c>
      <c r="N91" s="17">
        <v>0.0</v>
      </c>
      <c r="O91" s="17">
        <v>0.0</v>
      </c>
      <c r="P91" s="17">
        <v>0.0</v>
      </c>
      <c r="Q91" s="17">
        <v>0.0</v>
      </c>
      <c r="R91" s="17">
        <v>0.0</v>
      </c>
      <c r="S91" s="17">
        <v>0.0</v>
      </c>
      <c r="T91" s="17">
        <v>0.0</v>
      </c>
      <c r="U91" s="17">
        <v>0.0</v>
      </c>
      <c r="V91" s="17">
        <v>0.0</v>
      </c>
      <c r="W91" s="17">
        <v>0.0</v>
      </c>
      <c r="X91" s="17">
        <v>0.0</v>
      </c>
      <c r="Y91" s="6"/>
      <c r="Z91" s="13"/>
      <c r="AA91" s="13">
        <v>1.0</v>
      </c>
      <c r="AB91" s="13"/>
      <c r="AC91" s="13"/>
      <c r="AD91" s="13">
        <v>1.0</v>
      </c>
      <c r="AE91" s="13"/>
      <c r="AF91" s="13">
        <v>1.0</v>
      </c>
      <c r="AG91" s="13" t="s">
        <v>30</v>
      </c>
      <c r="AH91" s="13" t="s">
        <v>30</v>
      </c>
      <c r="AI91" s="13" t="s">
        <v>30</v>
      </c>
      <c r="AJ91" s="13" t="s">
        <v>30</v>
      </c>
      <c r="AK91" s="13" t="s">
        <v>30</v>
      </c>
      <c r="AL91" s="13" t="s">
        <v>30</v>
      </c>
      <c r="AM91" s="13" t="s">
        <v>30</v>
      </c>
      <c r="AN91" s="6"/>
      <c r="AO91" s="13">
        <v>8.0</v>
      </c>
      <c r="AP91" s="13">
        <v>1.0</v>
      </c>
      <c r="AQ91" s="13">
        <v>1.0</v>
      </c>
      <c r="AR91" s="13">
        <v>1.0</v>
      </c>
      <c r="AS91" s="13">
        <v>1.0</v>
      </c>
      <c r="AT91" s="13">
        <v>2.0</v>
      </c>
      <c r="AU91" s="13">
        <v>1.0</v>
      </c>
      <c r="AV91" s="13">
        <v>1.0</v>
      </c>
      <c r="AW91" s="13" t="s">
        <v>30</v>
      </c>
      <c r="AX91" s="13" t="s">
        <v>30</v>
      </c>
      <c r="AY91" s="13" t="s">
        <v>30</v>
      </c>
      <c r="AZ91" s="13" t="s">
        <v>30</v>
      </c>
      <c r="BA91" s="13" t="s">
        <v>30</v>
      </c>
      <c r="BB91" s="13" t="s">
        <v>30</v>
      </c>
      <c r="BC91" s="13" t="s">
        <v>30</v>
      </c>
    </row>
    <row r="92">
      <c r="A92" s="13" t="s">
        <v>209</v>
      </c>
      <c r="B92" s="13"/>
      <c r="C92" s="13"/>
      <c r="D92" s="13" t="s">
        <v>210</v>
      </c>
      <c r="E92" s="13">
        <v>12.0</v>
      </c>
      <c r="F92" s="14">
        <v>3043.8</v>
      </c>
      <c r="G92" s="13" t="s">
        <v>29</v>
      </c>
      <c r="H92" s="13">
        <v>35.0</v>
      </c>
      <c r="I92" s="15"/>
      <c r="J92" s="6"/>
      <c r="K92" s="13">
        <v>35.0</v>
      </c>
      <c r="L92" s="17">
        <v>0.0</v>
      </c>
      <c r="M92" s="17">
        <v>0.0</v>
      </c>
      <c r="N92" s="17">
        <v>0.0</v>
      </c>
      <c r="O92" s="17">
        <v>0.0</v>
      </c>
      <c r="P92" s="17">
        <v>0.0</v>
      </c>
      <c r="Q92" s="17">
        <v>0.0</v>
      </c>
      <c r="R92" s="17">
        <v>0.0</v>
      </c>
      <c r="S92" s="17">
        <v>0.0</v>
      </c>
      <c r="T92" s="17">
        <v>0.0</v>
      </c>
      <c r="U92" s="17">
        <v>0.0</v>
      </c>
      <c r="V92" s="17">
        <v>0.0</v>
      </c>
      <c r="W92" s="17">
        <v>0.0</v>
      </c>
      <c r="X92" s="17">
        <v>0.0</v>
      </c>
      <c r="Y92" s="6"/>
      <c r="Z92" s="13">
        <v>3.0</v>
      </c>
      <c r="AA92" s="13">
        <v>4.0</v>
      </c>
      <c r="AB92" s="13">
        <v>4.0</v>
      </c>
      <c r="AC92" s="13">
        <v>3.0</v>
      </c>
      <c r="AD92" s="13">
        <v>11.0</v>
      </c>
      <c r="AE92" s="13">
        <v>4.0</v>
      </c>
      <c r="AF92" s="13">
        <v>6.0</v>
      </c>
      <c r="AG92" s="13" t="s">
        <v>30</v>
      </c>
      <c r="AH92" s="13" t="s">
        <v>30</v>
      </c>
      <c r="AI92" s="13" t="s">
        <v>30</v>
      </c>
      <c r="AJ92" s="13" t="s">
        <v>30</v>
      </c>
      <c r="AK92" s="13" t="s">
        <v>30</v>
      </c>
      <c r="AL92" s="13" t="s">
        <v>30</v>
      </c>
      <c r="AM92" s="13" t="s">
        <v>30</v>
      </c>
      <c r="AN92" s="6"/>
      <c r="AO92" s="13">
        <v>35.0</v>
      </c>
      <c r="AP92" s="13">
        <v>3.0</v>
      </c>
      <c r="AQ92" s="13">
        <v>4.0</v>
      </c>
      <c r="AR92" s="13">
        <v>4.0</v>
      </c>
      <c r="AS92" s="13">
        <v>3.0</v>
      </c>
      <c r="AT92" s="13">
        <v>11.0</v>
      </c>
      <c r="AU92" s="13">
        <v>4.0</v>
      </c>
      <c r="AV92" s="13">
        <v>6.0</v>
      </c>
      <c r="AW92" s="13" t="s">
        <v>30</v>
      </c>
      <c r="AX92" s="13" t="s">
        <v>30</v>
      </c>
      <c r="AY92" s="13" t="s">
        <v>30</v>
      </c>
      <c r="AZ92" s="13" t="s">
        <v>30</v>
      </c>
      <c r="BA92" s="13" t="s">
        <v>30</v>
      </c>
      <c r="BB92" s="13" t="s">
        <v>30</v>
      </c>
      <c r="BC92" s="13" t="s">
        <v>30</v>
      </c>
    </row>
    <row r="93">
      <c r="A93" s="13" t="s">
        <v>211</v>
      </c>
      <c r="B93" s="13"/>
      <c r="C93" s="13"/>
      <c r="D93" s="13" t="s">
        <v>212</v>
      </c>
      <c r="E93" s="13">
        <v>1.0</v>
      </c>
      <c r="F93" s="14">
        <v>4750.0</v>
      </c>
      <c r="G93" s="13" t="s">
        <v>29</v>
      </c>
      <c r="H93" s="13">
        <v>0.0</v>
      </c>
      <c r="I93" s="15"/>
      <c r="J93" s="6"/>
      <c r="K93" s="13">
        <v>0.0</v>
      </c>
      <c r="L93" s="17">
        <v>0.0</v>
      </c>
      <c r="M93" s="17">
        <v>0.0</v>
      </c>
      <c r="N93" s="17">
        <v>0.0</v>
      </c>
      <c r="O93" s="17">
        <v>0.0</v>
      </c>
      <c r="P93" s="17">
        <v>0.0</v>
      </c>
      <c r="Q93" s="17">
        <v>0.0</v>
      </c>
      <c r="R93" s="17">
        <v>0.0</v>
      </c>
      <c r="S93" s="17">
        <v>0.0</v>
      </c>
      <c r="T93" s="17">
        <v>0.0</v>
      </c>
      <c r="U93" s="17">
        <v>0.0</v>
      </c>
      <c r="V93" s="17">
        <v>0.0</v>
      </c>
      <c r="W93" s="17">
        <v>0.0</v>
      </c>
      <c r="X93" s="17">
        <v>0.0</v>
      </c>
      <c r="Y93" s="6"/>
      <c r="Z93" s="13" t="s">
        <v>30</v>
      </c>
      <c r="AA93" s="13"/>
      <c r="AB93" s="13" t="s">
        <v>30</v>
      </c>
      <c r="AC93" s="13" t="s">
        <v>30</v>
      </c>
      <c r="AD93" s="13"/>
      <c r="AE93" s="13" t="s">
        <v>30</v>
      </c>
      <c r="AF93" s="13"/>
      <c r="AG93" s="13" t="s">
        <v>30</v>
      </c>
      <c r="AH93" s="13" t="s">
        <v>30</v>
      </c>
      <c r="AI93" s="13" t="s">
        <v>30</v>
      </c>
      <c r="AJ93" s="13" t="s">
        <v>30</v>
      </c>
      <c r="AK93" s="13" t="s">
        <v>30</v>
      </c>
      <c r="AL93" s="13" t="s">
        <v>30</v>
      </c>
      <c r="AM93" s="13" t="s">
        <v>30</v>
      </c>
      <c r="AN93" s="6"/>
      <c r="AO93" s="13">
        <v>0.0</v>
      </c>
      <c r="AP93" s="13" t="s">
        <v>30</v>
      </c>
      <c r="AQ93" s="13"/>
      <c r="AR93" s="13" t="s">
        <v>30</v>
      </c>
      <c r="AS93" s="13" t="s">
        <v>30</v>
      </c>
      <c r="AT93" s="13"/>
      <c r="AU93" s="13" t="s">
        <v>30</v>
      </c>
      <c r="AV93" s="13"/>
      <c r="AW93" s="13" t="s">
        <v>30</v>
      </c>
      <c r="AX93" s="13" t="s">
        <v>30</v>
      </c>
      <c r="AY93" s="13" t="s">
        <v>30</v>
      </c>
      <c r="AZ93" s="13" t="s">
        <v>30</v>
      </c>
      <c r="BA93" s="13" t="s">
        <v>30</v>
      </c>
      <c r="BB93" s="13" t="s">
        <v>30</v>
      </c>
      <c r="BC93" s="13" t="s">
        <v>30</v>
      </c>
    </row>
    <row r="94">
      <c r="A94" s="13" t="s">
        <v>213</v>
      </c>
      <c r="B94" s="13"/>
      <c r="C94" s="13"/>
      <c r="D94" s="13" t="s">
        <v>214</v>
      </c>
      <c r="E94" s="13">
        <v>1.0</v>
      </c>
      <c r="F94" s="14">
        <v>4884.93</v>
      </c>
      <c r="G94" s="13" t="s">
        <v>29</v>
      </c>
      <c r="H94" s="13">
        <v>3.0</v>
      </c>
      <c r="I94" s="15"/>
      <c r="J94" s="6"/>
      <c r="K94" s="13">
        <v>3.0</v>
      </c>
      <c r="L94" s="17">
        <v>0.0</v>
      </c>
      <c r="M94" s="17">
        <v>0.0</v>
      </c>
      <c r="N94" s="17">
        <v>0.0</v>
      </c>
      <c r="O94" s="17">
        <v>0.0</v>
      </c>
      <c r="P94" s="17">
        <v>0.0</v>
      </c>
      <c r="Q94" s="17">
        <v>0.0</v>
      </c>
      <c r="R94" s="17">
        <v>0.0</v>
      </c>
      <c r="S94" s="17">
        <v>0.0</v>
      </c>
      <c r="T94" s="17">
        <v>0.0</v>
      </c>
      <c r="U94" s="17">
        <v>0.0</v>
      </c>
      <c r="V94" s="17">
        <v>0.0</v>
      </c>
      <c r="W94" s="17">
        <v>0.0</v>
      </c>
      <c r="X94" s="17">
        <v>0.0</v>
      </c>
      <c r="Y94" s="6"/>
      <c r="Z94" s="13"/>
      <c r="AA94" s="13">
        <v>1.0</v>
      </c>
      <c r="AB94" s="13"/>
      <c r="AC94" s="13"/>
      <c r="AD94" s="13">
        <v>1.0</v>
      </c>
      <c r="AE94" s="13"/>
      <c r="AF94" s="13">
        <v>1.0</v>
      </c>
      <c r="AG94" s="13" t="s">
        <v>30</v>
      </c>
      <c r="AH94" s="13" t="s">
        <v>30</v>
      </c>
      <c r="AI94" s="13" t="s">
        <v>30</v>
      </c>
      <c r="AJ94" s="13" t="s">
        <v>30</v>
      </c>
      <c r="AK94" s="13" t="s">
        <v>30</v>
      </c>
      <c r="AL94" s="13" t="s">
        <v>30</v>
      </c>
      <c r="AM94" s="13" t="s">
        <v>30</v>
      </c>
      <c r="AN94" s="6"/>
      <c r="AO94" s="13">
        <v>3.0</v>
      </c>
      <c r="AP94" s="13"/>
      <c r="AQ94" s="13">
        <v>1.0</v>
      </c>
      <c r="AR94" s="13"/>
      <c r="AS94" s="13"/>
      <c r="AT94" s="13">
        <v>1.0</v>
      </c>
      <c r="AU94" s="13"/>
      <c r="AV94" s="13">
        <v>1.0</v>
      </c>
      <c r="AW94" s="13" t="s">
        <v>30</v>
      </c>
      <c r="AX94" s="13" t="s">
        <v>30</v>
      </c>
      <c r="AY94" s="13" t="s">
        <v>30</v>
      </c>
      <c r="AZ94" s="13" t="s">
        <v>30</v>
      </c>
      <c r="BA94" s="13" t="s">
        <v>30</v>
      </c>
      <c r="BB94" s="13" t="s">
        <v>30</v>
      </c>
      <c r="BC94" s="13" t="s">
        <v>30</v>
      </c>
    </row>
    <row r="95">
      <c r="A95" s="13" t="s">
        <v>215</v>
      </c>
      <c r="B95" s="13"/>
      <c r="C95" s="13"/>
      <c r="D95" s="13" t="s">
        <v>216</v>
      </c>
      <c r="E95" s="13">
        <v>1.0</v>
      </c>
      <c r="F95" s="14">
        <v>272.44</v>
      </c>
      <c r="G95" s="13" t="s">
        <v>29</v>
      </c>
      <c r="H95" s="13">
        <v>19.0</v>
      </c>
      <c r="I95" s="15"/>
      <c r="J95" s="6"/>
      <c r="K95" s="13">
        <v>18.0</v>
      </c>
      <c r="L95" s="17">
        <v>0.0</v>
      </c>
      <c r="M95" s="16">
        <v>1.0</v>
      </c>
      <c r="N95" s="17">
        <v>0.0</v>
      </c>
      <c r="O95" s="17">
        <v>0.0</v>
      </c>
      <c r="P95" s="17">
        <v>0.0</v>
      </c>
      <c r="Q95" s="17">
        <v>0.0</v>
      </c>
      <c r="R95" s="17">
        <v>0.0</v>
      </c>
      <c r="S95" s="17">
        <v>0.0</v>
      </c>
      <c r="T95" s="17">
        <v>0.0</v>
      </c>
      <c r="U95" s="17">
        <v>0.0</v>
      </c>
      <c r="V95" s="17">
        <v>0.0</v>
      </c>
      <c r="W95" s="17">
        <v>0.0</v>
      </c>
      <c r="X95" s="17">
        <v>0.0</v>
      </c>
      <c r="Y95" s="6"/>
      <c r="Z95" s="13">
        <v>2.0</v>
      </c>
      <c r="AA95" s="13">
        <v>3.0</v>
      </c>
      <c r="AB95" s="13">
        <v>3.0</v>
      </c>
      <c r="AC95" s="13">
        <v>2.0</v>
      </c>
      <c r="AD95" s="13">
        <v>3.0</v>
      </c>
      <c r="AE95" s="13">
        <v>3.0</v>
      </c>
      <c r="AF95" s="13">
        <v>3.0</v>
      </c>
      <c r="AG95" s="13" t="s">
        <v>30</v>
      </c>
      <c r="AH95" s="13" t="s">
        <v>30</v>
      </c>
      <c r="AI95" s="13" t="s">
        <v>30</v>
      </c>
      <c r="AJ95" s="13" t="s">
        <v>30</v>
      </c>
      <c r="AK95" s="13" t="s">
        <v>30</v>
      </c>
      <c r="AL95" s="13" t="s">
        <v>30</v>
      </c>
      <c r="AM95" s="13" t="s">
        <v>30</v>
      </c>
      <c r="AN95" s="6"/>
      <c r="AO95" s="13">
        <v>19.0</v>
      </c>
      <c r="AP95" s="13">
        <v>2.0</v>
      </c>
      <c r="AQ95" s="13">
        <v>3.0</v>
      </c>
      <c r="AR95" s="13">
        <v>3.0</v>
      </c>
      <c r="AS95" s="13">
        <v>2.0</v>
      </c>
      <c r="AT95" s="13">
        <v>3.0</v>
      </c>
      <c r="AU95" s="13">
        <v>3.0</v>
      </c>
      <c r="AV95" s="13">
        <v>3.0</v>
      </c>
      <c r="AW95" s="13" t="s">
        <v>30</v>
      </c>
      <c r="AX95" s="13" t="s">
        <v>30</v>
      </c>
      <c r="AY95" s="13" t="s">
        <v>30</v>
      </c>
      <c r="AZ95" s="13" t="s">
        <v>30</v>
      </c>
      <c r="BA95" s="13" t="s">
        <v>30</v>
      </c>
      <c r="BB95" s="13" t="s">
        <v>30</v>
      </c>
      <c r="BC95" s="13" t="s">
        <v>30</v>
      </c>
    </row>
    <row r="96">
      <c r="A96" s="13" t="s">
        <v>217</v>
      </c>
      <c r="B96" s="13"/>
      <c r="C96" s="13"/>
      <c r="D96" s="13" t="s">
        <v>218</v>
      </c>
      <c r="E96" s="13">
        <v>1.0</v>
      </c>
      <c r="F96" s="14">
        <v>2206.8</v>
      </c>
      <c r="G96" s="13" t="s">
        <v>29</v>
      </c>
      <c r="H96" s="13">
        <v>5.0</v>
      </c>
      <c r="I96" s="15"/>
      <c r="J96" s="6"/>
      <c r="K96" s="13">
        <v>5.0</v>
      </c>
      <c r="L96" s="17">
        <v>0.0</v>
      </c>
      <c r="M96" s="17">
        <v>0.0</v>
      </c>
      <c r="N96" s="17">
        <v>0.0</v>
      </c>
      <c r="O96" s="17">
        <v>0.0</v>
      </c>
      <c r="P96" s="17">
        <v>0.0</v>
      </c>
      <c r="Q96" s="17">
        <v>0.0</v>
      </c>
      <c r="R96" s="17">
        <v>0.0</v>
      </c>
      <c r="S96" s="17">
        <v>0.0</v>
      </c>
      <c r="T96" s="17">
        <v>0.0</v>
      </c>
      <c r="U96" s="17">
        <v>0.0</v>
      </c>
      <c r="V96" s="17">
        <v>0.0</v>
      </c>
      <c r="W96" s="17">
        <v>0.0</v>
      </c>
      <c r="X96" s="17">
        <v>0.0</v>
      </c>
      <c r="Y96" s="6"/>
      <c r="Z96" s="13"/>
      <c r="AA96" s="13">
        <v>1.0</v>
      </c>
      <c r="AB96" s="13">
        <v>1.0</v>
      </c>
      <c r="AC96" s="13"/>
      <c r="AD96" s="13">
        <v>1.0</v>
      </c>
      <c r="AE96" s="13">
        <v>1.0</v>
      </c>
      <c r="AF96" s="13">
        <v>1.0</v>
      </c>
      <c r="AG96" s="13" t="s">
        <v>30</v>
      </c>
      <c r="AH96" s="13" t="s">
        <v>30</v>
      </c>
      <c r="AI96" s="13" t="s">
        <v>30</v>
      </c>
      <c r="AJ96" s="13" t="s">
        <v>30</v>
      </c>
      <c r="AK96" s="13" t="s">
        <v>30</v>
      </c>
      <c r="AL96" s="13" t="s">
        <v>30</v>
      </c>
      <c r="AM96" s="13" t="s">
        <v>30</v>
      </c>
      <c r="AN96" s="6"/>
      <c r="AO96" s="13">
        <v>5.0</v>
      </c>
      <c r="AP96" s="13"/>
      <c r="AQ96" s="13">
        <v>1.0</v>
      </c>
      <c r="AR96" s="13">
        <v>1.0</v>
      </c>
      <c r="AS96" s="13"/>
      <c r="AT96" s="13">
        <v>1.0</v>
      </c>
      <c r="AU96" s="13">
        <v>1.0</v>
      </c>
      <c r="AV96" s="13">
        <v>1.0</v>
      </c>
      <c r="AW96" s="13" t="s">
        <v>30</v>
      </c>
      <c r="AX96" s="13" t="s">
        <v>30</v>
      </c>
      <c r="AY96" s="13" t="s">
        <v>30</v>
      </c>
      <c r="AZ96" s="13" t="s">
        <v>30</v>
      </c>
      <c r="BA96" s="13" t="s">
        <v>30</v>
      </c>
      <c r="BB96" s="13" t="s">
        <v>30</v>
      </c>
      <c r="BC96" s="13" t="s">
        <v>30</v>
      </c>
    </row>
    <row r="97">
      <c r="A97" s="13" t="s">
        <v>219</v>
      </c>
      <c r="B97" s="13"/>
      <c r="C97" s="13">
        <v>22373.0</v>
      </c>
      <c r="D97" s="13" t="s">
        <v>220</v>
      </c>
      <c r="E97" s="13">
        <v>1.0</v>
      </c>
      <c r="F97" s="14">
        <v>600.0</v>
      </c>
      <c r="G97" s="13" t="s">
        <v>29</v>
      </c>
      <c r="H97" s="13">
        <v>5.0</v>
      </c>
      <c r="I97" s="15"/>
      <c r="J97" s="6"/>
      <c r="K97" s="13">
        <v>4.0</v>
      </c>
      <c r="L97" s="17">
        <v>0.0</v>
      </c>
      <c r="M97" s="17">
        <v>0.0</v>
      </c>
      <c r="N97" s="17">
        <v>0.0</v>
      </c>
      <c r="O97" s="17">
        <v>0.0</v>
      </c>
      <c r="P97" s="17">
        <v>0.0</v>
      </c>
      <c r="Q97" s="17">
        <v>0.0</v>
      </c>
      <c r="R97" s="17">
        <v>0.0</v>
      </c>
      <c r="S97" s="17">
        <v>0.0</v>
      </c>
      <c r="T97" s="17">
        <v>0.0</v>
      </c>
      <c r="U97" s="17">
        <v>0.0</v>
      </c>
      <c r="V97" s="16">
        <v>1.0</v>
      </c>
      <c r="W97" s="17">
        <v>0.0</v>
      </c>
      <c r="X97" s="17">
        <v>0.0</v>
      </c>
      <c r="Y97" s="6"/>
      <c r="Z97" s="13"/>
      <c r="AA97" s="13">
        <v>1.0</v>
      </c>
      <c r="AB97" s="13">
        <v>1.0</v>
      </c>
      <c r="AC97" s="13"/>
      <c r="AD97" s="13">
        <v>1.0</v>
      </c>
      <c r="AE97" s="13">
        <v>1.0</v>
      </c>
      <c r="AF97" s="13">
        <v>1.0</v>
      </c>
      <c r="AG97" s="13" t="s">
        <v>30</v>
      </c>
      <c r="AH97" s="13" t="s">
        <v>30</v>
      </c>
      <c r="AI97" s="13" t="s">
        <v>30</v>
      </c>
      <c r="AJ97" s="13" t="s">
        <v>30</v>
      </c>
      <c r="AK97" s="13" t="s">
        <v>30</v>
      </c>
      <c r="AL97" s="13" t="s">
        <v>30</v>
      </c>
      <c r="AM97" s="13" t="s">
        <v>30</v>
      </c>
      <c r="AN97" s="6"/>
      <c r="AO97" s="13">
        <v>7.0</v>
      </c>
      <c r="AP97" s="13">
        <v>1.0</v>
      </c>
      <c r="AQ97" s="13">
        <v>1.0</v>
      </c>
      <c r="AR97" s="13">
        <v>1.0</v>
      </c>
      <c r="AS97" s="13">
        <v>1.0</v>
      </c>
      <c r="AT97" s="13">
        <v>1.0</v>
      </c>
      <c r="AU97" s="13">
        <v>1.0</v>
      </c>
      <c r="AV97" s="13">
        <v>1.0</v>
      </c>
      <c r="AW97" s="13" t="s">
        <v>30</v>
      </c>
      <c r="AX97" s="13" t="s">
        <v>30</v>
      </c>
      <c r="AY97" s="13" t="s">
        <v>30</v>
      </c>
      <c r="AZ97" s="13" t="s">
        <v>30</v>
      </c>
      <c r="BA97" s="13" t="s">
        <v>30</v>
      </c>
      <c r="BB97" s="13" t="s">
        <v>30</v>
      </c>
      <c r="BC97" s="13" t="s">
        <v>30</v>
      </c>
    </row>
    <row r="98">
      <c r="A98" s="13" t="s">
        <v>221</v>
      </c>
      <c r="B98" s="13"/>
      <c r="C98" s="13"/>
      <c r="D98" s="13" t="s">
        <v>222</v>
      </c>
      <c r="E98" s="13">
        <v>1.0</v>
      </c>
      <c r="F98" s="14">
        <v>2428.1</v>
      </c>
      <c r="G98" s="13" t="s">
        <v>29</v>
      </c>
      <c r="H98" s="13">
        <v>40.0</v>
      </c>
      <c r="I98" s="15"/>
      <c r="J98" s="6"/>
      <c r="K98" s="13">
        <v>40.0</v>
      </c>
      <c r="L98" s="17">
        <v>0.0</v>
      </c>
      <c r="M98" s="17">
        <v>0.0</v>
      </c>
      <c r="N98" s="17">
        <v>0.0</v>
      </c>
      <c r="O98" s="17">
        <v>0.0</v>
      </c>
      <c r="P98" s="17">
        <v>0.0</v>
      </c>
      <c r="Q98" s="17">
        <v>0.0</v>
      </c>
      <c r="R98" s="17">
        <v>0.0</v>
      </c>
      <c r="S98" s="17">
        <v>0.0</v>
      </c>
      <c r="T98" s="17">
        <v>0.0</v>
      </c>
      <c r="U98" s="17">
        <v>0.0</v>
      </c>
      <c r="V98" s="17">
        <v>0.0</v>
      </c>
      <c r="W98" s="17">
        <v>0.0</v>
      </c>
      <c r="X98" s="17">
        <v>0.0</v>
      </c>
      <c r="Y98" s="6"/>
      <c r="Z98" s="13">
        <v>4.0</v>
      </c>
      <c r="AA98" s="13">
        <v>5.0</v>
      </c>
      <c r="AB98" s="13">
        <v>4.0</v>
      </c>
      <c r="AC98" s="13">
        <v>4.0</v>
      </c>
      <c r="AD98" s="13">
        <v>12.0</v>
      </c>
      <c r="AE98" s="13">
        <v>5.0</v>
      </c>
      <c r="AF98" s="13">
        <v>6.0</v>
      </c>
      <c r="AG98" s="13" t="s">
        <v>30</v>
      </c>
      <c r="AH98" s="13" t="s">
        <v>30</v>
      </c>
      <c r="AI98" s="13" t="s">
        <v>30</v>
      </c>
      <c r="AJ98" s="13" t="s">
        <v>30</v>
      </c>
      <c r="AK98" s="13" t="s">
        <v>30</v>
      </c>
      <c r="AL98" s="13" t="s">
        <v>30</v>
      </c>
      <c r="AM98" s="13" t="s">
        <v>30</v>
      </c>
      <c r="AN98" s="6"/>
      <c r="AO98" s="13">
        <v>40.0</v>
      </c>
      <c r="AP98" s="13">
        <v>4.0</v>
      </c>
      <c r="AQ98" s="13">
        <v>5.0</v>
      </c>
      <c r="AR98" s="13">
        <v>4.0</v>
      </c>
      <c r="AS98" s="13">
        <v>4.0</v>
      </c>
      <c r="AT98" s="13">
        <v>12.0</v>
      </c>
      <c r="AU98" s="13">
        <v>5.0</v>
      </c>
      <c r="AV98" s="13">
        <v>6.0</v>
      </c>
      <c r="AW98" s="13" t="s">
        <v>30</v>
      </c>
      <c r="AX98" s="13" t="s">
        <v>30</v>
      </c>
      <c r="AY98" s="13" t="s">
        <v>30</v>
      </c>
      <c r="AZ98" s="13" t="s">
        <v>30</v>
      </c>
      <c r="BA98" s="13" t="s">
        <v>30</v>
      </c>
      <c r="BB98" s="13" t="s">
        <v>30</v>
      </c>
      <c r="BC98" s="13" t="s">
        <v>30</v>
      </c>
    </row>
    <row r="99">
      <c r="A99" s="13" t="s">
        <v>223</v>
      </c>
      <c r="B99" s="13"/>
      <c r="C99" s="13"/>
      <c r="D99" s="13" t="s">
        <v>224</v>
      </c>
      <c r="E99" s="13">
        <v>1.0</v>
      </c>
      <c r="F99" s="14">
        <v>1268.85</v>
      </c>
      <c r="G99" s="13" t="s">
        <v>29</v>
      </c>
      <c r="H99" s="13">
        <v>16.0</v>
      </c>
      <c r="I99" s="15"/>
      <c r="J99" s="6"/>
      <c r="K99" s="13">
        <v>16.0</v>
      </c>
      <c r="L99" s="17">
        <v>0.0</v>
      </c>
      <c r="M99" s="17">
        <v>0.0</v>
      </c>
      <c r="N99" s="17">
        <v>0.0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  <c r="X99" s="17">
        <v>0.0</v>
      </c>
      <c r="Y99" s="6"/>
      <c r="Z99" s="13">
        <v>2.0</v>
      </c>
      <c r="AA99" s="13">
        <v>2.0</v>
      </c>
      <c r="AB99" s="13">
        <v>2.0</v>
      </c>
      <c r="AC99" s="13">
        <v>2.0</v>
      </c>
      <c r="AD99" s="13">
        <v>3.0</v>
      </c>
      <c r="AE99" s="13">
        <v>2.0</v>
      </c>
      <c r="AF99" s="13">
        <v>3.0</v>
      </c>
      <c r="AG99" s="13" t="s">
        <v>30</v>
      </c>
      <c r="AH99" s="13" t="s">
        <v>30</v>
      </c>
      <c r="AI99" s="13" t="s">
        <v>30</v>
      </c>
      <c r="AJ99" s="13" t="s">
        <v>30</v>
      </c>
      <c r="AK99" s="13" t="s">
        <v>30</v>
      </c>
      <c r="AL99" s="13" t="s">
        <v>30</v>
      </c>
      <c r="AM99" s="13" t="s">
        <v>30</v>
      </c>
      <c r="AN99" s="6"/>
      <c r="AO99" s="13">
        <v>16.0</v>
      </c>
      <c r="AP99" s="13">
        <v>2.0</v>
      </c>
      <c r="AQ99" s="13">
        <v>2.0</v>
      </c>
      <c r="AR99" s="13">
        <v>2.0</v>
      </c>
      <c r="AS99" s="13">
        <v>2.0</v>
      </c>
      <c r="AT99" s="13">
        <v>3.0</v>
      </c>
      <c r="AU99" s="13">
        <v>2.0</v>
      </c>
      <c r="AV99" s="13">
        <v>3.0</v>
      </c>
      <c r="AW99" s="13" t="s">
        <v>30</v>
      </c>
      <c r="AX99" s="13" t="s">
        <v>30</v>
      </c>
      <c r="AY99" s="13" t="s">
        <v>30</v>
      </c>
      <c r="AZ99" s="13" t="s">
        <v>30</v>
      </c>
      <c r="BA99" s="13" t="s">
        <v>30</v>
      </c>
      <c r="BB99" s="13" t="s">
        <v>30</v>
      </c>
      <c r="BC99" s="13" t="s">
        <v>30</v>
      </c>
    </row>
    <row r="100">
      <c r="A100" s="13" t="s">
        <v>225</v>
      </c>
      <c r="B100" s="13"/>
      <c r="C100" s="13">
        <v>198.0</v>
      </c>
      <c r="D100" s="13" t="s">
        <v>226</v>
      </c>
      <c r="E100" s="13">
        <v>1.0</v>
      </c>
      <c r="F100" s="14">
        <v>344.08</v>
      </c>
      <c r="G100" s="13" t="s">
        <v>29</v>
      </c>
      <c r="H100" s="13">
        <v>4.0</v>
      </c>
      <c r="I100" s="15"/>
      <c r="J100" s="6"/>
      <c r="K100" s="13">
        <v>4.0</v>
      </c>
      <c r="L100" s="17">
        <v>0.0</v>
      </c>
      <c r="M100" s="17">
        <v>0.0</v>
      </c>
      <c r="N100" s="17">
        <v>0.0</v>
      </c>
      <c r="O100" s="17">
        <v>0.0</v>
      </c>
      <c r="P100" s="17">
        <v>0.0</v>
      </c>
      <c r="Q100" s="17">
        <v>0.0</v>
      </c>
      <c r="R100" s="17">
        <v>0.0</v>
      </c>
      <c r="S100" s="17">
        <v>0.0</v>
      </c>
      <c r="T100" s="17">
        <v>0.0</v>
      </c>
      <c r="U100" s="17">
        <v>0.0</v>
      </c>
      <c r="V100" s="17">
        <v>0.0</v>
      </c>
      <c r="W100" s="17">
        <v>0.0</v>
      </c>
      <c r="X100" s="17">
        <v>0.0</v>
      </c>
      <c r="Y100" s="6"/>
      <c r="Z100" s="13"/>
      <c r="AA100" s="13">
        <v>1.0</v>
      </c>
      <c r="AB100" s="13"/>
      <c r="AC100" s="13"/>
      <c r="AD100" s="13">
        <v>1.0</v>
      </c>
      <c r="AE100" s="13">
        <v>1.0</v>
      </c>
      <c r="AF100" s="13">
        <v>1.0</v>
      </c>
      <c r="AG100" s="13" t="s">
        <v>30</v>
      </c>
      <c r="AH100" s="13" t="s">
        <v>30</v>
      </c>
      <c r="AI100" s="13" t="s">
        <v>30</v>
      </c>
      <c r="AJ100" s="13" t="s">
        <v>30</v>
      </c>
      <c r="AK100" s="13" t="s">
        <v>30</v>
      </c>
      <c r="AL100" s="13" t="s">
        <v>30</v>
      </c>
      <c r="AM100" s="13" t="s">
        <v>30</v>
      </c>
      <c r="AN100" s="6"/>
      <c r="AO100" s="13">
        <v>7.0</v>
      </c>
      <c r="AP100" s="13">
        <v>1.0</v>
      </c>
      <c r="AQ100" s="13">
        <v>1.0</v>
      </c>
      <c r="AR100" s="13">
        <v>1.0</v>
      </c>
      <c r="AS100" s="13">
        <v>1.0</v>
      </c>
      <c r="AT100" s="13">
        <v>1.0</v>
      </c>
      <c r="AU100" s="13">
        <v>1.0</v>
      </c>
      <c r="AV100" s="13">
        <v>1.0</v>
      </c>
      <c r="AW100" s="13" t="s">
        <v>30</v>
      </c>
      <c r="AX100" s="13" t="s">
        <v>30</v>
      </c>
      <c r="AY100" s="13" t="s">
        <v>30</v>
      </c>
      <c r="AZ100" s="13" t="s">
        <v>30</v>
      </c>
      <c r="BA100" s="13" t="s">
        <v>30</v>
      </c>
      <c r="BB100" s="13" t="s">
        <v>30</v>
      </c>
      <c r="BC100" s="13" t="s">
        <v>30</v>
      </c>
    </row>
    <row r="101">
      <c r="A101" s="13" t="s">
        <v>227</v>
      </c>
      <c r="B101" s="13"/>
      <c r="C101" s="13"/>
      <c r="D101" s="13" t="s">
        <v>228</v>
      </c>
      <c r="E101" s="13">
        <v>1.0</v>
      </c>
      <c r="F101" s="14">
        <v>3327.04</v>
      </c>
      <c r="G101" s="13" t="s">
        <v>29</v>
      </c>
      <c r="H101" s="13">
        <v>4.0</v>
      </c>
      <c r="I101" s="15"/>
      <c r="J101" s="6"/>
      <c r="K101" s="13">
        <v>2.0</v>
      </c>
      <c r="L101" s="17">
        <v>0.0</v>
      </c>
      <c r="M101" s="17">
        <v>0.0</v>
      </c>
      <c r="N101" s="17">
        <v>1.0</v>
      </c>
      <c r="O101" s="17">
        <v>0.0</v>
      </c>
      <c r="P101" s="17">
        <v>0.0</v>
      </c>
      <c r="Q101" s="17">
        <v>0.0</v>
      </c>
      <c r="R101" s="17">
        <v>1.0</v>
      </c>
      <c r="S101" s="17">
        <v>0.0</v>
      </c>
      <c r="T101" s="17">
        <v>0.0</v>
      </c>
      <c r="U101" s="17">
        <v>0.0</v>
      </c>
      <c r="V101" s="17">
        <v>0.0</v>
      </c>
      <c r="W101" s="17">
        <v>0.0</v>
      </c>
      <c r="X101" s="17">
        <v>0.0</v>
      </c>
      <c r="Y101" s="6"/>
      <c r="Z101" s="13"/>
      <c r="AA101" s="13">
        <v>1.0</v>
      </c>
      <c r="AB101" s="13"/>
      <c r="AC101" s="13"/>
      <c r="AD101" s="13">
        <v>1.0</v>
      </c>
      <c r="AE101" s="13">
        <v>1.0</v>
      </c>
      <c r="AF101" s="13">
        <v>1.0</v>
      </c>
      <c r="AG101" s="13" t="s">
        <v>30</v>
      </c>
      <c r="AH101" s="13" t="s">
        <v>30</v>
      </c>
      <c r="AI101" s="13" t="s">
        <v>30</v>
      </c>
      <c r="AJ101" s="13" t="s">
        <v>30</v>
      </c>
      <c r="AK101" s="13" t="s">
        <v>30</v>
      </c>
      <c r="AL101" s="13" t="s">
        <v>30</v>
      </c>
      <c r="AM101" s="13" t="s">
        <v>30</v>
      </c>
      <c r="AN101" s="6"/>
      <c r="AO101" s="13">
        <v>4.0</v>
      </c>
      <c r="AP101" s="13"/>
      <c r="AQ101" s="13">
        <v>1.0</v>
      </c>
      <c r="AR101" s="13"/>
      <c r="AS101" s="13"/>
      <c r="AT101" s="13">
        <v>1.0</v>
      </c>
      <c r="AU101" s="13">
        <v>1.0</v>
      </c>
      <c r="AV101" s="13">
        <v>1.0</v>
      </c>
      <c r="AW101" s="13" t="s">
        <v>30</v>
      </c>
      <c r="AX101" s="13" t="s">
        <v>30</v>
      </c>
      <c r="AY101" s="13" t="s">
        <v>30</v>
      </c>
      <c r="AZ101" s="13" t="s">
        <v>30</v>
      </c>
      <c r="BA101" s="13" t="s">
        <v>30</v>
      </c>
      <c r="BB101" s="13" t="s">
        <v>30</v>
      </c>
      <c r="BC101" s="13" t="s">
        <v>30</v>
      </c>
    </row>
    <row r="102">
      <c r="A102" s="13" t="s">
        <v>229</v>
      </c>
      <c r="B102" s="13"/>
      <c r="C102" s="13"/>
      <c r="D102" s="13" t="s">
        <v>230</v>
      </c>
      <c r="E102" s="13">
        <v>1.0</v>
      </c>
      <c r="F102" s="14">
        <v>12258.16</v>
      </c>
      <c r="G102" s="13" t="s">
        <v>29</v>
      </c>
      <c r="H102" s="13">
        <v>0.0</v>
      </c>
      <c r="I102" s="15"/>
      <c r="J102" s="6"/>
      <c r="K102" s="13">
        <v>0.0</v>
      </c>
      <c r="L102" s="17">
        <v>0.0</v>
      </c>
      <c r="M102" s="17">
        <v>0.0</v>
      </c>
      <c r="N102" s="17">
        <v>0.0</v>
      </c>
      <c r="O102" s="17">
        <v>0.0</v>
      </c>
      <c r="P102" s="17">
        <v>0.0</v>
      </c>
      <c r="Q102" s="17">
        <v>0.0</v>
      </c>
      <c r="R102" s="17">
        <v>0.0</v>
      </c>
      <c r="S102" s="17">
        <v>0.0</v>
      </c>
      <c r="T102" s="17">
        <v>0.0</v>
      </c>
      <c r="U102" s="17">
        <v>0.0</v>
      </c>
      <c r="V102" s="17">
        <v>0.0</v>
      </c>
      <c r="W102" s="17">
        <v>0.0</v>
      </c>
      <c r="X102" s="17">
        <v>0.0</v>
      </c>
      <c r="Y102" s="6"/>
      <c r="Z102" s="13"/>
      <c r="AA102" s="13"/>
      <c r="AB102" s="13"/>
      <c r="AC102" s="13"/>
      <c r="AD102" s="13"/>
      <c r="AE102" s="13"/>
      <c r="AF102" s="13"/>
      <c r="AG102" s="13" t="s">
        <v>30</v>
      </c>
      <c r="AH102" s="13" t="s">
        <v>30</v>
      </c>
      <c r="AI102" s="13" t="s">
        <v>30</v>
      </c>
      <c r="AJ102" s="13" t="s">
        <v>30</v>
      </c>
      <c r="AK102" s="13" t="s">
        <v>30</v>
      </c>
      <c r="AL102" s="13" t="s">
        <v>30</v>
      </c>
      <c r="AM102" s="13" t="s">
        <v>30</v>
      </c>
      <c r="AN102" s="6"/>
      <c r="AO102" s="13">
        <v>0.0</v>
      </c>
      <c r="AP102" s="13"/>
      <c r="AQ102" s="13"/>
      <c r="AR102" s="13"/>
      <c r="AS102" s="13"/>
      <c r="AT102" s="13"/>
      <c r="AU102" s="13"/>
      <c r="AV102" s="13"/>
      <c r="AW102" s="13" t="s">
        <v>30</v>
      </c>
      <c r="AX102" s="13" t="s">
        <v>30</v>
      </c>
      <c r="AY102" s="13" t="s">
        <v>30</v>
      </c>
      <c r="AZ102" s="13" t="s">
        <v>30</v>
      </c>
      <c r="BA102" s="13" t="s">
        <v>30</v>
      </c>
      <c r="BB102" s="13" t="s">
        <v>30</v>
      </c>
      <c r="BC102" s="13" t="s">
        <v>30</v>
      </c>
    </row>
    <row r="103">
      <c r="A103" s="13" t="s">
        <v>231</v>
      </c>
      <c r="B103" s="13"/>
      <c r="C103" s="13" t="s">
        <v>232</v>
      </c>
      <c r="D103" s="13" t="s">
        <v>233</v>
      </c>
      <c r="E103" s="13">
        <v>1.0</v>
      </c>
      <c r="F103" s="14">
        <v>2195.0</v>
      </c>
      <c r="G103" s="13" t="s">
        <v>29</v>
      </c>
      <c r="H103" s="13">
        <v>5.0</v>
      </c>
      <c r="I103" s="15"/>
      <c r="J103" s="6"/>
      <c r="K103" s="13">
        <v>4.0</v>
      </c>
      <c r="L103" s="17">
        <v>0.0</v>
      </c>
      <c r="M103" s="17">
        <v>0.0</v>
      </c>
      <c r="N103" s="17">
        <v>0.0</v>
      </c>
      <c r="O103" s="16">
        <v>1.0</v>
      </c>
      <c r="P103" s="17">
        <v>0.0</v>
      </c>
      <c r="Q103" s="17">
        <v>0.0</v>
      </c>
      <c r="R103" s="17">
        <v>0.0</v>
      </c>
      <c r="S103" s="17">
        <v>0.0</v>
      </c>
      <c r="T103" s="17">
        <v>0.0</v>
      </c>
      <c r="U103" s="17">
        <v>0.0</v>
      </c>
      <c r="V103" s="17">
        <v>0.0</v>
      </c>
      <c r="W103" s="17">
        <v>0.0</v>
      </c>
      <c r="X103" s="17">
        <v>0.0</v>
      </c>
      <c r="Y103" s="6"/>
      <c r="Z103" s="13"/>
      <c r="AA103" s="13">
        <v>1.0</v>
      </c>
      <c r="AB103" s="13">
        <v>1.0</v>
      </c>
      <c r="AC103" s="13"/>
      <c r="AD103" s="13">
        <v>1.0</v>
      </c>
      <c r="AE103" s="13">
        <v>1.0</v>
      </c>
      <c r="AF103" s="13">
        <v>1.0</v>
      </c>
      <c r="AG103" s="13" t="s">
        <v>30</v>
      </c>
      <c r="AH103" s="13" t="s">
        <v>30</v>
      </c>
      <c r="AI103" s="13" t="s">
        <v>30</v>
      </c>
      <c r="AJ103" s="13" t="s">
        <v>30</v>
      </c>
      <c r="AK103" s="13" t="s">
        <v>30</v>
      </c>
      <c r="AL103" s="13" t="s">
        <v>30</v>
      </c>
      <c r="AM103" s="13" t="s">
        <v>30</v>
      </c>
      <c r="AN103" s="6"/>
      <c r="AO103" s="13">
        <v>6.0</v>
      </c>
      <c r="AP103" s="13"/>
      <c r="AQ103" s="13">
        <v>1.0</v>
      </c>
      <c r="AR103" s="13">
        <v>1.0</v>
      </c>
      <c r="AS103" s="13">
        <v>1.0</v>
      </c>
      <c r="AT103" s="13">
        <v>1.0</v>
      </c>
      <c r="AU103" s="13">
        <v>1.0</v>
      </c>
      <c r="AV103" s="13">
        <v>1.0</v>
      </c>
      <c r="AW103" s="13" t="s">
        <v>30</v>
      </c>
      <c r="AX103" s="13" t="s">
        <v>30</v>
      </c>
      <c r="AY103" s="13" t="s">
        <v>30</v>
      </c>
      <c r="AZ103" s="13" t="s">
        <v>30</v>
      </c>
      <c r="BA103" s="13" t="s">
        <v>30</v>
      </c>
      <c r="BB103" s="13" t="s">
        <v>30</v>
      </c>
      <c r="BC103" s="13" t="s">
        <v>30</v>
      </c>
    </row>
    <row r="104">
      <c r="A104" s="13" t="s">
        <v>234</v>
      </c>
      <c r="B104" s="13"/>
      <c r="C104" s="13" t="s">
        <v>232</v>
      </c>
      <c r="D104" s="13" t="s">
        <v>235</v>
      </c>
      <c r="E104" s="13">
        <v>1.0</v>
      </c>
      <c r="F104" s="14">
        <v>2785.71</v>
      </c>
      <c r="G104" s="13" t="s">
        <v>29</v>
      </c>
      <c r="H104" s="13">
        <v>0.0</v>
      </c>
      <c r="I104" s="15"/>
      <c r="J104" s="6"/>
      <c r="K104" s="13">
        <v>0.0</v>
      </c>
      <c r="L104" s="17">
        <v>0.0</v>
      </c>
      <c r="M104" s="17">
        <v>0.0</v>
      </c>
      <c r="N104" s="17">
        <v>0.0</v>
      </c>
      <c r="O104" s="17">
        <v>0.0</v>
      </c>
      <c r="P104" s="17">
        <v>0.0</v>
      </c>
      <c r="Q104" s="17">
        <v>0.0</v>
      </c>
      <c r="R104" s="17">
        <v>0.0</v>
      </c>
      <c r="S104" s="17">
        <v>0.0</v>
      </c>
      <c r="T104" s="17">
        <v>0.0</v>
      </c>
      <c r="U104" s="17">
        <v>0.0</v>
      </c>
      <c r="V104" s="17">
        <v>0.0</v>
      </c>
      <c r="W104" s="17">
        <v>0.0</v>
      </c>
      <c r="X104" s="17">
        <v>0.0</v>
      </c>
      <c r="Y104" s="6"/>
      <c r="Z104" s="13" t="s">
        <v>30</v>
      </c>
      <c r="AA104" s="13"/>
      <c r="AB104" s="13" t="s">
        <v>30</v>
      </c>
      <c r="AC104" s="13" t="s">
        <v>30</v>
      </c>
      <c r="AD104" s="13"/>
      <c r="AE104" s="13" t="s">
        <v>30</v>
      </c>
      <c r="AF104" s="13"/>
      <c r="AG104" s="13" t="s">
        <v>30</v>
      </c>
      <c r="AH104" s="13" t="s">
        <v>30</v>
      </c>
      <c r="AI104" s="13" t="s">
        <v>30</v>
      </c>
      <c r="AJ104" s="13" t="s">
        <v>30</v>
      </c>
      <c r="AK104" s="13" t="s">
        <v>30</v>
      </c>
      <c r="AL104" s="13" t="s">
        <v>30</v>
      </c>
      <c r="AM104" s="13" t="s">
        <v>30</v>
      </c>
      <c r="AN104" s="6"/>
      <c r="AO104" s="13">
        <v>2.0</v>
      </c>
      <c r="AP104" s="13" t="s">
        <v>30</v>
      </c>
      <c r="AQ104" s="13"/>
      <c r="AR104" s="13" t="s">
        <v>30</v>
      </c>
      <c r="AS104" s="13" t="s">
        <v>30</v>
      </c>
      <c r="AT104" s="13">
        <v>1.0</v>
      </c>
      <c r="AU104" s="13" t="s">
        <v>30</v>
      </c>
      <c r="AV104" s="13">
        <v>1.0</v>
      </c>
      <c r="AW104" s="13" t="s">
        <v>30</v>
      </c>
      <c r="AX104" s="13" t="s">
        <v>30</v>
      </c>
      <c r="AY104" s="13" t="s">
        <v>30</v>
      </c>
      <c r="AZ104" s="13" t="s">
        <v>30</v>
      </c>
      <c r="BA104" s="13" t="s">
        <v>30</v>
      </c>
      <c r="BB104" s="13" t="s">
        <v>30</v>
      </c>
      <c r="BC104" s="13" t="s">
        <v>30</v>
      </c>
    </row>
    <row r="105">
      <c r="A105" s="13" t="s">
        <v>236</v>
      </c>
      <c r="B105" s="13"/>
      <c r="C105" s="13"/>
      <c r="D105" s="13" t="s">
        <v>237</v>
      </c>
      <c r="E105" s="13">
        <v>1.0</v>
      </c>
      <c r="F105" s="14">
        <v>5731.94</v>
      </c>
      <c r="G105" s="13" t="s">
        <v>29</v>
      </c>
      <c r="H105" s="13">
        <v>0.0</v>
      </c>
      <c r="I105" s="15"/>
      <c r="J105" s="6"/>
      <c r="K105" s="13">
        <v>0.0</v>
      </c>
      <c r="L105" s="17">
        <v>0.0</v>
      </c>
      <c r="M105" s="17">
        <v>0.0</v>
      </c>
      <c r="N105" s="17">
        <v>0.0</v>
      </c>
      <c r="O105" s="17">
        <v>0.0</v>
      </c>
      <c r="P105" s="17">
        <v>0.0</v>
      </c>
      <c r="Q105" s="17">
        <v>0.0</v>
      </c>
      <c r="R105" s="17">
        <v>0.0</v>
      </c>
      <c r="S105" s="17">
        <v>0.0</v>
      </c>
      <c r="T105" s="17">
        <v>0.0</v>
      </c>
      <c r="U105" s="17">
        <v>0.0</v>
      </c>
      <c r="V105" s="17">
        <v>0.0</v>
      </c>
      <c r="W105" s="17">
        <v>0.0</v>
      </c>
      <c r="X105" s="17">
        <v>0.0</v>
      </c>
      <c r="Y105" s="6"/>
      <c r="Z105" s="13"/>
      <c r="AA105" s="13"/>
      <c r="AB105" s="13"/>
      <c r="AC105" s="13"/>
      <c r="AD105" s="13"/>
      <c r="AE105" s="13"/>
      <c r="AF105" s="13"/>
      <c r="AG105" s="13" t="s">
        <v>30</v>
      </c>
      <c r="AH105" s="13" t="s">
        <v>30</v>
      </c>
      <c r="AI105" s="13" t="s">
        <v>30</v>
      </c>
      <c r="AJ105" s="13" t="s">
        <v>30</v>
      </c>
      <c r="AK105" s="13" t="s">
        <v>30</v>
      </c>
      <c r="AL105" s="13" t="s">
        <v>30</v>
      </c>
      <c r="AM105" s="13" t="s">
        <v>30</v>
      </c>
      <c r="AN105" s="6"/>
      <c r="AO105" s="13">
        <v>0.0</v>
      </c>
      <c r="AP105" s="13"/>
      <c r="AQ105" s="13"/>
      <c r="AR105" s="13"/>
      <c r="AS105" s="13"/>
      <c r="AT105" s="13"/>
      <c r="AU105" s="13"/>
      <c r="AV105" s="13"/>
      <c r="AW105" s="13" t="s">
        <v>30</v>
      </c>
      <c r="AX105" s="13" t="s">
        <v>30</v>
      </c>
      <c r="AY105" s="13" t="s">
        <v>30</v>
      </c>
      <c r="AZ105" s="13" t="s">
        <v>30</v>
      </c>
      <c r="BA105" s="13" t="s">
        <v>30</v>
      </c>
      <c r="BB105" s="13" t="s">
        <v>30</v>
      </c>
      <c r="BC105" s="13" t="s">
        <v>30</v>
      </c>
    </row>
    <row r="106">
      <c r="A106" s="13" t="s">
        <v>238</v>
      </c>
      <c r="B106" s="13"/>
      <c r="C106" s="13"/>
      <c r="D106" s="13" t="s">
        <v>239</v>
      </c>
      <c r="E106" s="13">
        <v>1.0</v>
      </c>
      <c r="F106" s="14">
        <v>2962.72</v>
      </c>
      <c r="G106" s="13" t="s">
        <v>29</v>
      </c>
      <c r="H106" s="13">
        <v>4.0</v>
      </c>
      <c r="I106" s="15"/>
      <c r="J106" s="6"/>
      <c r="K106" s="13">
        <v>2.0</v>
      </c>
      <c r="L106" s="17">
        <v>0.0</v>
      </c>
      <c r="M106" s="17">
        <v>0.0</v>
      </c>
      <c r="N106" s="17">
        <v>0.0</v>
      </c>
      <c r="O106" s="17">
        <v>0.0</v>
      </c>
      <c r="P106" s="17">
        <v>0.0</v>
      </c>
      <c r="Q106" s="17">
        <v>0.0</v>
      </c>
      <c r="R106" s="17">
        <v>0.0</v>
      </c>
      <c r="S106" s="17">
        <v>0.0</v>
      </c>
      <c r="T106" s="17">
        <v>0.0</v>
      </c>
      <c r="U106" s="17">
        <v>0.0</v>
      </c>
      <c r="V106" s="17">
        <v>0.0</v>
      </c>
      <c r="W106" s="16">
        <v>2.0</v>
      </c>
      <c r="X106" s="17">
        <v>0.0</v>
      </c>
      <c r="Y106" s="6"/>
      <c r="Z106" s="13"/>
      <c r="AA106" s="13">
        <v>1.0</v>
      </c>
      <c r="AB106" s="13">
        <v>1.0</v>
      </c>
      <c r="AC106" s="13">
        <v>1.0</v>
      </c>
      <c r="AD106" s="13"/>
      <c r="AE106" s="13">
        <v>1.0</v>
      </c>
      <c r="AF106" s="13"/>
      <c r="AG106" s="13" t="s">
        <v>30</v>
      </c>
      <c r="AH106" s="13" t="s">
        <v>30</v>
      </c>
      <c r="AI106" s="13" t="s">
        <v>30</v>
      </c>
      <c r="AJ106" s="13" t="s">
        <v>30</v>
      </c>
      <c r="AK106" s="13" t="s">
        <v>30</v>
      </c>
      <c r="AL106" s="13" t="s">
        <v>30</v>
      </c>
      <c r="AM106" s="13" t="s">
        <v>30</v>
      </c>
      <c r="AN106" s="6"/>
      <c r="AO106" s="13">
        <v>4.0</v>
      </c>
      <c r="AP106" s="13"/>
      <c r="AQ106" s="13">
        <v>1.0</v>
      </c>
      <c r="AR106" s="13">
        <v>1.0</v>
      </c>
      <c r="AS106" s="13">
        <v>1.0</v>
      </c>
      <c r="AT106" s="13"/>
      <c r="AU106" s="13">
        <v>1.0</v>
      </c>
      <c r="AV106" s="13"/>
      <c r="AW106" s="13" t="s">
        <v>30</v>
      </c>
      <c r="AX106" s="13" t="s">
        <v>30</v>
      </c>
      <c r="AY106" s="13" t="s">
        <v>30</v>
      </c>
      <c r="AZ106" s="13" t="s">
        <v>30</v>
      </c>
      <c r="BA106" s="13" t="s">
        <v>30</v>
      </c>
      <c r="BB106" s="13" t="s">
        <v>30</v>
      </c>
      <c r="BC106" s="13" t="s">
        <v>30</v>
      </c>
    </row>
    <row r="107">
      <c r="A107" s="13" t="s">
        <v>240</v>
      </c>
      <c r="B107" s="13"/>
      <c r="C107" s="13" t="s">
        <v>48</v>
      </c>
      <c r="D107" s="13" t="s">
        <v>241</v>
      </c>
      <c r="E107" s="13">
        <v>1.0</v>
      </c>
      <c r="F107" s="14">
        <v>194.0</v>
      </c>
      <c r="G107" s="13" t="s">
        <v>29</v>
      </c>
      <c r="H107" s="13">
        <v>3.0</v>
      </c>
      <c r="I107" s="15"/>
      <c r="J107" s="6"/>
      <c r="K107" s="13">
        <v>3.0</v>
      </c>
      <c r="L107" s="17">
        <v>0.0</v>
      </c>
      <c r="M107" s="17">
        <v>0.0</v>
      </c>
      <c r="N107" s="17">
        <v>0.0</v>
      </c>
      <c r="O107" s="17">
        <v>0.0</v>
      </c>
      <c r="P107" s="17">
        <v>0.0</v>
      </c>
      <c r="Q107" s="17">
        <v>0.0</v>
      </c>
      <c r="R107" s="17">
        <v>0.0</v>
      </c>
      <c r="S107" s="17">
        <v>0.0</v>
      </c>
      <c r="T107" s="17">
        <v>0.0</v>
      </c>
      <c r="U107" s="17">
        <v>0.0</v>
      </c>
      <c r="V107" s="17">
        <v>0.0</v>
      </c>
      <c r="W107" s="17">
        <v>0.0</v>
      </c>
      <c r="X107" s="17">
        <v>0.0</v>
      </c>
      <c r="Y107" s="6"/>
      <c r="Z107" s="13"/>
      <c r="AA107" s="13">
        <v>1.0</v>
      </c>
      <c r="AB107" s="13">
        <v>1.0</v>
      </c>
      <c r="AC107" s="13"/>
      <c r="AD107" s="13"/>
      <c r="AE107" s="13">
        <v>1.0</v>
      </c>
      <c r="AF107" s="13"/>
      <c r="AG107" s="13" t="s">
        <v>30</v>
      </c>
      <c r="AH107" s="13" t="s">
        <v>30</v>
      </c>
      <c r="AI107" s="13" t="s">
        <v>30</v>
      </c>
      <c r="AJ107" s="13" t="s">
        <v>30</v>
      </c>
      <c r="AK107" s="13" t="s">
        <v>30</v>
      </c>
      <c r="AL107" s="13" t="s">
        <v>30</v>
      </c>
      <c r="AM107" s="13" t="s">
        <v>30</v>
      </c>
      <c r="AN107" s="6"/>
      <c r="AO107" s="13">
        <v>4.0</v>
      </c>
      <c r="AP107" s="13"/>
      <c r="AQ107" s="13">
        <v>1.0</v>
      </c>
      <c r="AR107" s="13">
        <v>1.0</v>
      </c>
      <c r="AS107" s="13">
        <v>1.0</v>
      </c>
      <c r="AT107" s="13"/>
      <c r="AU107" s="13">
        <v>1.0</v>
      </c>
      <c r="AV107" s="13"/>
      <c r="AW107" s="13" t="s">
        <v>30</v>
      </c>
      <c r="AX107" s="13" t="s">
        <v>30</v>
      </c>
      <c r="AY107" s="13" t="s">
        <v>30</v>
      </c>
      <c r="AZ107" s="13" t="s">
        <v>30</v>
      </c>
      <c r="BA107" s="13" t="s">
        <v>30</v>
      </c>
      <c r="BB107" s="13" t="s">
        <v>30</v>
      </c>
      <c r="BC107" s="13" t="s">
        <v>30</v>
      </c>
    </row>
    <row r="108">
      <c r="A108" s="13" t="s">
        <v>242</v>
      </c>
      <c r="B108" s="13"/>
      <c r="C108" s="13">
        <v>30467.0</v>
      </c>
      <c r="D108" s="13" t="s">
        <v>243</v>
      </c>
      <c r="E108" s="13">
        <v>1.0</v>
      </c>
      <c r="F108" s="14">
        <v>572.6</v>
      </c>
      <c r="G108" s="13" t="s">
        <v>29</v>
      </c>
      <c r="H108" s="13">
        <v>2.0</v>
      </c>
      <c r="I108" s="15"/>
      <c r="J108" s="6"/>
      <c r="K108" s="13">
        <v>2.0</v>
      </c>
      <c r="L108" s="17">
        <v>0.0</v>
      </c>
      <c r="M108" s="17">
        <v>0.0</v>
      </c>
      <c r="N108" s="17">
        <v>0.0</v>
      </c>
      <c r="O108" s="17">
        <v>0.0</v>
      </c>
      <c r="P108" s="17">
        <v>0.0</v>
      </c>
      <c r="Q108" s="17">
        <v>0.0</v>
      </c>
      <c r="R108" s="17">
        <v>0.0</v>
      </c>
      <c r="S108" s="17">
        <v>0.0</v>
      </c>
      <c r="T108" s="17">
        <v>0.0</v>
      </c>
      <c r="U108" s="17">
        <v>0.0</v>
      </c>
      <c r="V108" s="17">
        <v>0.0</v>
      </c>
      <c r="W108" s="17">
        <v>0.0</v>
      </c>
      <c r="X108" s="17">
        <v>0.0</v>
      </c>
      <c r="Y108" s="6"/>
      <c r="Z108" s="13"/>
      <c r="AA108" s="13"/>
      <c r="AB108" s="13"/>
      <c r="AC108" s="13"/>
      <c r="AD108" s="13">
        <v>1.0</v>
      </c>
      <c r="AE108" s="13"/>
      <c r="AF108" s="13">
        <v>1.0</v>
      </c>
      <c r="AG108" s="13" t="s">
        <v>30</v>
      </c>
      <c r="AH108" s="13" t="s">
        <v>30</v>
      </c>
      <c r="AI108" s="13" t="s">
        <v>30</v>
      </c>
      <c r="AJ108" s="13" t="s">
        <v>30</v>
      </c>
      <c r="AK108" s="13" t="s">
        <v>30</v>
      </c>
      <c r="AL108" s="13" t="s">
        <v>30</v>
      </c>
      <c r="AM108" s="13" t="s">
        <v>30</v>
      </c>
      <c r="AN108" s="6"/>
      <c r="AO108" s="13">
        <v>6.0</v>
      </c>
      <c r="AP108" s="13"/>
      <c r="AQ108" s="13">
        <v>1.0</v>
      </c>
      <c r="AR108" s="13">
        <v>1.0</v>
      </c>
      <c r="AS108" s="13">
        <v>1.0</v>
      </c>
      <c r="AT108" s="13">
        <v>1.0</v>
      </c>
      <c r="AU108" s="13">
        <v>1.0</v>
      </c>
      <c r="AV108" s="13">
        <v>1.0</v>
      </c>
      <c r="AW108" s="13" t="s">
        <v>30</v>
      </c>
      <c r="AX108" s="13" t="s">
        <v>30</v>
      </c>
      <c r="AY108" s="13" t="s">
        <v>30</v>
      </c>
      <c r="AZ108" s="13" t="s">
        <v>30</v>
      </c>
      <c r="BA108" s="13" t="s">
        <v>30</v>
      </c>
      <c r="BB108" s="13" t="s">
        <v>30</v>
      </c>
      <c r="BC108" s="13" t="s">
        <v>30</v>
      </c>
    </row>
    <row r="109">
      <c r="A109" s="13" t="s">
        <v>244</v>
      </c>
      <c r="B109" s="13"/>
      <c r="C109" s="13">
        <v>30467.0</v>
      </c>
      <c r="D109" s="13" t="s">
        <v>245</v>
      </c>
      <c r="E109" s="13">
        <v>1.0</v>
      </c>
      <c r="F109" s="14">
        <v>516.0</v>
      </c>
      <c r="G109" s="13" t="s">
        <v>29</v>
      </c>
      <c r="H109" s="13">
        <v>4.0</v>
      </c>
      <c r="I109" s="15"/>
      <c r="J109" s="6"/>
      <c r="K109" s="13">
        <v>4.0</v>
      </c>
      <c r="L109" s="16">
        <v>0.0</v>
      </c>
      <c r="M109" s="16">
        <v>0.0</v>
      </c>
      <c r="N109" s="16">
        <v>0.0</v>
      </c>
      <c r="O109" s="16">
        <v>0.0</v>
      </c>
      <c r="P109" s="16">
        <v>0.0</v>
      </c>
      <c r="Q109" s="16">
        <v>0.0</v>
      </c>
      <c r="R109" s="16">
        <v>0.0</v>
      </c>
      <c r="S109" s="16">
        <v>0.0</v>
      </c>
      <c r="T109" s="16">
        <v>0.0</v>
      </c>
      <c r="U109" s="16">
        <v>0.0</v>
      </c>
      <c r="V109" s="16">
        <v>0.0</v>
      </c>
      <c r="W109" s="16">
        <v>0.0</v>
      </c>
      <c r="X109" s="16">
        <v>0.0</v>
      </c>
      <c r="Y109" s="6"/>
      <c r="Z109" s="13"/>
      <c r="AA109" s="13">
        <v>1.0</v>
      </c>
      <c r="AB109" s="13"/>
      <c r="AC109" s="13"/>
      <c r="AD109" s="13">
        <v>1.0</v>
      </c>
      <c r="AE109" s="13">
        <v>1.0</v>
      </c>
      <c r="AF109" s="13">
        <v>1.0</v>
      </c>
      <c r="AG109" s="13" t="s">
        <v>30</v>
      </c>
      <c r="AH109" s="13" t="s">
        <v>30</v>
      </c>
      <c r="AI109" s="13" t="s">
        <v>30</v>
      </c>
      <c r="AJ109" s="13" t="s">
        <v>30</v>
      </c>
      <c r="AK109" s="13" t="s">
        <v>30</v>
      </c>
      <c r="AL109" s="13" t="s">
        <v>30</v>
      </c>
      <c r="AM109" s="13" t="s">
        <v>30</v>
      </c>
      <c r="AN109" s="6"/>
      <c r="AO109" s="13">
        <v>6.0</v>
      </c>
      <c r="AP109" s="13"/>
      <c r="AQ109" s="13">
        <v>1.0</v>
      </c>
      <c r="AR109" s="13">
        <v>1.0</v>
      </c>
      <c r="AS109" s="13">
        <v>1.0</v>
      </c>
      <c r="AT109" s="13">
        <v>1.0</v>
      </c>
      <c r="AU109" s="13">
        <v>1.0</v>
      </c>
      <c r="AV109" s="13">
        <v>1.0</v>
      </c>
      <c r="AW109" s="13" t="s">
        <v>30</v>
      </c>
      <c r="AX109" s="13" t="s">
        <v>30</v>
      </c>
      <c r="AY109" s="13" t="s">
        <v>30</v>
      </c>
      <c r="AZ109" s="13" t="s">
        <v>30</v>
      </c>
      <c r="BA109" s="13" t="s">
        <v>30</v>
      </c>
      <c r="BB109" s="13" t="s">
        <v>30</v>
      </c>
      <c r="BC109" s="13" t="s">
        <v>30</v>
      </c>
    </row>
    <row r="110">
      <c r="A110" s="13" t="s">
        <v>246</v>
      </c>
      <c r="B110" s="13"/>
      <c r="C110" s="13"/>
      <c r="D110" s="13" t="s">
        <v>247</v>
      </c>
      <c r="E110" s="13">
        <v>1.0</v>
      </c>
      <c r="F110" s="14">
        <v>1248.85</v>
      </c>
      <c r="G110" s="13" t="s">
        <v>29</v>
      </c>
      <c r="H110" s="13">
        <v>5.0</v>
      </c>
      <c r="I110" s="15"/>
      <c r="J110" s="6"/>
      <c r="K110" s="13">
        <v>5.0</v>
      </c>
      <c r="L110" s="16">
        <v>0.0</v>
      </c>
      <c r="M110" s="16">
        <v>0.0</v>
      </c>
      <c r="N110" s="16">
        <v>0.0</v>
      </c>
      <c r="O110" s="16">
        <v>0.0</v>
      </c>
      <c r="P110" s="16">
        <v>0.0</v>
      </c>
      <c r="Q110" s="16">
        <v>0.0</v>
      </c>
      <c r="R110" s="16">
        <v>0.0</v>
      </c>
      <c r="S110" s="16">
        <v>0.0</v>
      </c>
      <c r="T110" s="16">
        <v>0.0</v>
      </c>
      <c r="U110" s="16">
        <v>0.0</v>
      </c>
      <c r="V110" s="16">
        <v>0.0</v>
      </c>
      <c r="W110" s="16">
        <v>0.0</v>
      </c>
      <c r="X110" s="16">
        <v>0.0</v>
      </c>
      <c r="Y110" s="6"/>
      <c r="Z110" s="13"/>
      <c r="AA110" s="13">
        <v>1.0</v>
      </c>
      <c r="AB110" s="13">
        <v>1.0</v>
      </c>
      <c r="AC110" s="13"/>
      <c r="AD110" s="13">
        <v>1.0</v>
      </c>
      <c r="AE110" s="13">
        <v>1.0</v>
      </c>
      <c r="AF110" s="13">
        <v>1.0</v>
      </c>
      <c r="AG110" s="13" t="s">
        <v>30</v>
      </c>
      <c r="AH110" s="13" t="s">
        <v>30</v>
      </c>
      <c r="AI110" s="13" t="s">
        <v>30</v>
      </c>
      <c r="AJ110" s="13" t="s">
        <v>30</v>
      </c>
      <c r="AK110" s="13" t="s">
        <v>30</v>
      </c>
      <c r="AL110" s="13" t="s">
        <v>30</v>
      </c>
      <c r="AM110" s="13" t="s">
        <v>30</v>
      </c>
      <c r="AN110" s="6"/>
      <c r="AO110" s="13">
        <v>5.0</v>
      </c>
      <c r="AP110" s="13"/>
      <c r="AQ110" s="13">
        <v>1.0</v>
      </c>
      <c r="AR110" s="13">
        <v>1.0</v>
      </c>
      <c r="AS110" s="13"/>
      <c r="AT110" s="13">
        <v>1.0</v>
      </c>
      <c r="AU110" s="13">
        <v>1.0</v>
      </c>
      <c r="AV110" s="13">
        <v>1.0</v>
      </c>
      <c r="AW110" s="13" t="s">
        <v>30</v>
      </c>
      <c r="AX110" s="13" t="s">
        <v>30</v>
      </c>
      <c r="AY110" s="13" t="s">
        <v>30</v>
      </c>
      <c r="AZ110" s="13" t="s">
        <v>30</v>
      </c>
      <c r="BA110" s="13" t="s">
        <v>30</v>
      </c>
      <c r="BB110" s="13" t="s">
        <v>30</v>
      </c>
      <c r="BC110" s="13" t="s">
        <v>30</v>
      </c>
    </row>
    <row r="111">
      <c r="A111" s="13" t="s">
        <v>248</v>
      </c>
      <c r="B111" s="13"/>
      <c r="C111" s="13"/>
      <c r="D111" s="13" t="s">
        <v>249</v>
      </c>
      <c r="E111" s="13">
        <v>1.0</v>
      </c>
      <c r="F111" s="14">
        <v>4826.46</v>
      </c>
      <c r="G111" s="13" t="s">
        <v>29</v>
      </c>
      <c r="H111" s="13">
        <v>4.0</v>
      </c>
      <c r="I111" s="15"/>
      <c r="J111" s="6"/>
      <c r="K111" s="13">
        <v>4.0</v>
      </c>
      <c r="L111" s="16">
        <v>0.0</v>
      </c>
      <c r="M111" s="16">
        <v>0.0</v>
      </c>
      <c r="N111" s="16">
        <v>0.0</v>
      </c>
      <c r="O111" s="16">
        <v>0.0</v>
      </c>
      <c r="P111" s="16">
        <v>0.0</v>
      </c>
      <c r="Q111" s="16">
        <v>0.0</v>
      </c>
      <c r="R111" s="16">
        <v>0.0</v>
      </c>
      <c r="S111" s="16">
        <v>0.0</v>
      </c>
      <c r="T111" s="16">
        <v>0.0</v>
      </c>
      <c r="U111" s="16">
        <v>0.0</v>
      </c>
      <c r="V111" s="16">
        <v>0.0</v>
      </c>
      <c r="W111" s="16">
        <v>0.0</v>
      </c>
      <c r="X111" s="16">
        <v>0.0</v>
      </c>
      <c r="Y111" s="6"/>
      <c r="Z111" s="13"/>
      <c r="AA111" s="13">
        <v>1.0</v>
      </c>
      <c r="AB111" s="13"/>
      <c r="AC111" s="13"/>
      <c r="AD111" s="13">
        <v>1.0</v>
      </c>
      <c r="AE111" s="13">
        <v>1.0</v>
      </c>
      <c r="AF111" s="13">
        <v>1.0</v>
      </c>
      <c r="AG111" s="13" t="s">
        <v>30</v>
      </c>
      <c r="AH111" s="13" t="s">
        <v>30</v>
      </c>
      <c r="AI111" s="13" t="s">
        <v>30</v>
      </c>
      <c r="AJ111" s="13" t="s">
        <v>30</v>
      </c>
      <c r="AK111" s="13" t="s">
        <v>30</v>
      </c>
      <c r="AL111" s="13" t="s">
        <v>30</v>
      </c>
      <c r="AM111" s="13" t="s">
        <v>30</v>
      </c>
      <c r="AN111" s="6"/>
      <c r="AO111" s="13">
        <v>4.0</v>
      </c>
      <c r="AP111" s="13"/>
      <c r="AQ111" s="13">
        <v>1.0</v>
      </c>
      <c r="AR111" s="13"/>
      <c r="AS111" s="13"/>
      <c r="AT111" s="13">
        <v>1.0</v>
      </c>
      <c r="AU111" s="13">
        <v>1.0</v>
      </c>
      <c r="AV111" s="13">
        <v>1.0</v>
      </c>
      <c r="AW111" s="13" t="s">
        <v>30</v>
      </c>
      <c r="AX111" s="13" t="s">
        <v>30</v>
      </c>
      <c r="AY111" s="13" t="s">
        <v>30</v>
      </c>
      <c r="AZ111" s="13" t="s">
        <v>30</v>
      </c>
      <c r="BA111" s="13" t="s">
        <v>30</v>
      </c>
      <c r="BB111" s="13" t="s">
        <v>30</v>
      </c>
      <c r="BC111" s="13" t="s">
        <v>30</v>
      </c>
    </row>
    <row r="112">
      <c r="A112" s="13">
        <v>3029051.0</v>
      </c>
      <c r="B112" s="13"/>
      <c r="C112" s="13"/>
      <c r="D112" s="13" t="s">
        <v>250</v>
      </c>
      <c r="E112" s="13">
        <v>1.0</v>
      </c>
      <c r="F112" s="14">
        <v>51604.0</v>
      </c>
      <c r="G112" s="13" t="s">
        <v>29</v>
      </c>
      <c r="H112" s="13">
        <v>4.0</v>
      </c>
      <c r="I112" s="15"/>
      <c r="J112" s="6"/>
      <c r="K112" s="13">
        <v>4.0</v>
      </c>
      <c r="L112" s="16">
        <v>0.0</v>
      </c>
      <c r="M112" s="16">
        <v>0.0</v>
      </c>
      <c r="N112" s="16">
        <v>0.0</v>
      </c>
      <c r="O112" s="16">
        <v>0.0</v>
      </c>
      <c r="P112" s="16">
        <v>0.0</v>
      </c>
      <c r="Q112" s="16">
        <v>0.0</v>
      </c>
      <c r="R112" s="16">
        <v>0.0</v>
      </c>
      <c r="S112" s="16">
        <v>0.0</v>
      </c>
      <c r="T112" s="16">
        <v>0.0</v>
      </c>
      <c r="U112" s="16">
        <v>0.0</v>
      </c>
      <c r="V112" s="16">
        <v>0.0</v>
      </c>
      <c r="W112" s="16">
        <v>0.0</v>
      </c>
      <c r="X112" s="16">
        <v>0.0</v>
      </c>
      <c r="Y112" s="6"/>
      <c r="Z112" s="13"/>
      <c r="AA112" s="13">
        <v>1.0</v>
      </c>
      <c r="AB112" s="13"/>
      <c r="AC112" s="13"/>
      <c r="AD112" s="13">
        <v>1.0</v>
      </c>
      <c r="AE112" s="13">
        <v>1.0</v>
      </c>
      <c r="AF112" s="13">
        <v>1.0</v>
      </c>
      <c r="AG112" s="13" t="s">
        <v>30</v>
      </c>
      <c r="AH112" s="13" t="s">
        <v>30</v>
      </c>
      <c r="AI112" s="13" t="s">
        <v>30</v>
      </c>
      <c r="AJ112" s="13" t="s">
        <v>30</v>
      </c>
      <c r="AK112" s="13" t="s">
        <v>30</v>
      </c>
      <c r="AL112" s="13" t="s">
        <v>30</v>
      </c>
      <c r="AM112" s="13" t="s">
        <v>30</v>
      </c>
      <c r="AN112" s="6"/>
      <c r="AO112" s="13">
        <v>4.0</v>
      </c>
      <c r="AP112" s="13"/>
      <c r="AQ112" s="13">
        <v>1.0</v>
      </c>
      <c r="AR112" s="13"/>
      <c r="AS112" s="13"/>
      <c r="AT112" s="13">
        <v>1.0</v>
      </c>
      <c r="AU112" s="13">
        <v>1.0</v>
      </c>
      <c r="AV112" s="13">
        <v>1.0</v>
      </c>
      <c r="AW112" s="13" t="s">
        <v>30</v>
      </c>
      <c r="AX112" s="13" t="s">
        <v>30</v>
      </c>
      <c r="AY112" s="13" t="s">
        <v>30</v>
      </c>
      <c r="AZ112" s="13" t="s">
        <v>30</v>
      </c>
      <c r="BA112" s="13" t="s">
        <v>30</v>
      </c>
      <c r="BB112" s="13" t="s">
        <v>30</v>
      </c>
      <c r="BC112" s="13" t="s">
        <v>30</v>
      </c>
    </row>
    <row r="113">
      <c r="A113" s="13" t="s">
        <v>251</v>
      </c>
      <c r="B113" s="13"/>
      <c r="C113" s="13">
        <v>59742.0</v>
      </c>
      <c r="D113" s="13" t="s">
        <v>252</v>
      </c>
      <c r="E113" s="13">
        <v>1.0</v>
      </c>
      <c r="F113" s="14">
        <v>560.0</v>
      </c>
      <c r="G113" s="13" t="s">
        <v>29</v>
      </c>
      <c r="H113" s="13">
        <v>1.0</v>
      </c>
      <c r="I113" s="15"/>
      <c r="J113" s="6"/>
      <c r="K113" s="13">
        <v>1.0</v>
      </c>
      <c r="L113" s="16">
        <v>0.0</v>
      </c>
      <c r="M113" s="16">
        <v>0.0</v>
      </c>
      <c r="N113" s="16">
        <v>0.0</v>
      </c>
      <c r="O113" s="16">
        <v>0.0</v>
      </c>
      <c r="P113" s="16">
        <v>0.0</v>
      </c>
      <c r="Q113" s="16">
        <v>0.0</v>
      </c>
      <c r="R113" s="16">
        <v>0.0</v>
      </c>
      <c r="S113" s="16">
        <v>0.0</v>
      </c>
      <c r="T113" s="16">
        <v>0.0</v>
      </c>
      <c r="U113" s="16">
        <v>0.0</v>
      </c>
      <c r="V113" s="16">
        <v>0.0</v>
      </c>
      <c r="W113" s="16">
        <v>0.0</v>
      </c>
      <c r="X113" s="16">
        <v>0.0</v>
      </c>
      <c r="Y113" s="6"/>
      <c r="Z113" s="13"/>
      <c r="AA113" s="13"/>
      <c r="AB113" s="13"/>
      <c r="AC113" s="13"/>
      <c r="AD113" s="13"/>
      <c r="AE113" s="13">
        <v>1.0</v>
      </c>
      <c r="AF113" s="13"/>
      <c r="AG113" s="13" t="s">
        <v>30</v>
      </c>
      <c r="AH113" s="13" t="s">
        <v>30</v>
      </c>
      <c r="AI113" s="13" t="s">
        <v>30</v>
      </c>
      <c r="AJ113" s="13" t="s">
        <v>30</v>
      </c>
      <c r="AK113" s="13" t="s">
        <v>30</v>
      </c>
      <c r="AL113" s="13" t="s">
        <v>30</v>
      </c>
      <c r="AM113" s="13" t="s">
        <v>30</v>
      </c>
      <c r="AN113" s="6"/>
      <c r="AO113" s="13">
        <v>6.0</v>
      </c>
      <c r="AP113" s="13">
        <v>1.0</v>
      </c>
      <c r="AQ113" s="13">
        <v>1.0</v>
      </c>
      <c r="AR113" s="13">
        <v>1.0</v>
      </c>
      <c r="AS113" s="13">
        <v>1.0</v>
      </c>
      <c r="AT113" s="13">
        <v>1.0</v>
      </c>
      <c r="AU113" s="13">
        <v>1.0</v>
      </c>
      <c r="AV113" s="13"/>
      <c r="AW113" s="13" t="s">
        <v>30</v>
      </c>
      <c r="AX113" s="13" t="s">
        <v>30</v>
      </c>
      <c r="AY113" s="13" t="s">
        <v>30</v>
      </c>
      <c r="AZ113" s="13" t="s">
        <v>30</v>
      </c>
      <c r="BA113" s="13" t="s">
        <v>30</v>
      </c>
      <c r="BB113" s="13" t="s">
        <v>30</v>
      </c>
      <c r="BC113" s="13" t="s">
        <v>30</v>
      </c>
    </row>
    <row r="114">
      <c r="A114" s="13" t="s">
        <v>253</v>
      </c>
      <c r="B114" s="13"/>
      <c r="C114" s="13"/>
      <c r="D114" s="13" t="s">
        <v>254</v>
      </c>
      <c r="E114" s="13">
        <v>1.0</v>
      </c>
      <c r="F114" s="14">
        <v>2567.3</v>
      </c>
      <c r="G114" s="13" t="s">
        <v>29</v>
      </c>
      <c r="H114" s="13">
        <v>2.0</v>
      </c>
      <c r="I114" s="15"/>
      <c r="J114" s="6"/>
      <c r="K114" s="13">
        <v>2.0</v>
      </c>
      <c r="L114" s="16">
        <v>0.0</v>
      </c>
      <c r="M114" s="16">
        <v>0.0</v>
      </c>
      <c r="N114" s="16">
        <v>0.0</v>
      </c>
      <c r="O114" s="16">
        <v>0.0</v>
      </c>
      <c r="P114" s="16">
        <v>0.0</v>
      </c>
      <c r="Q114" s="16">
        <v>0.0</v>
      </c>
      <c r="R114" s="16">
        <v>0.0</v>
      </c>
      <c r="S114" s="16">
        <v>0.0</v>
      </c>
      <c r="T114" s="16">
        <v>0.0</v>
      </c>
      <c r="U114" s="16">
        <v>0.0</v>
      </c>
      <c r="V114" s="16">
        <v>0.0</v>
      </c>
      <c r="W114" s="16">
        <v>0.0</v>
      </c>
      <c r="X114" s="16">
        <v>0.0</v>
      </c>
      <c r="Y114" s="6"/>
      <c r="Z114" s="13"/>
      <c r="AA114" s="13"/>
      <c r="AB114" s="13"/>
      <c r="AC114" s="13"/>
      <c r="AD114" s="13">
        <v>1.0</v>
      </c>
      <c r="AE114" s="13"/>
      <c r="AF114" s="13">
        <v>1.0</v>
      </c>
      <c r="AG114" s="13" t="s">
        <v>30</v>
      </c>
      <c r="AH114" s="13" t="s">
        <v>30</v>
      </c>
      <c r="AI114" s="13" t="s">
        <v>30</v>
      </c>
      <c r="AJ114" s="13" t="s">
        <v>30</v>
      </c>
      <c r="AK114" s="13" t="s">
        <v>30</v>
      </c>
      <c r="AL114" s="13" t="s">
        <v>30</v>
      </c>
      <c r="AM114" s="13" t="s">
        <v>30</v>
      </c>
      <c r="AN114" s="6"/>
      <c r="AO114" s="13">
        <v>2.0</v>
      </c>
      <c r="AP114" s="13"/>
      <c r="AQ114" s="13"/>
      <c r="AR114" s="13"/>
      <c r="AS114" s="13"/>
      <c r="AT114" s="13">
        <v>1.0</v>
      </c>
      <c r="AU114" s="13"/>
      <c r="AV114" s="13">
        <v>1.0</v>
      </c>
      <c r="AW114" s="13" t="s">
        <v>30</v>
      </c>
      <c r="AX114" s="13" t="s">
        <v>30</v>
      </c>
      <c r="AY114" s="13" t="s">
        <v>30</v>
      </c>
      <c r="AZ114" s="13" t="s">
        <v>30</v>
      </c>
      <c r="BA114" s="13" t="s">
        <v>30</v>
      </c>
      <c r="BB114" s="13" t="s">
        <v>30</v>
      </c>
      <c r="BC114" s="13" t="s">
        <v>30</v>
      </c>
    </row>
    <row r="115">
      <c r="A115" s="13">
        <v>25536.0</v>
      </c>
      <c r="B115" s="13"/>
      <c r="C115" s="13"/>
      <c r="D115" s="13" t="s">
        <v>255</v>
      </c>
      <c r="E115" s="13">
        <v>12.0</v>
      </c>
      <c r="F115" s="14">
        <v>2750.67</v>
      </c>
      <c r="G115" s="13" t="s">
        <v>29</v>
      </c>
      <c r="H115" s="13">
        <v>14.0</v>
      </c>
      <c r="I115" s="15"/>
      <c r="J115" s="6"/>
      <c r="K115" s="13">
        <v>13.0</v>
      </c>
      <c r="L115" s="16">
        <v>0.0</v>
      </c>
      <c r="M115" s="16">
        <v>0.0</v>
      </c>
      <c r="N115" s="16">
        <v>0.0</v>
      </c>
      <c r="O115" s="16">
        <v>0.0</v>
      </c>
      <c r="P115" s="16">
        <v>1.0</v>
      </c>
      <c r="Q115" s="16">
        <v>0.0</v>
      </c>
      <c r="R115" s="16">
        <v>0.0</v>
      </c>
      <c r="S115" s="16">
        <v>0.0</v>
      </c>
      <c r="T115" s="16">
        <v>0.0</v>
      </c>
      <c r="U115" s="16">
        <v>0.0</v>
      </c>
      <c r="V115" s="16">
        <v>0.0</v>
      </c>
      <c r="W115" s="16">
        <v>0.0</v>
      </c>
      <c r="X115" s="16">
        <v>0.0</v>
      </c>
      <c r="Y115" s="6"/>
      <c r="Z115" s="13">
        <v>2.0</v>
      </c>
      <c r="AA115" s="13">
        <v>2.0</v>
      </c>
      <c r="AB115" s="13">
        <v>2.0</v>
      </c>
      <c r="AC115" s="13">
        <v>2.0</v>
      </c>
      <c r="AD115" s="13">
        <v>2.0</v>
      </c>
      <c r="AE115" s="13">
        <v>2.0</v>
      </c>
      <c r="AF115" s="13">
        <v>2.0</v>
      </c>
      <c r="AG115" s="13" t="s">
        <v>30</v>
      </c>
      <c r="AH115" s="13" t="s">
        <v>30</v>
      </c>
      <c r="AI115" s="13" t="s">
        <v>30</v>
      </c>
      <c r="AJ115" s="13" t="s">
        <v>30</v>
      </c>
      <c r="AK115" s="13" t="s">
        <v>30</v>
      </c>
      <c r="AL115" s="13" t="s">
        <v>30</v>
      </c>
      <c r="AM115" s="13" t="s">
        <v>30</v>
      </c>
      <c r="AN115" s="6"/>
      <c r="AO115" s="13">
        <v>14.0</v>
      </c>
      <c r="AP115" s="13">
        <v>2.0</v>
      </c>
      <c r="AQ115" s="13">
        <v>2.0</v>
      </c>
      <c r="AR115" s="13">
        <v>2.0</v>
      </c>
      <c r="AS115" s="13">
        <v>2.0</v>
      </c>
      <c r="AT115" s="13">
        <v>2.0</v>
      </c>
      <c r="AU115" s="13">
        <v>2.0</v>
      </c>
      <c r="AV115" s="13">
        <v>2.0</v>
      </c>
      <c r="AW115" s="13" t="s">
        <v>30</v>
      </c>
      <c r="AX115" s="13" t="s">
        <v>30</v>
      </c>
      <c r="AY115" s="13" t="s">
        <v>30</v>
      </c>
      <c r="AZ115" s="13" t="s">
        <v>30</v>
      </c>
      <c r="BA115" s="13" t="s">
        <v>30</v>
      </c>
      <c r="BB115" s="13" t="s">
        <v>30</v>
      </c>
      <c r="BC115" s="13" t="s">
        <v>30</v>
      </c>
    </row>
    <row r="116">
      <c r="A116" s="13" t="s">
        <v>256</v>
      </c>
      <c r="B116" s="13"/>
      <c r="C116" s="13"/>
      <c r="D116" s="13" t="s">
        <v>257</v>
      </c>
      <c r="E116" s="13">
        <v>1.0</v>
      </c>
      <c r="F116" s="14">
        <v>19210.43</v>
      </c>
      <c r="G116" s="13" t="s">
        <v>29</v>
      </c>
      <c r="H116" s="13">
        <v>5.0</v>
      </c>
      <c r="I116" s="15"/>
      <c r="J116" s="6"/>
      <c r="K116" s="13">
        <v>5.0</v>
      </c>
      <c r="L116" s="16">
        <v>0.0</v>
      </c>
      <c r="M116" s="16">
        <v>0.0</v>
      </c>
      <c r="N116" s="16">
        <v>0.0</v>
      </c>
      <c r="O116" s="16">
        <v>0.0</v>
      </c>
      <c r="P116" s="16">
        <v>0.0</v>
      </c>
      <c r="Q116" s="16">
        <v>0.0</v>
      </c>
      <c r="R116" s="16">
        <v>0.0</v>
      </c>
      <c r="S116" s="16">
        <v>0.0</v>
      </c>
      <c r="T116" s="16">
        <v>0.0</v>
      </c>
      <c r="U116" s="16">
        <v>0.0</v>
      </c>
      <c r="V116" s="16">
        <v>0.0</v>
      </c>
      <c r="W116" s="16">
        <v>0.0</v>
      </c>
      <c r="X116" s="16">
        <v>0.0</v>
      </c>
      <c r="Y116" s="6"/>
      <c r="Z116" s="13"/>
      <c r="AA116" s="13">
        <v>1.0</v>
      </c>
      <c r="AB116" s="13">
        <v>1.0</v>
      </c>
      <c r="AC116" s="13"/>
      <c r="AD116" s="13">
        <v>1.0</v>
      </c>
      <c r="AE116" s="13">
        <v>1.0</v>
      </c>
      <c r="AF116" s="13">
        <v>1.0</v>
      </c>
      <c r="AG116" s="13" t="s">
        <v>30</v>
      </c>
      <c r="AH116" s="13" t="s">
        <v>30</v>
      </c>
      <c r="AI116" s="13" t="s">
        <v>30</v>
      </c>
      <c r="AJ116" s="13" t="s">
        <v>30</v>
      </c>
      <c r="AK116" s="13" t="s">
        <v>30</v>
      </c>
      <c r="AL116" s="13" t="s">
        <v>30</v>
      </c>
      <c r="AM116" s="13" t="s">
        <v>30</v>
      </c>
      <c r="AN116" s="6"/>
      <c r="AO116" s="13">
        <v>5.0</v>
      </c>
      <c r="AP116" s="13"/>
      <c r="AQ116" s="13">
        <v>1.0</v>
      </c>
      <c r="AR116" s="13">
        <v>1.0</v>
      </c>
      <c r="AS116" s="13"/>
      <c r="AT116" s="13">
        <v>1.0</v>
      </c>
      <c r="AU116" s="13">
        <v>1.0</v>
      </c>
      <c r="AV116" s="13">
        <v>1.0</v>
      </c>
      <c r="AW116" s="13" t="s">
        <v>30</v>
      </c>
      <c r="AX116" s="13" t="s">
        <v>30</v>
      </c>
      <c r="AY116" s="13" t="s">
        <v>30</v>
      </c>
      <c r="AZ116" s="13" t="s">
        <v>30</v>
      </c>
      <c r="BA116" s="13" t="s">
        <v>30</v>
      </c>
      <c r="BB116" s="13" t="s">
        <v>30</v>
      </c>
      <c r="BC116" s="13" t="s">
        <v>30</v>
      </c>
    </row>
    <row r="117">
      <c r="A117" s="13" t="s">
        <v>258</v>
      </c>
      <c r="B117" s="13"/>
      <c r="C117" s="13"/>
      <c r="D117" s="13" t="s">
        <v>259</v>
      </c>
      <c r="E117" s="13">
        <v>1.0</v>
      </c>
      <c r="F117" s="14">
        <v>586.0</v>
      </c>
      <c r="G117" s="13" t="s">
        <v>29</v>
      </c>
      <c r="H117" s="13">
        <v>28.0</v>
      </c>
      <c r="I117" s="15"/>
      <c r="J117" s="6"/>
      <c r="K117" s="13">
        <v>26.0</v>
      </c>
      <c r="L117" s="16">
        <v>0.0</v>
      </c>
      <c r="M117" s="16">
        <v>0.0</v>
      </c>
      <c r="N117" s="16">
        <v>0.0</v>
      </c>
      <c r="O117" s="16">
        <v>0.0</v>
      </c>
      <c r="P117" s="16">
        <v>0.0</v>
      </c>
      <c r="Q117" s="16">
        <v>0.0</v>
      </c>
      <c r="R117" s="16">
        <v>1.0</v>
      </c>
      <c r="S117" s="16">
        <v>1.0</v>
      </c>
      <c r="T117" s="16">
        <v>0.0</v>
      </c>
      <c r="U117" s="16">
        <v>0.0</v>
      </c>
      <c r="V117" s="16">
        <v>0.0</v>
      </c>
      <c r="W117" s="16">
        <v>0.0</v>
      </c>
      <c r="X117" s="16">
        <v>0.0</v>
      </c>
      <c r="Y117" s="6"/>
      <c r="Z117" s="13" t="s">
        <v>30</v>
      </c>
      <c r="AA117" s="13">
        <v>3.0</v>
      </c>
      <c r="AB117" s="13" t="s">
        <v>30</v>
      </c>
      <c r="AC117" s="13" t="s">
        <v>30</v>
      </c>
      <c r="AD117" s="13">
        <v>17.0</v>
      </c>
      <c r="AE117" s="13" t="s">
        <v>30</v>
      </c>
      <c r="AF117" s="13">
        <v>8.0</v>
      </c>
      <c r="AG117" s="13" t="s">
        <v>30</v>
      </c>
      <c r="AH117" s="13" t="s">
        <v>30</v>
      </c>
      <c r="AI117" s="13" t="s">
        <v>30</v>
      </c>
      <c r="AJ117" s="13" t="s">
        <v>30</v>
      </c>
      <c r="AK117" s="13" t="s">
        <v>30</v>
      </c>
      <c r="AL117" s="13" t="s">
        <v>30</v>
      </c>
      <c r="AM117" s="13" t="s">
        <v>30</v>
      </c>
      <c r="AN117" s="6"/>
      <c r="AO117" s="13">
        <v>28.0</v>
      </c>
      <c r="AP117" s="13" t="s">
        <v>30</v>
      </c>
      <c r="AQ117" s="13">
        <v>3.0</v>
      </c>
      <c r="AR117" s="13" t="s">
        <v>30</v>
      </c>
      <c r="AS117" s="13" t="s">
        <v>30</v>
      </c>
      <c r="AT117" s="13">
        <v>17.0</v>
      </c>
      <c r="AU117" s="13" t="s">
        <v>30</v>
      </c>
      <c r="AV117" s="13">
        <v>8.0</v>
      </c>
      <c r="AW117" s="13" t="s">
        <v>30</v>
      </c>
      <c r="AX117" s="13" t="s">
        <v>30</v>
      </c>
      <c r="AY117" s="13" t="s">
        <v>30</v>
      </c>
      <c r="AZ117" s="13" t="s">
        <v>30</v>
      </c>
      <c r="BA117" s="13" t="s">
        <v>30</v>
      </c>
      <c r="BB117" s="13" t="s">
        <v>30</v>
      </c>
      <c r="BC117" s="13" t="s">
        <v>30</v>
      </c>
    </row>
    <row r="118">
      <c r="A118" s="13" t="s">
        <v>260</v>
      </c>
      <c r="B118" s="13"/>
      <c r="C118" s="13"/>
      <c r="D118" s="13" t="s">
        <v>261</v>
      </c>
      <c r="E118" s="13">
        <v>1.0</v>
      </c>
      <c r="F118" s="14">
        <v>2560.0</v>
      </c>
      <c r="G118" s="13" t="s">
        <v>29</v>
      </c>
      <c r="H118" s="13">
        <v>4.0</v>
      </c>
      <c r="I118" s="15"/>
      <c r="J118" s="6"/>
      <c r="K118" s="13">
        <v>2.0</v>
      </c>
      <c r="L118" s="16">
        <v>0.0</v>
      </c>
      <c r="M118" s="16">
        <v>0.0</v>
      </c>
      <c r="N118" s="16">
        <v>0.0</v>
      </c>
      <c r="O118" s="16">
        <v>0.0</v>
      </c>
      <c r="P118" s="16">
        <v>1.0</v>
      </c>
      <c r="Q118" s="16">
        <v>0.0</v>
      </c>
      <c r="R118" s="16">
        <v>0.0</v>
      </c>
      <c r="S118" s="16">
        <v>0.0</v>
      </c>
      <c r="T118" s="16">
        <v>0.0</v>
      </c>
      <c r="U118" s="16">
        <v>0.0</v>
      </c>
      <c r="V118" s="16">
        <v>0.0</v>
      </c>
      <c r="W118" s="16">
        <v>1.0</v>
      </c>
      <c r="X118" s="16">
        <v>0.0</v>
      </c>
      <c r="Y118" s="6"/>
      <c r="Z118" s="13"/>
      <c r="AA118" s="13">
        <v>1.0</v>
      </c>
      <c r="AB118" s="13"/>
      <c r="AC118" s="13"/>
      <c r="AD118" s="13">
        <v>1.0</v>
      </c>
      <c r="AE118" s="13">
        <v>1.0</v>
      </c>
      <c r="AF118" s="13">
        <v>1.0</v>
      </c>
      <c r="AG118" s="13" t="s">
        <v>30</v>
      </c>
      <c r="AH118" s="13" t="s">
        <v>30</v>
      </c>
      <c r="AI118" s="13" t="s">
        <v>30</v>
      </c>
      <c r="AJ118" s="13" t="s">
        <v>30</v>
      </c>
      <c r="AK118" s="13" t="s">
        <v>30</v>
      </c>
      <c r="AL118" s="13" t="s">
        <v>30</v>
      </c>
      <c r="AM118" s="13" t="s">
        <v>30</v>
      </c>
      <c r="AN118" s="6"/>
      <c r="AO118" s="13">
        <v>4.0</v>
      </c>
      <c r="AP118" s="13"/>
      <c r="AQ118" s="13">
        <v>1.0</v>
      </c>
      <c r="AR118" s="13"/>
      <c r="AS118" s="13"/>
      <c r="AT118" s="13">
        <v>1.0</v>
      </c>
      <c r="AU118" s="13">
        <v>1.0</v>
      </c>
      <c r="AV118" s="13">
        <v>1.0</v>
      </c>
      <c r="AW118" s="13" t="s">
        <v>30</v>
      </c>
      <c r="AX118" s="13" t="s">
        <v>30</v>
      </c>
      <c r="AY118" s="13" t="s">
        <v>30</v>
      </c>
      <c r="AZ118" s="13" t="s">
        <v>30</v>
      </c>
      <c r="BA118" s="13" t="s">
        <v>30</v>
      </c>
      <c r="BB118" s="13" t="s">
        <v>30</v>
      </c>
      <c r="BC118" s="13" t="s">
        <v>30</v>
      </c>
    </row>
    <row r="119">
      <c r="A119" s="13" t="s">
        <v>262</v>
      </c>
      <c r="B119" s="13"/>
      <c r="C119" s="13"/>
      <c r="D119" s="13" t="s">
        <v>263</v>
      </c>
      <c r="E119" s="13">
        <v>1.0</v>
      </c>
      <c r="F119" s="14">
        <v>4715.0</v>
      </c>
      <c r="G119" s="13" t="s">
        <v>29</v>
      </c>
      <c r="H119" s="13">
        <v>5.0</v>
      </c>
      <c r="I119" s="15"/>
      <c r="J119" s="6"/>
      <c r="K119" s="13">
        <v>5.0</v>
      </c>
      <c r="L119" s="16">
        <v>0.0</v>
      </c>
      <c r="M119" s="16">
        <v>0.0</v>
      </c>
      <c r="N119" s="16">
        <v>0.0</v>
      </c>
      <c r="O119" s="16">
        <v>0.0</v>
      </c>
      <c r="P119" s="16">
        <v>0.0</v>
      </c>
      <c r="Q119" s="16">
        <v>0.0</v>
      </c>
      <c r="R119" s="16">
        <v>0.0</v>
      </c>
      <c r="S119" s="16">
        <v>0.0</v>
      </c>
      <c r="T119" s="16">
        <v>0.0</v>
      </c>
      <c r="U119" s="16">
        <v>0.0</v>
      </c>
      <c r="V119" s="16">
        <v>0.0</v>
      </c>
      <c r="W119" s="16">
        <v>0.0</v>
      </c>
      <c r="X119" s="16">
        <v>0.0</v>
      </c>
      <c r="Y119" s="6"/>
      <c r="Z119" s="13"/>
      <c r="AA119" s="13">
        <v>1.0</v>
      </c>
      <c r="AB119" s="13">
        <v>1.0</v>
      </c>
      <c r="AC119" s="13"/>
      <c r="AD119" s="13">
        <v>1.0</v>
      </c>
      <c r="AE119" s="13">
        <v>1.0</v>
      </c>
      <c r="AF119" s="13">
        <v>1.0</v>
      </c>
      <c r="AG119" s="13" t="s">
        <v>30</v>
      </c>
      <c r="AH119" s="13" t="s">
        <v>30</v>
      </c>
      <c r="AI119" s="13" t="s">
        <v>30</v>
      </c>
      <c r="AJ119" s="13" t="s">
        <v>30</v>
      </c>
      <c r="AK119" s="13" t="s">
        <v>30</v>
      </c>
      <c r="AL119" s="13" t="s">
        <v>30</v>
      </c>
      <c r="AM119" s="13" t="s">
        <v>30</v>
      </c>
      <c r="AN119" s="6"/>
      <c r="AO119" s="13">
        <v>5.0</v>
      </c>
      <c r="AP119" s="13"/>
      <c r="AQ119" s="13">
        <v>1.0</v>
      </c>
      <c r="AR119" s="13">
        <v>1.0</v>
      </c>
      <c r="AS119" s="13"/>
      <c r="AT119" s="13">
        <v>1.0</v>
      </c>
      <c r="AU119" s="13">
        <v>1.0</v>
      </c>
      <c r="AV119" s="13">
        <v>1.0</v>
      </c>
      <c r="AW119" s="13" t="s">
        <v>30</v>
      </c>
      <c r="AX119" s="13" t="s">
        <v>30</v>
      </c>
      <c r="AY119" s="13" t="s">
        <v>30</v>
      </c>
      <c r="AZ119" s="13" t="s">
        <v>30</v>
      </c>
      <c r="BA119" s="13" t="s">
        <v>30</v>
      </c>
      <c r="BB119" s="13" t="s">
        <v>30</v>
      </c>
      <c r="BC119" s="13" t="s">
        <v>30</v>
      </c>
    </row>
    <row r="120">
      <c r="A120" s="13">
        <v>3019754.0</v>
      </c>
      <c r="B120" s="13"/>
      <c r="C120" s="13"/>
      <c r="D120" s="13" t="s">
        <v>264</v>
      </c>
      <c r="E120" s="13">
        <v>1.0</v>
      </c>
      <c r="F120" s="14">
        <v>2208.95</v>
      </c>
      <c r="G120" s="13" t="s">
        <v>29</v>
      </c>
      <c r="H120" s="13">
        <v>40.0</v>
      </c>
      <c r="I120" s="15"/>
      <c r="J120" s="6"/>
      <c r="K120" s="13">
        <v>39.0</v>
      </c>
      <c r="L120" s="16">
        <v>0.0</v>
      </c>
      <c r="M120" s="16">
        <v>0.0</v>
      </c>
      <c r="N120" s="16">
        <v>0.0</v>
      </c>
      <c r="O120" s="16">
        <v>0.0</v>
      </c>
      <c r="P120" s="16">
        <v>1.0</v>
      </c>
      <c r="Q120" s="16">
        <v>0.0</v>
      </c>
      <c r="R120" s="16">
        <v>0.0</v>
      </c>
      <c r="S120" s="16">
        <v>0.0</v>
      </c>
      <c r="T120" s="16">
        <v>0.0</v>
      </c>
      <c r="U120" s="16">
        <v>0.0</v>
      </c>
      <c r="V120" s="16">
        <v>0.0</v>
      </c>
      <c r="W120" s="16">
        <v>0.0</v>
      </c>
      <c r="X120" s="16">
        <v>0.0</v>
      </c>
      <c r="Y120" s="6"/>
      <c r="Z120" s="13">
        <v>4.0</v>
      </c>
      <c r="AA120" s="13">
        <v>6.0</v>
      </c>
      <c r="AB120" s="13">
        <v>5.0</v>
      </c>
      <c r="AC120" s="13">
        <v>5.0</v>
      </c>
      <c r="AD120" s="13">
        <v>9.0</v>
      </c>
      <c r="AE120" s="13">
        <v>5.0</v>
      </c>
      <c r="AF120" s="13">
        <v>6.0</v>
      </c>
      <c r="AG120" s="13" t="s">
        <v>30</v>
      </c>
      <c r="AH120" s="13" t="s">
        <v>30</v>
      </c>
      <c r="AI120" s="13" t="s">
        <v>30</v>
      </c>
      <c r="AJ120" s="13" t="s">
        <v>30</v>
      </c>
      <c r="AK120" s="13" t="s">
        <v>30</v>
      </c>
      <c r="AL120" s="13" t="s">
        <v>30</v>
      </c>
      <c r="AM120" s="13" t="s">
        <v>30</v>
      </c>
      <c r="AN120" s="6"/>
      <c r="AO120" s="13">
        <v>40.0</v>
      </c>
      <c r="AP120" s="13">
        <v>4.0</v>
      </c>
      <c r="AQ120" s="13">
        <v>6.0</v>
      </c>
      <c r="AR120" s="13">
        <v>5.0</v>
      </c>
      <c r="AS120" s="13">
        <v>5.0</v>
      </c>
      <c r="AT120" s="13">
        <v>9.0</v>
      </c>
      <c r="AU120" s="13">
        <v>5.0</v>
      </c>
      <c r="AV120" s="13">
        <v>6.0</v>
      </c>
      <c r="AW120" s="13" t="s">
        <v>30</v>
      </c>
      <c r="AX120" s="13" t="s">
        <v>30</v>
      </c>
      <c r="AY120" s="13" t="s">
        <v>30</v>
      </c>
      <c r="AZ120" s="13" t="s">
        <v>30</v>
      </c>
      <c r="BA120" s="13" t="s">
        <v>30</v>
      </c>
      <c r="BB120" s="13" t="s">
        <v>30</v>
      </c>
      <c r="BC120" s="13" t="s">
        <v>30</v>
      </c>
    </row>
    <row r="121">
      <c r="A121" s="13" t="s">
        <v>265</v>
      </c>
      <c r="B121" s="13"/>
      <c r="C121" s="13"/>
      <c r="D121" s="13" t="s">
        <v>266</v>
      </c>
      <c r="E121" s="13">
        <v>1.0</v>
      </c>
      <c r="F121" s="14">
        <v>3290.0</v>
      </c>
      <c r="G121" s="13" t="s">
        <v>29</v>
      </c>
      <c r="H121" s="13">
        <v>2.0</v>
      </c>
      <c r="I121" s="15"/>
      <c r="J121" s="6"/>
      <c r="K121" s="13">
        <v>2.0</v>
      </c>
      <c r="L121" s="16">
        <v>0.0</v>
      </c>
      <c r="M121" s="16">
        <v>0.0</v>
      </c>
      <c r="N121" s="16">
        <v>0.0</v>
      </c>
      <c r="O121" s="16">
        <v>0.0</v>
      </c>
      <c r="P121" s="16">
        <v>0.0</v>
      </c>
      <c r="Q121" s="16">
        <v>0.0</v>
      </c>
      <c r="R121" s="16">
        <v>0.0</v>
      </c>
      <c r="S121" s="16">
        <v>0.0</v>
      </c>
      <c r="T121" s="16">
        <v>0.0</v>
      </c>
      <c r="U121" s="16">
        <v>0.0</v>
      </c>
      <c r="V121" s="16">
        <v>0.0</v>
      </c>
      <c r="W121" s="16">
        <v>0.0</v>
      </c>
      <c r="X121" s="16">
        <v>0.0</v>
      </c>
      <c r="Y121" s="6"/>
      <c r="Z121" s="13" t="s">
        <v>30</v>
      </c>
      <c r="AA121" s="13"/>
      <c r="AB121" s="13" t="s">
        <v>30</v>
      </c>
      <c r="AC121" s="13" t="s">
        <v>30</v>
      </c>
      <c r="AD121" s="13">
        <v>1.0</v>
      </c>
      <c r="AE121" s="13" t="s">
        <v>30</v>
      </c>
      <c r="AF121" s="13">
        <v>1.0</v>
      </c>
      <c r="AG121" s="13" t="s">
        <v>30</v>
      </c>
      <c r="AH121" s="13" t="s">
        <v>30</v>
      </c>
      <c r="AI121" s="13" t="s">
        <v>30</v>
      </c>
      <c r="AJ121" s="13" t="s">
        <v>30</v>
      </c>
      <c r="AK121" s="13" t="s">
        <v>30</v>
      </c>
      <c r="AL121" s="13" t="s">
        <v>30</v>
      </c>
      <c r="AM121" s="13" t="s">
        <v>30</v>
      </c>
      <c r="AN121" s="6"/>
      <c r="AO121" s="13">
        <v>2.0</v>
      </c>
      <c r="AP121" s="13" t="s">
        <v>30</v>
      </c>
      <c r="AQ121" s="13"/>
      <c r="AR121" s="13" t="s">
        <v>30</v>
      </c>
      <c r="AS121" s="13" t="s">
        <v>30</v>
      </c>
      <c r="AT121" s="13">
        <v>1.0</v>
      </c>
      <c r="AU121" s="13" t="s">
        <v>30</v>
      </c>
      <c r="AV121" s="13">
        <v>1.0</v>
      </c>
      <c r="AW121" s="13" t="s">
        <v>30</v>
      </c>
      <c r="AX121" s="13" t="s">
        <v>30</v>
      </c>
      <c r="AY121" s="13" t="s">
        <v>30</v>
      </c>
      <c r="AZ121" s="13" t="s">
        <v>30</v>
      </c>
      <c r="BA121" s="13" t="s">
        <v>30</v>
      </c>
      <c r="BB121" s="13" t="s">
        <v>30</v>
      </c>
      <c r="BC121" s="13" t="s">
        <v>30</v>
      </c>
    </row>
    <row r="122">
      <c r="A122" s="13" t="s">
        <v>267</v>
      </c>
      <c r="B122" s="13"/>
      <c r="C122" s="13"/>
      <c r="D122" s="13" t="s">
        <v>268</v>
      </c>
      <c r="E122" s="13">
        <v>1.0</v>
      </c>
      <c r="F122" s="14">
        <v>2542.37</v>
      </c>
      <c r="G122" s="13" t="s">
        <v>29</v>
      </c>
      <c r="H122" s="13">
        <v>4.0</v>
      </c>
      <c r="I122" s="15"/>
      <c r="J122" s="6"/>
      <c r="K122" s="13">
        <v>4.0</v>
      </c>
      <c r="L122" s="16">
        <v>0.0</v>
      </c>
      <c r="M122" s="16">
        <v>0.0</v>
      </c>
      <c r="N122" s="16">
        <v>0.0</v>
      </c>
      <c r="O122" s="16">
        <v>0.0</v>
      </c>
      <c r="P122" s="16">
        <v>0.0</v>
      </c>
      <c r="Q122" s="16">
        <v>0.0</v>
      </c>
      <c r="R122" s="16">
        <v>0.0</v>
      </c>
      <c r="S122" s="16">
        <v>0.0</v>
      </c>
      <c r="T122" s="16">
        <v>0.0</v>
      </c>
      <c r="U122" s="16">
        <v>0.0</v>
      </c>
      <c r="V122" s="16">
        <v>0.0</v>
      </c>
      <c r="W122" s="16">
        <v>0.0</v>
      </c>
      <c r="X122" s="16">
        <v>0.0</v>
      </c>
      <c r="Y122" s="6"/>
      <c r="Z122" s="13"/>
      <c r="AA122" s="13">
        <v>1.0</v>
      </c>
      <c r="AB122" s="13">
        <v>1.0</v>
      </c>
      <c r="AC122" s="13">
        <v>1.0</v>
      </c>
      <c r="AD122" s="13"/>
      <c r="AE122" s="13">
        <v>1.0</v>
      </c>
      <c r="AF122" s="13"/>
      <c r="AG122" s="13" t="s">
        <v>30</v>
      </c>
      <c r="AH122" s="13" t="s">
        <v>30</v>
      </c>
      <c r="AI122" s="13" t="s">
        <v>30</v>
      </c>
      <c r="AJ122" s="13" t="s">
        <v>30</v>
      </c>
      <c r="AK122" s="13" t="s">
        <v>30</v>
      </c>
      <c r="AL122" s="13" t="s">
        <v>30</v>
      </c>
      <c r="AM122" s="13" t="s">
        <v>30</v>
      </c>
      <c r="AN122" s="6"/>
      <c r="AO122" s="13">
        <v>4.0</v>
      </c>
      <c r="AP122" s="13"/>
      <c r="AQ122" s="13">
        <v>1.0</v>
      </c>
      <c r="AR122" s="13">
        <v>1.0</v>
      </c>
      <c r="AS122" s="13">
        <v>1.0</v>
      </c>
      <c r="AT122" s="13"/>
      <c r="AU122" s="13">
        <v>1.0</v>
      </c>
      <c r="AV122" s="13"/>
      <c r="AW122" s="13" t="s">
        <v>30</v>
      </c>
      <c r="AX122" s="13" t="s">
        <v>30</v>
      </c>
      <c r="AY122" s="13" t="s">
        <v>30</v>
      </c>
      <c r="AZ122" s="13" t="s">
        <v>30</v>
      </c>
      <c r="BA122" s="13" t="s">
        <v>30</v>
      </c>
      <c r="BB122" s="13" t="s">
        <v>30</v>
      </c>
      <c r="BC122" s="13" t="s">
        <v>30</v>
      </c>
    </row>
    <row r="123">
      <c r="A123" s="13" t="s">
        <v>269</v>
      </c>
      <c r="B123" s="13"/>
      <c r="C123" s="13"/>
      <c r="D123" s="13" t="s">
        <v>270</v>
      </c>
      <c r="E123" s="13">
        <v>1.0</v>
      </c>
      <c r="F123" s="14">
        <v>776.84</v>
      </c>
      <c r="G123" s="13" t="s">
        <v>29</v>
      </c>
      <c r="H123" s="13">
        <v>19.0</v>
      </c>
      <c r="I123" s="15"/>
      <c r="J123" s="6"/>
      <c r="K123" s="13">
        <v>19.0</v>
      </c>
      <c r="L123" s="16">
        <v>0.0</v>
      </c>
      <c r="M123" s="16">
        <v>0.0</v>
      </c>
      <c r="N123" s="16">
        <v>0.0</v>
      </c>
      <c r="O123" s="16">
        <v>0.0</v>
      </c>
      <c r="P123" s="16">
        <v>0.0</v>
      </c>
      <c r="Q123" s="16">
        <v>0.0</v>
      </c>
      <c r="R123" s="16">
        <v>0.0</v>
      </c>
      <c r="S123" s="16">
        <v>0.0</v>
      </c>
      <c r="T123" s="16">
        <v>0.0</v>
      </c>
      <c r="U123" s="16">
        <v>0.0</v>
      </c>
      <c r="V123" s="16">
        <v>0.0</v>
      </c>
      <c r="W123" s="16">
        <v>0.0</v>
      </c>
      <c r="X123" s="16">
        <v>0.0</v>
      </c>
      <c r="Y123" s="6"/>
      <c r="Z123" s="13">
        <v>3.0</v>
      </c>
      <c r="AA123" s="13">
        <v>3.0</v>
      </c>
      <c r="AB123" s="13">
        <v>3.0</v>
      </c>
      <c r="AC123" s="13">
        <v>3.0</v>
      </c>
      <c r="AD123" s="13">
        <v>2.0</v>
      </c>
      <c r="AE123" s="13">
        <v>3.0</v>
      </c>
      <c r="AF123" s="13">
        <v>2.0</v>
      </c>
      <c r="AG123" s="13" t="s">
        <v>30</v>
      </c>
      <c r="AH123" s="13" t="s">
        <v>30</v>
      </c>
      <c r="AI123" s="13" t="s">
        <v>30</v>
      </c>
      <c r="AJ123" s="13" t="s">
        <v>30</v>
      </c>
      <c r="AK123" s="13" t="s">
        <v>30</v>
      </c>
      <c r="AL123" s="13" t="s">
        <v>30</v>
      </c>
      <c r="AM123" s="13" t="s">
        <v>30</v>
      </c>
      <c r="AN123" s="6"/>
      <c r="AO123" s="13">
        <v>19.0</v>
      </c>
      <c r="AP123" s="13">
        <v>3.0</v>
      </c>
      <c r="AQ123" s="13">
        <v>3.0</v>
      </c>
      <c r="AR123" s="13">
        <v>3.0</v>
      </c>
      <c r="AS123" s="13">
        <v>3.0</v>
      </c>
      <c r="AT123" s="13">
        <v>2.0</v>
      </c>
      <c r="AU123" s="13">
        <v>3.0</v>
      </c>
      <c r="AV123" s="13">
        <v>2.0</v>
      </c>
      <c r="AW123" s="13" t="s">
        <v>30</v>
      </c>
      <c r="AX123" s="13" t="s">
        <v>30</v>
      </c>
      <c r="AY123" s="13" t="s">
        <v>30</v>
      </c>
      <c r="AZ123" s="13" t="s">
        <v>30</v>
      </c>
      <c r="BA123" s="13" t="s">
        <v>30</v>
      </c>
      <c r="BB123" s="13" t="s">
        <v>30</v>
      </c>
      <c r="BC123" s="13" t="s">
        <v>30</v>
      </c>
    </row>
    <row r="124">
      <c r="A124" s="13" t="s">
        <v>271</v>
      </c>
      <c r="B124" s="13"/>
      <c r="C124" s="13"/>
      <c r="D124" s="13" t="s">
        <v>272</v>
      </c>
      <c r="E124" s="13">
        <v>1.0</v>
      </c>
      <c r="F124" s="14">
        <v>2325.0</v>
      </c>
      <c r="G124" s="13" t="s">
        <v>29</v>
      </c>
      <c r="H124" s="13">
        <v>2.0</v>
      </c>
      <c r="I124" s="15"/>
      <c r="J124" s="6"/>
      <c r="K124" s="13">
        <v>2.0</v>
      </c>
      <c r="L124" s="16">
        <v>0.0</v>
      </c>
      <c r="M124" s="16">
        <v>0.0</v>
      </c>
      <c r="N124" s="16">
        <v>0.0</v>
      </c>
      <c r="O124" s="16">
        <v>0.0</v>
      </c>
      <c r="P124" s="16">
        <v>0.0</v>
      </c>
      <c r="Q124" s="16">
        <v>0.0</v>
      </c>
      <c r="R124" s="16">
        <v>0.0</v>
      </c>
      <c r="S124" s="16">
        <v>0.0</v>
      </c>
      <c r="T124" s="16">
        <v>0.0</v>
      </c>
      <c r="U124" s="16">
        <v>0.0</v>
      </c>
      <c r="V124" s="16">
        <v>0.0</v>
      </c>
      <c r="W124" s="16">
        <v>0.0</v>
      </c>
      <c r="X124" s="16">
        <v>0.0</v>
      </c>
      <c r="Y124" s="6"/>
      <c r="Z124" s="13" t="s">
        <v>30</v>
      </c>
      <c r="AA124" s="13"/>
      <c r="AB124" s="13" t="s">
        <v>30</v>
      </c>
      <c r="AC124" s="13" t="s">
        <v>30</v>
      </c>
      <c r="AD124" s="13">
        <v>1.0</v>
      </c>
      <c r="AE124" s="13" t="s">
        <v>30</v>
      </c>
      <c r="AF124" s="13">
        <v>1.0</v>
      </c>
      <c r="AG124" s="13" t="s">
        <v>30</v>
      </c>
      <c r="AH124" s="13" t="s">
        <v>30</v>
      </c>
      <c r="AI124" s="13" t="s">
        <v>30</v>
      </c>
      <c r="AJ124" s="13" t="s">
        <v>30</v>
      </c>
      <c r="AK124" s="13" t="s">
        <v>30</v>
      </c>
      <c r="AL124" s="13" t="s">
        <v>30</v>
      </c>
      <c r="AM124" s="13" t="s">
        <v>30</v>
      </c>
      <c r="AN124" s="6"/>
      <c r="AO124" s="13">
        <v>2.0</v>
      </c>
      <c r="AP124" s="13" t="s">
        <v>30</v>
      </c>
      <c r="AQ124" s="13"/>
      <c r="AR124" s="13" t="s">
        <v>30</v>
      </c>
      <c r="AS124" s="13" t="s">
        <v>30</v>
      </c>
      <c r="AT124" s="13">
        <v>1.0</v>
      </c>
      <c r="AU124" s="13" t="s">
        <v>30</v>
      </c>
      <c r="AV124" s="13">
        <v>1.0</v>
      </c>
      <c r="AW124" s="13" t="s">
        <v>30</v>
      </c>
      <c r="AX124" s="13" t="s">
        <v>30</v>
      </c>
      <c r="AY124" s="13" t="s">
        <v>30</v>
      </c>
      <c r="AZ124" s="13" t="s">
        <v>30</v>
      </c>
      <c r="BA124" s="13" t="s">
        <v>30</v>
      </c>
      <c r="BB124" s="13" t="s">
        <v>30</v>
      </c>
      <c r="BC124" s="13" t="s">
        <v>30</v>
      </c>
    </row>
    <row r="125">
      <c r="A125" s="13" t="s">
        <v>273</v>
      </c>
      <c r="B125" s="13"/>
      <c r="C125" s="13"/>
      <c r="D125" s="13" t="s">
        <v>274</v>
      </c>
      <c r="E125" s="13">
        <v>1.0</v>
      </c>
      <c r="F125" s="14">
        <v>3681.49</v>
      </c>
      <c r="G125" s="13" t="s">
        <v>29</v>
      </c>
      <c r="H125" s="13">
        <v>0.0</v>
      </c>
      <c r="I125" s="15"/>
      <c r="J125" s="6"/>
      <c r="K125" s="13">
        <v>0.0</v>
      </c>
      <c r="L125" s="16">
        <v>0.0</v>
      </c>
      <c r="M125" s="16">
        <v>0.0</v>
      </c>
      <c r="N125" s="16">
        <v>0.0</v>
      </c>
      <c r="O125" s="16">
        <v>0.0</v>
      </c>
      <c r="P125" s="16">
        <v>0.0</v>
      </c>
      <c r="Q125" s="16">
        <v>0.0</v>
      </c>
      <c r="R125" s="16">
        <v>0.0</v>
      </c>
      <c r="S125" s="16">
        <v>0.0</v>
      </c>
      <c r="T125" s="16">
        <v>0.0</v>
      </c>
      <c r="U125" s="16">
        <v>0.0</v>
      </c>
      <c r="V125" s="16">
        <v>0.0</v>
      </c>
      <c r="W125" s="16">
        <v>0.0</v>
      </c>
      <c r="X125" s="16">
        <v>0.0</v>
      </c>
      <c r="Y125" s="6"/>
      <c r="Z125" s="13"/>
      <c r="AA125" s="13"/>
      <c r="AB125" s="13"/>
      <c r="AC125" s="13"/>
      <c r="AD125" s="13"/>
      <c r="AE125" s="13"/>
      <c r="AF125" s="13"/>
      <c r="AG125" s="13" t="s">
        <v>30</v>
      </c>
      <c r="AH125" s="13" t="s">
        <v>30</v>
      </c>
      <c r="AI125" s="13" t="s">
        <v>30</v>
      </c>
      <c r="AJ125" s="13" t="s">
        <v>30</v>
      </c>
      <c r="AK125" s="13" t="s">
        <v>30</v>
      </c>
      <c r="AL125" s="13" t="s">
        <v>30</v>
      </c>
      <c r="AM125" s="13" t="s">
        <v>30</v>
      </c>
      <c r="AN125" s="6"/>
      <c r="AO125" s="13">
        <v>0.0</v>
      </c>
      <c r="AP125" s="13"/>
      <c r="AQ125" s="13"/>
      <c r="AR125" s="13"/>
      <c r="AS125" s="13"/>
      <c r="AT125" s="13"/>
      <c r="AU125" s="13"/>
      <c r="AV125" s="13"/>
      <c r="AW125" s="13" t="s">
        <v>30</v>
      </c>
      <c r="AX125" s="13" t="s">
        <v>30</v>
      </c>
      <c r="AY125" s="13" t="s">
        <v>30</v>
      </c>
      <c r="AZ125" s="13" t="s">
        <v>30</v>
      </c>
      <c r="BA125" s="13" t="s">
        <v>30</v>
      </c>
      <c r="BB125" s="13" t="s">
        <v>30</v>
      </c>
      <c r="BC125" s="13" t="s">
        <v>30</v>
      </c>
    </row>
    <row r="126">
      <c r="A126" s="13" t="s">
        <v>275</v>
      </c>
      <c r="B126" s="13"/>
      <c r="C126" s="13"/>
      <c r="D126" s="13" t="s">
        <v>276</v>
      </c>
      <c r="E126" s="13">
        <v>1.0</v>
      </c>
      <c r="F126" s="14">
        <v>3950.0</v>
      </c>
      <c r="G126" s="13" t="s">
        <v>29</v>
      </c>
      <c r="H126" s="13">
        <v>7.0</v>
      </c>
      <c r="I126" s="15"/>
      <c r="J126" s="6"/>
      <c r="K126" s="13">
        <v>5.0</v>
      </c>
      <c r="L126" s="16">
        <v>0.0</v>
      </c>
      <c r="M126" s="16">
        <v>1.0</v>
      </c>
      <c r="N126" s="16">
        <v>0.0</v>
      </c>
      <c r="O126" s="16">
        <v>1.0</v>
      </c>
      <c r="P126" s="16">
        <v>0.0</v>
      </c>
      <c r="Q126" s="16">
        <v>0.0</v>
      </c>
      <c r="R126" s="16">
        <v>0.0</v>
      </c>
      <c r="S126" s="16">
        <v>0.0</v>
      </c>
      <c r="T126" s="16">
        <v>0.0</v>
      </c>
      <c r="U126" s="16">
        <v>0.0</v>
      </c>
      <c r="V126" s="16">
        <v>0.0</v>
      </c>
      <c r="W126" s="16">
        <v>0.0</v>
      </c>
      <c r="X126" s="16">
        <v>0.0</v>
      </c>
      <c r="Y126" s="6"/>
      <c r="Z126" s="13" t="s">
        <v>30</v>
      </c>
      <c r="AA126" s="13">
        <v>2.0</v>
      </c>
      <c r="AB126" s="13" t="s">
        <v>30</v>
      </c>
      <c r="AC126" s="13" t="s">
        <v>30</v>
      </c>
      <c r="AD126" s="13">
        <v>3.0</v>
      </c>
      <c r="AE126" s="13" t="s">
        <v>30</v>
      </c>
      <c r="AF126" s="13">
        <v>2.0</v>
      </c>
      <c r="AG126" s="13" t="s">
        <v>30</v>
      </c>
      <c r="AH126" s="13" t="s">
        <v>30</v>
      </c>
      <c r="AI126" s="13" t="s">
        <v>30</v>
      </c>
      <c r="AJ126" s="13" t="s">
        <v>30</v>
      </c>
      <c r="AK126" s="13" t="s">
        <v>30</v>
      </c>
      <c r="AL126" s="13" t="s">
        <v>30</v>
      </c>
      <c r="AM126" s="13" t="s">
        <v>30</v>
      </c>
      <c r="AN126" s="6"/>
      <c r="AO126" s="13">
        <v>7.0</v>
      </c>
      <c r="AP126" s="13" t="s">
        <v>30</v>
      </c>
      <c r="AQ126" s="13">
        <v>2.0</v>
      </c>
      <c r="AR126" s="13" t="s">
        <v>30</v>
      </c>
      <c r="AS126" s="13" t="s">
        <v>30</v>
      </c>
      <c r="AT126" s="13">
        <v>3.0</v>
      </c>
      <c r="AU126" s="13" t="s">
        <v>30</v>
      </c>
      <c r="AV126" s="13">
        <v>2.0</v>
      </c>
      <c r="AW126" s="13" t="s">
        <v>30</v>
      </c>
      <c r="AX126" s="13" t="s">
        <v>30</v>
      </c>
      <c r="AY126" s="13" t="s">
        <v>30</v>
      </c>
      <c r="AZ126" s="13" t="s">
        <v>30</v>
      </c>
      <c r="BA126" s="13" t="s">
        <v>30</v>
      </c>
      <c r="BB126" s="13" t="s">
        <v>30</v>
      </c>
      <c r="BC126" s="13" t="s">
        <v>30</v>
      </c>
    </row>
    <row r="127">
      <c r="A127" s="13" t="s">
        <v>277</v>
      </c>
      <c r="B127" s="13"/>
      <c r="C127" s="13"/>
      <c r="D127" s="13" t="s">
        <v>278</v>
      </c>
      <c r="E127" s="13">
        <v>1.0</v>
      </c>
      <c r="F127" s="14">
        <v>25888.91</v>
      </c>
      <c r="G127" s="13" t="s">
        <v>29</v>
      </c>
      <c r="H127" s="13">
        <v>8.0</v>
      </c>
      <c r="I127" s="15"/>
      <c r="J127" s="6"/>
      <c r="K127" s="13">
        <v>8.0</v>
      </c>
      <c r="L127" s="16">
        <v>0.0</v>
      </c>
      <c r="M127" s="16">
        <v>0.0</v>
      </c>
      <c r="N127" s="16">
        <v>0.0</v>
      </c>
      <c r="O127" s="16">
        <v>0.0</v>
      </c>
      <c r="P127" s="16">
        <v>0.0</v>
      </c>
      <c r="Q127" s="16">
        <v>0.0</v>
      </c>
      <c r="R127" s="16">
        <v>0.0</v>
      </c>
      <c r="S127" s="16">
        <v>0.0</v>
      </c>
      <c r="T127" s="16">
        <v>0.0</v>
      </c>
      <c r="U127" s="16">
        <v>0.0</v>
      </c>
      <c r="V127" s="16">
        <v>0.0</v>
      </c>
      <c r="W127" s="16">
        <v>0.0</v>
      </c>
      <c r="X127" s="16">
        <v>0.0</v>
      </c>
      <c r="Y127" s="6"/>
      <c r="Z127" s="13">
        <v>1.0</v>
      </c>
      <c r="AA127" s="13">
        <v>1.0</v>
      </c>
      <c r="AB127" s="13">
        <v>1.0</v>
      </c>
      <c r="AC127" s="13">
        <v>1.0</v>
      </c>
      <c r="AD127" s="13">
        <v>2.0</v>
      </c>
      <c r="AE127" s="13">
        <v>1.0</v>
      </c>
      <c r="AF127" s="13">
        <v>1.0</v>
      </c>
      <c r="AG127" s="13" t="s">
        <v>30</v>
      </c>
      <c r="AH127" s="13" t="s">
        <v>30</v>
      </c>
      <c r="AI127" s="13" t="s">
        <v>30</v>
      </c>
      <c r="AJ127" s="13" t="s">
        <v>30</v>
      </c>
      <c r="AK127" s="13" t="s">
        <v>30</v>
      </c>
      <c r="AL127" s="13" t="s">
        <v>30</v>
      </c>
      <c r="AM127" s="13" t="s">
        <v>30</v>
      </c>
      <c r="AN127" s="6"/>
      <c r="AO127" s="13">
        <v>8.0</v>
      </c>
      <c r="AP127" s="13">
        <v>1.0</v>
      </c>
      <c r="AQ127" s="13">
        <v>1.0</v>
      </c>
      <c r="AR127" s="13">
        <v>1.0</v>
      </c>
      <c r="AS127" s="13">
        <v>1.0</v>
      </c>
      <c r="AT127" s="13">
        <v>2.0</v>
      </c>
      <c r="AU127" s="13">
        <v>1.0</v>
      </c>
      <c r="AV127" s="13">
        <v>1.0</v>
      </c>
      <c r="AW127" s="13" t="s">
        <v>30</v>
      </c>
      <c r="AX127" s="13" t="s">
        <v>30</v>
      </c>
      <c r="AY127" s="13" t="s">
        <v>30</v>
      </c>
      <c r="AZ127" s="13" t="s">
        <v>30</v>
      </c>
      <c r="BA127" s="13" t="s">
        <v>30</v>
      </c>
      <c r="BB127" s="13" t="s">
        <v>30</v>
      </c>
      <c r="BC127" s="13" t="s">
        <v>30</v>
      </c>
    </row>
    <row r="128">
      <c r="A128" s="13" t="s">
        <v>279</v>
      </c>
      <c r="B128" s="13"/>
      <c r="C128" s="13"/>
      <c r="D128" s="13" t="s">
        <v>280</v>
      </c>
      <c r="E128" s="13">
        <v>1.0</v>
      </c>
      <c r="F128" s="14">
        <v>1736.11</v>
      </c>
      <c r="G128" s="13" t="s">
        <v>29</v>
      </c>
      <c r="H128" s="13">
        <v>3.0</v>
      </c>
      <c r="I128" s="15"/>
      <c r="J128" s="6"/>
      <c r="K128" s="13">
        <v>3.0</v>
      </c>
      <c r="L128" s="16">
        <v>0.0</v>
      </c>
      <c r="M128" s="16">
        <v>0.0</v>
      </c>
      <c r="N128" s="16">
        <v>0.0</v>
      </c>
      <c r="O128" s="16">
        <v>0.0</v>
      </c>
      <c r="P128" s="16">
        <v>0.0</v>
      </c>
      <c r="Q128" s="16">
        <v>0.0</v>
      </c>
      <c r="R128" s="16">
        <v>0.0</v>
      </c>
      <c r="S128" s="16">
        <v>0.0</v>
      </c>
      <c r="T128" s="16">
        <v>0.0</v>
      </c>
      <c r="U128" s="16">
        <v>0.0</v>
      </c>
      <c r="V128" s="16">
        <v>0.0</v>
      </c>
      <c r="W128" s="16">
        <v>0.0</v>
      </c>
      <c r="X128" s="16">
        <v>0.0</v>
      </c>
      <c r="Y128" s="6"/>
      <c r="Z128" s="13" t="s">
        <v>30</v>
      </c>
      <c r="AA128" s="13">
        <v>1.0</v>
      </c>
      <c r="AB128" s="13" t="s">
        <v>30</v>
      </c>
      <c r="AC128" s="13" t="s">
        <v>30</v>
      </c>
      <c r="AD128" s="13">
        <v>1.0</v>
      </c>
      <c r="AE128" s="13" t="s">
        <v>30</v>
      </c>
      <c r="AF128" s="13">
        <v>1.0</v>
      </c>
      <c r="AG128" s="13" t="s">
        <v>30</v>
      </c>
      <c r="AH128" s="13" t="s">
        <v>30</v>
      </c>
      <c r="AI128" s="13" t="s">
        <v>30</v>
      </c>
      <c r="AJ128" s="13" t="s">
        <v>30</v>
      </c>
      <c r="AK128" s="13" t="s">
        <v>30</v>
      </c>
      <c r="AL128" s="13" t="s">
        <v>30</v>
      </c>
      <c r="AM128" s="13" t="s">
        <v>30</v>
      </c>
      <c r="AN128" s="6"/>
      <c r="AO128" s="13">
        <v>3.0</v>
      </c>
      <c r="AP128" s="13" t="s">
        <v>30</v>
      </c>
      <c r="AQ128" s="13">
        <v>1.0</v>
      </c>
      <c r="AR128" s="13" t="s">
        <v>30</v>
      </c>
      <c r="AS128" s="13" t="s">
        <v>30</v>
      </c>
      <c r="AT128" s="13">
        <v>1.0</v>
      </c>
      <c r="AU128" s="13" t="s">
        <v>30</v>
      </c>
      <c r="AV128" s="13">
        <v>1.0</v>
      </c>
      <c r="AW128" s="13" t="s">
        <v>30</v>
      </c>
      <c r="AX128" s="13" t="s">
        <v>30</v>
      </c>
      <c r="AY128" s="13" t="s">
        <v>30</v>
      </c>
      <c r="AZ128" s="13" t="s">
        <v>30</v>
      </c>
      <c r="BA128" s="13" t="s">
        <v>30</v>
      </c>
      <c r="BB128" s="13" t="s">
        <v>30</v>
      </c>
      <c r="BC128" s="13" t="s">
        <v>30</v>
      </c>
    </row>
    <row r="129">
      <c r="A129" s="13">
        <v>3019757.0</v>
      </c>
      <c r="B129" s="13"/>
      <c r="C129" s="13"/>
      <c r="D129" s="13" t="s">
        <v>281</v>
      </c>
      <c r="E129" s="13">
        <v>1.0</v>
      </c>
      <c r="F129" s="14">
        <v>1600.74</v>
      </c>
      <c r="G129" s="13" t="s">
        <v>29</v>
      </c>
      <c r="H129" s="13">
        <v>113.0</v>
      </c>
      <c r="I129" s="15"/>
      <c r="J129" s="6"/>
      <c r="K129" s="13">
        <v>103.0</v>
      </c>
      <c r="L129" s="16">
        <v>0.0</v>
      </c>
      <c r="M129" s="16">
        <v>0.0</v>
      </c>
      <c r="N129" s="16">
        <v>1.0</v>
      </c>
      <c r="O129" s="16">
        <v>5.0</v>
      </c>
      <c r="P129" s="16">
        <v>0.0</v>
      </c>
      <c r="Q129" s="16">
        <v>0.0</v>
      </c>
      <c r="R129" s="16">
        <v>4.0</v>
      </c>
      <c r="S129" s="16">
        <v>0.0</v>
      </c>
      <c r="T129" s="16">
        <v>0.0</v>
      </c>
      <c r="U129" s="16">
        <v>0.0</v>
      </c>
      <c r="V129" s="16">
        <v>0.0</v>
      </c>
      <c r="W129" s="16">
        <v>0.0</v>
      </c>
      <c r="X129" s="16">
        <v>0.0</v>
      </c>
      <c r="Y129" s="6"/>
      <c r="Z129" s="13">
        <v>4.0</v>
      </c>
      <c r="AA129" s="13">
        <v>17.0</v>
      </c>
      <c r="AB129" s="13">
        <v>4.0</v>
      </c>
      <c r="AC129" s="13">
        <v>4.0</v>
      </c>
      <c r="AD129" s="13">
        <v>47.0</v>
      </c>
      <c r="AE129" s="13">
        <v>12.0</v>
      </c>
      <c r="AF129" s="13">
        <v>25.0</v>
      </c>
      <c r="AG129" s="13" t="s">
        <v>30</v>
      </c>
      <c r="AH129" s="13" t="s">
        <v>30</v>
      </c>
      <c r="AI129" s="13" t="s">
        <v>30</v>
      </c>
      <c r="AJ129" s="13" t="s">
        <v>30</v>
      </c>
      <c r="AK129" s="13" t="s">
        <v>30</v>
      </c>
      <c r="AL129" s="13" t="s">
        <v>30</v>
      </c>
      <c r="AM129" s="13" t="s">
        <v>30</v>
      </c>
      <c r="AN129" s="6"/>
      <c r="AO129" s="13">
        <v>113.0</v>
      </c>
      <c r="AP129" s="13">
        <v>4.0</v>
      </c>
      <c r="AQ129" s="13">
        <v>17.0</v>
      </c>
      <c r="AR129" s="13">
        <v>4.0</v>
      </c>
      <c r="AS129" s="13">
        <v>4.0</v>
      </c>
      <c r="AT129" s="13">
        <v>47.0</v>
      </c>
      <c r="AU129" s="13">
        <v>12.0</v>
      </c>
      <c r="AV129" s="13">
        <v>25.0</v>
      </c>
      <c r="AW129" s="13" t="s">
        <v>30</v>
      </c>
      <c r="AX129" s="13" t="s">
        <v>30</v>
      </c>
      <c r="AY129" s="13" t="s">
        <v>30</v>
      </c>
      <c r="AZ129" s="13" t="s">
        <v>30</v>
      </c>
      <c r="BA129" s="13" t="s">
        <v>30</v>
      </c>
      <c r="BB129" s="13" t="s">
        <v>30</v>
      </c>
      <c r="BC129" s="13" t="s">
        <v>30</v>
      </c>
    </row>
    <row r="130">
      <c r="A130" s="13" t="s">
        <v>282</v>
      </c>
      <c r="B130" s="13"/>
      <c r="C130" s="13" t="s">
        <v>232</v>
      </c>
      <c r="D130" s="13" t="s">
        <v>283</v>
      </c>
      <c r="E130" s="13">
        <v>1.0</v>
      </c>
      <c r="F130" s="14">
        <v>2765.0</v>
      </c>
      <c r="G130" s="13" t="s">
        <v>29</v>
      </c>
      <c r="H130" s="13">
        <v>0.0</v>
      </c>
      <c r="I130" s="15"/>
      <c r="J130" s="6"/>
      <c r="K130" s="13">
        <v>0.0</v>
      </c>
      <c r="L130" s="16">
        <v>0.0</v>
      </c>
      <c r="M130" s="16">
        <v>0.0</v>
      </c>
      <c r="N130" s="16">
        <v>0.0</v>
      </c>
      <c r="O130" s="16">
        <v>0.0</v>
      </c>
      <c r="P130" s="16">
        <v>0.0</v>
      </c>
      <c r="Q130" s="16">
        <v>0.0</v>
      </c>
      <c r="R130" s="16">
        <v>0.0</v>
      </c>
      <c r="S130" s="16">
        <v>0.0</v>
      </c>
      <c r="T130" s="16">
        <v>0.0</v>
      </c>
      <c r="U130" s="16">
        <v>0.0</v>
      </c>
      <c r="V130" s="16">
        <v>0.0</v>
      </c>
      <c r="W130" s="16">
        <v>0.0</v>
      </c>
      <c r="X130" s="16">
        <v>0.0</v>
      </c>
      <c r="Y130" s="6"/>
      <c r="Z130" s="13" t="s">
        <v>30</v>
      </c>
      <c r="AA130" s="13"/>
      <c r="AB130" s="13" t="s">
        <v>30</v>
      </c>
      <c r="AC130" s="13" t="s">
        <v>30</v>
      </c>
      <c r="AD130" s="13"/>
      <c r="AE130" s="13" t="s">
        <v>30</v>
      </c>
      <c r="AF130" s="13"/>
      <c r="AG130" s="13" t="s">
        <v>30</v>
      </c>
      <c r="AH130" s="13" t="s">
        <v>30</v>
      </c>
      <c r="AI130" s="13" t="s">
        <v>30</v>
      </c>
      <c r="AJ130" s="13" t="s">
        <v>30</v>
      </c>
      <c r="AK130" s="13" t="s">
        <v>30</v>
      </c>
      <c r="AL130" s="13" t="s">
        <v>30</v>
      </c>
      <c r="AM130" s="13" t="s">
        <v>30</v>
      </c>
      <c r="AN130" s="6"/>
      <c r="AO130" s="13">
        <v>1.0</v>
      </c>
      <c r="AP130" s="13" t="s">
        <v>30</v>
      </c>
      <c r="AQ130" s="13"/>
      <c r="AR130" s="13" t="s">
        <v>30</v>
      </c>
      <c r="AS130" s="13" t="s">
        <v>30</v>
      </c>
      <c r="AT130" s="13">
        <v>1.0</v>
      </c>
      <c r="AU130" s="13" t="s">
        <v>30</v>
      </c>
      <c r="AV130" s="13"/>
      <c r="AW130" s="13" t="s">
        <v>30</v>
      </c>
      <c r="AX130" s="13" t="s">
        <v>30</v>
      </c>
      <c r="AY130" s="13" t="s">
        <v>30</v>
      </c>
      <c r="AZ130" s="13" t="s">
        <v>30</v>
      </c>
      <c r="BA130" s="13" t="s">
        <v>30</v>
      </c>
      <c r="BB130" s="13" t="s">
        <v>30</v>
      </c>
      <c r="BC130" s="13" t="s">
        <v>30</v>
      </c>
    </row>
    <row r="131">
      <c r="A131" s="13" t="s">
        <v>284</v>
      </c>
      <c r="B131" s="13"/>
      <c r="C131" s="13"/>
      <c r="D131" s="13" t="s">
        <v>285</v>
      </c>
      <c r="E131" s="13">
        <v>2.0</v>
      </c>
      <c r="F131" s="14">
        <v>2349.0</v>
      </c>
      <c r="G131" s="13" t="s">
        <v>29</v>
      </c>
      <c r="H131" s="13">
        <v>0.0</v>
      </c>
      <c r="I131" s="15"/>
      <c r="J131" s="6"/>
      <c r="K131" s="13">
        <v>0.0</v>
      </c>
      <c r="L131" s="16">
        <v>0.0</v>
      </c>
      <c r="M131" s="16">
        <v>0.0</v>
      </c>
      <c r="N131" s="16">
        <v>0.0</v>
      </c>
      <c r="O131" s="16">
        <v>0.0</v>
      </c>
      <c r="P131" s="16">
        <v>0.0</v>
      </c>
      <c r="Q131" s="16">
        <v>0.0</v>
      </c>
      <c r="R131" s="16">
        <v>0.0</v>
      </c>
      <c r="S131" s="16">
        <v>0.0</v>
      </c>
      <c r="T131" s="16">
        <v>0.0</v>
      </c>
      <c r="U131" s="16">
        <v>0.0</v>
      </c>
      <c r="V131" s="16">
        <v>0.0</v>
      </c>
      <c r="W131" s="16">
        <v>0.0</v>
      </c>
      <c r="X131" s="16">
        <v>0.0</v>
      </c>
      <c r="Y131" s="6"/>
      <c r="Z131" s="13"/>
      <c r="AA131" s="13"/>
      <c r="AB131" s="13"/>
      <c r="AC131" s="13"/>
      <c r="AD131" s="13"/>
      <c r="AE131" s="13"/>
      <c r="AF131" s="13"/>
      <c r="AG131" s="13" t="s">
        <v>30</v>
      </c>
      <c r="AH131" s="13" t="s">
        <v>30</v>
      </c>
      <c r="AI131" s="13" t="s">
        <v>30</v>
      </c>
      <c r="AJ131" s="13" t="s">
        <v>30</v>
      </c>
      <c r="AK131" s="13" t="s">
        <v>30</v>
      </c>
      <c r="AL131" s="13" t="s">
        <v>30</v>
      </c>
      <c r="AM131" s="13" t="s">
        <v>30</v>
      </c>
      <c r="AN131" s="6"/>
      <c r="AO131" s="13">
        <v>0.0</v>
      </c>
      <c r="AP131" s="13"/>
      <c r="AQ131" s="13"/>
      <c r="AR131" s="13"/>
      <c r="AS131" s="13"/>
      <c r="AT131" s="13"/>
      <c r="AU131" s="13"/>
      <c r="AV131" s="13"/>
      <c r="AW131" s="13" t="s">
        <v>30</v>
      </c>
      <c r="AX131" s="13" t="s">
        <v>30</v>
      </c>
      <c r="AY131" s="13" t="s">
        <v>30</v>
      </c>
      <c r="AZ131" s="13" t="s">
        <v>30</v>
      </c>
      <c r="BA131" s="13" t="s">
        <v>30</v>
      </c>
      <c r="BB131" s="13" t="s">
        <v>30</v>
      </c>
      <c r="BC131" s="13" t="s">
        <v>30</v>
      </c>
    </row>
    <row r="132">
      <c r="A132" s="13" t="s">
        <v>286</v>
      </c>
      <c r="B132" s="13"/>
      <c r="C132" s="13">
        <v>22373.0</v>
      </c>
      <c r="D132" s="13" t="s">
        <v>287</v>
      </c>
      <c r="E132" s="13">
        <v>1.0</v>
      </c>
      <c r="F132" s="14">
        <v>284.21</v>
      </c>
      <c r="G132" s="13" t="s">
        <v>29</v>
      </c>
      <c r="H132" s="13">
        <v>1.0</v>
      </c>
      <c r="I132" s="15"/>
      <c r="J132" s="6"/>
      <c r="K132" s="13">
        <v>1.0</v>
      </c>
      <c r="L132" s="16">
        <v>0.0</v>
      </c>
      <c r="M132" s="16">
        <v>0.0</v>
      </c>
      <c r="N132" s="16">
        <v>0.0</v>
      </c>
      <c r="O132" s="16">
        <v>0.0</v>
      </c>
      <c r="P132" s="16">
        <v>0.0</v>
      </c>
      <c r="Q132" s="16">
        <v>0.0</v>
      </c>
      <c r="R132" s="16">
        <v>0.0</v>
      </c>
      <c r="S132" s="16">
        <v>0.0</v>
      </c>
      <c r="T132" s="16">
        <v>0.0</v>
      </c>
      <c r="U132" s="16">
        <v>0.0</v>
      </c>
      <c r="V132" s="16">
        <v>0.0</v>
      </c>
      <c r="W132" s="16">
        <v>0.0</v>
      </c>
      <c r="X132" s="16">
        <v>0.0</v>
      </c>
      <c r="Y132" s="6"/>
      <c r="Z132" s="13"/>
      <c r="AA132" s="13"/>
      <c r="AB132" s="13"/>
      <c r="AC132" s="13"/>
      <c r="AD132" s="13">
        <v>1.0</v>
      </c>
      <c r="AE132" s="13"/>
      <c r="AF132" s="13"/>
      <c r="AG132" s="13" t="s">
        <v>30</v>
      </c>
      <c r="AH132" s="13" t="s">
        <v>30</v>
      </c>
      <c r="AI132" s="13" t="s">
        <v>30</v>
      </c>
      <c r="AJ132" s="13" t="s">
        <v>30</v>
      </c>
      <c r="AK132" s="13" t="s">
        <v>30</v>
      </c>
      <c r="AL132" s="13" t="s">
        <v>30</v>
      </c>
      <c r="AM132" s="13" t="s">
        <v>30</v>
      </c>
      <c r="AN132" s="6"/>
      <c r="AO132" s="13">
        <v>6.0</v>
      </c>
      <c r="AP132" s="13"/>
      <c r="AQ132" s="13">
        <v>1.0</v>
      </c>
      <c r="AR132" s="13">
        <v>1.0</v>
      </c>
      <c r="AS132" s="13">
        <v>1.0</v>
      </c>
      <c r="AT132" s="13">
        <v>1.0</v>
      </c>
      <c r="AU132" s="13">
        <v>1.0</v>
      </c>
      <c r="AV132" s="13">
        <v>1.0</v>
      </c>
      <c r="AW132" s="13" t="s">
        <v>30</v>
      </c>
      <c r="AX132" s="13" t="s">
        <v>30</v>
      </c>
      <c r="AY132" s="13" t="s">
        <v>30</v>
      </c>
      <c r="AZ132" s="13" t="s">
        <v>30</v>
      </c>
      <c r="BA132" s="13" t="s">
        <v>30</v>
      </c>
      <c r="BB132" s="13" t="s">
        <v>30</v>
      </c>
      <c r="BC132" s="13" t="s">
        <v>30</v>
      </c>
    </row>
    <row r="133">
      <c r="A133" s="13" t="s">
        <v>288</v>
      </c>
      <c r="B133" s="13"/>
      <c r="C133" s="13" t="s">
        <v>48</v>
      </c>
      <c r="D133" s="13" t="s">
        <v>289</v>
      </c>
      <c r="E133" s="13">
        <v>1.0</v>
      </c>
      <c r="F133" s="14">
        <v>222.0</v>
      </c>
      <c r="G133" s="13" t="s">
        <v>29</v>
      </c>
      <c r="H133" s="13">
        <v>0.0</v>
      </c>
      <c r="I133" s="15"/>
      <c r="J133" s="6"/>
      <c r="K133" s="13">
        <v>0.0</v>
      </c>
      <c r="L133" s="16">
        <v>0.0</v>
      </c>
      <c r="M133" s="16">
        <v>0.0</v>
      </c>
      <c r="N133" s="16">
        <v>0.0</v>
      </c>
      <c r="O133" s="16">
        <v>0.0</v>
      </c>
      <c r="P133" s="16">
        <v>0.0</v>
      </c>
      <c r="Q133" s="16">
        <v>0.0</v>
      </c>
      <c r="R133" s="16">
        <v>0.0</v>
      </c>
      <c r="S133" s="16">
        <v>0.0</v>
      </c>
      <c r="T133" s="16">
        <v>0.0</v>
      </c>
      <c r="U133" s="16">
        <v>0.0</v>
      </c>
      <c r="V133" s="16">
        <v>0.0</v>
      </c>
      <c r="W133" s="16">
        <v>0.0</v>
      </c>
      <c r="X133" s="16">
        <v>0.0</v>
      </c>
      <c r="Y133" s="6"/>
      <c r="Z133" s="13"/>
      <c r="AA133" s="13"/>
      <c r="AB133" s="13"/>
      <c r="AC133" s="13"/>
      <c r="AD133" s="13"/>
      <c r="AE133" s="13"/>
      <c r="AF133" s="13"/>
      <c r="AG133" s="13" t="s">
        <v>30</v>
      </c>
      <c r="AH133" s="13" t="s">
        <v>30</v>
      </c>
      <c r="AI133" s="13" t="s">
        <v>30</v>
      </c>
      <c r="AJ133" s="13" t="s">
        <v>30</v>
      </c>
      <c r="AK133" s="13" t="s">
        <v>30</v>
      </c>
      <c r="AL133" s="13" t="s">
        <v>30</v>
      </c>
      <c r="AM133" s="13" t="s">
        <v>30</v>
      </c>
      <c r="AN133" s="6"/>
      <c r="AO133" s="13">
        <v>4.0</v>
      </c>
      <c r="AP133" s="13"/>
      <c r="AQ133" s="13">
        <v>1.0</v>
      </c>
      <c r="AR133" s="13">
        <v>1.0</v>
      </c>
      <c r="AS133" s="13">
        <v>1.0</v>
      </c>
      <c r="AT133" s="13"/>
      <c r="AU133" s="13">
        <v>1.0</v>
      </c>
      <c r="AV133" s="13"/>
      <c r="AW133" s="13" t="s">
        <v>30</v>
      </c>
      <c r="AX133" s="13" t="s">
        <v>30</v>
      </c>
      <c r="AY133" s="13" t="s">
        <v>30</v>
      </c>
      <c r="AZ133" s="13" t="s">
        <v>30</v>
      </c>
      <c r="BA133" s="13" t="s">
        <v>30</v>
      </c>
      <c r="BB133" s="13" t="s">
        <v>30</v>
      </c>
      <c r="BC133" s="13" t="s">
        <v>30</v>
      </c>
    </row>
    <row r="134">
      <c r="A134" s="13" t="s">
        <v>290</v>
      </c>
      <c r="B134" s="13"/>
      <c r="C134" s="13">
        <v>54071.0</v>
      </c>
      <c r="D134" s="13" t="s">
        <v>291</v>
      </c>
      <c r="E134" s="13">
        <v>1.0</v>
      </c>
      <c r="F134" s="14">
        <v>372.84</v>
      </c>
      <c r="G134" s="13" t="s">
        <v>29</v>
      </c>
      <c r="H134" s="13">
        <v>0.0</v>
      </c>
      <c r="I134" s="15"/>
      <c r="J134" s="6"/>
      <c r="K134" s="13">
        <v>0.0</v>
      </c>
      <c r="L134" s="16">
        <v>0.0</v>
      </c>
      <c r="M134" s="16">
        <v>0.0</v>
      </c>
      <c r="N134" s="16">
        <v>0.0</v>
      </c>
      <c r="O134" s="16">
        <v>0.0</v>
      </c>
      <c r="P134" s="16">
        <v>0.0</v>
      </c>
      <c r="Q134" s="16">
        <v>0.0</v>
      </c>
      <c r="R134" s="16">
        <v>0.0</v>
      </c>
      <c r="S134" s="16">
        <v>0.0</v>
      </c>
      <c r="T134" s="16">
        <v>0.0</v>
      </c>
      <c r="U134" s="16">
        <v>0.0</v>
      </c>
      <c r="V134" s="16">
        <v>0.0</v>
      </c>
      <c r="W134" s="16">
        <v>0.0</v>
      </c>
      <c r="X134" s="16">
        <v>0.0</v>
      </c>
      <c r="Y134" s="6"/>
      <c r="Z134" s="13"/>
      <c r="AA134" s="13"/>
      <c r="AB134" s="13"/>
      <c r="AC134" s="13"/>
      <c r="AD134" s="13"/>
      <c r="AE134" s="13"/>
      <c r="AF134" s="13"/>
      <c r="AG134" s="13" t="s">
        <v>30</v>
      </c>
      <c r="AH134" s="13" t="s">
        <v>30</v>
      </c>
      <c r="AI134" s="13" t="s">
        <v>30</v>
      </c>
      <c r="AJ134" s="13" t="s">
        <v>30</v>
      </c>
      <c r="AK134" s="13" t="s">
        <v>30</v>
      </c>
      <c r="AL134" s="13" t="s">
        <v>30</v>
      </c>
      <c r="AM134" s="13" t="s">
        <v>30</v>
      </c>
      <c r="AN134" s="6"/>
      <c r="AO134" s="13">
        <v>4.0</v>
      </c>
      <c r="AP134" s="13"/>
      <c r="AQ134" s="13">
        <v>1.0</v>
      </c>
      <c r="AR134" s="13"/>
      <c r="AS134" s="13"/>
      <c r="AT134" s="13">
        <v>1.0</v>
      </c>
      <c r="AU134" s="13">
        <v>1.0</v>
      </c>
      <c r="AV134" s="13">
        <v>1.0</v>
      </c>
      <c r="AW134" s="13" t="s">
        <v>30</v>
      </c>
      <c r="AX134" s="13" t="s">
        <v>30</v>
      </c>
      <c r="AY134" s="13" t="s">
        <v>30</v>
      </c>
      <c r="AZ134" s="13" t="s">
        <v>30</v>
      </c>
      <c r="BA134" s="13" t="s">
        <v>30</v>
      </c>
      <c r="BB134" s="13" t="s">
        <v>30</v>
      </c>
      <c r="BC134" s="13" t="s">
        <v>30</v>
      </c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</row>
  </sheetData>
  <mergeCells count="3">
    <mergeCell ref="H1:X1"/>
    <mergeCell ref="Z1:AM1"/>
    <mergeCell ref="AO1:B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hidden="1" min="1" max="1" width="12.63"/>
    <col customWidth="1" min="3" max="3" width="25.13"/>
    <col customWidth="1" min="5" max="5" width="48.13"/>
    <col customWidth="1" min="6" max="6" width="18.88"/>
    <col customWidth="1" min="7" max="7" width="17.75"/>
    <col customWidth="1" hidden="1" min="8" max="8" width="15.88"/>
    <col customWidth="1" min="10" max="10" width="13.63"/>
    <col customWidth="1" min="11" max="11" width="42.13"/>
    <col customWidth="1" min="12" max="12" width="17.13"/>
    <col customWidth="1" min="13" max="13" width="20.25"/>
    <col customWidth="1" min="14" max="15" width="27.75"/>
    <col customWidth="1" min="16" max="16" width="15.5"/>
    <col customWidth="1" min="17" max="17" width="26.38"/>
    <col customWidth="1" min="18" max="18" width="18.13"/>
    <col customWidth="1" min="20" max="20" width="16.88"/>
    <col customWidth="1" min="21" max="21" width="14.0"/>
    <col customWidth="1" min="23" max="23" width="33.88"/>
  </cols>
  <sheetData>
    <row r="1">
      <c r="A1" s="20"/>
      <c r="B1" s="21" t="s">
        <v>292</v>
      </c>
      <c r="C1" s="5"/>
      <c r="D1" s="22">
        <f>TODAY()</f>
        <v>46310</v>
      </c>
      <c r="E1" s="23"/>
      <c r="F1" s="24"/>
      <c r="G1" s="23"/>
      <c r="H1" s="25"/>
      <c r="I1" s="26"/>
      <c r="J1" s="26"/>
      <c r="K1" s="27"/>
      <c r="L1" s="27"/>
      <c r="M1" s="27"/>
      <c r="N1" s="27"/>
      <c r="O1" s="27"/>
      <c r="P1" s="27"/>
      <c r="Q1" s="26"/>
      <c r="R1" s="28"/>
      <c r="S1" s="29"/>
      <c r="T1" s="29"/>
      <c r="U1" s="29"/>
      <c r="V1" s="30"/>
      <c r="W1" s="31"/>
      <c r="X1" s="32"/>
      <c r="Y1" s="33"/>
      <c r="Z1" s="34"/>
      <c r="AA1" s="34"/>
      <c r="AB1" s="34"/>
      <c r="AC1" s="31"/>
      <c r="AD1" s="31"/>
      <c r="AE1" s="31"/>
      <c r="AF1" s="31"/>
      <c r="AG1" s="31"/>
      <c r="AH1" s="31"/>
      <c r="AI1" s="31"/>
    </row>
    <row r="2">
      <c r="A2" s="20"/>
      <c r="B2" s="21" t="s">
        <v>293</v>
      </c>
      <c r="C2" s="5"/>
      <c r="D2" s="22">
        <v>46296.0</v>
      </c>
      <c r="E2" s="35"/>
      <c r="F2" s="35"/>
      <c r="G2" s="35"/>
      <c r="H2" s="35"/>
      <c r="I2" s="35"/>
      <c r="J2" s="26"/>
      <c r="K2" s="27"/>
      <c r="L2" s="27"/>
      <c r="M2" s="27"/>
      <c r="N2" s="27"/>
      <c r="O2" s="27"/>
      <c r="P2" s="27"/>
      <c r="Q2" s="26"/>
      <c r="R2" s="27"/>
      <c r="S2" s="36"/>
      <c r="T2" s="36"/>
      <c r="U2" s="36"/>
      <c r="V2" s="31"/>
      <c r="W2" s="31"/>
      <c r="X2" s="37"/>
      <c r="Y2" s="38"/>
      <c r="Z2" s="31"/>
      <c r="AA2" s="31"/>
      <c r="AB2" s="31"/>
      <c r="AC2" s="31"/>
      <c r="AD2" s="31"/>
      <c r="AE2" s="31"/>
      <c r="AF2" s="31"/>
      <c r="AG2" s="31"/>
      <c r="AH2" s="31"/>
      <c r="AI2" s="31"/>
    </row>
    <row r="3">
      <c r="A3" s="20"/>
      <c r="B3" s="39" t="s">
        <v>294</v>
      </c>
      <c r="C3" s="40"/>
      <c r="D3" s="40"/>
      <c r="E3" s="40"/>
      <c r="F3" s="40"/>
      <c r="G3" s="40"/>
      <c r="H3" s="40"/>
      <c r="I3" s="40"/>
      <c r="J3" s="41"/>
      <c r="K3" s="27"/>
      <c r="L3" s="42" t="s">
        <v>295</v>
      </c>
      <c r="M3" s="40"/>
      <c r="N3" s="40"/>
      <c r="O3" s="40"/>
      <c r="P3" s="40"/>
      <c r="Q3" s="40"/>
      <c r="R3" s="41"/>
      <c r="S3" s="36"/>
      <c r="T3" s="42" t="s">
        <v>296</v>
      </c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1"/>
    </row>
    <row r="4" ht="115.5" customHeight="1">
      <c r="A4" s="43" t="s">
        <v>297</v>
      </c>
      <c r="B4" s="43" t="s">
        <v>298</v>
      </c>
      <c r="C4" s="43" t="s">
        <v>4</v>
      </c>
      <c r="D4" s="44" t="s">
        <v>6</v>
      </c>
      <c r="E4" s="44" t="s">
        <v>299</v>
      </c>
      <c r="F4" s="44" t="s">
        <v>300</v>
      </c>
      <c r="G4" s="44" t="s">
        <v>301</v>
      </c>
      <c r="H4" s="44" t="s">
        <v>302</v>
      </c>
      <c r="I4" s="44" t="s">
        <v>303</v>
      </c>
      <c r="J4" s="44" t="s">
        <v>304</v>
      </c>
      <c r="K4" s="44" t="s">
        <v>305</v>
      </c>
      <c r="L4" s="44" t="s">
        <v>306</v>
      </c>
      <c r="M4" s="44" t="s">
        <v>307</v>
      </c>
      <c r="N4" s="44" t="s">
        <v>308</v>
      </c>
      <c r="O4" s="44" t="s">
        <v>309</v>
      </c>
      <c r="P4" s="43" t="s">
        <v>310</v>
      </c>
      <c r="Q4" s="45" t="s">
        <v>311</v>
      </c>
      <c r="R4" s="45" t="s">
        <v>312</v>
      </c>
      <c r="S4" s="46"/>
      <c r="T4" s="45" t="s">
        <v>313</v>
      </c>
      <c r="U4" s="45" t="s">
        <v>313</v>
      </c>
      <c r="V4" s="45" t="s">
        <v>314</v>
      </c>
      <c r="W4" s="45" t="s">
        <v>315</v>
      </c>
      <c r="X4" s="45" t="s">
        <v>316</v>
      </c>
      <c r="Y4" s="45" t="s">
        <v>317</v>
      </c>
      <c r="Z4" s="45" t="s">
        <v>318</v>
      </c>
      <c r="AA4" s="45" t="s">
        <v>319</v>
      </c>
      <c r="AB4" s="45" t="s">
        <v>320</v>
      </c>
      <c r="AC4" s="45" t="s">
        <v>321</v>
      </c>
      <c r="AD4" s="45" t="s">
        <v>322</v>
      </c>
      <c r="AE4" s="45" t="s">
        <v>323</v>
      </c>
      <c r="AF4" s="45" t="s">
        <v>324</v>
      </c>
      <c r="AG4" s="45" t="s">
        <v>325</v>
      </c>
      <c r="AH4" s="45" t="s">
        <v>326</v>
      </c>
      <c r="AI4" s="45" t="s">
        <v>327</v>
      </c>
    </row>
    <row r="5">
      <c r="A5" s="47" t="s">
        <v>328</v>
      </c>
      <c r="B5" s="47" t="s">
        <v>329</v>
      </c>
      <c r="C5" s="48" t="str">
        <f t="array" ref="C5">IFERROR(_xlfn.XLOOKUP($B5,'Histórico'!$B:$B,'Histórico'!$I:$I),"")</f>
        <v>066-01141-5101</v>
      </c>
      <c r="D5" s="19" t="str">
        <f t="array" ref="D5">IFERROR(_xlfn.XLOOKUP($B5,'Histórico'!$B:$B,'Histórico'!$J:$J),"")</f>
        <v>22373</v>
      </c>
      <c r="E5" s="19" t="str">
        <f t="array" ref="E5">IFERROR(_xlfn.XLOOKUP($B5,'Histórico'!$B:$B,'Histórico'!$K:$K),"")</f>
        <v>RECEIVER-TRANSMITTER,RADIO (KT71)</v>
      </c>
      <c r="F5" s="19" t="str">
        <f t="array" ref="F5">IFERROR(_xlfn.XLOOKUP($B5,'Histórico'!$B:$B,'Histórico'!$L:$L),"")</f>
        <v>3859</v>
      </c>
      <c r="G5" s="49" t="str">
        <f t="array" ref="G5">IFERROR(_xlfn.XLOOKUP($B5,'Histórico'!$B:$B,'Histórico'!$F:$F),"")</f>
        <v>10/02/2025</v>
      </c>
      <c r="H5" s="19" t="str">
        <f t="array" ref="H5">IFERROR(_xlfn.XLOOKUP($B5,'Histórico'!$B:$B,'Histórico'!$AA:$AA),"")</f>
        <v>PAMALS</v>
      </c>
      <c r="I5" s="19" t="str">
        <f t="array" ref="I5">IFERROR(_xlfn.XLOOKUP($B5,Atual!$B:$B,Atual!$E:$E),"OS concluída")</f>
        <v>REC</v>
      </c>
      <c r="J5" s="19">
        <f t="shared" ref="J5:J561" si="1">IF(G5="","",IF(I5="OS concluída","",$D$1-G5))</f>
        <v>612</v>
      </c>
      <c r="K5" s="19"/>
      <c r="L5" s="19" t="str">
        <f t="shared" ref="L5:L513" si="2">IF(N5="","",IFERROR(N5-G5,"NÃO APLICÁVEL"))</f>
        <v>NÃO APLICÁVEL</v>
      </c>
      <c r="M5" s="19"/>
      <c r="N5" s="49" t="str">
        <f t="array" ref="N5">IFERROR(_xlfn.XLOOKUP($B5,EMPRESA_1!A:A,EMPRESA_1!J:J),"")</f>
        <v>EM REPARO</v>
      </c>
      <c r="O5" s="50" t="str">
        <f t="array" ref="O5">IFERROR(_xlfn.XLOOKUP(B5,EMPRESA_1!A:A,EMPRESA_1!K:K),"")
</f>
        <v>LEAP</v>
      </c>
      <c r="P5" s="48" t="str">
        <f t="array" ref="P5">IFERROR(_xlfn.XLOOKUP(B5,EMPRESA_1!A:A,EMPRESA_1!L:L),"")</f>
        <v/>
      </c>
      <c r="Q5" s="49" t="str">
        <f t="array" ref="Q5">IFERROR(_xlfn.XLOOKUP(B5,EMPRESA_1!A:A,EMPRESA_1!J:J),"")</f>
        <v>EM REPARO</v>
      </c>
      <c r="R5" s="19" t="str">
        <f t="array" ref="R5">IFERROR(_xlfn.XLOOKUP(B5,EMPRESA_1!A:A,EMPRESA_1!M:M),"")</f>
        <v/>
      </c>
      <c r="S5" s="51"/>
      <c r="T5" s="51" t="str">
        <f t="array" ref="T5">IFERROR(_xlfn.XLOOKUP($F5,'Acerto virtual'!$E:$E,'Acerto virtual'!F:F),"")</f>
        <v/>
      </c>
      <c r="U5" s="51" t="str">
        <f t="array" ref="U5">IFERROR(_xlfn.XLOOKUP($F5,'Acerto virtual'!$E:$E,'Acerto virtual'!G:G),"")</f>
        <v/>
      </c>
      <c r="V5" s="51" t="str">
        <f t="array" ref="V5">IFERROR(_xlfn.XLOOKUP($F5,'Acerto virtual'!$E:$E,'Acerto virtual'!H:H),"")</f>
        <v/>
      </c>
      <c r="W5" s="51" t="str">
        <f t="array" ref="W5">IFERROR(_xlfn.XLOOKUP($F5,'Acerto virtual'!$E:$E,'Acerto virtual'!I:I),"")</f>
        <v/>
      </c>
      <c r="X5" s="51" t="str">
        <f t="array" ref="X5">IFERROR(_xlfn.XLOOKUP($F5,'Acerto virtual'!$E:$E,'Acerto virtual'!J:J),"")</f>
        <v/>
      </c>
      <c r="Y5" s="51" t="str">
        <f t="array" ref="Y5">IFERROR(_xlfn.XLOOKUP($F5,'Acerto virtual'!$E:$E,'Acerto virtual'!K:K),"")</f>
        <v/>
      </c>
      <c r="Z5" s="51" t="str">
        <f t="array" ref="Z5">IFERROR(_xlfn.XLOOKUP($F5,'Acerto virtual'!$E:$E,'Acerto virtual'!L:L),"")</f>
        <v/>
      </c>
      <c r="AA5" s="51" t="str">
        <f t="array" ref="AA5">IFERROR(_xlfn.XLOOKUP($F5,'Acerto virtual'!$E:$E,'Acerto virtual'!M:M),"")</f>
        <v/>
      </c>
      <c r="AB5" s="51" t="str">
        <f t="array" ref="AB5">IFERROR(_xlfn.XLOOKUP($F5,'Acerto virtual'!$E:$E,'Acerto virtual'!N:N),"")</f>
        <v/>
      </c>
      <c r="AC5" s="51" t="str">
        <f t="array" ref="AC5">IFERROR(_xlfn.XLOOKUP($F5,'Acerto virtual'!$E:$E,'Acerto virtual'!O:O),"")</f>
        <v/>
      </c>
      <c r="AD5" s="51" t="str">
        <f t="array" ref="AD5">IFERROR(_xlfn.XLOOKUP($F5,'Acerto virtual'!$E:$E,'Acerto virtual'!P:P),"")</f>
        <v/>
      </c>
      <c r="AE5" s="51" t="str">
        <f t="array" ref="AE5">IFERROR(_xlfn.XLOOKUP($F5,'Acerto virtual'!$E:$E,'Acerto virtual'!Q:Q),"")</f>
        <v/>
      </c>
      <c r="AF5" s="51" t="str">
        <f t="array" ref="AF5">IFERROR(_xlfn.XLOOKUP($F5,'Acerto virtual'!$E:$E,'Acerto virtual'!R:R),"")</f>
        <v/>
      </c>
      <c r="AG5" s="51" t="str">
        <f t="array" ref="AG5">IFERROR(_xlfn.XLOOKUP($F5,'Acerto virtual'!$E:$E,'Acerto virtual'!S:S),"")</f>
        <v/>
      </c>
      <c r="AH5" s="51" t="str">
        <f t="array" ref="AH5">IFERROR(_xlfn.XLOOKUP($F5,'Acerto virtual'!$E:$E,'Acerto virtual'!T:T),"")</f>
        <v/>
      </c>
      <c r="AI5" s="51" t="str">
        <f t="array" ref="AI5">IFERROR(_xlfn.XLOOKUP($F5,'Acerto virtual'!$E:$E,'Acerto virtual'!U:U),"")</f>
        <v/>
      </c>
    </row>
    <row r="6">
      <c r="A6" s="47" t="s">
        <v>330</v>
      </c>
      <c r="B6" s="47" t="s">
        <v>331</v>
      </c>
      <c r="C6" s="48" t="str">
        <f t="array" ref="C6">IFERROR(_xlfn.XLOOKUP($B6,'Histórico'!$B:$B,'Histórico'!$I:$I),"")</f>
        <v>452-0133</v>
      </c>
      <c r="D6" s="19" t="str">
        <f t="array" ref="D6">IFERROR(_xlfn.XLOOKUP($B6,'Histórico'!$B:$B,'Histórico'!$J:$J),"")</f>
        <v>78286</v>
      </c>
      <c r="E6" s="19" t="str">
        <f t="array" ref="E6">IFERROR(_xlfn.XLOOKUP($B6,'Histórico'!$B:$B,'Histórico'!$K:$K),"")</f>
        <v>BATTERY,NONRECHARGEABLE</v>
      </c>
      <c r="F6" s="19" t="str">
        <f t="array" ref="F6">IFERROR(_xlfn.XLOOKUP($B6,'Histórico'!$B:$B,'Histórico'!$L:$L),"")</f>
        <v>382750-016</v>
      </c>
      <c r="G6" s="49" t="str">
        <f t="array" ref="G6">IFERROR(_xlfn.XLOOKUP($B6,'Histórico'!$B:$B,'Histórico'!$F:$F),"")</f>
        <v>26/02/2025</v>
      </c>
      <c r="H6" s="19" t="str">
        <f t="array" ref="H6">IFERROR(_xlfn.XLOOKUP($B6,'Histórico'!$B:$B,'Histórico'!$AA:$AA),"")</f>
        <v>BABR</v>
      </c>
      <c r="I6" s="19" t="str">
        <f t="array" ref="I6">IFERROR(_xlfn.XLOOKUP($B6,Atual!$B:$B,Atual!$E:$E),"OS concluída")</f>
        <v>REC</v>
      </c>
      <c r="J6" s="19">
        <f t="shared" si="1"/>
        <v>596</v>
      </c>
      <c r="K6" s="19"/>
      <c r="L6" s="19" t="str">
        <f t="shared" si="2"/>
        <v>NÃO APLICÁVEL</v>
      </c>
      <c r="M6" s="19"/>
      <c r="N6" s="49" t="str">
        <f t="array" ref="N6">IFERROR(_xlfn.XLOOKUP($B6,EMPRESA_1!A:A,EMPRESA_1!J:J),"")</f>
        <v>CONDENADO</v>
      </c>
      <c r="O6" s="50" t="str">
        <f t="array" ref="O6">IFERROR(_xlfn.XLOOKUP(B6,EMPRESA_1!A:A,EMPRESA_1!K:K),"")
</f>
        <v>VEE ONE</v>
      </c>
      <c r="P6" s="48" t="str">
        <f t="array" ref="P6">IFERROR(_xlfn.XLOOKUP(B6,EMPRESA_1!A:A,EMPRESA_1!L:L),"")</f>
        <v/>
      </c>
      <c r="Q6" s="49" t="str">
        <f t="array" ref="Q6">IFERROR(_xlfn.XLOOKUP(B6,EMPRESA_1!A:A,EMPRESA_1!J:J),"")</f>
        <v>CONDENADO</v>
      </c>
      <c r="R6" s="19" t="str">
        <f t="array" ref="R6">IFERROR(_xlfn.XLOOKUP(B6,EMPRESA_1!A:A,EMPRESA_1!M:M),"")</f>
        <v/>
      </c>
      <c r="S6" s="51"/>
      <c r="T6" s="51" t="str">
        <f t="array" ref="T6">IFERROR(_xlfn.XLOOKUP($F6,'Acerto virtual'!$E:$E,'Acerto virtual'!F:F),"")</f>
        <v/>
      </c>
      <c r="U6" s="51" t="str">
        <f t="array" ref="U6">IFERROR(_xlfn.XLOOKUP($F6,'Acerto virtual'!$E:$E,'Acerto virtual'!G:G),"")</f>
        <v/>
      </c>
      <c r="V6" s="51" t="str">
        <f t="array" ref="V6">IFERROR(_xlfn.XLOOKUP($F6,'Acerto virtual'!$E:$E,'Acerto virtual'!H:H),"")</f>
        <v/>
      </c>
      <c r="W6" s="51" t="str">
        <f t="array" ref="W6">IFERROR(_xlfn.XLOOKUP($F6,'Acerto virtual'!$E:$E,'Acerto virtual'!I:I),"")</f>
        <v/>
      </c>
      <c r="X6" s="51" t="str">
        <f t="array" ref="X6">IFERROR(_xlfn.XLOOKUP($F6,'Acerto virtual'!$E:$E,'Acerto virtual'!J:J),"")</f>
        <v/>
      </c>
      <c r="Y6" s="51" t="str">
        <f t="array" ref="Y6">IFERROR(_xlfn.XLOOKUP($F6,'Acerto virtual'!$E:$E,'Acerto virtual'!K:K),"")</f>
        <v/>
      </c>
      <c r="Z6" s="51" t="str">
        <f t="array" ref="Z6">IFERROR(_xlfn.XLOOKUP($F6,'Acerto virtual'!$E:$E,'Acerto virtual'!L:L),"")</f>
        <v/>
      </c>
      <c r="AA6" s="51" t="str">
        <f t="array" ref="AA6">IFERROR(_xlfn.XLOOKUP($F6,'Acerto virtual'!$E:$E,'Acerto virtual'!M:M),"")</f>
        <v/>
      </c>
      <c r="AB6" s="51" t="str">
        <f t="array" ref="AB6">IFERROR(_xlfn.XLOOKUP($F6,'Acerto virtual'!$E:$E,'Acerto virtual'!N:N),"")</f>
        <v/>
      </c>
      <c r="AC6" s="51" t="str">
        <f t="array" ref="AC6">IFERROR(_xlfn.XLOOKUP($F6,'Acerto virtual'!$E:$E,'Acerto virtual'!O:O),"")</f>
        <v/>
      </c>
      <c r="AD6" s="51" t="str">
        <f t="array" ref="AD6">IFERROR(_xlfn.XLOOKUP($F6,'Acerto virtual'!$E:$E,'Acerto virtual'!P:P),"")</f>
        <v/>
      </c>
      <c r="AE6" s="51" t="str">
        <f t="array" ref="AE6">IFERROR(_xlfn.XLOOKUP($F6,'Acerto virtual'!$E:$E,'Acerto virtual'!Q:Q),"")</f>
        <v/>
      </c>
      <c r="AF6" s="51" t="str">
        <f t="array" ref="AF6">IFERROR(_xlfn.XLOOKUP($F6,'Acerto virtual'!$E:$E,'Acerto virtual'!R:R),"")</f>
        <v/>
      </c>
      <c r="AG6" s="51" t="str">
        <f t="array" ref="AG6">IFERROR(_xlfn.XLOOKUP($F6,'Acerto virtual'!$E:$E,'Acerto virtual'!S:S),"")</f>
        <v/>
      </c>
      <c r="AH6" s="51" t="str">
        <f t="array" ref="AH6">IFERROR(_xlfn.XLOOKUP($F6,'Acerto virtual'!$E:$E,'Acerto virtual'!T:T),"")</f>
        <v/>
      </c>
      <c r="AI6" s="51" t="str">
        <f t="array" ref="AI6">IFERROR(_xlfn.XLOOKUP($F6,'Acerto virtual'!$E:$E,'Acerto virtual'!U:U),"")</f>
        <v/>
      </c>
    </row>
    <row r="7">
      <c r="A7" s="47" t="s">
        <v>332</v>
      </c>
      <c r="B7" s="47" t="s">
        <v>333</v>
      </c>
      <c r="C7" s="48" t="str">
        <f t="array" ref="C7">IFERROR(_xlfn.XLOOKUP($B7,'Histórico'!$B:$B,'Histórico'!$I:$I),"")</f>
        <v>452-0133</v>
      </c>
      <c r="D7" s="19" t="str">
        <f t="array" ref="D7">IFERROR(_xlfn.XLOOKUP($B7,'Histórico'!$B:$B,'Histórico'!$J:$J),"")</f>
        <v>78286</v>
      </c>
      <c r="E7" s="19" t="str">
        <f t="array" ref="E7">IFERROR(_xlfn.XLOOKUP($B7,'Histórico'!$B:$B,'Histórico'!$K:$K),"")</f>
        <v>BATTERY,NONRECHARGEABLE</v>
      </c>
      <c r="F7" s="19" t="str">
        <f t="array" ref="F7">IFERROR(_xlfn.XLOOKUP($B7,'Histórico'!$B:$B,'Histórico'!$L:$L),"")</f>
        <v>382750-023</v>
      </c>
      <c r="G7" s="49" t="str">
        <f t="array" ref="G7">IFERROR(_xlfn.XLOOKUP($B7,'Histórico'!$B:$B,'Histórico'!$F:$F),"")</f>
        <v>26/02/2025</v>
      </c>
      <c r="H7" s="19" t="str">
        <f t="array" ref="H7">IFERROR(_xlfn.XLOOKUP($B7,'Histórico'!$B:$B,'Histórico'!$AA:$AA),"")</f>
        <v>BAMN</v>
      </c>
      <c r="I7" s="19" t="str">
        <f t="array" ref="I7">IFERROR(_xlfn.XLOOKUP($B7,Atual!$B:$B,Atual!$E:$E),"OS concluída")</f>
        <v>REC</v>
      </c>
      <c r="J7" s="19">
        <f t="shared" si="1"/>
        <v>596</v>
      </c>
      <c r="K7" s="19"/>
      <c r="L7" s="19" t="str">
        <f t="shared" si="2"/>
        <v>NÃO APLICÁVEL</v>
      </c>
      <c r="M7" s="19"/>
      <c r="N7" s="49" t="str">
        <f t="array" ref="N7">IFERROR(_xlfn.XLOOKUP($B7,EMPRESA_1!A:A,EMPRESA_1!J:J),"")</f>
        <v>CONDENADO</v>
      </c>
      <c r="O7" s="50" t="str">
        <f t="array" ref="O7">IFERROR(_xlfn.XLOOKUP(B7,EMPRESA_1!A:A,EMPRESA_1!K:K),"")
</f>
        <v>VEE ONE</v>
      </c>
      <c r="P7" s="48" t="str">
        <f t="array" ref="P7">IFERROR(_xlfn.XLOOKUP(B7,EMPRESA_1!A:A,EMPRESA_1!L:L),"")</f>
        <v/>
      </c>
      <c r="Q7" s="49" t="str">
        <f t="array" ref="Q7">IFERROR(_xlfn.XLOOKUP(B7,EMPRESA_1!A:A,EMPRESA_1!J:J),"")</f>
        <v>CONDENADO</v>
      </c>
      <c r="R7" s="19" t="str">
        <f t="array" ref="R7">IFERROR(_xlfn.XLOOKUP(B7,EMPRESA_1!A:A,EMPRESA_1!M:M),"")</f>
        <v/>
      </c>
      <c r="S7" s="51"/>
      <c r="T7" s="51" t="str">
        <f t="array" ref="T7">IFERROR(_xlfn.XLOOKUP($F7,'Acerto virtual'!$E:$E,'Acerto virtual'!F:F),"")</f>
        <v/>
      </c>
      <c r="U7" s="51" t="str">
        <f t="array" ref="U7">IFERROR(_xlfn.XLOOKUP($F7,'Acerto virtual'!$E:$E,'Acerto virtual'!G:G),"")</f>
        <v/>
      </c>
      <c r="V7" s="51" t="str">
        <f t="array" ref="V7">IFERROR(_xlfn.XLOOKUP($F7,'Acerto virtual'!$E:$E,'Acerto virtual'!H:H),"")</f>
        <v/>
      </c>
      <c r="W7" s="51" t="str">
        <f t="array" ref="W7">IFERROR(_xlfn.XLOOKUP($F7,'Acerto virtual'!$E:$E,'Acerto virtual'!I:I),"")</f>
        <v/>
      </c>
      <c r="X7" s="51" t="str">
        <f t="array" ref="X7">IFERROR(_xlfn.XLOOKUP($F7,'Acerto virtual'!$E:$E,'Acerto virtual'!J:J),"")</f>
        <v/>
      </c>
      <c r="Y7" s="51" t="str">
        <f t="array" ref="Y7">IFERROR(_xlfn.XLOOKUP($F7,'Acerto virtual'!$E:$E,'Acerto virtual'!K:K),"")</f>
        <v/>
      </c>
      <c r="Z7" s="51" t="str">
        <f t="array" ref="Z7">IFERROR(_xlfn.XLOOKUP($F7,'Acerto virtual'!$E:$E,'Acerto virtual'!L:L),"")</f>
        <v/>
      </c>
      <c r="AA7" s="51" t="str">
        <f t="array" ref="AA7">IFERROR(_xlfn.XLOOKUP($F7,'Acerto virtual'!$E:$E,'Acerto virtual'!M:M),"")</f>
        <v/>
      </c>
      <c r="AB7" s="51" t="str">
        <f t="array" ref="AB7">IFERROR(_xlfn.XLOOKUP($F7,'Acerto virtual'!$E:$E,'Acerto virtual'!N:N),"")</f>
        <v/>
      </c>
      <c r="AC7" s="51" t="str">
        <f t="array" ref="AC7">IFERROR(_xlfn.XLOOKUP($F7,'Acerto virtual'!$E:$E,'Acerto virtual'!O:O),"")</f>
        <v/>
      </c>
      <c r="AD7" s="51" t="str">
        <f t="array" ref="AD7">IFERROR(_xlfn.XLOOKUP($F7,'Acerto virtual'!$E:$E,'Acerto virtual'!P:P),"")</f>
        <v/>
      </c>
      <c r="AE7" s="51" t="str">
        <f t="array" ref="AE7">IFERROR(_xlfn.XLOOKUP($F7,'Acerto virtual'!$E:$E,'Acerto virtual'!Q:Q),"")</f>
        <v/>
      </c>
      <c r="AF7" s="51" t="str">
        <f t="array" ref="AF7">IFERROR(_xlfn.XLOOKUP($F7,'Acerto virtual'!$E:$E,'Acerto virtual'!R:R),"")</f>
        <v/>
      </c>
      <c r="AG7" s="51" t="str">
        <f t="array" ref="AG7">IFERROR(_xlfn.XLOOKUP($F7,'Acerto virtual'!$E:$E,'Acerto virtual'!S:S),"")</f>
        <v/>
      </c>
      <c r="AH7" s="51" t="str">
        <f t="array" ref="AH7">IFERROR(_xlfn.XLOOKUP($F7,'Acerto virtual'!$E:$E,'Acerto virtual'!T:T),"")</f>
        <v/>
      </c>
      <c r="AI7" s="51" t="str">
        <f t="array" ref="AI7">IFERROR(_xlfn.XLOOKUP($F7,'Acerto virtual'!$E:$E,'Acerto virtual'!U:U),"")</f>
        <v/>
      </c>
    </row>
    <row r="8">
      <c r="A8" s="47" t="s">
        <v>334</v>
      </c>
      <c r="B8" s="47" t="s">
        <v>335</v>
      </c>
      <c r="C8" s="48" t="str">
        <f t="array" ref="C8">IFERROR(_xlfn.XLOOKUP($B8,'Histórico'!$B:$B,'Histórico'!$I:$I),"")</f>
        <v>3034792</v>
      </c>
      <c r="D8" s="19" t="str">
        <f t="array" ref="D8">IFERROR(_xlfn.XLOOKUP($B8,'Histórico'!$B:$B,'Histórico'!$J:$J),"")</f>
        <v>00198</v>
      </c>
      <c r="E8" s="19" t="str">
        <f t="array" ref="E8">IFERROR(_xlfn.XLOOKUP($B8,'Histórico'!$B:$B,'Histórico'!$K:$K),"")</f>
        <v>BOMBA DE COMBUSTÍVEL</v>
      </c>
      <c r="F8" s="52" t="str">
        <f t="array" ref="F8">IFERROR(_xlfn.XLOOKUP($B8,'Histórico'!$B:$B,'Histórico'!$L:$L),"")</f>
        <v>003342</v>
      </c>
      <c r="G8" s="49" t="str">
        <f t="array" ref="G8">IFERROR(_xlfn.XLOOKUP($B8,'Histórico'!$B:$B,'Histórico'!$F:$F),"")</f>
        <v>26/02/2025</v>
      </c>
      <c r="H8" s="19" t="str">
        <f t="array" ref="H8">IFERROR(_xlfn.XLOOKUP($B8,'Histórico'!$B:$B,'Histórico'!$AA:$AA),"")</f>
        <v>PAMALS</v>
      </c>
      <c r="I8" s="19" t="str">
        <f t="array" ref="I8">IFERROR(_xlfn.XLOOKUP($B8,Atual!$B:$B,Atual!$E:$E),"OS concluída")</f>
        <v>REC</v>
      </c>
      <c r="J8" s="19">
        <f t="shared" si="1"/>
        <v>596</v>
      </c>
      <c r="K8" s="19"/>
      <c r="L8" s="19">
        <f t="shared" si="2"/>
        <v>279</v>
      </c>
      <c r="M8" s="19"/>
      <c r="N8" s="49">
        <f t="array" ref="N8">IFERROR(_xlfn.XLOOKUP($B8,EMPRESA_1!A:A,EMPRESA_1!J:J),"")</f>
        <v>45993</v>
      </c>
      <c r="O8" s="50" t="str">
        <f t="array" ref="O8">IFERROR(_xlfn.XLOOKUP(B8,EMPRESA_1!A:A,EMPRESA_1!K:K),"")
</f>
        <v>BANT</v>
      </c>
      <c r="P8" s="19" t="str">
        <f t="array" ref="P8">IFERROR(_xlfn.XLOOKUP(B8,EMPRESA_1!A:A,EMPRESA_1!L:L),"")</f>
        <v>282/FAB/25</v>
      </c>
      <c r="Q8" s="49">
        <f t="array" ref="Q8">IFERROR(_xlfn.XLOOKUP(B8,EMPRESA_1!A:A,EMPRESA_1!J:J),"")</f>
        <v>45993</v>
      </c>
      <c r="R8" s="19" t="str">
        <f t="array" ref="R8">IFERROR(_xlfn.XLOOKUP(B8,EMPRESA_1!A:A,EMPRESA_1!M:M),"")</f>
        <v/>
      </c>
      <c r="S8" s="51"/>
      <c r="T8" s="51" t="str">
        <f t="array" ref="T8">IFERROR(_xlfn.XLOOKUP($F8,'Acerto virtual'!$E:$E,'Acerto virtual'!F:F),"")</f>
        <v/>
      </c>
      <c r="U8" s="51" t="str">
        <f t="array" ref="U8">IFERROR(_xlfn.XLOOKUP($F8,'Acerto virtual'!$E:$E,'Acerto virtual'!G:G),"")</f>
        <v/>
      </c>
      <c r="V8" s="51" t="str">
        <f t="array" ref="V8">IFERROR(_xlfn.XLOOKUP($F8,'Acerto virtual'!$E:$E,'Acerto virtual'!H:H),"")</f>
        <v/>
      </c>
      <c r="W8" s="51" t="str">
        <f t="array" ref="W8">IFERROR(_xlfn.XLOOKUP($F8,'Acerto virtual'!$E:$E,'Acerto virtual'!I:I),"")</f>
        <v/>
      </c>
      <c r="X8" s="51" t="str">
        <f t="array" ref="X8">IFERROR(_xlfn.XLOOKUP($F8,'Acerto virtual'!$E:$E,'Acerto virtual'!J:J),"")</f>
        <v/>
      </c>
      <c r="Y8" s="51" t="str">
        <f t="array" ref="Y8">IFERROR(_xlfn.XLOOKUP($F8,'Acerto virtual'!$E:$E,'Acerto virtual'!K:K),"")</f>
        <v/>
      </c>
      <c r="Z8" s="51" t="str">
        <f t="array" ref="Z8">IFERROR(_xlfn.XLOOKUP($F8,'Acerto virtual'!$E:$E,'Acerto virtual'!L:L),"")</f>
        <v/>
      </c>
      <c r="AA8" s="51" t="str">
        <f t="array" ref="AA8">IFERROR(_xlfn.XLOOKUP($F8,'Acerto virtual'!$E:$E,'Acerto virtual'!M:M),"")</f>
        <v/>
      </c>
      <c r="AB8" s="51" t="str">
        <f t="array" ref="AB8">IFERROR(_xlfn.XLOOKUP($F8,'Acerto virtual'!$E:$E,'Acerto virtual'!N:N),"")</f>
        <v/>
      </c>
      <c r="AC8" s="51" t="str">
        <f t="array" ref="AC8">IFERROR(_xlfn.XLOOKUP($F8,'Acerto virtual'!$E:$E,'Acerto virtual'!O:O),"")</f>
        <v/>
      </c>
      <c r="AD8" s="51" t="str">
        <f t="array" ref="AD8">IFERROR(_xlfn.XLOOKUP($F8,'Acerto virtual'!$E:$E,'Acerto virtual'!P:P),"")</f>
        <v/>
      </c>
      <c r="AE8" s="51" t="str">
        <f t="array" ref="AE8">IFERROR(_xlfn.XLOOKUP($F8,'Acerto virtual'!$E:$E,'Acerto virtual'!Q:Q),"")</f>
        <v/>
      </c>
      <c r="AF8" s="51" t="str">
        <f t="array" ref="AF8">IFERROR(_xlfn.XLOOKUP($F8,'Acerto virtual'!$E:$E,'Acerto virtual'!R:R),"")</f>
        <v/>
      </c>
      <c r="AG8" s="51" t="str">
        <f t="array" ref="AG8">IFERROR(_xlfn.XLOOKUP($F8,'Acerto virtual'!$E:$E,'Acerto virtual'!S:S),"")</f>
        <v/>
      </c>
      <c r="AH8" s="51" t="str">
        <f t="array" ref="AH8">IFERROR(_xlfn.XLOOKUP($F8,'Acerto virtual'!$E:$E,'Acerto virtual'!T:T),"")</f>
        <v/>
      </c>
      <c r="AI8" s="51" t="str">
        <f t="array" ref="AI8">IFERROR(_xlfn.XLOOKUP($F8,'Acerto virtual'!$E:$E,'Acerto virtual'!U:U),"")</f>
        <v/>
      </c>
    </row>
    <row r="9">
      <c r="A9" s="47" t="s">
        <v>336</v>
      </c>
      <c r="B9" s="47" t="s">
        <v>337</v>
      </c>
      <c r="C9" s="48" t="str">
        <f t="array" ref="C9">IFERROR(_xlfn.XLOOKUP($B9,'Histórico'!$B:$B,'Histórico'!$I:$I),"")</f>
        <v>453-5060</v>
      </c>
      <c r="D9" s="19" t="str">
        <f t="array" ref="D9">IFERROR(_xlfn.XLOOKUP($B9,'Histórico'!$B:$B,'Histórico'!$J:$J),"")</f>
        <v>60253</v>
      </c>
      <c r="E9" s="19" t="str">
        <f t="array" ref="E9">IFERROR(_xlfn.XLOOKUP($B9,'Histórico'!$B:$B,'Histórico'!$K:$K),"")</f>
        <v>BEACON,DISTRESS</v>
      </c>
      <c r="F9" s="19" t="str">
        <f t="array" ref="F9">IFERROR(_xlfn.XLOOKUP($B9,'Histórico'!$B:$B,'Histórico'!$L:$L),"")</f>
        <v>09450</v>
      </c>
      <c r="G9" s="49" t="str">
        <f t="array" ref="G9">IFERROR(_xlfn.XLOOKUP($B9,'Histórico'!$B:$B,'Histórico'!$F:$F),"")</f>
        <v>20/03/2025</v>
      </c>
      <c r="H9" s="19" t="str">
        <f t="array" ref="H9">IFERROR(_xlfn.XLOOKUP($B9,'Histórico'!$B:$B,'Histórico'!$AA:$AA),"")</f>
        <v>BAMN</v>
      </c>
      <c r="I9" s="19" t="str">
        <f t="array" ref="I9">IFERROR(_xlfn.XLOOKUP($B9,Atual!$B:$B,Atual!$E:$E),"OS concluída")</f>
        <v>REC</v>
      </c>
      <c r="J9" s="19">
        <f t="shared" si="1"/>
        <v>574</v>
      </c>
      <c r="K9" s="19"/>
      <c r="L9" s="19">
        <f t="shared" si="2"/>
        <v>153</v>
      </c>
      <c r="M9" s="19"/>
      <c r="N9" s="49">
        <f t="array" ref="N9">IFERROR(_xlfn.XLOOKUP($B9,EMPRESA_1!A:A,EMPRESA_1!J:J),"")</f>
        <v>45889</v>
      </c>
      <c r="O9" s="50" t="str">
        <f t="array" ref="O9">IFERROR(_xlfn.XLOOKUP(B9,EMPRESA_1!A:A,EMPRESA_1!K:K),"")
</f>
        <v>PAMA-LS</v>
      </c>
      <c r="P9" s="19" t="str">
        <f t="array" ref="P9">IFERROR(_xlfn.XLOOKUP(B9,EMPRESA_1!A:A,EMPRESA_1!L:L),"")</f>
        <v>159/C98/2025</v>
      </c>
      <c r="Q9" s="49">
        <f t="array" ref="Q9">IFERROR(_xlfn.XLOOKUP(B9,EMPRESA_1!A:A,EMPRESA_1!J:J),"")</f>
        <v>45889</v>
      </c>
      <c r="R9" s="19" t="str">
        <f t="array" ref="R9">IFERROR(_xlfn.XLOOKUP(B9,EMPRESA_1!A:A,EMPRESA_1!M:M),"")</f>
        <v/>
      </c>
      <c r="S9" s="51"/>
      <c r="T9" s="51" t="str">
        <f t="array" ref="T9">IFERROR(_xlfn.XLOOKUP($F9,'Acerto virtual'!$E:$E,'Acerto virtual'!F:F),"")</f>
        <v/>
      </c>
      <c r="U9" s="51" t="str">
        <f t="array" ref="U9">IFERROR(_xlfn.XLOOKUP($F9,'Acerto virtual'!$E:$E,'Acerto virtual'!G:G),"")</f>
        <v/>
      </c>
      <c r="V9" s="51" t="str">
        <f t="array" ref="V9">IFERROR(_xlfn.XLOOKUP($F9,'Acerto virtual'!$E:$E,'Acerto virtual'!H:H),"")</f>
        <v/>
      </c>
      <c r="W9" s="51" t="str">
        <f t="array" ref="W9">IFERROR(_xlfn.XLOOKUP($F9,'Acerto virtual'!$E:$E,'Acerto virtual'!I:I),"")</f>
        <v/>
      </c>
      <c r="X9" s="51" t="str">
        <f t="array" ref="X9">IFERROR(_xlfn.XLOOKUP($F9,'Acerto virtual'!$E:$E,'Acerto virtual'!J:J),"")</f>
        <v/>
      </c>
      <c r="Y9" s="51" t="str">
        <f t="array" ref="Y9">IFERROR(_xlfn.XLOOKUP($F9,'Acerto virtual'!$E:$E,'Acerto virtual'!K:K),"")</f>
        <v/>
      </c>
      <c r="Z9" s="51" t="str">
        <f t="array" ref="Z9">IFERROR(_xlfn.XLOOKUP($F9,'Acerto virtual'!$E:$E,'Acerto virtual'!L:L),"")</f>
        <v/>
      </c>
      <c r="AA9" s="51" t="str">
        <f t="array" ref="AA9">IFERROR(_xlfn.XLOOKUP($F9,'Acerto virtual'!$E:$E,'Acerto virtual'!M:M),"")</f>
        <v/>
      </c>
      <c r="AB9" s="51" t="str">
        <f t="array" ref="AB9">IFERROR(_xlfn.XLOOKUP($F9,'Acerto virtual'!$E:$E,'Acerto virtual'!N:N),"")</f>
        <v/>
      </c>
      <c r="AC9" s="51" t="str">
        <f t="array" ref="AC9">IFERROR(_xlfn.XLOOKUP($F9,'Acerto virtual'!$E:$E,'Acerto virtual'!O:O),"")</f>
        <v/>
      </c>
      <c r="AD9" s="51" t="str">
        <f t="array" ref="AD9">IFERROR(_xlfn.XLOOKUP($F9,'Acerto virtual'!$E:$E,'Acerto virtual'!P:P),"")</f>
        <v/>
      </c>
      <c r="AE9" s="51" t="str">
        <f t="array" ref="AE9">IFERROR(_xlfn.XLOOKUP($F9,'Acerto virtual'!$E:$E,'Acerto virtual'!Q:Q),"")</f>
        <v/>
      </c>
      <c r="AF9" s="51" t="str">
        <f t="array" ref="AF9">IFERROR(_xlfn.XLOOKUP($F9,'Acerto virtual'!$E:$E,'Acerto virtual'!R:R),"")</f>
        <v/>
      </c>
      <c r="AG9" s="51" t="str">
        <f t="array" ref="AG9">IFERROR(_xlfn.XLOOKUP($F9,'Acerto virtual'!$E:$E,'Acerto virtual'!S:S),"")</f>
        <v/>
      </c>
      <c r="AH9" s="51" t="str">
        <f t="array" ref="AH9">IFERROR(_xlfn.XLOOKUP($F9,'Acerto virtual'!$E:$E,'Acerto virtual'!T:T),"")</f>
        <v/>
      </c>
      <c r="AI9" s="51" t="str">
        <f t="array" ref="AI9">IFERROR(_xlfn.XLOOKUP($F9,'Acerto virtual'!$E:$E,'Acerto virtual'!U:U),"")</f>
        <v/>
      </c>
    </row>
    <row r="10">
      <c r="A10" s="47" t="s">
        <v>338</v>
      </c>
      <c r="B10" s="47" t="s">
        <v>339</v>
      </c>
      <c r="C10" s="48" t="str">
        <f t="array" ref="C10">IFERROR(_xlfn.XLOOKUP($B10,'Histórico'!$B:$B,'Histórico'!$I:$I),"")</f>
        <v>799-1</v>
      </c>
      <c r="D10" s="19" t="str">
        <f t="array" ref="D10">IFERROR(_xlfn.XLOOKUP($B10,'Histórico'!$B:$B,'Histórico'!$J:$J),"")</f>
        <v>83326</v>
      </c>
      <c r="E10" s="19" t="str">
        <f t="array" ref="E10">IFERROR(_xlfn.XLOOKUP($B10,'Histórico'!$B:$B,'Histórico'!$K:$K),"")</f>
        <v>TRANSDUCER</v>
      </c>
      <c r="F10" s="52" t="str">
        <f t="array" ref="F10">IFERROR(_xlfn.XLOOKUP($B10,'Histórico'!$B:$B,'Histórico'!$L:$L),"")</f>
        <v>1920</v>
      </c>
      <c r="G10" s="49" t="str">
        <f t="array" ref="G10">IFERROR(_xlfn.XLOOKUP($B10,'Histórico'!$B:$B,'Histórico'!$F:$F),"")</f>
        <v>20/03/2025</v>
      </c>
      <c r="H10" s="19" t="str">
        <f t="array" ref="H10">IFERROR(_xlfn.XLOOKUP($B10,'Histórico'!$B:$B,'Histórico'!$AA:$AA),"")</f>
        <v>BACO</v>
      </c>
      <c r="I10" s="19" t="str">
        <f t="array" ref="I10">IFERROR(_xlfn.XLOOKUP($B10,Atual!$B:$B,Atual!$E:$E),"OS concluída")</f>
        <v>REC</v>
      </c>
      <c r="J10" s="19">
        <f t="shared" si="1"/>
        <v>574</v>
      </c>
      <c r="K10" s="19"/>
      <c r="L10" s="19">
        <f t="shared" si="2"/>
        <v>112</v>
      </c>
      <c r="M10" s="19"/>
      <c r="N10" s="49">
        <f t="array" ref="N10">IFERROR(_xlfn.XLOOKUP($B10,EMPRESA_1!A:A,EMPRESA_1!J:J),"")</f>
        <v>45848</v>
      </c>
      <c r="O10" s="50" t="str">
        <f t="array" ref="O10">IFERROR(_xlfn.XLOOKUP(B10,EMPRESA_1!A:A,EMPRESA_1!K:K),"")
</f>
        <v>BANT</v>
      </c>
      <c r="P10" s="19" t="str">
        <f t="array" ref="P10">IFERROR(_xlfn.XLOOKUP(B10,EMPRESA_1!A:A,EMPRESA_1!L:L),"")</f>
        <v>103/C98/2025</v>
      </c>
      <c r="Q10" s="49">
        <f t="array" ref="Q10">IFERROR(_xlfn.XLOOKUP(B10,EMPRESA_1!A:A,EMPRESA_1!J:J),"")</f>
        <v>45848</v>
      </c>
      <c r="R10" s="19" t="str">
        <f t="array" ref="R10">IFERROR(_xlfn.XLOOKUP(B10,EMPRESA_1!A:A,EMPRESA_1!M:M),"")</f>
        <v>148515‐04</v>
      </c>
      <c r="S10" s="51"/>
      <c r="T10" s="51" t="str">
        <f t="array" ref="T10">IFERROR(_xlfn.XLOOKUP($F10,'Acerto virtual'!$E:$E,'Acerto virtual'!F:F),"")</f>
        <v/>
      </c>
      <c r="U10" s="51" t="str">
        <f t="array" ref="U10">IFERROR(_xlfn.XLOOKUP($F10,'Acerto virtual'!$E:$E,'Acerto virtual'!G:G),"")</f>
        <v/>
      </c>
      <c r="V10" s="51" t="str">
        <f t="array" ref="V10">IFERROR(_xlfn.XLOOKUP($F10,'Acerto virtual'!$E:$E,'Acerto virtual'!H:H),"")</f>
        <v/>
      </c>
      <c r="W10" s="51" t="str">
        <f t="array" ref="W10">IFERROR(_xlfn.XLOOKUP($F10,'Acerto virtual'!$E:$E,'Acerto virtual'!I:I),"")</f>
        <v/>
      </c>
      <c r="X10" s="51" t="str">
        <f t="array" ref="X10">IFERROR(_xlfn.XLOOKUP($F10,'Acerto virtual'!$E:$E,'Acerto virtual'!J:J),"")</f>
        <v/>
      </c>
      <c r="Y10" s="51" t="str">
        <f t="array" ref="Y10">IFERROR(_xlfn.XLOOKUP($F10,'Acerto virtual'!$E:$E,'Acerto virtual'!K:K),"")</f>
        <v/>
      </c>
      <c r="Z10" s="51" t="str">
        <f t="array" ref="Z10">IFERROR(_xlfn.XLOOKUP($F10,'Acerto virtual'!$E:$E,'Acerto virtual'!L:L),"")</f>
        <v/>
      </c>
      <c r="AA10" s="51" t="str">
        <f t="array" ref="AA10">IFERROR(_xlfn.XLOOKUP($F10,'Acerto virtual'!$E:$E,'Acerto virtual'!M:M),"")</f>
        <v/>
      </c>
      <c r="AB10" s="51" t="str">
        <f t="array" ref="AB10">IFERROR(_xlfn.XLOOKUP($F10,'Acerto virtual'!$E:$E,'Acerto virtual'!N:N),"")</f>
        <v/>
      </c>
      <c r="AC10" s="51" t="str">
        <f t="array" ref="AC10">IFERROR(_xlfn.XLOOKUP($F10,'Acerto virtual'!$E:$E,'Acerto virtual'!O:O),"")</f>
        <v/>
      </c>
      <c r="AD10" s="51" t="str">
        <f t="array" ref="AD10">IFERROR(_xlfn.XLOOKUP($F10,'Acerto virtual'!$E:$E,'Acerto virtual'!P:P),"")</f>
        <v/>
      </c>
      <c r="AE10" s="51" t="str">
        <f t="array" ref="AE10">IFERROR(_xlfn.XLOOKUP($F10,'Acerto virtual'!$E:$E,'Acerto virtual'!Q:Q),"")</f>
        <v/>
      </c>
      <c r="AF10" s="51" t="str">
        <f t="array" ref="AF10">IFERROR(_xlfn.XLOOKUP($F10,'Acerto virtual'!$E:$E,'Acerto virtual'!R:R),"")</f>
        <v/>
      </c>
      <c r="AG10" s="51" t="str">
        <f t="array" ref="AG10">IFERROR(_xlfn.XLOOKUP($F10,'Acerto virtual'!$E:$E,'Acerto virtual'!S:S),"")</f>
        <v/>
      </c>
      <c r="AH10" s="51" t="str">
        <f t="array" ref="AH10">IFERROR(_xlfn.XLOOKUP($F10,'Acerto virtual'!$E:$E,'Acerto virtual'!T:T),"")</f>
        <v/>
      </c>
      <c r="AI10" s="51" t="str">
        <f t="array" ref="AI10">IFERROR(_xlfn.XLOOKUP($F10,'Acerto virtual'!$E:$E,'Acerto virtual'!U:U),"")</f>
        <v/>
      </c>
    </row>
    <row r="11" hidden="1">
      <c r="A11" s="47" t="s">
        <v>340</v>
      </c>
      <c r="B11" s="47" t="s">
        <v>341</v>
      </c>
      <c r="C11" s="19" t="str">
        <f t="array" ref="C11">IFERROR(_xlfn.XLOOKUP($B11,'Histórico'!$B:$B,'Histórico'!$I:$I),"")</f>
        <v>51539-012N</v>
      </c>
      <c r="D11" s="19" t="str">
        <f t="array" ref="D11">IFERROR(_xlfn.XLOOKUP($B11,'Histórico'!$B:$B,'Histórico'!$J:$J),"")</f>
        <v>71379</v>
      </c>
      <c r="E11" s="19" t="str">
        <f t="array" ref="E11">IFERROR(_xlfn.XLOOKUP($B11,'Histórico'!$B:$B,'Histórico'!$K:$K),"")</f>
        <v>CONTROL UNIT ASSY-GENERATOR</v>
      </c>
      <c r="F11" s="19" t="str">
        <f t="array" ref="F11">IFERROR(_xlfn.XLOOKUP($B11,'Histórico'!$B:$B,'Histórico'!$L:$L),"")</f>
        <v>96967</v>
      </c>
      <c r="G11" s="49" t="str">
        <f t="array" ref="G11">IFERROR(_xlfn.XLOOKUP($B11,'Histórico'!$B:$B,'Histórico'!$F:$F),"")</f>
        <v>20/03/2025</v>
      </c>
      <c r="H11" s="19" t="str">
        <f t="array" ref="H11">IFERROR(_xlfn.XLOOKUP($B11,'Histórico'!$B:$B,'Histórico'!$AA:$AA),"")</f>
        <v>BAMN</v>
      </c>
      <c r="I11" s="19" t="str">
        <f t="array" ref="I11">IFERROR(_xlfn.XLOOKUP($B11,Atual!$B:$B,Atual!$E:$E),"OS concluída")</f>
        <v>OS concluída</v>
      </c>
      <c r="J11" s="19" t="str">
        <f t="shared" si="1"/>
        <v/>
      </c>
      <c r="K11" s="19"/>
      <c r="L11" s="19" t="str">
        <f t="shared" si="2"/>
        <v/>
      </c>
      <c r="M11" s="19"/>
      <c r="N11" s="49" t="str">
        <f t="array" ref="N11">IFERROR(_xlfn.XLOOKUP($B11,Empresa!G:G,Empresa!K:K),"")</f>
        <v/>
      </c>
      <c r="O11" s="49"/>
      <c r="P11" s="19" t="str">
        <f t="array" ref="P11">IFERROR(_xlfn.XLOOKUP($F11,'Vee one'!F:F,'Vee one'!O:O),"")</f>
        <v/>
      </c>
      <c r="Q11" s="19" t="str">
        <f t="array" ref="Q11">IFERROR(_xlfn.XLOOKUP($F11,'Vee one'!F:F,'Vee one'!K:K),"")</f>
        <v/>
      </c>
      <c r="R11" s="19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</row>
    <row r="12">
      <c r="A12" s="47" t="s">
        <v>342</v>
      </c>
      <c r="B12" s="47" t="s">
        <v>343</v>
      </c>
      <c r="C12" s="48" t="str">
        <f t="array" ref="C12">IFERROR(_xlfn.XLOOKUP($B12,'Histórico'!$B:$B,'Histórico'!$I:$I),"")</f>
        <v>51539-012N</v>
      </c>
      <c r="D12" s="19" t="str">
        <f t="array" ref="D12">IFERROR(_xlfn.XLOOKUP($B12,'Histórico'!$B:$B,'Histórico'!$J:$J),"")</f>
        <v>71379</v>
      </c>
      <c r="E12" s="19" t="str">
        <f t="array" ref="E12">IFERROR(_xlfn.XLOOKUP($B12,'Histórico'!$B:$B,'Histórico'!$K:$K),"")</f>
        <v>CONTROL UNIT ASSY-GENERATOR</v>
      </c>
      <c r="F12" s="19" t="str">
        <f t="array" ref="F12">IFERROR(_xlfn.XLOOKUP($B12,'Histórico'!$B:$B,'Histórico'!$L:$L),"")</f>
        <v>2410</v>
      </c>
      <c r="G12" s="49" t="str">
        <f t="array" ref="G12">IFERROR(_xlfn.XLOOKUP($B12,'Histórico'!$B:$B,'Histórico'!$F:$F),"")</f>
        <v>20/03/2025</v>
      </c>
      <c r="H12" s="19" t="str">
        <f t="array" ref="H12">IFERROR(_xlfn.XLOOKUP($B12,'Histórico'!$B:$B,'Histórico'!$AA:$AA),"")</f>
        <v>BACG</v>
      </c>
      <c r="I12" s="19" t="str">
        <f t="array" ref="I12">IFERROR(_xlfn.XLOOKUP($B12,Atual!$B:$B,Atual!$E:$E),"OS concluída")</f>
        <v>REC</v>
      </c>
      <c r="J12" s="19">
        <f t="shared" si="1"/>
        <v>574</v>
      </c>
      <c r="K12" s="19"/>
      <c r="L12" s="19">
        <f t="shared" si="2"/>
        <v>362</v>
      </c>
      <c r="M12" s="19"/>
      <c r="N12" s="49">
        <f t="array" ref="N12">IFERROR(_xlfn.XLOOKUP($B12,EMPRESA_1!A:A,EMPRESA_1!J:J),"")</f>
        <v>46098</v>
      </c>
      <c r="O12" s="50" t="str">
        <f t="array" ref="O12">IFERROR(_xlfn.XLOOKUP(B12,EMPRESA_1!A:A,EMPRESA_1!K:K),"")
</f>
        <v>BABR</v>
      </c>
      <c r="P12" s="19" t="str">
        <f t="array" ref="P12">IFERROR(_xlfn.XLOOKUP(B12,EMPRESA_1!A:A,EMPRESA_1!L:L),"")</f>
        <v>208/FAB/26</v>
      </c>
      <c r="Q12" s="49">
        <f t="array" ref="Q12">IFERROR(_xlfn.XLOOKUP(B12,EMPRESA_1!A:A,EMPRESA_1!J:J),"")</f>
        <v>46098</v>
      </c>
      <c r="R12" s="19">
        <f t="array" ref="R12">IFERROR(_xlfn.XLOOKUP(B12,EMPRESA_1!A:A,EMPRESA_1!M:M),"")</f>
        <v>99511</v>
      </c>
      <c r="S12" s="51"/>
      <c r="T12" s="51" t="str">
        <f t="array" ref="T12">IFERROR(_xlfn.XLOOKUP($F12,'Acerto virtual'!$E:$E,'Acerto virtual'!F:F),"")</f>
        <v/>
      </c>
      <c r="U12" s="51" t="str">
        <f t="array" ref="U12">IFERROR(_xlfn.XLOOKUP($F12,'Acerto virtual'!$E:$E,'Acerto virtual'!G:G),"")</f>
        <v/>
      </c>
      <c r="V12" s="51" t="str">
        <f t="array" ref="V12">IFERROR(_xlfn.XLOOKUP($F12,'Acerto virtual'!$E:$E,'Acerto virtual'!H:H),"")</f>
        <v/>
      </c>
      <c r="W12" s="51" t="str">
        <f t="array" ref="W12">IFERROR(_xlfn.XLOOKUP($F12,'Acerto virtual'!$E:$E,'Acerto virtual'!I:I),"")</f>
        <v/>
      </c>
      <c r="X12" s="51" t="str">
        <f t="array" ref="X12">IFERROR(_xlfn.XLOOKUP($F12,'Acerto virtual'!$E:$E,'Acerto virtual'!J:J),"")</f>
        <v/>
      </c>
      <c r="Y12" s="51" t="str">
        <f t="array" ref="Y12">IFERROR(_xlfn.XLOOKUP($F12,'Acerto virtual'!$E:$E,'Acerto virtual'!K:K),"")</f>
        <v/>
      </c>
      <c r="Z12" s="51" t="str">
        <f t="array" ref="Z12">IFERROR(_xlfn.XLOOKUP($F12,'Acerto virtual'!$E:$E,'Acerto virtual'!L:L),"")</f>
        <v/>
      </c>
      <c r="AA12" s="51" t="str">
        <f t="array" ref="AA12">IFERROR(_xlfn.XLOOKUP($F12,'Acerto virtual'!$E:$E,'Acerto virtual'!M:M),"")</f>
        <v/>
      </c>
      <c r="AB12" s="51" t="str">
        <f t="array" ref="AB12">IFERROR(_xlfn.XLOOKUP($F12,'Acerto virtual'!$E:$E,'Acerto virtual'!N:N),"")</f>
        <v/>
      </c>
      <c r="AC12" s="51" t="str">
        <f t="array" ref="AC12">IFERROR(_xlfn.XLOOKUP($F12,'Acerto virtual'!$E:$E,'Acerto virtual'!O:O),"")</f>
        <v/>
      </c>
      <c r="AD12" s="51" t="str">
        <f t="array" ref="AD12">IFERROR(_xlfn.XLOOKUP($F12,'Acerto virtual'!$E:$E,'Acerto virtual'!P:P),"")</f>
        <v/>
      </c>
      <c r="AE12" s="51" t="str">
        <f t="array" ref="AE12">IFERROR(_xlfn.XLOOKUP($F12,'Acerto virtual'!$E:$E,'Acerto virtual'!Q:Q),"")</f>
        <v/>
      </c>
      <c r="AF12" s="51" t="str">
        <f t="array" ref="AF12">IFERROR(_xlfn.XLOOKUP($F12,'Acerto virtual'!$E:$E,'Acerto virtual'!R:R),"")</f>
        <v/>
      </c>
      <c r="AG12" s="51" t="str">
        <f t="array" ref="AG12">IFERROR(_xlfn.XLOOKUP($F12,'Acerto virtual'!$E:$E,'Acerto virtual'!S:S),"")</f>
        <v/>
      </c>
      <c r="AH12" s="51" t="str">
        <f t="array" ref="AH12">IFERROR(_xlfn.XLOOKUP($F12,'Acerto virtual'!$E:$E,'Acerto virtual'!T:T),"")</f>
        <v/>
      </c>
      <c r="AI12" s="51" t="str">
        <f t="array" ref="AI12">IFERROR(_xlfn.XLOOKUP($F12,'Acerto virtual'!$E:$E,'Acerto virtual'!U:U),"")</f>
        <v/>
      </c>
    </row>
    <row r="13">
      <c r="A13" s="47" t="s">
        <v>344</v>
      </c>
      <c r="B13" s="47" t="s">
        <v>345</v>
      </c>
      <c r="C13" s="48" t="str">
        <f t="array" ref="C13">IFERROR(_xlfn.XLOOKUP($B13,'Histórico'!$B:$B,'Histórico'!$I:$I),"")</f>
        <v>51539-012N</v>
      </c>
      <c r="D13" s="19" t="str">
        <f t="array" ref="D13">IFERROR(_xlfn.XLOOKUP($B13,'Histórico'!$B:$B,'Histórico'!$J:$J),"")</f>
        <v>71379</v>
      </c>
      <c r="E13" s="19" t="str">
        <f t="array" ref="E13">IFERROR(_xlfn.XLOOKUP($B13,'Histórico'!$B:$B,'Histórico'!$K:$K),"")</f>
        <v>CONTROL UNIT ASSY-GENERATOR</v>
      </c>
      <c r="F13" s="19" t="str">
        <f t="array" ref="F13">IFERROR(_xlfn.XLOOKUP($B13,'Histórico'!$B:$B,'Histórico'!$L:$L),"")</f>
        <v>P1916</v>
      </c>
      <c r="G13" s="49" t="str">
        <f t="array" ref="G13">IFERROR(_xlfn.XLOOKUP($B13,'Histórico'!$B:$B,'Histórico'!$F:$F),"")</f>
        <v>20/03/2025</v>
      </c>
      <c r="H13" s="19" t="str">
        <f t="array" ref="H13">IFERROR(_xlfn.XLOOKUP($B13,'Histórico'!$B:$B,'Histórico'!$AA:$AA),"")</f>
        <v>BANT</v>
      </c>
      <c r="I13" s="19" t="str">
        <f t="array" ref="I13">IFERROR(_xlfn.XLOOKUP($B13,Atual!$B:$B,Atual!$E:$E),"OS concluída")</f>
        <v>REC</v>
      </c>
      <c r="J13" s="19">
        <f t="shared" si="1"/>
        <v>574</v>
      </c>
      <c r="K13" s="19"/>
      <c r="L13" s="19">
        <f t="shared" si="2"/>
        <v>378</v>
      </c>
      <c r="M13" s="19"/>
      <c r="N13" s="49">
        <f t="array" ref="N13">IFERROR(_xlfn.XLOOKUP($B13,EMPRESA_1!A:A,EMPRESA_1!J:J),"")</f>
        <v>46114</v>
      </c>
      <c r="O13" s="50" t="str">
        <f t="array" ref="O13">IFERROR(_xlfn.XLOOKUP(B13,EMPRESA_1!A:A,EMPRESA_1!K:K),"")
</f>
        <v>BABR</v>
      </c>
      <c r="P13" s="19" t="str">
        <f t="array" ref="P13">IFERROR(_xlfn.XLOOKUP(B13,EMPRESA_1!A:A,EMPRESA_1!L:L),"")</f>
        <v>271/FAB/26</v>
      </c>
      <c r="Q13" s="49">
        <f t="array" ref="Q13">IFERROR(_xlfn.XLOOKUP(B13,EMPRESA_1!A:A,EMPRESA_1!J:J),"")</f>
        <v>46114</v>
      </c>
      <c r="R13" s="19" t="str">
        <f t="array" ref="R13">IFERROR(_xlfn.XLOOKUP(B13,EMPRESA_1!A:A,EMPRESA_1!M:M),"")</f>
        <v>P2033</v>
      </c>
      <c r="S13" s="51"/>
      <c r="T13" s="51" t="str">
        <f t="array" ref="T13">IFERROR(_xlfn.XLOOKUP($F13,'Acerto virtual'!$E:$E,'Acerto virtual'!F:F),"")</f>
        <v/>
      </c>
      <c r="U13" s="51" t="str">
        <f t="array" ref="U13">IFERROR(_xlfn.XLOOKUP($F13,'Acerto virtual'!$E:$E,'Acerto virtual'!G:G),"")</f>
        <v/>
      </c>
      <c r="V13" s="51" t="str">
        <f t="array" ref="V13">IFERROR(_xlfn.XLOOKUP($F13,'Acerto virtual'!$E:$E,'Acerto virtual'!H:H),"")</f>
        <v/>
      </c>
      <c r="W13" s="51" t="str">
        <f t="array" ref="W13">IFERROR(_xlfn.XLOOKUP($F13,'Acerto virtual'!$E:$E,'Acerto virtual'!I:I),"")</f>
        <v/>
      </c>
      <c r="X13" s="51" t="str">
        <f t="array" ref="X13">IFERROR(_xlfn.XLOOKUP($F13,'Acerto virtual'!$E:$E,'Acerto virtual'!J:J),"")</f>
        <v/>
      </c>
      <c r="Y13" s="51" t="str">
        <f t="array" ref="Y13">IFERROR(_xlfn.XLOOKUP($F13,'Acerto virtual'!$E:$E,'Acerto virtual'!K:K),"")</f>
        <v/>
      </c>
      <c r="Z13" s="51" t="str">
        <f t="array" ref="Z13">IFERROR(_xlfn.XLOOKUP($F13,'Acerto virtual'!$E:$E,'Acerto virtual'!L:L),"")</f>
        <v/>
      </c>
      <c r="AA13" s="51" t="str">
        <f t="array" ref="AA13">IFERROR(_xlfn.XLOOKUP($F13,'Acerto virtual'!$E:$E,'Acerto virtual'!M:M),"")</f>
        <v/>
      </c>
      <c r="AB13" s="51" t="str">
        <f t="array" ref="AB13">IFERROR(_xlfn.XLOOKUP($F13,'Acerto virtual'!$E:$E,'Acerto virtual'!N:N),"")</f>
        <v/>
      </c>
      <c r="AC13" s="51" t="str">
        <f t="array" ref="AC13">IFERROR(_xlfn.XLOOKUP($F13,'Acerto virtual'!$E:$E,'Acerto virtual'!O:O),"")</f>
        <v/>
      </c>
      <c r="AD13" s="51" t="str">
        <f t="array" ref="AD13">IFERROR(_xlfn.XLOOKUP($F13,'Acerto virtual'!$E:$E,'Acerto virtual'!P:P),"")</f>
        <v/>
      </c>
      <c r="AE13" s="51" t="str">
        <f t="array" ref="AE13">IFERROR(_xlfn.XLOOKUP($F13,'Acerto virtual'!$E:$E,'Acerto virtual'!Q:Q),"")</f>
        <v/>
      </c>
      <c r="AF13" s="51" t="str">
        <f t="array" ref="AF13">IFERROR(_xlfn.XLOOKUP($F13,'Acerto virtual'!$E:$E,'Acerto virtual'!R:R),"")</f>
        <v/>
      </c>
      <c r="AG13" s="51" t="str">
        <f t="array" ref="AG13">IFERROR(_xlfn.XLOOKUP($F13,'Acerto virtual'!$E:$E,'Acerto virtual'!S:S),"")</f>
        <v/>
      </c>
      <c r="AH13" s="51" t="str">
        <f t="array" ref="AH13">IFERROR(_xlfn.XLOOKUP($F13,'Acerto virtual'!$E:$E,'Acerto virtual'!T:T),"")</f>
        <v/>
      </c>
      <c r="AI13" s="51" t="str">
        <f t="array" ref="AI13">IFERROR(_xlfn.XLOOKUP($F13,'Acerto virtual'!$E:$E,'Acerto virtual'!U:U),"")</f>
        <v/>
      </c>
    </row>
    <row r="14">
      <c r="A14" s="47" t="s">
        <v>346</v>
      </c>
      <c r="B14" s="47" t="s">
        <v>347</v>
      </c>
      <c r="C14" s="48" t="str">
        <f t="array" ref="C14">IFERROR(_xlfn.XLOOKUP($B14,'Histórico'!$B:$B,'Histórico'!$I:$I),"")</f>
        <v>799-1</v>
      </c>
      <c r="D14" s="19" t="str">
        <f t="array" ref="D14">IFERROR(_xlfn.XLOOKUP($B14,'Histórico'!$B:$B,'Histórico'!$J:$J),"")</f>
        <v>83326</v>
      </c>
      <c r="E14" s="19" t="str">
        <f t="array" ref="E14">IFERROR(_xlfn.XLOOKUP($B14,'Histórico'!$B:$B,'Histórico'!$K:$K),"")</f>
        <v>TRANSDUCER</v>
      </c>
      <c r="F14" s="52" t="str">
        <f t="array" ref="F14">IFERROR(_xlfn.XLOOKUP($B14,'Histórico'!$B:$B,'Histórico'!$L:$L),"")</f>
        <v>2697</v>
      </c>
      <c r="G14" s="49" t="str">
        <f t="array" ref="G14">IFERROR(_xlfn.XLOOKUP($B14,'Histórico'!$B:$B,'Histórico'!$F:$F),"")</f>
        <v>20/03/2025</v>
      </c>
      <c r="H14" s="19" t="str">
        <f t="array" ref="H14">IFERROR(_xlfn.XLOOKUP($B14,'Histórico'!$B:$B,'Histórico'!$AA:$AA),"")</f>
        <v>BANT</v>
      </c>
      <c r="I14" s="19" t="str">
        <f t="array" ref="I14">IFERROR(_xlfn.XLOOKUP($B14,Atual!$B:$B,Atual!$E:$E),"OS concluída")</f>
        <v>REC</v>
      </c>
      <c r="J14" s="19">
        <f t="shared" si="1"/>
        <v>574</v>
      </c>
      <c r="K14" s="19"/>
      <c r="L14" s="19">
        <f t="shared" si="2"/>
        <v>112</v>
      </c>
      <c r="M14" s="19"/>
      <c r="N14" s="49">
        <f t="array" ref="N14">IFERROR(_xlfn.XLOOKUP($B14,EMPRESA_1!A:A,EMPRESA_1!J:J),"")</f>
        <v>45848</v>
      </c>
      <c r="O14" s="50" t="str">
        <f t="array" ref="O14">IFERROR(_xlfn.XLOOKUP(B14,EMPRESA_1!A:A,EMPRESA_1!K:K),"")
</f>
        <v>BANT</v>
      </c>
      <c r="P14" s="19" t="str">
        <f t="array" ref="P14">IFERROR(_xlfn.XLOOKUP(B14,EMPRESA_1!A:A,EMPRESA_1!L:L),"")</f>
        <v>103/C98/2025</v>
      </c>
      <c r="Q14" s="49">
        <f t="array" ref="Q14">IFERROR(_xlfn.XLOOKUP(B14,EMPRESA_1!A:A,EMPRESA_1!J:J),"")</f>
        <v>45848</v>
      </c>
      <c r="R14" s="19" t="str">
        <f t="array" ref="R14">IFERROR(_xlfn.XLOOKUP(B14,EMPRESA_1!A:A,EMPRESA_1!M:M),"")</f>
        <v>168393-11</v>
      </c>
      <c r="S14" s="51"/>
      <c r="T14" s="51" t="str">
        <f t="array" ref="T14">IFERROR(_xlfn.XLOOKUP($F14,'Acerto virtual'!$E:$E,'Acerto virtual'!F:F),"")</f>
        <v/>
      </c>
      <c r="U14" s="51" t="str">
        <f t="array" ref="U14">IFERROR(_xlfn.XLOOKUP($F14,'Acerto virtual'!$E:$E,'Acerto virtual'!G:G),"")</f>
        <v/>
      </c>
      <c r="V14" s="51" t="str">
        <f t="array" ref="V14">IFERROR(_xlfn.XLOOKUP($F14,'Acerto virtual'!$E:$E,'Acerto virtual'!H:H),"")</f>
        <v/>
      </c>
      <c r="W14" s="51" t="str">
        <f t="array" ref="W14">IFERROR(_xlfn.XLOOKUP($F14,'Acerto virtual'!$E:$E,'Acerto virtual'!I:I),"")</f>
        <v/>
      </c>
      <c r="X14" s="51" t="str">
        <f t="array" ref="X14">IFERROR(_xlfn.XLOOKUP($F14,'Acerto virtual'!$E:$E,'Acerto virtual'!J:J),"")</f>
        <v/>
      </c>
      <c r="Y14" s="51" t="str">
        <f t="array" ref="Y14">IFERROR(_xlfn.XLOOKUP($F14,'Acerto virtual'!$E:$E,'Acerto virtual'!K:K),"")</f>
        <v/>
      </c>
      <c r="Z14" s="51" t="str">
        <f t="array" ref="Z14">IFERROR(_xlfn.XLOOKUP($F14,'Acerto virtual'!$E:$E,'Acerto virtual'!L:L),"")</f>
        <v/>
      </c>
      <c r="AA14" s="51" t="str">
        <f t="array" ref="AA14">IFERROR(_xlfn.XLOOKUP($F14,'Acerto virtual'!$E:$E,'Acerto virtual'!M:M),"")</f>
        <v/>
      </c>
      <c r="AB14" s="51" t="str">
        <f t="array" ref="AB14">IFERROR(_xlfn.XLOOKUP($F14,'Acerto virtual'!$E:$E,'Acerto virtual'!N:N),"")</f>
        <v/>
      </c>
      <c r="AC14" s="51" t="str">
        <f t="array" ref="AC14">IFERROR(_xlfn.XLOOKUP($F14,'Acerto virtual'!$E:$E,'Acerto virtual'!O:O),"")</f>
        <v/>
      </c>
      <c r="AD14" s="51" t="str">
        <f t="array" ref="AD14">IFERROR(_xlfn.XLOOKUP($F14,'Acerto virtual'!$E:$E,'Acerto virtual'!P:P),"")</f>
        <v/>
      </c>
      <c r="AE14" s="51" t="str">
        <f t="array" ref="AE14">IFERROR(_xlfn.XLOOKUP($F14,'Acerto virtual'!$E:$E,'Acerto virtual'!Q:Q),"")</f>
        <v/>
      </c>
      <c r="AF14" s="51" t="str">
        <f t="array" ref="AF14">IFERROR(_xlfn.XLOOKUP($F14,'Acerto virtual'!$E:$E,'Acerto virtual'!R:R),"")</f>
        <v/>
      </c>
      <c r="AG14" s="51" t="str">
        <f t="array" ref="AG14">IFERROR(_xlfn.XLOOKUP($F14,'Acerto virtual'!$E:$E,'Acerto virtual'!S:S),"")</f>
        <v/>
      </c>
      <c r="AH14" s="51" t="str">
        <f t="array" ref="AH14">IFERROR(_xlfn.XLOOKUP($F14,'Acerto virtual'!$E:$E,'Acerto virtual'!T:T),"")</f>
        <v/>
      </c>
      <c r="AI14" s="51" t="str">
        <f t="array" ref="AI14">IFERROR(_xlfn.XLOOKUP($F14,'Acerto virtual'!$E:$E,'Acerto virtual'!U:U),"")</f>
        <v/>
      </c>
    </row>
    <row r="15">
      <c r="A15" s="47" t="s">
        <v>348</v>
      </c>
      <c r="B15" s="47" t="s">
        <v>349</v>
      </c>
      <c r="C15" s="48" t="str">
        <f t="array" ref="C15">IFERROR(_xlfn.XLOOKUP($B15,'Histórico'!$B:$B,'Histórico'!$I:$I),"")</f>
        <v>9910586-4</v>
      </c>
      <c r="D15" s="19" t="str">
        <f t="array" ref="D15">IFERROR(_xlfn.XLOOKUP($B15,'Histórico'!$B:$B,'Histórico'!$J:$J),"")</f>
        <v>7EK50</v>
      </c>
      <c r="E15" s="19" t="str">
        <f t="array" ref="E15">IFERROR(_xlfn.XLOOKUP($B15,'Histórico'!$B:$B,'Histórico'!$K:$K),"")</f>
        <v>FLAP ACTUATOR AND MOTOR ASSEMBLY</v>
      </c>
      <c r="F15" s="19" t="str">
        <f t="array" ref="F15">IFERROR(_xlfn.XLOOKUP($B15,'Histórico'!$B:$B,'Histórico'!$L:$L),"")</f>
        <v>1569</v>
      </c>
      <c r="G15" s="49" t="str">
        <f t="array" ref="G15">IFERROR(_xlfn.XLOOKUP($B15,'Histórico'!$B:$B,'Histórico'!$F:$F),"")</f>
        <v>20/03/2025</v>
      </c>
      <c r="H15" s="19" t="str">
        <f t="array" ref="H15">IFERROR(_xlfn.XLOOKUP($B15,'Histórico'!$B:$B,'Histórico'!$AA:$AA),"")</f>
        <v>ALA 3</v>
      </c>
      <c r="I15" s="19" t="str">
        <f t="array" ref="I15">IFERROR(_xlfn.XLOOKUP($B15,Atual!$B:$B,Atual!$E:$E),"OS concluída")</f>
        <v>REC</v>
      </c>
      <c r="J15" s="19">
        <f t="shared" si="1"/>
        <v>574</v>
      </c>
      <c r="K15" s="19"/>
      <c r="L15" s="19">
        <f t="shared" si="2"/>
        <v>124</v>
      </c>
      <c r="M15" s="19"/>
      <c r="N15" s="49">
        <f t="array" ref="N15">IFERROR(_xlfn.XLOOKUP($B15,EMPRESA_1!A:A,EMPRESA_1!J:J),"")</f>
        <v>45860</v>
      </c>
      <c r="O15" s="50" t="str">
        <f t="array" ref="O15">IFERROR(_xlfn.XLOOKUP(B15,EMPRESA_1!A:A,EMPRESA_1!K:K),"")
</f>
        <v>BAMN</v>
      </c>
      <c r="P15" s="19" t="str">
        <f t="array" ref="P15">IFERROR(_xlfn.XLOOKUP(B15,EMPRESA_1!A:A,EMPRESA_1!L:L),"")</f>
        <v>122/C98/2025</v>
      </c>
      <c r="Q15" s="49">
        <f t="array" ref="Q15">IFERROR(_xlfn.XLOOKUP(B15,EMPRESA_1!A:A,EMPRESA_1!J:J),"")</f>
        <v>45860</v>
      </c>
      <c r="R15" s="19" t="str">
        <f t="array" ref="R15">IFERROR(_xlfn.XLOOKUP(B15,EMPRESA_1!A:A,EMPRESA_1!M:M),"")</f>
        <v/>
      </c>
      <c r="S15" s="51"/>
      <c r="T15" s="51" t="str">
        <f t="array" ref="T15">IFERROR(_xlfn.XLOOKUP($F15,'Acerto virtual'!$E:$E,'Acerto virtual'!F:F),"")</f>
        <v/>
      </c>
      <c r="U15" s="51" t="str">
        <f t="array" ref="U15">IFERROR(_xlfn.XLOOKUP($F15,'Acerto virtual'!$E:$E,'Acerto virtual'!G:G),"")</f>
        <v/>
      </c>
      <c r="V15" s="51" t="str">
        <f t="array" ref="V15">IFERROR(_xlfn.XLOOKUP($F15,'Acerto virtual'!$E:$E,'Acerto virtual'!H:H),"")</f>
        <v/>
      </c>
      <c r="W15" s="51" t="str">
        <f t="array" ref="W15">IFERROR(_xlfn.XLOOKUP($F15,'Acerto virtual'!$E:$E,'Acerto virtual'!I:I),"")</f>
        <v/>
      </c>
      <c r="X15" s="51" t="str">
        <f t="array" ref="X15">IFERROR(_xlfn.XLOOKUP($F15,'Acerto virtual'!$E:$E,'Acerto virtual'!J:J),"")</f>
        <v/>
      </c>
      <c r="Y15" s="51" t="str">
        <f t="array" ref="Y15">IFERROR(_xlfn.XLOOKUP($F15,'Acerto virtual'!$E:$E,'Acerto virtual'!K:K),"")</f>
        <v/>
      </c>
      <c r="Z15" s="51" t="str">
        <f t="array" ref="Z15">IFERROR(_xlfn.XLOOKUP($F15,'Acerto virtual'!$E:$E,'Acerto virtual'!L:L),"")</f>
        <v/>
      </c>
      <c r="AA15" s="51" t="str">
        <f t="array" ref="AA15">IFERROR(_xlfn.XLOOKUP($F15,'Acerto virtual'!$E:$E,'Acerto virtual'!M:M),"")</f>
        <v/>
      </c>
      <c r="AB15" s="51" t="str">
        <f t="array" ref="AB15">IFERROR(_xlfn.XLOOKUP($F15,'Acerto virtual'!$E:$E,'Acerto virtual'!N:N),"")</f>
        <v/>
      </c>
      <c r="AC15" s="51" t="str">
        <f t="array" ref="AC15">IFERROR(_xlfn.XLOOKUP($F15,'Acerto virtual'!$E:$E,'Acerto virtual'!O:O),"")</f>
        <v/>
      </c>
      <c r="AD15" s="51" t="str">
        <f t="array" ref="AD15">IFERROR(_xlfn.XLOOKUP($F15,'Acerto virtual'!$E:$E,'Acerto virtual'!P:P),"")</f>
        <v/>
      </c>
      <c r="AE15" s="51" t="str">
        <f t="array" ref="AE15">IFERROR(_xlfn.XLOOKUP($F15,'Acerto virtual'!$E:$E,'Acerto virtual'!Q:Q),"")</f>
        <v/>
      </c>
      <c r="AF15" s="51" t="str">
        <f t="array" ref="AF15">IFERROR(_xlfn.XLOOKUP($F15,'Acerto virtual'!$E:$E,'Acerto virtual'!R:R),"")</f>
        <v/>
      </c>
      <c r="AG15" s="51" t="str">
        <f t="array" ref="AG15">IFERROR(_xlfn.XLOOKUP($F15,'Acerto virtual'!$E:$E,'Acerto virtual'!S:S),"")</f>
        <v/>
      </c>
      <c r="AH15" s="51" t="str">
        <f t="array" ref="AH15">IFERROR(_xlfn.XLOOKUP($F15,'Acerto virtual'!$E:$E,'Acerto virtual'!T:T),"")</f>
        <v/>
      </c>
      <c r="AI15" s="51" t="str">
        <f t="array" ref="AI15">IFERROR(_xlfn.XLOOKUP($F15,'Acerto virtual'!$E:$E,'Acerto virtual'!U:U),"")</f>
        <v/>
      </c>
    </row>
    <row r="16" hidden="1">
      <c r="A16" s="47" t="s">
        <v>350</v>
      </c>
      <c r="B16" s="47" t="s">
        <v>351</v>
      </c>
      <c r="C16" s="19" t="str">
        <f t="array" ref="C16">IFERROR(_xlfn.XLOOKUP($B16,'Histórico'!$B:$B,'Histórico'!$I:$I),"")</f>
        <v>9910586-4</v>
      </c>
      <c r="D16" s="19" t="str">
        <f t="array" ref="D16">IFERROR(_xlfn.XLOOKUP($B16,'Histórico'!$B:$B,'Histórico'!$J:$J),"")</f>
        <v>7EK50</v>
      </c>
      <c r="E16" s="19" t="str">
        <f t="array" ref="E16">IFERROR(_xlfn.XLOOKUP($B16,'Histórico'!$B:$B,'Histórico'!$K:$K),"")</f>
        <v>FLAP ACTUATOR AND MOTOR ASSEMBLY</v>
      </c>
      <c r="F16" s="19" t="str">
        <f t="array" ref="F16">IFERROR(_xlfn.XLOOKUP($B16,'Histórico'!$B:$B,'Histórico'!$L:$L),"")</f>
        <v>2706</v>
      </c>
      <c r="G16" s="49" t="str">
        <f t="array" ref="G16">IFERROR(_xlfn.XLOOKUP($B16,'Histórico'!$B:$B,'Histórico'!$F:$F),"")</f>
        <v>20/03/2025</v>
      </c>
      <c r="H16" s="19" t="str">
        <f t="array" ref="H16">IFERROR(_xlfn.XLOOKUP($B16,'Histórico'!$B:$B,'Histórico'!$AA:$AA),"")</f>
        <v>ALA 3</v>
      </c>
      <c r="I16" s="19" t="str">
        <f t="array" ref="I16">IFERROR(_xlfn.XLOOKUP($B16,Atual!$B:$B,Atual!$E:$E),"OS concluída")</f>
        <v>OS concluída</v>
      </c>
      <c r="J16" s="19" t="str">
        <f t="shared" si="1"/>
        <v/>
      </c>
      <c r="K16" s="19"/>
      <c r="L16" s="19" t="str">
        <f t="shared" si="2"/>
        <v/>
      </c>
      <c r="M16" s="19"/>
      <c r="N16" s="49" t="str">
        <f t="array" ref="N16">IFERROR(_xlfn.XLOOKUP($B16,Empresa!G:G,Empresa!K:K),"")</f>
        <v/>
      </c>
      <c r="O16" s="49"/>
      <c r="P16" s="19" t="str">
        <f t="array" ref="P16">IFERROR(_xlfn.XLOOKUP($F16,'Vee one'!F:F,'Vee one'!O:O),"")</f>
        <v/>
      </c>
      <c r="Q16" s="19" t="str">
        <f t="array" ref="Q16">IFERROR(_xlfn.XLOOKUP($F16,'Vee one'!F:F,'Vee one'!K:K),"")</f>
        <v/>
      </c>
      <c r="R16" s="19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</row>
    <row r="17">
      <c r="A17" s="47" t="s">
        <v>352</v>
      </c>
      <c r="B17" s="47" t="s">
        <v>353</v>
      </c>
      <c r="C17" s="48" t="str">
        <f t="array" ref="C17">IFERROR(_xlfn.XLOOKUP($B17,'Histórico'!$B:$B,'Histórico'!$I:$I),"")</f>
        <v>9910338-4</v>
      </c>
      <c r="D17" s="19" t="str">
        <f t="array" ref="D17">IFERROR(_xlfn.XLOOKUP($B17,'Histórico'!$B:$B,'Histórico'!$J:$J),"")</f>
        <v>13068</v>
      </c>
      <c r="E17" s="19" t="str">
        <f t="array" ref="E17">IFERROR(_xlfn.XLOOKUP($B17,'Histórico'!$B:$B,'Histórico'!$K:$K),"")</f>
        <v>FUEL TOTALIZER INDICATOR</v>
      </c>
      <c r="F17" s="19" t="str">
        <f t="array" ref="F17">IFERROR(_xlfn.XLOOKUP($B17,'Histórico'!$B:$B,'Histórico'!$L:$L),"")</f>
        <v>0215-217</v>
      </c>
      <c r="G17" s="49" t="str">
        <f t="array" ref="G17">IFERROR(_xlfn.XLOOKUP($B17,'Histórico'!$B:$B,'Histórico'!$F:$F),"")</f>
        <v>20/03/2025</v>
      </c>
      <c r="H17" s="19" t="str">
        <f t="array" ref="H17">IFERROR(_xlfn.XLOOKUP($B17,'Histórico'!$B:$B,'Histórico'!$AA:$AA),"")</f>
        <v>EEAR</v>
      </c>
      <c r="I17" s="19" t="str">
        <f t="array" ref="I17">IFERROR(_xlfn.XLOOKUP($B17,Atual!$B:$B,Atual!$E:$E),"OS concluída")</f>
        <v>REC</v>
      </c>
      <c r="J17" s="19">
        <f t="shared" si="1"/>
        <v>574</v>
      </c>
      <c r="K17" s="50"/>
      <c r="L17" s="19">
        <f t="shared" si="2"/>
        <v>64</v>
      </c>
      <c r="M17" s="19"/>
      <c r="N17" s="49">
        <f t="array" ref="N17">IFERROR(_xlfn.XLOOKUP($B17,EMPRESA_1!A:A,EMPRESA_1!J:J),"")</f>
        <v>45800</v>
      </c>
      <c r="O17" s="50" t="str">
        <f t="array" ref="O17">IFERROR(_xlfn.XLOOKUP(B17,EMPRESA_1!A:A,EMPRESA_1!K:K),"")
</f>
        <v>PAMA-LS</v>
      </c>
      <c r="P17" s="19" t="str">
        <f t="array" ref="P17">IFERROR(_xlfn.XLOOKUP(B17,EMPRESA_1!A:A,EMPRESA_1!L:L),"")</f>
        <v>045/C98/2025</v>
      </c>
      <c r="Q17" s="49">
        <f t="array" ref="Q17">IFERROR(_xlfn.XLOOKUP(B17,EMPRESA_1!A:A,EMPRESA_1!J:J),"")</f>
        <v>45800</v>
      </c>
      <c r="R17" s="19" t="str">
        <f t="array" ref="R17">IFERROR(_xlfn.XLOOKUP(B17,EMPRESA_1!A:A,EMPRESA_1!M:M),"")</f>
        <v/>
      </c>
      <c r="S17" s="51"/>
      <c r="T17" s="51" t="str">
        <f t="array" ref="T17">IFERROR(_xlfn.XLOOKUP($F17,'Acerto virtual'!$E:$E,'Acerto virtual'!F:F),"")</f>
        <v/>
      </c>
      <c r="U17" s="51" t="str">
        <f t="array" ref="U17">IFERROR(_xlfn.XLOOKUP($F17,'Acerto virtual'!$E:$E,'Acerto virtual'!G:G),"")</f>
        <v/>
      </c>
      <c r="V17" s="51" t="str">
        <f t="array" ref="V17">IFERROR(_xlfn.XLOOKUP($F17,'Acerto virtual'!$E:$E,'Acerto virtual'!H:H),"")</f>
        <v/>
      </c>
      <c r="W17" s="51" t="str">
        <f t="array" ref="W17">IFERROR(_xlfn.XLOOKUP($F17,'Acerto virtual'!$E:$E,'Acerto virtual'!I:I),"")</f>
        <v/>
      </c>
      <c r="X17" s="51" t="str">
        <f t="array" ref="X17">IFERROR(_xlfn.XLOOKUP($F17,'Acerto virtual'!$E:$E,'Acerto virtual'!J:J),"")</f>
        <v/>
      </c>
      <c r="Y17" s="51" t="str">
        <f t="array" ref="Y17">IFERROR(_xlfn.XLOOKUP($F17,'Acerto virtual'!$E:$E,'Acerto virtual'!K:K),"")</f>
        <v/>
      </c>
      <c r="Z17" s="51" t="str">
        <f t="array" ref="Z17">IFERROR(_xlfn.XLOOKUP($F17,'Acerto virtual'!$E:$E,'Acerto virtual'!L:L),"")</f>
        <v/>
      </c>
      <c r="AA17" s="51" t="str">
        <f t="array" ref="AA17">IFERROR(_xlfn.XLOOKUP($F17,'Acerto virtual'!$E:$E,'Acerto virtual'!M:M),"")</f>
        <v/>
      </c>
      <c r="AB17" s="51" t="str">
        <f t="array" ref="AB17">IFERROR(_xlfn.XLOOKUP($F17,'Acerto virtual'!$E:$E,'Acerto virtual'!N:N),"")</f>
        <v/>
      </c>
      <c r="AC17" s="51" t="str">
        <f t="array" ref="AC17">IFERROR(_xlfn.XLOOKUP($F17,'Acerto virtual'!$E:$E,'Acerto virtual'!O:O),"")</f>
        <v/>
      </c>
      <c r="AD17" s="51" t="str">
        <f t="array" ref="AD17">IFERROR(_xlfn.XLOOKUP($F17,'Acerto virtual'!$E:$E,'Acerto virtual'!P:P),"")</f>
        <v/>
      </c>
      <c r="AE17" s="51" t="str">
        <f t="array" ref="AE17">IFERROR(_xlfn.XLOOKUP($F17,'Acerto virtual'!$E:$E,'Acerto virtual'!Q:Q),"")</f>
        <v/>
      </c>
      <c r="AF17" s="51" t="str">
        <f t="array" ref="AF17">IFERROR(_xlfn.XLOOKUP($F17,'Acerto virtual'!$E:$E,'Acerto virtual'!R:R),"")</f>
        <v/>
      </c>
      <c r="AG17" s="51" t="str">
        <f t="array" ref="AG17">IFERROR(_xlfn.XLOOKUP($F17,'Acerto virtual'!$E:$E,'Acerto virtual'!S:S),"")</f>
        <v/>
      </c>
      <c r="AH17" s="51" t="str">
        <f t="array" ref="AH17">IFERROR(_xlfn.XLOOKUP($F17,'Acerto virtual'!$E:$E,'Acerto virtual'!T:T),"")</f>
        <v/>
      </c>
      <c r="AI17" s="51" t="str">
        <f t="array" ref="AI17">IFERROR(_xlfn.XLOOKUP($F17,'Acerto virtual'!$E:$E,'Acerto virtual'!U:U),"")</f>
        <v/>
      </c>
    </row>
    <row r="18" hidden="1">
      <c r="A18" s="47" t="s">
        <v>354</v>
      </c>
      <c r="B18" s="47" t="s">
        <v>355</v>
      </c>
      <c r="C18" s="48" t="str">
        <f t="array" ref="C18">IFERROR(_xlfn.XLOOKUP($B18,'Histórico'!$B:$B,'Histórico'!$I:$I),"")</f>
        <v>ASG12000-2</v>
      </c>
      <c r="D18" s="19" t="str">
        <f t="array" ref="D18">IFERROR(_xlfn.XLOOKUP($B18,'Histórico'!$B:$B,'Histórico'!$J:$J),"")</f>
        <v>71653</v>
      </c>
      <c r="E18" s="19" t="str">
        <f t="array" ref="E18">IFERROR(_xlfn.XLOOKUP($B18,'Histórico'!$B:$B,'Histórico'!$K:$K),"")</f>
        <v>ALTERNATOR</v>
      </c>
      <c r="F18" s="19" t="str">
        <f t="array" ref="F18">IFERROR(_xlfn.XLOOKUP($B18,'Histórico'!$B:$B,'Histórico'!$L:$L),"")</f>
        <v>K010158</v>
      </c>
      <c r="G18" s="49" t="str">
        <f t="array" ref="G18">IFERROR(_xlfn.XLOOKUP($B18,'Histórico'!$B:$B,'Histórico'!$F:$F),"")</f>
        <v>20/03/2025</v>
      </c>
      <c r="H18" s="19" t="str">
        <f t="array" ref="H18">IFERROR(_xlfn.XLOOKUP($B18,'Histórico'!$B:$B,'Histórico'!$AA:$AA),"")</f>
        <v>ALA 5</v>
      </c>
      <c r="I18" s="19" t="str">
        <f t="array" ref="I18">IFERROR(_xlfn.XLOOKUP($B18,Atual!$B:$B,Atual!$E:$E),"OS concluída")</f>
        <v>OS concluída</v>
      </c>
      <c r="J18" s="19" t="str">
        <f t="shared" si="1"/>
        <v/>
      </c>
      <c r="K18" s="19"/>
      <c r="L18" s="19" t="str">
        <f t="shared" si="2"/>
        <v>NÃO APLICÁVEL</v>
      </c>
      <c r="M18" s="19"/>
      <c r="N18" s="49" t="str">
        <f t="array" ref="N18">IFERROR(_xlfn.XLOOKUP($B18,EMPRESA_1!A:A,EMPRESA_1!J:J),"")</f>
        <v>REPARADO</v>
      </c>
      <c r="O18" s="50" t="str">
        <f t="array" ref="O18">IFERROR(_xlfn.XLOOKUP(B18,EMPRESA_1!A:A,EMPRESA_1!K:K),"")
</f>
        <v>V1 PAMA-LS</v>
      </c>
      <c r="P18" s="48" t="str">
        <f t="array" ref="P18">IFERROR(_xlfn.XLOOKUP(B18,EMPRESA_1!A:A,EMPRESA_1!L:L),"")</f>
        <v/>
      </c>
      <c r="Q18" s="49" t="str">
        <f t="array" ref="Q18">IFERROR(_xlfn.XLOOKUP(B18,EMPRESA_1!A:A,EMPRESA_1!J:J),"")</f>
        <v>REPARADO</v>
      </c>
      <c r="R18" s="19" t="str">
        <f t="array" ref="R18">IFERROR(_xlfn.XLOOKUP(B18,EMPRESA_1!A:A,EMPRESA_1!M:M),"")</f>
        <v/>
      </c>
      <c r="S18" s="51"/>
      <c r="T18" s="51" t="str">
        <f t="array" ref="T18">IFERROR(_xlfn.XLOOKUP($F18,'Acerto virtual'!$E:$E,'Acerto virtual'!F:F),"")</f>
        <v/>
      </c>
      <c r="U18" s="51" t="str">
        <f t="array" ref="U18">IFERROR(_xlfn.XLOOKUP($F18,'Acerto virtual'!$E:$E,'Acerto virtual'!G:G),"")</f>
        <v/>
      </c>
      <c r="V18" s="51" t="str">
        <f t="array" ref="V18">IFERROR(_xlfn.XLOOKUP($F18,'Acerto virtual'!$E:$E,'Acerto virtual'!H:H),"")</f>
        <v/>
      </c>
      <c r="W18" s="51" t="str">
        <f t="array" ref="W18">IFERROR(_xlfn.XLOOKUP($F18,'Acerto virtual'!$E:$E,'Acerto virtual'!I:I),"")</f>
        <v/>
      </c>
      <c r="X18" s="51" t="str">
        <f t="array" ref="X18">IFERROR(_xlfn.XLOOKUP($F18,'Acerto virtual'!$E:$E,'Acerto virtual'!J:J),"")</f>
        <v/>
      </c>
      <c r="Y18" s="51" t="str">
        <f t="array" ref="Y18">IFERROR(_xlfn.XLOOKUP($F18,'Acerto virtual'!$E:$E,'Acerto virtual'!K:K),"")</f>
        <v/>
      </c>
      <c r="Z18" s="51" t="str">
        <f t="array" ref="Z18">IFERROR(_xlfn.XLOOKUP($F18,'Acerto virtual'!$E:$E,'Acerto virtual'!L:L),"")</f>
        <v/>
      </c>
      <c r="AA18" s="51" t="str">
        <f t="array" ref="AA18">IFERROR(_xlfn.XLOOKUP($F18,'Acerto virtual'!$E:$E,'Acerto virtual'!M:M),"")</f>
        <v/>
      </c>
      <c r="AB18" s="51" t="str">
        <f t="array" ref="AB18">IFERROR(_xlfn.XLOOKUP($F18,'Acerto virtual'!$E:$E,'Acerto virtual'!N:N),"")</f>
        <v/>
      </c>
      <c r="AC18" s="51" t="str">
        <f t="array" ref="AC18">IFERROR(_xlfn.XLOOKUP($F18,'Acerto virtual'!$E:$E,'Acerto virtual'!O:O),"")</f>
        <v/>
      </c>
      <c r="AD18" s="51" t="str">
        <f t="array" ref="AD18">IFERROR(_xlfn.XLOOKUP($F18,'Acerto virtual'!$E:$E,'Acerto virtual'!P:P),"")</f>
        <v/>
      </c>
      <c r="AE18" s="51" t="str">
        <f t="array" ref="AE18">IFERROR(_xlfn.XLOOKUP($F18,'Acerto virtual'!$E:$E,'Acerto virtual'!Q:Q),"")</f>
        <v/>
      </c>
      <c r="AF18" s="51" t="str">
        <f t="array" ref="AF18">IFERROR(_xlfn.XLOOKUP($F18,'Acerto virtual'!$E:$E,'Acerto virtual'!R:R),"")</f>
        <v/>
      </c>
      <c r="AG18" s="51" t="str">
        <f t="array" ref="AG18">IFERROR(_xlfn.XLOOKUP($F18,'Acerto virtual'!$E:$E,'Acerto virtual'!S:S),"")</f>
        <v/>
      </c>
      <c r="AH18" s="51" t="str">
        <f t="array" ref="AH18">IFERROR(_xlfn.XLOOKUP($F18,'Acerto virtual'!$E:$E,'Acerto virtual'!T:T),"")</f>
        <v/>
      </c>
      <c r="AI18" s="51" t="str">
        <f t="array" ref="AI18">IFERROR(_xlfn.XLOOKUP($F18,'Acerto virtual'!$E:$E,'Acerto virtual'!U:U),"")</f>
        <v/>
      </c>
    </row>
    <row r="19">
      <c r="A19" s="47" t="s">
        <v>356</v>
      </c>
      <c r="B19" s="47" t="s">
        <v>357</v>
      </c>
      <c r="C19" s="48" t="str">
        <f t="array" ref="C19">IFERROR(_xlfn.XLOOKUP($B19,'Histórico'!$B:$B,'Histórico'!$I:$I),"")</f>
        <v>C661030-0301</v>
      </c>
      <c r="D19" s="19" t="str">
        <f t="array" ref="D19">IFERROR(_xlfn.XLOOKUP($B19,'Histórico'!$B:$B,'Histórico'!$J:$J),"")</f>
        <v>7EK50</v>
      </c>
      <c r="E19" s="19" t="str">
        <f t="array" ref="E19">IFERROR(_xlfn.XLOOKUP($B19,'Histórico'!$B:$B,'Histórico'!$K:$K),"")</f>
        <v>TURN BANK</v>
      </c>
      <c r="F19" s="19" t="str">
        <f t="array" ref="F19">IFERROR(_xlfn.XLOOKUP($B19,'Histórico'!$B:$B,'Histórico'!$L:$L),"")</f>
        <v>9911-257</v>
      </c>
      <c r="G19" s="49" t="str">
        <f t="array" ref="G19">IFERROR(_xlfn.XLOOKUP($B19,'Histórico'!$B:$B,'Histórico'!$F:$F),"")</f>
        <v>20/03/2025</v>
      </c>
      <c r="H19" s="19" t="str">
        <f t="array" ref="H19">IFERROR(_xlfn.XLOOKUP($B19,'Histórico'!$B:$B,'Histórico'!$AA:$AA),"")</f>
        <v>PAMALS</v>
      </c>
      <c r="I19" s="19" t="str">
        <f t="array" ref="I19">IFERROR(_xlfn.XLOOKUP($B19,Atual!$B:$B,Atual!$E:$E),"OS concluída")</f>
        <v>REC</v>
      </c>
      <c r="J19" s="19">
        <f t="shared" si="1"/>
        <v>574</v>
      </c>
      <c r="K19" s="19"/>
      <c r="L19" s="19" t="str">
        <f t="shared" si="2"/>
        <v>NÃO APLICÁVEL</v>
      </c>
      <c r="M19" s="19"/>
      <c r="N19" s="49" t="str">
        <f t="array" ref="N19">IFERROR(_xlfn.XLOOKUP($B19,EMPRESA_1!A:A,EMPRESA_1!J:J),"")</f>
        <v>EM REPARO</v>
      </c>
      <c r="O19" s="50" t="str">
        <f t="array" ref="O19">IFERROR(_xlfn.XLOOKUP(B19,EMPRESA_1!A:A,EMPRESA_1!K:K),"")
</f>
        <v>LEAP</v>
      </c>
      <c r="P19" s="48" t="str">
        <f t="array" ref="P19">IFERROR(_xlfn.XLOOKUP(B19,EMPRESA_1!A:A,EMPRESA_1!L:L),"")</f>
        <v/>
      </c>
      <c r="Q19" s="49" t="str">
        <f t="array" ref="Q19">IFERROR(_xlfn.XLOOKUP(B19,EMPRESA_1!A:A,EMPRESA_1!J:J),"")</f>
        <v>EM REPARO</v>
      </c>
      <c r="R19" s="19" t="str">
        <f t="array" ref="R19">IFERROR(_xlfn.XLOOKUP(B19,EMPRESA_1!A:A,EMPRESA_1!M:M),"")</f>
        <v/>
      </c>
      <c r="S19" s="51"/>
      <c r="T19" s="51" t="str">
        <f t="array" ref="T19">IFERROR(_xlfn.XLOOKUP($F19,'Acerto virtual'!$E:$E,'Acerto virtual'!F:F),"")</f>
        <v/>
      </c>
      <c r="U19" s="51" t="str">
        <f t="array" ref="U19">IFERROR(_xlfn.XLOOKUP($F19,'Acerto virtual'!$E:$E,'Acerto virtual'!G:G),"")</f>
        <v/>
      </c>
      <c r="V19" s="51" t="str">
        <f t="array" ref="V19">IFERROR(_xlfn.XLOOKUP($F19,'Acerto virtual'!$E:$E,'Acerto virtual'!H:H),"")</f>
        <v/>
      </c>
      <c r="W19" s="51" t="str">
        <f t="array" ref="W19">IFERROR(_xlfn.XLOOKUP($F19,'Acerto virtual'!$E:$E,'Acerto virtual'!I:I),"")</f>
        <v/>
      </c>
      <c r="X19" s="51" t="str">
        <f t="array" ref="X19">IFERROR(_xlfn.XLOOKUP($F19,'Acerto virtual'!$E:$E,'Acerto virtual'!J:J),"")</f>
        <v/>
      </c>
      <c r="Y19" s="51" t="str">
        <f t="array" ref="Y19">IFERROR(_xlfn.XLOOKUP($F19,'Acerto virtual'!$E:$E,'Acerto virtual'!K:K),"")</f>
        <v/>
      </c>
      <c r="Z19" s="51" t="str">
        <f t="array" ref="Z19">IFERROR(_xlfn.XLOOKUP($F19,'Acerto virtual'!$E:$E,'Acerto virtual'!L:L),"")</f>
        <v/>
      </c>
      <c r="AA19" s="51" t="str">
        <f t="array" ref="AA19">IFERROR(_xlfn.XLOOKUP($F19,'Acerto virtual'!$E:$E,'Acerto virtual'!M:M),"")</f>
        <v/>
      </c>
      <c r="AB19" s="51" t="str">
        <f t="array" ref="AB19">IFERROR(_xlfn.XLOOKUP($F19,'Acerto virtual'!$E:$E,'Acerto virtual'!N:N),"")</f>
        <v/>
      </c>
      <c r="AC19" s="51" t="str">
        <f t="array" ref="AC19">IFERROR(_xlfn.XLOOKUP($F19,'Acerto virtual'!$E:$E,'Acerto virtual'!O:O),"")</f>
        <v/>
      </c>
      <c r="AD19" s="51" t="str">
        <f t="array" ref="AD19">IFERROR(_xlfn.XLOOKUP($F19,'Acerto virtual'!$E:$E,'Acerto virtual'!P:P),"")</f>
        <v/>
      </c>
      <c r="AE19" s="51" t="str">
        <f t="array" ref="AE19">IFERROR(_xlfn.XLOOKUP($F19,'Acerto virtual'!$E:$E,'Acerto virtual'!Q:Q),"")</f>
        <v/>
      </c>
      <c r="AF19" s="51" t="str">
        <f t="array" ref="AF19">IFERROR(_xlfn.XLOOKUP($F19,'Acerto virtual'!$E:$E,'Acerto virtual'!R:R),"")</f>
        <v/>
      </c>
      <c r="AG19" s="51" t="str">
        <f t="array" ref="AG19">IFERROR(_xlfn.XLOOKUP($F19,'Acerto virtual'!$E:$E,'Acerto virtual'!S:S),"")</f>
        <v/>
      </c>
      <c r="AH19" s="51" t="str">
        <f t="array" ref="AH19">IFERROR(_xlfn.XLOOKUP($F19,'Acerto virtual'!$E:$E,'Acerto virtual'!T:T),"")</f>
        <v/>
      </c>
      <c r="AI19" s="51" t="str">
        <f t="array" ref="AI19">IFERROR(_xlfn.XLOOKUP($F19,'Acerto virtual'!$E:$E,'Acerto virtual'!U:U),"")</f>
        <v/>
      </c>
    </row>
    <row r="20">
      <c r="A20" s="47" t="s">
        <v>358</v>
      </c>
      <c r="B20" s="47" t="s">
        <v>359</v>
      </c>
      <c r="C20" s="48" t="str">
        <f t="array" ref="C20">IFERROR(_xlfn.XLOOKUP($B20,'Histórico'!$B:$B,'Histórico'!$I:$I),"")</f>
        <v>C662041-0102</v>
      </c>
      <c r="D20" s="19" t="str">
        <f t="array" ref="D20">IFERROR(_xlfn.XLOOKUP($B20,'Histórico'!$B:$B,'Histórico'!$J:$J),"")</f>
        <v>7EK50</v>
      </c>
      <c r="E20" s="19" t="str">
        <f t="array" ref="E20">IFERROR(_xlfn.XLOOKUP($B20,'Histórico'!$B:$B,'Histórico'!$K:$K),"")</f>
        <v>INDICATOR FUEL</v>
      </c>
      <c r="F20" s="19" t="str">
        <f t="array" ref="F20">IFERROR(_xlfn.XLOOKUP($B20,'Histórico'!$B:$B,'Histórico'!$L:$L),"")</f>
        <v>791</v>
      </c>
      <c r="G20" s="49" t="str">
        <f t="array" ref="G20">IFERROR(_xlfn.XLOOKUP($B20,'Histórico'!$B:$B,'Histórico'!$F:$F),"")</f>
        <v>20/03/2025</v>
      </c>
      <c r="H20" s="19" t="str">
        <f t="array" ref="H20">IFERROR(_xlfn.XLOOKUP($B20,'Histórico'!$B:$B,'Histórico'!$AA:$AA),"")</f>
        <v>ALA 5</v>
      </c>
      <c r="I20" s="19" t="str">
        <f t="array" ref="I20">IFERROR(_xlfn.XLOOKUP($B20,Atual!$B:$B,Atual!$E:$E),"OS concluída")</f>
        <v>REC</v>
      </c>
      <c r="J20" s="19">
        <f t="shared" si="1"/>
        <v>574</v>
      </c>
      <c r="K20" s="19"/>
      <c r="L20" s="19">
        <f t="shared" si="2"/>
        <v>161</v>
      </c>
      <c r="M20" s="19"/>
      <c r="N20" s="49">
        <f t="array" ref="N20">IFERROR(_xlfn.XLOOKUP($B20,EMPRESA_1!A:A,EMPRESA_1!J:J),"")</f>
        <v>45897</v>
      </c>
      <c r="O20" s="50" t="str">
        <f t="array" ref="O20">IFERROR(_xlfn.XLOOKUP(B20,EMPRESA_1!A:A,EMPRESA_1!K:K),"")
</f>
        <v>PAMA-LS</v>
      </c>
      <c r="P20" s="19" t="str">
        <f t="array" ref="P20">IFERROR(_xlfn.XLOOKUP(B20,EMPRESA_1!A:A,EMPRESA_1!L:L),"")</f>
        <v>159/C98/2025</v>
      </c>
      <c r="Q20" s="49">
        <f t="array" ref="Q20">IFERROR(_xlfn.XLOOKUP(B20,EMPRESA_1!A:A,EMPRESA_1!J:J),"")</f>
        <v>45897</v>
      </c>
      <c r="R20" s="19" t="str">
        <f t="array" ref="R20">IFERROR(_xlfn.XLOOKUP(B20,EMPRESA_1!A:A,EMPRESA_1!M:M),"")</f>
        <v/>
      </c>
      <c r="S20" s="51"/>
      <c r="T20" s="51" t="str">
        <f t="array" ref="T20">IFERROR(_xlfn.XLOOKUP($F20,'Acerto virtual'!$E:$E,'Acerto virtual'!F:F),"")</f>
        <v/>
      </c>
      <c r="U20" s="51" t="str">
        <f t="array" ref="U20">IFERROR(_xlfn.XLOOKUP($F20,'Acerto virtual'!$E:$E,'Acerto virtual'!G:G),"")</f>
        <v/>
      </c>
      <c r="V20" s="51" t="str">
        <f t="array" ref="V20">IFERROR(_xlfn.XLOOKUP($F20,'Acerto virtual'!$E:$E,'Acerto virtual'!H:H),"")</f>
        <v/>
      </c>
      <c r="W20" s="51" t="str">
        <f t="array" ref="W20">IFERROR(_xlfn.XLOOKUP($F20,'Acerto virtual'!$E:$E,'Acerto virtual'!I:I),"")</f>
        <v/>
      </c>
      <c r="X20" s="51" t="str">
        <f t="array" ref="X20">IFERROR(_xlfn.XLOOKUP($F20,'Acerto virtual'!$E:$E,'Acerto virtual'!J:J),"")</f>
        <v/>
      </c>
      <c r="Y20" s="51" t="str">
        <f t="array" ref="Y20">IFERROR(_xlfn.XLOOKUP($F20,'Acerto virtual'!$E:$E,'Acerto virtual'!K:K),"")</f>
        <v/>
      </c>
      <c r="Z20" s="51" t="str">
        <f t="array" ref="Z20">IFERROR(_xlfn.XLOOKUP($F20,'Acerto virtual'!$E:$E,'Acerto virtual'!L:L),"")</f>
        <v/>
      </c>
      <c r="AA20" s="51" t="str">
        <f t="array" ref="AA20">IFERROR(_xlfn.XLOOKUP($F20,'Acerto virtual'!$E:$E,'Acerto virtual'!M:M),"")</f>
        <v/>
      </c>
      <c r="AB20" s="51" t="str">
        <f t="array" ref="AB20">IFERROR(_xlfn.XLOOKUP($F20,'Acerto virtual'!$E:$E,'Acerto virtual'!N:N),"")</f>
        <v/>
      </c>
      <c r="AC20" s="51" t="str">
        <f t="array" ref="AC20">IFERROR(_xlfn.XLOOKUP($F20,'Acerto virtual'!$E:$E,'Acerto virtual'!O:O),"")</f>
        <v/>
      </c>
      <c r="AD20" s="51" t="str">
        <f t="array" ref="AD20">IFERROR(_xlfn.XLOOKUP($F20,'Acerto virtual'!$E:$E,'Acerto virtual'!P:P),"")</f>
        <v/>
      </c>
      <c r="AE20" s="51" t="str">
        <f t="array" ref="AE20">IFERROR(_xlfn.XLOOKUP($F20,'Acerto virtual'!$E:$E,'Acerto virtual'!Q:Q),"")</f>
        <v/>
      </c>
      <c r="AF20" s="51" t="str">
        <f t="array" ref="AF20">IFERROR(_xlfn.XLOOKUP($F20,'Acerto virtual'!$E:$E,'Acerto virtual'!R:R),"")</f>
        <v/>
      </c>
      <c r="AG20" s="51" t="str">
        <f t="array" ref="AG20">IFERROR(_xlfn.XLOOKUP($F20,'Acerto virtual'!$E:$E,'Acerto virtual'!S:S),"")</f>
        <v/>
      </c>
      <c r="AH20" s="51" t="str">
        <f t="array" ref="AH20">IFERROR(_xlfn.XLOOKUP($F20,'Acerto virtual'!$E:$E,'Acerto virtual'!T:T),"")</f>
        <v/>
      </c>
      <c r="AI20" s="51" t="str">
        <f t="array" ref="AI20">IFERROR(_xlfn.XLOOKUP($F20,'Acerto virtual'!$E:$E,'Acerto virtual'!U:U),"")</f>
        <v/>
      </c>
    </row>
    <row r="21">
      <c r="A21" s="47" t="s">
        <v>360</v>
      </c>
      <c r="B21" s="47" t="s">
        <v>361</v>
      </c>
      <c r="C21" s="48" t="str">
        <f t="array" ref="C21">IFERROR(_xlfn.XLOOKUP($B21,'Histórico'!$B:$B,'Histórico'!$I:$I),"")</f>
        <v>C662041-0102</v>
      </c>
      <c r="D21" s="19" t="str">
        <f t="array" ref="D21">IFERROR(_xlfn.XLOOKUP($B21,'Histórico'!$B:$B,'Histórico'!$J:$J),"")</f>
        <v>7EK50</v>
      </c>
      <c r="E21" s="19" t="str">
        <f t="array" ref="E21">IFERROR(_xlfn.XLOOKUP($B21,'Histórico'!$B:$B,'Histórico'!$K:$K),"")</f>
        <v>INDICATOR FUEL</v>
      </c>
      <c r="F21" s="19" t="str">
        <f t="array" ref="F21">IFERROR(_xlfn.XLOOKUP($B21,'Histórico'!$B:$B,'Histórico'!$L:$L),"")</f>
        <v>7077</v>
      </c>
      <c r="G21" s="49" t="str">
        <f t="array" ref="G21">IFERROR(_xlfn.XLOOKUP($B21,'Histórico'!$B:$B,'Histórico'!$F:$F),"")</f>
        <v>20/03/2025</v>
      </c>
      <c r="H21" s="19" t="str">
        <f t="array" ref="H21">IFERROR(_xlfn.XLOOKUP($B21,'Histórico'!$B:$B,'Histórico'!$AA:$AA),"")</f>
        <v>ALA 9</v>
      </c>
      <c r="I21" s="19" t="str">
        <f t="array" ref="I21">IFERROR(_xlfn.XLOOKUP($B21,Atual!$B:$B,Atual!$E:$E),"OS concluída")</f>
        <v>REC</v>
      </c>
      <c r="J21" s="19">
        <f t="shared" si="1"/>
        <v>574</v>
      </c>
      <c r="K21" s="50"/>
      <c r="L21" s="19">
        <f t="shared" si="2"/>
        <v>66</v>
      </c>
      <c r="M21" s="19"/>
      <c r="N21" s="49">
        <f t="array" ref="N21">IFERROR(_xlfn.XLOOKUP($B21,EMPRESA_1!A:A,EMPRESA_1!J:J),"")</f>
        <v>45802</v>
      </c>
      <c r="O21" s="50" t="str">
        <f t="array" ref="O21">IFERROR(_xlfn.XLOOKUP(B21,EMPRESA_1!A:A,EMPRESA_1!K:K),"")
</f>
        <v>PAMA-LS</v>
      </c>
      <c r="P21" s="19" t="str">
        <f t="array" ref="P21">IFERROR(_xlfn.XLOOKUP(B21,EMPRESA_1!A:A,EMPRESA_1!L:L),"")</f>
        <v>045/C98/2025</v>
      </c>
      <c r="Q21" s="49">
        <f t="array" ref="Q21">IFERROR(_xlfn.XLOOKUP(B21,EMPRESA_1!A:A,EMPRESA_1!J:J),"")</f>
        <v>45802</v>
      </c>
      <c r="R21" s="19" t="str">
        <f t="array" ref="R21">IFERROR(_xlfn.XLOOKUP(B21,EMPRESA_1!A:A,EMPRESA_1!M:M),"")</f>
        <v/>
      </c>
      <c r="S21" s="51"/>
      <c r="T21" s="51" t="str">
        <f t="array" ref="T21">IFERROR(_xlfn.XLOOKUP($F21,'Acerto virtual'!$E:$E,'Acerto virtual'!F:F),"")</f>
        <v/>
      </c>
      <c r="U21" s="51" t="str">
        <f t="array" ref="U21">IFERROR(_xlfn.XLOOKUP($F21,'Acerto virtual'!$E:$E,'Acerto virtual'!G:G),"")</f>
        <v/>
      </c>
      <c r="V21" s="51" t="str">
        <f t="array" ref="V21">IFERROR(_xlfn.XLOOKUP($F21,'Acerto virtual'!$E:$E,'Acerto virtual'!H:H),"")</f>
        <v/>
      </c>
      <c r="W21" s="51" t="str">
        <f t="array" ref="W21">IFERROR(_xlfn.XLOOKUP($F21,'Acerto virtual'!$E:$E,'Acerto virtual'!I:I),"")</f>
        <v/>
      </c>
      <c r="X21" s="51" t="str">
        <f t="array" ref="X21">IFERROR(_xlfn.XLOOKUP($F21,'Acerto virtual'!$E:$E,'Acerto virtual'!J:J),"")</f>
        <v/>
      </c>
      <c r="Y21" s="51" t="str">
        <f t="array" ref="Y21">IFERROR(_xlfn.XLOOKUP($F21,'Acerto virtual'!$E:$E,'Acerto virtual'!K:K),"")</f>
        <v/>
      </c>
      <c r="Z21" s="51" t="str">
        <f t="array" ref="Z21">IFERROR(_xlfn.XLOOKUP($F21,'Acerto virtual'!$E:$E,'Acerto virtual'!L:L),"")</f>
        <v/>
      </c>
      <c r="AA21" s="51" t="str">
        <f t="array" ref="AA21">IFERROR(_xlfn.XLOOKUP($F21,'Acerto virtual'!$E:$E,'Acerto virtual'!M:M),"")</f>
        <v/>
      </c>
      <c r="AB21" s="51" t="str">
        <f t="array" ref="AB21">IFERROR(_xlfn.XLOOKUP($F21,'Acerto virtual'!$E:$E,'Acerto virtual'!N:N),"")</f>
        <v/>
      </c>
      <c r="AC21" s="51" t="str">
        <f t="array" ref="AC21">IFERROR(_xlfn.XLOOKUP($F21,'Acerto virtual'!$E:$E,'Acerto virtual'!O:O),"")</f>
        <v/>
      </c>
      <c r="AD21" s="51" t="str">
        <f t="array" ref="AD21">IFERROR(_xlfn.XLOOKUP($F21,'Acerto virtual'!$E:$E,'Acerto virtual'!P:P),"")</f>
        <v/>
      </c>
      <c r="AE21" s="51" t="str">
        <f t="array" ref="AE21">IFERROR(_xlfn.XLOOKUP($F21,'Acerto virtual'!$E:$E,'Acerto virtual'!Q:Q),"")</f>
        <v/>
      </c>
      <c r="AF21" s="51" t="str">
        <f t="array" ref="AF21">IFERROR(_xlfn.XLOOKUP($F21,'Acerto virtual'!$E:$E,'Acerto virtual'!R:R),"")</f>
        <v/>
      </c>
      <c r="AG21" s="51" t="str">
        <f t="array" ref="AG21">IFERROR(_xlfn.XLOOKUP($F21,'Acerto virtual'!$E:$E,'Acerto virtual'!S:S),"")</f>
        <v/>
      </c>
      <c r="AH21" s="51" t="str">
        <f t="array" ref="AH21">IFERROR(_xlfn.XLOOKUP($F21,'Acerto virtual'!$E:$E,'Acerto virtual'!T:T),"")</f>
        <v/>
      </c>
      <c r="AI21" s="51" t="str">
        <f t="array" ref="AI21">IFERROR(_xlfn.XLOOKUP($F21,'Acerto virtual'!$E:$E,'Acerto virtual'!U:U),"")</f>
        <v/>
      </c>
    </row>
    <row r="22" hidden="1">
      <c r="A22" s="47" t="s">
        <v>362</v>
      </c>
      <c r="B22" s="47" t="s">
        <v>363</v>
      </c>
      <c r="C22" s="19" t="str">
        <f t="array" ref="C22">IFERROR(_xlfn.XLOOKUP($B22,'Histórico'!$B:$B,'Histórico'!$I:$I),"")</f>
        <v>C662041-0102</v>
      </c>
      <c r="D22" s="19" t="str">
        <f t="array" ref="D22">IFERROR(_xlfn.XLOOKUP($B22,'Histórico'!$B:$B,'Histórico'!$J:$J),"")</f>
        <v>7EK50</v>
      </c>
      <c r="E22" s="19" t="str">
        <f t="array" ref="E22">IFERROR(_xlfn.XLOOKUP($B22,'Histórico'!$B:$B,'Histórico'!$K:$K),"")</f>
        <v>INDICATOR FUEL</v>
      </c>
      <c r="F22" s="19" t="str">
        <f t="array" ref="F22">IFERROR(_xlfn.XLOOKUP($B22,'Histórico'!$B:$B,'Histórico'!$L:$L),"")</f>
        <v>3890</v>
      </c>
      <c r="G22" s="49" t="str">
        <f t="array" ref="G22">IFERROR(_xlfn.XLOOKUP($B22,'Histórico'!$B:$B,'Histórico'!$F:$F),"")</f>
        <v>20/03/2025</v>
      </c>
      <c r="H22" s="19" t="str">
        <f t="array" ref="H22">IFERROR(_xlfn.XLOOKUP($B22,'Histórico'!$B:$B,'Histórico'!$AA:$AA),"")</f>
        <v>ALA 10</v>
      </c>
      <c r="I22" s="19" t="str">
        <f t="array" ref="I22">IFERROR(_xlfn.XLOOKUP($B22,Atual!$B:$B,Atual!$E:$E),"OS concluída")</f>
        <v>OS concluída</v>
      </c>
      <c r="J22" s="19" t="str">
        <f t="shared" si="1"/>
        <v/>
      </c>
      <c r="K22" s="19"/>
      <c r="L22" s="19" t="str">
        <f t="shared" si="2"/>
        <v/>
      </c>
      <c r="M22" s="19"/>
      <c r="N22" s="49" t="str">
        <f t="array" ref="N22">IFERROR(_xlfn.XLOOKUP($B22,Empresa!G:G,Empresa!K:K),"")</f>
        <v/>
      </c>
      <c r="O22" s="49"/>
      <c r="P22" s="19" t="str">
        <f t="array" ref="P22">IFERROR(_xlfn.XLOOKUP($F22,'Vee one'!F:F,'Vee one'!O:O),"")</f>
        <v/>
      </c>
      <c r="Q22" s="19" t="str">
        <f t="array" ref="Q22">IFERROR(_xlfn.XLOOKUP($F22,'Vee one'!F:F,'Vee one'!K:K),"")</f>
        <v/>
      </c>
      <c r="R22" s="19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</row>
    <row r="23">
      <c r="A23" s="47" t="s">
        <v>364</v>
      </c>
      <c r="B23" s="47" t="s">
        <v>365</v>
      </c>
      <c r="C23" s="48" t="str">
        <f t="array" ref="C23">IFERROR(_xlfn.XLOOKUP($B23,'Histórico'!$B:$B,'Histórico'!$I:$I),"")</f>
        <v>060-0017-00</v>
      </c>
      <c r="D23" s="19" t="str">
        <f t="array" ref="D23">IFERROR(_xlfn.XLOOKUP($B23,'Histórico'!$B:$B,'Histórico'!$J:$J),"")</f>
        <v>22373</v>
      </c>
      <c r="E23" s="19" t="str">
        <f t="array" ref="E23">IFERROR(_xlfn.XLOOKUP($B23,'Histórico'!$B:$B,'Histórico'!$K:$K),"")</f>
        <v>FLIGHT DIR HOR</v>
      </c>
      <c r="F23" s="52" t="str">
        <f t="array" ref="F23">IFERROR(_xlfn.XLOOKUP($B23,'Histórico'!$B:$B,'Histórico'!$L:$L),"")</f>
        <v>KI256-25711</v>
      </c>
      <c r="G23" s="49" t="str">
        <f t="array" ref="G23">IFERROR(_xlfn.XLOOKUP($B23,'Histórico'!$B:$B,'Histórico'!$F:$F),"")</f>
        <v>20/03/2025</v>
      </c>
      <c r="H23" s="19" t="str">
        <f t="array" ref="H23">IFERROR(_xlfn.XLOOKUP($B23,'Histórico'!$B:$B,'Histórico'!$AA:$AA),"")</f>
        <v>PAMALS</v>
      </c>
      <c r="I23" s="19" t="str">
        <f t="array" ref="I23">IFERROR(_xlfn.XLOOKUP($B23,Atual!$B:$B,Atual!$E:$E),"OS concluída")</f>
        <v>REC</v>
      </c>
      <c r="J23" s="19">
        <f t="shared" si="1"/>
        <v>574</v>
      </c>
      <c r="K23" s="19"/>
      <c r="L23" s="19">
        <f t="shared" si="2"/>
        <v>399</v>
      </c>
      <c r="M23" s="19"/>
      <c r="N23" s="49">
        <f t="array" ref="N23">IFERROR(_xlfn.XLOOKUP($B23,EMPRESA_1!A:A,EMPRESA_1!J:J),"")</f>
        <v>46135</v>
      </c>
      <c r="O23" s="50" t="str">
        <f t="array" ref="O23">IFERROR(_xlfn.XLOOKUP(B23,EMPRESA_1!A:A,EMPRESA_1!K:K),"")
</f>
        <v>BANT</v>
      </c>
      <c r="P23" s="19" t="str">
        <f t="array" ref="P23">IFERROR(_xlfn.XLOOKUP(B23,EMPRESA_1!A:A,EMPRESA_1!L:L),"")</f>
        <v>352/FAB/26</v>
      </c>
      <c r="Q23" s="49">
        <f t="array" ref="Q23">IFERROR(_xlfn.XLOOKUP(B23,EMPRESA_1!A:A,EMPRESA_1!J:J),"")</f>
        <v>46135</v>
      </c>
      <c r="R23" s="19" t="str">
        <f t="array" ref="R23">IFERROR(_xlfn.XLOOKUP(B23,EMPRESA_1!A:A,EMPRESA_1!M:M),"")</f>
        <v/>
      </c>
      <c r="S23" s="51"/>
      <c r="T23" s="51" t="str">
        <f t="array" ref="T23">IFERROR(_xlfn.XLOOKUP($F23,'Acerto virtual'!$E:$E,'Acerto virtual'!F:F),"")</f>
        <v/>
      </c>
      <c r="U23" s="51" t="str">
        <f t="array" ref="U23">IFERROR(_xlfn.XLOOKUP($F23,'Acerto virtual'!$E:$E,'Acerto virtual'!G:G),"")</f>
        <v/>
      </c>
      <c r="V23" s="51" t="str">
        <f t="array" ref="V23">IFERROR(_xlfn.XLOOKUP($F23,'Acerto virtual'!$E:$E,'Acerto virtual'!H:H),"")</f>
        <v/>
      </c>
      <c r="W23" s="51" t="str">
        <f t="array" ref="W23">IFERROR(_xlfn.XLOOKUP($F23,'Acerto virtual'!$E:$E,'Acerto virtual'!I:I),"")</f>
        <v/>
      </c>
      <c r="X23" s="51" t="str">
        <f t="array" ref="X23">IFERROR(_xlfn.XLOOKUP($F23,'Acerto virtual'!$E:$E,'Acerto virtual'!J:J),"")</f>
        <v/>
      </c>
      <c r="Y23" s="51" t="str">
        <f t="array" ref="Y23">IFERROR(_xlfn.XLOOKUP($F23,'Acerto virtual'!$E:$E,'Acerto virtual'!K:K),"")</f>
        <v/>
      </c>
      <c r="Z23" s="51" t="str">
        <f t="array" ref="Z23">IFERROR(_xlfn.XLOOKUP($F23,'Acerto virtual'!$E:$E,'Acerto virtual'!L:L),"")</f>
        <v/>
      </c>
      <c r="AA23" s="51" t="str">
        <f t="array" ref="AA23">IFERROR(_xlfn.XLOOKUP($F23,'Acerto virtual'!$E:$E,'Acerto virtual'!M:M),"")</f>
        <v/>
      </c>
      <c r="AB23" s="51" t="str">
        <f t="array" ref="AB23">IFERROR(_xlfn.XLOOKUP($F23,'Acerto virtual'!$E:$E,'Acerto virtual'!N:N),"")</f>
        <v/>
      </c>
      <c r="AC23" s="51" t="str">
        <f t="array" ref="AC23">IFERROR(_xlfn.XLOOKUP($F23,'Acerto virtual'!$E:$E,'Acerto virtual'!O:O),"")</f>
        <v/>
      </c>
      <c r="AD23" s="51" t="str">
        <f t="array" ref="AD23">IFERROR(_xlfn.XLOOKUP($F23,'Acerto virtual'!$E:$E,'Acerto virtual'!P:P),"")</f>
        <v/>
      </c>
      <c r="AE23" s="51" t="str">
        <f t="array" ref="AE23">IFERROR(_xlfn.XLOOKUP($F23,'Acerto virtual'!$E:$E,'Acerto virtual'!Q:Q),"")</f>
        <v/>
      </c>
      <c r="AF23" s="51" t="str">
        <f t="array" ref="AF23">IFERROR(_xlfn.XLOOKUP($F23,'Acerto virtual'!$E:$E,'Acerto virtual'!R:R),"")</f>
        <v/>
      </c>
      <c r="AG23" s="51" t="str">
        <f t="array" ref="AG23">IFERROR(_xlfn.XLOOKUP($F23,'Acerto virtual'!$E:$E,'Acerto virtual'!S:S),"")</f>
        <v/>
      </c>
      <c r="AH23" s="51" t="str">
        <f t="array" ref="AH23">IFERROR(_xlfn.XLOOKUP($F23,'Acerto virtual'!$E:$E,'Acerto virtual'!T:T),"")</f>
        <v/>
      </c>
      <c r="AI23" s="51" t="str">
        <f t="array" ref="AI23">IFERROR(_xlfn.XLOOKUP($F23,'Acerto virtual'!$E:$E,'Acerto virtual'!U:U),"")</f>
        <v/>
      </c>
    </row>
    <row r="24" hidden="1">
      <c r="A24" s="47" t="s">
        <v>366</v>
      </c>
      <c r="B24" s="47" t="s">
        <v>367</v>
      </c>
      <c r="C24" s="19" t="str">
        <f t="array" ref="C24">IFERROR(_xlfn.XLOOKUP($B24,'Histórico'!$B:$B,'Histórico'!$I:$I),"")</f>
        <v>060-0017-00</v>
      </c>
      <c r="D24" s="19" t="str">
        <f t="array" ref="D24">IFERROR(_xlfn.XLOOKUP($B24,'Histórico'!$B:$B,'Histórico'!$J:$J),"")</f>
        <v>22373</v>
      </c>
      <c r="E24" s="19" t="str">
        <f t="array" ref="E24">IFERROR(_xlfn.XLOOKUP($B24,'Histórico'!$B:$B,'Histórico'!$K:$K),"")</f>
        <v>FLIGHT DIR HOR</v>
      </c>
      <c r="F24" s="19" t="str">
        <f t="array" ref="F24">IFERROR(_xlfn.XLOOKUP($B24,'Histórico'!$B:$B,'Histórico'!$L:$L),"")</f>
        <v>KI256-25707</v>
      </c>
      <c r="G24" s="49" t="str">
        <f t="array" ref="G24">IFERROR(_xlfn.XLOOKUP($B24,'Histórico'!$B:$B,'Histórico'!$F:$F),"")</f>
        <v>20/03/2025</v>
      </c>
      <c r="H24" s="19" t="str">
        <f t="array" ref="H24">IFERROR(_xlfn.XLOOKUP($B24,'Histórico'!$B:$B,'Histórico'!$AA:$AA),"")</f>
        <v>BABV</v>
      </c>
      <c r="I24" s="19" t="str">
        <f t="array" ref="I24">IFERROR(_xlfn.XLOOKUP($B24,Atual!$B:$B,Atual!$E:$E),"OS concluída")</f>
        <v>OS concluída</v>
      </c>
      <c r="J24" s="19" t="str">
        <f t="shared" si="1"/>
        <v/>
      </c>
      <c r="K24" s="50" t="s">
        <v>368</v>
      </c>
      <c r="L24" s="19" t="str">
        <f t="shared" si="2"/>
        <v/>
      </c>
      <c r="M24" s="19"/>
      <c r="N24" s="49" t="str">
        <f t="array" ref="N24">IFERROR(_xlfn.XLOOKUP($B24,Empresa!G:G,Empresa!K:K),"")</f>
        <v/>
      </c>
      <c r="O24" s="49"/>
      <c r="P24" s="19" t="str">
        <f t="array" ref="P24">IFERROR(_xlfn.XLOOKUP($F24,'Vee one'!F:F,'Vee one'!O:O),"")</f>
        <v/>
      </c>
      <c r="Q24" s="19" t="str">
        <f t="array" ref="Q24">IFERROR(_xlfn.XLOOKUP($F24,'Vee one'!F:F,'Vee one'!K:K),"")</f>
        <v/>
      </c>
      <c r="R24" s="19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</row>
    <row r="25">
      <c r="A25" s="47" t="s">
        <v>369</v>
      </c>
      <c r="B25" s="47" t="s">
        <v>370</v>
      </c>
      <c r="C25" s="48" t="str">
        <f t="array" ref="C25">IFERROR(_xlfn.XLOOKUP($B25,'Histórico'!$B:$B,'Histórico'!$I:$I),"")</f>
        <v>066-01141-5101</v>
      </c>
      <c r="D25" s="19" t="str">
        <f t="array" ref="D25">IFERROR(_xlfn.XLOOKUP($B25,'Histórico'!$B:$B,'Histórico'!$J:$J),"")</f>
        <v>22373</v>
      </c>
      <c r="E25" s="19" t="str">
        <f t="array" ref="E25">IFERROR(_xlfn.XLOOKUP($B25,'Histórico'!$B:$B,'Histórico'!$K:$K),"")</f>
        <v>RECEIVER-TRANSMITTER,RADIO (KT71)</v>
      </c>
      <c r="F25" s="19" t="str">
        <f t="array" ref="F25">IFERROR(_xlfn.XLOOKUP($B25,'Histórico'!$B:$B,'Histórico'!$L:$L),"")</f>
        <v>3885</v>
      </c>
      <c r="G25" s="49" t="str">
        <f t="array" ref="G25">IFERROR(_xlfn.XLOOKUP($B25,'Histórico'!$B:$B,'Histórico'!$F:$F),"")</f>
        <v>20/03/2025</v>
      </c>
      <c r="H25" s="19" t="str">
        <f t="array" ref="H25">IFERROR(_xlfn.XLOOKUP($B25,'Histórico'!$B:$B,'Histórico'!$AA:$AA),"")</f>
        <v>ALA 9</v>
      </c>
      <c r="I25" s="19" t="str">
        <f t="array" ref="I25">IFERROR(_xlfn.XLOOKUP($B25,Atual!$B:$B,Atual!$E:$E),"OS concluída")</f>
        <v>REC</v>
      </c>
      <c r="J25" s="19">
        <f t="shared" si="1"/>
        <v>574</v>
      </c>
      <c r="K25" s="19"/>
      <c r="L25" s="19" t="str">
        <f t="shared" si="2"/>
        <v>NÃO APLICÁVEL</v>
      </c>
      <c r="M25" s="19"/>
      <c r="N25" s="49" t="str">
        <f t="array" ref="N25">IFERROR(_xlfn.XLOOKUP($B25,EMPRESA_1!A:A,EMPRESA_1!J:J),"")</f>
        <v>EM REPARO</v>
      </c>
      <c r="O25" s="50" t="str">
        <f t="array" ref="O25">IFERROR(_xlfn.XLOOKUP(B25,EMPRESA_1!A:A,EMPRESA_1!K:K),"")
</f>
        <v>WILLIAM</v>
      </c>
      <c r="P25" s="48" t="str">
        <f t="array" ref="P25">IFERROR(_xlfn.XLOOKUP(B25,EMPRESA_1!A:A,EMPRESA_1!L:L),"")</f>
        <v/>
      </c>
      <c r="Q25" s="49" t="str">
        <f t="array" ref="Q25">IFERROR(_xlfn.XLOOKUP(B25,EMPRESA_1!A:A,EMPRESA_1!J:J),"")</f>
        <v>EM REPARO</v>
      </c>
      <c r="R25" s="19" t="str">
        <f t="array" ref="R25">IFERROR(_xlfn.XLOOKUP(B25,EMPRESA_1!A:A,EMPRESA_1!M:M),"")</f>
        <v/>
      </c>
      <c r="S25" s="51"/>
      <c r="T25" s="51" t="str">
        <f t="array" ref="T25">IFERROR(_xlfn.XLOOKUP($F25,'Acerto virtual'!$E:$E,'Acerto virtual'!F:F),"")</f>
        <v/>
      </c>
      <c r="U25" s="51" t="str">
        <f t="array" ref="U25">IFERROR(_xlfn.XLOOKUP($F25,'Acerto virtual'!$E:$E,'Acerto virtual'!G:G),"")</f>
        <v/>
      </c>
      <c r="V25" s="51" t="str">
        <f t="array" ref="V25">IFERROR(_xlfn.XLOOKUP($F25,'Acerto virtual'!$E:$E,'Acerto virtual'!H:H),"")</f>
        <v/>
      </c>
      <c r="W25" s="51" t="str">
        <f t="array" ref="W25">IFERROR(_xlfn.XLOOKUP($F25,'Acerto virtual'!$E:$E,'Acerto virtual'!I:I),"")</f>
        <v/>
      </c>
      <c r="X25" s="51" t="str">
        <f t="array" ref="X25">IFERROR(_xlfn.XLOOKUP($F25,'Acerto virtual'!$E:$E,'Acerto virtual'!J:J),"")</f>
        <v/>
      </c>
      <c r="Y25" s="51" t="str">
        <f t="array" ref="Y25">IFERROR(_xlfn.XLOOKUP($F25,'Acerto virtual'!$E:$E,'Acerto virtual'!K:K),"")</f>
        <v/>
      </c>
      <c r="Z25" s="51" t="str">
        <f t="array" ref="Z25">IFERROR(_xlfn.XLOOKUP($F25,'Acerto virtual'!$E:$E,'Acerto virtual'!L:L),"")</f>
        <v/>
      </c>
      <c r="AA25" s="51" t="str">
        <f t="array" ref="AA25">IFERROR(_xlfn.XLOOKUP($F25,'Acerto virtual'!$E:$E,'Acerto virtual'!M:M),"")</f>
        <v/>
      </c>
      <c r="AB25" s="51" t="str">
        <f t="array" ref="AB25">IFERROR(_xlfn.XLOOKUP($F25,'Acerto virtual'!$E:$E,'Acerto virtual'!N:N),"")</f>
        <v/>
      </c>
      <c r="AC25" s="51" t="str">
        <f t="array" ref="AC25">IFERROR(_xlfn.XLOOKUP($F25,'Acerto virtual'!$E:$E,'Acerto virtual'!O:O),"")</f>
        <v/>
      </c>
      <c r="AD25" s="51" t="str">
        <f t="array" ref="AD25">IFERROR(_xlfn.XLOOKUP($F25,'Acerto virtual'!$E:$E,'Acerto virtual'!P:P),"")</f>
        <v/>
      </c>
      <c r="AE25" s="51" t="str">
        <f t="array" ref="AE25">IFERROR(_xlfn.XLOOKUP($F25,'Acerto virtual'!$E:$E,'Acerto virtual'!Q:Q),"")</f>
        <v/>
      </c>
      <c r="AF25" s="51" t="str">
        <f t="array" ref="AF25">IFERROR(_xlfn.XLOOKUP($F25,'Acerto virtual'!$E:$E,'Acerto virtual'!R:R),"")</f>
        <v/>
      </c>
      <c r="AG25" s="51" t="str">
        <f t="array" ref="AG25">IFERROR(_xlfn.XLOOKUP($F25,'Acerto virtual'!$E:$E,'Acerto virtual'!S:S),"")</f>
        <v/>
      </c>
      <c r="AH25" s="51" t="str">
        <f t="array" ref="AH25">IFERROR(_xlfn.XLOOKUP($F25,'Acerto virtual'!$E:$E,'Acerto virtual'!T:T),"")</f>
        <v/>
      </c>
      <c r="AI25" s="51" t="str">
        <f t="array" ref="AI25">IFERROR(_xlfn.XLOOKUP($F25,'Acerto virtual'!$E:$E,'Acerto virtual'!U:U),"")</f>
        <v/>
      </c>
    </row>
    <row r="26">
      <c r="A26" s="47" t="s">
        <v>371</v>
      </c>
      <c r="B26" s="47" t="s">
        <v>372</v>
      </c>
      <c r="C26" s="48" t="str">
        <f t="array" ref="C26">IFERROR(_xlfn.XLOOKUP($B26,'Histórico'!$B:$B,'Histórico'!$I:$I),"")</f>
        <v>066-01141-5101</v>
      </c>
      <c r="D26" s="19" t="str">
        <f t="array" ref="D26">IFERROR(_xlfn.XLOOKUP($B26,'Histórico'!$B:$B,'Histórico'!$J:$J),"")</f>
        <v>22373</v>
      </c>
      <c r="E26" s="19" t="str">
        <f t="array" ref="E26">IFERROR(_xlfn.XLOOKUP($B26,'Histórico'!$B:$B,'Histórico'!$K:$K),"")</f>
        <v>RECEIVER-TRANSMITTER,RADIO (KT71)</v>
      </c>
      <c r="F26" s="19" t="str">
        <f t="array" ref="F26">IFERROR(_xlfn.XLOOKUP($B26,'Histórico'!$B:$B,'Histórico'!$L:$L),"")</f>
        <v>3861</v>
      </c>
      <c r="G26" s="49" t="str">
        <f t="array" ref="G26">IFERROR(_xlfn.XLOOKUP($B26,'Histórico'!$B:$B,'Histórico'!$F:$F),"")</f>
        <v>20/03/2025</v>
      </c>
      <c r="H26" s="19" t="str">
        <f t="array" ref="H26">IFERROR(_xlfn.XLOOKUP($B26,'Histórico'!$B:$B,'Histórico'!$AA:$AA),"")</f>
        <v>CLA</v>
      </c>
      <c r="I26" s="19" t="str">
        <f t="array" ref="I26">IFERROR(_xlfn.XLOOKUP($B26,Atual!$B:$B,Atual!$E:$E),"OS concluída")</f>
        <v>REC</v>
      </c>
      <c r="J26" s="19">
        <f t="shared" si="1"/>
        <v>574</v>
      </c>
      <c r="K26" s="50"/>
      <c r="L26" s="19">
        <f t="shared" si="2"/>
        <v>229</v>
      </c>
      <c r="M26" s="19"/>
      <c r="N26" s="49">
        <f t="array" ref="N26">IFERROR(_xlfn.XLOOKUP($B26,EMPRESA_1!A:A,EMPRESA_1!J:J),"")</f>
        <v>45965</v>
      </c>
      <c r="O26" s="50" t="str">
        <f t="array" ref="O26">IFERROR(_xlfn.XLOOKUP(B26,EMPRESA_1!A:A,EMPRESA_1!K:K),"")
</f>
        <v>BABR</v>
      </c>
      <c r="P26" s="19" t="str">
        <f t="array" ref="P26">IFERROR(_xlfn.XLOOKUP(B26,EMPRESA_1!A:A,EMPRESA_1!L:L),"")</f>
        <v>1082/2025</v>
      </c>
      <c r="Q26" s="49">
        <f t="array" ref="Q26">IFERROR(_xlfn.XLOOKUP(B26,EMPRESA_1!A:A,EMPRESA_1!J:J),"")</f>
        <v>45965</v>
      </c>
      <c r="R26" s="19" t="str">
        <f t="array" ref="R26">IFERROR(_xlfn.XLOOKUP(B26,EMPRESA_1!A:A,EMPRESA_1!M:M),"")</f>
        <v/>
      </c>
      <c r="S26" s="51"/>
      <c r="T26" s="51" t="str">
        <f t="array" ref="T26">IFERROR(_xlfn.XLOOKUP($F26,'Acerto virtual'!$E:$E,'Acerto virtual'!F:F),"")</f>
        <v>007/2025</v>
      </c>
      <c r="U26" s="51" t="str">
        <f t="array" ref="U26">IFERROR(_xlfn.XLOOKUP($F26,'Acerto virtual'!$E:$E,'Acerto virtual'!G:G),"")</f>
        <v>19/11</v>
      </c>
      <c r="V26" s="51" t="str">
        <f t="array" ref="V26">IFERROR(_xlfn.XLOOKUP($F26,'Acerto virtual'!$E:$E,'Acerto virtual'!H:H),"")</f>
        <v>02/02</v>
      </c>
      <c r="W26" s="51" t="str">
        <f t="array" ref="W26">IFERROR(_xlfn.XLOOKUP($F26,'Acerto virtual'!$E:$E,'Acerto virtual'!I:I),"")</f>
        <v>20/02 e 26/03</v>
      </c>
      <c r="X26" s="51" t="str">
        <f t="array" ref="X26">IFERROR(_xlfn.XLOOKUP($F26,'Acerto virtual'!$E:$E,'Acerto virtual'!J:J),"")</f>
        <v/>
      </c>
      <c r="Y26" s="51" t="str">
        <f t="array" ref="Y26">IFERROR(_xlfn.XLOOKUP($F26,'Acerto virtual'!$E:$E,'Acerto virtual'!K:K),"")</f>
        <v/>
      </c>
      <c r="Z26" s="51" t="str">
        <f t="array" ref="Z26">IFERROR(_xlfn.XLOOKUP($F26,'Acerto virtual'!$E:$E,'Acerto virtual'!L:L),"")</f>
        <v/>
      </c>
      <c r="AA26" s="51" t="str">
        <f t="array" ref="AA26">IFERROR(_xlfn.XLOOKUP($F26,'Acerto virtual'!$E:$E,'Acerto virtual'!M:M),"")</f>
        <v/>
      </c>
      <c r="AB26" s="51" t="str">
        <f t="array" ref="AB26">IFERROR(_xlfn.XLOOKUP($F26,'Acerto virtual'!$E:$E,'Acerto virtual'!N:N),"")</f>
        <v/>
      </c>
      <c r="AC26" s="51" t="str">
        <f t="array" ref="AC26">IFERROR(_xlfn.XLOOKUP($F26,'Acerto virtual'!$E:$E,'Acerto virtual'!O:O),"")</f>
        <v/>
      </c>
      <c r="AD26" s="51" t="str">
        <f t="array" ref="AD26">IFERROR(_xlfn.XLOOKUP($F26,'Acerto virtual'!$E:$E,'Acerto virtual'!P:P),"")</f>
        <v/>
      </c>
      <c r="AE26" s="51" t="str">
        <f t="array" ref="AE26">IFERROR(_xlfn.XLOOKUP($F26,'Acerto virtual'!$E:$E,'Acerto virtual'!Q:Q),"")</f>
        <v/>
      </c>
      <c r="AF26" s="51" t="str">
        <f t="array" ref="AF26">IFERROR(_xlfn.XLOOKUP($F26,'Acerto virtual'!$E:$E,'Acerto virtual'!R:R),"")</f>
        <v/>
      </c>
      <c r="AG26" s="51" t="str">
        <f t="array" ref="AG26">IFERROR(_xlfn.XLOOKUP($F26,'Acerto virtual'!$E:$E,'Acerto virtual'!S:S),"")</f>
        <v/>
      </c>
      <c r="AH26" s="51" t="str">
        <f t="array" ref="AH26">IFERROR(_xlfn.XLOOKUP($F26,'Acerto virtual'!$E:$E,'Acerto virtual'!T:T),"")</f>
        <v/>
      </c>
      <c r="AI26" s="51" t="str">
        <f t="array" ref="AI26">IFERROR(_xlfn.XLOOKUP($F26,'Acerto virtual'!$E:$E,'Acerto virtual'!U:U),"")</f>
        <v/>
      </c>
    </row>
    <row r="27" hidden="1">
      <c r="A27" s="47" t="s">
        <v>373</v>
      </c>
      <c r="B27" s="47" t="s">
        <v>374</v>
      </c>
      <c r="C27" s="19" t="str">
        <f t="array" ref="C27">IFERROR(_xlfn.XLOOKUP($B27,'Histórico'!$B:$B,'Histórico'!$I:$I),"")</f>
        <v>060-0017-00</v>
      </c>
      <c r="D27" s="19" t="str">
        <f t="array" ref="D27">IFERROR(_xlfn.XLOOKUP($B27,'Histórico'!$B:$B,'Histórico'!$J:$J),"")</f>
        <v>22373</v>
      </c>
      <c r="E27" s="19" t="str">
        <f t="array" ref="E27">IFERROR(_xlfn.XLOOKUP($B27,'Histórico'!$B:$B,'Histórico'!$K:$K),"")</f>
        <v>FLIGHT DIR HOR</v>
      </c>
      <c r="F27" s="19" t="str">
        <f t="array" ref="F27">IFERROR(_xlfn.XLOOKUP($B27,'Histórico'!$B:$B,'Histórico'!$L:$L),"")</f>
        <v>17143</v>
      </c>
      <c r="G27" s="49" t="str">
        <f t="array" ref="G27">IFERROR(_xlfn.XLOOKUP($B27,'Histórico'!$B:$B,'Histórico'!$F:$F),"")</f>
        <v>20/03/2025</v>
      </c>
      <c r="H27" s="19" t="str">
        <f t="array" ref="H27">IFERROR(_xlfn.XLOOKUP($B27,'Histórico'!$B:$B,'Histórico'!$AA:$AA),"")</f>
        <v>BANT</v>
      </c>
      <c r="I27" s="19" t="str">
        <f t="array" ref="I27">IFERROR(_xlfn.XLOOKUP($B27,Atual!$B:$B,Atual!$E:$E),"OS concluída")</f>
        <v>OS concluída</v>
      </c>
      <c r="J27" s="19" t="str">
        <f t="shared" si="1"/>
        <v/>
      </c>
      <c r="K27" s="50" t="s">
        <v>368</v>
      </c>
      <c r="L27" s="19" t="str">
        <f t="shared" si="2"/>
        <v/>
      </c>
      <c r="M27" s="19"/>
      <c r="N27" s="49" t="str">
        <f t="shared" ref="N27:N28" si="3">IFERROR(_xlfn.XLOOKUP($B27,Empresa!G:G,Empresa!K:K),"")</f>
        <v/>
      </c>
      <c r="O27" s="49"/>
      <c r="P27" s="19" t="str">
        <f t="shared" ref="P27:P28" si="4">IFERROR(_xlfn.XLOOKUP($F27,'Vee one'!F:F,'Vee one'!O:O),"")</f>
        <v/>
      </c>
      <c r="Q27" s="19" t="str">
        <f t="shared" ref="Q27:Q28" si="5">IFERROR(_xlfn.XLOOKUP($F27,'Vee one'!F:F,'Vee one'!K:K),"")</f>
        <v/>
      </c>
      <c r="R27" s="19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</row>
    <row r="28" hidden="1">
      <c r="A28" s="47" t="s">
        <v>375</v>
      </c>
      <c r="B28" s="47" t="s">
        <v>376</v>
      </c>
      <c r="C28" s="19" t="str">
        <f t="array" ref="C28">IFERROR(_xlfn.XLOOKUP($B28,'Histórico'!$B:$B,'Histórico'!$I:$I),"")</f>
        <v>066-3046-07</v>
      </c>
      <c r="D28" s="19" t="str">
        <f t="array" ref="D28">IFERROR(_xlfn.XLOOKUP($B28,'Histórico'!$B:$B,'Histórico'!$J:$J),"")</f>
        <v>22373</v>
      </c>
      <c r="E28" s="19" t="str">
        <f t="array" ref="E28">IFERROR(_xlfn.XLOOKUP($B28,'Histórico'!$B:$B,'Histórico'!$K:$K),"")</f>
        <v>CONTROL,INDICATOR</v>
      </c>
      <c r="F28" s="19" t="str">
        <f t="array" ref="F28">IFERROR(_xlfn.XLOOKUP($B28,'Histórico'!$B:$B,'Histórico'!$L:$L),"")</f>
        <v>96782</v>
      </c>
      <c r="G28" s="49" t="str">
        <f t="array" ref="G28">IFERROR(_xlfn.XLOOKUP($B28,'Histórico'!$B:$B,'Histórico'!$F:$F),"")</f>
        <v>20/03/2025</v>
      </c>
      <c r="H28" s="19" t="str">
        <f t="array" ref="H28">IFERROR(_xlfn.XLOOKUP($B28,'Histórico'!$B:$B,'Histórico'!$AA:$AA),"")</f>
        <v>ALA 10</v>
      </c>
      <c r="I28" s="19" t="str">
        <f t="array" ref="I28">IFERROR(_xlfn.XLOOKUP($B28,Atual!$B:$B,Atual!$E:$E),"OS concluída")</f>
        <v>OS concluída</v>
      </c>
      <c r="J28" s="19" t="str">
        <f t="shared" si="1"/>
        <v/>
      </c>
      <c r="K28" s="19"/>
      <c r="L28" s="19" t="str">
        <f t="shared" si="2"/>
        <v/>
      </c>
      <c r="M28" s="19"/>
      <c r="N28" s="49" t="str">
        <f t="shared" si="3"/>
        <v/>
      </c>
      <c r="O28" s="49"/>
      <c r="P28" s="19" t="str">
        <f t="shared" si="4"/>
        <v/>
      </c>
      <c r="Q28" s="19" t="str">
        <f t="shared" si="5"/>
        <v/>
      </c>
      <c r="R28" s="19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</row>
    <row r="29">
      <c r="A29" s="47" t="s">
        <v>377</v>
      </c>
      <c r="B29" s="47" t="s">
        <v>378</v>
      </c>
      <c r="C29" s="48" t="str">
        <f t="array" ref="C29">IFERROR(_xlfn.XLOOKUP($B29,'Histórico'!$B:$B,'Histórico'!$I:$I),"")</f>
        <v>066-04035-1101</v>
      </c>
      <c r="D29" s="19" t="str">
        <f t="array" ref="D29">IFERROR(_xlfn.XLOOKUP($B29,'Histórico'!$B:$B,'Histórico'!$J:$J),"")</f>
        <v>22373</v>
      </c>
      <c r="E29" s="19" t="str">
        <f t="array" ref="E29">IFERROR(_xlfn.XLOOKUP($B29,'Histórico'!$B:$B,'Histórico'!$K:$K),"")</f>
        <v>DISPLAY UNIT,RADAR</v>
      </c>
      <c r="F29" s="52" t="str">
        <f t="array" ref="F29">IFERROR(_xlfn.XLOOKUP($B29,'Histórico'!$B:$B,'Histórico'!$L:$L),"")</f>
        <v>KMD540-10071</v>
      </c>
      <c r="G29" s="49" t="str">
        <f t="array" ref="G29">IFERROR(_xlfn.XLOOKUP($B29,'Histórico'!$B:$B,'Histórico'!$F:$F),"")</f>
        <v>20/03/2025</v>
      </c>
      <c r="H29" s="19" t="str">
        <f t="array" ref="H29">IFERROR(_xlfn.XLOOKUP($B29,'Histórico'!$B:$B,'Histórico'!$AA:$AA),"")</f>
        <v>PAMALS</v>
      </c>
      <c r="I29" s="19" t="str">
        <f t="array" ref="I29">IFERROR(_xlfn.XLOOKUP($B29,Atual!$B:$B,Atual!$E:$E),"OS concluída")</f>
        <v>REC</v>
      </c>
      <c r="J29" s="19">
        <f t="shared" si="1"/>
        <v>574</v>
      </c>
      <c r="K29" s="19"/>
      <c r="L29" s="19">
        <f t="shared" si="2"/>
        <v>155</v>
      </c>
      <c r="M29" s="19"/>
      <c r="N29" s="49">
        <f t="array" ref="N29">IFERROR(_xlfn.XLOOKUP($B29,EMPRESA_1!A:A,EMPRESA_1!J:J),"")</f>
        <v>45891</v>
      </c>
      <c r="O29" s="50" t="str">
        <f t="array" ref="O29">IFERROR(_xlfn.XLOOKUP(B29,EMPRESA_1!A:A,EMPRESA_1!K:K),"")
</f>
        <v>BANT</v>
      </c>
      <c r="P29" s="19" t="str">
        <f t="array" ref="P29">IFERROR(_xlfn.XLOOKUP(B29,EMPRESA_1!A:A,EMPRESA_1!L:L),"")</f>
        <v>1049/2025</v>
      </c>
      <c r="Q29" s="49">
        <f t="array" ref="Q29">IFERROR(_xlfn.XLOOKUP(B29,EMPRESA_1!A:A,EMPRESA_1!J:J),"")</f>
        <v>45891</v>
      </c>
      <c r="R29" s="19" t="str">
        <f t="array" ref="R29">IFERROR(_xlfn.XLOOKUP(B29,EMPRESA_1!A:A,EMPRESA_1!M:M),"")</f>
        <v/>
      </c>
      <c r="S29" s="51"/>
      <c r="T29" s="51" t="str">
        <f t="array" ref="T29">IFERROR(_xlfn.XLOOKUP($F29,'Acerto virtual'!$E:$E,'Acerto virtual'!F:F),"")</f>
        <v>026/2025</v>
      </c>
      <c r="U29" s="51" t="str">
        <f t="array" ref="U29">IFERROR(_xlfn.XLOOKUP($F29,'Acerto virtual'!$E:$E,'Acerto virtual'!G:G),"")</f>
        <v>02/08</v>
      </c>
      <c r="V29" s="51" t="str">
        <f t="array" ref="V29">IFERROR(_xlfn.XLOOKUP($F29,'Acerto virtual'!$E:$E,'Acerto virtual'!H:H),"")</f>
        <v>30/01</v>
      </c>
      <c r="W29" s="51" t="str">
        <f t="array" ref="W29">IFERROR(_xlfn.XLOOKUP($F29,'Acerto virtual'!$E:$E,'Acerto virtual'!I:I),"")</f>
        <v>CERTIFICADO e colocar SN no termo</v>
      </c>
      <c r="X29" s="51" t="str">
        <f t="array" ref="X29">IFERROR(_xlfn.XLOOKUP($F29,'Acerto virtual'!$E:$E,'Acerto virtual'!J:J),"")</f>
        <v/>
      </c>
      <c r="Y29" s="51" t="str">
        <f t="array" ref="Y29">IFERROR(_xlfn.XLOOKUP($F29,'Acerto virtual'!$E:$E,'Acerto virtual'!K:K),"")</f>
        <v/>
      </c>
      <c r="Z29" s="51" t="str">
        <f t="array" ref="Z29">IFERROR(_xlfn.XLOOKUP($F29,'Acerto virtual'!$E:$E,'Acerto virtual'!L:L),"")</f>
        <v/>
      </c>
      <c r="AA29" s="51" t="str">
        <f t="array" ref="AA29">IFERROR(_xlfn.XLOOKUP($F29,'Acerto virtual'!$E:$E,'Acerto virtual'!M:M),"")</f>
        <v/>
      </c>
      <c r="AB29" s="51" t="str">
        <f t="array" ref="AB29">IFERROR(_xlfn.XLOOKUP($F29,'Acerto virtual'!$E:$E,'Acerto virtual'!N:N),"")</f>
        <v/>
      </c>
      <c r="AC29" s="51" t="str">
        <f t="array" ref="AC29">IFERROR(_xlfn.XLOOKUP($F29,'Acerto virtual'!$E:$E,'Acerto virtual'!O:O),"")</f>
        <v/>
      </c>
      <c r="AD29" s="51" t="str">
        <f t="array" ref="AD29">IFERROR(_xlfn.XLOOKUP($F29,'Acerto virtual'!$E:$E,'Acerto virtual'!P:P),"")</f>
        <v/>
      </c>
      <c r="AE29" s="51" t="str">
        <f t="array" ref="AE29">IFERROR(_xlfn.XLOOKUP($F29,'Acerto virtual'!$E:$E,'Acerto virtual'!Q:Q),"")</f>
        <v/>
      </c>
      <c r="AF29" s="51" t="str">
        <f t="array" ref="AF29">IFERROR(_xlfn.XLOOKUP($F29,'Acerto virtual'!$E:$E,'Acerto virtual'!R:R),"")</f>
        <v/>
      </c>
      <c r="AG29" s="51" t="str">
        <f t="array" ref="AG29">IFERROR(_xlfn.XLOOKUP($F29,'Acerto virtual'!$E:$E,'Acerto virtual'!S:S),"")</f>
        <v/>
      </c>
      <c r="AH29" s="51" t="str">
        <f t="array" ref="AH29">IFERROR(_xlfn.XLOOKUP($F29,'Acerto virtual'!$E:$E,'Acerto virtual'!T:T),"")</f>
        <v/>
      </c>
      <c r="AI29" s="51" t="str">
        <f t="array" ref="AI29">IFERROR(_xlfn.XLOOKUP($F29,'Acerto virtual'!$E:$E,'Acerto virtual'!U:U),"")</f>
        <v/>
      </c>
    </row>
    <row r="30">
      <c r="A30" s="47" t="s">
        <v>379</v>
      </c>
      <c r="B30" s="47" t="s">
        <v>380</v>
      </c>
      <c r="C30" s="48" t="str">
        <f t="array" ref="C30">IFERROR(_xlfn.XLOOKUP($B30,'Histórico'!$B:$B,'Histórico'!$I:$I),"")</f>
        <v>069-1025-25</v>
      </c>
      <c r="D30" s="19" t="str">
        <f t="array" ref="D30">IFERROR(_xlfn.XLOOKUP($B30,'Histórico'!$B:$B,'Histórico'!$J:$J),"")</f>
        <v>22373</v>
      </c>
      <c r="E30" s="19" t="str">
        <f t="array" ref="E30">IFERROR(_xlfn.XLOOKUP($B30,'Histórico'!$B:$B,'Histórico'!$K:$K),"")</f>
        <v>RECEIVER-TRANSMITTER,RADIO - KX165</v>
      </c>
      <c r="F30" s="19" t="str">
        <f t="array" ref="F30">IFERROR(_xlfn.XLOOKUP($B30,'Histórico'!$B:$B,'Histórico'!$L:$L),"")</f>
        <v>75123</v>
      </c>
      <c r="G30" s="49" t="str">
        <f t="array" ref="G30">IFERROR(_xlfn.XLOOKUP($B30,'Histórico'!$B:$B,'Histórico'!$F:$F),"")</f>
        <v>20/03/2025</v>
      </c>
      <c r="H30" s="19" t="str">
        <f t="array" ref="H30">IFERROR(_xlfn.XLOOKUP($B30,'Histórico'!$B:$B,'Histórico'!$AA:$AA),"")</f>
        <v>PAMALS</v>
      </c>
      <c r="I30" s="19" t="str">
        <f t="array" ref="I30">IFERROR(_xlfn.XLOOKUP($B30,Atual!$B:$B,Atual!$E:$E),"OS concluída")</f>
        <v>REC</v>
      </c>
      <c r="J30" s="19">
        <f t="shared" si="1"/>
        <v>574</v>
      </c>
      <c r="K30" s="19"/>
      <c r="L30" s="19" t="str">
        <f t="shared" si="2"/>
        <v>NÃO APLICÁVEL</v>
      </c>
      <c r="M30" s="19"/>
      <c r="N30" s="49" t="str">
        <f t="array" ref="N30">IFERROR(_xlfn.XLOOKUP($B30,EMPRESA_1!A:A,EMPRESA_1!J:J),"")</f>
        <v>EM REPARO</v>
      </c>
      <c r="O30" s="50" t="str">
        <f t="array" ref="O30">IFERROR(_xlfn.XLOOKUP(B30,EMPRESA_1!A:A,EMPRESA_1!K:K),"")
</f>
        <v>WILLIAM</v>
      </c>
      <c r="P30" s="48" t="str">
        <f t="array" ref="P30">IFERROR(_xlfn.XLOOKUP(B30,EMPRESA_1!A:A,EMPRESA_1!L:L),"")</f>
        <v/>
      </c>
      <c r="Q30" s="49" t="str">
        <f t="array" ref="Q30">IFERROR(_xlfn.XLOOKUP(B30,EMPRESA_1!A:A,EMPRESA_1!J:J),"")</f>
        <v>EM REPARO</v>
      </c>
      <c r="R30" s="19" t="str">
        <f t="array" ref="R30">IFERROR(_xlfn.XLOOKUP(B30,EMPRESA_1!A:A,EMPRESA_1!M:M),"")</f>
        <v/>
      </c>
      <c r="S30" s="51"/>
      <c r="T30" s="51" t="str">
        <f t="array" ref="T30">IFERROR(_xlfn.XLOOKUP($F30,'Acerto virtual'!$E:$E,'Acerto virtual'!F:F),"")</f>
        <v/>
      </c>
      <c r="U30" s="51" t="str">
        <f t="array" ref="U30">IFERROR(_xlfn.XLOOKUP($F30,'Acerto virtual'!$E:$E,'Acerto virtual'!G:G),"")</f>
        <v/>
      </c>
      <c r="V30" s="51" t="str">
        <f t="array" ref="V30">IFERROR(_xlfn.XLOOKUP($F30,'Acerto virtual'!$E:$E,'Acerto virtual'!H:H),"")</f>
        <v/>
      </c>
      <c r="W30" s="51" t="str">
        <f t="array" ref="W30">IFERROR(_xlfn.XLOOKUP($F30,'Acerto virtual'!$E:$E,'Acerto virtual'!I:I),"")</f>
        <v/>
      </c>
      <c r="X30" s="51" t="str">
        <f t="array" ref="X30">IFERROR(_xlfn.XLOOKUP($F30,'Acerto virtual'!$E:$E,'Acerto virtual'!J:J),"")</f>
        <v/>
      </c>
      <c r="Y30" s="51" t="str">
        <f t="array" ref="Y30">IFERROR(_xlfn.XLOOKUP($F30,'Acerto virtual'!$E:$E,'Acerto virtual'!K:K),"")</f>
        <v/>
      </c>
      <c r="Z30" s="51" t="str">
        <f t="array" ref="Z30">IFERROR(_xlfn.XLOOKUP($F30,'Acerto virtual'!$E:$E,'Acerto virtual'!L:L),"")</f>
        <v/>
      </c>
      <c r="AA30" s="51" t="str">
        <f t="array" ref="AA30">IFERROR(_xlfn.XLOOKUP($F30,'Acerto virtual'!$E:$E,'Acerto virtual'!M:M),"")</f>
        <v/>
      </c>
      <c r="AB30" s="51" t="str">
        <f t="array" ref="AB30">IFERROR(_xlfn.XLOOKUP($F30,'Acerto virtual'!$E:$E,'Acerto virtual'!N:N),"")</f>
        <v/>
      </c>
      <c r="AC30" s="51" t="str">
        <f t="array" ref="AC30">IFERROR(_xlfn.XLOOKUP($F30,'Acerto virtual'!$E:$E,'Acerto virtual'!O:O),"")</f>
        <v/>
      </c>
      <c r="AD30" s="51" t="str">
        <f t="array" ref="AD30">IFERROR(_xlfn.XLOOKUP($F30,'Acerto virtual'!$E:$E,'Acerto virtual'!P:P),"")</f>
        <v/>
      </c>
      <c r="AE30" s="51" t="str">
        <f t="array" ref="AE30">IFERROR(_xlfn.XLOOKUP($F30,'Acerto virtual'!$E:$E,'Acerto virtual'!Q:Q),"")</f>
        <v/>
      </c>
      <c r="AF30" s="51" t="str">
        <f t="array" ref="AF30">IFERROR(_xlfn.XLOOKUP($F30,'Acerto virtual'!$E:$E,'Acerto virtual'!R:R),"")</f>
        <v/>
      </c>
      <c r="AG30" s="51" t="str">
        <f t="array" ref="AG30">IFERROR(_xlfn.XLOOKUP($F30,'Acerto virtual'!$E:$E,'Acerto virtual'!S:S),"")</f>
        <v/>
      </c>
      <c r="AH30" s="51" t="str">
        <f t="array" ref="AH30">IFERROR(_xlfn.XLOOKUP($F30,'Acerto virtual'!$E:$E,'Acerto virtual'!T:T),"")</f>
        <v/>
      </c>
      <c r="AI30" s="51" t="str">
        <f t="array" ref="AI30">IFERROR(_xlfn.XLOOKUP($F30,'Acerto virtual'!$E:$E,'Acerto virtual'!U:U),"")</f>
        <v/>
      </c>
    </row>
    <row r="31" hidden="1">
      <c r="A31" s="47" t="s">
        <v>381</v>
      </c>
      <c r="B31" s="47" t="s">
        <v>382</v>
      </c>
      <c r="C31" s="19" t="str">
        <f t="array" ref="C31">IFERROR(_xlfn.XLOOKUP($B31,'Histórico'!$B:$B,'Histórico'!$I:$I),"")</f>
        <v>2606012-1</v>
      </c>
      <c r="D31" s="19" t="str">
        <f t="array" ref="D31">IFERROR(_xlfn.XLOOKUP($B31,'Histórico'!$B:$B,'Histórico'!$J:$J),"")</f>
        <v>7EK50</v>
      </c>
      <c r="E31" s="19" t="str">
        <f t="array" ref="E31">IFERROR(_xlfn.XLOOKUP($B31,'Histórico'!$B:$B,'Histórico'!$K:$K),"")</f>
        <v>INDICATOR-INTER-TURBINE TEMPERATURE</v>
      </c>
      <c r="F31" s="19" t="str">
        <f t="array" ref="F31">IFERROR(_xlfn.XLOOKUP($B31,'Histórico'!$B:$B,'Histórico'!$L:$L),"")</f>
        <v>00B205C</v>
      </c>
      <c r="G31" s="49" t="str">
        <f t="array" ref="G31">IFERROR(_xlfn.XLOOKUP($B31,'Histórico'!$B:$B,'Histórico'!$F:$F),"")</f>
        <v>20/03/2025</v>
      </c>
      <c r="H31" s="19" t="str">
        <f t="array" ref="H31">IFERROR(_xlfn.XLOOKUP($B31,'Histórico'!$B:$B,'Histórico'!$AA:$AA),"")</f>
        <v>ALA 9</v>
      </c>
      <c r="I31" s="19" t="str">
        <f t="array" ref="I31">IFERROR(_xlfn.XLOOKUP($B31,Atual!$B:$B,Atual!$E:$E),"OS concluída")</f>
        <v>OS concluída</v>
      </c>
      <c r="J31" s="19" t="str">
        <f t="shared" si="1"/>
        <v/>
      </c>
      <c r="K31" s="19"/>
      <c r="L31" s="19" t="str">
        <f t="shared" si="2"/>
        <v/>
      </c>
      <c r="M31" s="19"/>
      <c r="N31" s="49" t="str">
        <f t="shared" ref="N31:N32" si="6">IFERROR(_xlfn.XLOOKUP($B31,Empresa!G:G,Empresa!K:K),"")</f>
        <v/>
      </c>
      <c r="O31" s="49"/>
      <c r="P31" s="19" t="str">
        <f t="shared" ref="P31:P32" si="7">IFERROR(_xlfn.XLOOKUP($F31,'Vee one'!F:F,'Vee one'!O:O),"")</f>
        <v/>
      </c>
      <c r="Q31" s="19" t="str">
        <f t="shared" ref="Q31:Q32" si="8">IFERROR(_xlfn.XLOOKUP($F31,'Vee one'!F:F,'Vee one'!K:K),"")</f>
        <v/>
      </c>
      <c r="R31" s="19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</row>
    <row r="32" hidden="1">
      <c r="A32" s="47" t="s">
        <v>383</v>
      </c>
      <c r="B32" s="47" t="s">
        <v>384</v>
      </c>
      <c r="C32" s="19" t="str">
        <f t="array" ref="C32">IFERROR(_xlfn.XLOOKUP($B32,'Histórico'!$B:$B,'Histórico'!$I:$I),"")</f>
        <v>161-11700</v>
      </c>
      <c r="D32" s="19" t="str">
        <f t="array" ref="D32">IFERROR(_xlfn.XLOOKUP($B32,'Histórico'!$B:$B,'Histórico'!$J:$J),"")</f>
        <v>71513</v>
      </c>
      <c r="E32" s="19" t="str">
        <f t="array" ref="E32">IFERROR(_xlfn.XLOOKUP($B32,'Histórico'!$B:$B,'Histórico'!$K:$K),"")</f>
        <v>INNER WHEEL HALF ASSY</v>
      </c>
      <c r="F32" s="19" t="str">
        <f t="array" ref="F32">IFERROR(_xlfn.XLOOKUP($B32,'Histórico'!$B:$B,'Histórico'!$L:$L),"")</f>
        <v>277</v>
      </c>
      <c r="G32" s="49" t="str">
        <f t="array" ref="G32">IFERROR(_xlfn.XLOOKUP($B32,'Histórico'!$B:$B,'Histórico'!$F:$F),"")</f>
        <v>20/03/2025</v>
      </c>
      <c r="H32" s="19" t="str">
        <f t="array" ref="H32">IFERROR(_xlfn.XLOOKUP($B32,'Histórico'!$B:$B,'Histórico'!$AA:$AA),"")</f>
        <v>BABE</v>
      </c>
      <c r="I32" s="19" t="str">
        <f t="array" ref="I32">IFERROR(_xlfn.XLOOKUP($B32,Atual!$B:$B,Atual!$E:$E),"OS concluída")</f>
        <v>OS concluída</v>
      </c>
      <c r="J32" s="19" t="str">
        <f t="shared" si="1"/>
        <v/>
      </c>
      <c r="K32" s="19"/>
      <c r="L32" s="19" t="str">
        <f t="shared" si="2"/>
        <v/>
      </c>
      <c r="M32" s="19"/>
      <c r="N32" s="49" t="str">
        <f t="shared" si="6"/>
        <v/>
      </c>
      <c r="O32" s="49"/>
      <c r="P32" s="19" t="str">
        <f t="shared" si="7"/>
        <v/>
      </c>
      <c r="Q32" s="19" t="str">
        <f t="shared" si="8"/>
        <v/>
      </c>
      <c r="R32" s="19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</row>
    <row r="33">
      <c r="A33" s="47" t="s">
        <v>385</v>
      </c>
      <c r="B33" s="47" t="s">
        <v>386</v>
      </c>
      <c r="C33" s="48" t="str">
        <f t="array" ref="C33">IFERROR(_xlfn.XLOOKUP($B33,'Histórico'!$B:$B,'Histórico'!$I:$I),"")</f>
        <v>161-11700</v>
      </c>
      <c r="D33" s="19" t="str">
        <f t="array" ref="D33">IFERROR(_xlfn.XLOOKUP($B33,'Histórico'!$B:$B,'Histórico'!$J:$J),"")</f>
        <v>71513</v>
      </c>
      <c r="E33" s="19" t="str">
        <f t="array" ref="E33">IFERROR(_xlfn.XLOOKUP($B33,'Histórico'!$B:$B,'Histórico'!$K:$K),"")</f>
        <v>INNER WHEEL HALF ASSY</v>
      </c>
      <c r="F33" s="19" t="str">
        <f t="array" ref="F33">IFERROR(_xlfn.XLOOKUP($B33,'Histórico'!$B:$B,'Histórico'!$L:$L),"")</f>
        <v>42</v>
      </c>
      <c r="G33" s="49" t="str">
        <f t="array" ref="G33">IFERROR(_xlfn.XLOOKUP($B33,'Histórico'!$B:$B,'Histórico'!$F:$F),"")</f>
        <v>20/03/2025</v>
      </c>
      <c r="H33" s="19" t="str">
        <f t="array" ref="H33">IFERROR(_xlfn.XLOOKUP($B33,'Histórico'!$B:$B,'Histórico'!$AA:$AA),"")</f>
        <v>EEAR</v>
      </c>
      <c r="I33" s="19" t="str">
        <f t="array" ref="I33">IFERROR(_xlfn.XLOOKUP($B33,Atual!$B:$B,Atual!$E:$E),"OS concluída")</f>
        <v>REC</v>
      </c>
      <c r="J33" s="19">
        <f t="shared" si="1"/>
        <v>574</v>
      </c>
      <c r="K33" s="19"/>
      <c r="L33" s="19">
        <f t="shared" si="2"/>
        <v>209</v>
      </c>
      <c r="M33" s="19"/>
      <c r="N33" s="49">
        <f t="array" ref="N33">IFERROR(_xlfn.XLOOKUP($B33,EMPRESA_1!A:A,EMPRESA_1!J:J),"")</f>
        <v>45945</v>
      </c>
      <c r="O33" s="50" t="str">
        <f t="array" ref="O33">IFERROR(_xlfn.XLOOKUP(B33,EMPRESA_1!A:A,EMPRESA_1!K:K),"")
</f>
        <v>BACG</v>
      </c>
      <c r="P33" s="19" t="str">
        <f t="array" ref="P33">IFERROR(_xlfn.XLOOKUP(B33,EMPRESA_1!A:A,EMPRESA_1!L:L),"")</f>
        <v>161/FAB/25</v>
      </c>
      <c r="Q33" s="49">
        <f t="array" ref="Q33">IFERROR(_xlfn.XLOOKUP(B33,EMPRESA_1!A:A,EMPRESA_1!J:J),"")</f>
        <v>45945</v>
      </c>
      <c r="R33" s="19" t="str">
        <f t="array" ref="R33">IFERROR(_xlfn.XLOOKUP(B33,EMPRESA_1!A:A,EMPRESA_1!M:M),"")</f>
        <v/>
      </c>
      <c r="S33" s="51"/>
      <c r="T33" s="51" t="str">
        <f t="array" ref="T33">IFERROR(_xlfn.XLOOKUP($F33,'Acerto virtual'!$E:$E,'Acerto virtual'!F:F),"")</f>
        <v/>
      </c>
      <c r="U33" s="51" t="str">
        <f t="array" ref="U33">IFERROR(_xlfn.XLOOKUP($F33,'Acerto virtual'!$E:$E,'Acerto virtual'!G:G),"")</f>
        <v/>
      </c>
      <c r="V33" s="51" t="str">
        <f t="array" ref="V33">IFERROR(_xlfn.XLOOKUP($F33,'Acerto virtual'!$E:$E,'Acerto virtual'!H:H),"")</f>
        <v/>
      </c>
      <c r="W33" s="51" t="str">
        <f t="array" ref="W33">IFERROR(_xlfn.XLOOKUP($F33,'Acerto virtual'!$E:$E,'Acerto virtual'!I:I),"")</f>
        <v/>
      </c>
      <c r="X33" s="51" t="str">
        <f t="array" ref="X33">IFERROR(_xlfn.XLOOKUP($F33,'Acerto virtual'!$E:$E,'Acerto virtual'!J:J),"")</f>
        <v/>
      </c>
      <c r="Y33" s="51" t="str">
        <f t="array" ref="Y33">IFERROR(_xlfn.XLOOKUP($F33,'Acerto virtual'!$E:$E,'Acerto virtual'!K:K),"")</f>
        <v/>
      </c>
      <c r="Z33" s="51" t="str">
        <f t="array" ref="Z33">IFERROR(_xlfn.XLOOKUP($F33,'Acerto virtual'!$E:$E,'Acerto virtual'!L:L),"")</f>
        <v/>
      </c>
      <c r="AA33" s="51" t="str">
        <f t="array" ref="AA33">IFERROR(_xlfn.XLOOKUP($F33,'Acerto virtual'!$E:$E,'Acerto virtual'!M:M),"")</f>
        <v/>
      </c>
      <c r="AB33" s="51" t="str">
        <f t="array" ref="AB33">IFERROR(_xlfn.XLOOKUP($F33,'Acerto virtual'!$E:$E,'Acerto virtual'!N:N),"")</f>
        <v/>
      </c>
      <c r="AC33" s="51" t="str">
        <f t="array" ref="AC33">IFERROR(_xlfn.XLOOKUP($F33,'Acerto virtual'!$E:$E,'Acerto virtual'!O:O),"")</f>
        <v/>
      </c>
      <c r="AD33" s="51" t="str">
        <f t="array" ref="AD33">IFERROR(_xlfn.XLOOKUP($F33,'Acerto virtual'!$E:$E,'Acerto virtual'!P:P),"")</f>
        <v/>
      </c>
      <c r="AE33" s="51" t="str">
        <f t="array" ref="AE33">IFERROR(_xlfn.XLOOKUP($F33,'Acerto virtual'!$E:$E,'Acerto virtual'!Q:Q),"")</f>
        <v/>
      </c>
      <c r="AF33" s="51" t="str">
        <f t="array" ref="AF33">IFERROR(_xlfn.XLOOKUP($F33,'Acerto virtual'!$E:$E,'Acerto virtual'!R:R),"")</f>
        <v/>
      </c>
      <c r="AG33" s="51" t="str">
        <f t="array" ref="AG33">IFERROR(_xlfn.XLOOKUP($F33,'Acerto virtual'!$E:$E,'Acerto virtual'!S:S),"")</f>
        <v/>
      </c>
      <c r="AH33" s="51" t="str">
        <f t="array" ref="AH33">IFERROR(_xlfn.XLOOKUP($F33,'Acerto virtual'!$E:$E,'Acerto virtual'!T:T),"")</f>
        <v/>
      </c>
      <c r="AI33" s="51" t="str">
        <f t="array" ref="AI33">IFERROR(_xlfn.XLOOKUP($F33,'Acerto virtual'!$E:$E,'Acerto virtual'!U:U),"")</f>
        <v/>
      </c>
    </row>
    <row r="34" hidden="1">
      <c r="A34" s="47" t="s">
        <v>387</v>
      </c>
      <c r="B34" s="47" t="s">
        <v>388</v>
      </c>
      <c r="C34" s="19" t="str">
        <f t="array" ref="C34">IFERROR(_xlfn.XLOOKUP($B34,'Histórico'!$B:$B,'Histórico'!$I:$I),"")</f>
        <v>030-18200</v>
      </c>
      <c r="D34" s="19" t="str">
        <f t="array" ref="D34">IFERROR(_xlfn.XLOOKUP($B34,'Histórico'!$B:$B,'Histórico'!$J:$J),"")</f>
        <v>33269</v>
      </c>
      <c r="E34" s="19" t="str">
        <f t="array" ref="E34">IFERROR(_xlfn.XLOOKUP($B34,'Histórico'!$B:$B,'Histórico'!$K:$K),"")</f>
        <v>MAIN WHEEL BRAKE</v>
      </c>
      <c r="F34" s="19" t="str">
        <f t="array" ref="F34">IFERROR(_xlfn.XLOOKUP($B34,'Histórico'!$B:$B,'Histórico'!$L:$L),"")</f>
        <v>7951</v>
      </c>
      <c r="G34" s="49" t="str">
        <f t="array" ref="G34">IFERROR(_xlfn.XLOOKUP($B34,'Histórico'!$B:$B,'Histórico'!$F:$F),"")</f>
        <v>20/03/2025</v>
      </c>
      <c r="H34" s="19" t="str">
        <f t="array" ref="H34">IFERROR(_xlfn.XLOOKUP($B34,'Histórico'!$B:$B,'Histórico'!$AA:$AA),"")</f>
        <v>BACO</v>
      </c>
      <c r="I34" s="19" t="str">
        <f t="array" ref="I34">IFERROR(_xlfn.XLOOKUP($B34,Atual!$B:$B,Atual!$E:$E),"OS concluída")</f>
        <v>OS concluída</v>
      </c>
      <c r="J34" s="19" t="str">
        <f t="shared" si="1"/>
        <v/>
      </c>
      <c r="K34" s="19"/>
      <c r="L34" s="19" t="str">
        <f t="shared" si="2"/>
        <v/>
      </c>
      <c r="M34" s="19"/>
      <c r="N34" s="49" t="str">
        <f t="array" ref="N34">IFERROR(_xlfn.XLOOKUP($B34,Empresa!G:G,Empresa!K:K),"")</f>
        <v/>
      </c>
      <c r="O34" s="49"/>
      <c r="P34" s="19" t="str">
        <f t="array" ref="P34">IFERROR(_xlfn.XLOOKUP($F34,'Vee one'!F:F,'Vee one'!O:O),"")</f>
        <v/>
      </c>
      <c r="Q34" s="19" t="str">
        <f t="array" ref="Q34">IFERROR(_xlfn.XLOOKUP($F34,'Vee one'!F:F,'Vee one'!K:K),"")</f>
        <v/>
      </c>
      <c r="R34" s="19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</row>
    <row r="35">
      <c r="A35" s="47" t="s">
        <v>389</v>
      </c>
      <c r="B35" s="47" t="s">
        <v>390</v>
      </c>
      <c r="C35" s="48" t="str">
        <f t="array" ref="C35">IFERROR(_xlfn.XLOOKUP($B35,'Histórico'!$B:$B,'Histórico'!$I:$I),"")</f>
        <v>030-18200</v>
      </c>
      <c r="D35" s="19" t="str">
        <f t="array" ref="D35">IFERROR(_xlfn.XLOOKUP($B35,'Histórico'!$B:$B,'Histórico'!$J:$J),"")</f>
        <v>33269</v>
      </c>
      <c r="E35" s="19" t="str">
        <f t="array" ref="E35">IFERROR(_xlfn.XLOOKUP($B35,'Histórico'!$B:$B,'Histórico'!$K:$K),"")</f>
        <v>MAIN WHEEL BRAKE</v>
      </c>
      <c r="F35" s="19" t="str">
        <f t="array" ref="F35">IFERROR(_xlfn.XLOOKUP($B35,'Histórico'!$B:$B,'Histórico'!$L:$L),"")</f>
        <v>5028A</v>
      </c>
      <c r="G35" s="49" t="str">
        <f t="array" ref="G35">IFERROR(_xlfn.XLOOKUP($B35,'Histórico'!$B:$B,'Histórico'!$F:$F),"")</f>
        <v>20/03/2025</v>
      </c>
      <c r="H35" s="19" t="str">
        <f t="array" ref="H35">IFERROR(_xlfn.XLOOKUP($B35,'Histórico'!$B:$B,'Histórico'!$AA:$AA),"")</f>
        <v>BABV</v>
      </c>
      <c r="I35" s="19" t="str">
        <f t="array" ref="I35">IFERROR(_xlfn.XLOOKUP($B35,Atual!$B:$B,Atual!$E:$E),"OS concluída")</f>
        <v>REC</v>
      </c>
      <c r="J35" s="19">
        <f t="shared" si="1"/>
        <v>574</v>
      </c>
      <c r="K35" s="19"/>
      <c r="L35" s="19" t="str">
        <f t="shared" si="2"/>
        <v>NÃO APLICÁVEL</v>
      </c>
      <c r="M35" s="19"/>
      <c r="N35" s="49" t="str">
        <f t="array" ref="N35">IFERROR(_xlfn.XLOOKUP($B35,EMPRESA_1!A:A,EMPRESA_1!J:J),"")</f>
        <v>EM REPARO</v>
      </c>
      <c r="O35" s="50" t="str">
        <f t="array" ref="O35">IFERROR(_xlfn.XLOOKUP(B35,EMPRESA_1!A:A,EMPRESA_1!K:K),"")
</f>
        <v>LEAP</v>
      </c>
      <c r="P35" s="48" t="str">
        <f t="array" ref="P35">IFERROR(_xlfn.XLOOKUP(B35,EMPRESA_1!A:A,EMPRESA_1!L:L),"")</f>
        <v/>
      </c>
      <c r="Q35" s="49" t="str">
        <f t="array" ref="Q35">IFERROR(_xlfn.XLOOKUP(B35,EMPRESA_1!A:A,EMPRESA_1!J:J),"")</f>
        <v>EM REPARO</v>
      </c>
      <c r="R35" s="19" t="str">
        <f t="array" ref="R35">IFERROR(_xlfn.XLOOKUP(B35,EMPRESA_1!A:A,EMPRESA_1!M:M),"")</f>
        <v/>
      </c>
      <c r="S35" s="51"/>
      <c r="T35" s="51" t="str">
        <f t="array" ref="T35">IFERROR(_xlfn.XLOOKUP($F35,'Acerto virtual'!$E:$E,'Acerto virtual'!F:F),"")</f>
        <v/>
      </c>
      <c r="U35" s="51" t="str">
        <f t="array" ref="U35">IFERROR(_xlfn.XLOOKUP($F35,'Acerto virtual'!$E:$E,'Acerto virtual'!G:G),"")</f>
        <v/>
      </c>
      <c r="V35" s="51" t="str">
        <f t="array" ref="V35">IFERROR(_xlfn.XLOOKUP($F35,'Acerto virtual'!$E:$E,'Acerto virtual'!H:H),"")</f>
        <v/>
      </c>
      <c r="W35" s="51" t="str">
        <f t="array" ref="W35">IFERROR(_xlfn.XLOOKUP($F35,'Acerto virtual'!$E:$E,'Acerto virtual'!I:I),"")</f>
        <v/>
      </c>
      <c r="X35" s="51" t="str">
        <f t="array" ref="X35">IFERROR(_xlfn.XLOOKUP($F35,'Acerto virtual'!$E:$E,'Acerto virtual'!J:J),"")</f>
        <v/>
      </c>
      <c r="Y35" s="51" t="str">
        <f t="array" ref="Y35">IFERROR(_xlfn.XLOOKUP($F35,'Acerto virtual'!$E:$E,'Acerto virtual'!K:K),"")</f>
        <v/>
      </c>
      <c r="Z35" s="51" t="str">
        <f t="array" ref="Z35">IFERROR(_xlfn.XLOOKUP($F35,'Acerto virtual'!$E:$E,'Acerto virtual'!L:L),"")</f>
        <v/>
      </c>
      <c r="AA35" s="51" t="str">
        <f t="array" ref="AA35">IFERROR(_xlfn.XLOOKUP($F35,'Acerto virtual'!$E:$E,'Acerto virtual'!M:M),"")</f>
        <v/>
      </c>
      <c r="AB35" s="51" t="str">
        <f t="array" ref="AB35">IFERROR(_xlfn.XLOOKUP($F35,'Acerto virtual'!$E:$E,'Acerto virtual'!N:N),"")</f>
        <v/>
      </c>
      <c r="AC35" s="51" t="str">
        <f t="array" ref="AC35">IFERROR(_xlfn.XLOOKUP($F35,'Acerto virtual'!$E:$E,'Acerto virtual'!O:O),"")</f>
        <v/>
      </c>
      <c r="AD35" s="51" t="str">
        <f t="array" ref="AD35">IFERROR(_xlfn.XLOOKUP($F35,'Acerto virtual'!$E:$E,'Acerto virtual'!P:P),"")</f>
        <v/>
      </c>
      <c r="AE35" s="51" t="str">
        <f t="array" ref="AE35">IFERROR(_xlfn.XLOOKUP($F35,'Acerto virtual'!$E:$E,'Acerto virtual'!Q:Q),"")</f>
        <v/>
      </c>
      <c r="AF35" s="51" t="str">
        <f t="array" ref="AF35">IFERROR(_xlfn.XLOOKUP($F35,'Acerto virtual'!$E:$E,'Acerto virtual'!R:R),"")</f>
        <v/>
      </c>
      <c r="AG35" s="51" t="str">
        <f t="array" ref="AG35">IFERROR(_xlfn.XLOOKUP($F35,'Acerto virtual'!$E:$E,'Acerto virtual'!S:S),"")</f>
        <v/>
      </c>
      <c r="AH35" s="51" t="str">
        <f t="array" ref="AH35">IFERROR(_xlfn.XLOOKUP($F35,'Acerto virtual'!$E:$E,'Acerto virtual'!T:T),"")</f>
        <v/>
      </c>
      <c r="AI35" s="51" t="str">
        <f t="array" ref="AI35">IFERROR(_xlfn.XLOOKUP($F35,'Acerto virtual'!$E:$E,'Acerto virtual'!U:U),"")</f>
        <v/>
      </c>
    </row>
    <row r="36" hidden="1">
      <c r="A36" s="47" t="s">
        <v>391</v>
      </c>
      <c r="B36" s="47" t="s">
        <v>392</v>
      </c>
      <c r="C36" s="19" t="str">
        <f t="array" ref="C36">IFERROR(_xlfn.XLOOKUP($B36,'Histórico'!$B:$B,'Histórico'!$I:$I),"")</f>
        <v>030-18200</v>
      </c>
      <c r="D36" s="19" t="str">
        <f t="array" ref="D36">IFERROR(_xlfn.XLOOKUP($B36,'Histórico'!$B:$B,'Histórico'!$J:$J),"")</f>
        <v>33269</v>
      </c>
      <c r="E36" s="19" t="str">
        <f t="array" ref="E36">IFERROR(_xlfn.XLOOKUP($B36,'Histórico'!$B:$B,'Histórico'!$K:$K),"")</f>
        <v>MAIN WHEEL BRAKE</v>
      </c>
      <c r="F36" s="19" t="str">
        <f t="array" ref="F36">IFERROR(_xlfn.XLOOKUP($B36,'Histórico'!$B:$B,'Histórico'!$L:$L),"")</f>
        <v>122</v>
      </c>
      <c r="G36" s="49" t="str">
        <f t="array" ref="G36">IFERROR(_xlfn.XLOOKUP($B36,'Histórico'!$B:$B,'Histórico'!$F:$F),"")</f>
        <v>20/03/2025</v>
      </c>
      <c r="H36" s="19" t="str">
        <f t="array" ref="H36">IFERROR(_xlfn.XLOOKUP($B36,'Histórico'!$B:$B,'Histórico'!$AA:$AA),"")</f>
        <v>BACO</v>
      </c>
      <c r="I36" s="19" t="str">
        <f t="array" ref="I36">IFERROR(_xlfn.XLOOKUP($B36,Atual!$B:$B,Atual!$E:$E),"OS concluída")</f>
        <v>OS concluída</v>
      </c>
      <c r="J36" s="19" t="str">
        <f t="shared" si="1"/>
        <v/>
      </c>
      <c r="K36" s="19"/>
      <c r="L36" s="19" t="str">
        <f t="shared" si="2"/>
        <v/>
      </c>
      <c r="M36" s="19"/>
      <c r="N36" s="49" t="str">
        <f t="shared" ref="N36:N41" si="9">IFERROR(_xlfn.XLOOKUP($B36,Empresa!G:G,Empresa!K:K),"")</f>
        <v/>
      </c>
      <c r="O36" s="49"/>
      <c r="P36" s="19" t="str">
        <f t="shared" ref="P36:P41" si="10">IFERROR(_xlfn.XLOOKUP($F36,'Vee one'!F:F,'Vee one'!O:O),"")</f>
        <v/>
      </c>
      <c r="Q36" s="19" t="str">
        <f t="shared" ref="Q36:Q41" si="11">IFERROR(_xlfn.XLOOKUP($F36,'Vee one'!F:F,'Vee one'!K:K),"")</f>
        <v/>
      </c>
      <c r="R36" s="19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</row>
    <row r="37" hidden="1">
      <c r="A37" s="47" t="s">
        <v>393</v>
      </c>
      <c r="B37" s="47" t="s">
        <v>394</v>
      </c>
      <c r="C37" s="19" t="str">
        <f t="array" ref="C37">IFERROR(_xlfn.XLOOKUP($B37,'Histórico'!$B:$B,'Histórico'!$I:$I),"")</f>
        <v>162-11800</v>
      </c>
      <c r="D37" s="19" t="str">
        <f t="array" ref="D37">IFERROR(_xlfn.XLOOKUP($B37,'Histórico'!$B:$B,'Histórico'!$J:$J),"")</f>
        <v>33269</v>
      </c>
      <c r="E37" s="19" t="str">
        <f t="array" ref="E37">IFERROR(_xlfn.XLOOKUP($B37,'Histórico'!$B:$B,'Histórico'!$K:$K),"")</f>
        <v>WHEEL HALF ASSY-OUTER</v>
      </c>
      <c r="F37" s="19" t="str">
        <f t="array" ref="F37">IFERROR(_xlfn.XLOOKUP($B37,'Histórico'!$B:$B,'Histórico'!$L:$L),"")</f>
        <v>27</v>
      </c>
      <c r="G37" s="49" t="str">
        <f t="array" ref="G37">IFERROR(_xlfn.XLOOKUP($B37,'Histórico'!$B:$B,'Histórico'!$F:$F),"")</f>
        <v>20/03/2025</v>
      </c>
      <c r="H37" s="19" t="str">
        <f t="array" ref="H37">IFERROR(_xlfn.XLOOKUP($B37,'Histórico'!$B:$B,'Histórico'!$AA:$AA),"")</f>
        <v>PAMALS</v>
      </c>
      <c r="I37" s="19" t="str">
        <f t="array" ref="I37">IFERROR(_xlfn.XLOOKUP($B37,Atual!$B:$B,Atual!$E:$E),"OS concluída")</f>
        <v>OS concluída</v>
      </c>
      <c r="J37" s="19" t="str">
        <f t="shared" si="1"/>
        <v/>
      </c>
      <c r="K37" s="19"/>
      <c r="L37" s="19" t="str">
        <f t="shared" si="2"/>
        <v/>
      </c>
      <c r="M37" s="19"/>
      <c r="N37" s="49" t="str">
        <f t="shared" si="9"/>
        <v/>
      </c>
      <c r="O37" s="49"/>
      <c r="P37" s="19" t="str">
        <f t="shared" si="10"/>
        <v/>
      </c>
      <c r="Q37" s="19" t="str">
        <f t="shared" si="11"/>
        <v/>
      </c>
      <c r="R37" s="19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</row>
    <row r="38" hidden="1">
      <c r="A38" s="47" t="s">
        <v>395</v>
      </c>
      <c r="B38" s="47" t="s">
        <v>396</v>
      </c>
      <c r="C38" s="19" t="str">
        <f t="array" ref="C38">IFERROR(_xlfn.XLOOKUP($B38,'Histórico'!$B:$B,'Histórico'!$I:$I),"")</f>
        <v>162-11800</v>
      </c>
      <c r="D38" s="19" t="str">
        <f t="array" ref="D38">IFERROR(_xlfn.XLOOKUP($B38,'Histórico'!$B:$B,'Histórico'!$J:$J),"")</f>
        <v>33269</v>
      </c>
      <c r="E38" s="19" t="str">
        <f t="array" ref="E38">IFERROR(_xlfn.XLOOKUP($B38,'Histórico'!$B:$B,'Histórico'!$K:$K),"")</f>
        <v>WHEEL HALF ASSY-OUTER</v>
      </c>
      <c r="F38" s="19" t="str">
        <f t="array" ref="F38">IFERROR(_xlfn.XLOOKUP($B38,'Histórico'!$B:$B,'Histórico'!$L:$L),"")</f>
        <v>02B</v>
      </c>
      <c r="G38" s="49" t="str">
        <f t="array" ref="G38">IFERROR(_xlfn.XLOOKUP($B38,'Histórico'!$B:$B,'Histórico'!$F:$F),"")</f>
        <v>20/03/2025</v>
      </c>
      <c r="H38" s="19" t="str">
        <f t="array" ref="H38">IFERROR(_xlfn.XLOOKUP($B38,'Histórico'!$B:$B,'Histórico'!$AA:$AA),"")</f>
        <v>BACG</v>
      </c>
      <c r="I38" s="19" t="str">
        <f t="array" ref="I38">IFERROR(_xlfn.XLOOKUP($B38,Atual!$B:$B,Atual!$E:$E),"OS concluída")</f>
        <v>OS concluída</v>
      </c>
      <c r="J38" s="19" t="str">
        <f t="shared" si="1"/>
        <v/>
      </c>
      <c r="K38" s="19"/>
      <c r="L38" s="19" t="str">
        <f t="shared" si="2"/>
        <v/>
      </c>
      <c r="M38" s="19"/>
      <c r="N38" s="49" t="str">
        <f t="shared" si="9"/>
        <v/>
      </c>
      <c r="O38" s="49"/>
      <c r="P38" s="19" t="str">
        <f t="shared" si="10"/>
        <v/>
      </c>
      <c r="Q38" s="19" t="str">
        <f t="shared" si="11"/>
        <v/>
      </c>
      <c r="R38" s="19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</row>
    <row r="39" hidden="1">
      <c r="A39" s="47" t="s">
        <v>397</v>
      </c>
      <c r="B39" s="47" t="s">
        <v>398</v>
      </c>
      <c r="C39" s="19" t="str">
        <f t="array" ref="C39">IFERROR(_xlfn.XLOOKUP($B39,'Histórico'!$B:$B,'Histórico'!$I:$I),"")</f>
        <v>161-12800</v>
      </c>
      <c r="D39" s="19" t="str">
        <f t="array" ref="D39">IFERROR(_xlfn.XLOOKUP($B39,'Histórico'!$B:$B,'Histórico'!$J:$J),"")</f>
        <v>71513</v>
      </c>
      <c r="E39" s="19" t="str">
        <f t="array" ref="E39">IFERROR(_xlfn.XLOOKUP($B39,'Histórico'!$B:$B,'Histórico'!$K:$K),"")</f>
        <v>WHEEL HALF ASSY-INNER</v>
      </c>
      <c r="F39" s="19" t="str">
        <f t="array" ref="F39">IFERROR(_xlfn.XLOOKUP($B39,'Histórico'!$B:$B,'Histórico'!$L:$L),"")</f>
        <v>291</v>
      </c>
      <c r="G39" s="49" t="str">
        <f t="array" ref="G39">IFERROR(_xlfn.XLOOKUP($B39,'Histórico'!$B:$B,'Histórico'!$F:$F),"")</f>
        <v>20/03/2025</v>
      </c>
      <c r="H39" s="19" t="str">
        <f t="array" ref="H39">IFERROR(_xlfn.XLOOKUP($B39,'Histórico'!$B:$B,'Histórico'!$AA:$AA),"")</f>
        <v>BACG</v>
      </c>
      <c r="I39" s="19" t="str">
        <f t="array" ref="I39">IFERROR(_xlfn.XLOOKUP($B39,Atual!$B:$B,Atual!$E:$E),"OS concluída")</f>
        <v>OS concluída</v>
      </c>
      <c r="J39" s="19" t="str">
        <f t="shared" si="1"/>
        <v/>
      </c>
      <c r="K39" s="19"/>
      <c r="L39" s="19" t="str">
        <f t="shared" si="2"/>
        <v/>
      </c>
      <c r="M39" s="19"/>
      <c r="N39" s="49" t="str">
        <f t="shared" si="9"/>
        <v/>
      </c>
      <c r="O39" s="49"/>
      <c r="P39" s="19" t="str">
        <f t="shared" si="10"/>
        <v/>
      </c>
      <c r="Q39" s="19" t="str">
        <f t="shared" si="11"/>
        <v/>
      </c>
      <c r="R39" s="19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</row>
    <row r="40" hidden="1">
      <c r="A40" s="47" t="s">
        <v>399</v>
      </c>
      <c r="B40" s="47" t="s">
        <v>400</v>
      </c>
      <c r="C40" s="19" t="str">
        <f t="array" ref="C40">IFERROR(_xlfn.XLOOKUP($B40,'Histórico'!$B:$B,'Histórico'!$I:$I),"")</f>
        <v>161-12800</v>
      </c>
      <c r="D40" s="19" t="str">
        <f t="array" ref="D40">IFERROR(_xlfn.XLOOKUP($B40,'Histórico'!$B:$B,'Histórico'!$J:$J),"")</f>
        <v>71513</v>
      </c>
      <c r="E40" s="19" t="str">
        <f t="array" ref="E40">IFERROR(_xlfn.XLOOKUP($B40,'Histórico'!$B:$B,'Histórico'!$K:$K),"")</f>
        <v>WHEEL HALF ASSY-INNER</v>
      </c>
      <c r="F40" s="19" t="str">
        <f t="array" ref="F40">IFERROR(_xlfn.XLOOKUP($B40,'Histórico'!$B:$B,'Histórico'!$L:$L),"")</f>
        <v>0011</v>
      </c>
      <c r="G40" s="49" t="str">
        <f t="array" ref="G40">IFERROR(_xlfn.XLOOKUP($B40,'Histórico'!$B:$B,'Histórico'!$F:$F),"")</f>
        <v>20/03/2025</v>
      </c>
      <c r="H40" s="19" t="str">
        <f t="array" ref="H40">IFERROR(_xlfn.XLOOKUP($B40,'Histórico'!$B:$B,'Histórico'!$AA:$AA),"")</f>
        <v>BABE</v>
      </c>
      <c r="I40" s="19" t="str">
        <f t="array" ref="I40">IFERROR(_xlfn.XLOOKUP($B40,Atual!$B:$B,Atual!$E:$E),"OS concluída")</f>
        <v>OS concluída</v>
      </c>
      <c r="J40" s="19" t="str">
        <f t="shared" si="1"/>
        <v/>
      </c>
      <c r="K40" s="19"/>
      <c r="L40" s="19" t="str">
        <f t="shared" si="2"/>
        <v/>
      </c>
      <c r="M40" s="19"/>
      <c r="N40" s="49" t="str">
        <f t="shared" si="9"/>
        <v/>
      </c>
      <c r="O40" s="49"/>
      <c r="P40" s="19" t="str">
        <f t="shared" si="10"/>
        <v/>
      </c>
      <c r="Q40" s="19" t="str">
        <f t="shared" si="11"/>
        <v/>
      </c>
      <c r="R40" s="19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</row>
    <row r="41" hidden="1">
      <c r="A41" s="47" t="s">
        <v>401</v>
      </c>
      <c r="B41" s="47" t="s">
        <v>402</v>
      </c>
      <c r="C41" s="19" t="str">
        <f t="array" ref="C41">IFERROR(_xlfn.XLOOKUP($B41,'Histórico'!$B:$B,'Histórico'!$I:$I),"")</f>
        <v>2643031-7</v>
      </c>
      <c r="D41" s="19" t="str">
        <f t="array" ref="D41">IFERROR(_xlfn.XLOOKUP($B41,'Histórico'!$B:$B,'Histórico'!$J:$J),"")</f>
        <v>7EK50</v>
      </c>
      <c r="E41" s="19" t="str">
        <f t="array" ref="E41">IFERROR(_xlfn.XLOOKUP($B41,'Histórico'!$B:$B,'Histórico'!$K:$K),"")</f>
        <v>FORK ASSY,NOSE GEAR SPRING</v>
      </c>
      <c r="F41" s="19" t="str">
        <f t="array" ref="F41">IFERROR(_xlfn.XLOOKUP($B41,'Histórico'!$B:$B,'Histórico'!$L:$L),"")</f>
        <v>791</v>
      </c>
      <c r="G41" s="49" t="str">
        <f t="array" ref="G41">IFERROR(_xlfn.XLOOKUP($B41,'Histórico'!$B:$B,'Histórico'!$F:$F),"")</f>
        <v>20/03/2025</v>
      </c>
      <c r="H41" s="19" t="str">
        <f t="array" ref="H41">IFERROR(_xlfn.XLOOKUP($B41,'Histórico'!$B:$B,'Histórico'!$AA:$AA),"")</f>
        <v>BAMN</v>
      </c>
      <c r="I41" s="19" t="str">
        <f t="array" ref="I41">IFERROR(_xlfn.XLOOKUP($B41,Atual!$B:$B,Atual!$E:$E),"OS concluída")</f>
        <v>OS concluída</v>
      </c>
      <c r="J41" s="19" t="str">
        <f t="shared" si="1"/>
        <v/>
      </c>
      <c r="K41" s="19"/>
      <c r="L41" s="19" t="str">
        <f t="shared" si="2"/>
        <v/>
      </c>
      <c r="M41" s="19"/>
      <c r="N41" s="49" t="str">
        <f t="shared" si="9"/>
        <v/>
      </c>
      <c r="O41" s="49"/>
      <c r="P41" s="19" t="str">
        <f t="shared" si="10"/>
        <v/>
      </c>
      <c r="Q41" s="19" t="str">
        <f t="shared" si="11"/>
        <v/>
      </c>
      <c r="R41" s="19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</row>
    <row r="42">
      <c r="A42" s="47" t="s">
        <v>403</v>
      </c>
      <c r="B42" s="47" t="s">
        <v>404</v>
      </c>
      <c r="C42" s="48" t="str">
        <f t="array" ref="C42">IFERROR(_xlfn.XLOOKUP($B42,'Histórico'!$B:$B,'Histórico'!$I:$I),"")</f>
        <v>2643090-1</v>
      </c>
      <c r="D42" s="19" t="str">
        <f t="array" ref="D42">IFERROR(_xlfn.XLOOKUP($B42,'Histórico'!$B:$B,'Histórico'!$J:$J),"")</f>
        <v>7EK50</v>
      </c>
      <c r="E42" s="19" t="str">
        <f t="array" ref="E42">IFERROR(_xlfn.XLOOKUP($B42,'Histórico'!$B:$B,'Histórico'!$K:$K),"")</f>
        <v>SHIMMY DAMPENE</v>
      </c>
      <c r="F42" s="19" t="str">
        <f t="array" ref="F42">IFERROR(_xlfn.XLOOKUP($B42,'Histórico'!$B:$B,'Histórico'!$L:$L),"")</f>
        <v/>
      </c>
      <c r="G42" s="49" t="str">
        <f t="array" ref="G42">IFERROR(_xlfn.XLOOKUP($B42,'Histórico'!$B:$B,'Histórico'!$F:$F),"")</f>
        <v>20/03/2025</v>
      </c>
      <c r="H42" s="19" t="str">
        <f t="array" ref="H42">IFERROR(_xlfn.XLOOKUP($B42,'Histórico'!$B:$B,'Histórico'!$AA:$AA),"")</f>
        <v>BANT</v>
      </c>
      <c r="I42" s="19" t="str">
        <f t="array" ref="I42">IFERROR(_xlfn.XLOOKUP($B42,Atual!$B:$B,Atual!$E:$E),"OS concluída")</f>
        <v>REC</v>
      </c>
      <c r="J42" s="19">
        <f t="shared" si="1"/>
        <v>574</v>
      </c>
      <c r="K42" s="19"/>
      <c r="L42" s="19" t="str">
        <f t="shared" si="2"/>
        <v>NÃO APLICÁVEL</v>
      </c>
      <c r="M42" s="19"/>
      <c r="N42" s="49" t="str">
        <f t="array" ref="N42">IFERROR(_xlfn.XLOOKUP($B42,EMPRESA_1!A:A,EMPRESA_1!J:J),"")</f>
        <v>EM REPARO</v>
      </c>
      <c r="O42" s="50" t="str">
        <f t="array" ref="O42">IFERROR(_xlfn.XLOOKUP(B42,EMPRESA_1!A:A,EMPRESA_1!K:K),"")
</f>
        <v>AV AERONAUTICA</v>
      </c>
      <c r="P42" s="48" t="str">
        <f t="array" ref="P42">IFERROR(_xlfn.XLOOKUP(B42,EMPRESA_1!A:A,EMPRESA_1!L:L),"")</f>
        <v/>
      </c>
      <c r="Q42" s="49" t="str">
        <f t="array" ref="Q42">IFERROR(_xlfn.XLOOKUP(B42,EMPRESA_1!A:A,EMPRESA_1!J:J),"")</f>
        <v>EM REPARO</v>
      </c>
      <c r="R42" s="19" t="str">
        <f t="array" ref="R42">IFERROR(_xlfn.XLOOKUP(B42,EMPRESA_1!A:A,EMPRESA_1!M:M),"")</f>
        <v/>
      </c>
      <c r="S42" s="51"/>
      <c r="T42" s="51" t="str">
        <f t="array" ref="T42">IFERROR(_xlfn.XLOOKUP($F42,'Acerto virtual'!$E:$E,'Acerto virtual'!F:F),"")</f>
        <v/>
      </c>
      <c r="U42" s="51" t="str">
        <f t="array" ref="U42">IFERROR(_xlfn.XLOOKUP($F42,'Acerto virtual'!$E:$E,'Acerto virtual'!G:G),"")</f>
        <v/>
      </c>
      <c r="V42" s="51" t="str">
        <f t="array" ref="V42">IFERROR(_xlfn.XLOOKUP($F42,'Acerto virtual'!$E:$E,'Acerto virtual'!H:H),"")</f>
        <v/>
      </c>
      <c r="W42" s="51" t="str">
        <f t="array" ref="W42">IFERROR(_xlfn.XLOOKUP($F42,'Acerto virtual'!$E:$E,'Acerto virtual'!I:I),"")</f>
        <v/>
      </c>
      <c r="X42" s="51" t="str">
        <f t="array" ref="X42">IFERROR(_xlfn.XLOOKUP($F42,'Acerto virtual'!$E:$E,'Acerto virtual'!J:J),"")</f>
        <v/>
      </c>
      <c r="Y42" s="51" t="str">
        <f t="array" ref="Y42">IFERROR(_xlfn.XLOOKUP($F42,'Acerto virtual'!$E:$E,'Acerto virtual'!K:K),"")</f>
        <v/>
      </c>
      <c r="Z42" s="51" t="str">
        <f t="array" ref="Z42">IFERROR(_xlfn.XLOOKUP($F42,'Acerto virtual'!$E:$E,'Acerto virtual'!L:L),"")</f>
        <v/>
      </c>
      <c r="AA42" s="51" t="str">
        <f t="array" ref="AA42">IFERROR(_xlfn.XLOOKUP($F42,'Acerto virtual'!$E:$E,'Acerto virtual'!M:M),"")</f>
        <v/>
      </c>
      <c r="AB42" s="51" t="str">
        <f t="array" ref="AB42">IFERROR(_xlfn.XLOOKUP($F42,'Acerto virtual'!$E:$E,'Acerto virtual'!N:N),"")</f>
        <v/>
      </c>
      <c r="AC42" s="51" t="str">
        <f t="array" ref="AC42">IFERROR(_xlfn.XLOOKUP($F42,'Acerto virtual'!$E:$E,'Acerto virtual'!O:O),"")</f>
        <v/>
      </c>
      <c r="AD42" s="51" t="str">
        <f t="array" ref="AD42">IFERROR(_xlfn.XLOOKUP($F42,'Acerto virtual'!$E:$E,'Acerto virtual'!P:P),"")</f>
        <v/>
      </c>
      <c r="AE42" s="51" t="str">
        <f t="array" ref="AE42">IFERROR(_xlfn.XLOOKUP($F42,'Acerto virtual'!$E:$E,'Acerto virtual'!Q:Q),"")</f>
        <v/>
      </c>
      <c r="AF42" s="51" t="str">
        <f t="array" ref="AF42">IFERROR(_xlfn.XLOOKUP($F42,'Acerto virtual'!$E:$E,'Acerto virtual'!R:R),"")</f>
        <v/>
      </c>
      <c r="AG42" s="51" t="str">
        <f t="array" ref="AG42">IFERROR(_xlfn.XLOOKUP($F42,'Acerto virtual'!$E:$E,'Acerto virtual'!S:S),"")</f>
        <v/>
      </c>
      <c r="AH42" s="51" t="str">
        <f t="array" ref="AH42">IFERROR(_xlfn.XLOOKUP($F42,'Acerto virtual'!$E:$E,'Acerto virtual'!T:T),"")</f>
        <v/>
      </c>
      <c r="AI42" s="51" t="str">
        <f t="array" ref="AI42">IFERROR(_xlfn.XLOOKUP($F42,'Acerto virtual'!$E:$E,'Acerto virtual'!U:U),"")</f>
        <v/>
      </c>
    </row>
    <row r="43" hidden="1">
      <c r="A43" s="47" t="s">
        <v>405</v>
      </c>
      <c r="B43" s="47" t="s">
        <v>406</v>
      </c>
      <c r="C43" s="48" t="str">
        <f t="array" ref="C43">IFERROR(_xlfn.XLOOKUP($B43,'Histórico'!$B:$B,'Histórico'!$I:$I),"")</f>
        <v>2643090-1</v>
      </c>
      <c r="D43" s="19" t="str">
        <f t="array" ref="D43">IFERROR(_xlfn.XLOOKUP($B43,'Histórico'!$B:$B,'Histórico'!$J:$J),"")</f>
        <v>7EK50</v>
      </c>
      <c r="E43" s="19" t="str">
        <f t="array" ref="E43">IFERROR(_xlfn.XLOOKUP($B43,'Histórico'!$B:$B,'Histórico'!$K:$K),"")</f>
        <v>SHIMMY DAMPENE</v>
      </c>
      <c r="F43" s="19" t="str">
        <f t="array" ref="F43">IFERROR(_xlfn.XLOOKUP($B43,'Histórico'!$B:$B,'Histórico'!$L:$L),"")</f>
        <v/>
      </c>
      <c r="G43" s="49" t="str">
        <f t="array" ref="G43">IFERROR(_xlfn.XLOOKUP($B43,'Histórico'!$B:$B,'Histórico'!$F:$F),"")</f>
        <v>20/03/2025</v>
      </c>
      <c r="H43" s="19" t="str">
        <f t="array" ref="H43">IFERROR(_xlfn.XLOOKUP($B43,'Histórico'!$B:$B,'Histórico'!$AA:$AA),"")</f>
        <v>BAMN</v>
      </c>
      <c r="I43" s="19" t="str">
        <f t="array" ref="I43">IFERROR(_xlfn.XLOOKUP($B43,Atual!$B:$B,Atual!$E:$E),"OS concluída")</f>
        <v>OS concluída</v>
      </c>
      <c r="J43" s="19" t="str">
        <f t="shared" si="1"/>
        <v/>
      </c>
      <c r="K43" s="19"/>
      <c r="L43" s="19" t="str">
        <f t="shared" si="2"/>
        <v>NÃO APLICÁVEL</v>
      </c>
      <c r="M43" s="19"/>
      <c r="N43" s="49" t="str">
        <f t="array" ref="N43">IFERROR(_xlfn.XLOOKUP($B43,EMPRESA_1!A:A,EMPRESA_1!J:J),"")</f>
        <v>REPARADO</v>
      </c>
      <c r="O43" s="50" t="str">
        <f t="array" ref="O43">IFERROR(_xlfn.XLOOKUP(B43,EMPRESA_1!A:A,EMPRESA_1!K:K),"")
</f>
        <v>V1 PAMA-LS</v>
      </c>
      <c r="P43" s="48" t="str">
        <f t="array" ref="P43">IFERROR(_xlfn.XLOOKUP(B43,EMPRESA_1!A:A,EMPRESA_1!L:L),"")</f>
        <v/>
      </c>
      <c r="Q43" s="49" t="str">
        <f t="array" ref="Q43">IFERROR(_xlfn.XLOOKUP(B43,EMPRESA_1!A:A,EMPRESA_1!J:J),"")</f>
        <v>REPARADO</v>
      </c>
      <c r="R43" s="19" t="str">
        <f t="array" ref="R43">IFERROR(_xlfn.XLOOKUP(B43,EMPRESA_1!A:A,EMPRESA_1!M:M),"")</f>
        <v/>
      </c>
      <c r="S43" s="51"/>
      <c r="T43" s="51" t="str">
        <f t="array" ref="T43">IFERROR(_xlfn.XLOOKUP($F43,'Acerto virtual'!$E:$E,'Acerto virtual'!F:F),"")</f>
        <v/>
      </c>
      <c r="U43" s="51" t="str">
        <f t="array" ref="U43">IFERROR(_xlfn.XLOOKUP($F43,'Acerto virtual'!$E:$E,'Acerto virtual'!G:G),"")</f>
        <v/>
      </c>
      <c r="V43" s="51" t="str">
        <f t="array" ref="V43">IFERROR(_xlfn.XLOOKUP($F43,'Acerto virtual'!$E:$E,'Acerto virtual'!H:H),"")</f>
        <v/>
      </c>
      <c r="W43" s="51" t="str">
        <f t="array" ref="W43">IFERROR(_xlfn.XLOOKUP($F43,'Acerto virtual'!$E:$E,'Acerto virtual'!I:I),"")</f>
        <v/>
      </c>
      <c r="X43" s="51" t="str">
        <f t="array" ref="X43">IFERROR(_xlfn.XLOOKUP($F43,'Acerto virtual'!$E:$E,'Acerto virtual'!J:J),"")</f>
        <v/>
      </c>
      <c r="Y43" s="51" t="str">
        <f t="array" ref="Y43">IFERROR(_xlfn.XLOOKUP($F43,'Acerto virtual'!$E:$E,'Acerto virtual'!K:K),"")</f>
        <v/>
      </c>
      <c r="Z43" s="51" t="str">
        <f t="array" ref="Z43">IFERROR(_xlfn.XLOOKUP($F43,'Acerto virtual'!$E:$E,'Acerto virtual'!L:L),"")</f>
        <v/>
      </c>
      <c r="AA43" s="51" t="str">
        <f t="array" ref="AA43">IFERROR(_xlfn.XLOOKUP($F43,'Acerto virtual'!$E:$E,'Acerto virtual'!M:M),"")</f>
        <v/>
      </c>
      <c r="AB43" s="51" t="str">
        <f t="array" ref="AB43">IFERROR(_xlfn.XLOOKUP($F43,'Acerto virtual'!$E:$E,'Acerto virtual'!N:N),"")</f>
        <v/>
      </c>
      <c r="AC43" s="51" t="str">
        <f t="array" ref="AC43">IFERROR(_xlfn.XLOOKUP($F43,'Acerto virtual'!$E:$E,'Acerto virtual'!O:O),"")</f>
        <v/>
      </c>
      <c r="AD43" s="51" t="str">
        <f t="array" ref="AD43">IFERROR(_xlfn.XLOOKUP($F43,'Acerto virtual'!$E:$E,'Acerto virtual'!P:P),"")</f>
        <v/>
      </c>
      <c r="AE43" s="51" t="str">
        <f t="array" ref="AE43">IFERROR(_xlfn.XLOOKUP($F43,'Acerto virtual'!$E:$E,'Acerto virtual'!Q:Q),"")</f>
        <v/>
      </c>
      <c r="AF43" s="51" t="str">
        <f t="array" ref="AF43">IFERROR(_xlfn.XLOOKUP($F43,'Acerto virtual'!$E:$E,'Acerto virtual'!R:R),"")</f>
        <v/>
      </c>
      <c r="AG43" s="51" t="str">
        <f t="array" ref="AG43">IFERROR(_xlfn.XLOOKUP($F43,'Acerto virtual'!$E:$E,'Acerto virtual'!S:S),"")</f>
        <v/>
      </c>
      <c r="AH43" s="51" t="str">
        <f t="array" ref="AH43">IFERROR(_xlfn.XLOOKUP($F43,'Acerto virtual'!$E:$E,'Acerto virtual'!T:T),"")</f>
        <v/>
      </c>
      <c r="AI43" s="51" t="str">
        <f t="array" ref="AI43">IFERROR(_xlfn.XLOOKUP($F43,'Acerto virtual'!$E:$E,'Acerto virtual'!U:U),"")</f>
        <v/>
      </c>
    </row>
    <row r="44" hidden="1">
      <c r="A44" s="47" t="s">
        <v>407</v>
      </c>
      <c r="B44" s="47" t="s">
        <v>408</v>
      </c>
      <c r="C44" s="19" t="str">
        <f t="array" ref="C44">IFERROR(_xlfn.XLOOKUP($B44,'Histórico'!$B:$B,'Histórico'!$I:$I),"")</f>
        <v>2641012-14</v>
      </c>
      <c r="D44" s="19" t="str">
        <f t="array" ref="D44">IFERROR(_xlfn.XLOOKUP($B44,'Histórico'!$B:$B,'Histórico'!$J:$J),"")</f>
        <v>7EK50</v>
      </c>
      <c r="E44" s="19" t="str">
        <f t="array" ref="E44">IFERROR(_xlfn.XLOOKUP($B44,'Histórico'!$B:$B,'Histórico'!$K:$K),"")</f>
        <v>TRUNNION ASSY-RH-MAIN GEAR</v>
      </c>
      <c r="F44" s="19" t="str">
        <f t="array" ref="F44">IFERROR(_xlfn.XLOOKUP($B44,'Histórico'!$B:$B,'Histórico'!$L:$L),"")</f>
        <v>988</v>
      </c>
      <c r="G44" s="49" t="str">
        <f t="array" ref="G44">IFERROR(_xlfn.XLOOKUP($B44,'Histórico'!$B:$B,'Histórico'!$F:$F),"")</f>
        <v>20/03/2025</v>
      </c>
      <c r="H44" s="19" t="str">
        <f t="array" ref="H44">IFERROR(_xlfn.XLOOKUP($B44,'Histórico'!$B:$B,'Histórico'!$AA:$AA),"")</f>
        <v>PAMASP</v>
      </c>
      <c r="I44" s="19" t="str">
        <f t="array" ref="I44">IFERROR(_xlfn.XLOOKUP($B44,Atual!$B:$B,Atual!$E:$E),"OS concluída")</f>
        <v>OS concluída</v>
      </c>
      <c r="J44" s="19" t="str">
        <f t="shared" si="1"/>
        <v/>
      </c>
      <c r="K44" s="19"/>
      <c r="L44" s="19" t="str">
        <f t="shared" si="2"/>
        <v/>
      </c>
      <c r="M44" s="19"/>
      <c r="N44" s="49" t="str">
        <f t="shared" ref="N44:N46" si="12">IFERROR(_xlfn.XLOOKUP($B44,Empresa!G:G,Empresa!K:K),"")</f>
        <v/>
      </c>
      <c r="O44" s="49"/>
      <c r="P44" s="19" t="str">
        <f t="shared" ref="P44:P45" si="13">IFERROR(_xlfn.XLOOKUP($F44,'Vee one'!F:F,'Vee one'!O:O),"")</f>
        <v/>
      </c>
      <c r="Q44" s="19" t="str">
        <f t="shared" ref="Q44:Q45" si="14">IFERROR(_xlfn.XLOOKUP($F44,'Vee one'!F:F,'Vee one'!K:K),"")</f>
        <v/>
      </c>
      <c r="R44" s="19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</row>
    <row r="45" hidden="1">
      <c r="A45" s="47" t="s">
        <v>409</v>
      </c>
      <c r="B45" s="47" t="s">
        <v>410</v>
      </c>
      <c r="C45" s="19" t="str">
        <f t="array" ref="C45">IFERROR(_xlfn.XLOOKUP($B45,'Histórico'!$B:$B,'Histórico'!$I:$I),"")</f>
        <v>2643099-4</v>
      </c>
      <c r="D45" s="19" t="str">
        <f t="array" ref="D45">IFERROR(_xlfn.XLOOKUP($B45,'Histórico'!$B:$B,'Histórico'!$J:$J),"")</f>
        <v>7EK50</v>
      </c>
      <c r="E45" s="19" t="str">
        <f t="array" ref="E45">IFERROR(_xlfn.XLOOKUP($B45,'Histórico'!$B:$B,'Histórico'!$K:$K),"")</f>
        <v>SUPPORT ASSY FOWARD, NLG SPRING</v>
      </c>
      <c r="F45" s="19" t="str">
        <f t="array" ref="F45">IFERROR(_xlfn.XLOOKUP($B45,'Histórico'!$B:$B,'Histórico'!$L:$L),"")</f>
        <v>994</v>
      </c>
      <c r="G45" s="49" t="str">
        <f t="array" ref="G45">IFERROR(_xlfn.XLOOKUP($B45,'Histórico'!$B:$B,'Histórico'!$F:$F),"")</f>
        <v>20/03/2025</v>
      </c>
      <c r="H45" s="19" t="str">
        <f t="array" ref="H45">IFERROR(_xlfn.XLOOKUP($B45,'Histórico'!$B:$B,'Histórico'!$AA:$AA),"")</f>
        <v>BAMN</v>
      </c>
      <c r="I45" s="19" t="str">
        <f t="array" ref="I45">IFERROR(_xlfn.XLOOKUP($B45,Atual!$B:$B,Atual!$E:$E),"OS concluída")</f>
        <v>OS concluída</v>
      </c>
      <c r="J45" s="19" t="str">
        <f t="shared" si="1"/>
        <v/>
      </c>
      <c r="K45" s="19"/>
      <c r="L45" s="19" t="str">
        <f t="shared" si="2"/>
        <v/>
      </c>
      <c r="M45" s="19"/>
      <c r="N45" s="49" t="str">
        <f t="shared" si="12"/>
        <v/>
      </c>
      <c r="O45" s="49"/>
      <c r="P45" s="19" t="str">
        <f t="shared" si="13"/>
        <v/>
      </c>
      <c r="Q45" s="19" t="str">
        <f t="shared" si="14"/>
        <v/>
      </c>
      <c r="R45" s="19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</row>
    <row r="46" hidden="1">
      <c r="A46" s="47" t="s">
        <v>411</v>
      </c>
      <c r="B46" s="47" t="s">
        <v>412</v>
      </c>
      <c r="C46" s="19" t="str">
        <f t="array" ref="C46">IFERROR(_xlfn.XLOOKUP($B46,'Histórico'!$B:$B,'Histórico'!$I:$I),"")</f>
        <v>30994-001</v>
      </c>
      <c r="D46" s="19" t="str">
        <f t="array" ref="D46">IFERROR(_xlfn.XLOOKUP($B46,'Histórico'!$B:$B,'Histórico'!$J:$J),"")</f>
        <v>74025</v>
      </c>
      <c r="E46" s="19" t="str">
        <f t="array" ref="E46">IFERROR(_xlfn.XLOOKUP($B46,'Histórico'!$B:$B,'Histórico'!$K:$K),"")</f>
        <v>BATTERY-MARATHON TSP410 NICAD</v>
      </c>
      <c r="F46" s="19" t="str">
        <f t="array" ref="F46">IFERROR(_xlfn.XLOOKUP($B46,'Histórico'!$B:$B,'Histórico'!$L:$L),"")</f>
        <v>10603745</v>
      </c>
      <c r="G46" s="49" t="str">
        <f t="array" ref="G46">IFERROR(_xlfn.XLOOKUP($B46,'Histórico'!$B:$B,'Histórico'!$F:$F),"")</f>
        <v>20/03/2025</v>
      </c>
      <c r="H46" s="19" t="str">
        <f t="array" ref="H46">IFERROR(_xlfn.XLOOKUP($B46,'Histórico'!$B:$B,'Histórico'!$AA:$AA),"")</f>
        <v>BANT</v>
      </c>
      <c r="I46" s="19" t="str">
        <f t="array" ref="I46">IFERROR(_xlfn.XLOOKUP($B46,Atual!$B:$B,Atual!$E:$E),"OS concluída")</f>
        <v>OS concluída</v>
      </c>
      <c r="J46" s="19" t="str">
        <f t="shared" si="1"/>
        <v/>
      </c>
      <c r="K46" s="19"/>
      <c r="L46" s="19" t="str">
        <f t="shared" si="2"/>
        <v/>
      </c>
      <c r="M46" s="19"/>
      <c r="N46" s="49" t="str">
        <f t="shared" si="12"/>
        <v/>
      </c>
      <c r="O46" s="50" t="str">
        <f t="array" ref="O46">IFERROR(_xlfn.XLOOKUP(B46,EMPRESA_1!A:A,EMPRESA_1!K:K),"")
</f>
        <v>AMA - VEE ONE</v>
      </c>
      <c r="P46" s="19" t="str">
        <f t="array" ref="P46">IFERROR(_xlfn.XLOOKUP(B46,EMPRESA_1!A:A,EMPRESA_1!L:L),"")</f>
        <v/>
      </c>
      <c r="Q46" s="49" t="str">
        <f t="array" ref="Q46">IFERROR(_xlfn.XLOOKUP(B46,EMPRESA_1!A:A,EMPRESA_1!J:J),"")</f>
        <v>CONDENADO</v>
      </c>
      <c r="R46" s="19" t="str">
        <f t="array" ref="R46">IFERROR(_xlfn.XLOOKUP(B46,EMPRESA_1!A:A,EMPRESA_1!M:M),"")</f>
        <v/>
      </c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</row>
    <row r="47">
      <c r="A47" s="47" t="s">
        <v>413</v>
      </c>
      <c r="B47" s="47" t="s">
        <v>414</v>
      </c>
      <c r="C47" s="48" t="str">
        <f t="array" ref="C47">IFERROR(_xlfn.XLOOKUP($B47,'Histórico'!$B:$B,'Histórico'!$I:$I),"")</f>
        <v>C611008-0101</v>
      </c>
      <c r="D47" s="19" t="str">
        <f t="array" ref="D47">IFERROR(_xlfn.XLOOKUP($B47,'Histórico'!$B:$B,'Histórico'!$J:$J),"")</f>
        <v>7EK50</v>
      </c>
      <c r="E47" s="19" t="str">
        <f t="array" ref="E47">IFERROR(_xlfn.XLOOKUP($B47,'Histórico'!$B:$B,'Histórico'!$K:$K),"")</f>
        <v>ALTERNATOR CONTROL UNIT</v>
      </c>
      <c r="F47" s="19" t="str">
        <f t="array" ref="F47">IFERROR(_xlfn.XLOOKUP($B47,'Histórico'!$B:$B,'Histórico'!$L:$L),"")</f>
        <v>LS0414</v>
      </c>
      <c r="G47" s="49" t="str">
        <f t="array" ref="G47">IFERROR(_xlfn.XLOOKUP($B47,'Histórico'!$B:$B,'Histórico'!$F:$F),"")</f>
        <v>22/04/2025</v>
      </c>
      <c r="H47" s="19" t="str">
        <f t="array" ref="H47">IFERROR(_xlfn.XLOOKUP($B47,'Histórico'!$B:$B,'Histórico'!$AA:$AA),"")</f>
        <v>PAMALS</v>
      </c>
      <c r="I47" s="19" t="str">
        <f t="array" ref="I47">IFERROR(_xlfn.XLOOKUP($B47,Atual!$B:$B,Atual!$E:$E),"OS concluída")</f>
        <v>REC</v>
      </c>
      <c r="J47" s="19">
        <f t="shared" si="1"/>
        <v>541</v>
      </c>
      <c r="K47" s="19"/>
      <c r="L47" s="19">
        <f t="shared" si="2"/>
        <v>87</v>
      </c>
      <c r="M47" s="19"/>
      <c r="N47" s="49">
        <f t="array" ref="N47">IFERROR(_xlfn.XLOOKUP($B47,EMPRESA_1!A:A,EMPRESA_1!J:J),"")</f>
        <v>45856</v>
      </c>
      <c r="O47" s="50" t="str">
        <f t="array" ref="O47">IFERROR(_xlfn.XLOOKUP(B47,EMPRESA_1!A:A,EMPRESA_1!K:K),"")
</f>
        <v>BABR</v>
      </c>
      <c r="P47" s="19" t="str">
        <f t="array" ref="P47">IFERROR(_xlfn.XLOOKUP(B47,EMPRESA_1!A:A,EMPRESA_1!L:L),"")</f>
        <v>1034/2025</v>
      </c>
      <c r="Q47" s="49">
        <f t="array" ref="Q47">IFERROR(_xlfn.XLOOKUP(B47,EMPRESA_1!A:A,EMPRESA_1!J:J),"")</f>
        <v>45856</v>
      </c>
      <c r="R47" s="19" t="str">
        <f t="array" ref="R47">IFERROR(_xlfn.XLOOKUP(B47,EMPRESA_1!A:A,EMPRESA_1!M:M),"")</f>
        <v/>
      </c>
      <c r="S47" s="51"/>
      <c r="T47" s="51" t="str">
        <f t="array" ref="T47">IFERROR(_xlfn.XLOOKUP($F47,'Acerto virtual'!$E:$E,'Acerto virtual'!F:F),"")</f>
        <v>006/2025</v>
      </c>
      <c r="U47" s="51" t="str">
        <f t="array" ref="U47">IFERROR(_xlfn.XLOOKUP($F47,'Acerto virtual'!$E:$E,'Acerto virtual'!G:G),"")</f>
        <v>28/11</v>
      </c>
      <c r="V47" s="51" t="str">
        <f t="array" ref="V47">IFERROR(_xlfn.XLOOKUP($F47,'Acerto virtual'!$E:$E,'Acerto virtual'!H:H),"")</f>
        <v>15/01</v>
      </c>
      <c r="W47" s="51" t="str">
        <f t="array" ref="W47">IFERROR(_xlfn.XLOOKUP($F47,'Acerto virtual'!$E:$E,'Acerto virtual'!I:I),"")</f>
        <v>20/02 e 26/03</v>
      </c>
      <c r="X47" s="51" t="str">
        <f t="array" ref="X47">IFERROR(_xlfn.XLOOKUP($F47,'Acerto virtual'!$E:$E,'Acerto virtual'!J:J),"")</f>
        <v/>
      </c>
      <c r="Y47" s="51" t="str">
        <f t="array" ref="Y47">IFERROR(_xlfn.XLOOKUP($F47,'Acerto virtual'!$E:$E,'Acerto virtual'!K:K),"")</f>
        <v/>
      </c>
      <c r="Z47" s="51" t="str">
        <f t="array" ref="Z47">IFERROR(_xlfn.XLOOKUP($F47,'Acerto virtual'!$E:$E,'Acerto virtual'!L:L),"")</f>
        <v/>
      </c>
      <c r="AA47" s="51" t="str">
        <f t="array" ref="AA47">IFERROR(_xlfn.XLOOKUP($F47,'Acerto virtual'!$E:$E,'Acerto virtual'!M:M),"")</f>
        <v/>
      </c>
      <c r="AB47" s="51" t="str">
        <f t="array" ref="AB47">IFERROR(_xlfn.XLOOKUP($F47,'Acerto virtual'!$E:$E,'Acerto virtual'!N:N),"")</f>
        <v/>
      </c>
      <c r="AC47" s="51" t="str">
        <f t="array" ref="AC47">IFERROR(_xlfn.XLOOKUP($F47,'Acerto virtual'!$E:$E,'Acerto virtual'!O:O),"")</f>
        <v/>
      </c>
      <c r="AD47" s="51" t="str">
        <f t="array" ref="AD47">IFERROR(_xlfn.XLOOKUP($F47,'Acerto virtual'!$E:$E,'Acerto virtual'!P:P),"")</f>
        <v/>
      </c>
      <c r="AE47" s="51" t="str">
        <f t="array" ref="AE47">IFERROR(_xlfn.XLOOKUP($F47,'Acerto virtual'!$E:$E,'Acerto virtual'!Q:Q),"")</f>
        <v/>
      </c>
      <c r="AF47" s="51" t="str">
        <f t="array" ref="AF47">IFERROR(_xlfn.XLOOKUP($F47,'Acerto virtual'!$E:$E,'Acerto virtual'!R:R),"")</f>
        <v/>
      </c>
      <c r="AG47" s="51" t="str">
        <f t="array" ref="AG47">IFERROR(_xlfn.XLOOKUP($F47,'Acerto virtual'!$E:$E,'Acerto virtual'!S:S),"")</f>
        <v/>
      </c>
      <c r="AH47" s="51" t="str">
        <f t="array" ref="AH47">IFERROR(_xlfn.XLOOKUP($F47,'Acerto virtual'!$E:$E,'Acerto virtual'!T:T),"")</f>
        <v/>
      </c>
      <c r="AI47" s="51" t="str">
        <f t="array" ref="AI47">IFERROR(_xlfn.XLOOKUP($F47,'Acerto virtual'!$E:$E,'Acerto virtual'!U:U),"")</f>
        <v/>
      </c>
    </row>
    <row r="48">
      <c r="A48" s="47" t="s">
        <v>415</v>
      </c>
      <c r="B48" s="47" t="s">
        <v>416</v>
      </c>
      <c r="C48" s="48" t="str">
        <f t="array" ref="C48">IFERROR(_xlfn.XLOOKUP($B48,'Histórico'!$B:$B,'Histórico'!$I:$I),"")</f>
        <v>011-00916-00</v>
      </c>
      <c r="D48" s="19" t="str">
        <f t="array" ref="D48">IFERROR(_xlfn.XLOOKUP($B48,'Histórico'!$B:$B,'Histórico'!$J:$J),"")</f>
        <v>0TRC3</v>
      </c>
      <c r="E48" s="19" t="str">
        <f t="array" ref="E48">IFERROR(_xlfn.XLOOKUP($B48,'Histórico'!$B:$B,'Histórico'!$K:$K),"")</f>
        <v>DISPLAY UNIT GDU 1040A</v>
      </c>
      <c r="F48" s="19" t="str">
        <f t="array" ref="F48">IFERROR(_xlfn.XLOOKUP($B48,'Histórico'!$B:$B,'Histórico'!$L:$L),"")</f>
        <v>86805596</v>
      </c>
      <c r="G48" s="49" t="str">
        <f t="array" ref="G48">IFERROR(_xlfn.XLOOKUP($B48,'Histórico'!$B:$B,'Histórico'!$F:$F),"")</f>
        <v>22/04/2025</v>
      </c>
      <c r="H48" s="19" t="str">
        <f t="array" ref="H48">IFERROR(_xlfn.XLOOKUP($B48,'Histórico'!$B:$B,'Histórico'!$AA:$AA),"")</f>
        <v>BAMN</v>
      </c>
      <c r="I48" s="19" t="str">
        <f t="array" ref="I48">IFERROR(_xlfn.XLOOKUP($B48,Atual!$B:$B,Atual!$E:$E),"OS concluída")</f>
        <v>REC</v>
      </c>
      <c r="J48" s="19">
        <f t="shared" si="1"/>
        <v>541</v>
      </c>
      <c r="K48" s="19"/>
      <c r="L48" s="19">
        <f t="shared" si="2"/>
        <v>331</v>
      </c>
      <c r="M48" s="19"/>
      <c r="N48" s="49">
        <f t="array" ref="N48">IFERROR(_xlfn.XLOOKUP($B48,EMPRESA_1!A:A,EMPRESA_1!J:J),"")</f>
        <v>46100</v>
      </c>
      <c r="O48" s="50" t="str">
        <f t="array" ref="O48">IFERROR(_xlfn.XLOOKUP(B48,EMPRESA_1!A:A,EMPRESA_1!K:K),"")
</f>
        <v>BAMN</v>
      </c>
      <c r="P48" s="19" t="str">
        <f t="array" ref="P48">IFERROR(_xlfn.XLOOKUP(B48,EMPRESA_1!A:A,EMPRESA_1!L:L),"")</f>
        <v>223/FAB/26</v>
      </c>
      <c r="Q48" s="49">
        <f t="array" ref="Q48">IFERROR(_xlfn.XLOOKUP(B48,EMPRESA_1!A:A,EMPRESA_1!J:J),"")</f>
        <v>46100</v>
      </c>
      <c r="R48" s="19">
        <f t="array" ref="R48">IFERROR(_xlfn.XLOOKUP(B48,EMPRESA_1!A:A,EMPRESA_1!M:M),"")</f>
        <v>86818658</v>
      </c>
      <c r="S48" s="51"/>
      <c r="T48" s="51" t="str">
        <f t="array" ref="T48">IFERROR(_xlfn.XLOOKUP($F48,'Acerto virtual'!$E:$E,'Acerto virtual'!F:F),"")</f>
        <v/>
      </c>
      <c r="U48" s="51" t="str">
        <f t="array" ref="U48">IFERROR(_xlfn.XLOOKUP($F48,'Acerto virtual'!$E:$E,'Acerto virtual'!G:G),"")</f>
        <v/>
      </c>
      <c r="V48" s="51" t="str">
        <f t="array" ref="V48">IFERROR(_xlfn.XLOOKUP($F48,'Acerto virtual'!$E:$E,'Acerto virtual'!H:H),"")</f>
        <v/>
      </c>
      <c r="W48" s="51" t="str">
        <f t="array" ref="W48">IFERROR(_xlfn.XLOOKUP($F48,'Acerto virtual'!$E:$E,'Acerto virtual'!I:I),"")</f>
        <v/>
      </c>
      <c r="X48" s="51" t="str">
        <f t="array" ref="X48">IFERROR(_xlfn.XLOOKUP($F48,'Acerto virtual'!$E:$E,'Acerto virtual'!J:J),"")</f>
        <v/>
      </c>
      <c r="Y48" s="51" t="str">
        <f t="array" ref="Y48">IFERROR(_xlfn.XLOOKUP($F48,'Acerto virtual'!$E:$E,'Acerto virtual'!K:K),"")</f>
        <v/>
      </c>
      <c r="Z48" s="51" t="str">
        <f t="array" ref="Z48">IFERROR(_xlfn.XLOOKUP($F48,'Acerto virtual'!$E:$E,'Acerto virtual'!L:L),"")</f>
        <v/>
      </c>
      <c r="AA48" s="51" t="str">
        <f t="array" ref="AA48">IFERROR(_xlfn.XLOOKUP($F48,'Acerto virtual'!$E:$E,'Acerto virtual'!M:M),"")</f>
        <v/>
      </c>
      <c r="AB48" s="51" t="str">
        <f t="array" ref="AB48">IFERROR(_xlfn.XLOOKUP($F48,'Acerto virtual'!$E:$E,'Acerto virtual'!N:N),"")</f>
        <v/>
      </c>
      <c r="AC48" s="51" t="str">
        <f t="array" ref="AC48">IFERROR(_xlfn.XLOOKUP($F48,'Acerto virtual'!$E:$E,'Acerto virtual'!O:O),"")</f>
        <v/>
      </c>
      <c r="AD48" s="51" t="str">
        <f t="array" ref="AD48">IFERROR(_xlfn.XLOOKUP($F48,'Acerto virtual'!$E:$E,'Acerto virtual'!P:P),"")</f>
        <v/>
      </c>
      <c r="AE48" s="51" t="str">
        <f t="array" ref="AE48">IFERROR(_xlfn.XLOOKUP($F48,'Acerto virtual'!$E:$E,'Acerto virtual'!Q:Q),"")</f>
        <v/>
      </c>
      <c r="AF48" s="51" t="str">
        <f t="array" ref="AF48">IFERROR(_xlfn.XLOOKUP($F48,'Acerto virtual'!$E:$E,'Acerto virtual'!R:R),"")</f>
        <v/>
      </c>
      <c r="AG48" s="51" t="str">
        <f t="array" ref="AG48">IFERROR(_xlfn.XLOOKUP($F48,'Acerto virtual'!$E:$E,'Acerto virtual'!S:S),"")</f>
        <v/>
      </c>
      <c r="AH48" s="51" t="str">
        <f t="array" ref="AH48">IFERROR(_xlfn.XLOOKUP($F48,'Acerto virtual'!$E:$E,'Acerto virtual'!T:T),"")</f>
        <v/>
      </c>
      <c r="AI48" s="51" t="str">
        <f t="array" ref="AI48">IFERROR(_xlfn.XLOOKUP($F48,'Acerto virtual'!$E:$E,'Acerto virtual'!U:U),"")</f>
        <v/>
      </c>
    </row>
    <row r="49">
      <c r="A49" s="47" t="s">
        <v>417</v>
      </c>
      <c r="B49" s="47" t="s">
        <v>418</v>
      </c>
      <c r="C49" s="48" t="str">
        <f t="array" ref="C49">IFERROR(_xlfn.XLOOKUP($B49,'Histórico'!$B:$B,'Histórico'!$I:$I),"")</f>
        <v>065-0042-03</v>
      </c>
      <c r="D49" s="19" t="str">
        <f t="array" ref="D49">IFERROR(_xlfn.XLOOKUP($B49,'Histórico'!$B:$B,'Histórico'!$J:$J),"")</f>
        <v>22373</v>
      </c>
      <c r="E49" s="19" t="str">
        <f t="array" ref="E49">IFERROR(_xlfn.XLOOKUP($B49,'Histórico'!$B:$B,'Histórico'!$K:$K),"")</f>
        <v>COMPUTER PA</v>
      </c>
      <c r="F49" s="19" t="str">
        <f t="array" ref="F49">IFERROR(_xlfn.XLOOKUP($B49,'Histórico'!$B:$B,'Histórico'!$L:$L),"")</f>
        <v>R50653</v>
      </c>
      <c r="G49" s="49" t="str">
        <f t="array" ref="G49">IFERROR(_xlfn.XLOOKUP($B49,'Histórico'!$B:$B,'Histórico'!$F:$F),"")</f>
        <v>22/04/2025</v>
      </c>
      <c r="H49" s="19" t="str">
        <f t="array" ref="H49">IFERROR(_xlfn.XLOOKUP($B49,'Histórico'!$B:$B,'Histórico'!$AA:$AA),"")</f>
        <v>ALA 10</v>
      </c>
      <c r="I49" s="19" t="str">
        <f t="array" ref="I49">IFERROR(_xlfn.XLOOKUP($B49,Atual!$B:$B,Atual!$E:$E),"OS concluída")</f>
        <v>REC</v>
      </c>
      <c r="J49" s="19">
        <f t="shared" si="1"/>
        <v>541</v>
      </c>
      <c r="K49" s="19"/>
      <c r="L49" s="19" t="str">
        <f t="shared" si="2"/>
        <v>NÃO APLICÁVEL</v>
      </c>
      <c r="M49" s="19"/>
      <c r="N49" s="49" t="str">
        <f t="array" ref="N49">IFERROR(_xlfn.XLOOKUP($B49,EMPRESA_1!A:A,EMPRESA_1!J:J),"")</f>
        <v>EM REPARO</v>
      </c>
      <c r="O49" s="50" t="str">
        <f t="array" ref="O49">IFERROR(_xlfn.XLOOKUP(B49,EMPRESA_1!A:A,EMPRESA_1!K:K),"")
</f>
        <v>WILLIAM</v>
      </c>
      <c r="P49" s="48" t="str">
        <f t="array" ref="P49">IFERROR(_xlfn.XLOOKUP(B49,EMPRESA_1!A:A,EMPRESA_1!L:L),"")</f>
        <v/>
      </c>
      <c r="Q49" s="49" t="str">
        <f t="array" ref="Q49">IFERROR(_xlfn.XLOOKUP(B49,EMPRESA_1!A:A,EMPRESA_1!J:J),"")</f>
        <v>EM REPARO</v>
      </c>
      <c r="R49" s="19" t="str">
        <f t="array" ref="R49">IFERROR(_xlfn.XLOOKUP(B49,EMPRESA_1!A:A,EMPRESA_1!M:M),"")</f>
        <v/>
      </c>
      <c r="S49" s="51"/>
      <c r="T49" s="51" t="str">
        <f t="array" ref="T49">IFERROR(_xlfn.XLOOKUP($F49,'Acerto virtual'!$E:$E,'Acerto virtual'!F:F),"")</f>
        <v>026/2026</v>
      </c>
      <c r="U49" s="51" t="str">
        <f t="array" ref="U49">IFERROR(_xlfn.XLOOKUP($F49,'Acerto virtual'!$E:$E,'Acerto virtual'!G:G),"")</f>
        <v>06/10</v>
      </c>
      <c r="V49" s="51" t="str">
        <f t="array" ref="V49">IFERROR(_xlfn.XLOOKUP($F49,'Acerto virtual'!$E:$E,'Acerto virtual'!H:H),"")</f>
        <v>06/10</v>
      </c>
      <c r="W49" s="51" t="str">
        <f t="array" ref="W49">IFERROR(_xlfn.XLOOKUP($F49,'Acerto virtual'!$E:$E,'Acerto virtual'!I:I),"")</f>
        <v/>
      </c>
      <c r="X49" s="51" t="str">
        <f t="array" ref="X49">IFERROR(_xlfn.XLOOKUP($F49,'Acerto virtual'!$E:$E,'Acerto virtual'!J:J),"")</f>
        <v>06/10</v>
      </c>
      <c r="Y49" s="51" t="str">
        <f t="array" ref="Y49">IFERROR(_xlfn.XLOOKUP($F49,'Acerto virtual'!$E:$E,'Acerto virtual'!K:K),"")</f>
        <v>07/10</v>
      </c>
      <c r="Z49" s="51" t="str">
        <f t="array" ref="Z49">IFERROR(_xlfn.XLOOKUP($F49,'Acerto virtual'!$E:$E,'Acerto virtual'!L:L),"")</f>
        <v>07/10</v>
      </c>
      <c r="AA49" s="51" t="str">
        <f t="array" ref="AA49">IFERROR(_xlfn.XLOOKUP($F49,'Acerto virtual'!$E:$E,'Acerto virtual'!M:M),"")</f>
        <v>07/10</v>
      </c>
      <c r="AB49" s="51" t="str">
        <f t="array" ref="AB49">IFERROR(_xlfn.XLOOKUP($F49,'Acerto virtual'!$E:$E,'Acerto virtual'!N:N),"")</f>
        <v>07/10</v>
      </c>
      <c r="AC49" s="51" t="str">
        <f t="array" ref="AC49">IFERROR(_xlfn.XLOOKUP($F49,'Acerto virtual'!$E:$E,'Acerto virtual'!O:O),"")</f>
        <v>07/10</v>
      </c>
      <c r="AD49" s="51" t="str">
        <f t="array" ref="AD49">IFERROR(_xlfn.XLOOKUP($F49,'Acerto virtual'!$E:$E,'Acerto virtual'!P:P),"")</f>
        <v>08/10</v>
      </c>
      <c r="AE49" s="51" t="str">
        <f t="array" ref="AE49">IFERROR(_xlfn.XLOOKUP($F49,'Acerto virtual'!$E:$E,'Acerto virtual'!Q:Q),"")</f>
        <v>08/10</v>
      </c>
      <c r="AF49" s="51" t="str">
        <f t="array" ref="AF49">IFERROR(_xlfn.XLOOKUP($F49,'Acerto virtual'!$E:$E,'Acerto virtual'!R:R),"")</f>
        <v>08/10</v>
      </c>
      <c r="AG49" s="51" t="str">
        <f t="array" ref="AG49">IFERROR(_xlfn.XLOOKUP($F49,'Acerto virtual'!$E:$E,'Acerto virtual'!S:S),"")</f>
        <v>08/10</v>
      </c>
      <c r="AH49" s="51" t="str">
        <f t="array" ref="AH49">IFERROR(_xlfn.XLOOKUP($F49,'Acerto virtual'!$E:$E,'Acerto virtual'!T:T),"")</f>
        <v/>
      </c>
      <c r="AI49" s="51" t="str">
        <f t="array" ref="AI49">IFERROR(_xlfn.XLOOKUP($F49,'Acerto virtual'!$E:$E,'Acerto virtual'!U:U),"")</f>
        <v/>
      </c>
    </row>
    <row r="50">
      <c r="A50" s="47" t="s">
        <v>419</v>
      </c>
      <c r="B50" s="47" t="s">
        <v>420</v>
      </c>
      <c r="C50" s="48" t="str">
        <f t="array" ref="C50">IFERROR(_xlfn.XLOOKUP($B50,'Histórico'!$B:$B,'Histórico'!$I:$I),"")</f>
        <v>065-0042-03</v>
      </c>
      <c r="D50" s="19" t="str">
        <f t="array" ref="D50">IFERROR(_xlfn.XLOOKUP($B50,'Histórico'!$B:$B,'Histórico'!$J:$J),"")</f>
        <v>22373</v>
      </c>
      <c r="E50" s="19" t="str">
        <f t="array" ref="E50">IFERROR(_xlfn.XLOOKUP($B50,'Histórico'!$B:$B,'Histórico'!$K:$K),"")</f>
        <v>COMPUTER PA</v>
      </c>
      <c r="F50" s="19" t="str">
        <f t="array" ref="F50">IFERROR(_xlfn.XLOOKUP($B50,'Histórico'!$B:$B,'Histórico'!$L:$L),"")</f>
        <v>53450</v>
      </c>
      <c r="G50" s="49" t="str">
        <f t="array" ref="G50">IFERROR(_xlfn.XLOOKUP($B50,'Histórico'!$B:$B,'Histórico'!$F:$F),"")</f>
        <v>22/04/2025</v>
      </c>
      <c r="H50" s="19" t="str">
        <f t="array" ref="H50">IFERROR(_xlfn.XLOOKUP($B50,'Histórico'!$B:$B,'Histórico'!$AA:$AA),"")</f>
        <v>EEAR</v>
      </c>
      <c r="I50" s="19" t="str">
        <f t="array" ref="I50">IFERROR(_xlfn.XLOOKUP($B50,Atual!$B:$B,Atual!$E:$E),"OS concluída")</f>
        <v>REC</v>
      </c>
      <c r="J50" s="19">
        <f t="shared" si="1"/>
        <v>541</v>
      </c>
      <c r="K50" s="19"/>
      <c r="L50" s="19">
        <f t="shared" si="2"/>
        <v>344</v>
      </c>
      <c r="M50" s="19"/>
      <c r="N50" s="49">
        <f t="array" ref="N50">IFERROR(_xlfn.XLOOKUP($B50,EMPRESA_1!A:A,EMPRESA_1!J:J),"")</f>
        <v>46113</v>
      </c>
      <c r="O50" s="50" t="str">
        <f t="array" ref="O50">IFERROR(_xlfn.XLOOKUP(B50,EMPRESA_1!A:A,EMPRESA_1!K:K),"")
</f>
        <v>BABE</v>
      </c>
      <c r="P50" s="19" t="str">
        <f t="array" ref="P50">IFERROR(_xlfn.XLOOKUP(B50,EMPRESA_1!A:A,EMPRESA_1!L:L),"")</f>
        <v>263/FAB/26</v>
      </c>
      <c r="Q50" s="49">
        <f t="array" ref="Q50">IFERROR(_xlfn.XLOOKUP(B50,EMPRESA_1!A:A,EMPRESA_1!J:J),"")</f>
        <v>46113</v>
      </c>
      <c r="R50" s="19" t="str">
        <f t="array" ref="R50">IFERROR(_xlfn.XLOOKUP(B50,EMPRESA_1!A:A,EMPRESA_1!M:M),"")</f>
        <v/>
      </c>
      <c r="S50" s="51"/>
      <c r="T50" s="51" t="str">
        <f t="array" ref="T50">IFERROR(_xlfn.XLOOKUP($F50,'Acerto virtual'!$E:$E,'Acerto virtual'!F:F),"")</f>
        <v>010/2026</v>
      </c>
      <c r="U50" s="51" t="str">
        <f t="array" ref="U50">IFERROR(_xlfn.XLOOKUP($F50,'Acerto virtual'!$E:$E,'Acerto virtual'!G:G),"")</f>
        <v>06/04</v>
      </c>
      <c r="V50" s="51" t="str">
        <f t="array" ref="V50">IFERROR(_xlfn.XLOOKUP($F50,'Acerto virtual'!$E:$E,'Acerto virtual'!H:H),"")</f>
        <v>06/04</v>
      </c>
      <c r="W50" s="51" t="str">
        <f t="array" ref="W50">IFERROR(_xlfn.XLOOKUP($F50,'Acerto virtual'!$E:$E,'Acerto virtual'!I:I),"")</f>
        <v>06/04</v>
      </c>
      <c r="X50" s="51" t="str">
        <f t="array" ref="X50">IFERROR(_xlfn.XLOOKUP($F50,'Acerto virtual'!$E:$E,'Acerto virtual'!J:J),"")</f>
        <v/>
      </c>
      <c r="Y50" s="51" t="str">
        <f t="array" ref="Y50">IFERROR(_xlfn.XLOOKUP($F50,'Acerto virtual'!$E:$E,'Acerto virtual'!K:K),"")</f>
        <v/>
      </c>
      <c r="Z50" s="51" t="str">
        <f t="array" ref="Z50">IFERROR(_xlfn.XLOOKUP($F50,'Acerto virtual'!$E:$E,'Acerto virtual'!L:L),"")</f>
        <v/>
      </c>
      <c r="AA50" s="51" t="str">
        <f t="array" ref="AA50">IFERROR(_xlfn.XLOOKUP($F50,'Acerto virtual'!$E:$E,'Acerto virtual'!M:M),"")</f>
        <v/>
      </c>
      <c r="AB50" s="51" t="str">
        <f t="array" ref="AB50">IFERROR(_xlfn.XLOOKUP($F50,'Acerto virtual'!$E:$E,'Acerto virtual'!N:N),"")</f>
        <v/>
      </c>
      <c r="AC50" s="51" t="str">
        <f t="array" ref="AC50">IFERROR(_xlfn.XLOOKUP($F50,'Acerto virtual'!$E:$E,'Acerto virtual'!O:O),"")</f>
        <v/>
      </c>
      <c r="AD50" s="51" t="str">
        <f t="array" ref="AD50">IFERROR(_xlfn.XLOOKUP($F50,'Acerto virtual'!$E:$E,'Acerto virtual'!P:P),"")</f>
        <v/>
      </c>
      <c r="AE50" s="51" t="str">
        <f t="array" ref="AE50">IFERROR(_xlfn.XLOOKUP($F50,'Acerto virtual'!$E:$E,'Acerto virtual'!Q:Q),"")</f>
        <v/>
      </c>
      <c r="AF50" s="51" t="str">
        <f t="array" ref="AF50">IFERROR(_xlfn.XLOOKUP($F50,'Acerto virtual'!$E:$E,'Acerto virtual'!R:R),"")</f>
        <v/>
      </c>
      <c r="AG50" s="51" t="str">
        <f t="array" ref="AG50">IFERROR(_xlfn.XLOOKUP($F50,'Acerto virtual'!$E:$E,'Acerto virtual'!S:S),"")</f>
        <v/>
      </c>
      <c r="AH50" s="51" t="str">
        <f t="array" ref="AH50">IFERROR(_xlfn.XLOOKUP($F50,'Acerto virtual'!$E:$E,'Acerto virtual'!T:T),"")</f>
        <v/>
      </c>
      <c r="AI50" s="51" t="str">
        <f t="array" ref="AI50">IFERROR(_xlfn.XLOOKUP($F50,'Acerto virtual'!$E:$E,'Acerto virtual'!U:U),"")</f>
        <v/>
      </c>
    </row>
    <row r="51">
      <c r="A51" s="47" t="s">
        <v>421</v>
      </c>
      <c r="B51" s="47" t="s">
        <v>422</v>
      </c>
      <c r="C51" s="48" t="str">
        <f t="array" ref="C51">IFERROR(_xlfn.XLOOKUP($B51,'Histórico'!$B:$B,'Histórico'!$I:$I),"")</f>
        <v>065-0042-03</v>
      </c>
      <c r="D51" s="19" t="str">
        <f t="array" ref="D51">IFERROR(_xlfn.XLOOKUP($B51,'Histórico'!$B:$B,'Histórico'!$J:$J),"")</f>
        <v>22373</v>
      </c>
      <c r="E51" s="19" t="str">
        <f t="array" ref="E51">IFERROR(_xlfn.XLOOKUP($B51,'Histórico'!$B:$B,'Histórico'!$K:$K),"")</f>
        <v>COMPUTER PA</v>
      </c>
      <c r="F51" s="19" t="str">
        <f t="array" ref="F51">IFERROR(_xlfn.XLOOKUP($B51,'Histórico'!$B:$B,'Histórico'!$L:$L),"")</f>
        <v>52537</v>
      </c>
      <c r="G51" s="49" t="str">
        <f t="array" ref="G51">IFERROR(_xlfn.XLOOKUP($B51,'Histórico'!$B:$B,'Histórico'!$F:$F),"")</f>
        <v>22/04/2025</v>
      </c>
      <c r="H51" s="19" t="str">
        <f t="array" ref="H51">IFERROR(_xlfn.XLOOKUP($B51,'Histórico'!$B:$B,'Histórico'!$AA:$AA),"")</f>
        <v>EEAR</v>
      </c>
      <c r="I51" s="19" t="str">
        <f t="array" ref="I51">IFERROR(_xlfn.XLOOKUP($B51,Atual!$B:$B,Atual!$E:$E),"OS concluída")</f>
        <v>REC</v>
      </c>
      <c r="J51" s="19">
        <f t="shared" si="1"/>
        <v>541</v>
      </c>
      <c r="K51" s="19"/>
      <c r="L51" s="19" t="str">
        <f t="shared" si="2"/>
        <v>NÃO APLICÁVEL</v>
      </c>
      <c r="M51" s="19"/>
      <c r="N51" s="49" t="str">
        <f t="array" ref="N51">IFERROR(_xlfn.XLOOKUP($B51,EMPRESA_1!A:A,EMPRESA_1!J:J),"")</f>
        <v>EM REPARO</v>
      </c>
      <c r="O51" s="50" t="str">
        <f t="array" ref="O51">IFERROR(_xlfn.XLOOKUP(B51,EMPRESA_1!A:A,EMPRESA_1!K:K),"")
</f>
        <v>WILLIAM</v>
      </c>
      <c r="P51" s="48" t="str">
        <f t="array" ref="P51">IFERROR(_xlfn.XLOOKUP(B51,EMPRESA_1!A:A,EMPRESA_1!L:L),"")</f>
        <v/>
      </c>
      <c r="Q51" s="49" t="str">
        <f t="array" ref="Q51">IFERROR(_xlfn.XLOOKUP(B51,EMPRESA_1!A:A,EMPRESA_1!J:J),"")</f>
        <v>EM REPARO</v>
      </c>
      <c r="R51" s="19" t="str">
        <f t="array" ref="R51">IFERROR(_xlfn.XLOOKUP(B51,EMPRESA_1!A:A,EMPRESA_1!M:M),"")</f>
        <v/>
      </c>
      <c r="S51" s="51"/>
      <c r="T51" s="51" t="str">
        <f t="array" ref="T51">IFERROR(_xlfn.XLOOKUP($F51,'Acerto virtual'!$E:$E,'Acerto virtual'!F:F),"")</f>
        <v/>
      </c>
      <c r="U51" s="51" t="str">
        <f t="array" ref="U51">IFERROR(_xlfn.XLOOKUP($F51,'Acerto virtual'!$E:$E,'Acerto virtual'!G:G),"")</f>
        <v/>
      </c>
      <c r="V51" s="51" t="str">
        <f t="array" ref="V51">IFERROR(_xlfn.XLOOKUP($F51,'Acerto virtual'!$E:$E,'Acerto virtual'!H:H),"")</f>
        <v/>
      </c>
      <c r="W51" s="51" t="str">
        <f t="array" ref="W51">IFERROR(_xlfn.XLOOKUP($F51,'Acerto virtual'!$E:$E,'Acerto virtual'!I:I),"")</f>
        <v/>
      </c>
      <c r="X51" s="51" t="str">
        <f t="array" ref="X51">IFERROR(_xlfn.XLOOKUP($F51,'Acerto virtual'!$E:$E,'Acerto virtual'!J:J),"")</f>
        <v/>
      </c>
      <c r="Y51" s="51" t="str">
        <f t="array" ref="Y51">IFERROR(_xlfn.XLOOKUP($F51,'Acerto virtual'!$E:$E,'Acerto virtual'!K:K),"")</f>
        <v/>
      </c>
      <c r="Z51" s="51" t="str">
        <f t="array" ref="Z51">IFERROR(_xlfn.XLOOKUP($F51,'Acerto virtual'!$E:$E,'Acerto virtual'!L:L),"")</f>
        <v/>
      </c>
      <c r="AA51" s="51" t="str">
        <f t="array" ref="AA51">IFERROR(_xlfn.XLOOKUP($F51,'Acerto virtual'!$E:$E,'Acerto virtual'!M:M),"")</f>
        <v/>
      </c>
      <c r="AB51" s="51" t="str">
        <f t="array" ref="AB51">IFERROR(_xlfn.XLOOKUP($F51,'Acerto virtual'!$E:$E,'Acerto virtual'!N:N),"")</f>
        <v/>
      </c>
      <c r="AC51" s="51" t="str">
        <f t="array" ref="AC51">IFERROR(_xlfn.XLOOKUP($F51,'Acerto virtual'!$E:$E,'Acerto virtual'!O:O),"")</f>
        <v/>
      </c>
      <c r="AD51" s="51" t="str">
        <f t="array" ref="AD51">IFERROR(_xlfn.XLOOKUP($F51,'Acerto virtual'!$E:$E,'Acerto virtual'!P:P),"")</f>
        <v/>
      </c>
      <c r="AE51" s="51" t="str">
        <f t="array" ref="AE51">IFERROR(_xlfn.XLOOKUP($F51,'Acerto virtual'!$E:$E,'Acerto virtual'!Q:Q),"")</f>
        <v/>
      </c>
      <c r="AF51" s="51" t="str">
        <f t="array" ref="AF51">IFERROR(_xlfn.XLOOKUP($F51,'Acerto virtual'!$E:$E,'Acerto virtual'!R:R),"")</f>
        <v/>
      </c>
      <c r="AG51" s="51" t="str">
        <f t="array" ref="AG51">IFERROR(_xlfn.XLOOKUP($F51,'Acerto virtual'!$E:$E,'Acerto virtual'!S:S),"")</f>
        <v/>
      </c>
      <c r="AH51" s="51" t="str">
        <f t="array" ref="AH51">IFERROR(_xlfn.XLOOKUP($F51,'Acerto virtual'!$E:$E,'Acerto virtual'!T:T),"")</f>
        <v/>
      </c>
      <c r="AI51" s="51" t="str">
        <f t="array" ref="AI51">IFERROR(_xlfn.XLOOKUP($F51,'Acerto virtual'!$E:$E,'Acerto virtual'!U:U),"")</f>
        <v/>
      </c>
    </row>
    <row r="52" hidden="1">
      <c r="A52" s="47" t="s">
        <v>423</v>
      </c>
      <c r="B52" s="47" t="s">
        <v>424</v>
      </c>
      <c r="C52" s="19" t="str">
        <f t="array" ref="C52">IFERROR(_xlfn.XLOOKUP($B52,'Histórico'!$B:$B,'Histórico'!$I:$I),"")</f>
        <v>065-0042-03</v>
      </c>
      <c r="D52" s="19" t="str">
        <f t="array" ref="D52">IFERROR(_xlfn.XLOOKUP($B52,'Histórico'!$B:$B,'Histórico'!$J:$J),"")</f>
        <v>22373</v>
      </c>
      <c r="E52" s="19" t="str">
        <f t="array" ref="E52">IFERROR(_xlfn.XLOOKUP($B52,'Histórico'!$B:$B,'Histórico'!$K:$K),"")</f>
        <v>COMPUTER PA</v>
      </c>
      <c r="F52" s="19" t="str">
        <f t="array" ref="F52">IFERROR(_xlfn.XLOOKUP($B52,'Histórico'!$B:$B,'Histórico'!$L:$L),"")</f>
        <v>51767</v>
      </c>
      <c r="G52" s="49" t="str">
        <f t="array" ref="G52">IFERROR(_xlfn.XLOOKUP($B52,'Histórico'!$B:$B,'Histórico'!$F:$F),"")</f>
        <v>22/04/2025</v>
      </c>
      <c r="H52" s="19" t="str">
        <f t="array" ref="H52">IFERROR(_xlfn.XLOOKUP($B52,'Histórico'!$B:$B,'Histórico'!$AA:$AA),"")</f>
        <v>PAMALS</v>
      </c>
      <c r="I52" s="19" t="str">
        <f t="array" ref="I52">IFERROR(_xlfn.XLOOKUP($B52,Atual!$B:$B,Atual!$E:$E),"OS concluída")</f>
        <v>OS concluída</v>
      </c>
      <c r="J52" s="19" t="str">
        <f t="shared" si="1"/>
        <v/>
      </c>
      <c r="K52" s="19"/>
      <c r="L52" s="19" t="str">
        <f t="shared" si="2"/>
        <v/>
      </c>
      <c r="M52" s="19"/>
      <c r="N52" s="49" t="str">
        <f t="array" ref="N52">IFERROR(_xlfn.XLOOKUP($B52,Empresa!G:G,Empresa!K:K),"")</f>
        <v/>
      </c>
      <c r="O52" s="49"/>
      <c r="P52" s="19" t="str">
        <f t="array" ref="P52">IFERROR(_xlfn.XLOOKUP($F52,'Vee one'!F:F,'Vee one'!O:O),"")</f>
        <v/>
      </c>
      <c r="Q52" s="19" t="str">
        <f t="array" ref="Q52">IFERROR(_xlfn.XLOOKUP($F52,'Vee one'!F:F,'Vee one'!K:K),"")</f>
        <v/>
      </c>
      <c r="R52" s="19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</row>
    <row r="53">
      <c r="A53" s="47" t="s">
        <v>425</v>
      </c>
      <c r="B53" s="47" t="s">
        <v>426</v>
      </c>
      <c r="C53" s="48" t="str">
        <f t="array" ref="C53">IFERROR(_xlfn.XLOOKUP($B53,'Histórico'!$B:$B,'Histórico'!$I:$I),"")</f>
        <v>065-0059-01</v>
      </c>
      <c r="D53" s="19" t="str">
        <f t="array" ref="D53">IFERROR(_xlfn.XLOOKUP($B53,'Histórico'!$B:$B,'Histórico'!$J:$J),"")</f>
        <v>22373</v>
      </c>
      <c r="E53" s="19" t="str">
        <f t="array" ref="E53">IFERROR(_xlfn.XLOOKUP($B53,'Histórico'!$B:$B,'Histórico'!$K:$K),"")</f>
        <v>SERVO PITCH</v>
      </c>
      <c r="F53" s="19" t="str">
        <f t="array" ref="F53">IFERROR(_xlfn.XLOOKUP($B53,'Histórico'!$B:$B,'Histórico'!$L:$L),"")</f>
        <v>28411</v>
      </c>
      <c r="G53" s="49" t="str">
        <f t="array" ref="G53">IFERROR(_xlfn.XLOOKUP($B53,'Histórico'!$B:$B,'Histórico'!$F:$F),"")</f>
        <v>22/04/2025</v>
      </c>
      <c r="H53" s="19" t="str">
        <f t="array" ref="H53">IFERROR(_xlfn.XLOOKUP($B53,'Histórico'!$B:$B,'Histórico'!$AA:$AA),"")</f>
        <v>EEAR</v>
      </c>
      <c r="I53" s="19" t="str">
        <f t="array" ref="I53">IFERROR(_xlfn.XLOOKUP($B53,Atual!$B:$B,Atual!$E:$E),"OS concluída")</f>
        <v>REC</v>
      </c>
      <c r="J53" s="19">
        <f t="shared" si="1"/>
        <v>541</v>
      </c>
      <c r="K53" s="19"/>
      <c r="L53" s="19" t="str">
        <f t="shared" si="2"/>
        <v>NÃO APLICÁVEL</v>
      </c>
      <c r="M53" s="19"/>
      <c r="N53" s="49" t="str">
        <f t="array" ref="N53">IFERROR(_xlfn.XLOOKUP($B53,EMPRESA_1!A:A,EMPRESA_1!J:J),"")</f>
        <v>EM REPARO</v>
      </c>
      <c r="O53" s="50" t="str">
        <f t="array" ref="O53">IFERROR(_xlfn.XLOOKUP(B53,EMPRESA_1!A:A,EMPRESA_1!K:K),"")
</f>
        <v>WILLIAM</v>
      </c>
      <c r="P53" s="48" t="str">
        <f t="array" ref="P53">IFERROR(_xlfn.XLOOKUP(B53,EMPRESA_1!A:A,EMPRESA_1!L:L),"")</f>
        <v/>
      </c>
      <c r="Q53" s="49" t="str">
        <f t="array" ref="Q53">IFERROR(_xlfn.XLOOKUP(B53,EMPRESA_1!A:A,EMPRESA_1!J:J),"")</f>
        <v>EM REPARO</v>
      </c>
      <c r="R53" s="19" t="str">
        <f t="array" ref="R53">IFERROR(_xlfn.XLOOKUP(B53,EMPRESA_1!A:A,EMPRESA_1!M:M),"")</f>
        <v/>
      </c>
      <c r="S53" s="51"/>
      <c r="T53" s="51" t="str">
        <f t="array" ref="T53">IFERROR(_xlfn.XLOOKUP($F53,'Acerto virtual'!$E:$E,'Acerto virtual'!F:F),"")</f>
        <v/>
      </c>
      <c r="U53" s="51" t="str">
        <f t="array" ref="U53">IFERROR(_xlfn.XLOOKUP($F53,'Acerto virtual'!$E:$E,'Acerto virtual'!G:G),"")</f>
        <v/>
      </c>
      <c r="V53" s="51" t="str">
        <f t="array" ref="V53">IFERROR(_xlfn.XLOOKUP($F53,'Acerto virtual'!$E:$E,'Acerto virtual'!H:H),"")</f>
        <v/>
      </c>
      <c r="W53" s="51" t="str">
        <f t="array" ref="W53">IFERROR(_xlfn.XLOOKUP($F53,'Acerto virtual'!$E:$E,'Acerto virtual'!I:I),"")</f>
        <v/>
      </c>
      <c r="X53" s="51" t="str">
        <f t="array" ref="X53">IFERROR(_xlfn.XLOOKUP($F53,'Acerto virtual'!$E:$E,'Acerto virtual'!J:J),"")</f>
        <v/>
      </c>
      <c r="Y53" s="51" t="str">
        <f t="array" ref="Y53">IFERROR(_xlfn.XLOOKUP($F53,'Acerto virtual'!$E:$E,'Acerto virtual'!K:K),"")</f>
        <v/>
      </c>
      <c r="Z53" s="51" t="str">
        <f t="array" ref="Z53">IFERROR(_xlfn.XLOOKUP($F53,'Acerto virtual'!$E:$E,'Acerto virtual'!L:L),"")</f>
        <v/>
      </c>
      <c r="AA53" s="51" t="str">
        <f t="array" ref="AA53">IFERROR(_xlfn.XLOOKUP($F53,'Acerto virtual'!$E:$E,'Acerto virtual'!M:M),"")</f>
        <v/>
      </c>
      <c r="AB53" s="51" t="str">
        <f t="array" ref="AB53">IFERROR(_xlfn.XLOOKUP($F53,'Acerto virtual'!$E:$E,'Acerto virtual'!N:N),"")</f>
        <v/>
      </c>
      <c r="AC53" s="51" t="str">
        <f t="array" ref="AC53">IFERROR(_xlfn.XLOOKUP($F53,'Acerto virtual'!$E:$E,'Acerto virtual'!O:O),"")</f>
        <v/>
      </c>
      <c r="AD53" s="51" t="str">
        <f t="array" ref="AD53">IFERROR(_xlfn.XLOOKUP($F53,'Acerto virtual'!$E:$E,'Acerto virtual'!P:P),"")</f>
        <v/>
      </c>
      <c r="AE53" s="51" t="str">
        <f t="array" ref="AE53">IFERROR(_xlfn.XLOOKUP($F53,'Acerto virtual'!$E:$E,'Acerto virtual'!Q:Q),"")</f>
        <v/>
      </c>
      <c r="AF53" s="51" t="str">
        <f t="array" ref="AF53">IFERROR(_xlfn.XLOOKUP($F53,'Acerto virtual'!$E:$E,'Acerto virtual'!R:R),"")</f>
        <v/>
      </c>
      <c r="AG53" s="51" t="str">
        <f t="array" ref="AG53">IFERROR(_xlfn.XLOOKUP($F53,'Acerto virtual'!$E:$E,'Acerto virtual'!S:S),"")</f>
        <v/>
      </c>
      <c r="AH53" s="51" t="str">
        <f t="array" ref="AH53">IFERROR(_xlfn.XLOOKUP($F53,'Acerto virtual'!$E:$E,'Acerto virtual'!T:T),"")</f>
        <v/>
      </c>
      <c r="AI53" s="51" t="str">
        <f t="array" ref="AI53">IFERROR(_xlfn.XLOOKUP($F53,'Acerto virtual'!$E:$E,'Acerto virtual'!U:U),"")</f>
        <v/>
      </c>
    </row>
    <row r="54" hidden="1">
      <c r="A54" s="47" t="s">
        <v>427</v>
      </c>
      <c r="B54" s="47" t="s">
        <v>428</v>
      </c>
      <c r="C54" s="19" t="str">
        <f t="array" ref="C54">IFERROR(_xlfn.XLOOKUP($B54,'Histórico'!$B:$B,'Histórico'!$I:$I),"")</f>
        <v>066-03064-0005</v>
      </c>
      <c r="D54" s="19" t="str">
        <f t="array" ref="D54">IFERROR(_xlfn.XLOOKUP($B54,'Histórico'!$B:$B,'Histórico'!$J:$J),"")</f>
        <v>22373</v>
      </c>
      <c r="E54" s="19" t="str">
        <f t="array" ref="E54">IFERROR(_xlfn.XLOOKUP($B54,'Histórico'!$B:$B,'Histórico'!$K:$K),"")</f>
        <v>ALTIMETER,SERVO CONTROLLED,AUTOMATIC PRESSURE</v>
      </c>
      <c r="F54" s="19" t="str">
        <f t="array" ref="F54">IFERROR(_xlfn.XLOOKUP($B54,'Histórico'!$B:$B,'Histórico'!$L:$L),"")</f>
        <v>36025</v>
      </c>
      <c r="G54" s="49" t="str">
        <f t="array" ref="G54">IFERROR(_xlfn.XLOOKUP($B54,'Histórico'!$B:$B,'Histórico'!$F:$F),"")</f>
        <v>22/04/2025</v>
      </c>
      <c r="H54" s="19" t="str">
        <f t="array" ref="H54">IFERROR(_xlfn.XLOOKUP($B54,'Histórico'!$B:$B,'Histórico'!$AA:$AA),"")</f>
        <v>ALA 9</v>
      </c>
      <c r="I54" s="19" t="str">
        <f t="array" ref="I54">IFERROR(_xlfn.XLOOKUP($B54,Atual!$B:$B,Atual!$E:$E),"OS concluída")</f>
        <v>OS concluída</v>
      </c>
      <c r="J54" s="19" t="str">
        <f t="shared" si="1"/>
        <v/>
      </c>
      <c r="K54" s="19"/>
      <c r="L54" s="19" t="str">
        <f t="shared" si="2"/>
        <v/>
      </c>
      <c r="M54" s="19"/>
      <c r="N54" s="49" t="str">
        <f t="array" ref="N54">IFERROR(_xlfn.XLOOKUP($B54,Empresa!G:G,Empresa!K:K),"")</f>
        <v/>
      </c>
      <c r="O54" s="49"/>
      <c r="P54" s="19" t="str">
        <f t="array" ref="P54">IFERROR(_xlfn.XLOOKUP($F54,'Vee one'!F:F,'Vee one'!O:O),"")</f>
        <v/>
      </c>
      <c r="Q54" s="19" t="str">
        <f t="array" ref="Q54">IFERROR(_xlfn.XLOOKUP($F54,'Vee one'!F:F,'Vee one'!K:K),"")</f>
        <v/>
      </c>
      <c r="R54" s="19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</row>
    <row r="55">
      <c r="A55" s="47" t="s">
        <v>429</v>
      </c>
      <c r="B55" s="47" t="s">
        <v>430</v>
      </c>
      <c r="C55" s="48" t="str">
        <f t="array" ref="C55">IFERROR(_xlfn.XLOOKUP($B55,'Histórico'!$B:$B,'Histórico'!$I:$I),"")</f>
        <v>066-03064-0005</v>
      </c>
      <c r="D55" s="19" t="str">
        <f t="array" ref="D55">IFERROR(_xlfn.XLOOKUP($B55,'Histórico'!$B:$B,'Histórico'!$J:$J),"")</f>
        <v>22373</v>
      </c>
      <c r="E55" s="19" t="str">
        <f t="array" ref="E55">IFERROR(_xlfn.XLOOKUP($B55,'Histórico'!$B:$B,'Histórico'!$K:$K),"")</f>
        <v>ALTIMETER,SERVO CONTROLLED,AUTOMATIC PRESSURE</v>
      </c>
      <c r="F55" s="19" t="str">
        <f t="array" ref="F55">IFERROR(_xlfn.XLOOKUP($B55,'Histórico'!$B:$B,'Histórico'!$L:$L),"")</f>
        <v>34257</v>
      </c>
      <c r="G55" s="49" t="str">
        <f t="array" ref="G55">IFERROR(_xlfn.XLOOKUP($B55,'Histórico'!$B:$B,'Histórico'!$F:$F),"")</f>
        <v>22/04/2025</v>
      </c>
      <c r="H55" s="19" t="str">
        <f t="array" ref="H55">IFERROR(_xlfn.XLOOKUP($B55,'Histórico'!$B:$B,'Histórico'!$AA:$AA),"")</f>
        <v>BANT</v>
      </c>
      <c r="I55" s="19" t="str">
        <f t="array" ref="I55">IFERROR(_xlfn.XLOOKUP($B55,Atual!$B:$B,Atual!$E:$E),"OS concluída")</f>
        <v>REC</v>
      </c>
      <c r="J55" s="19">
        <f t="shared" si="1"/>
        <v>541</v>
      </c>
      <c r="K55" s="19"/>
      <c r="L55" s="19" t="str">
        <f t="shared" si="2"/>
        <v>NÃO APLICÁVEL</v>
      </c>
      <c r="M55" s="19"/>
      <c r="N55" s="49" t="str">
        <f t="array" ref="N55">IFERROR(_xlfn.XLOOKUP($B55,EMPRESA_1!A:A,EMPRESA_1!J:J),"")</f>
        <v>EM REPARO</v>
      </c>
      <c r="O55" s="50" t="str">
        <f t="array" ref="O55">IFERROR(_xlfn.XLOOKUP(B55,EMPRESA_1!A:A,EMPRESA_1!K:K),"")
</f>
        <v>LEAP</v>
      </c>
      <c r="P55" s="48" t="str">
        <f t="array" ref="P55">IFERROR(_xlfn.XLOOKUP(B55,EMPRESA_1!A:A,EMPRESA_1!L:L),"")</f>
        <v/>
      </c>
      <c r="Q55" s="49" t="str">
        <f t="array" ref="Q55">IFERROR(_xlfn.XLOOKUP(B55,EMPRESA_1!A:A,EMPRESA_1!J:J),"")</f>
        <v>EM REPARO</v>
      </c>
      <c r="R55" s="19" t="str">
        <f t="array" ref="R55">IFERROR(_xlfn.XLOOKUP(B55,EMPRESA_1!A:A,EMPRESA_1!M:M),"")</f>
        <v/>
      </c>
      <c r="S55" s="51"/>
      <c r="T55" s="51" t="str">
        <f t="array" ref="T55">IFERROR(_xlfn.XLOOKUP($F55,'Acerto virtual'!$E:$E,'Acerto virtual'!F:F),"")</f>
        <v/>
      </c>
      <c r="U55" s="51" t="str">
        <f t="array" ref="U55">IFERROR(_xlfn.XLOOKUP($F55,'Acerto virtual'!$E:$E,'Acerto virtual'!G:G),"")</f>
        <v/>
      </c>
      <c r="V55" s="51" t="str">
        <f t="array" ref="V55">IFERROR(_xlfn.XLOOKUP($F55,'Acerto virtual'!$E:$E,'Acerto virtual'!H:H),"")</f>
        <v/>
      </c>
      <c r="W55" s="51" t="str">
        <f t="array" ref="W55">IFERROR(_xlfn.XLOOKUP($F55,'Acerto virtual'!$E:$E,'Acerto virtual'!I:I),"")</f>
        <v/>
      </c>
      <c r="X55" s="51" t="str">
        <f t="array" ref="X55">IFERROR(_xlfn.XLOOKUP($F55,'Acerto virtual'!$E:$E,'Acerto virtual'!J:J),"")</f>
        <v/>
      </c>
      <c r="Y55" s="51" t="str">
        <f t="array" ref="Y55">IFERROR(_xlfn.XLOOKUP($F55,'Acerto virtual'!$E:$E,'Acerto virtual'!K:K),"")</f>
        <v/>
      </c>
      <c r="Z55" s="51" t="str">
        <f t="array" ref="Z55">IFERROR(_xlfn.XLOOKUP($F55,'Acerto virtual'!$E:$E,'Acerto virtual'!L:L),"")</f>
        <v/>
      </c>
      <c r="AA55" s="51" t="str">
        <f t="array" ref="AA55">IFERROR(_xlfn.XLOOKUP($F55,'Acerto virtual'!$E:$E,'Acerto virtual'!M:M),"")</f>
        <v/>
      </c>
      <c r="AB55" s="51" t="str">
        <f t="array" ref="AB55">IFERROR(_xlfn.XLOOKUP($F55,'Acerto virtual'!$E:$E,'Acerto virtual'!N:N),"")</f>
        <v/>
      </c>
      <c r="AC55" s="51" t="str">
        <f t="array" ref="AC55">IFERROR(_xlfn.XLOOKUP($F55,'Acerto virtual'!$E:$E,'Acerto virtual'!O:O),"")</f>
        <v/>
      </c>
      <c r="AD55" s="51" t="str">
        <f t="array" ref="AD55">IFERROR(_xlfn.XLOOKUP($F55,'Acerto virtual'!$E:$E,'Acerto virtual'!P:P),"")</f>
        <v/>
      </c>
      <c r="AE55" s="51" t="str">
        <f t="array" ref="AE55">IFERROR(_xlfn.XLOOKUP($F55,'Acerto virtual'!$E:$E,'Acerto virtual'!Q:Q),"")</f>
        <v/>
      </c>
      <c r="AF55" s="51" t="str">
        <f t="array" ref="AF55">IFERROR(_xlfn.XLOOKUP($F55,'Acerto virtual'!$E:$E,'Acerto virtual'!R:R),"")</f>
        <v/>
      </c>
      <c r="AG55" s="51" t="str">
        <f t="array" ref="AG55">IFERROR(_xlfn.XLOOKUP($F55,'Acerto virtual'!$E:$E,'Acerto virtual'!S:S),"")</f>
        <v/>
      </c>
      <c r="AH55" s="51" t="str">
        <f t="array" ref="AH55">IFERROR(_xlfn.XLOOKUP($F55,'Acerto virtual'!$E:$E,'Acerto virtual'!T:T),"")</f>
        <v/>
      </c>
      <c r="AI55" s="51" t="str">
        <f t="array" ref="AI55">IFERROR(_xlfn.XLOOKUP($F55,'Acerto virtual'!$E:$E,'Acerto virtual'!U:U),"")</f>
        <v/>
      </c>
    </row>
    <row r="56">
      <c r="A56" s="47" t="s">
        <v>431</v>
      </c>
      <c r="B56" s="47" t="s">
        <v>432</v>
      </c>
      <c r="C56" s="48" t="str">
        <f t="array" ref="C56">IFERROR(_xlfn.XLOOKUP($B56,'Histórico'!$B:$B,'Histórico'!$I:$I),"")</f>
        <v>066-03064-0005</v>
      </c>
      <c r="D56" s="19" t="str">
        <f t="array" ref="D56">IFERROR(_xlfn.XLOOKUP($B56,'Histórico'!$B:$B,'Histórico'!$J:$J),"")</f>
        <v>22373</v>
      </c>
      <c r="E56" s="19" t="str">
        <f t="array" ref="E56">IFERROR(_xlfn.XLOOKUP($B56,'Histórico'!$B:$B,'Histórico'!$K:$K),"")</f>
        <v>ALTIMETER,SERVO CONTROLLED,AUTOMATIC PRESSURE</v>
      </c>
      <c r="F56" s="19" t="str">
        <f t="array" ref="F56">IFERROR(_xlfn.XLOOKUP($B56,'Histórico'!$B:$B,'Histórico'!$L:$L),"")</f>
        <v>30865</v>
      </c>
      <c r="G56" s="49" t="str">
        <f t="array" ref="G56">IFERROR(_xlfn.XLOOKUP($B56,'Histórico'!$B:$B,'Histórico'!$F:$F),"")</f>
        <v>22/04/2025</v>
      </c>
      <c r="H56" s="19" t="str">
        <f t="array" ref="H56">IFERROR(_xlfn.XLOOKUP($B56,'Histórico'!$B:$B,'Histórico'!$AA:$AA),"")</f>
        <v>PAMALS</v>
      </c>
      <c r="I56" s="19" t="str">
        <f t="array" ref="I56">IFERROR(_xlfn.XLOOKUP($B56,Atual!$B:$B,Atual!$E:$E),"OS concluída")</f>
        <v>REC</v>
      </c>
      <c r="J56" s="19">
        <f t="shared" si="1"/>
        <v>541</v>
      </c>
      <c r="K56" s="19"/>
      <c r="L56" s="19" t="str">
        <f t="shared" si="2"/>
        <v>NÃO APLICÁVEL</v>
      </c>
      <c r="M56" s="19"/>
      <c r="N56" s="49" t="str">
        <f t="array" ref="N56">IFERROR(_xlfn.XLOOKUP($B56,EMPRESA_1!A:A,EMPRESA_1!J:J),"")</f>
        <v>NO ESTADO</v>
      </c>
      <c r="O56" s="50" t="str">
        <f t="array" ref="O56">IFERROR(_xlfn.XLOOKUP(B56,EMPRESA_1!A:A,EMPRESA_1!K:K),"")
</f>
        <v>VEE ONE</v>
      </c>
      <c r="P56" s="48" t="str">
        <f t="array" ref="P56">IFERROR(_xlfn.XLOOKUP(B56,EMPRESA_1!A:A,EMPRESA_1!L:L),"")</f>
        <v/>
      </c>
      <c r="Q56" s="49" t="str">
        <f t="array" ref="Q56">IFERROR(_xlfn.XLOOKUP(B56,EMPRESA_1!A:A,EMPRESA_1!J:J),"")</f>
        <v>NO ESTADO</v>
      </c>
      <c r="R56" s="19" t="str">
        <f t="array" ref="R56">IFERROR(_xlfn.XLOOKUP(B56,EMPRESA_1!A:A,EMPRESA_1!M:M),"")</f>
        <v/>
      </c>
      <c r="S56" s="51"/>
      <c r="T56" s="51" t="str">
        <f t="array" ref="T56">IFERROR(_xlfn.XLOOKUP($F56,'Acerto virtual'!$E:$E,'Acerto virtual'!F:F),"")</f>
        <v/>
      </c>
      <c r="U56" s="51" t="str">
        <f t="array" ref="U56">IFERROR(_xlfn.XLOOKUP($F56,'Acerto virtual'!$E:$E,'Acerto virtual'!G:G),"")</f>
        <v/>
      </c>
      <c r="V56" s="51" t="str">
        <f t="array" ref="V56">IFERROR(_xlfn.XLOOKUP($F56,'Acerto virtual'!$E:$E,'Acerto virtual'!H:H),"")</f>
        <v/>
      </c>
      <c r="W56" s="51" t="str">
        <f t="array" ref="W56">IFERROR(_xlfn.XLOOKUP($F56,'Acerto virtual'!$E:$E,'Acerto virtual'!I:I),"")</f>
        <v/>
      </c>
      <c r="X56" s="51" t="str">
        <f t="array" ref="X56">IFERROR(_xlfn.XLOOKUP($F56,'Acerto virtual'!$E:$E,'Acerto virtual'!J:J),"")</f>
        <v/>
      </c>
      <c r="Y56" s="51" t="str">
        <f t="array" ref="Y56">IFERROR(_xlfn.XLOOKUP($F56,'Acerto virtual'!$E:$E,'Acerto virtual'!K:K),"")</f>
        <v/>
      </c>
      <c r="Z56" s="51" t="str">
        <f t="array" ref="Z56">IFERROR(_xlfn.XLOOKUP($F56,'Acerto virtual'!$E:$E,'Acerto virtual'!L:L),"")</f>
        <v/>
      </c>
      <c r="AA56" s="51" t="str">
        <f t="array" ref="AA56">IFERROR(_xlfn.XLOOKUP($F56,'Acerto virtual'!$E:$E,'Acerto virtual'!M:M),"")</f>
        <v/>
      </c>
      <c r="AB56" s="51" t="str">
        <f t="array" ref="AB56">IFERROR(_xlfn.XLOOKUP($F56,'Acerto virtual'!$E:$E,'Acerto virtual'!N:N),"")</f>
        <v/>
      </c>
      <c r="AC56" s="51" t="str">
        <f t="array" ref="AC56">IFERROR(_xlfn.XLOOKUP($F56,'Acerto virtual'!$E:$E,'Acerto virtual'!O:O),"")</f>
        <v/>
      </c>
      <c r="AD56" s="51" t="str">
        <f t="array" ref="AD56">IFERROR(_xlfn.XLOOKUP($F56,'Acerto virtual'!$E:$E,'Acerto virtual'!P:P),"")</f>
        <v/>
      </c>
      <c r="AE56" s="51" t="str">
        <f t="array" ref="AE56">IFERROR(_xlfn.XLOOKUP($F56,'Acerto virtual'!$E:$E,'Acerto virtual'!Q:Q),"")</f>
        <v/>
      </c>
      <c r="AF56" s="51" t="str">
        <f t="array" ref="AF56">IFERROR(_xlfn.XLOOKUP($F56,'Acerto virtual'!$E:$E,'Acerto virtual'!R:R),"")</f>
        <v/>
      </c>
      <c r="AG56" s="51" t="str">
        <f t="array" ref="AG56">IFERROR(_xlfn.XLOOKUP($F56,'Acerto virtual'!$E:$E,'Acerto virtual'!S:S),"")</f>
        <v/>
      </c>
      <c r="AH56" s="51" t="str">
        <f t="array" ref="AH56">IFERROR(_xlfn.XLOOKUP($F56,'Acerto virtual'!$E:$E,'Acerto virtual'!T:T),"")</f>
        <v/>
      </c>
      <c r="AI56" s="51" t="str">
        <f t="array" ref="AI56">IFERROR(_xlfn.XLOOKUP($F56,'Acerto virtual'!$E:$E,'Acerto virtual'!U:U),"")</f>
        <v/>
      </c>
    </row>
    <row r="57">
      <c r="A57" s="47" t="s">
        <v>433</v>
      </c>
      <c r="B57" s="47" t="s">
        <v>434</v>
      </c>
      <c r="C57" s="48" t="str">
        <f t="array" ref="C57">IFERROR(_xlfn.XLOOKUP($B57,'Histórico'!$B:$B,'Histórico'!$I:$I),"")</f>
        <v>066-03064-0005</v>
      </c>
      <c r="D57" s="19" t="str">
        <f t="array" ref="D57">IFERROR(_xlfn.XLOOKUP($B57,'Histórico'!$B:$B,'Histórico'!$J:$J),"")</f>
        <v>22373</v>
      </c>
      <c r="E57" s="19" t="str">
        <f t="array" ref="E57">IFERROR(_xlfn.XLOOKUP($B57,'Histórico'!$B:$B,'Histórico'!$K:$K),"")</f>
        <v>ALTIMETER,SERVO CONTROLLED,AUTOMATIC PRESSURE</v>
      </c>
      <c r="F57" s="19" t="str">
        <f t="array" ref="F57">IFERROR(_xlfn.XLOOKUP($B57,'Histórico'!$B:$B,'Histórico'!$L:$L),"")</f>
        <v>4355</v>
      </c>
      <c r="G57" s="49" t="str">
        <f t="array" ref="G57">IFERROR(_xlfn.XLOOKUP($B57,'Histórico'!$B:$B,'Histórico'!$F:$F),"")</f>
        <v>22/04/2025</v>
      </c>
      <c r="H57" s="19" t="str">
        <f t="array" ref="H57">IFERROR(_xlfn.XLOOKUP($B57,'Histórico'!$B:$B,'Histórico'!$AA:$AA),"")</f>
        <v>ALA 7</v>
      </c>
      <c r="I57" s="19" t="str">
        <f t="array" ref="I57">IFERROR(_xlfn.XLOOKUP($B57,Atual!$B:$B,Atual!$E:$E),"OS concluída")</f>
        <v>REC</v>
      </c>
      <c r="J57" s="19">
        <f t="shared" si="1"/>
        <v>541</v>
      </c>
      <c r="K57" s="19"/>
      <c r="L57" s="19" t="str">
        <f t="shared" si="2"/>
        <v>NÃO APLICÁVEL</v>
      </c>
      <c r="M57" s="19"/>
      <c r="N57" s="49" t="str">
        <f t="array" ref="N57">IFERROR(_xlfn.XLOOKUP($B57,EMPRESA_1!A:A,EMPRESA_1!J:J),"")</f>
        <v>NO ESTADO</v>
      </c>
      <c r="O57" s="50" t="str">
        <f t="array" ref="O57">IFERROR(_xlfn.XLOOKUP(B57,EMPRESA_1!A:A,EMPRESA_1!K:K),"")
</f>
        <v>VEE ONE</v>
      </c>
      <c r="P57" s="48" t="str">
        <f t="array" ref="P57">IFERROR(_xlfn.XLOOKUP(B57,EMPRESA_1!A:A,EMPRESA_1!L:L),"")</f>
        <v/>
      </c>
      <c r="Q57" s="49" t="str">
        <f t="array" ref="Q57">IFERROR(_xlfn.XLOOKUP(B57,EMPRESA_1!A:A,EMPRESA_1!J:J),"")</f>
        <v>NO ESTADO</v>
      </c>
      <c r="R57" s="19" t="str">
        <f t="array" ref="R57">IFERROR(_xlfn.XLOOKUP(B57,EMPRESA_1!A:A,EMPRESA_1!M:M),"")</f>
        <v/>
      </c>
      <c r="S57" s="51"/>
      <c r="T57" s="51" t="str">
        <f t="array" ref="T57">IFERROR(_xlfn.XLOOKUP($F57,'Acerto virtual'!$E:$E,'Acerto virtual'!F:F),"")</f>
        <v/>
      </c>
      <c r="U57" s="51" t="str">
        <f t="array" ref="U57">IFERROR(_xlfn.XLOOKUP($F57,'Acerto virtual'!$E:$E,'Acerto virtual'!G:G),"")</f>
        <v/>
      </c>
      <c r="V57" s="51" t="str">
        <f t="array" ref="V57">IFERROR(_xlfn.XLOOKUP($F57,'Acerto virtual'!$E:$E,'Acerto virtual'!H:H),"")</f>
        <v/>
      </c>
      <c r="W57" s="51" t="str">
        <f t="array" ref="W57">IFERROR(_xlfn.XLOOKUP($F57,'Acerto virtual'!$E:$E,'Acerto virtual'!I:I),"")</f>
        <v/>
      </c>
      <c r="X57" s="51" t="str">
        <f t="array" ref="X57">IFERROR(_xlfn.XLOOKUP($F57,'Acerto virtual'!$E:$E,'Acerto virtual'!J:J),"")</f>
        <v/>
      </c>
      <c r="Y57" s="51" t="str">
        <f t="array" ref="Y57">IFERROR(_xlfn.XLOOKUP($F57,'Acerto virtual'!$E:$E,'Acerto virtual'!K:K),"")</f>
        <v/>
      </c>
      <c r="Z57" s="51" t="str">
        <f t="array" ref="Z57">IFERROR(_xlfn.XLOOKUP($F57,'Acerto virtual'!$E:$E,'Acerto virtual'!L:L),"")</f>
        <v/>
      </c>
      <c r="AA57" s="51" t="str">
        <f t="array" ref="AA57">IFERROR(_xlfn.XLOOKUP($F57,'Acerto virtual'!$E:$E,'Acerto virtual'!M:M),"")</f>
        <v/>
      </c>
      <c r="AB57" s="51" t="str">
        <f t="array" ref="AB57">IFERROR(_xlfn.XLOOKUP($F57,'Acerto virtual'!$E:$E,'Acerto virtual'!N:N),"")</f>
        <v/>
      </c>
      <c r="AC57" s="51" t="str">
        <f t="array" ref="AC57">IFERROR(_xlfn.XLOOKUP($F57,'Acerto virtual'!$E:$E,'Acerto virtual'!O:O),"")</f>
        <v/>
      </c>
      <c r="AD57" s="51" t="str">
        <f t="array" ref="AD57">IFERROR(_xlfn.XLOOKUP($F57,'Acerto virtual'!$E:$E,'Acerto virtual'!P:P),"")</f>
        <v/>
      </c>
      <c r="AE57" s="51" t="str">
        <f t="array" ref="AE57">IFERROR(_xlfn.XLOOKUP($F57,'Acerto virtual'!$E:$E,'Acerto virtual'!Q:Q),"")</f>
        <v/>
      </c>
      <c r="AF57" s="51" t="str">
        <f t="array" ref="AF57">IFERROR(_xlfn.XLOOKUP($F57,'Acerto virtual'!$E:$E,'Acerto virtual'!R:R),"")</f>
        <v/>
      </c>
      <c r="AG57" s="51" t="str">
        <f t="array" ref="AG57">IFERROR(_xlfn.XLOOKUP($F57,'Acerto virtual'!$E:$E,'Acerto virtual'!S:S),"")</f>
        <v/>
      </c>
      <c r="AH57" s="51" t="str">
        <f t="array" ref="AH57">IFERROR(_xlfn.XLOOKUP($F57,'Acerto virtual'!$E:$E,'Acerto virtual'!T:T),"")</f>
        <v/>
      </c>
      <c r="AI57" s="51" t="str">
        <f t="array" ref="AI57">IFERROR(_xlfn.XLOOKUP($F57,'Acerto virtual'!$E:$E,'Acerto virtual'!U:U),"")</f>
        <v/>
      </c>
    </row>
    <row r="58" hidden="1">
      <c r="A58" s="47" t="s">
        <v>435</v>
      </c>
      <c r="B58" s="47" t="s">
        <v>436</v>
      </c>
      <c r="C58" s="19" t="str">
        <f t="array" ref="C58">IFERROR(_xlfn.XLOOKUP($B58,'Histórico'!$B:$B,'Histórico'!$I:$I),"")</f>
        <v>066-1072-00</v>
      </c>
      <c r="D58" s="19" t="str">
        <f t="array" ref="D58">IFERROR(_xlfn.XLOOKUP($B58,'Histórico'!$B:$B,'Histórico'!$J:$J),"")</f>
        <v>22373</v>
      </c>
      <c r="E58" s="19" t="str">
        <f t="array" ref="E58">IFERROR(_xlfn.XLOOKUP($B58,'Histórico'!$B:$B,'Histórico'!$K:$K),"")</f>
        <v>RECEIVER ADF (KING KR87)</v>
      </c>
      <c r="F58" s="19" t="str">
        <f t="array" ref="F58">IFERROR(_xlfn.XLOOKUP($B58,'Histórico'!$B:$B,'Histórico'!$L:$L),"")</f>
        <v>38197</v>
      </c>
      <c r="G58" s="49" t="str">
        <f t="array" ref="G58">IFERROR(_xlfn.XLOOKUP($B58,'Histórico'!$B:$B,'Histórico'!$F:$F),"")</f>
        <v>22/04/2025</v>
      </c>
      <c r="H58" s="19" t="str">
        <f t="array" ref="H58">IFERROR(_xlfn.XLOOKUP($B58,'Histórico'!$B:$B,'Histórico'!$AA:$AA),"")</f>
        <v>PAMALS</v>
      </c>
      <c r="I58" s="19" t="str">
        <f t="array" ref="I58">IFERROR(_xlfn.XLOOKUP($B58,Atual!$B:$B,Atual!$E:$E),"OS concluída")</f>
        <v>OS concluída</v>
      </c>
      <c r="J58" s="19" t="str">
        <f t="shared" si="1"/>
        <v/>
      </c>
      <c r="K58" s="19"/>
      <c r="L58" s="19" t="str">
        <f t="shared" si="2"/>
        <v/>
      </c>
      <c r="M58" s="19"/>
      <c r="N58" s="49" t="str">
        <f t="shared" ref="N58:N59" si="15">IFERROR(_xlfn.XLOOKUP($B58,Empresa!G:G,Empresa!K:K),"")</f>
        <v/>
      </c>
      <c r="O58" s="49"/>
      <c r="P58" s="19" t="str">
        <f t="shared" ref="P58:P59" si="16">IFERROR(_xlfn.XLOOKUP($F58,'Vee one'!F:F,'Vee one'!O:O),"")</f>
        <v/>
      </c>
      <c r="Q58" s="19" t="str">
        <f t="shared" ref="Q58:Q59" si="17">IFERROR(_xlfn.XLOOKUP($F58,'Vee one'!F:F,'Vee one'!K:K),"")</f>
        <v/>
      </c>
      <c r="R58" s="19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</row>
    <row r="59" hidden="1">
      <c r="A59" s="47" t="s">
        <v>437</v>
      </c>
      <c r="B59" s="47" t="s">
        <v>438</v>
      </c>
      <c r="C59" s="19" t="str">
        <f t="array" ref="C59">IFERROR(_xlfn.XLOOKUP($B59,'Histórico'!$B:$B,'Histórico'!$I:$I),"")</f>
        <v>066-1072-04</v>
      </c>
      <c r="D59" s="19" t="str">
        <f t="array" ref="D59">IFERROR(_xlfn.XLOOKUP($B59,'Histórico'!$B:$B,'Histórico'!$J:$J),"")</f>
        <v>22373</v>
      </c>
      <c r="E59" s="19" t="str">
        <f t="array" ref="E59">IFERROR(_xlfn.XLOOKUP($B59,'Histórico'!$B:$B,'Histórico'!$K:$K),"")</f>
        <v>RECEIVER,RADIO</v>
      </c>
      <c r="F59" s="19" t="str">
        <f t="array" ref="F59">IFERROR(_xlfn.XLOOKUP($B59,'Histórico'!$B:$B,'Histórico'!$L:$L),"")</f>
        <v>85131</v>
      </c>
      <c r="G59" s="49" t="str">
        <f t="array" ref="G59">IFERROR(_xlfn.XLOOKUP($B59,'Histórico'!$B:$B,'Histórico'!$F:$F),"")</f>
        <v>22/04/2025</v>
      </c>
      <c r="H59" s="19" t="str">
        <f t="array" ref="H59">IFERROR(_xlfn.XLOOKUP($B59,'Histórico'!$B:$B,'Histórico'!$AA:$AA),"")</f>
        <v>ALA 9</v>
      </c>
      <c r="I59" s="19" t="str">
        <f t="array" ref="I59">IFERROR(_xlfn.XLOOKUP($B59,Atual!$B:$B,Atual!$E:$E),"OS concluída")</f>
        <v>OS concluída</v>
      </c>
      <c r="J59" s="19" t="str">
        <f t="shared" si="1"/>
        <v/>
      </c>
      <c r="K59" s="19"/>
      <c r="L59" s="19" t="str">
        <f t="shared" si="2"/>
        <v/>
      </c>
      <c r="M59" s="19"/>
      <c r="N59" s="49" t="str">
        <f t="shared" si="15"/>
        <v/>
      </c>
      <c r="O59" s="49"/>
      <c r="P59" s="19" t="str">
        <f t="shared" si="16"/>
        <v/>
      </c>
      <c r="Q59" s="19" t="str">
        <f t="shared" si="17"/>
        <v/>
      </c>
      <c r="R59" s="19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</row>
    <row r="60" hidden="1">
      <c r="A60" s="47" t="s">
        <v>439</v>
      </c>
      <c r="B60" s="47" t="s">
        <v>440</v>
      </c>
      <c r="C60" s="48" t="str">
        <f t="array" ref="C60">IFERROR(_xlfn.XLOOKUP($B60,'Histórico'!$B:$B,'Histórico'!$I:$I),"")</f>
        <v>066-1072-04</v>
      </c>
      <c r="D60" s="19" t="str">
        <f t="array" ref="D60">IFERROR(_xlfn.XLOOKUP($B60,'Histórico'!$B:$B,'Histórico'!$J:$J),"")</f>
        <v>22373</v>
      </c>
      <c r="E60" s="19" t="str">
        <f t="array" ref="E60">IFERROR(_xlfn.XLOOKUP($B60,'Histórico'!$B:$B,'Histórico'!$K:$K),"")</f>
        <v>RECEIVER,RADIO</v>
      </c>
      <c r="F60" s="19" t="str">
        <f t="array" ref="F60">IFERROR(_xlfn.XLOOKUP($B60,'Histórico'!$B:$B,'Histórico'!$L:$L),"")</f>
        <v>86012</v>
      </c>
      <c r="G60" s="49" t="str">
        <f t="array" ref="G60">IFERROR(_xlfn.XLOOKUP($B60,'Histórico'!$B:$B,'Histórico'!$F:$F),"")</f>
        <v>22/04/2025</v>
      </c>
      <c r="H60" s="19" t="str">
        <f t="array" ref="H60">IFERROR(_xlfn.XLOOKUP($B60,'Histórico'!$B:$B,'Histórico'!$AA:$AA),"")</f>
        <v>PAMASP</v>
      </c>
      <c r="I60" s="19" t="str">
        <f t="array" ref="I60">IFERROR(_xlfn.XLOOKUP($B60,Atual!$B:$B,Atual!$E:$E),"OS concluída")</f>
        <v>OS concluída</v>
      </c>
      <c r="J60" s="19" t="str">
        <f t="shared" si="1"/>
        <v/>
      </c>
      <c r="K60" s="50" t="s">
        <v>441</v>
      </c>
      <c r="L60" s="19" t="str">
        <f t="shared" si="2"/>
        <v>NÃO APLICÁVEL</v>
      </c>
      <c r="M60" s="19"/>
      <c r="N60" s="49" t="str">
        <f t="array" ref="N60">IFERROR(_xlfn.XLOOKUP($B60,EMPRESA_1!A:A,EMPRESA_1!J:J),"")</f>
        <v>EM REPARO </v>
      </c>
      <c r="O60" s="50" t="str">
        <f t="array" ref="O60">IFERROR(_xlfn.XLOOKUP(B60,EMPRESA_1!A:A,EMPRESA_1!K:K),"")
</f>
        <v>WILLIAM</v>
      </c>
      <c r="P60" s="48" t="str">
        <f t="array" ref="P60">IFERROR(_xlfn.XLOOKUP(B60,EMPRESA_1!A:A,EMPRESA_1!L:L),"")</f>
        <v/>
      </c>
      <c r="Q60" s="49" t="str">
        <f t="array" ref="Q60">IFERROR(_xlfn.XLOOKUP(B60,EMPRESA_1!A:A,EMPRESA_1!J:J),"")</f>
        <v>EM REPARO </v>
      </c>
      <c r="R60" s="19" t="str">
        <f t="array" ref="R60">IFERROR(_xlfn.XLOOKUP(B60,EMPRESA_1!A:A,EMPRESA_1!M:M),"")</f>
        <v/>
      </c>
      <c r="S60" s="51"/>
      <c r="T60" s="51" t="str">
        <f t="array" ref="T60">IFERROR(_xlfn.XLOOKUP($F60,'Acerto virtual'!$E:$E,'Acerto virtual'!F:F),"")</f>
        <v/>
      </c>
      <c r="U60" s="51" t="str">
        <f t="array" ref="U60">IFERROR(_xlfn.XLOOKUP($F60,'Acerto virtual'!$E:$E,'Acerto virtual'!G:G),"")</f>
        <v/>
      </c>
      <c r="V60" s="51" t="str">
        <f t="array" ref="V60">IFERROR(_xlfn.XLOOKUP($F60,'Acerto virtual'!$E:$E,'Acerto virtual'!H:H),"")</f>
        <v/>
      </c>
      <c r="W60" s="51" t="str">
        <f t="array" ref="W60">IFERROR(_xlfn.XLOOKUP($F60,'Acerto virtual'!$E:$E,'Acerto virtual'!I:I),"")</f>
        <v/>
      </c>
      <c r="X60" s="51" t="str">
        <f t="array" ref="X60">IFERROR(_xlfn.XLOOKUP($F60,'Acerto virtual'!$E:$E,'Acerto virtual'!J:J),"")</f>
        <v/>
      </c>
      <c r="Y60" s="51" t="str">
        <f t="array" ref="Y60">IFERROR(_xlfn.XLOOKUP($F60,'Acerto virtual'!$E:$E,'Acerto virtual'!K:K),"")</f>
        <v/>
      </c>
      <c r="Z60" s="51" t="str">
        <f t="array" ref="Z60">IFERROR(_xlfn.XLOOKUP($F60,'Acerto virtual'!$E:$E,'Acerto virtual'!L:L),"")</f>
        <v/>
      </c>
      <c r="AA60" s="51" t="str">
        <f t="array" ref="AA60">IFERROR(_xlfn.XLOOKUP($F60,'Acerto virtual'!$E:$E,'Acerto virtual'!M:M),"")</f>
        <v/>
      </c>
      <c r="AB60" s="51" t="str">
        <f t="array" ref="AB60">IFERROR(_xlfn.XLOOKUP($F60,'Acerto virtual'!$E:$E,'Acerto virtual'!N:N),"")</f>
        <v/>
      </c>
      <c r="AC60" s="51" t="str">
        <f t="array" ref="AC60">IFERROR(_xlfn.XLOOKUP($F60,'Acerto virtual'!$E:$E,'Acerto virtual'!O:O),"")</f>
        <v/>
      </c>
      <c r="AD60" s="51" t="str">
        <f t="array" ref="AD60">IFERROR(_xlfn.XLOOKUP($F60,'Acerto virtual'!$E:$E,'Acerto virtual'!P:P),"")</f>
        <v/>
      </c>
      <c r="AE60" s="51" t="str">
        <f t="array" ref="AE60">IFERROR(_xlfn.XLOOKUP($F60,'Acerto virtual'!$E:$E,'Acerto virtual'!Q:Q),"")</f>
        <v/>
      </c>
      <c r="AF60" s="51" t="str">
        <f t="array" ref="AF60">IFERROR(_xlfn.XLOOKUP($F60,'Acerto virtual'!$E:$E,'Acerto virtual'!R:R),"")</f>
        <v/>
      </c>
      <c r="AG60" s="51" t="str">
        <f t="array" ref="AG60">IFERROR(_xlfn.XLOOKUP($F60,'Acerto virtual'!$E:$E,'Acerto virtual'!S:S),"")</f>
        <v/>
      </c>
      <c r="AH60" s="51" t="str">
        <f t="array" ref="AH60">IFERROR(_xlfn.XLOOKUP($F60,'Acerto virtual'!$E:$E,'Acerto virtual'!T:T),"")</f>
        <v/>
      </c>
      <c r="AI60" s="51" t="str">
        <f t="array" ref="AI60">IFERROR(_xlfn.XLOOKUP($F60,'Acerto virtual'!$E:$E,'Acerto virtual'!U:U),"")</f>
        <v/>
      </c>
    </row>
    <row r="61" hidden="1">
      <c r="A61" s="47" t="s">
        <v>442</v>
      </c>
      <c r="B61" s="47" t="s">
        <v>443</v>
      </c>
      <c r="C61" s="19" t="str">
        <f t="array" ref="C61">IFERROR(_xlfn.XLOOKUP($B61,'Histórico'!$B:$B,'Histórico'!$I:$I),"")</f>
        <v>066-1072-04</v>
      </c>
      <c r="D61" s="19" t="str">
        <f t="array" ref="D61">IFERROR(_xlfn.XLOOKUP($B61,'Histórico'!$B:$B,'Histórico'!$J:$J),"")</f>
        <v>22373</v>
      </c>
      <c r="E61" s="19" t="str">
        <f t="array" ref="E61">IFERROR(_xlfn.XLOOKUP($B61,'Histórico'!$B:$B,'Histórico'!$K:$K),"")</f>
        <v>RECEIVER,RADIO</v>
      </c>
      <c r="F61" s="19" t="str">
        <f t="array" ref="F61">IFERROR(_xlfn.XLOOKUP($B61,'Histórico'!$B:$B,'Histórico'!$L:$L),"")</f>
        <v>85068</v>
      </c>
      <c r="G61" s="49" t="str">
        <f t="array" ref="G61">IFERROR(_xlfn.XLOOKUP($B61,'Histórico'!$B:$B,'Histórico'!$F:$F),"")</f>
        <v>22/04/2025</v>
      </c>
      <c r="H61" s="19" t="str">
        <f t="array" ref="H61">IFERROR(_xlfn.XLOOKUP($B61,'Histórico'!$B:$B,'Histórico'!$AA:$AA),"")</f>
        <v>ALA 8</v>
      </c>
      <c r="I61" s="19" t="str">
        <f t="array" ref="I61">IFERROR(_xlfn.XLOOKUP($B61,Atual!$B:$B,Atual!$E:$E),"OS concluída")</f>
        <v>OS concluída</v>
      </c>
      <c r="J61" s="19" t="str">
        <f t="shared" si="1"/>
        <v/>
      </c>
      <c r="K61" s="19"/>
      <c r="L61" s="19" t="str">
        <f t="shared" si="2"/>
        <v/>
      </c>
      <c r="M61" s="19"/>
      <c r="N61" s="49" t="str">
        <f t="shared" ref="N61:N65" si="18">IFERROR(_xlfn.XLOOKUP($B61,Empresa!G:G,Empresa!K:K),"")</f>
        <v/>
      </c>
      <c r="O61" s="49"/>
      <c r="P61" s="19" t="str">
        <f t="shared" ref="P61:P65" si="19">IFERROR(_xlfn.XLOOKUP($F61,'Vee one'!F:F,'Vee one'!O:O),"")</f>
        <v/>
      </c>
      <c r="Q61" s="19" t="str">
        <f t="shared" ref="Q61:Q65" si="20">IFERROR(_xlfn.XLOOKUP($F61,'Vee one'!F:F,'Vee one'!K:K),"")</f>
        <v/>
      </c>
      <c r="R61" s="19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</row>
    <row r="62" hidden="1">
      <c r="A62" s="47" t="s">
        <v>444</v>
      </c>
      <c r="B62" s="47" t="s">
        <v>445</v>
      </c>
      <c r="C62" s="19" t="str">
        <f t="array" ref="C62">IFERROR(_xlfn.XLOOKUP($B62,'Histórico'!$B:$B,'Histórico'!$I:$I),"")</f>
        <v>066-1072-04</v>
      </c>
      <c r="D62" s="19" t="str">
        <f t="array" ref="D62">IFERROR(_xlfn.XLOOKUP($B62,'Histórico'!$B:$B,'Histórico'!$J:$J),"")</f>
        <v>22373</v>
      </c>
      <c r="E62" s="19" t="str">
        <f t="array" ref="E62">IFERROR(_xlfn.XLOOKUP($B62,'Histórico'!$B:$B,'Histórico'!$K:$K),"")</f>
        <v>RECEIVER,RADIO</v>
      </c>
      <c r="F62" s="19" t="str">
        <f t="array" ref="F62">IFERROR(_xlfn.XLOOKUP($B62,'Histórico'!$B:$B,'Histórico'!$L:$L),"")</f>
        <v>84459</v>
      </c>
      <c r="G62" s="49" t="str">
        <f t="array" ref="G62">IFERROR(_xlfn.XLOOKUP($B62,'Histórico'!$B:$B,'Histórico'!$F:$F),"")</f>
        <v>22/04/2025</v>
      </c>
      <c r="H62" s="19" t="str">
        <f t="array" ref="H62">IFERROR(_xlfn.XLOOKUP($B62,'Histórico'!$B:$B,'Histórico'!$AA:$AA),"")</f>
        <v>BAMN</v>
      </c>
      <c r="I62" s="19" t="str">
        <f t="array" ref="I62">IFERROR(_xlfn.XLOOKUP($B62,Atual!$B:$B,Atual!$E:$E),"OS concluída")</f>
        <v>OS concluída</v>
      </c>
      <c r="J62" s="19" t="str">
        <f t="shared" si="1"/>
        <v/>
      </c>
      <c r="K62" s="19"/>
      <c r="L62" s="19" t="str">
        <f t="shared" si="2"/>
        <v/>
      </c>
      <c r="M62" s="19"/>
      <c r="N62" s="49" t="str">
        <f t="shared" si="18"/>
        <v/>
      </c>
      <c r="O62" s="49"/>
      <c r="P62" s="19" t="str">
        <f t="shared" si="19"/>
        <v/>
      </c>
      <c r="Q62" s="19" t="str">
        <f t="shared" si="20"/>
        <v/>
      </c>
      <c r="R62" s="19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</row>
    <row r="63" hidden="1">
      <c r="A63" s="47" t="s">
        <v>446</v>
      </c>
      <c r="B63" s="47" t="s">
        <v>447</v>
      </c>
      <c r="C63" s="19" t="str">
        <f t="array" ref="C63">IFERROR(_xlfn.XLOOKUP($B63,'Histórico'!$B:$B,'Histórico'!$I:$I),"")</f>
        <v>9910338-6</v>
      </c>
      <c r="D63" s="19" t="str">
        <f t="array" ref="D63">IFERROR(_xlfn.XLOOKUP($B63,'Histórico'!$B:$B,'Histórico'!$J:$J),"")</f>
        <v>71379</v>
      </c>
      <c r="E63" s="19" t="str">
        <f t="array" ref="E63">IFERROR(_xlfn.XLOOKUP($B63,'Histórico'!$B:$B,'Histórico'!$K:$K),"")</f>
        <v>TRANSMITTER,RATE OF FLOW</v>
      </c>
      <c r="F63" s="19" t="str">
        <f t="array" ref="F63">IFERROR(_xlfn.XLOOKUP($B63,'Histórico'!$B:$B,'Histórico'!$L:$L),"")</f>
        <v>AAT5599</v>
      </c>
      <c r="G63" s="49" t="str">
        <f t="array" ref="G63">IFERROR(_xlfn.XLOOKUP($B63,'Histórico'!$B:$B,'Histórico'!$F:$F),"")</f>
        <v>22/04/2025</v>
      </c>
      <c r="H63" s="19" t="str">
        <f t="array" ref="H63">IFERROR(_xlfn.XLOOKUP($B63,'Histórico'!$B:$B,'Histórico'!$AA:$AA),"")</f>
        <v>ALA 8</v>
      </c>
      <c r="I63" s="19" t="str">
        <f t="array" ref="I63">IFERROR(_xlfn.XLOOKUP($B63,Atual!$B:$B,Atual!$E:$E),"OS concluída")</f>
        <v>OS concluída</v>
      </c>
      <c r="J63" s="19" t="str">
        <f t="shared" si="1"/>
        <v/>
      </c>
      <c r="K63" s="19"/>
      <c r="L63" s="19" t="str">
        <f t="shared" si="2"/>
        <v/>
      </c>
      <c r="M63" s="19"/>
      <c r="N63" s="49" t="str">
        <f t="shared" si="18"/>
        <v/>
      </c>
      <c r="O63" s="49"/>
      <c r="P63" s="19" t="str">
        <f t="shared" si="19"/>
        <v/>
      </c>
      <c r="Q63" s="19" t="str">
        <f t="shared" si="20"/>
        <v/>
      </c>
      <c r="R63" s="19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</row>
    <row r="64" hidden="1">
      <c r="A64" s="47" t="s">
        <v>448</v>
      </c>
      <c r="B64" s="47" t="s">
        <v>449</v>
      </c>
      <c r="C64" s="19" t="str">
        <f t="array" ref="C64">IFERROR(_xlfn.XLOOKUP($B64,'Histórico'!$B:$B,'Histórico'!$I:$I),"")</f>
        <v>9910338-6</v>
      </c>
      <c r="D64" s="19" t="str">
        <f t="array" ref="D64">IFERROR(_xlfn.XLOOKUP($B64,'Histórico'!$B:$B,'Histórico'!$J:$J),"")</f>
        <v>71379</v>
      </c>
      <c r="E64" s="19" t="str">
        <f t="array" ref="E64">IFERROR(_xlfn.XLOOKUP($B64,'Histórico'!$B:$B,'Histórico'!$K:$K),"")</f>
        <v>TRANSMITTER,RATE OF FLOW</v>
      </c>
      <c r="F64" s="19" t="str">
        <f t="array" ref="F64">IFERROR(_xlfn.XLOOKUP($B64,'Histórico'!$B:$B,'Histórico'!$L:$L),"")</f>
        <v>AAE3882</v>
      </c>
      <c r="G64" s="49" t="str">
        <f t="array" ref="G64">IFERROR(_xlfn.XLOOKUP($B64,'Histórico'!$B:$B,'Histórico'!$F:$F),"")</f>
        <v>22/04/2025</v>
      </c>
      <c r="H64" s="19" t="str">
        <f t="array" ref="H64">IFERROR(_xlfn.XLOOKUP($B64,'Histórico'!$B:$B,'Histórico'!$AA:$AA),"")</f>
        <v>BABR</v>
      </c>
      <c r="I64" s="19" t="str">
        <f t="array" ref="I64">IFERROR(_xlfn.XLOOKUP($B64,Atual!$B:$B,Atual!$E:$E),"OS concluída")</f>
        <v>OS concluída</v>
      </c>
      <c r="J64" s="19" t="str">
        <f t="shared" si="1"/>
        <v/>
      </c>
      <c r="K64" s="19"/>
      <c r="L64" s="19" t="str">
        <f t="shared" si="2"/>
        <v/>
      </c>
      <c r="M64" s="19"/>
      <c r="N64" s="49" t="str">
        <f t="shared" si="18"/>
        <v/>
      </c>
      <c r="O64" s="49"/>
      <c r="P64" s="19" t="str">
        <f t="shared" si="19"/>
        <v/>
      </c>
      <c r="Q64" s="19" t="str">
        <f t="shared" si="20"/>
        <v/>
      </c>
      <c r="R64" s="19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</row>
    <row r="65" hidden="1">
      <c r="A65" s="47" t="s">
        <v>450</v>
      </c>
      <c r="B65" s="47" t="s">
        <v>451</v>
      </c>
      <c r="C65" s="19" t="str">
        <f t="array" ref="C65">IFERROR(_xlfn.XLOOKUP($B65,'Histórico'!$B:$B,'Histórico'!$I:$I),"")</f>
        <v>011-01020-10</v>
      </c>
      <c r="D65" s="19" t="str">
        <f t="array" ref="D65">IFERROR(_xlfn.XLOOKUP($B65,'Histórico'!$B:$B,'Histórico'!$J:$J),"")</f>
        <v>0TRC3</v>
      </c>
      <c r="E65" s="19" t="str">
        <f t="array" ref="E65">IFERROR(_xlfn.XLOOKUP($B65,'Histórico'!$B:$B,'Histórico'!$K:$K),"")</f>
        <v>AFCS MODE CONTROLLER GMC 710</v>
      </c>
      <c r="F65" s="19" t="str">
        <f t="array" ref="F65">IFERROR(_xlfn.XLOOKUP($B65,'Histórico'!$B:$B,'Histórico'!$L:$L),"")</f>
        <v>22005920</v>
      </c>
      <c r="G65" s="49" t="str">
        <f t="array" ref="G65">IFERROR(_xlfn.XLOOKUP($B65,'Histórico'!$B:$B,'Histórico'!$F:$F),"")</f>
        <v>23/04/2025</v>
      </c>
      <c r="H65" s="19" t="str">
        <f t="array" ref="H65">IFERROR(_xlfn.XLOOKUP($B65,'Histórico'!$B:$B,'Histórico'!$AA:$AA),"")</f>
        <v>BAMN</v>
      </c>
      <c r="I65" s="19" t="str">
        <f t="array" ref="I65">IFERROR(_xlfn.XLOOKUP($B65,Atual!$B:$B,Atual!$E:$E),"OS concluída")</f>
        <v>OS concluída</v>
      </c>
      <c r="J65" s="19" t="str">
        <f t="shared" si="1"/>
        <v/>
      </c>
      <c r="K65" s="19"/>
      <c r="L65" s="19" t="str">
        <f t="shared" si="2"/>
        <v/>
      </c>
      <c r="M65" s="19"/>
      <c r="N65" s="49" t="str">
        <f t="shared" si="18"/>
        <v/>
      </c>
      <c r="O65" s="49"/>
      <c r="P65" s="19" t="str">
        <f t="shared" si="19"/>
        <v/>
      </c>
      <c r="Q65" s="19" t="str">
        <f t="shared" si="20"/>
        <v/>
      </c>
      <c r="R65" s="19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</row>
    <row r="66">
      <c r="A66" s="47" t="s">
        <v>452</v>
      </c>
      <c r="B66" s="47" t="s">
        <v>453</v>
      </c>
      <c r="C66" s="48" t="str">
        <f t="array" ref="C66">IFERROR(_xlfn.XLOOKUP($B66,'Histórico'!$B:$B,'Histórico'!$I:$I),"")</f>
        <v>C163030-1001</v>
      </c>
      <c r="D66" s="19" t="str">
        <f t="array" ref="D66">IFERROR(_xlfn.XLOOKUP($B66,'Histórico'!$B:$B,'Histórico'!$J:$J),"")</f>
        <v>7EK50</v>
      </c>
      <c r="E66" s="19" t="str">
        <f t="array" ref="E66">IFERROR(_xlfn.XLOOKUP($B66,'Histórico'!$B:$B,'Histórico'!$K:$K),"")</f>
        <v>MAIN W BRAKE A</v>
      </c>
      <c r="F66" s="19" t="str">
        <f t="array" ref="F66">IFERROR(_xlfn.XLOOKUP($B66,'Histórico'!$B:$B,'Histórico'!$L:$L),"")</f>
        <v>1882C</v>
      </c>
      <c r="G66" s="49" t="str">
        <f t="array" ref="G66">IFERROR(_xlfn.XLOOKUP($B66,'Histórico'!$B:$B,'Histórico'!$F:$F),"")</f>
        <v>22/05/2025</v>
      </c>
      <c r="H66" s="19" t="str">
        <f t="array" ref="H66">IFERROR(_xlfn.XLOOKUP($B66,'Histórico'!$B:$B,'Histórico'!$AA:$AA),"")</f>
        <v>BABV</v>
      </c>
      <c r="I66" s="19" t="str">
        <f t="array" ref="I66">IFERROR(_xlfn.XLOOKUP($B66,Atual!$B:$B,Atual!$E:$E),"OS concluída")</f>
        <v>REC</v>
      </c>
      <c r="J66" s="19">
        <f t="shared" si="1"/>
        <v>511</v>
      </c>
      <c r="K66" s="19"/>
      <c r="L66" s="19">
        <f t="shared" si="2"/>
        <v>293</v>
      </c>
      <c r="M66" s="19"/>
      <c r="N66" s="49">
        <f t="array" ref="N66">IFERROR(_xlfn.XLOOKUP($B66,EMPRESA_1!A:A,EMPRESA_1!J:J),"")</f>
        <v>46092</v>
      </c>
      <c r="O66" s="50" t="str">
        <f t="array" ref="O66">IFERROR(_xlfn.XLOOKUP(B66,EMPRESA_1!A:A,EMPRESA_1!K:K),"")
</f>
        <v>BAMN</v>
      </c>
      <c r="P66" s="19" t="str">
        <f t="array" ref="P66">IFERROR(_xlfn.XLOOKUP(B66,EMPRESA_1!A:A,EMPRESA_1!L:L),"")</f>
        <v>176/FAB/26</v>
      </c>
      <c r="Q66" s="49">
        <f t="array" ref="Q66">IFERROR(_xlfn.XLOOKUP(B66,EMPRESA_1!A:A,EMPRESA_1!J:J),"")</f>
        <v>46092</v>
      </c>
      <c r="R66" s="19" t="str">
        <f t="array" ref="R66">IFERROR(_xlfn.XLOOKUP(B66,EMPRESA_1!A:A,EMPRESA_1!M:M),"")</f>
        <v/>
      </c>
      <c r="S66" s="51"/>
      <c r="T66" s="51" t="str">
        <f t="array" ref="T66">IFERROR(_xlfn.XLOOKUP($F66,'Acerto virtual'!$E:$E,'Acerto virtual'!F:F),"")</f>
        <v>045/2026</v>
      </c>
      <c r="U66" s="51" t="str">
        <f t="array" ref="U66">IFERROR(_xlfn.XLOOKUP($F66,'Acerto virtual'!$E:$E,'Acerto virtual'!G:G),"")</f>
        <v>17/03</v>
      </c>
      <c r="V66" s="51" t="str">
        <f t="array" ref="V66">IFERROR(_xlfn.XLOOKUP($F66,'Acerto virtual'!$E:$E,'Acerto virtual'!H:H),"")</f>
        <v>18/03</v>
      </c>
      <c r="W66" s="51" t="str">
        <f t="array" ref="W66">IFERROR(_xlfn.XLOOKUP($F66,'Acerto virtual'!$E:$E,'Acerto virtual'!I:I),"")</f>
        <v>23/03</v>
      </c>
      <c r="X66" s="51" t="str">
        <f t="array" ref="X66">IFERROR(_xlfn.XLOOKUP($F66,'Acerto virtual'!$E:$E,'Acerto virtual'!J:J),"")</f>
        <v/>
      </c>
      <c r="Y66" s="51" t="str">
        <f t="array" ref="Y66">IFERROR(_xlfn.XLOOKUP($F66,'Acerto virtual'!$E:$E,'Acerto virtual'!K:K),"")</f>
        <v/>
      </c>
      <c r="Z66" s="51" t="str">
        <f t="array" ref="Z66">IFERROR(_xlfn.XLOOKUP($F66,'Acerto virtual'!$E:$E,'Acerto virtual'!L:L),"")</f>
        <v/>
      </c>
      <c r="AA66" s="51" t="str">
        <f t="array" ref="AA66">IFERROR(_xlfn.XLOOKUP($F66,'Acerto virtual'!$E:$E,'Acerto virtual'!M:M),"")</f>
        <v/>
      </c>
      <c r="AB66" s="51" t="str">
        <f t="array" ref="AB66">IFERROR(_xlfn.XLOOKUP($F66,'Acerto virtual'!$E:$E,'Acerto virtual'!N:N),"")</f>
        <v/>
      </c>
      <c r="AC66" s="51" t="str">
        <f t="array" ref="AC66">IFERROR(_xlfn.XLOOKUP($F66,'Acerto virtual'!$E:$E,'Acerto virtual'!O:O),"")</f>
        <v/>
      </c>
      <c r="AD66" s="51" t="str">
        <f t="array" ref="AD66">IFERROR(_xlfn.XLOOKUP($F66,'Acerto virtual'!$E:$E,'Acerto virtual'!P:P),"")</f>
        <v/>
      </c>
      <c r="AE66" s="51" t="str">
        <f t="array" ref="AE66">IFERROR(_xlfn.XLOOKUP($F66,'Acerto virtual'!$E:$E,'Acerto virtual'!Q:Q),"")</f>
        <v/>
      </c>
      <c r="AF66" s="51" t="str">
        <f t="array" ref="AF66">IFERROR(_xlfn.XLOOKUP($F66,'Acerto virtual'!$E:$E,'Acerto virtual'!R:R),"")</f>
        <v/>
      </c>
      <c r="AG66" s="51" t="str">
        <f t="array" ref="AG66">IFERROR(_xlfn.XLOOKUP($F66,'Acerto virtual'!$E:$E,'Acerto virtual'!S:S),"")</f>
        <v/>
      </c>
      <c r="AH66" s="51" t="str">
        <f t="array" ref="AH66">IFERROR(_xlfn.XLOOKUP($F66,'Acerto virtual'!$E:$E,'Acerto virtual'!T:T),"")</f>
        <v/>
      </c>
      <c r="AI66" s="51" t="str">
        <f t="array" ref="AI66">IFERROR(_xlfn.XLOOKUP($F66,'Acerto virtual'!$E:$E,'Acerto virtual'!U:U),"")</f>
        <v/>
      </c>
    </row>
    <row r="67">
      <c r="A67" s="47" t="s">
        <v>454</v>
      </c>
      <c r="B67" s="47" t="s">
        <v>455</v>
      </c>
      <c r="C67" s="48" t="str">
        <f t="array" ref="C67">IFERROR(_xlfn.XLOOKUP($B67,'Histórico'!$B:$B,'Histórico'!$I:$I),"")</f>
        <v>030-18200</v>
      </c>
      <c r="D67" s="19" t="str">
        <f t="array" ref="D67">IFERROR(_xlfn.XLOOKUP($B67,'Histórico'!$B:$B,'Histórico'!$J:$J),"")</f>
        <v>33269</v>
      </c>
      <c r="E67" s="19" t="str">
        <f t="array" ref="E67">IFERROR(_xlfn.XLOOKUP($B67,'Histórico'!$B:$B,'Histórico'!$K:$K),"")</f>
        <v>MAIN WHEEL BRAKE</v>
      </c>
      <c r="F67" s="19" t="str">
        <f t="array" ref="F67">IFERROR(_xlfn.XLOOKUP($B67,'Histórico'!$B:$B,'Histórico'!$L:$L),"")</f>
        <v>02</v>
      </c>
      <c r="G67" s="49" t="str">
        <f t="array" ref="G67">IFERROR(_xlfn.XLOOKUP($B67,'Histórico'!$B:$B,'Histórico'!$F:$F),"")</f>
        <v>22/05/2025</v>
      </c>
      <c r="H67" s="19" t="str">
        <f t="array" ref="H67">IFERROR(_xlfn.XLOOKUP($B67,'Histórico'!$B:$B,'Histórico'!$AA:$AA),"")</f>
        <v>BACO</v>
      </c>
      <c r="I67" s="19" t="str">
        <f t="array" ref="I67">IFERROR(_xlfn.XLOOKUP($B67,Atual!$B:$B,Atual!$E:$E),"OS concluída")</f>
        <v>REC</v>
      </c>
      <c r="J67" s="19">
        <f t="shared" si="1"/>
        <v>511</v>
      </c>
      <c r="K67" s="19"/>
      <c r="L67" s="19">
        <f t="shared" si="2"/>
        <v>320</v>
      </c>
      <c r="M67" s="19"/>
      <c r="N67" s="49">
        <f t="array" ref="N67">IFERROR(_xlfn.XLOOKUP($B67,EMPRESA_1!A:A,EMPRESA_1!J:J),"")</f>
        <v>46119</v>
      </c>
      <c r="O67" s="50" t="str">
        <f t="array" ref="O67">IFERROR(_xlfn.XLOOKUP(B67,EMPRESA_1!A:A,EMPRESA_1!K:K),"")
</f>
        <v>PAMA-LS</v>
      </c>
      <c r="P67" s="19" t="str">
        <f t="array" ref="P67">IFERROR(_xlfn.XLOOKUP(B67,EMPRESA_1!A:A,EMPRESA_1!L:L),"")</f>
        <v>133/FAB/25</v>
      </c>
      <c r="Q67" s="49">
        <f t="array" ref="Q67">IFERROR(_xlfn.XLOOKUP(B67,EMPRESA_1!A:A,EMPRESA_1!J:J),"")</f>
        <v>46119</v>
      </c>
      <c r="R67" s="19" t="str">
        <f t="array" ref="R67">IFERROR(_xlfn.XLOOKUP(B67,EMPRESA_1!A:A,EMPRESA_1!M:M),"")</f>
        <v/>
      </c>
      <c r="S67" s="51"/>
      <c r="T67" s="51" t="str">
        <f t="array" ref="T67">IFERROR(_xlfn.XLOOKUP($F67,'Acerto virtual'!$E:$E,'Acerto virtual'!F:F),"")</f>
        <v/>
      </c>
      <c r="U67" s="51" t="str">
        <f t="array" ref="U67">IFERROR(_xlfn.XLOOKUP($F67,'Acerto virtual'!$E:$E,'Acerto virtual'!G:G),"")</f>
        <v/>
      </c>
      <c r="V67" s="51" t="str">
        <f t="array" ref="V67">IFERROR(_xlfn.XLOOKUP($F67,'Acerto virtual'!$E:$E,'Acerto virtual'!H:H),"")</f>
        <v/>
      </c>
      <c r="W67" s="51" t="str">
        <f t="array" ref="W67">IFERROR(_xlfn.XLOOKUP($F67,'Acerto virtual'!$E:$E,'Acerto virtual'!I:I),"")</f>
        <v/>
      </c>
      <c r="X67" s="51" t="str">
        <f t="array" ref="X67">IFERROR(_xlfn.XLOOKUP($F67,'Acerto virtual'!$E:$E,'Acerto virtual'!J:J),"")</f>
        <v/>
      </c>
      <c r="Y67" s="51" t="str">
        <f t="array" ref="Y67">IFERROR(_xlfn.XLOOKUP($F67,'Acerto virtual'!$E:$E,'Acerto virtual'!K:K),"")</f>
        <v/>
      </c>
      <c r="Z67" s="51" t="str">
        <f t="array" ref="Z67">IFERROR(_xlfn.XLOOKUP($F67,'Acerto virtual'!$E:$E,'Acerto virtual'!L:L),"")</f>
        <v/>
      </c>
      <c r="AA67" s="51" t="str">
        <f t="array" ref="AA67">IFERROR(_xlfn.XLOOKUP($F67,'Acerto virtual'!$E:$E,'Acerto virtual'!M:M),"")</f>
        <v/>
      </c>
      <c r="AB67" s="51" t="str">
        <f t="array" ref="AB67">IFERROR(_xlfn.XLOOKUP($F67,'Acerto virtual'!$E:$E,'Acerto virtual'!N:N),"")</f>
        <v/>
      </c>
      <c r="AC67" s="51" t="str">
        <f t="array" ref="AC67">IFERROR(_xlfn.XLOOKUP($F67,'Acerto virtual'!$E:$E,'Acerto virtual'!O:O),"")</f>
        <v/>
      </c>
      <c r="AD67" s="51" t="str">
        <f t="array" ref="AD67">IFERROR(_xlfn.XLOOKUP($F67,'Acerto virtual'!$E:$E,'Acerto virtual'!P:P),"")</f>
        <v/>
      </c>
      <c r="AE67" s="51" t="str">
        <f t="array" ref="AE67">IFERROR(_xlfn.XLOOKUP($F67,'Acerto virtual'!$E:$E,'Acerto virtual'!Q:Q),"")</f>
        <v/>
      </c>
      <c r="AF67" s="51" t="str">
        <f t="array" ref="AF67">IFERROR(_xlfn.XLOOKUP($F67,'Acerto virtual'!$E:$E,'Acerto virtual'!R:R),"")</f>
        <v/>
      </c>
      <c r="AG67" s="51" t="str">
        <f t="array" ref="AG67">IFERROR(_xlfn.XLOOKUP($F67,'Acerto virtual'!$E:$E,'Acerto virtual'!S:S),"")</f>
        <v/>
      </c>
      <c r="AH67" s="51" t="str">
        <f t="array" ref="AH67">IFERROR(_xlfn.XLOOKUP($F67,'Acerto virtual'!$E:$E,'Acerto virtual'!T:T),"")</f>
        <v/>
      </c>
      <c r="AI67" s="51" t="str">
        <f t="array" ref="AI67">IFERROR(_xlfn.XLOOKUP($F67,'Acerto virtual'!$E:$E,'Acerto virtual'!U:U),"")</f>
        <v/>
      </c>
    </row>
    <row r="68" hidden="1">
      <c r="A68" s="47" t="s">
        <v>456</v>
      </c>
      <c r="B68" s="47" t="s">
        <v>457</v>
      </c>
      <c r="C68" s="19" t="str">
        <f t="array" ref="C68">IFERROR(_xlfn.XLOOKUP($B68,'Histórico'!$B:$B,'Histórico'!$I:$I),"")</f>
        <v>030-18200</v>
      </c>
      <c r="D68" s="19" t="str">
        <f t="array" ref="D68">IFERROR(_xlfn.XLOOKUP($B68,'Histórico'!$B:$B,'Histórico'!$J:$J),"")</f>
        <v>33269</v>
      </c>
      <c r="E68" s="19" t="str">
        <f t="array" ref="E68">IFERROR(_xlfn.XLOOKUP($B68,'Histórico'!$B:$B,'Histórico'!$K:$K),"")</f>
        <v>MAIN WHEEL BRAKE</v>
      </c>
      <c r="F68" s="19" t="str">
        <f t="array" ref="F68">IFERROR(_xlfn.XLOOKUP($B68,'Histórico'!$B:$B,'Histórico'!$L:$L),"")</f>
        <v>323</v>
      </c>
      <c r="G68" s="49" t="str">
        <f t="array" ref="G68">IFERROR(_xlfn.XLOOKUP($B68,'Histórico'!$B:$B,'Histórico'!$F:$F),"")</f>
        <v>22/05/2025</v>
      </c>
      <c r="H68" s="19" t="str">
        <f t="array" ref="H68">IFERROR(_xlfn.XLOOKUP($B68,'Histórico'!$B:$B,'Histórico'!$AA:$AA),"")</f>
        <v>BAMN</v>
      </c>
      <c r="I68" s="19" t="str">
        <f t="array" ref="I68">IFERROR(_xlfn.XLOOKUP($B68,Atual!$B:$B,Atual!$E:$E),"OS concluída")</f>
        <v>OS concluída</v>
      </c>
      <c r="J68" s="19" t="str">
        <f t="shared" si="1"/>
        <v/>
      </c>
      <c r="K68" s="19"/>
      <c r="L68" s="19" t="str">
        <f t="shared" si="2"/>
        <v/>
      </c>
      <c r="M68" s="19"/>
      <c r="N68" s="49" t="str">
        <f t="shared" ref="N68:N72" si="21">IFERROR(_xlfn.XLOOKUP($B68,Empresa!G:G,Empresa!K:K),"")</f>
        <v/>
      </c>
      <c r="O68" s="49"/>
      <c r="P68" s="19" t="str">
        <f t="shared" ref="P68:P72" si="22">IFERROR(_xlfn.XLOOKUP($F68,'Vee one'!F:F,'Vee one'!O:O),"")</f>
        <v/>
      </c>
      <c r="Q68" s="19" t="str">
        <f t="shared" ref="Q68:Q72" si="23">IFERROR(_xlfn.XLOOKUP($F68,'Vee one'!F:F,'Vee one'!K:K),"")</f>
        <v/>
      </c>
      <c r="R68" s="19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</row>
    <row r="69" hidden="1">
      <c r="A69" s="47" t="s">
        <v>458</v>
      </c>
      <c r="B69" s="47" t="s">
        <v>459</v>
      </c>
      <c r="C69" s="19" t="str">
        <f t="array" ref="C69">IFERROR(_xlfn.XLOOKUP($B69,'Histórico'!$B:$B,'Histórico'!$I:$I),"")</f>
        <v>30-182</v>
      </c>
      <c r="D69" s="19" t="str">
        <f t="array" ref="D69">IFERROR(_xlfn.XLOOKUP($B69,'Histórico'!$B:$B,'Histórico'!$J:$J),"")</f>
        <v>33269</v>
      </c>
      <c r="E69" s="19" t="str">
        <f t="array" ref="E69">IFERROR(_xlfn.XLOOKUP($B69,'Histórico'!$B:$B,'Histórico'!$K:$K),"")</f>
        <v>MAIN WHEEL BRAKE</v>
      </c>
      <c r="F69" s="19" t="str">
        <f t="array" ref="F69">IFERROR(_xlfn.XLOOKUP($B69,'Histórico'!$B:$B,'Histórico'!$L:$L),"")</f>
        <v>297</v>
      </c>
      <c r="G69" s="49" t="str">
        <f t="array" ref="G69">IFERROR(_xlfn.XLOOKUP($B69,'Histórico'!$B:$B,'Histórico'!$F:$F),"")</f>
        <v>22/05/2025</v>
      </c>
      <c r="H69" s="19" t="str">
        <f t="array" ref="H69">IFERROR(_xlfn.XLOOKUP($B69,'Histórico'!$B:$B,'Histórico'!$AA:$AA),"")</f>
        <v>BABV</v>
      </c>
      <c r="I69" s="19" t="str">
        <f t="array" ref="I69">IFERROR(_xlfn.XLOOKUP($B69,Atual!$B:$B,Atual!$E:$E),"OS concluída")</f>
        <v>OS concluída</v>
      </c>
      <c r="J69" s="19" t="str">
        <f t="shared" si="1"/>
        <v/>
      </c>
      <c r="K69" s="19"/>
      <c r="L69" s="19" t="str">
        <f t="shared" si="2"/>
        <v/>
      </c>
      <c r="M69" s="19"/>
      <c r="N69" s="49" t="str">
        <f t="shared" si="21"/>
        <v/>
      </c>
      <c r="O69" s="49"/>
      <c r="P69" s="19" t="str">
        <f t="shared" si="22"/>
        <v/>
      </c>
      <c r="Q69" s="19" t="str">
        <f t="shared" si="23"/>
        <v/>
      </c>
      <c r="R69" s="19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</row>
    <row r="70" hidden="1">
      <c r="A70" s="47" t="s">
        <v>460</v>
      </c>
      <c r="B70" s="47" t="s">
        <v>461</v>
      </c>
      <c r="C70" s="19" t="str">
        <f t="array" ref="C70">IFERROR(_xlfn.XLOOKUP($B70,'Histórico'!$B:$B,'Histórico'!$I:$I),"")</f>
        <v>30-182</v>
      </c>
      <c r="D70" s="19" t="str">
        <f t="array" ref="D70">IFERROR(_xlfn.XLOOKUP($B70,'Histórico'!$B:$B,'Histórico'!$J:$J),"")</f>
        <v>33269</v>
      </c>
      <c r="E70" s="19" t="str">
        <f t="array" ref="E70">IFERROR(_xlfn.XLOOKUP($B70,'Histórico'!$B:$B,'Histórico'!$K:$K),"")</f>
        <v>MAIN WHEEL BRAKE</v>
      </c>
      <c r="F70" s="19" t="str">
        <f t="array" ref="F70">IFERROR(_xlfn.XLOOKUP($B70,'Histórico'!$B:$B,'Histórico'!$L:$L),"")</f>
        <v>144</v>
      </c>
      <c r="G70" s="49" t="str">
        <f t="array" ref="G70">IFERROR(_xlfn.XLOOKUP($B70,'Histórico'!$B:$B,'Histórico'!$F:$F),"")</f>
        <v>22/05/2025</v>
      </c>
      <c r="H70" s="19" t="str">
        <f t="array" ref="H70">IFERROR(_xlfn.XLOOKUP($B70,'Histórico'!$B:$B,'Histórico'!$AA:$AA),"")</f>
        <v>BAMN</v>
      </c>
      <c r="I70" s="19" t="str">
        <f t="array" ref="I70">IFERROR(_xlfn.XLOOKUP($B70,Atual!$B:$B,Atual!$E:$E),"OS concluída")</f>
        <v>OS concluída</v>
      </c>
      <c r="J70" s="19" t="str">
        <f t="shared" si="1"/>
        <v/>
      </c>
      <c r="K70" s="19"/>
      <c r="L70" s="19" t="str">
        <f t="shared" si="2"/>
        <v/>
      </c>
      <c r="M70" s="19"/>
      <c r="N70" s="49" t="str">
        <f t="shared" si="21"/>
        <v/>
      </c>
      <c r="O70" s="49"/>
      <c r="P70" s="19" t="str">
        <f t="shared" si="22"/>
        <v/>
      </c>
      <c r="Q70" s="19" t="str">
        <f t="shared" si="23"/>
        <v/>
      </c>
      <c r="R70" s="19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</row>
    <row r="71" hidden="1">
      <c r="A71" s="47" t="s">
        <v>462</v>
      </c>
      <c r="B71" s="47" t="s">
        <v>463</v>
      </c>
      <c r="C71" s="19" t="str">
        <f t="array" ref="C71">IFERROR(_xlfn.XLOOKUP($B71,'Histórico'!$B:$B,'Histórico'!$I:$I),"")</f>
        <v>30-182</v>
      </c>
      <c r="D71" s="19" t="str">
        <f t="array" ref="D71">IFERROR(_xlfn.XLOOKUP($B71,'Histórico'!$B:$B,'Histórico'!$J:$J),"")</f>
        <v>33269</v>
      </c>
      <c r="E71" s="19" t="str">
        <f t="array" ref="E71">IFERROR(_xlfn.XLOOKUP($B71,'Histórico'!$B:$B,'Histórico'!$K:$K),"")</f>
        <v>MAIN WHEEL BRAKE</v>
      </c>
      <c r="F71" s="19" t="str">
        <f t="array" ref="F71">IFERROR(_xlfn.XLOOKUP($B71,'Histórico'!$B:$B,'Histórico'!$L:$L),"")</f>
        <v>324</v>
      </c>
      <c r="G71" s="49" t="str">
        <f t="array" ref="G71">IFERROR(_xlfn.XLOOKUP($B71,'Histórico'!$B:$B,'Histórico'!$F:$F),"")</f>
        <v>22/05/2025</v>
      </c>
      <c r="H71" s="19" t="str">
        <f t="array" ref="H71">IFERROR(_xlfn.XLOOKUP($B71,'Histórico'!$B:$B,'Histórico'!$AA:$AA),"")</f>
        <v>BAMN</v>
      </c>
      <c r="I71" s="19" t="str">
        <f t="array" ref="I71">IFERROR(_xlfn.XLOOKUP($B71,Atual!$B:$B,Atual!$E:$E),"OS concluída")</f>
        <v>OS concluída</v>
      </c>
      <c r="J71" s="19" t="str">
        <f t="shared" si="1"/>
        <v/>
      </c>
      <c r="K71" s="19"/>
      <c r="L71" s="19" t="str">
        <f t="shared" si="2"/>
        <v/>
      </c>
      <c r="M71" s="19"/>
      <c r="N71" s="49" t="str">
        <f t="shared" si="21"/>
        <v/>
      </c>
      <c r="O71" s="49"/>
      <c r="P71" s="19" t="str">
        <f t="shared" si="22"/>
        <v/>
      </c>
      <c r="Q71" s="19" t="str">
        <f t="shared" si="23"/>
        <v/>
      </c>
      <c r="R71" s="19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</row>
    <row r="72" hidden="1">
      <c r="A72" s="47" t="s">
        <v>464</v>
      </c>
      <c r="B72" s="47" t="s">
        <v>465</v>
      </c>
      <c r="C72" s="19" t="str">
        <f t="array" ref="C72">IFERROR(_xlfn.XLOOKUP($B72,'Histórico'!$B:$B,'Histórico'!$I:$I),"")</f>
        <v>161-12800</v>
      </c>
      <c r="D72" s="19" t="str">
        <f t="array" ref="D72">IFERROR(_xlfn.XLOOKUP($B72,'Histórico'!$B:$B,'Histórico'!$J:$J),"")</f>
        <v>71513</v>
      </c>
      <c r="E72" s="19" t="str">
        <f t="array" ref="E72">IFERROR(_xlfn.XLOOKUP($B72,'Histórico'!$B:$B,'Histórico'!$K:$K),"")</f>
        <v>WHEEL HALF ASSY-INNER</v>
      </c>
      <c r="F72" s="19" t="str">
        <f t="array" ref="F72">IFERROR(_xlfn.XLOOKUP($B72,'Histórico'!$B:$B,'Histórico'!$L:$L),"")</f>
        <v>475</v>
      </c>
      <c r="G72" s="49" t="str">
        <f t="array" ref="G72">IFERROR(_xlfn.XLOOKUP($B72,'Histórico'!$B:$B,'Histórico'!$F:$F),"")</f>
        <v>26/05/2025</v>
      </c>
      <c r="H72" s="19" t="str">
        <f t="array" ref="H72">IFERROR(_xlfn.XLOOKUP($B72,'Histórico'!$B:$B,'Histórico'!$AA:$AA),"")</f>
        <v>BASM</v>
      </c>
      <c r="I72" s="19" t="str">
        <f t="array" ref="I72">IFERROR(_xlfn.XLOOKUP($B72,Atual!$B:$B,Atual!$E:$E),"OS concluída")</f>
        <v>OS concluída</v>
      </c>
      <c r="J72" s="19" t="str">
        <f t="shared" si="1"/>
        <v/>
      </c>
      <c r="K72" s="19"/>
      <c r="L72" s="19" t="str">
        <f t="shared" si="2"/>
        <v/>
      </c>
      <c r="M72" s="19"/>
      <c r="N72" s="49" t="str">
        <f t="shared" si="21"/>
        <v/>
      </c>
      <c r="O72" s="49"/>
      <c r="P72" s="19" t="str">
        <f t="shared" si="22"/>
        <v/>
      </c>
      <c r="Q72" s="19" t="str">
        <f t="shared" si="23"/>
        <v/>
      </c>
      <c r="R72" s="19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</row>
    <row r="73" hidden="1">
      <c r="A73" s="47" t="s">
        <v>466</v>
      </c>
      <c r="B73" s="47" t="s">
        <v>467</v>
      </c>
      <c r="C73" s="48" t="str">
        <f t="array" ref="C73">IFERROR(_xlfn.XLOOKUP($B73,'Histórico'!$B:$B,'Histórico'!$I:$I),"")</f>
        <v>161-12800</v>
      </c>
      <c r="D73" s="19" t="str">
        <f t="array" ref="D73">IFERROR(_xlfn.XLOOKUP($B73,'Histórico'!$B:$B,'Histórico'!$J:$J),"")</f>
        <v>71513</v>
      </c>
      <c r="E73" s="19" t="str">
        <f t="array" ref="E73">IFERROR(_xlfn.XLOOKUP($B73,'Histórico'!$B:$B,'Histórico'!$K:$K),"")</f>
        <v>WHEEL HALF ASSY-INNER</v>
      </c>
      <c r="F73" s="19" t="str">
        <f t="array" ref="F73">IFERROR(_xlfn.XLOOKUP($B73,'Histórico'!$B:$B,'Histórico'!$L:$L),"")</f>
        <v>39</v>
      </c>
      <c r="G73" s="49" t="str">
        <f t="array" ref="G73">IFERROR(_xlfn.XLOOKUP($B73,'Histórico'!$B:$B,'Histórico'!$F:$F),"")</f>
        <v>26/05/2025</v>
      </c>
      <c r="H73" s="19" t="str">
        <f t="array" ref="H73">IFERROR(_xlfn.XLOOKUP($B73,'Histórico'!$B:$B,'Histórico'!$AA:$AA),"")</f>
        <v>BASM</v>
      </c>
      <c r="I73" s="19" t="str">
        <f t="array" ref="I73">IFERROR(_xlfn.XLOOKUP($B73,Atual!$B:$B,Atual!$E:$E),"OS concluída")</f>
        <v>OS concluída</v>
      </c>
      <c r="J73" s="19" t="str">
        <f t="shared" si="1"/>
        <v/>
      </c>
      <c r="K73" s="19"/>
      <c r="L73" s="19">
        <f t="shared" si="2"/>
        <v>429</v>
      </c>
      <c r="M73" s="19"/>
      <c r="N73" s="49">
        <f t="array" ref="N73">IFERROR(_xlfn.XLOOKUP($B73,EMPRESA_1!A:A,EMPRESA_1!J:J),"")</f>
        <v>46232</v>
      </c>
      <c r="O73" s="50" t="str">
        <f t="array" ref="O73">IFERROR(_xlfn.XLOOKUP(B73,EMPRESA_1!A:A,EMPRESA_1!K:K),"")
</f>
        <v>PAMA-LS</v>
      </c>
      <c r="P73" s="48" t="str">
        <f t="array" ref="P73">IFERROR(_xlfn.XLOOKUP(B73,EMPRESA_1!A:A,EMPRESA_1!L:L),"")</f>
        <v>598/FAB/26</v>
      </c>
      <c r="Q73" s="49">
        <f t="array" ref="Q73">IFERROR(_xlfn.XLOOKUP(B73,EMPRESA_1!A:A,EMPRESA_1!J:J),"")</f>
        <v>46232</v>
      </c>
      <c r="R73" s="19" t="str">
        <f t="array" ref="R73">IFERROR(_xlfn.XLOOKUP(B73,EMPRESA_1!A:A,EMPRESA_1!M:M),"")</f>
        <v/>
      </c>
      <c r="S73" s="51"/>
      <c r="T73" s="51" t="str">
        <f t="array" ref="T73">IFERROR(_xlfn.XLOOKUP($F73,'Acerto virtual'!$E:$E,'Acerto virtual'!F:F),"")</f>
        <v/>
      </c>
      <c r="U73" s="51" t="str">
        <f t="array" ref="U73">IFERROR(_xlfn.XLOOKUP($F73,'Acerto virtual'!$E:$E,'Acerto virtual'!G:G),"")</f>
        <v/>
      </c>
      <c r="V73" s="51" t="str">
        <f t="array" ref="V73">IFERROR(_xlfn.XLOOKUP($F73,'Acerto virtual'!$E:$E,'Acerto virtual'!H:H),"")</f>
        <v/>
      </c>
      <c r="W73" s="51" t="str">
        <f t="array" ref="W73">IFERROR(_xlfn.XLOOKUP($F73,'Acerto virtual'!$E:$E,'Acerto virtual'!I:I),"")</f>
        <v/>
      </c>
      <c r="X73" s="51" t="str">
        <f t="array" ref="X73">IFERROR(_xlfn.XLOOKUP($F73,'Acerto virtual'!$E:$E,'Acerto virtual'!J:J),"")</f>
        <v/>
      </c>
      <c r="Y73" s="51" t="str">
        <f t="array" ref="Y73">IFERROR(_xlfn.XLOOKUP($F73,'Acerto virtual'!$E:$E,'Acerto virtual'!K:K),"")</f>
        <v/>
      </c>
      <c r="Z73" s="51" t="str">
        <f t="array" ref="Z73">IFERROR(_xlfn.XLOOKUP($F73,'Acerto virtual'!$E:$E,'Acerto virtual'!L:L),"")</f>
        <v/>
      </c>
      <c r="AA73" s="51" t="str">
        <f t="array" ref="AA73">IFERROR(_xlfn.XLOOKUP($F73,'Acerto virtual'!$E:$E,'Acerto virtual'!M:M),"")</f>
        <v/>
      </c>
      <c r="AB73" s="51" t="str">
        <f t="array" ref="AB73">IFERROR(_xlfn.XLOOKUP($F73,'Acerto virtual'!$E:$E,'Acerto virtual'!N:N),"")</f>
        <v/>
      </c>
      <c r="AC73" s="51" t="str">
        <f t="array" ref="AC73">IFERROR(_xlfn.XLOOKUP($F73,'Acerto virtual'!$E:$E,'Acerto virtual'!O:O),"")</f>
        <v/>
      </c>
      <c r="AD73" s="51" t="str">
        <f t="array" ref="AD73">IFERROR(_xlfn.XLOOKUP($F73,'Acerto virtual'!$E:$E,'Acerto virtual'!P:P),"")</f>
        <v/>
      </c>
      <c r="AE73" s="51" t="str">
        <f t="array" ref="AE73">IFERROR(_xlfn.XLOOKUP($F73,'Acerto virtual'!$E:$E,'Acerto virtual'!Q:Q),"")</f>
        <v/>
      </c>
      <c r="AF73" s="51" t="str">
        <f t="array" ref="AF73">IFERROR(_xlfn.XLOOKUP($F73,'Acerto virtual'!$E:$E,'Acerto virtual'!R:R),"")</f>
        <v/>
      </c>
      <c r="AG73" s="51" t="str">
        <f t="array" ref="AG73">IFERROR(_xlfn.XLOOKUP($F73,'Acerto virtual'!$E:$E,'Acerto virtual'!S:S),"")</f>
        <v/>
      </c>
      <c r="AH73" s="51" t="str">
        <f t="array" ref="AH73">IFERROR(_xlfn.XLOOKUP($F73,'Acerto virtual'!$E:$E,'Acerto virtual'!T:T),"")</f>
        <v/>
      </c>
      <c r="AI73" s="51" t="str">
        <f t="array" ref="AI73">IFERROR(_xlfn.XLOOKUP($F73,'Acerto virtual'!$E:$E,'Acerto virtual'!U:U),"")</f>
        <v/>
      </c>
    </row>
    <row r="74">
      <c r="A74" s="47" t="s">
        <v>468</v>
      </c>
      <c r="B74" s="47" t="s">
        <v>469</v>
      </c>
      <c r="C74" s="48" t="str">
        <f t="array" ref="C74">IFERROR(_xlfn.XLOOKUP($B74,'Histórico'!$B:$B,'Histórico'!$I:$I),"")</f>
        <v>161-12800</v>
      </c>
      <c r="D74" s="19" t="str">
        <f t="array" ref="D74">IFERROR(_xlfn.XLOOKUP($B74,'Histórico'!$B:$B,'Histórico'!$J:$J),"")</f>
        <v>71513</v>
      </c>
      <c r="E74" s="19" t="str">
        <f t="array" ref="E74">IFERROR(_xlfn.XLOOKUP($B74,'Histórico'!$B:$B,'Histórico'!$K:$K),"")</f>
        <v>WHEEL HALF ASSY-INNER</v>
      </c>
      <c r="F74" s="19" t="str">
        <f t="array" ref="F74">IFERROR(_xlfn.XLOOKUP($B74,'Histórico'!$B:$B,'Histórico'!$L:$L),"")</f>
        <v>UNK01</v>
      </c>
      <c r="G74" s="49" t="str">
        <f t="array" ref="G74">IFERROR(_xlfn.XLOOKUP($B74,'Histórico'!$B:$B,'Histórico'!$F:$F),"")</f>
        <v>26/05/2025</v>
      </c>
      <c r="H74" s="19" t="str">
        <f t="array" ref="H74">IFERROR(_xlfn.XLOOKUP($B74,'Histórico'!$B:$B,'Histórico'!$AA:$AA),"")</f>
        <v>PAMALS</v>
      </c>
      <c r="I74" s="19" t="str">
        <f t="array" ref="I74">IFERROR(_xlfn.XLOOKUP($B74,Atual!$B:$B,Atual!$E:$E),"OS concluída")</f>
        <v>REC</v>
      </c>
      <c r="J74" s="19">
        <f t="shared" si="1"/>
        <v>507</v>
      </c>
      <c r="K74" s="19"/>
      <c r="L74" s="19">
        <f t="shared" si="2"/>
        <v>429</v>
      </c>
      <c r="M74" s="19"/>
      <c r="N74" s="49">
        <f t="array" ref="N74">IFERROR(_xlfn.XLOOKUP($B74,EMPRESA_1!A:A,EMPRESA_1!J:J),"")</f>
        <v>46232</v>
      </c>
      <c r="O74" s="50" t="str">
        <f t="array" ref="O74">IFERROR(_xlfn.XLOOKUP(B74,EMPRESA_1!A:A,EMPRESA_1!K:K),"")
</f>
        <v>PAMA-LS</v>
      </c>
      <c r="P74" s="19" t="str">
        <f t="array" ref="P74">IFERROR(_xlfn.XLOOKUP(B74,EMPRESA_1!A:A,EMPRESA_1!L:L),"")</f>
        <v>598/FAB/26</v>
      </c>
      <c r="Q74" s="49">
        <f t="array" ref="Q74">IFERROR(_xlfn.XLOOKUP(B74,EMPRESA_1!A:A,EMPRESA_1!J:J),"")</f>
        <v>46232</v>
      </c>
      <c r="R74" s="19" t="str">
        <f t="array" ref="R74">IFERROR(_xlfn.XLOOKUP(B74,EMPRESA_1!A:A,EMPRESA_1!M:M),"")</f>
        <v/>
      </c>
      <c r="S74" s="51"/>
      <c r="T74" s="51" t="str">
        <f t="array" ref="T74">IFERROR(_xlfn.XLOOKUP($F74,'Acerto virtual'!$E:$E,'Acerto virtual'!F:F),"")</f>
        <v/>
      </c>
      <c r="U74" s="51" t="str">
        <f t="array" ref="U74">IFERROR(_xlfn.XLOOKUP($F74,'Acerto virtual'!$E:$E,'Acerto virtual'!G:G),"")</f>
        <v/>
      </c>
      <c r="V74" s="51" t="str">
        <f t="array" ref="V74">IFERROR(_xlfn.XLOOKUP($F74,'Acerto virtual'!$E:$E,'Acerto virtual'!H:H),"")</f>
        <v/>
      </c>
      <c r="W74" s="51" t="str">
        <f t="array" ref="W74">IFERROR(_xlfn.XLOOKUP($F74,'Acerto virtual'!$E:$E,'Acerto virtual'!I:I),"")</f>
        <v/>
      </c>
      <c r="X74" s="51" t="str">
        <f t="array" ref="X74">IFERROR(_xlfn.XLOOKUP($F74,'Acerto virtual'!$E:$E,'Acerto virtual'!J:J),"")</f>
        <v/>
      </c>
      <c r="Y74" s="51" t="str">
        <f t="array" ref="Y74">IFERROR(_xlfn.XLOOKUP($F74,'Acerto virtual'!$E:$E,'Acerto virtual'!K:K),"")</f>
        <v/>
      </c>
      <c r="Z74" s="51" t="str">
        <f t="array" ref="Z74">IFERROR(_xlfn.XLOOKUP($F74,'Acerto virtual'!$E:$E,'Acerto virtual'!L:L),"")</f>
        <v/>
      </c>
      <c r="AA74" s="51" t="str">
        <f t="array" ref="AA74">IFERROR(_xlfn.XLOOKUP($F74,'Acerto virtual'!$E:$E,'Acerto virtual'!M:M),"")</f>
        <v/>
      </c>
      <c r="AB74" s="51" t="str">
        <f t="array" ref="AB74">IFERROR(_xlfn.XLOOKUP($F74,'Acerto virtual'!$E:$E,'Acerto virtual'!N:N),"")</f>
        <v/>
      </c>
      <c r="AC74" s="51" t="str">
        <f t="array" ref="AC74">IFERROR(_xlfn.XLOOKUP($F74,'Acerto virtual'!$E:$E,'Acerto virtual'!O:O),"")</f>
        <v/>
      </c>
      <c r="AD74" s="51" t="str">
        <f t="array" ref="AD74">IFERROR(_xlfn.XLOOKUP($F74,'Acerto virtual'!$E:$E,'Acerto virtual'!P:P),"")</f>
        <v/>
      </c>
      <c r="AE74" s="51" t="str">
        <f t="array" ref="AE74">IFERROR(_xlfn.XLOOKUP($F74,'Acerto virtual'!$E:$E,'Acerto virtual'!Q:Q),"")</f>
        <v/>
      </c>
      <c r="AF74" s="51" t="str">
        <f t="array" ref="AF74">IFERROR(_xlfn.XLOOKUP($F74,'Acerto virtual'!$E:$E,'Acerto virtual'!R:R),"")</f>
        <v/>
      </c>
      <c r="AG74" s="51" t="str">
        <f t="array" ref="AG74">IFERROR(_xlfn.XLOOKUP($F74,'Acerto virtual'!$E:$E,'Acerto virtual'!S:S),"")</f>
        <v/>
      </c>
      <c r="AH74" s="51" t="str">
        <f t="array" ref="AH74">IFERROR(_xlfn.XLOOKUP($F74,'Acerto virtual'!$E:$E,'Acerto virtual'!T:T),"")</f>
        <v/>
      </c>
      <c r="AI74" s="51" t="str">
        <f t="array" ref="AI74">IFERROR(_xlfn.XLOOKUP($F74,'Acerto virtual'!$E:$E,'Acerto virtual'!U:U),"")</f>
        <v/>
      </c>
    </row>
    <row r="75" hidden="1">
      <c r="A75" s="47" t="s">
        <v>470</v>
      </c>
      <c r="B75" s="47" t="s">
        <v>471</v>
      </c>
      <c r="C75" s="19" t="str">
        <f t="array" ref="C75">IFERROR(_xlfn.XLOOKUP($B75,'Histórico'!$B:$B,'Histórico'!$I:$I),"")</f>
        <v>161-12800</v>
      </c>
      <c r="D75" s="19" t="str">
        <f t="array" ref="D75">IFERROR(_xlfn.XLOOKUP($B75,'Histórico'!$B:$B,'Histórico'!$J:$J),"")</f>
        <v>71513</v>
      </c>
      <c r="E75" s="19" t="str">
        <f t="array" ref="E75">IFERROR(_xlfn.XLOOKUP($B75,'Histórico'!$B:$B,'Histórico'!$K:$K),"")</f>
        <v>WHEEL HALF ASSY-INNER</v>
      </c>
      <c r="F75" s="19" t="str">
        <f t="array" ref="F75">IFERROR(_xlfn.XLOOKUP($B75,'Histórico'!$B:$B,'Histórico'!$L:$L),"")</f>
        <v>278</v>
      </c>
      <c r="G75" s="49" t="str">
        <f t="array" ref="G75">IFERROR(_xlfn.XLOOKUP($B75,'Histórico'!$B:$B,'Histórico'!$F:$F),"")</f>
        <v>26/05/2025</v>
      </c>
      <c r="H75" s="19" t="str">
        <f t="array" ref="H75">IFERROR(_xlfn.XLOOKUP($B75,'Histórico'!$B:$B,'Histórico'!$AA:$AA),"")</f>
        <v>PAMALS</v>
      </c>
      <c r="I75" s="19" t="str">
        <f t="array" ref="I75">IFERROR(_xlfn.XLOOKUP($B75,Atual!$B:$B,Atual!$E:$E),"OS concluída")</f>
        <v>OS concluída</v>
      </c>
      <c r="J75" s="19" t="str">
        <f t="shared" si="1"/>
        <v/>
      </c>
      <c r="K75" s="19"/>
      <c r="L75" s="19" t="str">
        <f t="shared" si="2"/>
        <v/>
      </c>
      <c r="M75" s="19"/>
      <c r="N75" s="49" t="str">
        <f t="array" ref="N75">IFERROR(_xlfn.XLOOKUP($B75,Empresa!G:G,Empresa!K:K),"")</f>
        <v/>
      </c>
      <c r="O75" s="49"/>
      <c r="P75" s="19" t="str">
        <f t="array" ref="P75">IFERROR(_xlfn.XLOOKUP($F75,'Vee one'!F:F,'Vee one'!O:O),"")</f>
        <v/>
      </c>
      <c r="Q75" s="19" t="str">
        <f t="array" ref="Q75">IFERROR(_xlfn.XLOOKUP($F75,'Vee one'!F:F,'Vee one'!K:K),"")</f>
        <v/>
      </c>
      <c r="R75" s="19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</row>
    <row r="76">
      <c r="A76" s="47" t="s">
        <v>472</v>
      </c>
      <c r="B76" s="47" t="s">
        <v>473</v>
      </c>
      <c r="C76" s="48" t="str">
        <f t="array" ref="C76">IFERROR(_xlfn.XLOOKUP($B76,'Histórico'!$B:$B,'Histórico'!$I:$I),"")</f>
        <v>161-12800</v>
      </c>
      <c r="D76" s="19" t="str">
        <f t="array" ref="D76">IFERROR(_xlfn.XLOOKUP($B76,'Histórico'!$B:$B,'Histórico'!$J:$J),"")</f>
        <v>71513</v>
      </c>
      <c r="E76" s="19" t="str">
        <f t="array" ref="E76">IFERROR(_xlfn.XLOOKUP($B76,'Histórico'!$B:$B,'Histórico'!$K:$K),"")</f>
        <v>WHEEL HALF ASSY-INNER</v>
      </c>
      <c r="F76" s="19" t="str">
        <f t="array" ref="F76">IFERROR(_xlfn.XLOOKUP($B76,'Histórico'!$B:$B,'Histórico'!$L:$L),"")</f>
        <v>967</v>
      </c>
      <c r="G76" s="49" t="str">
        <f t="array" ref="G76">IFERROR(_xlfn.XLOOKUP($B76,'Histórico'!$B:$B,'Histórico'!$F:$F),"")</f>
        <v>26/05/2025</v>
      </c>
      <c r="H76" s="19" t="str">
        <f t="array" ref="H76">IFERROR(_xlfn.XLOOKUP($B76,'Histórico'!$B:$B,'Histórico'!$AA:$AA),"")</f>
        <v>PAMALS</v>
      </c>
      <c r="I76" s="19" t="str">
        <f t="array" ref="I76">IFERROR(_xlfn.XLOOKUP($B76,Atual!$B:$B,Atual!$E:$E),"OS concluída")</f>
        <v>REC</v>
      </c>
      <c r="J76" s="19">
        <f t="shared" si="1"/>
        <v>507</v>
      </c>
      <c r="K76" s="19"/>
      <c r="L76" s="19" t="str">
        <f t="shared" si="2"/>
        <v>NÃO APLICÁVEL</v>
      </c>
      <c r="M76" s="19"/>
      <c r="N76" s="49" t="str">
        <f t="array" ref="N76">IFERROR(_xlfn.XLOOKUP($B76,EMPRESA_1!A:A,EMPRESA_1!J:J),"")</f>
        <v>EM REPARO</v>
      </c>
      <c r="O76" s="50" t="str">
        <f t="array" ref="O76">IFERROR(_xlfn.XLOOKUP(B76,EMPRESA_1!A:A,EMPRESA_1!K:K),"")
</f>
        <v>LEAP</v>
      </c>
      <c r="P76" s="48" t="str">
        <f t="array" ref="P76">IFERROR(_xlfn.XLOOKUP(B76,EMPRESA_1!A:A,EMPRESA_1!L:L),"")</f>
        <v/>
      </c>
      <c r="Q76" s="49" t="str">
        <f t="array" ref="Q76">IFERROR(_xlfn.XLOOKUP(B76,EMPRESA_1!A:A,EMPRESA_1!J:J),"")</f>
        <v>EM REPARO</v>
      </c>
      <c r="R76" s="19" t="str">
        <f t="array" ref="R76">IFERROR(_xlfn.XLOOKUP(B76,EMPRESA_1!A:A,EMPRESA_1!M:M),"")</f>
        <v/>
      </c>
      <c r="S76" s="51"/>
      <c r="T76" s="51" t="str">
        <f t="array" ref="T76">IFERROR(_xlfn.XLOOKUP($F76,'Acerto virtual'!$E:$E,'Acerto virtual'!F:F),"")</f>
        <v/>
      </c>
      <c r="U76" s="51" t="str">
        <f t="array" ref="U76">IFERROR(_xlfn.XLOOKUP($F76,'Acerto virtual'!$E:$E,'Acerto virtual'!G:G),"")</f>
        <v/>
      </c>
      <c r="V76" s="51" t="str">
        <f t="array" ref="V76">IFERROR(_xlfn.XLOOKUP($F76,'Acerto virtual'!$E:$E,'Acerto virtual'!H:H),"")</f>
        <v/>
      </c>
      <c r="W76" s="51" t="str">
        <f t="array" ref="W76">IFERROR(_xlfn.XLOOKUP($F76,'Acerto virtual'!$E:$E,'Acerto virtual'!I:I),"")</f>
        <v/>
      </c>
      <c r="X76" s="51" t="str">
        <f t="array" ref="X76">IFERROR(_xlfn.XLOOKUP($F76,'Acerto virtual'!$E:$E,'Acerto virtual'!J:J),"")</f>
        <v/>
      </c>
      <c r="Y76" s="51" t="str">
        <f t="array" ref="Y76">IFERROR(_xlfn.XLOOKUP($F76,'Acerto virtual'!$E:$E,'Acerto virtual'!K:K),"")</f>
        <v/>
      </c>
      <c r="Z76" s="51" t="str">
        <f t="array" ref="Z76">IFERROR(_xlfn.XLOOKUP($F76,'Acerto virtual'!$E:$E,'Acerto virtual'!L:L),"")</f>
        <v/>
      </c>
      <c r="AA76" s="51" t="str">
        <f t="array" ref="AA76">IFERROR(_xlfn.XLOOKUP($F76,'Acerto virtual'!$E:$E,'Acerto virtual'!M:M),"")</f>
        <v/>
      </c>
      <c r="AB76" s="51" t="str">
        <f t="array" ref="AB76">IFERROR(_xlfn.XLOOKUP($F76,'Acerto virtual'!$E:$E,'Acerto virtual'!N:N),"")</f>
        <v/>
      </c>
      <c r="AC76" s="51" t="str">
        <f t="array" ref="AC76">IFERROR(_xlfn.XLOOKUP($F76,'Acerto virtual'!$E:$E,'Acerto virtual'!O:O),"")</f>
        <v/>
      </c>
      <c r="AD76" s="51" t="str">
        <f t="array" ref="AD76">IFERROR(_xlfn.XLOOKUP($F76,'Acerto virtual'!$E:$E,'Acerto virtual'!P:P),"")</f>
        <v/>
      </c>
      <c r="AE76" s="51" t="str">
        <f t="array" ref="AE76">IFERROR(_xlfn.XLOOKUP($F76,'Acerto virtual'!$E:$E,'Acerto virtual'!Q:Q),"")</f>
        <v/>
      </c>
      <c r="AF76" s="51" t="str">
        <f t="array" ref="AF76">IFERROR(_xlfn.XLOOKUP($F76,'Acerto virtual'!$E:$E,'Acerto virtual'!R:R),"")</f>
        <v/>
      </c>
      <c r="AG76" s="51" t="str">
        <f t="array" ref="AG76">IFERROR(_xlfn.XLOOKUP($F76,'Acerto virtual'!$E:$E,'Acerto virtual'!S:S),"")</f>
        <v/>
      </c>
      <c r="AH76" s="51" t="str">
        <f t="array" ref="AH76">IFERROR(_xlfn.XLOOKUP($F76,'Acerto virtual'!$E:$E,'Acerto virtual'!T:T),"")</f>
        <v/>
      </c>
      <c r="AI76" s="51" t="str">
        <f t="array" ref="AI76">IFERROR(_xlfn.XLOOKUP($F76,'Acerto virtual'!$E:$E,'Acerto virtual'!U:U),"")</f>
        <v/>
      </c>
    </row>
    <row r="77" hidden="1">
      <c r="A77" s="47" t="s">
        <v>474</v>
      </c>
      <c r="B77" s="47" t="s">
        <v>475</v>
      </c>
      <c r="C77" s="19" t="str">
        <f t="array" ref="C77">IFERROR(_xlfn.XLOOKUP($B77,'Histórico'!$B:$B,'Histórico'!$I:$I),"")</f>
        <v>162-10700</v>
      </c>
      <c r="D77" s="19" t="str">
        <f t="array" ref="D77">IFERROR(_xlfn.XLOOKUP($B77,'Histórico'!$B:$B,'Histórico'!$J:$J),"")</f>
        <v>71513</v>
      </c>
      <c r="E77" s="19" t="str">
        <f t="array" ref="E77">IFERROR(_xlfn.XLOOKUP($B77,'Histórico'!$B:$B,'Histórico'!$K:$K),"")</f>
        <v>OUTER WHEEL HALF ASSY</v>
      </c>
      <c r="F77" s="19" t="str">
        <f t="array" ref="F77">IFERROR(_xlfn.XLOOKUP($B77,'Histórico'!$B:$B,'Histórico'!$L:$L),"")</f>
        <v>278</v>
      </c>
      <c r="G77" s="49" t="str">
        <f t="array" ref="G77">IFERROR(_xlfn.XLOOKUP($B77,'Histórico'!$B:$B,'Histórico'!$F:$F),"")</f>
        <v>26/05/2025</v>
      </c>
      <c r="H77" s="19" t="str">
        <f t="array" ref="H77">IFERROR(_xlfn.XLOOKUP($B77,'Histórico'!$B:$B,'Histórico'!$AA:$AA),"")</f>
        <v>BABE</v>
      </c>
      <c r="I77" s="19" t="str">
        <f t="array" ref="I77">IFERROR(_xlfn.XLOOKUP($B77,Atual!$B:$B,Atual!$E:$E),"OS concluída")</f>
        <v>OS concluída</v>
      </c>
      <c r="J77" s="19" t="str">
        <f t="shared" si="1"/>
        <v/>
      </c>
      <c r="K77" s="19"/>
      <c r="L77" s="19" t="str">
        <f t="shared" si="2"/>
        <v/>
      </c>
      <c r="M77" s="19"/>
      <c r="N77" s="49" t="str">
        <f t="array" ref="N77">IFERROR(_xlfn.XLOOKUP($B77,Empresa!G:G,Empresa!K:K),"")</f>
        <v/>
      </c>
      <c r="O77" s="49"/>
      <c r="P77" s="19" t="str">
        <f t="array" ref="P77">IFERROR(_xlfn.XLOOKUP($F77,'Vee one'!F:F,'Vee one'!O:O),"")</f>
        <v/>
      </c>
      <c r="Q77" s="19" t="str">
        <f t="array" ref="Q77">IFERROR(_xlfn.XLOOKUP($F77,'Vee one'!F:F,'Vee one'!K:K),"")</f>
        <v/>
      </c>
      <c r="R77" s="19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</row>
    <row r="78" hidden="1">
      <c r="A78" s="47" t="s">
        <v>476</v>
      </c>
      <c r="B78" s="47" t="s">
        <v>477</v>
      </c>
      <c r="C78" s="48" t="str">
        <f t="array" ref="C78">IFERROR(_xlfn.XLOOKUP($B78,'Histórico'!$B:$B,'Histórico'!$I:$I),"")</f>
        <v>162-10700</v>
      </c>
      <c r="D78" s="19" t="str">
        <f t="array" ref="D78">IFERROR(_xlfn.XLOOKUP($B78,'Histórico'!$B:$B,'Histórico'!$J:$J),"")</f>
        <v>71513</v>
      </c>
      <c r="E78" s="19" t="str">
        <f t="array" ref="E78">IFERROR(_xlfn.XLOOKUP($B78,'Histórico'!$B:$B,'Histórico'!$K:$K),"")</f>
        <v>OUTER WHEEL HALF ASSY</v>
      </c>
      <c r="F78" s="19" t="str">
        <f t="array" ref="F78">IFERROR(_xlfn.XLOOKUP($B78,'Histórico'!$B:$B,'Histórico'!$L:$L),"")</f>
        <v>772</v>
      </c>
      <c r="G78" s="49" t="str">
        <f t="array" ref="G78">IFERROR(_xlfn.XLOOKUP($B78,'Histórico'!$B:$B,'Histórico'!$F:$F),"")</f>
        <v>26/05/2025</v>
      </c>
      <c r="H78" s="19" t="str">
        <f t="array" ref="H78">IFERROR(_xlfn.XLOOKUP($B78,'Histórico'!$B:$B,'Histórico'!$AA:$AA),"")</f>
        <v>BABV</v>
      </c>
      <c r="I78" s="19" t="str">
        <f t="array" ref="I78">IFERROR(_xlfn.XLOOKUP($B78,Atual!$B:$B,Atual!$E:$E),"OS concluída")</f>
        <v>OS concluída</v>
      </c>
      <c r="J78" s="19" t="str">
        <f t="shared" si="1"/>
        <v/>
      </c>
      <c r="K78" s="19"/>
      <c r="L78" s="19">
        <f t="shared" si="2"/>
        <v>429</v>
      </c>
      <c r="M78" s="19"/>
      <c r="N78" s="49">
        <f t="array" ref="N78">IFERROR(_xlfn.XLOOKUP($B78,EMPRESA_1!A:A,EMPRESA_1!J:J),"")</f>
        <v>46232</v>
      </c>
      <c r="O78" s="50" t="str">
        <f t="array" ref="O78">IFERROR(_xlfn.XLOOKUP(B78,EMPRESA_1!A:A,EMPRESA_1!K:K),"")
</f>
        <v>PAMA-LS</v>
      </c>
      <c r="P78" s="48" t="str">
        <f t="array" ref="P78">IFERROR(_xlfn.XLOOKUP(B78,EMPRESA_1!A:A,EMPRESA_1!L:L),"")</f>
        <v>598/FAB/26</v>
      </c>
      <c r="Q78" s="49">
        <f t="array" ref="Q78">IFERROR(_xlfn.XLOOKUP(B78,EMPRESA_1!A:A,EMPRESA_1!J:J),"")</f>
        <v>46232</v>
      </c>
      <c r="R78" s="19" t="str">
        <f t="array" ref="R78">IFERROR(_xlfn.XLOOKUP(B78,EMPRESA_1!A:A,EMPRESA_1!M:M),"")</f>
        <v/>
      </c>
      <c r="S78" s="51"/>
      <c r="T78" s="51" t="str">
        <f t="array" ref="T78">IFERROR(_xlfn.XLOOKUP($F78,'Acerto virtual'!$E:$E,'Acerto virtual'!F:F),"")</f>
        <v/>
      </c>
      <c r="U78" s="51" t="str">
        <f t="array" ref="U78">IFERROR(_xlfn.XLOOKUP($F78,'Acerto virtual'!$E:$E,'Acerto virtual'!G:G),"")</f>
        <v/>
      </c>
      <c r="V78" s="51" t="str">
        <f t="array" ref="V78">IFERROR(_xlfn.XLOOKUP($F78,'Acerto virtual'!$E:$E,'Acerto virtual'!H:H),"")</f>
        <v/>
      </c>
      <c r="W78" s="51" t="str">
        <f t="array" ref="W78">IFERROR(_xlfn.XLOOKUP($F78,'Acerto virtual'!$E:$E,'Acerto virtual'!I:I),"")</f>
        <v/>
      </c>
      <c r="X78" s="51" t="str">
        <f t="array" ref="X78">IFERROR(_xlfn.XLOOKUP($F78,'Acerto virtual'!$E:$E,'Acerto virtual'!J:J),"")</f>
        <v/>
      </c>
      <c r="Y78" s="51" t="str">
        <f t="array" ref="Y78">IFERROR(_xlfn.XLOOKUP($F78,'Acerto virtual'!$E:$E,'Acerto virtual'!K:K),"")</f>
        <v/>
      </c>
      <c r="Z78" s="51" t="str">
        <f t="array" ref="Z78">IFERROR(_xlfn.XLOOKUP($F78,'Acerto virtual'!$E:$E,'Acerto virtual'!L:L),"")</f>
        <v/>
      </c>
      <c r="AA78" s="51" t="str">
        <f t="array" ref="AA78">IFERROR(_xlfn.XLOOKUP($F78,'Acerto virtual'!$E:$E,'Acerto virtual'!M:M),"")</f>
        <v/>
      </c>
      <c r="AB78" s="51" t="str">
        <f t="array" ref="AB78">IFERROR(_xlfn.XLOOKUP($F78,'Acerto virtual'!$E:$E,'Acerto virtual'!N:N),"")</f>
        <v/>
      </c>
      <c r="AC78" s="51" t="str">
        <f t="array" ref="AC78">IFERROR(_xlfn.XLOOKUP($F78,'Acerto virtual'!$E:$E,'Acerto virtual'!O:O),"")</f>
        <v/>
      </c>
      <c r="AD78" s="51" t="str">
        <f t="array" ref="AD78">IFERROR(_xlfn.XLOOKUP($F78,'Acerto virtual'!$E:$E,'Acerto virtual'!P:P),"")</f>
        <v/>
      </c>
      <c r="AE78" s="51" t="str">
        <f t="array" ref="AE78">IFERROR(_xlfn.XLOOKUP($F78,'Acerto virtual'!$E:$E,'Acerto virtual'!Q:Q),"")</f>
        <v/>
      </c>
      <c r="AF78" s="51" t="str">
        <f t="array" ref="AF78">IFERROR(_xlfn.XLOOKUP($F78,'Acerto virtual'!$E:$E,'Acerto virtual'!R:R),"")</f>
        <v/>
      </c>
      <c r="AG78" s="51" t="str">
        <f t="array" ref="AG78">IFERROR(_xlfn.XLOOKUP($F78,'Acerto virtual'!$E:$E,'Acerto virtual'!S:S),"")</f>
        <v/>
      </c>
      <c r="AH78" s="51" t="str">
        <f t="array" ref="AH78">IFERROR(_xlfn.XLOOKUP($F78,'Acerto virtual'!$E:$E,'Acerto virtual'!T:T),"")</f>
        <v/>
      </c>
      <c r="AI78" s="51" t="str">
        <f t="array" ref="AI78">IFERROR(_xlfn.XLOOKUP($F78,'Acerto virtual'!$E:$E,'Acerto virtual'!U:U),"")</f>
        <v/>
      </c>
    </row>
    <row r="79">
      <c r="A79" s="47" t="s">
        <v>478</v>
      </c>
      <c r="B79" s="47" t="s">
        <v>479</v>
      </c>
      <c r="C79" s="48" t="str">
        <f t="array" ref="C79">IFERROR(_xlfn.XLOOKUP($B79,'Histórico'!$B:$B,'Histórico'!$I:$I),"")</f>
        <v>162-10700</v>
      </c>
      <c r="D79" s="19" t="str">
        <f t="array" ref="D79">IFERROR(_xlfn.XLOOKUP($B79,'Histórico'!$B:$B,'Histórico'!$J:$J),"")</f>
        <v>71513</v>
      </c>
      <c r="E79" s="19" t="str">
        <f t="array" ref="E79">IFERROR(_xlfn.XLOOKUP($B79,'Histórico'!$B:$B,'Histórico'!$K:$K),"")</f>
        <v>OUTER WHEEL HALF ASSY</v>
      </c>
      <c r="F79" s="19" t="str">
        <f t="array" ref="F79">IFERROR(_xlfn.XLOOKUP($B79,'Histórico'!$B:$B,'Histórico'!$L:$L),"")</f>
        <v>49</v>
      </c>
      <c r="G79" s="49" t="str">
        <f t="array" ref="G79">IFERROR(_xlfn.XLOOKUP($B79,'Histórico'!$B:$B,'Histórico'!$F:$F),"")</f>
        <v>26/05/2025</v>
      </c>
      <c r="H79" s="19" t="str">
        <f t="array" ref="H79">IFERROR(_xlfn.XLOOKUP($B79,'Histórico'!$B:$B,'Histórico'!$AA:$AA),"")</f>
        <v>PAMALS</v>
      </c>
      <c r="I79" s="19" t="str">
        <f t="array" ref="I79">IFERROR(_xlfn.XLOOKUP($B79,Atual!$B:$B,Atual!$E:$E),"OS concluída")</f>
        <v>REC</v>
      </c>
      <c r="J79" s="19">
        <f t="shared" si="1"/>
        <v>507</v>
      </c>
      <c r="K79" s="19"/>
      <c r="L79" s="19" t="str">
        <f t="shared" si="2"/>
        <v/>
      </c>
      <c r="M79" s="19"/>
      <c r="N79" s="49" t="str">
        <f t="array" ref="N79">IFERROR(_xlfn.XLOOKUP($B79,EMPRESA_1!A:A,EMPRESA_1!J:J),"")</f>
        <v/>
      </c>
      <c r="O79" s="50" t="str">
        <f t="array" ref="O79">IFERROR(_xlfn.XLOOKUP(B79,EMPRESA_1!A:A,EMPRESA_1!K:K),"")
</f>
        <v>PROCURANDO</v>
      </c>
      <c r="P79" s="19" t="str">
        <f t="array" ref="P79">IFERROR(_xlfn.XLOOKUP(B79,EMPRESA_1!A:A,EMPRESA_1!L:L),"")</f>
        <v/>
      </c>
      <c r="Q79" s="49" t="str">
        <f t="array" ref="Q79">IFERROR(_xlfn.XLOOKUP(B79,EMPRESA_1!A:A,EMPRESA_1!J:J),"")</f>
        <v/>
      </c>
      <c r="R79" s="19" t="str">
        <f t="array" ref="R79">IFERROR(_xlfn.XLOOKUP(B79,EMPRESA_1!A:A,EMPRESA_1!M:M),"")</f>
        <v/>
      </c>
      <c r="S79" s="51"/>
      <c r="T79" s="51" t="str">
        <f t="array" ref="T79">IFERROR(_xlfn.XLOOKUP($F79,'Acerto virtual'!$E:$E,'Acerto virtual'!F:F),"")</f>
        <v/>
      </c>
      <c r="U79" s="51" t="str">
        <f t="array" ref="U79">IFERROR(_xlfn.XLOOKUP($F79,'Acerto virtual'!$E:$E,'Acerto virtual'!G:G),"")</f>
        <v/>
      </c>
      <c r="V79" s="51" t="str">
        <f t="array" ref="V79">IFERROR(_xlfn.XLOOKUP($F79,'Acerto virtual'!$E:$E,'Acerto virtual'!H:H),"")</f>
        <v/>
      </c>
      <c r="W79" s="51" t="str">
        <f t="array" ref="W79">IFERROR(_xlfn.XLOOKUP($F79,'Acerto virtual'!$E:$E,'Acerto virtual'!I:I),"")</f>
        <v/>
      </c>
      <c r="X79" s="51" t="str">
        <f t="array" ref="X79">IFERROR(_xlfn.XLOOKUP($F79,'Acerto virtual'!$E:$E,'Acerto virtual'!J:J),"")</f>
        <v/>
      </c>
      <c r="Y79" s="51" t="str">
        <f t="array" ref="Y79">IFERROR(_xlfn.XLOOKUP($F79,'Acerto virtual'!$E:$E,'Acerto virtual'!K:K),"")</f>
        <v/>
      </c>
      <c r="Z79" s="51" t="str">
        <f t="array" ref="Z79">IFERROR(_xlfn.XLOOKUP($F79,'Acerto virtual'!$E:$E,'Acerto virtual'!L:L),"")</f>
        <v/>
      </c>
      <c r="AA79" s="51" t="str">
        <f t="array" ref="AA79">IFERROR(_xlfn.XLOOKUP($F79,'Acerto virtual'!$E:$E,'Acerto virtual'!M:M),"")</f>
        <v/>
      </c>
      <c r="AB79" s="51" t="str">
        <f t="array" ref="AB79">IFERROR(_xlfn.XLOOKUP($F79,'Acerto virtual'!$E:$E,'Acerto virtual'!N:N),"")</f>
        <v/>
      </c>
      <c r="AC79" s="51" t="str">
        <f t="array" ref="AC79">IFERROR(_xlfn.XLOOKUP($F79,'Acerto virtual'!$E:$E,'Acerto virtual'!O:O),"")</f>
        <v/>
      </c>
      <c r="AD79" s="51" t="str">
        <f t="array" ref="AD79">IFERROR(_xlfn.XLOOKUP($F79,'Acerto virtual'!$E:$E,'Acerto virtual'!P:P),"")</f>
        <v/>
      </c>
      <c r="AE79" s="51" t="str">
        <f t="array" ref="AE79">IFERROR(_xlfn.XLOOKUP($F79,'Acerto virtual'!$E:$E,'Acerto virtual'!Q:Q),"")</f>
        <v/>
      </c>
      <c r="AF79" s="51" t="str">
        <f t="array" ref="AF79">IFERROR(_xlfn.XLOOKUP($F79,'Acerto virtual'!$E:$E,'Acerto virtual'!R:R),"")</f>
        <v/>
      </c>
      <c r="AG79" s="51" t="str">
        <f t="array" ref="AG79">IFERROR(_xlfn.XLOOKUP($F79,'Acerto virtual'!$E:$E,'Acerto virtual'!S:S),"")</f>
        <v/>
      </c>
      <c r="AH79" s="51" t="str">
        <f t="array" ref="AH79">IFERROR(_xlfn.XLOOKUP($F79,'Acerto virtual'!$E:$E,'Acerto virtual'!T:T),"")</f>
        <v/>
      </c>
      <c r="AI79" s="51" t="str">
        <f t="array" ref="AI79">IFERROR(_xlfn.XLOOKUP($F79,'Acerto virtual'!$E:$E,'Acerto virtual'!U:U),"")</f>
        <v/>
      </c>
    </row>
    <row r="80" hidden="1">
      <c r="A80" s="47" t="s">
        <v>480</v>
      </c>
      <c r="B80" s="47" t="s">
        <v>481</v>
      </c>
      <c r="C80" s="19" t="str">
        <f t="array" ref="C80">IFERROR(_xlfn.XLOOKUP($B80,'Histórico'!$B:$B,'Histórico'!$I:$I),"")</f>
        <v>162-11800</v>
      </c>
      <c r="D80" s="19" t="str">
        <f t="array" ref="D80">IFERROR(_xlfn.XLOOKUP($B80,'Histórico'!$B:$B,'Histórico'!$J:$J),"")</f>
        <v>33269</v>
      </c>
      <c r="E80" s="19" t="str">
        <f t="array" ref="E80">IFERROR(_xlfn.XLOOKUP($B80,'Histórico'!$B:$B,'Histórico'!$K:$K),"")</f>
        <v>WHEEL HALF ASSY-OUTER</v>
      </c>
      <c r="F80" s="19" t="str">
        <f t="array" ref="F80">IFERROR(_xlfn.XLOOKUP($B80,'Histórico'!$B:$B,'Histórico'!$L:$L),"")</f>
        <v>01</v>
      </c>
      <c r="G80" s="49" t="str">
        <f t="array" ref="G80">IFERROR(_xlfn.XLOOKUP($B80,'Histórico'!$B:$B,'Histórico'!$F:$F),"")</f>
        <v>26/05/2025</v>
      </c>
      <c r="H80" s="19" t="str">
        <f t="array" ref="H80">IFERROR(_xlfn.XLOOKUP($B80,'Histórico'!$B:$B,'Histórico'!$AA:$AA),"")</f>
        <v>CLA</v>
      </c>
      <c r="I80" s="19" t="str">
        <f t="array" ref="I80">IFERROR(_xlfn.XLOOKUP($B80,Atual!$B:$B,Atual!$E:$E),"OS concluída")</f>
        <v>OS concluída</v>
      </c>
      <c r="J80" s="19" t="str">
        <f t="shared" si="1"/>
        <v/>
      </c>
      <c r="K80" s="19"/>
      <c r="L80" s="19" t="str">
        <f t="shared" si="2"/>
        <v/>
      </c>
      <c r="M80" s="19"/>
      <c r="N80" s="49" t="str">
        <f t="shared" ref="N80:N81" si="24">IFERROR(_xlfn.XLOOKUP($B80,Empresa!G:G,Empresa!K:K),"")</f>
        <v/>
      </c>
      <c r="O80" s="49"/>
      <c r="P80" s="19" t="str">
        <f t="shared" ref="P80:P81" si="25">IFERROR(_xlfn.XLOOKUP($F80,'Vee one'!F:F,'Vee one'!O:O),"")</f>
        <v/>
      </c>
      <c r="Q80" s="19" t="str">
        <f t="shared" ref="Q80:Q81" si="26">IFERROR(_xlfn.XLOOKUP($F80,'Vee one'!F:F,'Vee one'!K:K),"")</f>
        <v/>
      </c>
      <c r="R80" s="19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</row>
    <row r="81" hidden="1">
      <c r="A81" s="47" t="s">
        <v>482</v>
      </c>
      <c r="B81" s="47" t="s">
        <v>483</v>
      </c>
      <c r="C81" s="19" t="str">
        <f t="array" ref="C81">IFERROR(_xlfn.XLOOKUP($B81,'Histórico'!$B:$B,'Histórico'!$I:$I),"")</f>
        <v>162-11800</v>
      </c>
      <c r="D81" s="19" t="str">
        <f t="array" ref="D81">IFERROR(_xlfn.XLOOKUP($B81,'Histórico'!$B:$B,'Histórico'!$J:$J),"")</f>
        <v>33269</v>
      </c>
      <c r="E81" s="19" t="str">
        <f t="array" ref="E81">IFERROR(_xlfn.XLOOKUP($B81,'Histórico'!$B:$B,'Histórico'!$K:$K),"")</f>
        <v>WHEEL HALF ASSY-OUTER</v>
      </c>
      <c r="F81" s="19" t="str">
        <f t="array" ref="F81">IFERROR(_xlfn.XLOOKUP($B81,'Histórico'!$B:$B,'Histórico'!$L:$L),"")</f>
        <v>289</v>
      </c>
      <c r="G81" s="49" t="str">
        <f t="array" ref="G81">IFERROR(_xlfn.XLOOKUP($B81,'Histórico'!$B:$B,'Histórico'!$F:$F),"")</f>
        <v>26/05/2025</v>
      </c>
      <c r="H81" s="19" t="str">
        <f t="array" ref="H81">IFERROR(_xlfn.XLOOKUP($B81,'Histórico'!$B:$B,'Histórico'!$AA:$AA),"")</f>
        <v>PAMALS</v>
      </c>
      <c r="I81" s="19" t="str">
        <f t="array" ref="I81">IFERROR(_xlfn.XLOOKUP($B81,Atual!$B:$B,Atual!$E:$E),"OS concluída")</f>
        <v>OS concluída</v>
      </c>
      <c r="J81" s="19" t="str">
        <f t="shared" si="1"/>
        <v/>
      </c>
      <c r="K81" s="19"/>
      <c r="L81" s="19" t="str">
        <f t="shared" si="2"/>
        <v/>
      </c>
      <c r="M81" s="19"/>
      <c r="N81" s="49" t="str">
        <f t="shared" si="24"/>
        <v/>
      </c>
      <c r="O81" s="49"/>
      <c r="P81" s="19" t="str">
        <f t="shared" si="25"/>
        <v/>
      </c>
      <c r="Q81" s="19" t="str">
        <f t="shared" si="26"/>
        <v/>
      </c>
      <c r="R81" s="19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</row>
    <row r="82">
      <c r="A82" s="47" t="s">
        <v>484</v>
      </c>
      <c r="B82" s="47" t="s">
        <v>485</v>
      </c>
      <c r="C82" s="48" t="str">
        <f t="array" ref="C82">IFERROR(_xlfn.XLOOKUP($B82,'Histórico'!$B:$B,'Histórico'!$I:$I),"")</f>
        <v>162-11800</v>
      </c>
      <c r="D82" s="19" t="str">
        <f t="array" ref="D82">IFERROR(_xlfn.XLOOKUP($B82,'Histórico'!$B:$B,'Histórico'!$J:$J),"")</f>
        <v>33269</v>
      </c>
      <c r="E82" s="19" t="str">
        <f t="array" ref="E82">IFERROR(_xlfn.XLOOKUP($B82,'Histórico'!$B:$B,'Histórico'!$K:$K),"")</f>
        <v>WHEEL HALF ASSY-OUTER</v>
      </c>
      <c r="F82" s="19" t="str">
        <f t="array" ref="F82">IFERROR(_xlfn.XLOOKUP($B82,'Histórico'!$B:$B,'Histórico'!$L:$L),"")</f>
        <v>32</v>
      </c>
      <c r="G82" s="49" t="str">
        <f t="array" ref="G82">IFERROR(_xlfn.XLOOKUP($B82,'Histórico'!$B:$B,'Histórico'!$F:$F),"")</f>
        <v>26/05/2025</v>
      </c>
      <c r="H82" s="19" t="str">
        <f t="array" ref="H82">IFERROR(_xlfn.XLOOKUP($B82,'Histórico'!$B:$B,'Histórico'!$AA:$AA),"")</f>
        <v>BASM</v>
      </c>
      <c r="I82" s="19" t="str">
        <f t="array" ref="I82">IFERROR(_xlfn.XLOOKUP($B82,Atual!$B:$B,Atual!$E:$E),"OS concluída")</f>
        <v>REC</v>
      </c>
      <c r="J82" s="19">
        <f t="shared" si="1"/>
        <v>507</v>
      </c>
      <c r="K82" s="19"/>
      <c r="L82" s="19" t="str">
        <f t="shared" si="2"/>
        <v/>
      </c>
      <c r="M82" s="19"/>
      <c r="N82" s="49" t="str">
        <f t="array" ref="N82">IFERROR(_xlfn.XLOOKUP($B82,EMPRESA_1!A:A,EMPRESA_1!J:J),"")</f>
        <v/>
      </c>
      <c r="O82" s="50" t="str">
        <f t="array" ref="O82">IFERROR(_xlfn.XLOOKUP(B82,EMPRESA_1!A:A,EMPRESA_1!K:K),"")
</f>
        <v>PROCURANDO</v>
      </c>
      <c r="P82" s="19" t="str">
        <f t="array" ref="P82">IFERROR(_xlfn.XLOOKUP(B82,EMPRESA_1!A:A,EMPRESA_1!L:L),"")</f>
        <v/>
      </c>
      <c r="Q82" s="49" t="str">
        <f t="array" ref="Q82">IFERROR(_xlfn.XLOOKUP(B82,EMPRESA_1!A:A,EMPRESA_1!J:J),"")</f>
        <v/>
      </c>
      <c r="R82" s="19" t="str">
        <f t="array" ref="R82">IFERROR(_xlfn.XLOOKUP(B82,EMPRESA_1!A:A,EMPRESA_1!M:M),"")</f>
        <v/>
      </c>
      <c r="S82" s="51"/>
      <c r="T82" s="51" t="str">
        <f t="array" ref="T82">IFERROR(_xlfn.XLOOKUP($F82,'Acerto virtual'!$E:$E,'Acerto virtual'!F:F),"")</f>
        <v/>
      </c>
      <c r="U82" s="51" t="str">
        <f t="array" ref="U82">IFERROR(_xlfn.XLOOKUP($F82,'Acerto virtual'!$E:$E,'Acerto virtual'!G:G),"")</f>
        <v/>
      </c>
      <c r="V82" s="51" t="str">
        <f t="array" ref="V82">IFERROR(_xlfn.XLOOKUP($F82,'Acerto virtual'!$E:$E,'Acerto virtual'!H:H),"")</f>
        <v/>
      </c>
      <c r="W82" s="51" t="str">
        <f t="array" ref="W82">IFERROR(_xlfn.XLOOKUP($F82,'Acerto virtual'!$E:$E,'Acerto virtual'!I:I),"")</f>
        <v/>
      </c>
      <c r="X82" s="51" t="str">
        <f t="array" ref="X82">IFERROR(_xlfn.XLOOKUP($F82,'Acerto virtual'!$E:$E,'Acerto virtual'!J:J),"")</f>
        <v/>
      </c>
      <c r="Y82" s="51" t="str">
        <f t="array" ref="Y82">IFERROR(_xlfn.XLOOKUP($F82,'Acerto virtual'!$E:$E,'Acerto virtual'!K:K),"")</f>
        <v/>
      </c>
      <c r="Z82" s="51" t="str">
        <f t="array" ref="Z82">IFERROR(_xlfn.XLOOKUP($F82,'Acerto virtual'!$E:$E,'Acerto virtual'!L:L),"")</f>
        <v/>
      </c>
      <c r="AA82" s="51" t="str">
        <f t="array" ref="AA82">IFERROR(_xlfn.XLOOKUP($F82,'Acerto virtual'!$E:$E,'Acerto virtual'!M:M),"")</f>
        <v/>
      </c>
      <c r="AB82" s="51" t="str">
        <f t="array" ref="AB82">IFERROR(_xlfn.XLOOKUP($F82,'Acerto virtual'!$E:$E,'Acerto virtual'!N:N),"")</f>
        <v/>
      </c>
      <c r="AC82" s="51" t="str">
        <f t="array" ref="AC82">IFERROR(_xlfn.XLOOKUP($F82,'Acerto virtual'!$E:$E,'Acerto virtual'!O:O),"")</f>
        <v/>
      </c>
      <c r="AD82" s="51" t="str">
        <f t="array" ref="AD82">IFERROR(_xlfn.XLOOKUP($F82,'Acerto virtual'!$E:$E,'Acerto virtual'!P:P),"")</f>
        <v/>
      </c>
      <c r="AE82" s="51" t="str">
        <f t="array" ref="AE82">IFERROR(_xlfn.XLOOKUP($F82,'Acerto virtual'!$E:$E,'Acerto virtual'!Q:Q),"")</f>
        <v/>
      </c>
      <c r="AF82" s="51" t="str">
        <f t="array" ref="AF82">IFERROR(_xlfn.XLOOKUP($F82,'Acerto virtual'!$E:$E,'Acerto virtual'!R:R),"")</f>
        <v/>
      </c>
      <c r="AG82" s="51" t="str">
        <f t="array" ref="AG82">IFERROR(_xlfn.XLOOKUP($F82,'Acerto virtual'!$E:$E,'Acerto virtual'!S:S),"")</f>
        <v/>
      </c>
      <c r="AH82" s="51" t="str">
        <f t="array" ref="AH82">IFERROR(_xlfn.XLOOKUP($F82,'Acerto virtual'!$E:$E,'Acerto virtual'!T:T),"")</f>
        <v/>
      </c>
      <c r="AI82" s="51" t="str">
        <f t="array" ref="AI82">IFERROR(_xlfn.XLOOKUP($F82,'Acerto virtual'!$E:$E,'Acerto virtual'!U:U),"")</f>
        <v/>
      </c>
    </row>
    <row r="83" hidden="1">
      <c r="A83" s="47" t="s">
        <v>486</v>
      </c>
      <c r="B83" s="47" t="s">
        <v>487</v>
      </c>
      <c r="C83" s="48" t="str">
        <f t="array" ref="C83">IFERROR(_xlfn.XLOOKUP($B83,'Histórico'!$B:$B,'Histórico'!$I:$I),"")</f>
        <v>162-11800</v>
      </c>
      <c r="D83" s="19" t="str">
        <f t="array" ref="D83">IFERROR(_xlfn.XLOOKUP($B83,'Histórico'!$B:$B,'Histórico'!$J:$J),"")</f>
        <v>33269</v>
      </c>
      <c r="E83" s="19" t="str">
        <f t="array" ref="E83">IFERROR(_xlfn.XLOOKUP($B83,'Histórico'!$B:$B,'Histórico'!$K:$K),"")</f>
        <v>WHEEL HALF ASSY-OUTER</v>
      </c>
      <c r="F83" s="19" t="str">
        <f t="array" ref="F83">IFERROR(_xlfn.XLOOKUP($B83,'Histórico'!$B:$B,'Histórico'!$L:$L),"")</f>
        <v>969</v>
      </c>
      <c r="G83" s="49" t="str">
        <f t="array" ref="G83">IFERROR(_xlfn.XLOOKUP($B83,'Histórico'!$B:$B,'Histórico'!$F:$F),"")</f>
        <v>26/05/2025</v>
      </c>
      <c r="H83" s="19" t="str">
        <f t="array" ref="H83">IFERROR(_xlfn.XLOOKUP($B83,'Histórico'!$B:$B,'Histórico'!$AA:$AA),"")</f>
        <v>PAMALS</v>
      </c>
      <c r="I83" s="19" t="str">
        <f t="array" ref="I83">IFERROR(_xlfn.XLOOKUP($B83,Atual!$B:$B,Atual!$E:$E),"OS concluída")</f>
        <v>OS concluída</v>
      </c>
      <c r="J83" s="19" t="str">
        <f t="shared" si="1"/>
        <v/>
      </c>
      <c r="K83" s="19"/>
      <c r="L83" s="19">
        <f t="shared" si="2"/>
        <v>429</v>
      </c>
      <c r="M83" s="19"/>
      <c r="N83" s="49">
        <f t="array" ref="N83">IFERROR(_xlfn.XLOOKUP($B83,EMPRESA_1!A:A,EMPRESA_1!J:J),"")</f>
        <v>46232</v>
      </c>
      <c r="O83" s="50" t="str">
        <f t="array" ref="O83">IFERROR(_xlfn.XLOOKUP(B83,EMPRESA_1!A:A,EMPRESA_1!K:K),"")
</f>
        <v>PAMA-LS</v>
      </c>
      <c r="P83" s="48" t="str">
        <f t="array" ref="P83">IFERROR(_xlfn.XLOOKUP(B83,EMPRESA_1!A:A,EMPRESA_1!L:L),"")</f>
        <v>598/FAB/26</v>
      </c>
      <c r="Q83" s="49">
        <f t="array" ref="Q83">IFERROR(_xlfn.XLOOKUP(B83,EMPRESA_1!A:A,EMPRESA_1!J:J),"")</f>
        <v>46232</v>
      </c>
      <c r="R83" s="19" t="str">
        <f t="array" ref="R83">IFERROR(_xlfn.XLOOKUP(B83,EMPRESA_1!A:A,EMPRESA_1!M:M),"")</f>
        <v/>
      </c>
      <c r="S83" s="51"/>
      <c r="T83" s="51" t="str">
        <f t="array" ref="T83">IFERROR(_xlfn.XLOOKUP($F83,'Acerto virtual'!$E:$E,'Acerto virtual'!F:F),"")</f>
        <v/>
      </c>
      <c r="U83" s="51" t="str">
        <f t="array" ref="U83">IFERROR(_xlfn.XLOOKUP($F83,'Acerto virtual'!$E:$E,'Acerto virtual'!G:G),"")</f>
        <v/>
      </c>
      <c r="V83" s="51" t="str">
        <f t="array" ref="V83">IFERROR(_xlfn.XLOOKUP($F83,'Acerto virtual'!$E:$E,'Acerto virtual'!H:H),"")</f>
        <v/>
      </c>
      <c r="W83" s="51" t="str">
        <f t="array" ref="W83">IFERROR(_xlfn.XLOOKUP($F83,'Acerto virtual'!$E:$E,'Acerto virtual'!I:I),"")</f>
        <v/>
      </c>
      <c r="X83" s="51" t="str">
        <f t="array" ref="X83">IFERROR(_xlfn.XLOOKUP($F83,'Acerto virtual'!$E:$E,'Acerto virtual'!J:J),"")</f>
        <v/>
      </c>
      <c r="Y83" s="51" t="str">
        <f t="array" ref="Y83">IFERROR(_xlfn.XLOOKUP($F83,'Acerto virtual'!$E:$E,'Acerto virtual'!K:K),"")</f>
        <v/>
      </c>
      <c r="Z83" s="51" t="str">
        <f t="array" ref="Z83">IFERROR(_xlfn.XLOOKUP($F83,'Acerto virtual'!$E:$E,'Acerto virtual'!L:L),"")</f>
        <v/>
      </c>
      <c r="AA83" s="51" t="str">
        <f t="array" ref="AA83">IFERROR(_xlfn.XLOOKUP($F83,'Acerto virtual'!$E:$E,'Acerto virtual'!M:M),"")</f>
        <v/>
      </c>
      <c r="AB83" s="51" t="str">
        <f t="array" ref="AB83">IFERROR(_xlfn.XLOOKUP($F83,'Acerto virtual'!$E:$E,'Acerto virtual'!N:N),"")</f>
        <v/>
      </c>
      <c r="AC83" s="51" t="str">
        <f t="array" ref="AC83">IFERROR(_xlfn.XLOOKUP($F83,'Acerto virtual'!$E:$E,'Acerto virtual'!O:O),"")</f>
        <v/>
      </c>
      <c r="AD83" s="51" t="str">
        <f t="array" ref="AD83">IFERROR(_xlfn.XLOOKUP($F83,'Acerto virtual'!$E:$E,'Acerto virtual'!P:P),"")</f>
        <v/>
      </c>
      <c r="AE83" s="51" t="str">
        <f t="array" ref="AE83">IFERROR(_xlfn.XLOOKUP($F83,'Acerto virtual'!$E:$E,'Acerto virtual'!Q:Q),"")</f>
        <v/>
      </c>
      <c r="AF83" s="51" t="str">
        <f t="array" ref="AF83">IFERROR(_xlfn.XLOOKUP($F83,'Acerto virtual'!$E:$E,'Acerto virtual'!R:R),"")</f>
        <v/>
      </c>
      <c r="AG83" s="51" t="str">
        <f t="array" ref="AG83">IFERROR(_xlfn.XLOOKUP($F83,'Acerto virtual'!$E:$E,'Acerto virtual'!S:S),"")</f>
        <v/>
      </c>
      <c r="AH83" s="51" t="str">
        <f t="array" ref="AH83">IFERROR(_xlfn.XLOOKUP($F83,'Acerto virtual'!$E:$E,'Acerto virtual'!T:T),"")</f>
        <v/>
      </c>
      <c r="AI83" s="51" t="str">
        <f t="array" ref="AI83">IFERROR(_xlfn.XLOOKUP($F83,'Acerto virtual'!$E:$E,'Acerto virtual'!U:U),"")</f>
        <v/>
      </c>
    </row>
    <row r="84" hidden="1">
      <c r="A84" s="47" t="s">
        <v>488</v>
      </c>
      <c r="B84" s="47" t="s">
        <v>489</v>
      </c>
      <c r="C84" s="19" t="str">
        <f t="array" ref="C84">IFERROR(_xlfn.XLOOKUP($B84,'Histórico'!$B:$B,'Histórico'!$I:$I),"")</f>
        <v>2641012-14</v>
      </c>
      <c r="D84" s="19" t="str">
        <f t="array" ref="D84">IFERROR(_xlfn.XLOOKUP($B84,'Histórico'!$B:$B,'Histórico'!$J:$J),"")</f>
        <v>7EK50</v>
      </c>
      <c r="E84" s="19" t="str">
        <f t="array" ref="E84">IFERROR(_xlfn.XLOOKUP($B84,'Histórico'!$B:$B,'Histórico'!$K:$K),"")</f>
        <v>TRUNNION ASSY-RH-MAIN GEAR</v>
      </c>
      <c r="F84" s="19" t="str">
        <f t="array" ref="F84">IFERROR(_xlfn.XLOOKUP($B84,'Histórico'!$B:$B,'Histórico'!$L:$L),"")</f>
        <v>1311</v>
      </c>
      <c r="G84" s="49" t="str">
        <f t="array" ref="G84">IFERROR(_xlfn.XLOOKUP($B84,'Histórico'!$B:$B,'Histórico'!$F:$F),"")</f>
        <v>05/06/2025</v>
      </c>
      <c r="H84" s="19" t="str">
        <f t="array" ref="H84">IFERROR(_xlfn.XLOOKUP($B84,'Histórico'!$B:$B,'Histórico'!$AA:$AA),"")</f>
        <v>PAMALS</v>
      </c>
      <c r="I84" s="19" t="str">
        <f t="array" ref="I84">IFERROR(_xlfn.XLOOKUP($B84,Atual!$B:$B,Atual!$E:$E),"OS concluída")</f>
        <v>OS concluída</v>
      </c>
      <c r="J84" s="19" t="str">
        <f t="shared" si="1"/>
        <v/>
      </c>
      <c r="K84" s="19"/>
      <c r="L84" s="19" t="str">
        <f t="shared" si="2"/>
        <v/>
      </c>
      <c r="M84" s="19"/>
      <c r="N84" s="49" t="str">
        <f t="array" ref="N84">IFERROR(_xlfn.XLOOKUP($B84,Empresa!G:G,Empresa!K:K),"")</f>
        <v/>
      </c>
      <c r="O84" s="49"/>
      <c r="P84" s="19" t="str">
        <f t="array" ref="P84">IFERROR(_xlfn.XLOOKUP($F84,'Vee one'!F:F,'Vee one'!O:O),"")</f>
        <v/>
      </c>
      <c r="Q84" s="19" t="str">
        <f t="array" ref="Q84">IFERROR(_xlfn.XLOOKUP($F84,'Vee one'!F:F,'Vee one'!K:K),"")</f>
        <v/>
      </c>
      <c r="R84" s="19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</row>
    <row r="85">
      <c r="A85" s="47" t="s">
        <v>490</v>
      </c>
      <c r="B85" s="47" t="s">
        <v>491</v>
      </c>
      <c r="C85" s="48" t="str">
        <f t="array" ref="C85">IFERROR(_xlfn.XLOOKUP($B85,'Histórico'!$B:$B,'Histórico'!$I:$I),"")</f>
        <v>066-03064-0005</v>
      </c>
      <c r="D85" s="19" t="str">
        <f t="array" ref="D85">IFERROR(_xlfn.XLOOKUP($B85,'Histórico'!$B:$B,'Histórico'!$J:$J),"")</f>
        <v>22373</v>
      </c>
      <c r="E85" s="19" t="str">
        <f t="array" ref="E85">IFERROR(_xlfn.XLOOKUP($B85,'Histórico'!$B:$B,'Histórico'!$K:$K),"")</f>
        <v>ALTIMETER,SERVO CONTROLLED,AUTOMATIC PRESSURE</v>
      </c>
      <c r="F85" s="19" t="str">
        <f t="array" ref="F85">IFERROR(_xlfn.XLOOKUP($B85,'Histórico'!$B:$B,'Histórico'!$L:$L),"")</f>
        <v>3945</v>
      </c>
      <c r="G85" s="49" t="str">
        <f t="array" ref="G85">IFERROR(_xlfn.XLOOKUP($B85,'Histórico'!$B:$B,'Histórico'!$F:$F),"")</f>
        <v>05/06/2025</v>
      </c>
      <c r="H85" s="19" t="str">
        <f t="array" ref="H85">IFERROR(_xlfn.XLOOKUP($B85,'Histórico'!$B:$B,'Histórico'!$AA:$AA),"")</f>
        <v>DSM-MN</v>
      </c>
      <c r="I85" s="19" t="str">
        <f t="array" ref="I85">IFERROR(_xlfn.XLOOKUP($B85,Atual!$B:$B,Atual!$E:$E),"OS concluída")</f>
        <v>REC</v>
      </c>
      <c r="J85" s="19">
        <f t="shared" si="1"/>
        <v>497</v>
      </c>
      <c r="K85" s="19"/>
      <c r="L85" s="19" t="str">
        <f t="shared" si="2"/>
        <v>NÃO APLICÁVEL</v>
      </c>
      <c r="M85" s="19"/>
      <c r="N85" s="49" t="str">
        <f t="array" ref="N85">IFERROR(_xlfn.XLOOKUP($B85,EMPRESA_1!A:A,EMPRESA_1!J:J),"")</f>
        <v>DEVOLViDO NO ESTADO</v>
      </c>
      <c r="O85" s="50" t="str">
        <f t="array" ref="O85">IFERROR(_xlfn.XLOOKUP(B85,EMPRESA_1!A:A,EMPRESA_1!K:K),"")
</f>
        <v>WILLIAM</v>
      </c>
      <c r="P85" s="48" t="str">
        <f t="array" ref="P85">IFERROR(_xlfn.XLOOKUP(B85,EMPRESA_1!A:A,EMPRESA_1!L:L),"")</f>
        <v/>
      </c>
      <c r="Q85" s="49" t="str">
        <f t="array" ref="Q85">IFERROR(_xlfn.XLOOKUP(B85,EMPRESA_1!A:A,EMPRESA_1!J:J),"")</f>
        <v>DEVOLViDO NO ESTADO</v>
      </c>
      <c r="R85" s="19" t="str">
        <f t="array" ref="R85">IFERROR(_xlfn.XLOOKUP(B85,EMPRESA_1!A:A,EMPRESA_1!M:M),"")</f>
        <v/>
      </c>
      <c r="S85" s="51"/>
      <c r="T85" s="51" t="str">
        <f t="array" ref="T85">IFERROR(_xlfn.XLOOKUP($F85,'Acerto virtual'!$E:$E,'Acerto virtual'!F:F),"")</f>
        <v/>
      </c>
      <c r="U85" s="51" t="str">
        <f t="array" ref="U85">IFERROR(_xlfn.XLOOKUP($F85,'Acerto virtual'!$E:$E,'Acerto virtual'!G:G),"")</f>
        <v/>
      </c>
      <c r="V85" s="51" t="str">
        <f t="array" ref="V85">IFERROR(_xlfn.XLOOKUP($F85,'Acerto virtual'!$E:$E,'Acerto virtual'!H:H),"")</f>
        <v/>
      </c>
      <c r="W85" s="51" t="str">
        <f t="array" ref="W85">IFERROR(_xlfn.XLOOKUP($F85,'Acerto virtual'!$E:$E,'Acerto virtual'!I:I),"")</f>
        <v/>
      </c>
      <c r="X85" s="51" t="str">
        <f t="array" ref="X85">IFERROR(_xlfn.XLOOKUP($F85,'Acerto virtual'!$E:$E,'Acerto virtual'!J:J),"")</f>
        <v/>
      </c>
      <c r="Y85" s="51" t="str">
        <f t="array" ref="Y85">IFERROR(_xlfn.XLOOKUP($F85,'Acerto virtual'!$E:$E,'Acerto virtual'!K:K),"")</f>
        <v/>
      </c>
      <c r="Z85" s="51" t="str">
        <f t="array" ref="Z85">IFERROR(_xlfn.XLOOKUP($F85,'Acerto virtual'!$E:$E,'Acerto virtual'!L:L),"")</f>
        <v/>
      </c>
      <c r="AA85" s="51" t="str">
        <f t="array" ref="AA85">IFERROR(_xlfn.XLOOKUP($F85,'Acerto virtual'!$E:$E,'Acerto virtual'!M:M),"")</f>
        <v/>
      </c>
      <c r="AB85" s="51" t="str">
        <f t="array" ref="AB85">IFERROR(_xlfn.XLOOKUP($F85,'Acerto virtual'!$E:$E,'Acerto virtual'!N:N),"")</f>
        <v/>
      </c>
      <c r="AC85" s="51" t="str">
        <f t="array" ref="AC85">IFERROR(_xlfn.XLOOKUP($F85,'Acerto virtual'!$E:$E,'Acerto virtual'!O:O),"")</f>
        <v/>
      </c>
      <c r="AD85" s="51" t="str">
        <f t="array" ref="AD85">IFERROR(_xlfn.XLOOKUP($F85,'Acerto virtual'!$E:$E,'Acerto virtual'!P:P),"")</f>
        <v/>
      </c>
      <c r="AE85" s="51" t="str">
        <f t="array" ref="AE85">IFERROR(_xlfn.XLOOKUP($F85,'Acerto virtual'!$E:$E,'Acerto virtual'!Q:Q),"")</f>
        <v/>
      </c>
      <c r="AF85" s="51" t="str">
        <f t="array" ref="AF85">IFERROR(_xlfn.XLOOKUP($F85,'Acerto virtual'!$E:$E,'Acerto virtual'!R:R),"")</f>
        <v/>
      </c>
      <c r="AG85" s="51" t="str">
        <f t="array" ref="AG85">IFERROR(_xlfn.XLOOKUP($F85,'Acerto virtual'!$E:$E,'Acerto virtual'!S:S),"")</f>
        <v/>
      </c>
      <c r="AH85" s="51" t="str">
        <f t="array" ref="AH85">IFERROR(_xlfn.XLOOKUP($F85,'Acerto virtual'!$E:$E,'Acerto virtual'!T:T),"")</f>
        <v/>
      </c>
      <c r="AI85" s="51" t="str">
        <f t="array" ref="AI85">IFERROR(_xlfn.XLOOKUP($F85,'Acerto virtual'!$E:$E,'Acerto virtual'!U:U),"")</f>
        <v/>
      </c>
    </row>
    <row r="86" hidden="1">
      <c r="A86" s="47" t="s">
        <v>492</v>
      </c>
      <c r="B86" s="47" t="s">
        <v>493</v>
      </c>
      <c r="C86" s="19" t="str">
        <f t="array" ref="C86">IFERROR(_xlfn.XLOOKUP($B86,'Histórico'!$B:$B,'Histórico'!$I:$I),"")</f>
        <v>066-03064-0005</v>
      </c>
      <c r="D86" s="19" t="str">
        <f t="array" ref="D86">IFERROR(_xlfn.XLOOKUP($B86,'Histórico'!$B:$B,'Histórico'!$J:$J),"")</f>
        <v>22373</v>
      </c>
      <c r="E86" s="19" t="str">
        <f t="array" ref="E86">IFERROR(_xlfn.XLOOKUP($B86,'Histórico'!$B:$B,'Histórico'!$K:$K),"")</f>
        <v>ALTIMETER,SERVO CONTROLLED,AUTOMATIC PRESSURE</v>
      </c>
      <c r="F86" s="19" t="str">
        <f t="array" ref="F86">IFERROR(_xlfn.XLOOKUP($B86,'Histórico'!$B:$B,'Histórico'!$L:$L),"")</f>
        <v>35378</v>
      </c>
      <c r="G86" s="49" t="str">
        <f t="array" ref="G86">IFERROR(_xlfn.XLOOKUP($B86,'Histórico'!$B:$B,'Histórico'!$F:$F),"")</f>
        <v>05/06/2025</v>
      </c>
      <c r="H86" s="19" t="str">
        <f t="array" ref="H86">IFERROR(_xlfn.XLOOKUP($B86,'Histórico'!$B:$B,'Histórico'!$AA:$AA),"")</f>
        <v>BANT</v>
      </c>
      <c r="I86" s="19" t="str">
        <f t="array" ref="I86">IFERROR(_xlfn.XLOOKUP($B86,Atual!$B:$B,Atual!$E:$E),"OS concluída")</f>
        <v>OS concluída</v>
      </c>
      <c r="J86" s="19" t="str">
        <f t="shared" si="1"/>
        <v/>
      </c>
      <c r="K86" s="19"/>
      <c r="L86" s="19" t="str">
        <f t="shared" si="2"/>
        <v/>
      </c>
      <c r="M86" s="19"/>
      <c r="N86" s="49" t="str">
        <f t="array" ref="N86">IFERROR(_xlfn.XLOOKUP($B86,Empresa!G:G,Empresa!K:K),"")</f>
        <v/>
      </c>
      <c r="O86" s="49"/>
      <c r="P86" s="19" t="str">
        <f t="array" ref="P86">IFERROR(_xlfn.XLOOKUP($F86,'Vee one'!F:F,'Vee one'!O:O),"")</f>
        <v/>
      </c>
      <c r="Q86" s="19" t="str">
        <f t="array" ref="Q86">IFERROR(_xlfn.XLOOKUP($F86,'Vee one'!F:F,'Vee one'!K:K),"")</f>
        <v/>
      </c>
      <c r="R86" s="19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</row>
    <row r="87">
      <c r="A87" s="47" t="s">
        <v>494</v>
      </c>
      <c r="B87" s="47" t="s">
        <v>495</v>
      </c>
      <c r="C87" s="48" t="str">
        <f t="array" ref="C87">IFERROR(_xlfn.XLOOKUP($B87,'Histórico'!$B:$B,'Histórico'!$I:$I),"")</f>
        <v>799-1</v>
      </c>
      <c r="D87" s="19" t="str">
        <f t="array" ref="D87">IFERROR(_xlfn.XLOOKUP($B87,'Histórico'!$B:$B,'Histórico'!$J:$J),"")</f>
        <v>83326</v>
      </c>
      <c r="E87" s="19" t="str">
        <f t="array" ref="E87">IFERROR(_xlfn.XLOOKUP($B87,'Histórico'!$B:$B,'Histórico'!$K:$K),"")</f>
        <v>TRANSDUCER</v>
      </c>
      <c r="F87" s="52" t="str">
        <f t="array" ref="F87">IFERROR(_xlfn.XLOOKUP($B87,'Histórico'!$B:$B,'Histórico'!$L:$L),"")</f>
        <v>2469</v>
      </c>
      <c r="G87" s="49" t="str">
        <f t="array" ref="G87">IFERROR(_xlfn.XLOOKUP($B87,'Histórico'!$B:$B,'Histórico'!$F:$F),"")</f>
        <v>05/06/2025</v>
      </c>
      <c r="H87" s="19" t="str">
        <f t="array" ref="H87">IFERROR(_xlfn.XLOOKUP($B87,'Histórico'!$B:$B,'Histórico'!$AA:$AA),"")</f>
        <v>PAMALS</v>
      </c>
      <c r="I87" s="19" t="str">
        <f t="array" ref="I87">IFERROR(_xlfn.XLOOKUP($B87,Atual!$B:$B,Atual!$E:$E),"OS concluída")</f>
        <v>REC</v>
      </c>
      <c r="J87" s="19">
        <f t="shared" si="1"/>
        <v>497</v>
      </c>
      <c r="K87" s="19"/>
      <c r="L87" s="19">
        <f t="shared" si="2"/>
        <v>40</v>
      </c>
      <c r="M87" s="19"/>
      <c r="N87" s="49">
        <f t="array" ref="N87">IFERROR(_xlfn.XLOOKUP($B87,EMPRESA_1!A:A,EMPRESA_1!J:J),"")</f>
        <v>45853</v>
      </c>
      <c r="O87" s="50" t="str">
        <f t="array" ref="O87">IFERROR(_xlfn.XLOOKUP(B87,EMPRESA_1!A:A,EMPRESA_1!K:K),"")
</f>
        <v>BANT</v>
      </c>
      <c r="P87" s="19" t="str">
        <f t="array" ref="P87">IFERROR(_xlfn.XLOOKUP(B87,EMPRESA_1!A:A,EMPRESA_1!L:L),"")</f>
        <v>108/C98/2025</v>
      </c>
      <c r="Q87" s="49">
        <f t="array" ref="Q87">IFERROR(_xlfn.XLOOKUP(B87,EMPRESA_1!A:A,EMPRESA_1!J:J),"")</f>
        <v>45853</v>
      </c>
      <c r="R87" s="19">
        <f t="array" ref="R87">IFERROR(_xlfn.XLOOKUP(B87,EMPRESA_1!A:A,EMPRESA_1!M:M),"")</f>
        <v>1831</v>
      </c>
      <c r="S87" s="51"/>
      <c r="T87" s="51" t="str">
        <f t="array" ref="T87">IFERROR(_xlfn.XLOOKUP($F87,'Acerto virtual'!$E:$E,'Acerto virtual'!F:F),"")</f>
        <v/>
      </c>
      <c r="U87" s="51" t="str">
        <f t="array" ref="U87">IFERROR(_xlfn.XLOOKUP($F87,'Acerto virtual'!$E:$E,'Acerto virtual'!G:G),"")</f>
        <v/>
      </c>
      <c r="V87" s="51" t="str">
        <f t="array" ref="V87">IFERROR(_xlfn.XLOOKUP($F87,'Acerto virtual'!$E:$E,'Acerto virtual'!H:H),"")</f>
        <v/>
      </c>
      <c r="W87" s="51" t="str">
        <f t="array" ref="W87">IFERROR(_xlfn.XLOOKUP($F87,'Acerto virtual'!$E:$E,'Acerto virtual'!I:I),"")</f>
        <v/>
      </c>
      <c r="X87" s="51" t="str">
        <f t="array" ref="X87">IFERROR(_xlfn.XLOOKUP($F87,'Acerto virtual'!$E:$E,'Acerto virtual'!J:J),"")</f>
        <v/>
      </c>
      <c r="Y87" s="51" t="str">
        <f t="array" ref="Y87">IFERROR(_xlfn.XLOOKUP($F87,'Acerto virtual'!$E:$E,'Acerto virtual'!K:K),"")</f>
        <v/>
      </c>
      <c r="Z87" s="51" t="str">
        <f t="array" ref="Z87">IFERROR(_xlfn.XLOOKUP($F87,'Acerto virtual'!$E:$E,'Acerto virtual'!L:L),"")</f>
        <v/>
      </c>
      <c r="AA87" s="51" t="str">
        <f t="array" ref="AA87">IFERROR(_xlfn.XLOOKUP($F87,'Acerto virtual'!$E:$E,'Acerto virtual'!M:M),"")</f>
        <v/>
      </c>
      <c r="AB87" s="51" t="str">
        <f t="array" ref="AB87">IFERROR(_xlfn.XLOOKUP($F87,'Acerto virtual'!$E:$E,'Acerto virtual'!N:N),"")</f>
        <v/>
      </c>
      <c r="AC87" s="51" t="str">
        <f t="array" ref="AC87">IFERROR(_xlfn.XLOOKUP($F87,'Acerto virtual'!$E:$E,'Acerto virtual'!O:O),"")</f>
        <v/>
      </c>
      <c r="AD87" s="51" t="str">
        <f t="array" ref="AD87">IFERROR(_xlfn.XLOOKUP($F87,'Acerto virtual'!$E:$E,'Acerto virtual'!P:P),"")</f>
        <v/>
      </c>
      <c r="AE87" s="51" t="str">
        <f t="array" ref="AE87">IFERROR(_xlfn.XLOOKUP($F87,'Acerto virtual'!$E:$E,'Acerto virtual'!Q:Q),"")</f>
        <v/>
      </c>
      <c r="AF87" s="51" t="str">
        <f t="array" ref="AF87">IFERROR(_xlfn.XLOOKUP($F87,'Acerto virtual'!$E:$E,'Acerto virtual'!R:R),"")</f>
        <v/>
      </c>
      <c r="AG87" s="51" t="str">
        <f t="array" ref="AG87">IFERROR(_xlfn.XLOOKUP($F87,'Acerto virtual'!$E:$E,'Acerto virtual'!S:S),"")</f>
        <v/>
      </c>
      <c r="AH87" s="51" t="str">
        <f t="array" ref="AH87">IFERROR(_xlfn.XLOOKUP($F87,'Acerto virtual'!$E:$E,'Acerto virtual'!T:T),"")</f>
        <v/>
      </c>
      <c r="AI87" s="51" t="str">
        <f t="array" ref="AI87">IFERROR(_xlfn.XLOOKUP($F87,'Acerto virtual'!$E:$E,'Acerto virtual'!U:U),"")</f>
        <v/>
      </c>
    </row>
    <row r="88">
      <c r="A88" s="47" t="s">
        <v>496</v>
      </c>
      <c r="B88" s="47" t="s">
        <v>497</v>
      </c>
      <c r="C88" s="48" t="str">
        <f t="array" ref="C88">IFERROR(_xlfn.XLOOKUP($B88,'Histórico'!$B:$B,'Histórico'!$I:$I),"")</f>
        <v>2643099-4</v>
      </c>
      <c r="D88" s="19" t="str">
        <f t="array" ref="D88">IFERROR(_xlfn.XLOOKUP($B88,'Histórico'!$B:$B,'Histórico'!$J:$J),"")</f>
        <v>7EK50</v>
      </c>
      <c r="E88" s="19" t="str">
        <f t="array" ref="E88">IFERROR(_xlfn.XLOOKUP($B88,'Histórico'!$B:$B,'Histórico'!$K:$K),"")</f>
        <v>SUPPORT ASSY FOWARD, NLG SPRING</v>
      </c>
      <c r="F88" s="19" t="str">
        <f t="array" ref="F88">IFERROR(_xlfn.XLOOKUP($B88,'Histórico'!$B:$B,'Histórico'!$L:$L),"")</f>
        <v>292</v>
      </c>
      <c r="G88" s="49" t="str">
        <f t="array" ref="G88">IFERROR(_xlfn.XLOOKUP($B88,'Histórico'!$B:$B,'Histórico'!$F:$F),"")</f>
        <v>05/06/2025</v>
      </c>
      <c r="H88" s="19" t="str">
        <f t="array" ref="H88">IFERROR(_xlfn.XLOOKUP($B88,'Histórico'!$B:$B,'Histórico'!$AA:$AA),"")</f>
        <v>BABE</v>
      </c>
      <c r="I88" s="19" t="str">
        <f t="array" ref="I88">IFERROR(_xlfn.XLOOKUP($B88,Atual!$B:$B,Atual!$E:$E),"OS concluída")</f>
        <v>REC</v>
      </c>
      <c r="J88" s="19">
        <f t="shared" si="1"/>
        <v>497</v>
      </c>
      <c r="K88" s="19"/>
      <c r="L88" s="19" t="str">
        <f t="shared" si="2"/>
        <v>NÃO APLICÁVEL</v>
      </c>
      <c r="M88" s="19"/>
      <c r="N88" s="49" t="str">
        <f t="array" ref="N88">IFERROR(_xlfn.XLOOKUP($B88,EMPRESA_1!A:A,EMPRESA_1!J:J),"")</f>
        <v>CONDENADO</v>
      </c>
      <c r="O88" s="50" t="str">
        <f t="array" ref="O88">IFERROR(_xlfn.XLOOKUP(B88,EMPRESA_1!A:A,EMPRESA_1!K:K),"")
</f>
        <v>VEE ONE</v>
      </c>
      <c r="P88" s="48" t="str">
        <f t="array" ref="P88">IFERROR(_xlfn.XLOOKUP(B88,EMPRESA_1!A:A,EMPRESA_1!L:L),"")</f>
        <v/>
      </c>
      <c r="Q88" s="49" t="str">
        <f t="array" ref="Q88">IFERROR(_xlfn.XLOOKUP(B88,EMPRESA_1!A:A,EMPRESA_1!J:J),"")</f>
        <v>CONDENADO</v>
      </c>
      <c r="R88" s="19" t="str">
        <f t="array" ref="R88">IFERROR(_xlfn.XLOOKUP(B88,EMPRESA_1!A:A,EMPRESA_1!M:M),"")</f>
        <v/>
      </c>
      <c r="S88" s="51"/>
      <c r="T88" s="51" t="str">
        <f t="array" ref="T88">IFERROR(_xlfn.XLOOKUP($F88,'Acerto virtual'!$E:$E,'Acerto virtual'!F:F),"")</f>
        <v/>
      </c>
      <c r="U88" s="51" t="str">
        <f t="array" ref="U88">IFERROR(_xlfn.XLOOKUP($F88,'Acerto virtual'!$E:$E,'Acerto virtual'!G:G),"")</f>
        <v/>
      </c>
      <c r="V88" s="51" t="str">
        <f t="array" ref="V88">IFERROR(_xlfn.XLOOKUP($F88,'Acerto virtual'!$E:$E,'Acerto virtual'!H:H),"")</f>
        <v/>
      </c>
      <c r="W88" s="51" t="str">
        <f t="array" ref="W88">IFERROR(_xlfn.XLOOKUP($F88,'Acerto virtual'!$E:$E,'Acerto virtual'!I:I),"")</f>
        <v/>
      </c>
      <c r="X88" s="51" t="str">
        <f t="array" ref="X88">IFERROR(_xlfn.XLOOKUP($F88,'Acerto virtual'!$E:$E,'Acerto virtual'!J:J),"")</f>
        <v/>
      </c>
      <c r="Y88" s="51" t="str">
        <f t="array" ref="Y88">IFERROR(_xlfn.XLOOKUP($F88,'Acerto virtual'!$E:$E,'Acerto virtual'!K:K),"")</f>
        <v/>
      </c>
      <c r="Z88" s="51" t="str">
        <f t="array" ref="Z88">IFERROR(_xlfn.XLOOKUP($F88,'Acerto virtual'!$E:$E,'Acerto virtual'!L:L),"")</f>
        <v/>
      </c>
      <c r="AA88" s="51" t="str">
        <f t="array" ref="AA88">IFERROR(_xlfn.XLOOKUP($F88,'Acerto virtual'!$E:$E,'Acerto virtual'!M:M),"")</f>
        <v/>
      </c>
      <c r="AB88" s="51" t="str">
        <f t="array" ref="AB88">IFERROR(_xlfn.XLOOKUP($F88,'Acerto virtual'!$E:$E,'Acerto virtual'!N:N),"")</f>
        <v/>
      </c>
      <c r="AC88" s="51" t="str">
        <f t="array" ref="AC88">IFERROR(_xlfn.XLOOKUP($F88,'Acerto virtual'!$E:$E,'Acerto virtual'!O:O),"")</f>
        <v/>
      </c>
      <c r="AD88" s="51" t="str">
        <f t="array" ref="AD88">IFERROR(_xlfn.XLOOKUP($F88,'Acerto virtual'!$E:$E,'Acerto virtual'!P:P),"")</f>
        <v/>
      </c>
      <c r="AE88" s="51" t="str">
        <f t="array" ref="AE88">IFERROR(_xlfn.XLOOKUP($F88,'Acerto virtual'!$E:$E,'Acerto virtual'!Q:Q),"")</f>
        <v/>
      </c>
      <c r="AF88" s="51" t="str">
        <f t="array" ref="AF88">IFERROR(_xlfn.XLOOKUP($F88,'Acerto virtual'!$E:$E,'Acerto virtual'!R:R),"")</f>
        <v/>
      </c>
      <c r="AG88" s="51" t="str">
        <f t="array" ref="AG88">IFERROR(_xlfn.XLOOKUP($F88,'Acerto virtual'!$E:$E,'Acerto virtual'!S:S),"")</f>
        <v/>
      </c>
      <c r="AH88" s="51" t="str">
        <f t="array" ref="AH88">IFERROR(_xlfn.XLOOKUP($F88,'Acerto virtual'!$E:$E,'Acerto virtual'!T:T),"")</f>
        <v/>
      </c>
      <c r="AI88" s="51" t="str">
        <f t="array" ref="AI88">IFERROR(_xlfn.XLOOKUP($F88,'Acerto virtual'!$E:$E,'Acerto virtual'!U:U),"")</f>
        <v/>
      </c>
    </row>
    <row r="89">
      <c r="A89" s="47" t="s">
        <v>498</v>
      </c>
      <c r="B89" s="47" t="s">
        <v>499</v>
      </c>
      <c r="C89" s="48" t="str">
        <f t="array" ref="C89">IFERROR(_xlfn.XLOOKUP($B89,'Histórico'!$B:$B,'Histórico'!$I:$I),"")</f>
        <v>799-1</v>
      </c>
      <c r="D89" s="19" t="str">
        <f t="array" ref="D89">IFERROR(_xlfn.XLOOKUP($B89,'Histórico'!$B:$B,'Histórico'!$J:$J),"")</f>
        <v>83326</v>
      </c>
      <c r="E89" s="19" t="str">
        <f t="array" ref="E89">IFERROR(_xlfn.XLOOKUP($B89,'Histórico'!$B:$B,'Histórico'!$K:$K),"")</f>
        <v>TRANSDUCER</v>
      </c>
      <c r="F89" s="19" t="str">
        <f t="array" ref="F89">IFERROR(_xlfn.XLOOKUP($B89,'Histórico'!$B:$B,'Histórico'!$L:$L),"")</f>
        <v>168394-05</v>
      </c>
      <c r="G89" s="49" t="str">
        <f t="array" ref="G89">IFERROR(_xlfn.XLOOKUP($B89,'Histórico'!$B:$B,'Histórico'!$F:$F),"")</f>
        <v>05/06/2025</v>
      </c>
      <c r="H89" s="19" t="str">
        <f t="array" ref="H89">IFERROR(_xlfn.XLOOKUP($B89,'Histórico'!$B:$B,'Histórico'!$AA:$AA),"")</f>
        <v>BAMN</v>
      </c>
      <c r="I89" s="19" t="str">
        <f t="array" ref="I89">IFERROR(_xlfn.XLOOKUP($B89,Atual!$B:$B,Atual!$E:$E),"OS concluída")</f>
        <v>REC</v>
      </c>
      <c r="J89" s="19">
        <f t="shared" si="1"/>
        <v>497</v>
      </c>
      <c r="K89" s="19"/>
      <c r="L89" s="19" t="str">
        <f t="shared" si="2"/>
        <v/>
      </c>
      <c r="M89" s="19"/>
      <c r="N89" s="49" t="str">
        <f t="array" ref="N89">IFERROR(_xlfn.XLOOKUP($B89,EMPRESA_1!A:A,EMPRESA_1!J:J),"")</f>
        <v/>
      </c>
      <c r="O89" s="50" t="str">
        <f t="array" ref="O89">IFERROR(_xlfn.XLOOKUP(B89,EMPRESA_1!A:A,EMPRESA_1!K:K),"")
</f>
        <v>VEE ONE</v>
      </c>
      <c r="P89" s="48" t="str">
        <f t="array" ref="P89">IFERROR(_xlfn.XLOOKUP(B89,EMPRESA_1!A:A,EMPRESA_1!L:L),"")</f>
        <v/>
      </c>
      <c r="Q89" s="49" t="str">
        <f t="array" ref="Q89">IFERROR(_xlfn.XLOOKUP(B89,EMPRESA_1!A:A,EMPRESA_1!J:J),"")</f>
        <v/>
      </c>
      <c r="R89" s="19" t="str">
        <f t="array" ref="R89">IFERROR(_xlfn.XLOOKUP(B89,EMPRESA_1!A:A,EMPRESA_1!M:M),"")</f>
        <v>209717‐10</v>
      </c>
      <c r="S89" s="51"/>
      <c r="T89" s="51" t="str">
        <f t="array" ref="T89">IFERROR(_xlfn.XLOOKUP($F89,'Acerto virtual'!$E:$E,'Acerto virtual'!F:F),"")</f>
        <v/>
      </c>
      <c r="U89" s="51" t="str">
        <f t="array" ref="U89">IFERROR(_xlfn.XLOOKUP($F89,'Acerto virtual'!$E:$E,'Acerto virtual'!G:G),"")</f>
        <v/>
      </c>
      <c r="V89" s="51" t="str">
        <f t="array" ref="V89">IFERROR(_xlfn.XLOOKUP($F89,'Acerto virtual'!$E:$E,'Acerto virtual'!H:H),"")</f>
        <v/>
      </c>
      <c r="W89" s="51" t="str">
        <f t="array" ref="W89">IFERROR(_xlfn.XLOOKUP($F89,'Acerto virtual'!$E:$E,'Acerto virtual'!I:I),"")</f>
        <v/>
      </c>
      <c r="X89" s="51" t="str">
        <f t="array" ref="X89">IFERROR(_xlfn.XLOOKUP($F89,'Acerto virtual'!$E:$E,'Acerto virtual'!J:J),"")</f>
        <v/>
      </c>
      <c r="Y89" s="51" t="str">
        <f t="array" ref="Y89">IFERROR(_xlfn.XLOOKUP($F89,'Acerto virtual'!$E:$E,'Acerto virtual'!K:K),"")</f>
        <v/>
      </c>
      <c r="Z89" s="51" t="str">
        <f t="array" ref="Z89">IFERROR(_xlfn.XLOOKUP($F89,'Acerto virtual'!$E:$E,'Acerto virtual'!L:L),"")</f>
        <v/>
      </c>
      <c r="AA89" s="51" t="str">
        <f t="array" ref="AA89">IFERROR(_xlfn.XLOOKUP($F89,'Acerto virtual'!$E:$E,'Acerto virtual'!M:M),"")</f>
        <v/>
      </c>
      <c r="AB89" s="51" t="str">
        <f t="array" ref="AB89">IFERROR(_xlfn.XLOOKUP($F89,'Acerto virtual'!$E:$E,'Acerto virtual'!N:N),"")</f>
        <v/>
      </c>
      <c r="AC89" s="51" t="str">
        <f t="array" ref="AC89">IFERROR(_xlfn.XLOOKUP($F89,'Acerto virtual'!$E:$E,'Acerto virtual'!O:O),"")</f>
        <v/>
      </c>
      <c r="AD89" s="51" t="str">
        <f t="array" ref="AD89">IFERROR(_xlfn.XLOOKUP($F89,'Acerto virtual'!$E:$E,'Acerto virtual'!P:P),"")</f>
        <v/>
      </c>
      <c r="AE89" s="51" t="str">
        <f t="array" ref="AE89">IFERROR(_xlfn.XLOOKUP($F89,'Acerto virtual'!$E:$E,'Acerto virtual'!Q:Q),"")</f>
        <v/>
      </c>
      <c r="AF89" s="51" t="str">
        <f t="array" ref="AF89">IFERROR(_xlfn.XLOOKUP($F89,'Acerto virtual'!$E:$E,'Acerto virtual'!R:R),"")</f>
        <v/>
      </c>
      <c r="AG89" s="51" t="str">
        <f t="array" ref="AG89">IFERROR(_xlfn.XLOOKUP($F89,'Acerto virtual'!$E:$E,'Acerto virtual'!S:S),"")</f>
        <v/>
      </c>
      <c r="AH89" s="51" t="str">
        <f t="array" ref="AH89">IFERROR(_xlfn.XLOOKUP($F89,'Acerto virtual'!$E:$E,'Acerto virtual'!T:T),"")</f>
        <v/>
      </c>
      <c r="AI89" s="51" t="str">
        <f t="array" ref="AI89">IFERROR(_xlfn.XLOOKUP($F89,'Acerto virtual'!$E:$E,'Acerto virtual'!U:U),"")</f>
        <v/>
      </c>
    </row>
    <row r="90">
      <c r="A90" s="47" t="s">
        <v>500</v>
      </c>
      <c r="B90" s="47" t="s">
        <v>501</v>
      </c>
      <c r="C90" s="48" t="str">
        <f t="array" ref="C90">IFERROR(_xlfn.XLOOKUP($B90,'Histórico'!$B:$B,'Histórico'!$I:$I),"")</f>
        <v>799-1</v>
      </c>
      <c r="D90" s="19" t="str">
        <f t="array" ref="D90">IFERROR(_xlfn.XLOOKUP($B90,'Histórico'!$B:$B,'Histórico'!$J:$J),"")</f>
        <v>83326</v>
      </c>
      <c r="E90" s="19" t="str">
        <f t="array" ref="E90">IFERROR(_xlfn.XLOOKUP($B90,'Histórico'!$B:$B,'Histórico'!$K:$K),"")</f>
        <v>TRANSDUCER</v>
      </c>
      <c r="F90" s="52" t="str">
        <f t="array" ref="F90">IFERROR(_xlfn.XLOOKUP($B90,'Histórico'!$B:$B,'Histórico'!$L:$L),"")</f>
        <v>197</v>
      </c>
      <c r="G90" s="49" t="str">
        <f t="array" ref="G90">IFERROR(_xlfn.XLOOKUP($B90,'Histórico'!$B:$B,'Histórico'!$F:$F),"")</f>
        <v>05/06/2025</v>
      </c>
      <c r="H90" s="19" t="str">
        <f t="array" ref="H90">IFERROR(_xlfn.XLOOKUP($B90,'Histórico'!$B:$B,'Histórico'!$AA:$AA),"")</f>
        <v>BAMN</v>
      </c>
      <c r="I90" s="19" t="str">
        <f t="array" ref="I90">IFERROR(_xlfn.XLOOKUP($B90,Atual!$B:$B,Atual!$E:$E),"OS concluída")</f>
        <v>REC</v>
      </c>
      <c r="J90" s="19">
        <f t="shared" si="1"/>
        <v>497</v>
      </c>
      <c r="K90" s="19"/>
      <c r="L90" s="19">
        <f t="shared" si="2"/>
        <v>-16</v>
      </c>
      <c r="M90" s="19"/>
      <c r="N90" s="49">
        <f t="array" ref="N90">IFERROR(_xlfn.XLOOKUP($B90,EMPRESA_1!A:A,EMPRESA_1!J:J),"")</f>
        <v>45797</v>
      </c>
      <c r="O90" s="50" t="str">
        <f t="array" ref="O90">IFERROR(_xlfn.XLOOKUP(B90,EMPRESA_1!A:A,EMPRESA_1!K:K),"")
</f>
        <v>BANT</v>
      </c>
      <c r="P90" s="19" t="str">
        <f t="array" ref="P90">IFERROR(_xlfn.XLOOKUP(B90,EMPRESA_1!A:A,EMPRESA_1!L:L),"")</f>
        <v>039-c98-2025</v>
      </c>
      <c r="Q90" s="49">
        <f t="array" ref="Q90">IFERROR(_xlfn.XLOOKUP(B90,EMPRESA_1!A:A,EMPRESA_1!J:J),"")</f>
        <v>45797</v>
      </c>
      <c r="R90" s="19" t="str">
        <f t="array" ref="R90">IFERROR(_xlfn.XLOOKUP(B90,EMPRESA_1!A:A,EMPRESA_1!M:M),"")</f>
        <v>210012‐01</v>
      </c>
      <c r="S90" s="51"/>
      <c r="T90" s="51" t="str">
        <f t="array" ref="T90">IFERROR(_xlfn.XLOOKUP($F90,'Acerto virtual'!$E:$E,'Acerto virtual'!F:F),"")</f>
        <v/>
      </c>
      <c r="U90" s="51" t="str">
        <f t="array" ref="U90">IFERROR(_xlfn.XLOOKUP($F90,'Acerto virtual'!$E:$E,'Acerto virtual'!G:G),"")</f>
        <v/>
      </c>
      <c r="V90" s="51" t="str">
        <f t="array" ref="V90">IFERROR(_xlfn.XLOOKUP($F90,'Acerto virtual'!$E:$E,'Acerto virtual'!H:H),"")</f>
        <v/>
      </c>
      <c r="W90" s="51" t="str">
        <f t="array" ref="W90">IFERROR(_xlfn.XLOOKUP($F90,'Acerto virtual'!$E:$E,'Acerto virtual'!I:I),"")</f>
        <v/>
      </c>
      <c r="X90" s="51" t="str">
        <f t="array" ref="X90">IFERROR(_xlfn.XLOOKUP($F90,'Acerto virtual'!$E:$E,'Acerto virtual'!J:J),"")</f>
        <v/>
      </c>
      <c r="Y90" s="51" t="str">
        <f t="array" ref="Y90">IFERROR(_xlfn.XLOOKUP($F90,'Acerto virtual'!$E:$E,'Acerto virtual'!K:K),"")</f>
        <v/>
      </c>
      <c r="Z90" s="51" t="str">
        <f t="array" ref="Z90">IFERROR(_xlfn.XLOOKUP($F90,'Acerto virtual'!$E:$E,'Acerto virtual'!L:L),"")</f>
        <v/>
      </c>
      <c r="AA90" s="51" t="str">
        <f t="array" ref="AA90">IFERROR(_xlfn.XLOOKUP($F90,'Acerto virtual'!$E:$E,'Acerto virtual'!M:M),"")</f>
        <v/>
      </c>
      <c r="AB90" s="51" t="str">
        <f t="array" ref="AB90">IFERROR(_xlfn.XLOOKUP($F90,'Acerto virtual'!$E:$E,'Acerto virtual'!N:N),"")</f>
        <v/>
      </c>
      <c r="AC90" s="51" t="str">
        <f t="array" ref="AC90">IFERROR(_xlfn.XLOOKUP($F90,'Acerto virtual'!$E:$E,'Acerto virtual'!O:O),"")</f>
        <v/>
      </c>
      <c r="AD90" s="51" t="str">
        <f t="array" ref="AD90">IFERROR(_xlfn.XLOOKUP($F90,'Acerto virtual'!$E:$E,'Acerto virtual'!P:P),"")</f>
        <v/>
      </c>
      <c r="AE90" s="51" t="str">
        <f t="array" ref="AE90">IFERROR(_xlfn.XLOOKUP($F90,'Acerto virtual'!$E:$E,'Acerto virtual'!Q:Q),"")</f>
        <v/>
      </c>
      <c r="AF90" s="51" t="str">
        <f t="array" ref="AF90">IFERROR(_xlfn.XLOOKUP($F90,'Acerto virtual'!$E:$E,'Acerto virtual'!R:R),"")</f>
        <v/>
      </c>
      <c r="AG90" s="51" t="str">
        <f t="array" ref="AG90">IFERROR(_xlfn.XLOOKUP($F90,'Acerto virtual'!$E:$E,'Acerto virtual'!S:S),"")</f>
        <v/>
      </c>
      <c r="AH90" s="51" t="str">
        <f t="array" ref="AH90">IFERROR(_xlfn.XLOOKUP($F90,'Acerto virtual'!$E:$E,'Acerto virtual'!T:T),"")</f>
        <v/>
      </c>
      <c r="AI90" s="51" t="str">
        <f t="array" ref="AI90">IFERROR(_xlfn.XLOOKUP($F90,'Acerto virtual'!$E:$E,'Acerto virtual'!U:U),"")</f>
        <v/>
      </c>
    </row>
    <row r="91" hidden="1">
      <c r="A91" s="47" t="s">
        <v>502</v>
      </c>
      <c r="B91" s="47" t="s">
        <v>503</v>
      </c>
      <c r="C91" s="19" t="str">
        <f t="array" ref="C91">IFERROR(_xlfn.XLOOKUP($B91,'Histórico'!$B:$B,'Histórico'!$I:$I),"")</f>
        <v>30994-001</v>
      </c>
      <c r="D91" s="19" t="str">
        <f t="array" ref="D91">IFERROR(_xlfn.XLOOKUP($B91,'Histórico'!$B:$B,'Histórico'!$J:$J),"")</f>
        <v>74025</v>
      </c>
      <c r="E91" s="19" t="str">
        <f t="array" ref="E91">IFERROR(_xlfn.XLOOKUP($B91,'Histórico'!$B:$B,'Histórico'!$K:$K),"")</f>
        <v>BATTERY-MARATHON TSP410 NICAD</v>
      </c>
      <c r="F91" s="19" t="str">
        <f t="array" ref="F91">IFERROR(_xlfn.XLOOKUP($B91,'Histórico'!$B:$B,'Histórico'!$L:$L),"")</f>
        <v>10603744</v>
      </c>
      <c r="G91" s="49" t="str">
        <f t="array" ref="G91">IFERROR(_xlfn.XLOOKUP($B91,'Histórico'!$B:$B,'Histórico'!$F:$F),"")</f>
        <v>05/06/2025</v>
      </c>
      <c r="H91" s="19" t="str">
        <f t="array" ref="H91">IFERROR(_xlfn.XLOOKUP($B91,'Histórico'!$B:$B,'Histórico'!$AA:$AA),"")</f>
        <v>PAMALS</v>
      </c>
      <c r="I91" s="19" t="str">
        <f t="array" ref="I91">IFERROR(_xlfn.XLOOKUP($B91,Atual!$B:$B,Atual!$E:$E),"OS concluída")</f>
        <v>OS concluída</v>
      </c>
      <c r="J91" s="19" t="str">
        <f t="shared" si="1"/>
        <v/>
      </c>
      <c r="K91" s="19"/>
      <c r="L91" s="19" t="str">
        <f t="shared" si="2"/>
        <v/>
      </c>
      <c r="M91" s="19"/>
      <c r="N91" s="49" t="str">
        <f t="shared" ref="N91:N92" si="27">IFERROR(_xlfn.XLOOKUP($B91,Empresa!G:G,Empresa!K:K),"")</f>
        <v/>
      </c>
      <c r="O91" s="50" t="str">
        <f t="array" ref="O91">IFERROR(_xlfn.XLOOKUP(B91,EMPRESA_1!A:A,EMPRESA_1!K:K),"")
</f>
        <v>PAMA-LS</v>
      </c>
      <c r="P91" s="19" t="str">
        <f t="array" ref="P91">IFERROR(_xlfn.XLOOKUP(B91,EMPRESA_1!A:A,EMPRESA_1!L:L),"")</f>
        <v>487/TRA/26</v>
      </c>
      <c r="Q91" s="49">
        <f t="array" ref="Q91">IFERROR(_xlfn.XLOOKUP(B91,EMPRESA_1!A:A,EMPRESA_1!J:J),"")</f>
        <v>46195</v>
      </c>
      <c r="R91" s="19" t="str">
        <f t="array" ref="R91">IFERROR(_xlfn.XLOOKUP(B91,EMPRESA_1!A:A,EMPRESA_1!M:M),"")</f>
        <v/>
      </c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</row>
    <row r="92" hidden="1">
      <c r="A92" s="47" t="s">
        <v>504</v>
      </c>
      <c r="B92" s="47" t="s">
        <v>505</v>
      </c>
      <c r="C92" s="19" t="str">
        <f t="array" ref="C92">IFERROR(_xlfn.XLOOKUP($B92,'Histórico'!$B:$B,'Histórico'!$I:$I),"")</f>
        <v>30994-001</v>
      </c>
      <c r="D92" s="19" t="str">
        <f t="array" ref="D92">IFERROR(_xlfn.XLOOKUP($B92,'Histórico'!$B:$B,'Histórico'!$J:$J),"")</f>
        <v>74025</v>
      </c>
      <c r="E92" s="19" t="str">
        <f t="array" ref="E92">IFERROR(_xlfn.XLOOKUP($B92,'Histórico'!$B:$B,'Histórico'!$K:$K),"")</f>
        <v>BATTERY-MARATHON TSP410 NICAD</v>
      </c>
      <c r="F92" s="19" t="str">
        <f t="array" ref="F92">IFERROR(_xlfn.XLOOKUP($B92,'Histórico'!$B:$B,'Histórico'!$L:$L),"")</f>
        <v>11200477</v>
      </c>
      <c r="G92" s="49" t="str">
        <f t="array" ref="G92">IFERROR(_xlfn.XLOOKUP($B92,'Histórico'!$B:$B,'Histórico'!$F:$F),"")</f>
        <v>05/06/2025</v>
      </c>
      <c r="H92" s="19" t="str">
        <f t="array" ref="H92">IFERROR(_xlfn.XLOOKUP($B92,'Histórico'!$B:$B,'Histórico'!$AA:$AA),"")</f>
        <v>BAPV</v>
      </c>
      <c r="I92" s="19" t="str">
        <f t="array" ref="I92">IFERROR(_xlfn.XLOOKUP($B92,Atual!$B:$B,Atual!$E:$E),"OS concluída")</f>
        <v>OS concluída</v>
      </c>
      <c r="J92" s="19" t="str">
        <f t="shared" si="1"/>
        <v/>
      </c>
      <c r="K92" s="19"/>
      <c r="L92" s="19" t="str">
        <f t="shared" si="2"/>
        <v/>
      </c>
      <c r="M92" s="19"/>
      <c r="N92" s="49" t="str">
        <f t="shared" si="27"/>
        <v/>
      </c>
      <c r="O92" s="50" t="str">
        <f t="array" ref="O92">IFERROR(_xlfn.XLOOKUP(B92,EMPRESA_1!A:A,EMPRESA_1!K:K),"")
</f>
        <v>PAMA-LS</v>
      </c>
      <c r="P92" s="19" t="str">
        <f t="array" ref="P92">IFERROR(_xlfn.XLOOKUP(B92,EMPRESA_1!A:A,EMPRESA_1!L:L),"")</f>
        <v>487/TRA/26</v>
      </c>
      <c r="Q92" s="49">
        <f t="array" ref="Q92">IFERROR(_xlfn.XLOOKUP(B92,EMPRESA_1!A:A,EMPRESA_1!J:J),"")</f>
        <v>46195</v>
      </c>
      <c r="R92" s="19" t="str">
        <f t="array" ref="R92">IFERROR(_xlfn.XLOOKUP(B92,EMPRESA_1!A:A,EMPRESA_1!M:M),"")</f>
        <v/>
      </c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</row>
    <row r="93">
      <c r="A93" s="47" t="s">
        <v>506</v>
      </c>
      <c r="B93" s="47" t="s">
        <v>507</v>
      </c>
      <c r="C93" s="48" t="str">
        <f t="array" ref="C93">IFERROR(_xlfn.XLOOKUP($B93,'Histórico'!$B:$B,'Histórico'!$I:$I),"")</f>
        <v>540-1407-4</v>
      </c>
      <c r="D93" s="19" t="str">
        <f t="array" ref="D93">IFERROR(_xlfn.XLOOKUP($B93,'Histórico'!$B:$B,'Histórico'!$J:$J),"")</f>
        <v>077L2</v>
      </c>
      <c r="E93" s="19" t="str">
        <f t="array" ref="E93">IFERROR(_xlfn.XLOOKUP($B93,'Histórico'!$B:$B,'Histórico'!$K:$K),"")</f>
        <v>VALVE,BLEED,TURBINEENGINE</v>
      </c>
      <c r="F93" s="52" t="str">
        <f t="array" ref="F93">IFERROR(_xlfn.XLOOKUP($B93,'Histórico'!$B:$B,'Histórico'!$L:$L),"")</f>
        <v>5385</v>
      </c>
      <c r="G93" s="49" t="str">
        <f t="array" ref="G93">IFERROR(_xlfn.XLOOKUP($B93,'Histórico'!$B:$B,'Histórico'!$F:$F),"")</f>
        <v>23/06/2025</v>
      </c>
      <c r="H93" s="19" t="str">
        <f t="array" ref="H93">IFERROR(_xlfn.XLOOKUP($B93,'Histórico'!$B:$B,'Histórico'!$AA:$AA),"")</f>
        <v>PAMALS</v>
      </c>
      <c r="I93" s="19" t="str">
        <f t="array" ref="I93">IFERROR(_xlfn.XLOOKUP($B93,Atual!$B:$B,Atual!$E:$E),"OS concluída")</f>
        <v>REC</v>
      </c>
      <c r="J93" s="19">
        <f t="shared" si="1"/>
        <v>479</v>
      </c>
      <c r="K93" s="19"/>
      <c r="L93" s="19" t="str">
        <f t="shared" si="2"/>
        <v/>
      </c>
      <c r="M93" s="19"/>
      <c r="N93" s="49" t="str">
        <f t="array" ref="N93">IFERROR(_xlfn.XLOOKUP($B93,EMPRESA_1!A:A,EMPRESA_1!J:J),"")</f>
        <v/>
      </c>
      <c r="O93" s="50" t="str">
        <f t="array" ref="O93">IFERROR(_xlfn.XLOOKUP(B93,EMPRESA_1!A:A,EMPRESA_1!K:K),"")
</f>
        <v>BANT</v>
      </c>
      <c r="P93" s="19" t="str">
        <f t="array" ref="P93">IFERROR(_xlfn.XLOOKUP(B93,EMPRESA_1!A:A,EMPRESA_1!L:L),"")</f>
        <v>TERMO 027/2025</v>
      </c>
      <c r="Q93" s="49" t="str">
        <f t="array" ref="Q93">IFERROR(_xlfn.XLOOKUP(B93,EMPRESA_1!A:A,EMPRESA_1!J:J),"")</f>
        <v/>
      </c>
      <c r="R93" s="19" t="str">
        <f t="array" ref="R93">IFERROR(_xlfn.XLOOKUP(B93,EMPRESA_1!A:A,EMPRESA_1!M:M),"")</f>
        <v/>
      </c>
      <c r="S93" s="51"/>
      <c r="T93" s="51" t="str">
        <f t="array" ref="T93">IFERROR(_xlfn.XLOOKUP($F93,'Acerto virtual'!$E:$E,'Acerto virtual'!F:F),"")</f>
        <v>027/2025</v>
      </c>
      <c r="U93" s="51" t="str">
        <f t="array" ref="U93">IFERROR(_xlfn.XLOOKUP($F93,'Acerto virtual'!$E:$E,'Acerto virtual'!G:G),"")</f>
        <v>10/09</v>
      </c>
      <c r="V93" s="51" t="str">
        <f t="array" ref="V93">IFERROR(_xlfn.XLOOKUP($F93,'Acerto virtual'!$E:$E,'Acerto virtual'!H:H),"")</f>
        <v>30/01</v>
      </c>
      <c r="W93" s="51" t="str">
        <f t="array" ref="W93">IFERROR(_xlfn.XLOOKUP($F93,'Acerto virtual'!$E:$E,'Acerto virtual'!I:I),"")</f>
        <v>CERTIFICADO ok</v>
      </c>
      <c r="X93" s="51" t="str">
        <f t="array" ref="X93">IFERROR(_xlfn.XLOOKUP($F93,'Acerto virtual'!$E:$E,'Acerto virtual'!J:J),"")</f>
        <v>21/05</v>
      </c>
      <c r="Y93" s="51" t="str">
        <f t="array" ref="Y93">IFERROR(_xlfn.XLOOKUP($F93,'Acerto virtual'!$E:$E,'Acerto virtual'!K:K),"")</f>
        <v/>
      </c>
      <c r="Z93" s="51" t="str">
        <f t="array" ref="Z93">IFERROR(_xlfn.XLOOKUP($F93,'Acerto virtual'!$E:$E,'Acerto virtual'!L:L),"")</f>
        <v/>
      </c>
      <c r="AA93" s="51" t="str">
        <f t="array" ref="AA93">IFERROR(_xlfn.XLOOKUP($F93,'Acerto virtual'!$E:$E,'Acerto virtual'!M:M),"")</f>
        <v/>
      </c>
      <c r="AB93" s="51" t="str">
        <f t="array" ref="AB93">IFERROR(_xlfn.XLOOKUP($F93,'Acerto virtual'!$E:$E,'Acerto virtual'!N:N),"")</f>
        <v/>
      </c>
      <c r="AC93" s="51" t="str">
        <f t="array" ref="AC93">IFERROR(_xlfn.XLOOKUP($F93,'Acerto virtual'!$E:$E,'Acerto virtual'!O:O),"")</f>
        <v/>
      </c>
      <c r="AD93" s="51" t="str">
        <f t="array" ref="AD93">IFERROR(_xlfn.XLOOKUP($F93,'Acerto virtual'!$E:$E,'Acerto virtual'!P:P),"")</f>
        <v/>
      </c>
      <c r="AE93" s="51" t="str">
        <f t="array" ref="AE93">IFERROR(_xlfn.XLOOKUP($F93,'Acerto virtual'!$E:$E,'Acerto virtual'!Q:Q),"")</f>
        <v/>
      </c>
      <c r="AF93" s="51" t="str">
        <f t="array" ref="AF93">IFERROR(_xlfn.XLOOKUP($F93,'Acerto virtual'!$E:$E,'Acerto virtual'!R:R),"")</f>
        <v/>
      </c>
      <c r="AG93" s="51" t="str">
        <f t="array" ref="AG93">IFERROR(_xlfn.XLOOKUP($F93,'Acerto virtual'!$E:$E,'Acerto virtual'!S:S),"")</f>
        <v/>
      </c>
      <c r="AH93" s="51" t="str">
        <f t="array" ref="AH93">IFERROR(_xlfn.XLOOKUP($F93,'Acerto virtual'!$E:$E,'Acerto virtual'!T:T),"")</f>
        <v/>
      </c>
      <c r="AI93" s="51" t="str">
        <f t="array" ref="AI93">IFERROR(_xlfn.XLOOKUP($F93,'Acerto virtual'!$E:$E,'Acerto virtual'!U:U),"")</f>
        <v/>
      </c>
    </row>
    <row r="94" hidden="1">
      <c r="A94" s="47" t="s">
        <v>508</v>
      </c>
      <c r="B94" s="47" t="s">
        <v>509</v>
      </c>
      <c r="C94" s="48" t="str">
        <f t="array" ref="C94">IFERROR(_xlfn.XLOOKUP($B94,'Histórico'!$B:$B,'Histórico'!$I:$I),"")</f>
        <v>2643090-3</v>
      </c>
      <c r="D94" s="19" t="str">
        <f t="array" ref="D94">IFERROR(_xlfn.XLOOKUP($B94,'Histórico'!$B:$B,'Histórico'!$J:$J),"")</f>
        <v>7EK50</v>
      </c>
      <c r="E94" s="19" t="str">
        <f t="array" ref="E94">IFERROR(_xlfn.XLOOKUP($B94,'Histórico'!$B:$B,'Histórico'!$K:$K),"")</f>
        <v>SHIMMY DAMPER-NOSE GEAR</v>
      </c>
      <c r="F94" s="19" t="str">
        <f t="array" ref="F94">IFERROR(_xlfn.XLOOKUP($B94,'Histórico'!$B:$B,'Histórico'!$L:$L),"")</f>
        <v>001</v>
      </c>
      <c r="G94" s="49" t="str">
        <f t="array" ref="G94">IFERROR(_xlfn.XLOOKUP($B94,'Histórico'!$B:$B,'Histórico'!$F:$F),"")</f>
        <v>23/06/2025</v>
      </c>
      <c r="H94" s="19" t="str">
        <f t="array" ref="H94">IFERROR(_xlfn.XLOOKUP($B94,'Histórico'!$B:$B,'Histórico'!$AA:$AA),"")</f>
        <v>PAMALS</v>
      </c>
      <c r="I94" s="19" t="str">
        <f t="array" ref="I94">IFERROR(_xlfn.XLOOKUP($B94,Atual!$B:$B,Atual!$E:$E),"OS concluída")</f>
        <v>OS concluída</v>
      </c>
      <c r="J94" s="19" t="str">
        <f t="shared" si="1"/>
        <v/>
      </c>
      <c r="K94" s="19"/>
      <c r="L94" s="19">
        <f t="shared" si="2"/>
        <v>308</v>
      </c>
      <c r="M94" s="19"/>
      <c r="N94" s="49">
        <f t="array" ref="N94">IFERROR(_xlfn.XLOOKUP($B94,EMPRESA_1!A:A,EMPRESA_1!J:J),"")</f>
        <v>46139</v>
      </c>
      <c r="O94" s="50" t="str">
        <f t="array" ref="O94">IFERROR(_xlfn.XLOOKUP(B94,EMPRESA_1!A:A,EMPRESA_1!K:K),"")
</f>
        <v>PAMA-LS</v>
      </c>
      <c r="P94" s="48" t="str">
        <f t="array" ref="P94">IFERROR(_xlfn.XLOOKUP(B94,EMPRESA_1!A:A,EMPRESA_1!L:L),"")</f>
        <v>682/FAB/26</v>
      </c>
      <c r="Q94" s="49">
        <f t="array" ref="Q94">IFERROR(_xlfn.XLOOKUP(B94,EMPRESA_1!A:A,EMPRESA_1!J:J),"")</f>
        <v>46139</v>
      </c>
      <c r="R94" s="19" t="str">
        <f t="array" ref="R94">IFERROR(_xlfn.XLOOKUP(B94,EMPRESA_1!A:A,EMPRESA_1!M:M),"")</f>
        <v/>
      </c>
      <c r="S94" s="51"/>
      <c r="T94" s="51" t="str">
        <f t="array" ref="T94">IFERROR(_xlfn.XLOOKUP($F94,'Acerto virtual'!$E:$E,'Acerto virtual'!F:F),"")</f>
        <v/>
      </c>
      <c r="U94" s="51" t="str">
        <f t="array" ref="U94">IFERROR(_xlfn.XLOOKUP($F94,'Acerto virtual'!$E:$E,'Acerto virtual'!G:G),"")</f>
        <v/>
      </c>
      <c r="V94" s="51" t="str">
        <f t="array" ref="V94">IFERROR(_xlfn.XLOOKUP($F94,'Acerto virtual'!$E:$E,'Acerto virtual'!H:H),"")</f>
        <v/>
      </c>
      <c r="W94" s="51" t="str">
        <f t="array" ref="W94">IFERROR(_xlfn.XLOOKUP($F94,'Acerto virtual'!$E:$E,'Acerto virtual'!I:I),"")</f>
        <v/>
      </c>
      <c r="X94" s="51" t="str">
        <f t="array" ref="X94">IFERROR(_xlfn.XLOOKUP($F94,'Acerto virtual'!$E:$E,'Acerto virtual'!J:J),"")</f>
        <v/>
      </c>
      <c r="Y94" s="51" t="str">
        <f t="array" ref="Y94">IFERROR(_xlfn.XLOOKUP($F94,'Acerto virtual'!$E:$E,'Acerto virtual'!K:K),"")</f>
        <v/>
      </c>
      <c r="Z94" s="51" t="str">
        <f t="array" ref="Z94">IFERROR(_xlfn.XLOOKUP($F94,'Acerto virtual'!$E:$E,'Acerto virtual'!L:L),"")</f>
        <v/>
      </c>
      <c r="AA94" s="51" t="str">
        <f t="array" ref="AA94">IFERROR(_xlfn.XLOOKUP($F94,'Acerto virtual'!$E:$E,'Acerto virtual'!M:M),"")</f>
        <v/>
      </c>
      <c r="AB94" s="51" t="str">
        <f t="array" ref="AB94">IFERROR(_xlfn.XLOOKUP($F94,'Acerto virtual'!$E:$E,'Acerto virtual'!N:N),"")</f>
        <v/>
      </c>
      <c r="AC94" s="51" t="str">
        <f t="array" ref="AC94">IFERROR(_xlfn.XLOOKUP($F94,'Acerto virtual'!$E:$E,'Acerto virtual'!O:O),"")</f>
        <v/>
      </c>
      <c r="AD94" s="51" t="str">
        <f t="array" ref="AD94">IFERROR(_xlfn.XLOOKUP($F94,'Acerto virtual'!$E:$E,'Acerto virtual'!P:P),"")</f>
        <v/>
      </c>
      <c r="AE94" s="51" t="str">
        <f t="array" ref="AE94">IFERROR(_xlfn.XLOOKUP($F94,'Acerto virtual'!$E:$E,'Acerto virtual'!Q:Q),"")</f>
        <v/>
      </c>
      <c r="AF94" s="51" t="str">
        <f t="array" ref="AF94">IFERROR(_xlfn.XLOOKUP($F94,'Acerto virtual'!$E:$E,'Acerto virtual'!R:R),"")</f>
        <v/>
      </c>
      <c r="AG94" s="51" t="str">
        <f t="array" ref="AG94">IFERROR(_xlfn.XLOOKUP($F94,'Acerto virtual'!$E:$E,'Acerto virtual'!S:S),"")</f>
        <v/>
      </c>
      <c r="AH94" s="51" t="str">
        <f t="array" ref="AH94">IFERROR(_xlfn.XLOOKUP($F94,'Acerto virtual'!$E:$E,'Acerto virtual'!T:T),"")</f>
        <v/>
      </c>
      <c r="AI94" s="51" t="str">
        <f t="array" ref="AI94">IFERROR(_xlfn.XLOOKUP($F94,'Acerto virtual'!$E:$E,'Acerto virtual'!U:U),"")</f>
        <v/>
      </c>
    </row>
    <row r="95" hidden="1">
      <c r="A95" s="47" t="s">
        <v>510</v>
      </c>
      <c r="B95" s="47" t="s">
        <v>511</v>
      </c>
      <c r="C95" s="19" t="str">
        <f t="array" ref="C95">IFERROR(_xlfn.XLOOKUP($B95,'Histórico'!$B:$B,'Histórico'!$I:$I),"")</f>
        <v>SE1070-6</v>
      </c>
      <c r="D95" s="19" t="str">
        <f t="array" ref="D95">IFERROR(_xlfn.XLOOKUP($B95,'Histórico'!$B:$B,'Histórico'!$J:$J),"")</f>
        <v>76005</v>
      </c>
      <c r="E95" s="19" t="str">
        <f t="array" ref="E95">IFERROR(_xlfn.XLOOKUP($B95,'Histórico'!$B:$B,'Histórico'!$K:$K),"")</f>
        <v>SHIMMY DAMPENER ASSY</v>
      </c>
      <c r="F95" s="19" t="str">
        <f t="array" ref="F95">IFERROR(_xlfn.XLOOKUP($B95,'Histórico'!$B:$B,'Histórico'!$L:$L),"")</f>
        <v/>
      </c>
      <c r="G95" s="49" t="str">
        <f t="array" ref="G95">IFERROR(_xlfn.XLOOKUP($B95,'Histórico'!$B:$B,'Histórico'!$F:$F),"")</f>
        <v>23/06/2025</v>
      </c>
      <c r="H95" s="19" t="str">
        <f t="array" ref="H95">IFERROR(_xlfn.XLOOKUP($B95,'Histórico'!$B:$B,'Histórico'!$AA:$AA),"")</f>
        <v>BACGINAT</v>
      </c>
      <c r="I95" s="19" t="str">
        <f t="array" ref="I95">IFERROR(_xlfn.XLOOKUP($B95,Atual!$B:$B,Atual!$E:$E),"OS concluída")</f>
        <v>OS concluída</v>
      </c>
      <c r="J95" s="19" t="str">
        <f t="shared" si="1"/>
        <v/>
      </c>
      <c r="K95" s="19"/>
      <c r="L95" s="19" t="str">
        <f t="shared" si="2"/>
        <v/>
      </c>
      <c r="M95" s="19"/>
      <c r="N95" s="49" t="str">
        <f t="array" ref="N95">IFERROR(_xlfn.XLOOKUP($B95,Empresa!G:G,Empresa!K:K),"")</f>
        <v/>
      </c>
      <c r="O95" s="49"/>
      <c r="P95" s="19" t="str">
        <f t="array" ref="P95">IFERROR(_xlfn.XLOOKUP($F95,'Vee one'!F:F,'Vee one'!O:O),"")</f>
        <v/>
      </c>
      <c r="Q95" s="19" t="str">
        <f t="array" ref="Q95">IFERROR(_xlfn.XLOOKUP($F95,'Vee one'!F:F,'Vee one'!K:K),"")</f>
        <v/>
      </c>
      <c r="R95" s="19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</row>
    <row r="96" hidden="1">
      <c r="A96" s="47" t="s">
        <v>512</v>
      </c>
      <c r="B96" s="47" t="s">
        <v>513</v>
      </c>
      <c r="C96" s="48" t="str">
        <f t="array" ref="C96">IFERROR(_xlfn.XLOOKUP($B96,'Histórico'!$B:$B,'Histórico'!$I:$I),"")</f>
        <v>C660501-0103</v>
      </c>
      <c r="D96" s="19" t="str">
        <f t="array" ref="D96">IFERROR(_xlfn.XLOOKUP($B96,'Histórico'!$B:$B,'Histórico'!$J:$J),"")</f>
        <v>71379</v>
      </c>
      <c r="E96" s="19" t="str">
        <f t="array" ref="E96">IFERROR(_xlfn.XLOOKUP($B96,'Histórico'!$B:$B,'Histórico'!$K:$K),"")</f>
        <v>COMPASS,SPEC</v>
      </c>
      <c r="F96" s="19" t="str">
        <f t="array" ref="F96">IFERROR(_xlfn.XLOOKUP($B96,'Histórico'!$B:$B,'Histórico'!$L:$L),"")</f>
        <v>CE-11200</v>
      </c>
      <c r="G96" s="49" t="str">
        <f t="array" ref="G96">IFERROR(_xlfn.XLOOKUP($B96,'Histórico'!$B:$B,'Histórico'!$F:$F),"")</f>
        <v>23/06/2025</v>
      </c>
      <c r="H96" s="19" t="str">
        <f t="array" ref="H96">IFERROR(_xlfn.XLOOKUP($B96,'Histórico'!$B:$B,'Histórico'!$AA:$AA),"")</f>
        <v>PAMALS</v>
      </c>
      <c r="I96" s="19" t="str">
        <f t="array" ref="I96">IFERROR(_xlfn.XLOOKUP($B96,Atual!$B:$B,Atual!$E:$E),"OS concluída")</f>
        <v>OS concluída</v>
      </c>
      <c r="J96" s="19" t="str">
        <f t="shared" si="1"/>
        <v/>
      </c>
      <c r="K96" s="19"/>
      <c r="L96" s="19">
        <f t="shared" si="2"/>
        <v>308</v>
      </c>
      <c r="M96" s="19"/>
      <c r="N96" s="49">
        <f t="array" ref="N96">IFERROR(_xlfn.XLOOKUP($B96,EMPRESA_1!A:A,EMPRESA_1!J:J),"")</f>
        <v>46139</v>
      </c>
      <c r="O96" s="50" t="str">
        <f t="array" ref="O96">IFERROR(_xlfn.XLOOKUP(B96,EMPRESA_1!A:A,EMPRESA_1!K:K),"")
</f>
        <v>PAMA-LS</v>
      </c>
      <c r="P96" s="48" t="str">
        <f t="array" ref="P96">IFERROR(_xlfn.XLOOKUP(B96,EMPRESA_1!A:A,EMPRESA_1!L:L),"")</f>
        <v>682/FAB/26</v>
      </c>
      <c r="Q96" s="49">
        <f t="array" ref="Q96">IFERROR(_xlfn.XLOOKUP(B96,EMPRESA_1!A:A,EMPRESA_1!J:J),"")</f>
        <v>46139</v>
      </c>
      <c r="R96" s="19" t="str">
        <f t="array" ref="R96">IFERROR(_xlfn.XLOOKUP(B96,EMPRESA_1!A:A,EMPRESA_1!M:M),"")</f>
        <v/>
      </c>
      <c r="S96" s="51"/>
      <c r="T96" s="51" t="str">
        <f t="array" ref="T96">IFERROR(_xlfn.XLOOKUP($F96,'Acerto virtual'!$E:$E,'Acerto virtual'!F:F),"")</f>
        <v/>
      </c>
      <c r="U96" s="51" t="str">
        <f t="array" ref="U96">IFERROR(_xlfn.XLOOKUP($F96,'Acerto virtual'!$E:$E,'Acerto virtual'!G:G),"")</f>
        <v/>
      </c>
      <c r="V96" s="51" t="str">
        <f t="array" ref="V96">IFERROR(_xlfn.XLOOKUP($F96,'Acerto virtual'!$E:$E,'Acerto virtual'!H:H),"")</f>
        <v/>
      </c>
      <c r="W96" s="51" t="str">
        <f t="array" ref="W96">IFERROR(_xlfn.XLOOKUP($F96,'Acerto virtual'!$E:$E,'Acerto virtual'!I:I),"")</f>
        <v/>
      </c>
      <c r="X96" s="51" t="str">
        <f t="array" ref="X96">IFERROR(_xlfn.XLOOKUP($F96,'Acerto virtual'!$E:$E,'Acerto virtual'!J:J),"")</f>
        <v/>
      </c>
      <c r="Y96" s="51" t="str">
        <f t="array" ref="Y96">IFERROR(_xlfn.XLOOKUP($F96,'Acerto virtual'!$E:$E,'Acerto virtual'!K:K),"")</f>
        <v/>
      </c>
      <c r="Z96" s="51" t="str">
        <f t="array" ref="Z96">IFERROR(_xlfn.XLOOKUP($F96,'Acerto virtual'!$E:$E,'Acerto virtual'!L:L),"")</f>
        <v/>
      </c>
      <c r="AA96" s="51" t="str">
        <f t="array" ref="AA96">IFERROR(_xlfn.XLOOKUP($F96,'Acerto virtual'!$E:$E,'Acerto virtual'!M:M),"")</f>
        <v/>
      </c>
      <c r="AB96" s="51" t="str">
        <f t="array" ref="AB96">IFERROR(_xlfn.XLOOKUP($F96,'Acerto virtual'!$E:$E,'Acerto virtual'!N:N),"")</f>
        <v/>
      </c>
      <c r="AC96" s="51" t="str">
        <f t="array" ref="AC96">IFERROR(_xlfn.XLOOKUP($F96,'Acerto virtual'!$E:$E,'Acerto virtual'!O:O),"")</f>
        <v/>
      </c>
      <c r="AD96" s="51" t="str">
        <f t="array" ref="AD96">IFERROR(_xlfn.XLOOKUP($F96,'Acerto virtual'!$E:$E,'Acerto virtual'!P:P),"")</f>
        <v/>
      </c>
      <c r="AE96" s="51" t="str">
        <f t="array" ref="AE96">IFERROR(_xlfn.XLOOKUP($F96,'Acerto virtual'!$E:$E,'Acerto virtual'!Q:Q),"")</f>
        <v/>
      </c>
      <c r="AF96" s="51" t="str">
        <f t="array" ref="AF96">IFERROR(_xlfn.XLOOKUP($F96,'Acerto virtual'!$E:$E,'Acerto virtual'!R:R),"")</f>
        <v/>
      </c>
      <c r="AG96" s="51" t="str">
        <f t="array" ref="AG96">IFERROR(_xlfn.XLOOKUP($F96,'Acerto virtual'!$E:$E,'Acerto virtual'!S:S),"")</f>
        <v/>
      </c>
      <c r="AH96" s="51" t="str">
        <f t="array" ref="AH96">IFERROR(_xlfn.XLOOKUP($F96,'Acerto virtual'!$E:$E,'Acerto virtual'!T:T),"")</f>
        <v/>
      </c>
      <c r="AI96" s="51" t="str">
        <f t="array" ref="AI96">IFERROR(_xlfn.XLOOKUP($F96,'Acerto virtual'!$E:$E,'Acerto virtual'!U:U),"")</f>
        <v/>
      </c>
    </row>
    <row r="97">
      <c r="A97" s="47" t="s">
        <v>514</v>
      </c>
      <c r="B97" s="47" t="s">
        <v>515</v>
      </c>
      <c r="C97" s="48" t="str">
        <f t="array" ref="C97">IFERROR(_xlfn.XLOOKUP($B97,'Histórico'!$B:$B,'Histórico'!$I:$I),"")</f>
        <v>C660501-0103</v>
      </c>
      <c r="D97" s="19" t="str">
        <f t="array" ref="D97">IFERROR(_xlfn.XLOOKUP($B97,'Histórico'!$B:$B,'Histórico'!$J:$J),"")</f>
        <v>71379</v>
      </c>
      <c r="E97" s="19" t="str">
        <f t="array" ref="E97">IFERROR(_xlfn.XLOOKUP($B97,'Histórico'!$B:$B,'Histórico'!$K:$K),"")</f>
        <v>COMPASS,SPEC</v>
      </c>
      <c r="F97" s="19" t="str">
        <f t="array" ref="F97">IFERROR(_xlfn.XLOOKUP($B97,'Histórico'!$B:$B,'Histórico'!$L:$L),"")</f>
        <v>CE-09234</v>
      </c>
      <c r="G97" s="49" t="str">
        <f t="array" ref="G97">IFERROR(_xlfn.XLOOKUP($B97,'Histórico'!$B:$B,'Histórico'!$F:$F),"")</f>
        <v>23/06/2025</v>
      </c>
      <c r="H97" s="19" t="str">
        <f t="array" ref="H97">IFERROR(_xlfn.XLOOKUP($B97,'Histórico'!$B:$B,'Histórico'!$AA:$AA),"")</f>
        <v>ALA 8</v>
      </c>
      <c r="I97" s="19" t="str">
        <f t="array" ref="I97">IFERROR(_xlfn.XLOOKUP($B97,Atual!$B:$B,Atual!$E:$E),"OS concluída")</f>
        <v>REC</v>
      </c>
      <c r="J97" s="19">
        <f t="shared" si="1"/>
        <v>479</v>
      </c>
      <c r="K97" s="19"/>
      <c r="L97" s="19" t="str">
        <f t="shared" si="2"/>
        <v>NÃO APLICÁVEL</v>
      </c>
      <c r="M97" s="19"/>
      <c r="N97" s="49" t="str">
        <f t="array" ref="N97">IFERROR(_xlfn.XLOOKUP($B97,EMPRESA_1!A:A,EMPRESA_1!J:J),"")</f>
        <v>EM REPARO EM GARANTIA</v>
      </c>
      <c r="O97" s="50" t="str">
        <f t="array" ref="O97">IFERROR(_xlfn.XLOOKUP(B97,EMPRESA_1!A:A,EMPRESA_1!K:K),"")
</f>
        <v>WILLIAM</v>
      </c>
      <c r="P97" s="48" t="str">
        <f t="array" ref="P97">IFERROR(_xlfn.XLOOKUP(B97,EMPRESA_1!A:A,EMPRESA_1!L:L),"")</f>
        <v/>
      </c>
      <c r="Q97" s="49" t="str">
        <f t="array" ref="Q97">IFERROR(_xlfn.XLOOKUP(B97,EMPRESA_1!A:A,EMPRESA_1!J:J),"")</f>
        <v>EM REPARO EM GARANTIA</v>
      </c>
      <c r="R97" s="19" t="str">
        <f t="array" ref="R97">IFERROR(_xlfn.XLOOKUP(B97,EMPRESA_1!A:A,EMPRESA_1!M:M),"")</f>
        <v/>
      </c>
      <c r="S97" s="51"/>
      <c r="T97" s="51" t="str">
        <f t="array" ref="T97">IFERROR(_xlfn.XLOOKUP($F97,'Acerto virtual'!$E:$E,'Acerto virtual'!F:F),"")</f>
        <v/>
      </c>
      <c r="U97" s="51" t="str">
        <f t="array" ref="U97">IFERROR(_xlfn.XLOOKUP($F97,'Acerto virtual'!$E:$E,'Acerto virtual'!G:G),"")</f>
        <v/>
      </c>
      <c r="V97" s="51" t="str">
        <f t="array" ref="V97">IFERROR(_xlfn.XLOOKUP($F97,'Acerto virtual'!$E:$E,'Acerto virtual'!H:H),"")</f>
        <v/>
      </c>
      <c r="W97" s="51" t="str">
        <f t="array" ref="W97">IFERROR(_xlfn.XLOOKUP($F97,'Acerto virtual'!$E:$E,'Acerto virtual'!I:I),"")</f>
        <v/>
      </c>
      <c r="X97" s="51" t="str">
        <f t="array" ref="X97">IFERROR(_xlfn.XLOOKUP($F97,'Acerto virtual'!$E:$E,'Acerto virtual'!J:J),"")</f>
        <v/>
      </c>
      <c r="Y97" s="51" t="str">
        <f t="array" ref="Y97">IFERROR(_xlfn.XLOOKUP($F97,'Acerto virtual'!$E:$E,'Acerto virtual'!K:K),"")</f>
        <v/>
      </c>
      <c r="Z97" s="51" t="str">
        <f t="array" ref="Z97">IFERROR(_xlfn.XLOOKUP($F97,'Acerto virtual'!$E:$E,'Acerto virtual'!L:L),"")</f>
        <v/>
      </c>
      <c r="AA97" s="51" t="str">
        <f t="array" ref="AA97">IFERROR(_xlfn.XLOOKUP($F97,'Acerto virtual'!$E:$E,'Acerto virtual'!M:M),"")</f>
        <v/>
      </c>
      <c r="AB97" s="51" t="str">
        <f t="array" ref="AB97">IFERROR(_xlfn.XLOOKUP($F97,'Acerto virtual'!$E:$E,'Acerto virtual'!N:N),"")</f>
        <v/>
      </c>
      <c r="AC97" s="51" t="str">
        <f t="array" ref="AC97">IFERROR(_xlfn.XLOOKUP($F97,'Acerto virtual'!$E:$E,'Acerto virtual'!O:O),"")</f>
        <v/>
      </c>
      <c r="AD97" s="51" t="str">
        <f t="array" ref="AD97">IFERROR(_xlfn.XLOOKUP($F97,'Acerto virtual'!$E:$E,'Acerto virtual'!P:P),"")</f>
        <v/>
      </c>
      <c r="AE97" s="51" t="str">
        <f t="array" ref="AE97">IFERROR(_xlfn.XLOOKUP($F97,'Acerto virtual'!$E:$E,'Acerto virtual'!Q:Q),"")</f>
        <v/>
      </c>
      <c r="AF97" s="51" t="str">
        <f t="array" ref="AF97">IFERROR(_xlfn.XLOOKUP($F97,'Acerto virtual'!$E:$E,'Acerto virtual'!R:R),"")</f>
        <v/>
      </c>
      <c r="AG97" s="51" t="str">
        <f t="array" ref="AG97">IFERROR(_xlfn.XLOOKUP($F97,'Acerto virtual'!$E:$E,'Acerto virtual'!S:S),"")</f>
        <v/>
      </c>
      <c r="AH97" s="51" t="str">
        <f t="array" ref="AH97">IFERROR(_xlfn.XLOOKUP($F97,'Acerto virtual'!$E:$E,'Acerto virtual'!T:T),"")</f>
        <v/>
      </c>
      <c r="AI97" s="51" t="str">
        <f t="array" ref="AI97">IFERROR(_xlfn.XLOOKUP($F97,'Acerto virtual'!$E:$E,'Acerto virtual'!U:U),"")</f>
        <v/>
      </c>
    </row>
    <row r="98" hidden="1">
      <c r="A98" s="47" t="s">
        <v>516</v>
      </c>
      <c r="B98" s="47" t="s">
        <v>517</v>
      </c>
      <c r="C98" s="48" t="str">
        <f t="array" ref="C98">IFERROR(_xlfn.XLOOKUP($B98,'Histórico'!$B:$B,'Histórico'!$I:$I),"")</f>
        <v>C660501-0103</v>
      </c>
      <c r="D98" s="19" t="str">
        <f t="array" ref="D98">IFERROR(_xlfn.XLOOKUP($B98,'Histórico'!$B:$B,'Histórico'!$J:$J),"")</f>
        <v>71379</v>
      </c>
      <c r="E98" s="19" t="str">
        <f t="array" ref="E98">IFERROR(_xlfn.XLOOKUP($B98,'Histórico'!$B:$B,'Histórico'!$K:$K),"")</f>
        <v>COMPASS,SPEC</v>
      </c>
      <c r="F98" s="19" t="str">
        <f t="array" ref="F98">IFERROR(_xlfn.XLOOKUP($B98,'Histórico'!$B:$B,'Histórico'!$L:$L),"")</f>
        <v>CE-08838</v>
      </c>
      <c r="G98" s="49" t="str">
        <f t="array" ref="G98">IFERROR(_xlfn.XLOOKUP($B98,'Histórico'!$B:$B,'Histórico'!$F:$F),"")</f>
        <v>23/06/2025</v>
      </c>
      <c r="H98" s="19" t="str">
        <f t="array" ref="H98">IFERROR(_xlfn.XLOOKUP($B98,'Histórico'!$B:$B,'Histórico'!$AA:$AA),"")</f>
        <v>BABV</v>
      </c>
      <c r="I98" s="19" t="str">
        <f t="array" ref="I98">IFERROR(_xlfn.XLOOKUP($B98,Atual!$B:$B,Atual!$E:$E),"OS concluída")</f>
        <v>OS concluída</v>
      </c>
      <c r="J98" s="19" t="str">
        <f t="shared" si="1"/>
        <v/>
      </c>
      <c r="K98" s="19"/>
      <c r="L98" s="19">
        <f t="shared" si="2"/>
        <v>308</v>
      </c>
      <c r="M98" s="19"/>
      <c r="N98" s="49">
        <f t="array" ref="N98">IFERROR(_xlfn.XLOOKUP($B98,EMPRESA_1!A:A,EMPRESA_1!J:J),"")</f>
        <v>46139</v>
      </c>
      <c r="O98" s="50" t="str">
        <f t="array" ref="O98">IFERROR(_xlfn.XLOOKUP(B98,EMPRESA_1!A:A,EMPRESA_1!K:K),"")
</f>
        <v>PAMA-LS</v>
      </c>
      <c r="P98" s="48" t="str">
        <f t="array" ref="P98">IFERROR(_xlfn.XLOOKUP(B98,EMPRESA_1!A:A,EMPRESA_1!L:L),"")</f>
        <v>682/FAB/26</v>
      </c>
      <c r="Q98" s="49">
        <f t="array" ref="Q98">IFERROR(_xlfn.XLOOKUP(B98,EMPRESA_1!A:A,EMPRESA_1!J:J),"")</f>
        <v>46139</v>
      </c>
      <c r="R98" s="19" t="str">
        <f t="array" ref="R98">IFERROR(_xlfn.XLOOKUP(B98,EMPRESA_1!A:A,EMPRESA_1!M:M),"")</f>
        <v/>
      </c>
      <c r="S98" s="51"/>
      <c r="T98" s="51" t="str">
        <f t="array" ref="T98">IFERROR(_xlfn.XLOOKUP($F98,'Acerto virtual'!$E:$E,'Acerto virtual'!F:F),"")</f>
        <v/>
      </c>
      <c r="U98" s="51" t="str">
        <f t="array" ref="U98">IFERROR(_xlfn.XLOOKUP($F98,'Acerto virtual'!$E:$E,'Acerto virtual'!G:G),"")</f>
        <v/>
      </c>
      <c r="V98" s="51" t="str">
        <f t="array" ref="V98">IFERROR(_xlfn.XLOOKUP($F98,'Acerto virtual'!$E:$E,'Acerto virtual'!H:H),"")</f>
        <v/>
      </c>
      <c r="W98" s="51" t="str">
        <f t="array" ref="W98">IFERROR(_xlfn.XLOOKUP($F98,'Acerto virtual'!$E:$E,'Acerto virtual'!I:I),"")</f>
        <v/>
      </c>
      <c r="X98" s="51" t="str">
        <f t="array" ref="X98">IFERROR(_xlfn.XLOOKUP($F98,'Acerto virtual'!$E:$E,'Acerto virtual'!J:J),"")</f>
        <v/>
      </c>
      <c r="Y98" s="51" t="str">
        <f t="array" ref="Y98">IFERROR(_xlfn.XLOOKUP($F98,'Acerto virtual'!$E:$E,'Acerto virtual'!K:K),"")</f>
        <v/>
      </c>
      <c r="Z98" s="51" t="str">
        <f t="array" ref="Z98">IFERROR(_xlfn.XLOOKUP($F98,'Acerto virtual'!$E:$E,'Acerto virtual'!L:L),"")</f>
        <v/>
      </c>
      <c r="AA98" s="51" t="str">
        <f t="array" ref="AA98">IFERROR(_xlfn.XLOOKUP($F98,'Acerto virtual'!$E:$E,'Acerto virtual'!M:M),"")</f>
        <v/>
      </c>
      <c r="AB98" s="51" t="str">
        <f t="array" ref="AB98">IFERROR(_xlfn.XLOOKUP($F98,'Acerto virtual'!$E:$E,'Acerto virtual'!N:N),"")</f>
        <v/>
      </c>
      <c r="AC98" s="51" t="str">
        <f t="array" ref="AC98">IFERROR(_xlfn.XLOOKUP($F98,'Acerto virtual'!$E:$E,'Acerto virtual'!O:O),"")</f>
        <v/>
      </c>
      <c r="AD98" s="51" t="str">
        <f t="array" ref="AD98">IFERROR(_xlfn.XLOOKUP($F98,'Acerto virtual'!$E:$E,'Acerto virtual'!P:P),"")</f>
        <v/>
      </c>
      <c r="AE98" s="51" t="str">
        <f t="array" ref="AE98">IFERROR(_xlfn.XLOOKUP($F98,'Acerto virtual'!$E:$E,'Acerto virtual'!Q:Q),"")</f>
        <v/>
      </c>
      <c r="AF98" s="51" t="str">
        <f t="array" ref="AF98">IFERROR(_xlfn.XLOOKUP($F98,'Acerto virtual'!$E:$E,'Acerto virtual'!R:R),"")</f>
        <v/>
      </c>
      <c r="AG98" s="51" t="str">
        <f t="array" ref="AG98">IFERROR(_xlfn.XLOOKUP($F98,'Acerto virtual'!$E:$E,'Acerto virtual'!S:S),"")</f>
        <v/>
      </c>
      <c r="AH98" s="51" t="str">
        <f t="array" ref="AH98">IFERROR(_xlfn.XLOOKUP($F98,'Acerto virtual'!$E:$E,'Acerto virtual'!T:T),"")</f>
        <v/>
      </c>
      <c r="AI98" s="51" t="str">
        <f t="array" ref="AI98">IFERROR(_xlfn.XLOOKUP($F98,'Acerto virtual'!$E:$E,'Acerto virtual'!U:U),"")</f>
        <v/>
      </c>
    </row>
    <row r="99">
      <c r="A99" s="47" t="s">
        <v>518</v>
      </c>
      <c r="B99" s="47" t="s">
        <v>519</v>
      </c>
      <c r="C99" s="48" t="str">
        <f t="array" ref="C99">IFERROR(_xlfn.XLOOKUP($B99,'Histórico'!$B:$B,'Histórico'!$I:$I),"")</f>
        <v>799-1</v>
      </c>
      <c r="D99" s="19" t="str">
        <f t="array" ref="D99">IFERROR(_xlfn.XLOOKUP($B99,'Histórico'!$B:$B,'Histórico'!$J:$J),"")</f>
        <v>83326</v>
      </c>
      <c r="E99" s="19" t="str">
        <f t="array" ref="E99">IFERROR(_xlfn.XLOOKUP($B99,'Histórico'!$B:$B,'Histórico'!$K:$K),"")</f>
        <v>TRANSDUCER</v>
      </c>
      <c r="F99" s="52" t="str">
        <f t="array" ref="F99">IFERROR(_xlfn.XLOOKUP($B99,'Histórico'!$B:$B,'Histórico'!$L:$L),"")</f>
        <v>908</v>
      </c>
      <c r="G99" s="49" t="str">
        <f t="array" ref="G99">IFERROR(_xlfn.XLOOKUP($B99,'Histórico'!$B:$B,'Histórico'!$F:$F),"")</f>
        <v>23/06/2025</v>
      </c>
      <c r="H99" s="19" t="str">
        <f t="array" ref="H99">IFERROR(_xlfn.XLOOKUP($B99,'Histórico'!$B:$B,'Histórico'!$AA:$AA),"")</f>
        <v>BANT</v>
      </c>
      <c r="I99" s="19" t="str">
        <f t="array" ref="I99">IFERROR(_xlfn.XLOOKUP($B99,Atual!$B:$B,Atual!$E:$E),"OS concluída")</f>
        <v>REC</v>
      </c>
      <c r="J99" s="19">
        <f t="shared" si="1"/>
        <v>479</v>
      </c>
      <c r="K99" s="19"/>
      <c r="L99" s="19">
        <f t="shared" si="2"/>
        <v>17</v>
      </c>
      <c r="M99" s="19"/>
      <c r="N99" s="49">
        <f t="array" ref="N99">IFERROR(_xlfn.XLOOKUP($B99,EMPRESA_1!A:A,EMPRESA_1!J:J),"")</f>
        <v>45848</v>
      </c>
      <c r="O99" s="50" t="str">
        <f t="array" ref="O99">IFERROR(_xlfn.XLOOKUP(B99,EMPRESA_1!A:A,EMPRESA_1!K:K),"")
</f>
        <v>BANT</v>
      </c>
      <c r="P99" s="19" t="str">
        <f t="array" ref="P99">IFERROR(_xlfn.XLOOKUP(B99,EMPRESA_1!A:A,EMPRESA_1!L:L),"")</f>
        <v>103/C98/2025</v>
      </c>
      <c r="Q99" s="49">
        <f t="array" ref="Q99">IFERROR(_xlfn.XLOOKUP(B99,EMPRESA_1!A:A,EMPRESA_1!J:J),"")</f>
        <v>45848</v>
      </c>
      <c r="R99" s="19" t="str">
        <f t="array" ref="R99">IFERROR(_xlfn.XLOOKUP(B99,EMPRESA_1!A:A,EMPRESA_1!M:M),"")</f>
        <v>148515-04</v>
      </c>
      <c r="S99" s="51"/>
      <c r="T99" s="51" t="str">
        <f t="array" ref="T99">IFERROR(_xlfn.XLOOKUP($F99,'Acerto virtual'!$E:$E,'Acerto virtual'!F:F),"")</f>
        <v/>
      </c>
      <c r="U99" s="51" t="str">
        <f t="array" ref="U99">IFERROR(_xlfn.XLOOKUP($F99,'Acerto virtual'!$E:$E,'Acerto virtual'!G:G),"")</f>
        <v/>
      </c>
      <c r="V99" s="51" t="str">
        <f t="array" ref="V99">IFERROR(_xlfn.XLOOKUP($F99,'Acerto virtual'!$E:$E,'Acerto virtual'!H:H),"")</f>
        <v/>
      </c>
      <c r="W99" s="51" t="str">
        <f t="array" ref="W99">IFERROR(_xlfn.XLOOKUP($F99,'Acerto virtual'!$E:$E,'Acerto virtual'!I:I),"")</f>
        <v/>
      </c>
      <c r="X99" s="51" t="str">
        <f t="array" ref="X99">IFERROR(_xlfn.XLOOKUP($F99,'Acerto virtual'!$E:$E,'Acerto virtual'!J:J),"")</f>
        <v/>
      </c>
      <c r="Y99" s="51" t="str">
        <f t="array" ref="Y99">IFERROR(_xlfn.XLOOKUP($F99,'Acerto virtual'!$E:$E,'Acerto virtual'!K:K),"")</f>
        <v/>
      </c>
      <c r="Z99" s="51" t="str">
        <f t="array" ref="Z99">IFERROR(_xlfn.XLOOKUP($F99,'Acerto virtual'!$E:$E,'Acerto virtual'!L:L),"")</f>
        <v/>
      </c>
      <c r="AA99" s="51" t="str">
        <f t="array" ref="AA99">IFERROR(_xlfn.XLOOKUP($F99,'Acerto virtual'!$E:$E,'Acerto virtual'!M:M),"")</f>
        <v/>
      </c>
      <c r="AB99" s="51" t="str">
        <f t="array" ref="AB99">IFERROR(_xlfn.XLOOKUP($F99,'Acerto virtual'!$E:$E,'Acerto virtual'!N:N),"")</f>
        <v/>
      </c>
      <c r="AC99" s="51" t="str">
        <f t="array" ref="AC99">IFERROR(_xlfn.XLOOKUP($F99,'Acerto virtual'!$E:$E,'Acerto virtual'!O:O),"")</f>
        <v/>
      </c>
      <c r="AD99" s="51" t="str">
        <f t="array" ref="AD99">IFERROR(_xlfn.XLOOKUP($F99,'Acerto virtual'!$E:$E,'Acerto virtual'!P:P),"")</f>
        <v/>
      </c>
      <c r="AE99" s="51" t="str">
        <f t="array" ref="AE99">IFERROR(_xlfn.XLOOKUP($F99,'Acerto virtual'!$E:$E,'Acerto virtual'!Q:Q),"")</f>
        <v/>
      </c>
      <c r="AF99" s="51" t="str">
        <f t="array" ref="AF99">IFERROR(_xlfn.XLOOKUP($F99,'Acerto virtual'!$E:$E,'Acerto virtual'!R:R),"")</f>
        <v/>
      </c>
      <c r="AG99" s="51" t="str">
        <f t="array" ref="AG99">IFERROR(_xlfn.XLOOKUP($F99,'Acerto virtual'!$E:$E,'Acerto virtual'!S:S),"")</f>
        <v/>
      </c>
      <c r="AH99" s="51" t="str">
        <f t="array" ref="AH99">IFERROR(_xlfn.XLOOKUP($F99,'Acerto virtual'!$E:$E,'Acerto virtual'!T:T),"")</f>
        <v/>
      </c>
      <c r="AI99" s="51" t="str">
        <f t="array" ref="AI99">IFERROR(_xlfn.XLOOKUP($F99,'Acerto virtual'!$E:$E,'Acerto virtual'!U:U),"")</f>
        <v/>
      </c>
    </row>
    <row r="100">
      <c r="A100" s="47" t="s">
        <v>520</v>
      </c>
      <c r="B100" s="47" t="s">
        <v>521</v>
      </c>
      <c r="C100" s="48" t="str">
        <f t="array" ref="C100">IFERROR(_xlfn.XLOOKUP($B100,'Histórico'!$B:$B,'Histórico'!$I:$I),"")</f>
        <v>2606013-1RX</v>
      </c>
      <c r="D100" s="19" t="str">
        <f t="array" ref="D100">IFERROR(_xlfn.XLOOKUP($B100,'Histórico'!$B:$B,'Histórico'!$J:$J),"")</f>
        <v>26055</v>
      </c>
      <c r="E100" s="19" t="str">
        <f t="array" ref="E100">IFERROR(_xlfn.XLOOKUP($B100,'Histórico'!$B:$B,'Histórico'!$K:$K),"")</f>
        <v>INDICATOR-PERCENT RPM</v>
      </c>
      <c r="F100" s="52" t="str">
        <f t="array" ref="F100">IFERROR(_xlfn.XLOOKUP($B100,'Histórico'!$B:$B,'Histórico'!$L:$L),"")</f>
        <v>203103</v>
      </c>
      <c r="G100" s="49" t="str">
        <f t="array" ref="G100">IFERROR(_xlfn.XLOOKUP($B100,'Histórico'!$B:$B,'Histórico'!$F:$F),"")</f>
        <v>02/07/2025</v>
      </c>
      <c r="H100" s="19" t="str">
        <f t="array" ref="H100">IFERROR(_xlfn.XLOOKUP($B100,'Histórico'!$B:$B,'Histórico'!$AA:$AA),"")</f>
        <v>BABR</v>
      </c>
      <c r="I100" s="19" t="str">
        <f t="array" ref="I100">IFERROR(_xlfn.XLOOKUP($B100,Atual!$B:$B,Atual!$E:$E),"OS concluída")</f>
        <v>REC</v>
      </c>
      <c r="J100" s="19">
        <f t="shared" si="1"/>
        <v>470</v>
      </c>
      <c r="K100" s="19"/>
      <c r="L100" s="19">
        <f t="shared" si="2"/>
        <v>20</v>
      </c>
      <c r="M100" s="19"/>
      <c r="N100" s="49">
        <f t="array" ref="N100">IFERROR(_xlfn.XLOOKUP($B100,EMPRESA_1!A:A,EMPRESA_1!J:J),"")</f>
        <v>45860</v>
      </c>
      <c r="O100" s="50" t="str">
        <f t="array" ref="O100">IFERROR(_xlfn.XLOOKUP(B100,EMPRESA_1!A:A,EMPRESA_1!K:K),"")
</f>
        <v>BANT</v>
      </c>
      <c r="P100" s="19" t="str">
        <f t="array" ref="P100">IFERROR(_xlfn.XLOOKUP(B100,EMPRESA_1!A:A,EMPRESA_1!L:L),"")</f>
        <v>1049/LS-C98/2025</v>
      </c>
      <c r="Q100" s="49">
        <f t="array" ref="Q100">IFERROR(_xlfn.XLOOKUP(B100,EMPRESA_1!A:A,EMPRESA_1!J:J),"")</f>
        <v>45860</v>
      </c>
      <c r="R100" s="19" t="str">
        <f t="array" ref="R100">IFERROR(_xlfn.XLOOKUP(B100,EMPRESA_1!A:A,EMPRESA_1!M:M),"")</f>
        <v/>
      </c>
      <c r="S100" s="51"/>
      <c r="T100" s="51" t="str">
        <f t="array" ref="T100">IFERROR(_xlfn.XLOOKUP($F100,'Acerto virtual'!$E:$E,'Acerto virtual'!F:F),"")</f>
        <v>026/2025</v>
      </c>
      <c r="U100" s="51" t="str">
        <f t="array" ref="U100">IFERROR(_xlfn.XLOOKUP($F100,'Acerto virtual'!$E:$E,'Acerto virtual'!G:G),"")</f>
        <v>02/08</v>
      </c>
      <c r="V100" s="51" t="str">
        <f t="array" ref="V100">IFERROR(_xlfn.XLOOKUP($F100,'Acerto virtual'!$E:$E,'Acerto virtual'!H:H),"")</f>
        <v>30/01</v>
      </c>
      <c r="W100" s="51" t="str">
        <f t="array" ref="W100">IFERROR(_xlfn.XLOOKUP($F100,'Acerto virtual'!$E:$E,'Acerto virtual'!I:I),"")</f>
        <v>CERTIFICADO e colocar SN no termo</v>
      </c>
      <c r="X100" s="51" t="str">
        <f t="array" ref="X100">IFERROR(_xlfn.XLOOKUP($F100,'Acerto virtual'!$E:$E,'Acerto virtual'!J:J),"")</f>
        <v/>
      </c>
      <c r="Y100" s="51" t="str">
        <f t="array" ref="Y100">IFERROR(_xlfn.XLOOKUP($F100,'Acerto virtual'!$E:$E,'Acerto virtual'!K:K),"")</f>
        <v/>
      </c>
      <c r="Z100" s="51" t="str">
        <f t="array" ref="Z100">IFERROR(_xlfn.XLOOKUP($F100,'Acerto virtual'!$E:$E,'Acerto virtual'!L:L),"")</f>
        <v/>
      </c>
      <c r="AA100" s="51" t="str">
        <f t="array" ref="AA100">IFERROR(_xlfn.XLOOKUP($F100,'Acerto virtual'!$E:$E,'Acerto virtual'!M:M),"")</f>
        <v/>
      </c>
      <c r="AB100" s="51" t="str">
        <f t="array" ref="AB100">IFERROR(_xlfn.XLOOKUP($F100,'Acerto virtual'!$E:$E,'Acerto virtual'!N:N),"")</f>
        <v/>
      </c>
      <c r="AC100" s="51" t="str">
        <f t="array" ref="AC100">IFERROR(_xlfn.XLOOKUP($F100,'Acerto virtual'!$E:$E,'Acerto virtual'!O:O),"")</f>
        <v/>
      </c>
      <c r="AD100" s="51" t="str">
        <f t="array" ref="AD100">IFERROR(_xlfn.XLOOKUP($F100,'Acerto virtual'!$E:$E,'Acerto virtual'!P:P),"")</f>
        <v/>
      </c>
      <c r="AE100" s="51" t="str">
        <f t="array" ref="AE100">IFERROR(_xlfn.XLOOKUP($F100,'Acerto virtual'!$E:$E,'Acerto virtual'!Q:Q),"")</f>
        <v/>
      </c>
      <c r="AF100" s="51" t="str">
        <f t="array" ref="AF100">IFERROR(_xlfn.XLOOKUP($F100,'Acerto virtual'!$E:$E,'Acerto virtual'!R:R),"")</f>
        <v/>
      </c>
      <c r="AG100" s="51" t="str">
        <f t="array" ref="AG100">IFERROR(_xlfn.XLOOKUP($F100,'Acerto virtual'!$E:$E,'Acerto virtual'!S:S),"")</f>
        <v/>
      </c>
      <c r="AH100" s="51" t="str">
        <f t="array" ref="AH100">IFERROR(_xlfn.XLOOKUP($F100,'Acerto virtual'!$E:$E,'Acerto virtual'!T:T),"")</f>
        <v/>
      </c>
      <c r="AI100" s="51" t="str">
        <f t="array" ref="AI100">IFERROR(_xlfn.XLOOKUP($F100,'Acerto virtual'!$E:$E,'Acerto virtual'!U:U),"")</f>
        <v/>
      </c>
    </row>
    <row r="101">
      <c r="A101" s="47" t="s">
        <v>522</v>
      </c>
      <c r="B101" s="47" t="s">
        <v>523</v>
      </c>
      <c r="C101" s="48" t="str">
        <f t="array" ref="C101">IFERROR(_xlfn.XLOOKUP($B101,'Histórico'!$B:$B,'Histórico'!$I:$I),"")</f>
        <v>069-1025-25</v>
      </c>
      <c r="D101" s="19" t="str">
        <f t="array" ref="D101">IFERROR(_xlfn.XLOOKUP($B101,'Histórico'!$B:$B,'Histórico'!$J:$J),"")</f>
        <v>22373</v>
      </c>
      <c r="E101" s="19" t="str">
        <f t="array" ref="E101">IFERROR(_xlfn.XLOOKUP($B101,'Histórico'!$B:$B,'Histórico'!$K:$K),"")</f>
        <v>RECEIVER-TRANSMITTER,RADIO - KX165</v>
      </c>
      <c r="F101" s="19" t="str">
        <f t="array" ref="F101">IFERROR(_xlfn.XLOOKUP($B101,'Histórico'!$B:$B,'Histórico'!$L:$L),"")</f>
        <v>56422</v>
      </c>
      <c r="G101" s="49" t="str">
        <f t="array" ref="G101">IFERROR(_xlfn.XLOOKUP($B101,'Histórico'!$B:$B,'Histórico'!$F:$F),"")</f>
        <v>02/07/2025</v>
      </c>
      <c r="H101" s="19" t="str">
        <f t="array" ref="H101">IFERROR(_xlfn.XLOOKUP($B101,'Histórico'!$B:$B,'Histórico'!$AA:$AA),"")</f>
        <v>ALA 9</v>
      </c>
      <c r="I101" s="19" t="str">
        <f t="array" ref="I101">IFERROR(_xlfn.XLOOKUP($B101,Atual!$B:$B,Atual!$E:$E),"OS concluída")</f>
        <v>REC</v>
      </c>
      <c r="J101" s="19">
        <f t="shared" si="1"/>
        <v>470</v>
      </c>
      <c r="K101" s="19"/>
      <c r="L101" s="19" t="str">
        <f t="shared" si="2"/>
        <v>NÃO APLICÁVEL</v>
      </c>
      <c r="M101" s="19"/>
      <c r="N101" s="49" t="str">
        <f t="array" ref="N101">IFERROR(_xlfn.XLOOKUP($B101,EMPRESA_1!A:A,EMPRESA_1!J:J),"")</f>
        <v>EM REPARO</v>
      </c>
      <c r="O101" s="50" t="str">
        <f t="array" ref="O101">IFERROR(_xlfn.XLOOKUP(B101,EMPRESA_1!A:A,EMPRESA_1!K:K),"")
</f>
        <v>WILLIAM</v>
      </c>
      <c r="P101" s="48" t="str">
        <f t="array" ref="P101">IFERROR(_xlfn.XLOOKUP(B101,EMPRESA_1!A:A,EMPRESA_1!L:L),"")</f>
        <v/>
      </c>
      <c r="Q101" s="49" t="str">
        <f t="array" ref="Q101">IFERROR(_xlfn.XLOOKUP(B101,EMPRESA_1!A:A,EMPRESA_1!J:J),"")</f>
        <v>EM REPARO</v>
      </c>
      <c r="R101" s="19" t="str">
        <f t="array" ref="R101">IFERROR(_xlfn.XLOOKUP(B101,EMPRESA_1!A:A,EMPRESA_1!M:M),"")</f>
        <v/>
      </c>
      <c r="S101" s="51"/>
      <c r="T101" s="51" t="str">
        <f t="array" ref="T101">IFERROR(_xlfn.XLOOKUP($F101,'Acerto virtual'!$E:$E,'Acerto virtual'!F:F),"")</f>
        <v/>
      </c>
      <c r="U101" s="51" t="str">
        <f t="array" ref="U101">IFERROR(_xlfn.XLOOKUP($F101,'Acerto virtual'!$E:$E,'Acerto virtual'!G:G),"")</f>
        <v/>
      </c>
      <c r="V101" s="51" t="str">
        <f t="array" ref="V101">IFERROR(_xlfn.XLOOKUP($F101,'Acerto virtual'!$E:$E,'Acerto virtual'!H:H),"")</f>
        <v/>
      </c>
      <c r="W101" s="51" t="str">
        <f t="array" ref="W101">IFERROR(_xlfn.XLOOKUP($F101,'Acerto virtual'!$E:$E,'Acerto virtual'!I:I),"")</f>
        <v/>
      </c>
      <c r="X101" s="51" t="str">
        <f t="array" ref="X101">IFERROR(_xlfn.XLOOKUP($F101,'Acerto virtual'!$E:$E,'Acerto virtual'!J:J),"")</f>
        <v/>
      </c>
      <c r="Y101" s="51" t="str">
        <f t="array" ref="Y101">IFERROR(_xlfn.XLOOKUP($F101,'Acerto virtual'!$E:$E,'Acerto virtual'!K:K),"")</f>
        <v/>
      </c>
      <c r="Z101" s="51" t="str">
        <f t="array" ref="Z101">IFERROR(_xlfn.XLOOKUP($F101,'Acerto virtual'!$E:$E,'Acerto virtual'!L:L),"")</f>
        <v/>
      </c>
      <c r="AA101" s="51" t="str">
        <f t="array" ref="AA101">IFERROR(_xlfn.XLOOKUP($F101,'Acerto virtual'!$E:$E,'Acerto virtual'!M:M),"")</f>
        <v/>
      </c>
      <c r="AB101" s="51" t="str">
        <f t="array" ref="AB101">IFERROR(_xlfn.XLOOKUP($F101,'Acerto virtual'!$E:$E,'Acerto virtual'!N:N),"")</f>
        <v/>
      </c>
      <c r="AC101" s="51" t="str">
        <f t="array" ref="AC101">IFERROR(_xlfn.XLOOKUP($F101,'Acerto virtual'!$E:$E,'Acerto virtual'!O:O),"")</f>
        <v/>
      </c>
      <c r="AD101" s="51" t="str">
        <f t="array" ref="AD101">IFERROR(_xlfn.XLOOKUP($F101,'Acerto virtual'!$E:$E,'Acerto virtual'!P:P),"")</f>
        <v/>
      </c>
      <c r="AE101" s="51" t="str">
        <f t="array" ref="AE101">IFERROR(_xlfn.XLOOKUP($F101,'Acerto virtual'!$E:$E,'Acerto virtual'!Q:Q),"")</f>
        <v/>
      </c>
      <c r="AF101" s="51" t="str">
        <f t="array" ref="AF101">IFERROR(_xlfn.XLOOKUP($F101,'Acerto virtual'!$E:$E,'Acerto virtual'!R:R),"")</f>
        <v/>
      </c>
      <c r="AG101" s="51" t="str">
        <f t="array" ref="AG101">IFERROR(_xlfn.XLOOKUP($F101,'Acerto virtual'!$E:$E,'Acerto virtual'!S:S),"")</f>
        <v/>
      </c>
      <c r="AH101" s="51" t="str">
        <f t="array" ref="AH101">IFERROR(_xlfn.XLOOKUP($F101,'Acerto virtual'!$E:$E,'Acerto virtual'!T:T),"")</f>
        <v/>
      </c>
      <c r="AI101" s="51" t="str">
        <f t="array" ref="AI101">IFERROR(_xlfn.XLOOKUP($F101,'Acerto virtual'!$E:$E,'Acerto virtual'!U:U),"")</f>
        <v/>
      </c>
    </row>
    <row r="102" hidden="1">
      <c r="A102" s="47" t="s">
        <v>524</v>
      </c>
      <c r="B102" s="47" t="s">
        <v>525</v>
      </c>
      <c r="C102" s="19" t="str">
        <f t="array" ref="C102">IFERROR(_xlfn.XLOOKUP($B102,'Histórico'!$B:$B,'Histórico'!$I:$I),"")</f>
        <v>453-5000-710</v>
      </c>
      <c r="D102" s="19" t="str">
        <f t="array" ref="D102">IFERROR(_xlfn.XLOOKUP($B102,'Histórico'!$B:$B,'Histórico'!$J:$J),"")</f>
        <v>18560</v>
      </c>
      <c r="E102" s="19" t="str">
        <f t="array" ref="E102">IFERROR(_xlfn.XLOOKUP($B102,'Histórico'!$B:$B,'Histórico'!$K:$K),"")</f>
        <v>EMERGENCY LOCATOR TRANSMITTER MODEL C406-2</v>
      </c>
      <c r="F102" s="19" t="str">
        <f t="array" ref="F102">IFERROR(_xlfn.XLOOKUP($B102,'Histórico'!$B:$B,'Histórico'!$L:$L),"")</f>
        <v>07915</v>
      </c>
      <c r="G102" s="49" t="str">
        <f t="array" ref="G102">IFERROR(_xlfn.XLOOKUP($B102,'Histórico'!$B:$B,'Histórico'!$F:$F),"")</f>
        <v>02/07/2025</v>
      </c>
      <c r="H102" s="19" t="str">
        <f t="array" ref="H102">IFERROR(_xlfn.XLOOKUP($B102,'Histórico'!$B:$B,'Histórico'!$AA:$AA),"")</f>
        <v>PAMASP</v>
      </c>
      <c r="I102" s="19" t="str">
        <f t="array" ref="I102">IFERROR(_xlfn.XLOOKUP($B102,Atual!$B:$B,Atual!$E:$E),"OS concluída")</f>
        <v>OS concluída</v>
      </c>
      <c r="J102" s="19" t="str">
        <f t="shared" si="1"/>
        <v/>
      </c>
      <c r="K102" s="19"/>
      <c r="L102" s="19" t="str">
        <f t="shared" si="2"/>
        <v/>
      </c>
      <c r="M102" s="19"/>
      <c r="N102" s="49" t="str">
        <f t="array" ref="N102">IFERROR(_xlfn.XLOOKUP($B102,Empresa!G:G,Empresa!K:K),"")</f>
        <v/>
      </c>
      <c r="O102" s="49"/>
      <c r="P102" s="19" t="str">
        <f t="array" ref="P102">IFERROR(_xlfn.XLOOKUP($F102,'Vee one'!F:F,'Vee one'!O:O),"")</f>
        <v/>
      </c>
      <c r="Q102" s="19" t="str">
        <f t="array" ref="Q102">IFERROR(_xlfn.XLOOKUP($F102,'Vee one'!F:F,'Vee one'!K:K),"")</f>
        <v/>
      </c>
      <c r="R102" s="19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</row>
    <row r="103" hidden="1">
      <c r="A103" s="47" t="s">
        <v>526</v>
      </c>
      <c r="B103" s="47" t="s">
        <v>527</v>
      </c>
      <c r="C103" s="48" t="str">
        <f t="array" ref="C103">IFERROR(_xlfn.XLOOKUP($B103,'Histórico'!$B:$B,'Histórico'!$I:$I),"")</f>
        <v>C352TS</v>
      </c>
      <c r="D103" s="19" t="str">
        <f t="array" ref="D103">IFERROR(_xlfn.XLOOKUP($B103,'Histórico'!$B:$B,'Histórico'!$J:$J),"")</f>
        <v>54905</v>
      </c>
      <c r="E103" s="19" t="str">
        <f t="array" ref="E103">IFERROR(_xlfn.XLOOKUP($B103,'Histórico'!$B:$B,'Histórico'!$K:$K),"")</f>
        <v>EXTINGUISHER,FIRE</v>
      </c>
      <c r="F103" s="19" t="str">
        <f t="array" ref="F103">IFERROR(_xlfn.XLOOKUP($B103,'Histórico'!$B:$B,'Histórico'!$L:$L),"")</f>
        <v>X-330970</v>
      </c>
      <c r="G103" s="49" t="str">
        <f t="array" ref="G103">IFERROR(_xlfn.XLOOKUP($B103,'Histórico'!$B:$B,'Histórico'!$F:$F),"")</f>
        <v>02/07/2025</v>
      </c>
      <c r="H103" s="19" t="str">
        <f t="array" ref="H103">IFERROR(_xlfn.XLOOKUP($B103,'Histórico'!$B:$B,'Histórico'!$AA:$AA),"")</f>
        <v>PAMALS</v>
      </c>
      <c r="I103" s="19" t="str">
        <f t="array" ref="I103">IFERROR(_xlfn.XLOOKUP($B103,Atual!$B:$B,Atual!$E:$E),"OS concluída")</f>
        <v>OS concluída</v>
      </c>
      <c r="J103" s="19" t="str">
        <f t="shared" si="1"/>
        <v/>
      </c>
      <c r="K103" s="19"/>
      <c r="L103" s="19">
        <f t="shared" si="2"/>
        <v>348</v>
      </c>
      <c r="M103" s="19"/>
      <c r="N103" s="49">
        <f t="array" ref="N103">IFERROR(_xlfn.XLOOKUP($B103,EMPRESA_1!A:A,EMPRESA_1!J:J),"")</f>
        <v>46188</v>
      </c>
      <c r="O103" s="50" t="str">
        <f t="array" ref="O103">IFERROR(_xlfn.XLOOKUP(B103,EMPRESA_1!A:A,EMPRESA_1!K:K),"")
</f>
        <v>PAMA-LS</v>
      </c>
      <c r="P103" s="48" t="str">
        <f t="array" ref="P103">IFERROR(_xlfn.XLOOKUP(B103,EMPRESA_1!A:A,EMPRESA_1!L:L),"")</f>
        <v>682/FAB/26</v>
      </c>
      <c r="Q103" s="49">
        <f t="array" ref="Q103">IFERROR(_xlfn.XLOOKUP(B103,EMPRESA_1!A:A,EMPRESA_1!J:J),"")</f>
        <v>46188</v>
      </c>
      <c r="R103" s="19" t="str">
        <f t="array" ref="R103">IFERROR(_xlfn.XLOOKUP(B103,EMPRESA_1!A:A,EMPRESA_1!M:M),"")</f>
        <v/>
      </c>
      <c r="S103" s="51"/>
      <c r="T103" s="51" t="str">
        <f t="array" ref="T103">IFERROR(_xlfn.XLOOKUP($F103,'Acerto virtual'!$E:$E,'Acerto virtual'!F:F),"")</f>
        <v/>
      </c>
      <c r="U103" s="51" t="str">
        <f t="array" ref="U103">IFERROR(_xlfn.XLOOKUP($F103,'Acerto virtual'!$E:$E,'Acerto virtual'!G:G),"")</f>
        <v/>
      </c>
      <c r="V103" s="51" t="str">
        <f t="array" ref="V103">IFERROR(_xlfn.XLOOKUP($F103,'Acerto virtual'!$E:$E,'Acerto virtual'!H:H),"")</f>
        <v/>
      </c>
      <c r="W103" s="51" t="str">
        <f t="array" ref="W103">IFERROR(_xlfn.XLOOKUP($F103,'Acerto virtual'!$E:$E,'Acerto virtual'!I:I),"")</f>
        <v/>
      </c>
      <c r="X103" s="51" t="str">
        <f t="array" ref="X103">IFERROR(_xlfn.XLOOKUP($F103,'Acerto virtual'!$E:$E,'Acerto virtual'!J:J),"")</f>
        <v/>
      </c>
      <c r="Y103" s="51" t="str">
        <f t="array" ref="Y103">IFERROR(_xlfn.XLOOKUP($F103,'Acerto virtual'!$E:$E,'Acerto virtual'!K:K),"")</f>
        <v/>
      </c>
      <c r="Z103" s="51" t="str">
        <f t="array" ref="Z103">IFERROR(_xlfn.XLOOKUP($F103,'Acerto virtual'!$E:$E,'Acerto virtual'!L:L),"")</f>
        <v/>
      </c>
      <c r="AA103" s="51" t="str">
        <f t="array" ref="AA103">IFERROR(_xlfn.XLOOKUP($F103,'Acerto virtual'!$E:$E,'Acerto virtual'!M:M),"")</f>
        <v/>
      </c>
      <c r="AB103" s="51" t="str">
        <f t="array" ref="AB103">IFERROR(_xlfn.XLOOKUP($F103,'Acerto virtual'!$E:$E,'Acerto virtual'!N:N),"")</f>
        <v/>
      </c>
      <c r="AC103" s="51" t="str">
        <f t="array" ref="AC103">IFERROR(_xlfn.XLOOKUP($F103,'Acerto virtual'!$E:$E,'Acerto virtual'!O:O),"")</f>
        <v/>
      </c>
      <c r="AD103" s="51" t="str">
        <f t="array" ref="AD103">IFERROR(_xlfn.XLOOKUP($F103,'Acerto virtual'!$E:$E,'Acerto virtual'!P:P),"")</f>
        <v/>
      </c>
      <c r="AE103" s="51" t="str">
        <f t="array" ref="AE103">IFERROR(_xlfn.XLOOKUP($F103,'Acerto virtual'!$E:$E,'Acerto virtual'!Q:Q),"")</f>
        <v/>
      </c>
      <c r="AF103" s="51" t="str">
        <f t="array" ref="AF103">IFERROR(_xlfn.XLOOKUP($F103,'Acerto virtual'!$E:$E,'Acerto virtual'!R:R),"")</f>
        <v/>
      </c>
      <c r="AG103" s="51" t="str">
        <f t="array" ref="AG103">IFERROR(_xlfn.XLOOKUP($F103,'Acerto virtual'!$E:$E,'Acerto virtual'!S:S),"")</f>
        <v/>
      </c>
      <c r="AH103" s="51" t="str">
        <f t="array" ref="AH103">IFERROR(_xlfn.XLOOKUP($F103,'Acerto virtual'!$E:$E,'Acerto virtual'!T:T),"")</f>
        <v/>
      </c>
      <c r="AI103" s="51" t="str">
        <f t="array" ref="AI103">IFERROR(_xlfn.XLOOKUP($F103,'Acerto virtual'!$E:$E,'Acerto virtual'!U:U),"")</f>
        <v/>
      </c>
    </row>
    <row r="104" hidden="1">
      <c r="A104" s="47" t="s">
        <v>528</v>
      </c>
      <c r="B104" s="47" t="s">
        <v>529</v>
      </c>
      <c r="C104" s="19" t="str">
        <f t="array" ref="C104">IFERROR(_xlfn.XLOOKUP($B104,'Histórico'!$B:$B,'Histórico'!$I:$I),"")</f>
        <v>C352TS</v>
      </c>
      <c r="D104" s="19" t="str">
        <f t="array" ref="D104">IFERROR(_xlfn.XLOOKUP($B104,'Histórico'!$B:$B,'Histórico'!$J:$J),"")</f>
        <v>54905</v>
      </c>
      <c r="E104" s="19" t="str">
        <f t="array" ref="E104">IFERROR(_xlfn.XLOOKUP($B104,'Histórico'!$B:$B,'Histórico'!$K:$K),"")</f>
        <v>EXTINGUISHER,FIRE</v>
      </c>
      <c r="F104" s="19" t="str">
        <f t="array" ref="F104">IFERROR(_xlfn.XLOOKUP($B104,'Histórico'!$B:$B,'Histórico'!$L:$L),"")</f>
        <v>X-412785</v>
      </c>
      <c r="G104" s="49" t="str">
        <f t="array" ref="G104">IFERROR(_xlfn.XLOOKUP($B104,'Histórico'!$B:$B,'Histórico'!$F:$F),"")</f>
        <v>02/07/2025</v>
      </c>
      <c r="H104" s="19" t="str">
        <f t="array" ref="H104">IFERROR(_xlfn.XLOOKUP($B104,'Histórico'!$B:$B,'Histórico'!$AA:$AA),"")</f>
        <v>PAMALS</v>
      </c>
      <c r="I104" s="19" t="str">
        <f t="array" ref="I104">IFERROR(_xlfn.XLOOKUP($B104,Atual!$B:$B,Atual!$E:$E),"OS concluída")</f>
        <v>OS concluída</v>
      </c>
      <c r="J104" s="19" t="str">
        <f t="shared" si="1"/>
        <v/>
      </c>
      <c r="K104" s="19"/>
      <c r="L104" s="19" t="str">
        <f t="shared" si="2"/>
        <v/>
      </c>
      <c r="M104" s="19"/>
      <c r="N104" s="49" t="str">
        <f t="shared" ref="N104:N106" si="28">IFERROR(_xlfn.XLOOKUP($B104,Empresa!G:G,Empresa!K:K),"")</f>
        <v/>
      </c>
      <c r="O104" s="49"/>
      <c r="P104" s="19" t="str">
        <f t="shared" ref="P104:P106" si="29">IFERROR(_xlfn.XLOOKUP($F104,'Vee one'!F:F,'Vee one'!O:O),"")</f>
        <v/>
      </c>
      <c r="Q104" s="19" t="str">
        <f t="shared" ref="Q104:Q106" si="30">IFERROR(_xlfn.XLOOKUP($F104,'Vee one'!F:F,'Vee one'!K:K),"")</f>
        <v/>
      </c>
      <c r="R104" s="19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</row>
    <row r="105" hidden="1">
      <c r="A105" s="47" t="s">
        <v>530</v>
      </c>
      <c r="B105" s="47" t="s">
        <v>531</v>
      </c>
      <c r="C105" s="19" t="str">
        <f t="array" ref="C105">IFERROR(_xlfn.XLOOKUP($B105,'Histórico'!$B:$B,'Histórico'!$I:$I),"")</f>
        <v>C352TS</v>
      </c>
      <c r="D105" s="19" t="str">
        <f t="array" ref="D105">IFERROR(_xlfn.XLOOKUP($B105,'Histórico'!$B:$B,'Histórico'!$J:$J),"")</f>
        <v>54905</v>
      </c>
      <c r="E105" s="19" t="str">
        <f t="array" ref="E105">IFERROR(_xlfn.XLOOKUP($B105,'Histórico'!$B:$B,'Histórico'!$K:$K),"")</f>
        <v>EXTINGUISHER,FIRE</v>
      </c>
      <c r="F105" s="19" t="str">
        <f t="array" ref="F105">IFERROR(_xlfn.XLOOKUP($B105,'Histórico'!$B:$B,'Histórico'!$L:$L),"")</f>
        <v>B10811721</v>
      </c>
      <c r="G105" s="49" t="str">
        <f t="array" ref="G105">IFERROR(_xlfn.XLOOKUP($B105,'Histórico'!$B:$B,'Histórico'!$F:$F),"")</f>
        <v>02/07/2025</v>
      </c>
      <c r="H105" s="19" t="str">
        <f t="array" ref="H105">IFERROR(_xlfn.XLOOKUP($B105,'Histórico'!$B:$B,'Histórico'!$AA:$AA),"")</f>
        <v>PAMALS</v>
      </c>
      <c r="I105" s="19" t="str">
        <f t="array" ref="I105">IFERROR(_xlfn.XLOOKUP($B105,Atual!$B:$B,Atual!$E:$E),"OS concluída")</f>
        <v>OS concluída</v>
      </c>
      <c r="J105" s="19" t="str">
        <f t="shared" si="1"/>
        <v/>
      </c>
      <c r="K105" s="19"/>
      <c r="L105" s="19" t="str">
        <f t="shared" si="2"/>
        <v/>
      </c>
      <c r="M105" s="19"/>
      <c r="N105" s="49" t="str">
        <f t="shared" si="28"/>
        <v/>
      </c>
      <c r="O105" s="49"/>
      <c r="P105" s="19" t="str">
        <f t="shared" si="29"/>
        <v/>
      </c>
      <c r="Q105" s="19" t="str">
        <f t="shared" si="30"/>
        <v/>
      </c>
      <c r="R105" s="19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</row>
    <row r="106" hidden="1">
      <c r="A106" s="47" t="s">
        <v>532</v>
      </c>
      <c r="B106" s="47" t="s">
        <v>533</v>
      </c>
      <c r="C106" s="19" t="str">
        <f t="array" ref="C106">IFERROR(_xlfn.XLOOKUP($B106,'Histórico'!$B:$B,'Histórico'!$I:$I),"")</f>
        <v>C352TS</v>
      </c>
      <c r="D106" s="19" t="str">
        <f t="array" ref="D106">IFERROR(_xlfn.XLOOKUP($B106,'Histórico'!$B:$B,'Histórico'!$J:$J),"")</f>
        <v>54905</v>
      </c>
      <c r="E106" s="19" t="str">
        <f t="array" ref="E106">IFERROR(_xlfn.XLOOKUP($B106,'Histórico'!$B:$B,'Histórico'!$K:$K),"")</f>
        <v>EXTINGUISHER,FIRE</v>
      </c>
      <c r="F106" s="19" t="str">
        <f t="array" ref="F106">IFERROR(_xlfn.XLOOKUP($B106,'Histórico'!$B:$B,'Histórico'!$L:$L),"")</f>
        <v>X330978</v>
      </c>
      <c r="G106" s="49" t="str">
        <f t="array" ref="G106">IFERROR(_xlfn.XLOOKUP($B106,'Histórico'!$B:$B,'Histórico'!$F:$F),"")</f>
        <v>02/07/2025</v>
      </c>
      <c r="H106" s="19" t="str">
        <f t="array" ref="H106">IFERROR(_xlfn.XLOOKUP($B106,'Histórico'!$B:$B,'Histórico'!$AA:$AA),"")</f>
        <v>PAMAGL</v>
      </c>
      <c r="I106" s="19" t="str">
        <f t="array" ref="I106">IFERROR(_xlfn.XLOOKUP($B106,Atual!$B:$B,Atual!$E:$E),"OS concluída")</f>
        <v>OS concluída</v>
      </c>
      <c r="J106" s="19" t="str">
        <f t="shared" si="1"/>
        <v/>
      </c>
      <c r="K106" s="19"/>
      <c r="L106" s="19" t="str">
        <f t="shared" si="2"/>
        <v/>
      </c>
      <c r="M106" s="19"/>
      <c r="N106" s="49" t="str">
        <f t="shared" si="28"/>
        <v/>
      </c>
      <c r="O106" s="49"/>
      <c r="P106" s="19" t="str">
        <f t="shared" si="29"/>
        <v/>
      </c>
      <c r="Q106" s="19" t="str">
        <f t="shared" si="30"/>
        <v/>
      </c>
      <c r="R106" s="19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</row>
    <row r="107" hidden="1">
      <c r="A107" s="47" t="s">
        <v>534</v>
      </c>
      <c r="B107" s="47" t="s">
        <v>535</v>
      </c>
      <c r="C107" s="48" t="str">
        <f t="array" ref="C107">IFERROR(_xlfn.XLOOKUP($B107,'Histórico'!$B:$B,'Histórico'!$I:$I),"")</f>
        <v>C352TS</v>
      </c>
      <c r="D107" s="19" t="str">
        <f t="array" ref="D107">IFERROR(_xlfn.XLOOKUP($B107,'Histórico'!$B:$B,'Histórico'!$J:$J),"")</f>
        <v>54905</v>
      </c>
      <c r="E107" s="19" t="str">
        <f t="array" ref="E107">IFERROR(_xlfn.XLOOKUP($B107,'Histórico'!$B:$B,'Histórico'!$K:$K),"")</f>
        <v>EXTINGUISHER,FIRE</v>
      </c>
      <c r="F107" s="19" t="str">
        <f t="array" ref="F107">IFERROR(_xlfn.XLOOKUP($B107,'Histórico'!$B:$B,'Histórico'!$L:$L),"")</f>
        <v>X-467664</v>
      </c>
      <c r="G107" s="49" t="str">
        <f t="array" ref="G107">IFERROR(_xlfn.XLOOKUP($B107,'Histórico'!$B:$B,'Histórico'!$F:$F),"")</f>
        <v>02/07/2025</v>
      </c>
      <c r="H107" s="19" t="str">
        <f t="array" ref="H107">IFERROR(_xlfn.XLOOKUP($B107,'Histórico'!$B:$B,'Histórico'!$AA:$AA),"")</f>
        <v>2 ETA</v>
      </c>
      <c r="I107" s="19" t="str">
        <f t="array" ref="I107">IFERROR(_xlfn.XLOOKUP($B107,Atual!$B:$B,Atual!$E:$E),"OS concluída")</f>
        <v>OS concluída</v>
      </c>
      <c r="J107" s="19" t="str">
        <f t="shared" si="1"/>
        <v/>
      </c>
      <c r="K107" s="19"/>
      <c r="L107" s="19">
        <f t="shared" si="2"/>
        <v>348</v>
      </c>
      <c r="M107" s="19"/>
      <c r="N107" s="49">
        <f t="array" ref="N107">IFERROR(_xlfn.XLOOKUP($B107,EMPRESA_1!A:A,EMPRESA_1!J:J),"")</f>
        <v>46188</v>
      </c>
      <c r="O107" s="50" t="str">
        <f t="array" ref="O107">IFERROR(_xlfn.XLOOKUP(B107,EMPRESA_1!A:A,EMPRESA_1!K:K),"")
</f>
        <v>PAMA-LS</v>
      </c>
      <c r="P107" s="48" t="str">
        <f t="array" ref="P107">IFERROR(_xlfn.XLOOKUP(B107,EMPRESA_1!A:A,EMPRESA_1!L:L),"")</f>
        <v>682/FAB/26</v>
      </c>
      <c r="Q107" s="49">
        <f t="array" ref="Q107">IFERROR(_xlfn.XLOOKUP(B107,EMPRESA_1!A:A,EMPRESA_1!J:J),"")</f>
        <v>46188</v>
      </c>
      <c r="R107" s="19" t="str">
        <f t="array" ref="R107">IFERROR(_xlfn.XLOOKUP(B107,EMPRESA_1!A:A,EMPRESA_1!M:M),"")</f>
        <v/>
      </c>
      <c r="S107" s="51"/>
      <c r="T107" s="51" t="str">
        <f t="array" ref="T107">IFERROR(_xlfn.XLOOKUP($F107,'Acerto virtual'!$E:$E,'Acerto virtual'!F:F),"")</f>
        <v/>
      </c>
      <c r="U107" s="51" t="str">
        <f t="array" ref="U107">IFERROR(_xlfn.XLOOKUP($F107,'Acerto virtual'!$E:$E,'Acerto virtual'!G:G),"")</f>
        <v/>
      </c>
      <c r="V107" s="51" t="str">
        <f t="array" ref="V107">IFERROR(_xlfn.XLOOKUP($F107,'Acerto virtual'!$E:$E,'Acerto virtual'!H:H),"")</f>
        <v/>
      </c>
      <c r="W107" s="51" t="str">
        <f t="array" ref="W107">IFERROR(_xlfn.XLOOKUP($F107,'Acerto virtual'!$E:$E,'Acerto virtual'!I:I),"")</f>
        <v/>
      </c>
      <c r="X107" s="51" t="str">
        <f t="array" ref="X107">IFERROR(_xlfn.XLOOKUP($F107,'Acerto virtual'!$E:$E,'Acerto virtual'!J:J),"")</f>
        <v/>
      </c>
      <c r="Y107" s="51" t="str">
        <f t="array" ref="Y107">IFERROR(_xlfn.XLOOKUP($F107,'Acerto virtual'!$E:$E,'Acerto virtual'!K:K),"")</f>
        <v/>
      </c>
      <c r="Z107" s="51" t="str">
        <f t="array" ref="Z107">IFERROR(_xlfn.XLOOKUP($F107,'Acerto virtual'!$E:$E,'Acerto virtual'!L:L),"")</f>
        <v/>
      </c>
      <c r="AA107" s="51" t="str">
        <f t="array" ref="AA107">IFERROR(_xlfn.XLOOKUP($F107,'Acerto virtual'!$E:$E,'Acerto virtual'!M:M),"")</f>
        <v/>
      </c>
      <c r="AB107" s="51" t="str">
        <f t="array" ref="AB107">IFERROR(_xlfn.XLOOKUP($F107,'Acerto virtual'!$E:$E,'Acerto virtual'!N:N),"")</f>
        <v/>
      </c>
      <c r="AC107" s="51" t="str">
        <f t="array" ref="AC107">IFERROR(_xlfn.XLOOKUP($F107,'Acerto virtual'!$E:$E,'Acerto virtual'!O:O),"")</f>
        <v/>
      </c>
      <c r="AD107" s="51" t="str">
        <f t="array" ref="AD107">IFERROR(_xlfn.XLOOKUP($F107,'Acerto virtual'!$E:$E,'Acerto virtual'!P:P),"")</f>
        <v/>
      </c>
      <c r="AE107" s="51" t="str">
        <f t="array" ref="AE107">IFERROR(_xlfn.XLOOKUP($F107,'Acerto virtual'!$E:$E,'Acerto virtual'!Q:Q),"")</f>
        <v/>
      </c>
      <c r="AF107" s="51" t="str">
        <f t="array" ref="AF107">IFERROR(_xlfn.XLOOKUP($F107,'Acerto virtual'!$E:$E,'Acerto virtual'!R:R),"")</f>
        <v/>
      </c>
      <c r="AG107" s="51" t="str">
        <f t="array" ref="AG107">IFERROR(_xlfn.XLOOKUP($F107,'Acerto virtual'!$E:$E,'Acerto virtual'!S:S),"")</f>
        <v/>
      </c>
      <c r="AH107" s="51" t="str">
        <f t="array" ref="AH107">IFERROR(_xlfn.XLOOKUP($F107,'Acerto virtual'!$E:$E,'Acerto virtual'!T:T),"")</f>
        <v/>
      </c>
      <c r="AI107" s="51" t="str">
        <f t="array" ref="AI107">IFERROR(_xlfn.XLOOKUP($F107,'Acerto virtual'!$E:$E,'Acerto virtual'!U:U),"")</f>
        <v/>
      </c>
    </row>
    <row r="108" hidden="1">
      <c r="A108" s="47" t="s">
        <v>536</v>
      </c>
      <c r="B108" s="47" t="s">
        <v>537</v>
      </c>
      <c r="C108" s="48" t="str">
        <f t="array" ref="C108">IFERROR(_xlfn.XLOOKUP($B108,'Histórico'!$B:$B,'Histórico'!$I:$I),"")</f>
        <v>C352TS</v>
      </c>
      <c r="D108" s="19" t="str">
        <f t="array" ref="D108">IFERROR(_xlfn.XLOOKUP($B108,'Histórico'!$B:$B,'Histórico'!$J:$J),"")</f>
        <v>54905</v>
      </c>
      <c r="E108" s="19" t="str">
        <f t="array" ref="E108">IFERROR(_xlfn.XLOOKUP($B108,'Histórico'!$B:$B,'Histórico'!$K:$K),"")</f>
        <v>EXTINGUISHER,FIRE</v>
      </c>
      <c r="F108" s="19" t="str">
        <f t="array" ref="F108">IFERROR(_xlfn.XLOOKUP($B108,'Histórico'!$B:$B,'Histórico'!$L:$L),"")</f>
        <v>D00397798</v>
      </c>
      <c r="G108" s="49" t="str">
        <f t="array" ref="G108">IFERROR(_xlfn.XLOOKUP($B108,'Histórico'!$B:$B,'Histórico'!$F:$F),"")</f>
        <v>02/07/2025</v>
      </c>
      <c r="H108" s="19" t="str">
        <f t="array" ref="H108">IFERROR(_xlfn.XLOOKUP($B108,'Histórico'!$B:$B,'Histórico'!$AA:$AA),"")</f>
        <v>BABR</v>
      </c>
      <c r="I108" s="19" t="str">
        <f t="array" ref="I108">IFERROR(_xlfn.XLOOKUP($B108,Atual!$B:$B,Atual!$E:$E),"OS concluída")</f>
        <v>OS concluída</v>
      </c>
      <c r="J108" s="19" t="str">
        <f t="shared" si="1"/>
        <v/>
      </c>
      <c r="K108" s="19"/>
      <c r="L108" s="19">
        <f t="shared" si="2"/>
        <v>348</v>
      </c>
      <c r="M108" s="19"/>
      <c r="N108" s="49">
        <f t="array" ref="N108">IFERROR(_xlfn.XLOOKUP($B108,EMPRESA_1!A:A,EMPRESA_1!J:J),"")</f>
        <v>46188</v>
      </c>
      <c r="O108" s="50" t="str">
        <f t="array" ref="O108">IFERROR(_xlfn.XLOOKUP(B108,EMPRESA_1!A:A,EMPRESA_1!K:K),"")
</f>
        <v>PAMA-LS</v>
      </c>
      <c r="P108" s="48" t="str">
        <f t="array" ref="P108">IFERROR(_xlfn.XLOOKUP(B108,EMPRESA_1!A:A,EMPRESA_1!L:L),"")</f>
        <v>682/FAB/26</v>
      </c>
      <c r="Q108" s="49">
        <f t="array" ref="Q108">IFERROR(_xlfn.XLOOKUP(B108,EMPRESA_1!A:A,EMPRESA_1!J:J),"")</f>
        <v>46188</v>
      </c>
      <c r="R108" s="19" t="str">
        <f t="array" ref="R108">IFERROR(_xlfn.XLOOKUP(B108,EMPRESA_1!A:A,EMPRESA_1!M:M),"")</f>
        <v/>
      </c>
      <c r="S108" s="51"/>
      <c r="T108" s="51" t="str">
        <f t="array" ref="T108">IFERROR(_xlfn.XLOOKUP($F108,'Acerto virtual'!$E:$E,'Acerto virtual'!F:F),"")</f>
        <v/>
      </c>
      <c r="U108" s="51" t="str">
        <f t="array" ref="U108">IFERROR(_xlfn.XLOOKUP($F108,'Acerto virtual'!$E:$E,'Acerto virtual'!G:G),"")</f>
        <v/>
      </c>
      <c r="V108" s="51" t="str">
        <f t="array" ref="V108">IFERROR(_xlfn.XLOOKUP($F108,'Acerto virtual'!$E:$E,'Acerto virtual'!H:H),"")</f>
        <v/>
      </c>
      <c r="W108" s="51" t="str">
        <f t="array" ref="W108">IFERROR(_xlfn.XLOOKUP($F108,'Acerto virtual'!$E:$E,'Acerto virtual'!I:I),"")</f>
        <v/>
      </c>
      <c r="X108" s="51" t="str">
        <f t="array" ref="X108">IFERROR(_xlfn.XLOOKUP($F108,'Acerto virtual'!$E:$E,'Acerto virtual'!J:J),"")</f>
        <v/>
      </c>
      <c r="Y108" s="51" t="str">
        <f t="array" ref="Y108">IFERROR(_xlfn.XLOOKUP($F108,'Acerto virtual'!$E:$E,'Acerto virtual'!K:K),"")</f>
        <v/>
      </c>
      <c r="Z108" s="51" t="str">
        <f t="array" ref="Z108">IFERROR(_xlfn.XLOOKUP($F108,'Acerto virtual'!$E:$E,'Acerto virtual'!L:L),"")</f>
        <v/>
      </c>
      <c r="AA108" s="51" t="str">
        <f t="array" ref="AA108">IFERROR(_xlfn.XLOOKUP($F108,'Acerto virtual'!$E:$E,'Acerto virtual'!M:M),"")</f>
        <v/>
      </c>
      <c r="AB108" s="51" t="str">
        <f t="array" ref="AB108">IFERROR(_xlfn.XLOOKUP($F108,'Acerto virtual'!$E:$E,'Acerto virtual'!N:N),"")</f>
        <v/>
      </c>
      <c r="AC108" s="51" t="str">
        <f t="array" ref="AC108">IFERROR(_xlfn.XLOOKUP($F108,'Acerto virtual'!$E:$E,'Acerto virtual'!O:O),"")</f>
        <v/>
      </c>
      <c r="AD108" s="51" t="str">
        <f t="array" ref="AD108">IFERROR(_xlfn.XLOOKUP($F108,'Acerto virtual'!$E:$E,'Acerto virtual'!P:P),"")</f>
        <v/>
      </c>
      <c r="AE108" s="51" t="str">
        <f t="array" ref="AE108">IFERROR(_xlfn.XLOOKUP($F108,'Acerto virtual'!$E:$E,'Acerto virtual'!Q:Q),"")</f>
        <v/>
      </c>
      <c r="AF108" s="51" t="str">
        <f t="array" ref="AF108">IFERROR(_xlfn.XLOOKUP($F108,'Acerto virtual'!$E:$E,'Acerto virtual'!R:R),"")</f>
        <v/>
      </c>
      <c r="AG108" s="51" t="str">
        <f t="array" ref="AG108">IFERROR(_xlfn.XLOOKUP($F108,'Acerto virtual'!$E:$E,'Acerto virtual'!S:S),"")</f>
        <v/>
      </c>
      <c r="AH108" s="51" t="str">
        <f t="array" ref="AH108">IFERROR(_xlfn.XLOOKUP($F108,'Acerto virtual'!$E:$E,'Acerto virtual'!T:T),"")</f>
        <v/>
      </c>
      <c r="AI108" s="51" t="str">
        <f t="array" ref="AI108">IFERROR(_xlfn.XLOOKUP($F108,'Acerto virtual'!$E:$E,'Acerto virtual'!U:U),"")</f>
        <v/>
      </c>
    </row>
    <row r="109">
      <c r="A109" s="47" t="s">
        <v>538</v>
      </c>
      <c r="B109" s="47" t="s">
        <v>539</v>
      </c>
      <c r="C109" s="48" t="str">
        <f t="array" ref="C109">IFERROR(_xlfn.XLOOKUP($B109,'Histórico'!$B:$B,'Histórico'!$I:$I),"")</f>
        <v>D145-00-46-2</v>
      </c>
      <c r="D109" s="19" t="str">
        <f t="array" ref="D109">IFERROR(_xlfn.XLOOKUP($B109,'Histórico'!$B:$B,'Histórico'!$J:$J),"")</f>
        <v>7EK50</v>
      </c>
      <c r="E109" s="19" t="str">
        <f t="array" ref="E109">IFERROR(_xlfn.XLOOKUP($B109,'Histórico'!$B:$B,'Histórico'!$K:$K),"")</f>
        <v>FLAP ACTUATOR ASSY</v>
      </c>
      <c r="F109" s="19" t="str">
        <f t="array" ref="F109">IFERROR(_xlfn.XLOOKUP($B109,'Histórico'!$B:$B,'Histórico'!$L:$L),"")</f>
        <v>6132</v>
      </c>
      <c r="G109" s="49" t="str">
        <f t="array" ref="G109">IFERROR(_xlfn.XLOOKUP($B109,'Histórico'!$B:$B,'Histórico'!$F:$F),"")</f>
        <v>02/07/2025</v>
      </c>
      <c r="H109" s="19" t="str">
        <f t="array" ref="H109">IFERROR(_xlfn.XLOOKUP($B109,'Histórico'!$B:$B,'Histórico'!$AA:$AA),"")</f>
        <v>BABE</v>
      </c>
      <c r="I109" s="19" t="str">
        <f t="array" ref="I109">IFERROR(_xlfn.XLOOKUP($B109,Atual!$B:$B,Atual!$E:$E),"OS concluída")</f>
        <v>REC</v>
      </c>
      <c r="J109" s="19">
        <f t="shared" si="1"/>
        <v>470</v>
      </c>
      <c r="K109" s="19"/>
      <c r="L109" s="19">
        <f t="shared" si="2"/>
        <v>49</v>
      </c>
      <c r="M109" s="19"/>
      <c r="N109" s="49">
        <f t="array" ref="N109">IFERROR(_xlfn.XLOOKUP($B109,EMPRESA_1!A:A,EMPRESA_1!J:J),"")</f>
        <v>45889</v>
      </c>
      <c r="O109" s="50" t="str">
        <f t="array" ref="O109">IFERROR(_xlfn.XLOOKUP(B109,EMPRESA_1!A:A,EMPRESA_1!K:K),"")
</f>
        <v>PAMA-LS</v>
      </c>
      <c r="P109" s="19" t="str">
        <f t="array" ref="P109">IFERROR(_xlfn.XLOOKUP(B109,EMPRESA_1!A:A,EMPRESA_1!L:L),"")</f>
        <v>161/C98/2025</v>
      </c>
      <c r="Q109" s="49">
        <f t="array" ref="Q109">IFERROR(_xlfn.XLOOKUP(B109,EMPRESA_1!A:A,EMPRESA_1!J:J),"")</f>
        <v>45889</v>
      </c>
      <c r="R109" s="19" t="str">
        <f t="array" ref="R109">IFERROR(_xlfn.XLOOKUP(B109,EMPRESA_1!A:A,EMPRESA_1!M:M),"")</f>
        <v/>
      </c>
      <c r="S109" s="51"/>
      <c r="T109" s="51" t="str">
        <f t="array" ref="T109">IFERROR(_xlfn.XLOOKUP($F109,'Acerto virtual'!$E:$E,'Acerto virtual'!F:F),"")</f>
        <v/>
      </c>
      <c r="U109" s="51" t="str">
        <f t="array" ref="U109">IFERROR(_xlfn.XLOOKUP($F109,'Acerto virtual'!$E:$E,'Acerto virtual'!G:G),"")</f>
        <v/>
      </c>
      <c r="V109" s="51" t="str">
        <f t="array" ref="V109">IFERROR(_xlfn.XLOOKUP($F109,'Acerto virtual'!$E:$E,'Acerto virtual'!H:H),"")</f>
        <v/>
      </c>
      <c r="W109" s="51" t="str">
        <f t="array" ref="W109">IFERROR(_xlfn.XLOOKUP($F109,'Acerto virtual'!$E:$E,'Acerto virtual'!I:I),"")</f>
        <v/>
      </c>
      <c r="X109" s="51" t="str">
        <f t="array" ref="X109">IFERROR(_xlfn.XLOOKUP($F109,'Acerto virtual'!$E:$E,'Acerto virtual'!J:J),"")</f>
        <v/>
      </c>
      <c r="Y109" s="51" t="str">
        <f t="array" ref="Y109">IFERROR(_xlfn.XLOOKUP($F109,'Acerto virtual'!$E:$E,'Acerto virtual'!K:K),"")</f>
        <v/>
      </c>
      <c r="Z109" s="51" t="str">
        <f t="array" ref="Z109">IFERROR(_xlfn.XLOOKUP($F109,'Acerto virtual'!$E:$E,'Acerto virtual'!L:L),"")</f>
        <v/>
      </c>
      <c r="AA109" s="51" t="str">
        <f t="array" ref="AA109">IFERROR(_xlfn.XLOOKUP($F109,'Acerto virtual'!$E:$E,'Acerto virtual'!M:M),"")</f>
        <v/>
      </c>
      <c r="AB109" s="51" t="str">
        <f t="array" ref="AB109">IFERROR(_xlfn.XLOOKUP($F109,'Acerto virtual'!$E:$E,'Acerto virtual'!N:N),"")</f>
        <v/>
      </c>
      <c r="AC109" s="51" t="str">
        <f t="array" ref="AC109">IFERROR(_xlfn.XLOOKUP($F109,'Acerto virtual'!$E:$E,'Acerto virtual'!O:O),"")</f>
        <v/>
      </c>
      <c r="AD109" s="51" t="str">
        <f t="array" ref="AD109">IFERROR(_xlfn.XLOOKUP($F109,'Acerto virtual'!$E:$E,'Acerto virtual'!P:P),"")</f>
        <v/>
      </c>
      <c r="AE109" s="51" t="str">
        <f t="array" ref="AE109">IFERROR(_xlfn.XLOOKUP($F109,'Acerto virtual'!$E:$E,'Acerto virtual'!Q:Q),"")</f>
        <v/>
      </c>
      <c r="AF109" s="51" t="str">
        <f t="array" ref="AF109">IFERROR(_xlfn.XLOOKUP($F109,'Acerto virtual'!$E:$E,'Acerto virtual'!R:R),"")</f>
        <v/>
      </c>
      <c r="AG109" s="51" t="str">
        <f t="array" ref="AG109">IFERROR(_xlfn.XLOOKUP($F109,'Acerto virtual'!$E:$E,'Acerto virtual'!S:S),"")</f>
        <v/>
      </c>
      <c r="AH109" s="51" t="str">
        <f t="array" ref="AH109">IFERROR(_xlfn.XLOOKUP($F109,'Acerto virtual'!$E:$E,'Acerto virtual'!T:T),"")</f>
        <v/>
      </c>
      <c r="AI109" s="51" t="str">
        <f t="array" ref="AI109">IFERROR(_xlfn.XLOOKUP($F109,'Acerto virtual'!$E:$E,'Acerto virtual'!U:U),"")</f>
        <v/>
      </c>
    </row>
    <row r="110">
      <c r="A110" s="47" t="s">
        <v>540</v>
      </c>
      <c r="B110" s="47" t="s">
        <v>541</v>
      </c>
      <c r="C110" s="48" t="str">
        <f t="array" ref="C110">IFERROR(_xlfn.XLOOKUP($B110,'Histórico'!$B:$B,'Histórico'!$I:$I),"")</f>
        <v>D145-00-46-2</v>
      </c>
      <c r="D110" s="19" t="str">
        <f t="array" ref="D110">IFERROR(_xlfn.XLOOKUP($B110,'Histórico'!$B:$B,'Histórico'!$J:$J),"")</f>
        <v>7EK50</v>
      </c>
      <c r="E110" s="19" t="str">
        <f t="array" ref="E110">IFERROR(_xlfn.XLOOKUP($B110,'Histórico'!$B:$B,'Histórico'!$K:$K),"")</f>
        <v>FLAP ACTUATOR ASSY</v>
      </c>
      <c r="F110" s="19" t="str">
        <f t="array" ref="F110">IFERROR(_xlfn.XLOOKUP($B110,'Histórico'!$B:$B,'Histórico'!$L:$L),"")</f>
        <v>030998</v>
      </c>
      <c r="G110" s="49" t="str">
        <f t="array" ref="G110">IFERROR(_xlfn.XLOOKUP($B110,'Histórico'!$B:$B,'Histórico'!$F:$F),"")</f>
        <v>02/07/2025</v>
      </c>
      <c r="H110" s="19" t="str">
        <f t="array" ref="H110">IFERROR(_xlfn.XLOOKUP($B110,'Histórico'!$B:$B,'Histórico'!$AA:$AA),"")</f>
        <v>PAMALS</v>
      </c>
      <c r="I110" s="19" t="str">
        <f t="array" ref="I110">IFERROR(_xlfn.XLOOKUP($B110,Atual!$B:$B,Atual!$E:$E),"OS concluída")</f>
        <v>REC</v>
      </c>
      <c r="J110" s="19">
        <f t="shared" si="1"/>
        <v>470</v>
      </c>
      <c r="K110" s="19"/>
      <c r="L110" s="19">
        <f t="shared" si="2"/>
        <v>36</v>
      </c>
      <c r="M110" s="19"/>
      <c r="N110" s="49">
        <f t="array" ref="N110">IFERROR(_xlfn.XLOOKUP($B110,EMPRESA_1!A:A,EMPRESA_1!J:J),"")</f>
        <v>45876</v>
      </c>
      <c r="O110" s="50" t="str">
        <f t="array" ref="O110">IFERROR(_xlfn.XLOOKUP(B110,EMPRESA_1!A:A,EMPRESA_1!K:K),"")
</f>
        <v>PAMA-LS</v>
      </c>
      <c r="P110" s="19" t="str">
        <f t="array" ref="P110">IFERROR(_xlfn.XLOOKUP(B110,EMPRESA_1!A:A,EMPRESA_1!L:L),"")</f>
        <v>143/C98/2025</v>
      </c>
      <c r="Q110" s="49">
        <f t="array" ref="Q110">IFERROR(_xlfn.XLOOKUP(B110,EMPRESA_1!A:A,EMPRESA_1!J:J),"")</f>
        <v>45876</v>
      </c>
      <c r="R110" s="19" t="str">
        <f t="array" ref="R110">IFERROR(_xlfn.XLOOKUP(B110,EMPRESA_1!A:A,EMPRESA_1!M:M),"")</f>
        <v/>
      </c>
      <c r="S110" s="51"/>
      <c r="T110" s="51" t="str">
        <f t="array" ref="T110">IFERROR(_xlfn.XLOOKUP($F110,'Acerto virtual'!$E:$E,'Acerto virtual'!F:F),"")</f>
        <v/>
      </c>
      <c r="U110" s="51" t="str">
        <f t="array" ref="U110">IFERROR(_xlfn.XLOOKUP($F110,'Acerto virtual'!$E:$E,'Acerto virtual'!G:G),"")</f>
        <v/>
      </c>
      <c r="V110" s="51" t="str">
        <f t="array" ref="V110">IFERROR(_xlfn.XLOOKUP($F110,'Acerto virtual'!$E:$E,'Acerto virtual'!H:H),"")</f>
        <v/>
      </c>
      <c r="W110" s="51" t="str">
        <f t="array" ref="W110">IFERROR(_xlfn.XLOOKUP($F110,'Acerto virtual'!$E:$E,'Acerto virtual'!I:I),"")</f>
        <v/>
      </c>
      <c r="X110" s="51" t="str">
        <f t="array" ref="X110">IFERROR(_xlfn.XLOOKUP($F110,'Acerto virtual'!$E:$E,'Acerto virtual'!J:J),"")</f>
        <v/>
      </c>
      <c r="Y110" s="51" t="str">
        <f t="array" ref="Y110">IFERROR(_xlfn.XLOOKUP($F110,'Acerto virtual'!$E:$E,'Acerto virtual'!K:K),"")</f>
        <v/>
      </c>
      <c r="Z110" s="51" t="str">
        <f t="array" ref="Z110">IFERROR(_xlfn.XLOOKUP($F110,'Acerto virtual'!$E:$E,'Acerto virtual'!L:L),"")</f>
        <v/>
      </c>
      <c r="AA110" s="51" t="str">
        <f t="array" ref="AA110">IFERROR(_xlfn.XLOOKUP($F110,'Acerto virtual'!$E:$E,'Acerto virtual'!M:M),"")</f>
        <v/>
      </c>
      <c r="AB110" s="51" t="str">
        <f t="array" ref="AB110">IFERROR(_xlfn.XLOOKUP($F110,'Acerto virtual'!$E:$E,'Acerto virtual'!N:N),"")</f>
        <v/>
      </c>
      <c r="AC110" s="51" t="str">
        <f t="array" ref="AC110">IFERROR(_xlfn.XLOOKUP($F110,'Acerto virtual'!$E:$E,'Acerto virtual'!O:O),"")</f>
        <v/>
      </c>
      <c r="AD110" s="51" t="str">
        <f t="array" ref="AD110">IFERROR(_xlfn.XLOOKUP($F110,'Acerto virtual'!$E:$E,'Acerto virtual'!P:P),"")</f>
        <v/>
      </c>
      <c r="AE110" s="51" t="str">
        <f t="array" ref="AE110">IFERROR(_xlfn.XLOOKUP($F110,'Acerto virtual'!$E:$E,'Acerto virtual'!Q:Q),"")</f>
        <v/>
      </c>
      <c r="AF110" s="51" t="str">
        <f t="array" ref="AF110">IFERROR(_xlfn.XLOOKUP($F110,'Acerto virtual'!$E:$E,'Acerto virtual'!R:R),"")</f>
        <v/>
      </c>
      <c r="AG110" s="51" t="str">
        <f t="array" ref="AG110">IFERROR(_xlfn.XLOOKUP($F110,'Acerto virtual'!$E:$E,'Acerto virtual'!S:S),"")</f>
        <v/>
      </c>
      <c r="AH110" s="51" t="str">
        <f t="array" ref="AH110">IFERROR(_xlfn.XLOOKUP($F110,'Acerto virtual'!$E:$E,'Acerto virtual'!T:T),"")</f>
        <v/>
      </c>
      <c r="AI110" s="51" t="str">
        <f t="array" ref="AI110">IFERROR(_xlfn.XLOOKUP($F110,'Acerto virtual'!$E:$E,'Acerto virtual'!U:U),"")</f>
        <v/>
      </c>
    </row>
    <row r="111">
      <c r="A111" s="47" t="s">
        <v>542</v>
      </c>
      <c r="B111" s="47" t="s">
        <v>543</v>
      </c>
      <c r="C111" s="48" t="str">
        <f t="array" ref="C111">IFERROR(_xlfn.XLOOKUP($B111,'Histórico'!$B:$B,'Histórico'!$I:$I),"")</f>
        <v>C482001-0402</v>
      </c>
      <c r="D111" s="19" t="str">
        <f t="array" ref="D111">IFERROR(_xlfn.XLOOKUP($B111,'Histórico'!$B:$B,'Histórico'!$J:$J),"")</f>
        <v>7EK50</v>
      </c>
      <c r="E111" s="19" t="str">
        <f t="array" ref="E111">IFERROR(_xlfn.XLOOKUP($B111,'Histórico'!$B:$B,'Histórico'!$K:$K),"")</f>
        <v>VACUUM REGULAT</v>
      </c>
      <c r="F111" s="19" t="str">
        <f t="array" ref="F111">IFERROR(_xlfn.XLOOKUP($B111,'Histórico'!$B:$B,'Histórico'!$L:$L),"")</f>
        <v>5AL</v>
      </c>
      <c r="G111" s="49" t="str">
        <f t="array" ref="G111">IFERROR(_xlfn.XLOOKUP($B111,'Histórico'!$B:$B,'Histórico'!$F:$F),"")</f>
        <v>02/07/2025</v>
      </c>
      <c r="H111" s="19" t="str">
        <f t="array" ref="H111">IFERROR(_xlfn.XLOOKUP($B111,'Histórico'!$B:$B,'Histórico'!$AA:$AA),"")</f>
        <v>PAMALS</v>
      </c>
      <c r="I111" s="19" t="str">
        <f t="array" ref="I111">IFERROR(_xlfn.XLOOKUP($B111,Atual!$B:$B,Atual!$E:$E),"OS concluída")</f>
        <v>REC</v>
      </c>
      <c r="J111" s="19">
        <f t="shared" si="1"/>
        <v>470</v>
      </c>
      <c r="K111" s="19"/>
      <c r="L111" s="19" t="str">
        <f t="shared" si="2"/>
        <v>NÃO APLICÁVEL</v>
      </c>
      <c r="M111" s="19"/>
      <c r="N111" s="49" t="str">
        <f t="array" ref="N111">IFERROR(_xlfn.XLOOKUP($B111,EMPRESA_1!A:A,EMPRESA_1!J:J),"")</f>
        <v>CONDENADO</v>
      </c>
      <c r="O111" s="50" t="str">
        <f t="array" ref="O111">IFERROR(_xlfn.XLOOKUP(B111,EMPRESA_1!A:A,EMPRESA_1!K:K),"")
</f>
        <v>VEE ONE</v>
      </c>
      <c r="P111" s="48" t="str">
        <f t="array" ref="P111">IFERROR(_xlfn.XLOOKUP(B111,EMPRESA_1!A:A,EMPRESA_1!L:L),"")</f>
        <v/>
      </c>
      <c r="Q111" s="49" t="str">
        <f t="array" ref="Q111">IFERROR(_xlfn.XLOOKUP(B111,EMPRESA_1!A:A,EMPRESA_1!J:J),"")</f>
        <v>CONDENADO</v>
      </c>
      <c r="R111" s="19" t="str">
        <f t="array" ref="R111">IFERROR(_xlfn.XLOOKUP(B111,EMPRESA_1!A:A,EMPRESA_1!M:M),"")</f>
        <v/>
      </c>
      <c r="S111" s="51"/>
      <c r="T111" s="51" t="str">
        <f t="array" ref="T111">IFERROR(_xlfn.XLOOKUP($F111,'Acerto virtual'!$E:$E,'Acerto virtual'!F:F),"")</f>
        <v/>
      </c>
      <c r="U111" s="51" t="str">
        <f t="array" ref="U111">IFERROR(_xlfn.XLOOKUP($F111,'Acerto virtual'!$E:$E,'Acerto virtual'!G:G),"")</f>
        <v/>
      </c>
      <c r="V111" s="51" t="str">
        <f t="array" ref="V111">IFERROR(_xlfn.XLOOKUP($F111,'Acerto virtual'!$E:$E,'Acerto virtual'!H:H),"")</f>
        <v/>
      </c>
      <c r="W111" s="51" t="str">
        <f t="array" ref="W111">IFERROR(_xlfn.XLOOKUP($F111,'Acerto virtual'!$E:$E,'Acerto virtual'!I:I),"")</f>
        <v/>
      </c>
      <c r="X111" s="51" t="str">
        <f t="array" ref="X111">IFERROR(_xlfn.XLOOKUP($F111,'Acerto virtual'!$E:$E,'Acerto virtual'!J:J),"")</f>
        <v/>
      </c>
      <c r="Y111" s="51" t="str">
        <f t="array" ref="Y111">IFERROR(_xlfn.XLOOKUP($F111,'Acerto virtual'!$E:$E,'Acerto virtual'!K:K),"")</f>
        <v/>
      </c>
      <c r="Z111" s="51" t="str">
        <f t="array" ref="Z111">IFERROR(_xlfn.XLOOKUP($F111,'Acerto virtual'!$E:$E,'Acerto virtual'!L:L),"")</f>
        <v/>
      </c>
      <c r="AA111" s="51" t="str">
        <f t="array" ref="AA111">IFERROR(_xlfn.XLOOKUP($F111,'Acerto virtual'!$E:$E,'Acerto virtual'!M:M),"")</f>
        <v/>
      </c>
      <c r="AB111" s="51" t="str">
        <f t="array" ref="AB111">IFERROR(_xlfn.XLOOKUP($F111,'Acerto virtual'!$E:$E,'Acerto virtual'!N:N),"")</f>
        <v/>
      </c>
      <c r="AC111" s="51" t="str">
        <f t="array" ref="AC111">IFERROR(_xlfn.XLOOKUP($F111,'Acerto virtual'!$E:$E,'Acerto virtual'!O:O),"")</f>
        <v/>
      </c>
      <c r="AD111" s="51" t="str">
        <f t="array" ref="AD111">IFERROR(_xlfn.XLOOKUP($F111,'Acerto virtual'!$E:$E,'Acerto virtual'!P:P),"")</f>
        <v/>
      </c>
      <c r="AE111" s="51" t="str">
        <f t="array" ref="AE111">IFERROR(_xlfn.XLOOKUP($F111,'Acerto virtual'!$E:$E,'Acerto virtual'!Q:Q),"")</f>
        <v/>
      </c>
      <c r="AF111" s="51" t="str">
        <f t="array" ref="AF111">IFERROR(_xlfn.XLOOKUP($F111,'Acerto virtual'!$E:$E,'Acerto virtual'!R:R),"")</f>
        <v/>
      </c>
      <c r="AG111" s="51" t="str">
        <f t="array" ref="AG111">IFERROR(_xlfn.XLOOKUP($F111,'Acerto virtual'!$E:$E,'Acerto virtual'!S:S),"")</f>
        <v/>
      </c>
      <c r="AH111" s="51" t="str">
        <f t="array" ref="AH111">IFERROR(_xlfn.XLOOKUP($F111,'Acerto virtual'!$E:$E,'Acerto virtual'!T:T),"")</f>
        <v/>
      </c>
      <c r="AI111" s="51" t="str">
        <f t="array" ref="AI111">IFERROR(_xlfn.XLOOKUP($F111,'Acerto virtual'!$E:$E,'Acerto virtual'!U:U),"")</f>
        <v/>
      </c>
    </row>
    <row r="112">
      <c r="A112" s="47" t="s">
        <v>544</v>
      </c>
      <c r="B112" s="47" t="s">
        <v>545</v>
      </c>
      <c r="C112" s="48" t="str">
        <f t="array" ref="C112">IFERROR(_xlfn.XLOOKUP($B112,'Histórico'!$B:$B,'Histórico'!$I:$I),"")</f>
        <v>C482001-0402</v>
      </c>
      <c r="D112" s="19" t="str">
        <f t="array" ref="D112">IFERROR(_xlfn.XLOOKUP($B112,'Histórico'!$B:$B,'Histórico'!$J:$J),"")</f>
        <v>7EK50</v>
      </c>
      <c r="E112" s="19" t="str">
        <f t="array" ref="E112">IFERROR(_xlfn.XLOOKUP($B112,'Histórico'!$B:$B,'Histórico'!$K:$K),"")</f>
        <v>VACUUM REGULAT</v>
      </c>
      <c r="F112" s="19" t="str">
        <f t="array" ref="F112">IFERROR(_xlfn.XLOOKUP($B112,'Histórico'!$B:$B,'Histórico'!$L:$L),"")</f>
        <v>7AC</v>
      </c>
      <c r="G112" s="49" t="str">
        <f t="array" ref="G112">IFERROR(_xlfn.XLOOKUP($B112,'Histórico'!$B:$B,'Histórico'!$F:$F),"")</f>
        <v>02/07/2025</v>
      </c>
      <c r="H112" s="19" t="str">
        <f t="array" ref="H112">IFERROR(_xlfn.XLOOKUP($B112,'Histórico'!$B:$B,'Histórico'!$AA:$AA),"")</f>
        <v>PAMALS</v>
      </c>
      <c r="I112" s="19" t="str">
        <f t="array" ref="I112">IFERROR(_xlfn.XLOOKUP($B112,Atual!$B:$B,Atual!$E:$E),"OS concluída")</f>
        <v>REC</v>
      </c>
      <c r="J112" s="19">
        <f t="shared" si="1"/>
        <v>470</v>
      </c>
      <c r="K112" s="19"/>
      <c r="L112" s="19" t="str">
        <f t="shared" si="2"/>
        <v>NÃO APLICÁVEL</v>
      </c>
      <c r="M112" s="19"/>
      <c r="N112" s="49" t="str">
        <f t="array" ref="N112">IFERROR(_xlfn.XLOOKUP($B112,EMPRESA_1!A:A,EMPRESA_1!J:J),"")</f>
        <v>CONDENADO</v>
      </c>
      <c r="O112" s="50" t="str">
        <f t="array" ref="O112">IFERROR(_xlfn.XLOOKUP(B112,EMPRESA_1!A:A,EMPRESA_1!K:K),"")
</f>
        <v>VEE ONE</v>
      </c>
      <c r="P112" s="48" t="str">
        <f t="array" ref="P112">IFERROR(_xlfn.XLOOKUP(B112,EMPRESA_1!A:A,EMPRESA_1!L:L),"")</f>
        <v/>
      </c>
      <c r="Q112" s="49" t="str">
        <f t="array" ref="Q112">IFERROR(_xlfn.XLOOKUP(B112,EMPRESA_1!A:A,EMPRESA_1!J:J),"")</f>
        <v>CONDENADO</v>
      </c>
      <c r="R112" s="19" t="str">
        <f t="array" ref="R112">IFERROR(_xlfn.XLOOKUP(B112,EMPRESA_1!A:A,EMPRESA_1!M:M),"")</f>
        <v/>
      </c>
      <c r="S112" s="51"/>
      <c r="T112" s="51" t="str">
        <f t="array" ref="T112">IFERROR(_xlfn.XLOOKUP($F112,'Acerto virtual'!$E:$E,'Acerto virtual'!F:F),"")</f>
        <v/>
      </c>
      <c r="U112" s="51" t="str">
        <f t="array" ref="U112">IFERROR(_xlfn.XLOOKUP($F112,'Acerto virtual'!$E:$E,'Acerto virtual'!G:G),"")</f>
        <v/>
      </c>
      <c r="V112" s="51" t="str">
        <f t="array" ref="V112">IFERROR(_xlfn.XLOOKUP($F112,'Acerto virtual'!$E:$E,'Acerto virtual'!H:H),"")</f>
        <v/>
      </c>
      <c r="W112" s="51" t="str">
        <f t="array" ref="W112">IFERROR(_xlfn.XLOOKUP($F112,'Acerto virtual'!$E:$E,'Acerto virtual'!I:I),"")</f>
        <v/>
      </c>
      <c r="X112" s="51" t="str">
        <f t="array" ref="X112">IFERROR(_xlfn.XLOOKUP($F112,'Acerto virtual'!$E:$E,'Acerto virtual'!J:J),"")</f>
        <v/>
      </c>
      <c r="Y112" s="51" t="str">
        <f t="array" ref="Y112">IFERROR(_xlfn.XLOOKUP($F112,'Acerto virtual'!$E:$E,'Acerto virtual'!K:K),"")</f>
        <v/>
      </c>
      <c r="Z112" s="51" t="str">
        <f t="array" ref="Z112">IFERROR(_xlfn.XLOOKUP($F112,'Acerto virtual'!$E:$E,'Acerto virtual'!L:L),"")</f>
        <v/>
      </c>
      <c r="AA112" s="51" t="str">
        <f t="array" ref="AA112">IFERROR(_xlfn.XLOOKUP($F112,'Acerto virtual'!$E:$E,'Acerto virtual'!M:M),"")</f>
        <v/>
      </c>
      <c r="AB112" s="51" t="str">
        <f t="array" ref="AB112">IFERROR(_xlfn.XLOOKUP($F112,'Acerto virtual'!$E:$E,'Acerto virtual'!N:N),"")</f>
        <v/>
      </c>
      <c r="AC112" s="51" t="str">
        <f t="array" ref="AC112">IFERROR(_xlfn.XLOOKUP($F112,'Acerto virtual'!$E:$E,'Acerto virtual'!O:O),"")</f>
        <v/>
      </c>
      <c r="AD112" s="51" t="str">
        <f t="array" ref="AD112">IFERROR(_xlfn.XLOOKUP($F112,'Acerto virtual'!$E:$E,'Acerto virtual'!P:P),"")</f>
        <v/>
      </c>
      <c r="AE112" s="51" t="str">
        <f t="array" ref="AE112">IFERROR(_xlfn.XLOOKUP($F112,'Acerto virtual'!$E:$E,'Acerto virtual'!Q:Q),"")</f>
        <v/>
      </c>
      <c r="AF112" s="51" t="str">
        <f t="array" ref="AF112">IFERROR(_xlfn.XLOOKUP($F112,'Acerto virtual'!$E:$E,'Acerto virtual'!R:R),"")</f>
        <v/>
      </c>
      <c r="AG112" s="51" t="str">
        <f t="array" ref="AG112">IFERROR(_xlfn.XLOOKUP($F112,'Acerto virtual'!$E:$E,'Acerto virtual'!S:S),"")</f>
        <v/>
      </c>
      <c r="AH112" s="51" t="str">
        <f t="array" ref="AH112">IFERROR(_xlfn.XLOOKUP($F112,'Acerto virtual'!$E:$E,'Acerto virtual'!T:T),"")</f>
        <v/>
      </c>
      <c r="AI112" s="51" t="str">
        <f t="array" ref="AI112">IFERROR(_xlfn.XLOOKUP($F112,'Acerto virtual'!$E:$E,'Acerto virtual'!U:U),"")</f>
        <v/>
      </c>
    </row>
    <row r="113" hidden="1">
      <c r="A113" s="47" t="s">
        <v>546</v>
      </c>
      <c r="B113" s="47" t="s">
        <v>547</v>
      </c>
      <c r="C113" s="19" t="str">
        <f t="array" ref="C113">IFERROR(_xlfn.XLOOKUP($B113,'Histórico'!$B:$B,'Histórico'!$I:$I),"")</f>
        <v>2641011-5</v>
      </c>
      <c r="D113" s="19" t="str">
        <f t="array" ref="D113">IFERROR(_xlfn.XLOOKUP($B113,'Histórico'!$B:$B,'Histórico'!$J:$J),"")</f>
        <v>7EK50</v>
      </c>
      <c r="E113" s="19" t="str">
        <f t="array" ref="E113">IFERROR(_xlfn.XLOOKUP($B113,'Histórico'!$B:$B,'Histórico'!$K:$K),"")</f>
        <v>AXLE-MAIN GEAR</v>
      </c>
      <c r="F113" s="19" t="str">
        <f t="array" ref="F113">IFERROR(_xlfn.XLOOKUP($B113,'Histórico'!$B:$B,'Histórico'!$L:$L),"")</f>
        <v>2668-5</v>
      </c>
      <c r="G113" s="49" t="str">
        <f t="array" ref="G113">IFERROR(_xlfn.XLOOKUP($B113,'Histórico'!$B:$B,'Histórico'!$F:$F),"")</f>
        <v>02/07/2025</v>
      </c>
      <c r="H113" s="19" t="str">
        <f t="array" ref="H113">IFERROR(_xlfn.XLOOKUP($B113,'Histórico'!$B:$B,'Histórico'!$AA:$AA),"")</f>
        <v>BAMN</v>
      </c>
      <c r="I113" s="19" t="str">
        <f t="array" ref="I113">IFERROR(_xlfn.XLOOKUP($B113,Atual!$B:$B,Atual!$E:$E),"OS concluída")</f>
        <v>OS concluída</v>
      </c>
      <c r="J113" s="19" t="str">
        <f t="shared" si="1"/>
        <v/>
      </c>
      <c r="K113" s="19"/>
      <c r="L113" s="19" t="str">
        <f t="shared" si="2"/>
        <v/>
      </c>
      <c r="M113" s="19"/>
      <c r="N113" s="49" t="str">
        <f t="shared" ref="N113:N117" si="31">IFERROR(_xlfn.XLOOKUP($B113,Empresa!G:G,Empresa!K:K),"")</f>
        <v/>
      </c>
      <c r="O113" s="49"/>
      <c r="P113" s="19" t="str">
        <f t="shared" ref="P113:P117" si="32">IFERROR(_xlfn.XLOOKUP($F113,'Vee one'!F:F,'Vee one'!O:O),"")</f>
        <v/>
      </c>
      <c r="Q113" s="19" t="str">
        <f t="shared" ref="Q113:Q117" si="33">IFERROR(_xlfn.XLOOKUP($F113,'Vee one'!F:F,'Vee one'!K:K),"")</f>
        <v/>
      </c>
      <c r="R113" s="19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</row>
    <row r="114" hidden="1">
      <c r="A114" s="47" t="s">
        <v>548</v>
      </c>
      <c r="B114" s="47" t="s">
        <v>549</v>
      </c>
      <c r="C114" s="19" t="str">
        <f t="array" ref="C114">IFERROR(_xlfn.XLOOKUP($B114,'Histórico'!$B:$B,'Histórico'!$I:$I),"")</f>
        <v>2641011-5</v>
      </c>
      <c r="D114" s="19" t="str">
        <f t="array" ref="D114">IFERROR(_xlfn.XLOOKUP($B114,'Histórico'!$B:$B,'Histórico'!$J:$J),"")</f>
        <v>7EK50</v>
      </c>
      <c r="E114" s="19" t="str">
        <f t="array" ref="E114">IFERROR(_xlfn.XLOOKUP($B114,'Histórico'!$B:$B,'Histórico'!$K:$K),"")</f>
        <v>AXLE-MAIN GEAR</v>
      </c>
      <c r="F114" s="19" t="str">
        <f t="array" ref="F114">IFERROR(_xlfn.XLOOKUP($B114,'Histórico'!$B:$B,'Histórico'!$L:$L),"")</f>
        <v>3155-5</v>
      </c>
      <c r="G114" s="49" t="str">
        <f t="array" ref="G114">IFERROR(_xlfn.XLOOKUP($B114,'Histórico'!$B:$B,'Histórico'!$F:$F),"")</f>
        <v>02/07/2025</v>
      </c>
      <c r="H114" s="19" t="str">
        <f t="array" ref="H114">IFERROR(_xlfn.XLOOKUP($B114,'Histórico'!$B:$B,'Histórico'!$AA:$AA),"")</f>
        <v>BABE</v>
      </c>
      <c r="I114" s="19" t="str">
        <f t="array" ref="I114">IFERROR(_xlfn.XLOOKUP($B114,Atual!$B:$B,Atual!$E:$E),"OS concluída")</f>
        <v>OS concluída</v>
      </c>
      <c r="J114" s="19" t="str">
        <f t="shared" si="1"/>
        <v/>
      </c>
      <c r="K114" s="19"/>
      <c r="L114" s="19" t="str">
        <f t="shared" si="2"/>
        <v/>
      </c>
      <c r="M114" s="19"/>
      <c r="N114" s="49" t="str">
        <f t="shared" si="31"/>
        <v/>
      </c>
      <c r="O114" s="49"/>
      <c r="P114" s="19" t="str">
        <f t="shared" si="32"/>
        <v/>
      </c>
      <c r="Q114" s="19" t="str">
        <f t="shared" si="33"/>
        <v/>
      </c>
      <c r="R114" s="19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</row>
    <row r="115" hidden="1">
      <c r="A115" s="47" t="s">
        <v>550</v>
      </c>
      <c r="B115" s="47" t="s">
        <v>551</v>
      </c>
      <c r="C115" s="19" t="str">
        <f t="array" ref="C115">IFERROR(_xlfn.XLOOKUP($B115,'Histórico'!$B:$B,'Histórico'!$I:$I),"")</f>
        <v>2641011-5</v>
      </c>
      <c r="D115" s="19" t="str">
        <f t="array" ref="D115">IFERROR(_xlfn.XLOOKUP($B115,'Histórico'!$B:$B,'Histórico'!$J:$J),"")</f>
        <v>7EK50</v>
      </c>
      <c r="E115" s="19" t="str">
        <f t="array" ref="E115">IFERROR(_xlfn.XLOOKUP($B115,'Histórico'!$B:$B,'Histórico'!$K:$K),"")</f>
        <v>AXLE-MAIN GEAR</v>
      </c>
      <c r="F115" s="19" t="str">
        <f t="array" ref="F115">IFERROR(_xlfn.XLOOKUP($B115,'Histórico'!$B:$B,'Histórico'!$L:$L),"")</f>
        <v>3124-5</v>
      </c>
      <c r="G115" s="49" t="str">
        <f t="array" ref="G115">IFERROR(_xlfn.XLOOKUP($B115,'Histórico'!$B:$B,'Histórico'!$F:$F),"")</f>
        <v>02/07/2025</v>
      </c>
      <c r="H115" s="19" t="str">
        <f t="array" ref="H115">IFERROR(_xlfn.XLOOKUP($B115,'Histórico'!$B:$B,'Histórico'!$AA:$AA),"")</f>
        <v>BABE</v>
      </c>
      <c r="I115" s="19" t="str">
        <f t="array" ref="I115">IFERROR(_xlfn.XLOOKUP($B115,Atual!$B:$B,Atual!$E:$E),"OS concluída")</f>
        <v>OS concluída</v>
      </c>
      <c r="J115" s="19" t="str">
        <f t="shared" si="1"/>
        <v/>
      </c>
      <c r="K115" s="19"/>
      <c r="L115" s="19" t="str">
        <f t="shared" si="2"/>
        <v/>
      </c>
      <c r="M115" s="19"/>
      <c r="N115" s="49" t="str">
        <f t="shared" si="31"/>
        <v/>
      </c>
      <c r="O115" s="49"/>
      <c r="P115" s="19" t="str">
        <f t="shared" si="32"/>
        <v/>
      </c>
      <c r="Q115" s="19" t="str">
        <f t="shared" si="33"/>
        <v/>
      </c>
      <c r="R115" s="19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</row>
    <row r="116" hidden="1">
      <c r="A116" s="47" t="s">
        <v>552</v>
      </c>
      <c r="B116" s="47" t="s">
        <v>553</v>
      </c>
      <c r="C116" s="19" t="str">
        <f t="array" ref="C116">IFERROR(_xlfn.XLOOKUP($B116,'Histórico'!$B:$B,'Histórico'!$I:$I),"")</f>
        <v>2641011-5</v>
      </c>
      <c r="D116" s="19" t="str">
        <f t="array" ref="D116">IFERROR(_xlfn.XLOOKUP($B116,'Histórico'!$B:$B,'Histórico'!$J:$J),"")</f>
        <v>7EK50</v>
      </c>
      <c r="E116" s="19" t="str">
        <f t="array" ref="E116">IFERROR(_xlfn.XLOOKUP($B116,'Histórico'!$B:$B,'Histórico'!$K:$K),"")</f>
        <v>AXLE-MAIN GEAR</v>
      </c>
      <c r="F116" s="19" t="str">
        <f t="array" ref="F116">IFERROR(_xlfn.XLOOKUP($B116,'Histórico'!$B:$B,'Histórico'!$L:$L),"")</f>
        <v>3275-5</v>
      </c>
      <c r="G116" s="49" t="str">
        <f t="array" ref="G116">IFERROR(_xlfn.XLOOKUP($B116,'Histórico'!$B:$B,'Histórico'!$F:$F),"")</f>
        <v>02/07/2025</v>
      </c>
      <c r="H116" s="19" t="str">
        <f t="array" ref="H116">IFERROR(_xlfn.XLOOKUP($B116,'Histórico'!$B:$B,'Histórico'!$AA:$AA),"")</f>
        <v>BANT</v>
      </c>
      <c r="I116" s="19" t="str">
        <f t="array" ref="I116">IFERROR(_xlfn.XLOOKUP($B116,Atual!$B:$B,Atual!$E:$E),"OS concluída")</f>
        <v>OS concluída</v>
      </c>
      <c r="J116" s="19" t="str">
        <f t="shared" si="1"/>
        <v/>
      </c>
      <c r="K116" s="19"/>
      <c r="L116" s="19" t="str">
        <f t="shared" si="2"/>
        <v/>
      </c>
      <c r="M116" s="19"/>
      <c r="N116" s="49" t="str">
        <f t="shared" si="31"/>
        <v/>
      </c>
      <c r="O116" s="49"/>
      <c r="P116" s="19" t="str">
        <f t="shared" si="32"/>
        <v/>
      </c>
      <c r="Q116" s="19" t="str">
        <f t="shared" si="33"/>
        <v/>
      </c>
      <c r="R116" s="19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</row>
    <row r="117" hidden="1">
      <c r="A117" s="47" t="s">
        <v>554</v>
      </c>
      <c r="B117" s="47" t="s">
        <v>555</v>
      </c>
      <c r="C117" s="19" t="str">
        <f t="array" ref="C117">IFERROR(_xlfn.XLOOKUP($B117,'Histórico'!$B:$B,'Histórico'!$I:$I),"")</f>
        <v>30994-001</v>
      </c>
      <c r="D117" s="19" t="str">
        <f t="array" ref="D117">IFERROR(_xlfn.XLOOKUP($B117,'Histórico'!$B:$B,'Histórico'!$J:$J),"")</f>
        <v>74025</v>
      </c>
      <c r="E117" s="19" t="str">
        <f t="array" ref="E117">IFERROR(_xlfn.XLOOKUP($B117,'Histórico'!$B:$B,'Histórico'!$K:$K),"")</f>
        <v>BATTERY-MARATHON TSP410 NICAD</v>
      </c>
      <c r="F117" s="19" t="str">
        <f t="array" ref="F117">IFERROR(_xlfn.XLOOKUP($B117,'Histórico'!$B:$B,'Histórico'!$L:$L),"")</f>
        <v>9902509</v>
      </c>
      <c r="G117" s="49" t="str">
        <f t="array" ref="G117">IFERROR(_xlfn.XLOOKUP($B117,'Histórico'!$B:$B,'Histórico'!$F:$F),"")</f>
        <v>02/07/2025</v>
      </c>
      <c r="H117" s="19" t="str">
        <f t="array" ref="H117">IFERROR(_xlfn.XLOOKUP($B117,'Histórico'!$B:$B,'Histórico'!$AA:$AA),"")</f>
        <v>BAMN</v>
      </c>
      <c r="I117" s="19" t="str">
        <f t="array" ref="I117">IFERROR(_xlfn.XLOOKUP($B117,Atual!$B:$B,Atual!$E:$E),"OS concluída")</f>
        <v>OS concluída</v>
      </c>
      <c r="J117" s="19" t="str">
        <f t="shared" si="1"/>
        <v/>
      </c>
      <c r="K117" s="19"/>
      <c r="L117" s="19" t="str">
        <f t="shared" si="2"/>
        <v/>
      </c>
      <c r="M117" s="19"/>
      <c r="N117" s="49" t="str">
        <f t="shared" si="31"/>
        <v/>
      </c>
      <c r="O117" s="49"/>
      <c r="P117" s="19" t="str">
        <f t="shared" si="32"/>
        <v/>
      </c>
      <c r="Q117" s="19" t="str">
        <f t="shared" si="33"/>
        <v/>
      </c>
      <c r="R117" s="19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</row>
    <row r="118">
      <c r="A118" s="47" t="s">
        <v>556</v>
      </c>
      <c r="B118" s="47" t="s">
        <v>557</v>
      </c>
      <c r="C118" s="48" t="str">
        <f t="array" ref="C118">IFERROR(_xlfn.XLOOKUP($B118,'Histórico'!$B:$B,'Histórico'!$I:$I),"")</f>
        <v>452-0133</v>
      </c>
      <c r="D118" s="19" t="str">
        <f t="array" ref="D118">IFERROR(_xlfn.XLOOKUP($B118,'Histórico'!$B:$B,'Histórico'!$J:$J),"")</f>
        <v>18560</v>
      </c>
      <c r="E118" s="19" t="str">
        <f t="array" ref="E118">IFERROR(_xlfn.XLOOKUP($B118,'Histórico'!$B:$B,'Histórico'!$K:$K),"")</f>
        <v>BATTERY,NONRECHARGEABLE</v>
      </c>
      <c r="F118" s="19" t="str">
        <f t="array" ref="F118">IFERROR(_xlfn.XLOOKUP($B118,'Histórico'!$B:$B,'Histórico'!$L:$L),"")</f>
        <v>369783-021</v>
      </c>
      <c r="G118" s="49" t="str">
        <f t="array" ref="G118">IFERROR(_xlfn.XLOOKUP($B118,'Histórico'!$B:$B,'Histórico'!$F:$F),"")</f>
        <v>02/07/2025</v>
      </c>
      <c r="H118" s="19" t="str">
        <f t="array" ref="H118">IFERROR(_xlfn.XLOOKUP($B118,'Histórico'!$B:$B,'Histórico'!$AA:$AA),"")</f>
        <v>BAMN</v>
      </c>
      <c r="I118" s="19" t="str">
        <f t="array" ref="I118">IFERROR(_xlfn.XLOOKUP($B118,Atual!$B:$B,Atual!$E:$E),"OS concluída")</f>
        <v>REC</v>
      </c>
      <c r="J118" s="19">
        <f t="shared" si="1"/>
        <v>470</v>
      </c>
      <c r="K118" s="19"/>
      <c r="L118" s="19" t="str">
        <f t="shared" si="2"/>
        <v>NÃO APLICÁVEL</v>
      </c>
      <c r="M118" s="19"/>
      <c r="N118" s="49" t="str">
        <f t="array" ref="N118">IFERROR(_xlfn.XLOOKUP($B118,EMPRESA_1!A:A,EMPRESA_1!J:J),"")</f>
        <v>CONDENADO</v>
      </c>
      <c r="O118" s="50" t="str">
        <f t="array" ref="O118">IFERROR(_xlfn.XLOOKUP(B118,EMPRESA_1!A:A,EMPRESA_1!K:K),"")
</f>
        <v>VEE ONE</v>
      </c>
      <c r="P118" s="48" t="str">
        <f t="array" ref="P118">IFERROR(_xlfn.XLOOKUP(B118,EMPRESA_1!A:A,EMPRESA_1!L:L),"")</f>
        <v/>
      </c>
      <c r="Q118" s="49" t="str">
        <f t="array" ref="Q118">IFERROR(_xlfn.XLOOKUP(B118,EMPRESA_1!A:A,EMPRESA_1!J:J),"")</f>
        <v>CONDENADO</v>
      </c>
      <c r="R118" s="19" t="str">
        <f t="array" ref="R118">IFERROR(_xlfn.XLOOKUP(B118,EMPRESA_1!A:A,EMPRESA_1!M:M),"")</f>
        <v/>
      </c>
      <c r="S118" s="51"/>
      <c r="T118" s="51" t="str">
        <f t="array" ref="T118">IFERROR(_xlfn.XLOOKUP($F118,'Acerto virtual'!$E:$E,'Acerto virtual'!F:F),"")</f>
        <v/>
      </c>
      <c r="U118" s="51" t="str">
        <f t="array" ref="U118">IFERROR(_xlfn.XLOOKUP($F118,'Acerto virtual'!$E:$E,'Acerto virtual'!G:G),"")</f>
        <v/>
      </c>
      <c r="V118" s="51" t="str">
        <f t="array" ref="V118">IFERROR(_xlfn.XLOOKUP($F118,'Acerto virtual'!$E:$E,'Acerto virtual'!H:H),"")</f>
        <v/>
      </c>
      <c r="W118" s="51" t="str">
        <f t="array" ref="W118">IFERROR(_xlfn.XLOOKUP($F118,'Acerto virtual'!$E:$E,'Acerto virtual'!I:I),"")</f>
        <v/>
      </c>
      <c r="X118" s="51" t="str">
        <f t="array" ref="X118">IFERROR(_xlfn.XLOOKUP($F118,'Acerto virtual'!$E:$E,'Acerto virtual'!J:J),"")</f>
        <v/>
      </c>
      <c r="Y118" s="51" t="str">
        <f t="array" ref="Y118">IFERROR(_xlfn.XLOOKUP($F118,'Acerto virtual'!$E:$E,'Acerto virtual'!K:K),"")</f>
        <v/>
      </c>
      <c r="Z118" s="51" t="str">
        <f t="array" ref="Z118">IFERROR(_xlfn.XLOOKUP($F118,'Acerto virtual'!$E:$E,'Acerto virtual'!L:L),"")</f>
        <v/>
      </c>
      <c r="AA118" s="51" t="str">
        <f t="array" ref="AA118">IFERROR(_xlfn.XLOOKUP($F118,'Acerto virtual'!$E:$E,'Acerto virtual'!M:M),"")</f>
        <v/>
      </c>
      <c r="AB118" s="51" t="str">
        <f t="array" ref="AB118">IFERROR(_xlfn.XLOOKUP($F118,'Acerto virtual'!$E:$E,'Acerto virtual'!N:N),"")</f>
        <v/>
      </c>
      <c r="AC118" s="51" t="str">
        <f t="array" ref="AC118">IFERROR(_xlfn.XLOOKUP($F118,'Acerto virtual'!$E:$E,'Acerto virtual'!O:O),"")</f>
        <v/>
      </c>
      <c r="AD118" s="51" t="str">
        <f t="array" ref="AD118">IFERROR(_xlfn.XLOOKUP($F118,'Acerto virtual'!$E:$E,'Acerto virtual'!P:P),"")</f>
        <v/>
      </c>
      <c r="AE118" s="51" t="str">
        <f t="array" ref="AE118">IFERROR(_xlfn.XLOOKUP($F118,'Acerto virtual'!$E:$E,'Acerto virtual'!Q:Q),"")</f>
        <v/>
      </c>
      <c r="AF118" s="51" t="str">
        <f t="array" ref="AF118">IFERROR(_xlfn.XLOOKUP($F118,'Acerto virtual'!$E:$E,'Acerto virtual'!R:R),"")</f>
        <v/>
      </c>
      <c r="AG118" s="51" t="str">
        <f t="array" ref="AG118">IFERROR(_xlfn.XLOOKUP($F118,'Acerto virtual'!$E:$E,'Acerto virtual'!S:S),"")</f>
        <v/>
      </c>
      <c r="AH118" s="51" t="str">
        <f t="array" ref="AH118">IFERROR(_xlfn.XLOOKUP($F118,'Acerto virtual'!$E:$E,'Acerto virtual'!T:T),"")</f>
        <v/>
      </c>
      <c r="AI118" s="51" t="str">
        <f t="array" ref="AI118">IFERROR(_xlfn.XLOOKUP($F118,'Acerto virtual'!$E:$E,'Acerto virtual'!U:U),"")</f>
        <v/>
      </c>
    </row>
    <row r="119">
      <c r="A119" s="47" t="s">
        <v>558</v>
      </c>
      <c r="B119" s="47" t="s">
        <v>559</v>
      </c>
      <c r="C119" s="48" t="str">
        <f t="array" ref="C119">IFERROR(_xlfn.XLOOKUP($B119,'Histórico'!$B:$B,'Histórico'!$I:$I),"")</f>
        <v>452-0133</v>
      </c>
      <c r="D119" s="19" t="str">
        <f t="array" ref="D119">IFERROR(_xlfn.XLOOKUP($B119,'Histórico'!$B:$B,'Histórico'!$J:$J),"")</f>
        <v>78286</v>
      </c>
      <c r="E119" s="19" t="str">
        <f t="array" ref="E119">IFERROR(_xlfn.XLOOKUP($B119,'Histórico'!$B:$B,'Histórico'!$K:$K),"")</f>
        <v>BATTERY,NONRECHARGEABLE</v>
      </c>
      <c r="F119" s="19" t="str">
        <f t="array" ref="F119">IFERROR(_xlfn.XLOOKUP($B119,'Histórico'!$B:$B,'Histórico'!$L:$L),"")</f>
        <v>363749-030</v>
      </c>
      <c r="G119" s="49" t="str">
        <f t="array" ref="G119">IFERROR(_xlfn.XLOOKUP($B119,'Histórico'!$B:$B,'Histórico'!$F:$F),"")</f>
        <v>02/07/2025</v>
      </c>
      <c r="H119" s="19" t="str">
        <f t="array" ref="H119">IFERROR(_xlfn.XLOOKUP($B119,'Histórico'!$B:$B,'Histórico'!$AA:$AA),"")</f>
        <v>BAMN</v>
      </c>
      <c r="I119" s="19" t="str">
        <f t="array" ref="I119">IFERROR(_xlfn.XLOOKUP($B119,Atual!$B:$B,Atual!$E:$E),"OS concluída")</f>
        <v>REC</v>
      </c>
      <c r="J119" s="19">
        <f t="shared" si="1"/>
        <v>470</v>
      </c>
      <c r="K119" s="19"/>
      <c r="L119" s="19" t="str">
        <f t="shared" si="2"/>
        <v>NÃO APLICÁVEL</v>
      </c>
      <c r="M119" s="19"/>
      <c r="N119" s="49" t="str">
        <f t="array" ref="N119">IFERROR(_xlfn.XLOOKUP($B119,EMPRESA_1!A:A,EMPRESA_1!J:J),"")</f>
        <v>CONDENADO</v>
      </c>
      <c r="O119" s="50" t="str">
        <f t="array" ref="O119">IFERROR(_xlfn.XLOOKUP(B119,EMPRESA_1!A:A,EMPRESA_1!K:K),"")
</f>
        <v>VEE ONE</v>
      </c>
      <c r="P119" s="48" t="str">
        <f t="array" ref="P119">IFERROR(_xlfn.XLOOKUP(B119,EMPRESA_1!A:A,EMPRESA_1!L:L),"")</f>
        <v/>
      </c>
      <c r="Q119" s="49" t="str">
        <f t="array" ref="Q119">IFERROR(_xlfn.XLOOKUP(B119,EMPRESA_1!A:A,EMPRESA_1!J:J),"")</f>
        <v>CONDENADO</v>
      </c>
      <c r="R119" s="19" t="str">
        <f t="array" ref="R119">IFERROR(_xlfn.XLOOKUP(B119,EMPRESA_1!A:A,EMPRESA_1!M:M),"")</f>
        <v/>
      </c>
      <c r="S119" s="51"/>
      <c r="T119" s="51" t="str">
        <f t="array" ref="T119">IFERROR(_xlfn.XLOOKUP($F119,'Acerto virtual'!$E:$E,'Acerto virtual'!F:F),"")</f>
        <v/>
      </c>
      <c r="U119" s="51" t="str">
        <f t="array" ref="U119">IFERROR(_xlfn.XLOOKUP($F119,'Acerto virtual'!$E:$E,'Acerto virtual'!G:G),"")</f>
        <v/>
      </c>
      <c r="V119" s="51" t="str">
        <f t="array" ref="V119">IFERROR(_xlfn.XLOOKUP($F119,'Acerto virtual'!$E:$E,'Acerto virtual'!H:H),"")</f>
        <v/>
      </c>
      <c r="W119" s="51" t="str">
        <f t="array" ref="W119">IFERROR(_xlfn.XLOOKUP($F119,'Acerto virtual'!$E:$E,'Acerto virtual'!I:I),"")</f>
        <v/>
      </c>
      <c r="X119" s="51" t="str">
        <f t="array" ref="X119">IFERROR(_xlfn.XLOOKUP($F119,'Acerto virtual'!$E:$E,'Acerto virtual'!J:J),"")</f>
        <v/>
      </c>
      <c r="Y119" s="51" t="str">
        <f t="array" ref="Y119">IFERROR(_xlfn.XLOOKUP($F119,'Acerto virtual'!$E:$E,'Acerto virtual'!K:K),"")</f>
        <v/>
      </c>
      <c r="Z119" s="51" t="str">
        <f t="array" ref="Z119">IFERROR(_xlfn.XLOOKUP($F119,'Acerto virtual'!$E:$E,'Acerto virtual'!L:L),"")</f>
        <v/>
      </c>
      <c r="AA119" s="51" t="str">
        <f t="array" ref="AA119">IFERROR(_xlfn.XLOOKUP($F119,'Acerto virtual'!$E:$E,'Acerto virtual'!M:M),"")</f>
        <v/>
      </c>
      <c r="AB119" s="51" t="str">
        <f t="array" ref="AB119">IFERROR(_xlfn.XLOOKUP($F119,'Acerto virtual'!$E:$E,'Acerto virtual'!N:N),"")</f>
        <v/>
      </c>
      <c r="AC119" s="51" t="str">
        <f t="array" ref="AC119">IFERROR(_xlfn.XLOOKUP($F119,'Acerto virtual'!$E:$E,'Acerto virtual'!O:O),"")</f>
        <v/>
      </c>
      <c r="AD119" s="51" t="str">
        <f t="array" ref="AD119">IFERROR(_xlfn.XLOOKUP($F119,'Acerto virtual'!$E:$E,'Acerto virtual'!P:P),"")</f>
        <v/>
      </c>
      <c r="AE119" s="51" t="str">
        <f t="array" ref="AE119">IFERROR(_xlfn.XLOOKUP($F119,'Acerto virtual'!$E:$E,'Acerto virtual'!Q:Q),"")</f>
        <v/>
      </c>
      <c r="AF119" s="51" t="str">
        <f t="array" ref="AF119">IFERROR(_xlfn.XLOOKUP($F119,'Acerto virtual'!$E:$E,'Acerto virtual'!R:R),"")</f>
        <v/>
      </c>
      <c r="AG119" s="51" t="str">
        <f t="array" ref="AG119">IFERROR(_xlfn.XLOOKUP($F119,'Acerto virtual'!$E:$E,'Acerto virtual'!S:S),"")</f>
        <v/>
      </c>
      <c r="AH119" s="51" t="str">
        <f t="array" ref="AH119">IFERROR(_xlfn.XLOOKUP($F119,'Acerto virtual'!$E:$E,'Acerto virtual'!T:T),"")</f>
        <v/>
      </c>
      <c r="AI119" s="51" t="str">
        <f t="array" ref="AI119">IFERROR(_xlfn.XLOOKUP($F119,'Acerto virtual'!$E:$E,'Acerto virtual'!U:U),"")</f>
        <v/>
      </c>
    </row>
    <row r="120">
      <c r="A120" s="47" t="s">
        <v>560</v>
      </c>
      <c r="B120" s="47" t="s">
        <v>561</v>
      </c>
      <c r="C120" s="48" t="str">
        <f t="array" ref="C120">IFERROR(_xlfn.XLOOKUP($B120,'Histórico'!$B:$B,'Histórico'!$I:$I),"")</f>
        <v>452-0133</v>
      </c>
      <c r="D120" s="19" t="str">
        <f t="array" ref="D120">IFERROR(_xlfn.XLOOKUP($B120,'Histórico'!$B:$B,'Histórico'!$J:$J),"")</f>
        <v>74703</v>
      </c>
      <c r="E120" s="19" t="str">
        <f t="array" ref="E120">IFERROR(_xlfn.XLOOKUP($B120,'Histórico'!$B:$B,'Histórico'!$K:$K),"")</f>
        <v>BATTERY PACK,AIRCRAFT</v>
      </c>
      <c r="F120" s="19" t="str">
        <f t="array" ref="F120">IFERROR(_xlfn.XLOOKUP($B120,'Histórico'!$B:$B,'Histórico'!$L:$L),"")</f>
        <v>376422-005</v>
      </c>
      <c r="G120" s="49" t="str">
        <f t="array" ref="G120">IFERROR(_xlfn.XLOOKUP($B120,'Histórico'!$B:$B,'Histórico'!$F:$F),"")</f>
        <v>02/07/2025</v>
      </c>
      <c r="H120" s="19" t="str">
        <f t="array" ref="H120">IFERROR(_xlfn.XLOOKUP($B120,'Histórico'!$B:$B,'Histórico'!$AA:$AA),"")</f>
        <v>DACTA II</v>
      </c>
      <c r="I120" s="19" t="str">
        <f t="array" ref="I120">IFERROR(_xlfn.XLOOKUP($B120,Atual!$B:$B,Atual!$E:$E),"OS concluída")</f>
        <v>REC</v>
      </c>
      <c r="J120" s="19">
        <f t="shared" si="1"/>
        <v>470</v>
      </c>
      <c r="K120" s="19"/>
      <c r="L120" s="19" t="str">
        <f t="shared" si="2"/>
        <v>NÃO APLICÁVEL</v>
      </c>
      <c r="M120" s="19"/>
      <c r="N120" s="49" t="str">
        <f t="array" ref="N120">IFERROR(_xlfn.XLOOKUP($B120,EMPRESA_1!A:A,EMPRESA_1!J:J),"")</f>
        <v>CONDENADO</v>
      </c>
      <c r="O120" s="50" t="str">
        <f t="array" ref="O120">IFERROR(_xlfn.XLOOKUP(B120,EMPRESA_1!A:A,EMPRESA_1!K:K),"")
</f>
        <v>VEE ONE</v>
      </c>
      <c r="P120" s="48" t="str">
        <f t="array" ref="P120">IFERROR(_xlfn.XLOOKUP(B120,EMPRESA_1!A:A,EMPRESA_1!L:L),"")</f>
        <v/>
      </c>
      <c r="Q120" s="49" t="str">
        <f t="array" ref="Q120">IFERROR(_xlfn.XLOOKUP(B120,EMPRESA_1!A:A,EMPRESA_1!J:J),"")</f>
        <v>CONDENADO</v>
      </c>
      <c r="R120" s="19" t="str">
        <f t="array" ref="R120">IFERROR(_xlfn.XLOOKUP(B120,EMPRESA_1!A:A,EMPRESA_1!M:M),"")</f>
        <v/>
      </c>
      <c r="S120" s="51"/>
      <c r="T120" s="51" t="str">
        <f t="array" ref="T120">IFERROR(_xlfn.XLOOKUP($F120,'Acerto virtual'!$E:$E,'Acerto virtual'!F:F),"")</f>
        <v/>
      </c>
      <c r="U120" s="51" t="str">
        <f t="array" ref="U120">IFERROR(_xlfn.XLOOKUP($F120,'Acerto virtual'!$E:$E,'Acerto virtual'!G:G),"")</f>
        <v/>
      </c>
      <c r="V120" s="51" t="str">
        <f t="array" ref="V120">IFERROR(_xlfn.XLOOKUP($F120,'Acerto virtual'!$E:$E,'Acerto virtual'!H:H),"")</f>
        <v/>
      </c>
      <c r="W120" s="51" t="str">
        <f t="array" ref="W120">IFERROR(_xlfn.XLOOKUP($F120,'Acerto virtual'!$E:$E,'Acerto virtual'!I:I),"")</f>
        <v/>
      </c>
      <c r="X120" s="51" t="str">
        <f t="array" ref="X120">IFERROR(_xlfn.XLOOKUP($F120,'Acerto virtual'!$E:$E,'Acerto virtual'!J:J),"")</f>
        <v/>
      </c>
      <c r="Y120" s="51" t="str">
        <f t="array" ref="Y120">IFERROR(_xlfn.XLOOKUP($F120,'Acerto virtual'!$E:$E,'Acerto virtual'!K:K),"")</f>
        <v/>
      </c>
      <c r="Z120" s="51" t="str">
        <f t="array" ref="Z120">IFERROR(_xlfn.XLOOKUP($F120,'Acerto virtual'!$E:$E,'Acerto virtual'!L:L),"")</f>
        <v/>
      </c>
      <c r="AA120" s="51" t="str">
        <f t="array" ref="AA120">IFERROR(_xlfn.XLOOKUP($F120,'Acerto virtual'!$E:$E,'Acerto virtual'!M:M),"")</f>
        <v/>
      </c>
      <c r="AB120" s="51" t="str">
        <f t="array" ref="AB120">IFERROR(_xlfn.XLOOKUP($F120,'Acerto virtual'!$E:$E,'Acerto virtual'!N:N),"")</f>
        <v/>
      </c>
      <c r="AC120" s="51" t="str">
        <f t="array" ref="AC120">IFERROR(_xlfn.XLOOKUP($F120,'Acerto virtual'!$E:$E,'Acerto virtual'!O:O),"")</f>
        <v/>
      </c>
      <c r="AD120" s="51" t="str">
        <f t="array" ref="AD120">IFERROR(_xlfn.XLOOKUP($F120,'Acerto virtual'!$E:$E,'Acerto virtual'!P:P),"")</f>
        <v/>
      </c>
      <c r="AE120" s="51" t="str">
        <f t="array" ref="AE120">IFERROR(_xlfn.XLOOKUP($F120,'Acerto virtual'!$E:$E,'Acerto virtual'!Q:Q),"")</f>
        <v/>
      </c>
      <c r="AF120" s="51" t="str">
        <f t="array" ref="AF120">IFERROR(_xlfn.XLOOKUP($F120,'Acerto virtual'!$E:$E,'Acerto virtual'!R:R),"")</f>
        <v/>
      </c>
      <c r="AG120" s="51" t="str">
        <f t="array" ref="AG120">IFERROR(_xlfn.XLOOKUP($F120,'Acerto virtual'!$E:$E,'Acerto virtual'!S:S),"")</f>
        <v/>
      </c>
      <c r="AH120" s="51" t="str">
        <f t="array" ref="AH120">IFERROR(_xlfn.XLOOKUP($F120,'Acerto virtual'!$E:$E,'Acerto virtual'!T:T),"")</f>
        <v/>
      </c>
      <c r="AI120" s="51" t="str">
        <f t="array" ref="AI120">IFERROR(_xlfn.XLOOKUP($F120,'Acerto virtual'!$E:$E,'Acerto virtual'!U:U),"")</f>
        <v/>
      </c>
    </row>
    <row r="121">
      <c r="A121" s="47" t="s">
        <v>562</v>
      </c>
      <c r="B121" s="47" t="s">
        <v>563</v>
      </c>
      <c r="C121" s="48" t="str">
        <f t="array" ref="C121">IFERROR(_xlfn.XLOOKUP($B121,'Histórico'!$B:$B,'Histórico'!$I:$I),"")</f>
        <v>452-0133</v>
      </c>
      <c r="D121" s="19" t="str">
        <f t="array" ref="D121">IFERROR(_xlfn.XLOOKUP($B121,'Histórico'!$B:$B,'Histórico'!$J:$J),"")</f>
        <v>74703</v>
      </c>
      <c r="E121" s="19" t="str">
        <f t="array" ref="E121">IFERROR(_xlfn.XLOOKUP($B121,'Histórico'!$B:$B,'Histórico'!$K:$K),"")</f>
        <v>BATTERY PACK,AIRCRAFT</v>
      </c>
      <c r="F121" s="19" t="str">
        <f t="array" ref="F121">IFERROR(_xlfn.XLOOKUP($B121,'Histórico'!$B:$B,'Histórico'!$L:$L),"")</f>
        <v>376415-037</v>
      </c>
      <c r="G121" s="49" t="str">
        <f t="array" ref="G121">IFERROR(_xlfn.XLOOKUP($B121,'Histórico'!$B:$B,'Histórico'!$F:$F),"")</f>
        <v>02/07/2025</v>
      </c>
      <c r="H121" s="19" t="str">
        <f t="array" ref="H121">IFERROR(_xlfn.XLOOKUP($B121,'Histórico'!$B:$B,'Histórico'!$AA:$AA),"")</f>
        <v>BAMN</v>
      </c>
      <c r="I121" s="19" t="str">
        <f t="array" ref="I121">IFERROR(_xlfn.XLOOKUP($B121,Atual!$B:$B,Atual!$E:$E),"OS concluída")</f>
        <v>REC</v>
      </c>
      <c r="J121" s="19">
        <f t="shared" si="1"/>
        <v>470</v>
      </c>
      <c r="K121" s="19"/>
      <c r="L121" s="19" t="str">
        <f t="shared" si="2"/>
        <v>NÃO APLICÁVEL</v>
      </c>
      <c r="M121" s="19"/>
      <c r="N121" s="49" t="str">
        <f t="array" ref="N121">IFERROR(_xlfn.XLOOKUP($B121,EMPRESA_1!A:A,EMPRESA_1!J:J),"")</f>
        <v>CONDENADO</v>
      </c>
      <c r="O121" s="50" t="str">
        <f t="array" ref="O121">IFERROR(_xlfn.XLOOKUP(B121,EMPRESA_1!A:A,EMPRESA_1!K:K),"")
</f>
        <v>VEE ONE</v>
      </c>
      <c r="P121" s="48" t="str">
        <f t="array" ref="P121">IFERROR(_xlfn.XLOOKUP(B121,EMPRESA_1!A:A,EMPRESA_1!L:L),"")</f>
        <v/>
      </c>
      <c r="Q121" s="49" t="str">
        <f t="array" ref="Q121">IFERROR(_xlfn.XLOOKUP(B121,EMPRESA_1!A:A,EMPRESA_1!J:J),"")</f>
        <v>CONDENADO</v>
      </c>
      <c r="R121" s="19" t="str">
        <f t="array" ref="R121">IFERROR(_xlfn.XLOOKUP(B121,EMPRESA_1!A:A,EMPRESA_1!M:M),"")</f>
        <v/>
      </c>
      <c r="S121" s="51"/>
      <c r="T121" s="51" t="str">
        <f t="array" ref="T121">IFERROR(_xlfn.XLOOKUP($F121,'Acerto virtual'!$E:$E,'Acerto virtual'!F:F),"")</f>
        <v/>
      </c>
      <c r="U121" s="51" t="str">
        <f t="array" ref="U121">IFERROR(_xlfn.XLOOKUP($F121,'Acerto virtual'!$E:$E,'Acerto virtual'!G:G),"")</f>
        <v/>
      </c>
      <c r="V121" s="51" t="str">
        <f t="array" ref="V121">IFERROR(_xlfn.XLOOKUP($F121,'Acerto virtual'!$E:$E,'Acerto virtual'!H:H),"")</f>
        <v/>
      </c>
      <c r="W121" s="51" t="str">
        <f t="array" ref="W121">IFERROR(_xlfn.XLOOKUP($F121,'Acerto virtual'!$E:$E,'Acerto virtual'!I:I),"")</f>
        <v/>
      </c>
      <c r="X121" s="51" t="str">
        <f t="array" ref="X121">IFERROR(_xlfn.XLOOKUP($F121,'Acerto virtual'!$E:$E,'Acerto virtual'!J:J),"")</f>
        <v/>
      </c>
      <c r="Y121" s="51" t="str">
        <f t="array" ref="Y121">IFERROR(_xlfn.XLOOKUP($F121,'Acerto virtual'!$E:$E,'Acerto virtual'!K:K),"")</f>
        <v/>
      </c>
      <c r="Z121" s="51" t="str">
        <f t="array" ref="Z121">IFERROR(_xlfn.XLOOKUP($F121,'Acerto virtual'!$E:$E,'Acerto virtual'!L:L),"")</f>
        <v/>
      </c>
      <c r="AA121" s="51" t="str">
        <f t="array" ref="AA121">IFERROR(_xlfn.XLOOKUP($F121,'Acerto virtual'!$E:$E,'Acerto virtual'!M:M),"")</f>
        <v/>
      </c>
      <c r="AB121" s="51" t="str">
        <f t="array" ref="AB121">IFERROR(_xlfn.XLOOKUP($F121,'Acerto virtual'!$E:$E,'Acerto virtual'!N:N),"")</f>
        <v/>
      </c>
      <c r="AC121" s="51" t="str">
        <f t="array" ref="AC121">IFERROR(_xlfn.XLOOKUP($F121,'Acerto virtual'!$E:$E,'Acerto virtual'!O:O),"")</f>
        <v/>
      </c>
      <c r="AD121" s="51" t="str">
        <f t="array" ref="AD121">IFERROR(_xlfn.XLOOKUP($F121,'Acerto virtual'!$E:$E,'Acerto virtual'!P:P),"")</f>
        <v/>
      </c>
      <c r="AE121" s="51" t="str">
        <f t="array" ref="AE121">IFERROR(_xlfn.XLOOKUP($F121,'Acerto virtual'!$E:$E,'Acerto virtual'!Q:Q),"")</f>
        <v/>
      </c>
      <c r="AF121" s="51" t="str">
        <f t="array" ref="AF121">IFERROR(_xlfn.XLOOKUP($F121,'Acerto virtual'!$E:$E,'Acerto virtual'!R:R),"")</f>
        <v/>
      </c>
      <c r="AG121" s="51" t="str">
        <f t="array" ref="AG121">IFERROR(_xlfn.XLOOKUP($F121,'Acerto virtual'!$E:$E,'Acerto virtual'!S:S),"")</f>
        <v/>
      </c>
      <c r="AH121" s="51" t="str">
        <f t="array" ref="AH121">IFERROR(_xlfn.XLOOKUP($F121,'Acerto virtual'!$E:$E,'Acerto virtual'!T:T),"")</f>
        <v/>
      </c>
      <c r="AI121" s="51" t="str">
        <f t="array" ref="AI121">IFERROR(_xlfn.XLOOKUP($F121,'Acerto virtual'!$E:$E,'Acerto virtual'!U:U),"")</f>
        <v/>
      </c>
    </row>
    <row r="122">
      <c r="A122" s="47" t="s">
        <v>564</v>
      </c>
      <c r="B122" s="47" t="s">
        <v>565</v>
      </c>
      <c r="C122" s="48" t="str">
        <f t="array" ref="C122">IFERROR(_xlfn.XLOOKUP($B122,'Histórico'!$B:$B,'Histórico'!$I:$I),"")</f>
        <v>452-0133</v>
      </c>
      <c r="D122" s="19" t="str">
        <f t="array" ref="D122">IFERROR(_xlfn.XLOOKUP($B122,'Histórico'!$B:$B,'Histórico'!$J:$J),"")</f>
        <v>78286</v>
      </c>
      <c r="E122" s="19" t="str">
        <f t="array" ref="E122">IFERROR(_xlfn.XLOOKUP($B122,'Histórico'!$B:$B,'Histórico'!$K:$K),"")</f>
        <v>BATTERY,NONRECHARGEABLE</v>
      </c>
      <c r="F122" s="19" t="str">
        <f t="array" ref="F122">IFERROR(_xlfn.XLOOKUP($B122,'Histórico'!$B:$B,'Histórico'!$L:$L),"")</f>
        <v>363761-060</v>
      </c>
      <c r="G122" s="49" t="str">
        <f t="array" ref="G122">IFERROR(_xlfn.XLOOKUP($B122,'Histórico'!$B:$B,'Histórico'!$F:$F),"")</f>
        <v>02/07/2025</v>
      </c>
      <c r="H122" s="19" t="str">
        <f t="array" ref="H122">IFERROR(_xlfn.XLOOKUP($B122,'Histórico'!$B:$B,'Histórico'!$AA:$AA),"")</f>
        <v>BAMN</v>
      </c>
      <c r="I122" s="19" t="str">
        <f t="array" ref="I122">IFERROR(_xlfn.XLOOKUP($B122,Atual!$B:$B,Atual!$E:$E),"OS concluída")</f>
        <v>REC</v>
      </c>
      <c r="J122" s="19">
        <f t="shared" si="1"/>
        <v>470</v>
      </c>
      <c r="K122" s="19"/>
      <c r="L122" s="19" t="str">
        <f t="shared" si="2"/>
        <v>NÃO APLICÁVEL</v>
      </c>
      <c r="M122" s="19"/>
      <c r="N122" s="49" t="str">
        <f t="array" ref="N122">IFERROR(_xlfn.XLOOKUP($B122,EMPRESA_1!A:A,EMPRESA_1!J:J),"")</f>
        <v>CONDENADO</v>
      </c>
      <c r="O122" s="50" t="str">
        <f t="array" ref="O122">IFERROR(_xlfn.XLOOKUP(B122,EMPRESA_1!A:A,EMPRESA_1!K:K),"")
</f>
        <v>VEE ONE</v>
      </c>
      <c r="P122" s="48" t="str">
        <f t="array" ref="P122">IFERROR(_xlfn.XLOOKUP(B122,EMPRESA_1!A:A,EMPRESA_1!L:L),"")</f>
        <v/>
      </c>
      <c r="Q122" s="49" t="str">
        <f t="array" ref="Q122">IFERROR(_xlfn.XLOOKUP(B122,EMPRESA_1!A:A,EMPRESA_1!J:J),"")</f>
        <v>CONDENADO</v>
      </c>
      <c r="R122" s="19" t="str">
        <f t="array" ref="R122">IFERROR(_xlfn.XLOOKUP(B122,EMPRESA_1!A:A,EMPRESA_1!M:M),"")</f>
        <v/>
      </c>
      <c r="S122" s="51"/>
      <c r="T122" s="51" t="str">
        <f t="array" ref="T122">IFERROR(_xlfn.XLOOKUP($F122,'Acerto virtual'!$E:$E,'Acerto virtual'!F:F),"")</f>
        <v/>
      </c>
      <c r="U122" s="51" t="str">
        <f t="array" ref="U122">IFERROR(_xlfn.XLOOKUP($F122,'Acerto virtual'!$E:$E,'Acerto virtual'!G:G),"")</f>
        <v/>
      </c>
      <c r="V122" s="51" t="str">
        <f t="array" ref="V122">IFERROR(_xlfn.XLOOKUP($F122,'Acerto virtual'!$E:$E,'Acerto virtual'!H:H),"")</f>
        <v/>
      </c>
      <c r="W122" s="51" t="str">
        <f t="array" ref="W122">IFERROR(_xlfn.XLOOKUP($F122,'Acerto virtual'!$E:$E,'Acerto virtual'!I:I),"")</f>
        <v/>
      </c>
      <c r="X122" s="51" t="str">
        <f t="array" ref="X122">IFERROR(_xlfn.XLOOKUP($F122,'Acerto virtual'!$E:$E,'Acerto virtual'!J:J),"")</f>
        <v/>
      </c>
      <c r="Y122" s="51" t="str">
        <f t="array" ref="Y122">IFERROR(_xlfn.XLOOKUP($F122,'Acerto virtual'!$E:$E,'Acerto virtual'!K:K),"")</f>
        <v/>
      </c>
      <c r="Z122" s="51" t="str">
        <f t="array" ref="Z122">IFERROR(_xlfn.XLOOKUP($F122,'Acerto virtual'!$E:$E,'Acerto virtual'!L:L),"")</f>
        <v/>
      </c>
      <c r="AA122" s="51" t="str">
        <f t="array" ref="AA122">IFERROR(_xlfn.XLOOKUP($F122,'Acerto virtual'!$E:$E,'Acerto virtual'!M:M),"")</f>
        <v/>
      </c>
      <c r="AB122" s="51" t="str">
        <f t="array" ref="AB122">IFERROR(_xlfn.XLOOKUP($F122,'Acerto virtual'!$E:$E,'Acerto virtual'!N:N),"")</f>
        <v/>
      </c>
      <c r="AC122" s="51" t="str">
        <f t="array" ref="AC122">IFERROR(_xlfn.XLOOKUP($F122,'Acerto virtual'!$E:$E,'Acerto virtual'!O:O),"")</f>
        <v/>
      </c>
      <c r="AD122" s="51" t="str">
        <f t="array" ref="AD122">IFERROR(_xlfn.XLOOKUP($F122,'Acerto virtual'!$E:$E,'Acerto virtual'!P:P),"")</f>
        <v/>
      </c>
      <c r="AE122" s="51" t="str">
        <f t="array" ref="AE122">IFERROR(_xlfn.XLOOKUP($F122,'Acerto virtual'!$E:$E,'Acerto virtual'!Q:Q),"")</f>
        <v/>
      </c>
      <c r="AF122" s="51" t="str">
        <f t="array" ref="AF122">IFERROR(_xlfn.XLOOKUP($F122,'Acerto virtual'!$E:$E,'Acerto virtual'!R:R),"")</f>
        <v/>
      </c>
      <c r="AG122" s="51" t="str">
        <f t="array" ref="AG122">IFERROR(_xlfn.XLOOKUP($F122,'Acerto virtual'!$E:$E,'Acerto virtual'!S:S),"")</f>
        <v/>
      </c>
      <c r="AH122" s="51" t="str">
        <f t="array" ref="AH122">IFERROR(_xlfn.XLOOKUP($F122,'Acerto virtual'!$E:$E,'Acerto virtual'!T:T),"")</f>
        <v/>
      </c>
      <c r="AI122" s="51" t="str">
        <f t="array" ref="AI122">IFERROR(_xlfn.XLOOKUP($F122,'Acerto virtual'!$E:$E,'Acerto virtual'!U:U),"")</f>
        <v/>
      </c>
    </row>
    <row r="123">
      <c r="A123" s="47" t="s">
        <v>566</v>
      </c>
      <c r="B123" s="47" t="s">
        <v>567</v>
      </c>
      <c r="C123" s="48" t="str">
        <f t="array" ref="C123">IFERROR(_xlfn.XLOOKUP($B123,'Histórico'!$B:$B,'Histórico'!$I:$I),"")</f>
        <v>452-0133</v>
      </c>
      <c r="D123" s="19" t="str">
        <f t="array" ref="D123">IFERROR(_xlfn.XLOOKUP($B123,'Histórico'!$B:$B,'Histórico'!$J:$J),"")</f>
        <v>78286</v>
      </c>
      <c r="E123" s="19" t="str">
        <f t="array" ref="E123">IFERROR(_xlfn.XLOOKUP($B123,'Histórico'!$B:$B,'Histórico'!$K:$K),"")</f>
        <v>BATTERY,NONRECHARGEABLE</v>
      </c>
      <c r="F123" s="19" t="str">
        <f t="array" ref="F123">IFERROR(_xlfn.XLOOKUP($B123,'Histórico'!$B:$B,'Histórico'!$L:$L),"")</f>
        <v>363749-085</v>
      </c>
      <c r="G123" s="49" t="str">
        <f t="array" ref="G123">IFERROR(_xlfn.XLOOKUP($B123,'Histórico'!$B:$B,'Histórico'!$F:$F),"")</f>
        <v>02/07/2025</v>
      </c>
      <c r="H123" s="19" t="str">
        <f t="array" ref="H123">IFERROR(_xlfn.XLOOKUP($B123,'Histórico'!$B:$B,'Histórico'!$AA:$AA),"")</f>
        <v>DACTA II</v>
      </c>
      <c r="I123" s="19" t="str">
        <f t="array" ref="I123">IFERROR(_xlfn.XLOOKUP($B123,Atual!$B:$B,Atual!$E:$E),"OS concluída")</f>
        <v>REC</v>
      </c>
      <c r="J123" s="19">
        <f t="shared" si="1"/>
        <v>470</v>
      </c>
      <c r="K123" s="19"/>
      <c r="L123" s="19" t="str">
        <f t="shared" si="2"/>
        <v>NÃO APLICÁVEL</v>
      </c>
      <c r="M123" s="19"/>
      <c r="N123" s="49" t="str">
        <f t="array" ref="N123">IFERROR(_xlfn.XLOOKUP($B123,EMPRESA_1!A:A,EMPRESA_1!J:J),"")</f>
        <v>CONDENADO</v>
      </c>
      <c r="O123" s="50" t="str">
        <f t="array" ref="O123">IFERROR(_xlfn.XLOOKUP(B123,EMPRESA_1!A:A,EMPRESA_1!K:K),"")
</f>
        <v>VEE ONE</v>
      </c>
      <c r="P123" s="48" t="str">
        <f t="array" ref="P123">IFERROR(_xlfn.XLOOKUP(B123,EMPRESA_1!A:A,EMPRESA_1!L:L),"")</f>
        <v/>
      </c>
      <c r="Q123" s="49" t="str">
        <f t="array" ref="Q123">IFERROR(_xlfn.XLOOKUP(B123,EMPRESA_1!A:A,EMPRESA_1!J:J),"")</f>
        <v>CONDENADO</v>
      </c>
      <c r="R123" s="19" t="str">
        <f t="array" ref="R123">IFERROR(_xlfn.XLOOKUP(B123,EMPRESA_1!A:A,EMPRESA_1!M:M),"")</f>
        <v/>
      </c>
      <c r="S123" s="51"/>
      <c r="T123" s="51" t="str">
        <f t="array" ref="T123">IFERROR(_xlfn.XLOOKUP($F123,'Acerto virtual'!$E:$E,'Acerto virtual'!F:F),"")</f>
        <v/>
      </c>
      <c r="U123" s="51" t="str">
        <f t="array" ref="U123">IFERROR(_xlfn.XLOOKUP($F123,'Acerto virtual'!$E:$E,'Acerto virtual'!G:G),"")</f>
        <v/>
      </c>
      <c r="V123" s="51" t="str">
        <f t="array" ref="V123">IFERROR(_xlfn.XLOOKUP($F123,'Acerto virtual'!$E:$E,'Acerto virtual'!H:H),"")</f>
        <v/>
      </c>
      <c r="W123" s="51" t="str">
        <f t="array" ref="W123">IFERROR(_xlfn.XLOOKUP($F123,'Acerto virtual'!$E:$E,'Acerto virtual'!I:I),"")</f>
        <v/>
      </c>
      <c r="X123" s="51" t="str">
        <f t="array" ref="X123">IFERROR(_xlfn.XLOOKUP($F123,'Acerto virtual'!$E:$E,'Acerto virtual'!J:J),"")</f>
        <v/>
      </c>
      <c r="Y123" s="51" t="str">
        <f t="array" ref="Y123">IFERROR(_xlfn.XLOOKUP($F123,'Acerto virtual'!$E:$E,'Acerto virtual'!K:K),"")</f>
        <v/>
      </c>
      <c r="Z123" s="51" t="str">
        <f t="array" ref="Z123">IFERROR(_xlfn.XLOOKUP($F123,'Acerto virtual'!$E:$E,'Acerto virtual'!L:L),"")</f>
        <v/>
      </c>
      <c r="AA123" s="51" t="str">
        <f t="array" ref="AA123">IFERROR(_xlfn.XLOOKUP($F123,'Acerto virtual'!$E:$E,'Acerto virtual'!M:M),"")</f>
        <v/>
      </c>
      <c r="AB123" s="51" t="str">
        <f t="array" ref="AB123">IFERROR(_xlfn.XLOOKUP($F123,'Acerto virtual'!$E:$E,'Acerto virtual'!N:N),"")</f>
        <v/>
      </c>
      <c r="AC123" s="51" t="str">
        <f t="array" ref="AC123">IFERROR(_xlfn.XLOOKUP($F123,'Acerto virtual'!$E:$E,'Acerto virtual'!O:O),"")</f>
        <v/>
      </c>
      <c r="AD123" s="51" t="str">
        <f t="array" ref="AD123">IFERROR(_xlfn.XLOOKUP($F123,'Acerto virtual'!$E:$E,'Acerto virtual'!P:P),"")</f>
        <v/>
      </c>
      <c r="AE123" s="51" t="str">
        <f t="array" ref="AE123">IFERROR(_xlfn.XLOOKUP($F123,'Acerto virtual'!$E:$E,'Acerto virtual'!Q:Q),"")</f>
        <v/>
      </c>
      <c r="AF123" s="51" t="str">
        <f t="array" ref="AF123">IFERROR(_xlfn.XLOOKUP($F123,'Acerto virtual'!$E:$E,'Acerto virtual'!R:R),"")</f>
        <v/>
      </c>
      <c r="AG123" s="51" t="str">
        <f t="array" ref="AG123">IFERROR(_xlfn.XLOOKUP($F123,'Acerto virtual'!$E:$E,'Acerto virtual'!S:S),"")</f>
        <v/>
      </c>
      <c r="AH123" s="51" t="str">
        <f t="array" ref="AH123">IFERROR(_xlfn.XLOOKUP($F123,'Acerto virtual'!$E:$E,'Acerto virtual'!T:T),"")</f>
        <v/>
      </c>
      <c r="AI123" s="51" t="str">
        <f t="array" ref="AI123">IFERROR(_xlfn.XLOOKUP($F123,'Acerto virtual'!$E:$E,'Acerto virtual'!U:U),"")</f>
        <v/>
      </c>
    </row>
    <row r="124">
      <c r="A124" s="47" t="s">
        <v>568</v>
      </c>
      <c r="B124" s="47" t="s">
        <v>569</v>
      </c>
      <c r="C124" s="48" t="str">
        <f t="array" ref="C124">IFERROR(_xlfn.XLOOKUP($B124,'Histórico'!$B:$B,'Histórico'!$I:$I),"")</f>
        <v>011-00916-00</v>
      </c>
      <c r="D124" s="19" t="str">
        <f t="array" ref="D124">IFERROR(_xlfn.XLOOKUP($B124,'Histórico'!$B:$B,'Histórico'!$J:$J),"")</f>
        <v>0TRC3</v>
      </c>
      <c r="E124" s="19" t="str">
        <f t="array" ref="E124">IFERROR(_xlfn.XLOOKUP($B124,'Histórico'!$B:$B,'Histórico'!$K:$K),"")</f>
        <v>DISPLAY UNIT GDU 1040A</v>
      </c>
      <c r="F124" s="19" t="str">
        <f t="array" ref="F124">IFERROR(_xlfn.XLOOKUP($B124,'Histórico'!$B:$B,'Histórico'!$L:$L),"")</f>
        <v>86800893</v>
      </c>
      <c r="G124" s="49" t="str">
        <f t="array" ref="G124">IFERROR(_xlfn.XLOOKUP($B124,'Histórico'!$B:$B,'Histórico'!$F:$F),"")</f>
        <v>11/07/2025</v>
      </c>
      <c r="H124" s="19" t="str">
        <f t="array" ref="H124">IFERROR(_xlfn.XLOOKUP($B124,'Histórico'!$B:$B,'Histórico'!$AA:$AA),"")</f>
        <v>BAMN</v>
      </c>
      <c r="I124" s="19" t="str">
        <f t="array" ref="I124">IFERROR(_xlfn.XLOOKUP($B124,Atual!$B:$B,Atual!$E:$E),"OS concluída")</f>
        <v>REC</v>
      </c>
      <c r="J124" s="19">
        <f t="shared" si="1"/>
        <v>461</v>
      </c>
      <c r="K124" s="19"/>
      <c r="L124" s="19">
        <f t="shared" si="2"/>
        <v>251</v>
      </c>
      <c r="M124" s="19"/>
      <c r="N124" s="49">
        <f t="array" ref="N124">IFERROR(_xlfn.XLOOKUP($B124,EMPRESA_1!A:A,EMPRESA_1!J:J),"")</f>
        <v>46100</v>
      </c>
      <c r="O124" s="50" t="str">
        <f t="array" ref="O124">IFERROR(_xlfn.XLOOKUP(B124,EMPRESA_1!A:A,EMPRESA_1!K:K),"")
</f>
        <v>BAMN</v>
      </c>
      <c r="P124" s="19" t="str">
        <f t="array" ref="P124">IFERROR(_xlfn.XLOOKUP(B124,EMPRESA_1!A:A,EMPRESA_1!L:L),"")</f>
        <v>223/FAB/26</v>
      </c>
      <c r="Q124" s="49">
        <f t="array" ref="Q124">IFERROR(_xlfn.XLOOKUP(B124,EMPRESA_1!A:A,EMPRESA_1!J:J),"")</f>
        <v>46100</v>
      </c>
      <c r="R124" s="19">
        <f t="array" ref="R124">IFERROR(_xlfn.XLOOKUP(B124,EMPRESA_1!A:A,EMPRESA_1!M:M),"")</f>
        <v>86816488</v>
      </c>
      <c r="S124" s="51"/>
      <c r="T124" s="51" t="str">
        <f t="array" ref="T124">IFERROR(_xlfn.XLOOKUP($F124,'Acerto virtual'!$E:$E,'Acerto virtual'!F:F),"")</f>
        <v/>
      </c>
      <c r="U124" s="51" t="str">
        <f t="array" ref="U124">IFERROR(_xlfn.XLOOKUP($F124,'Acerto virtual'!$E:$E,'Acerto virtual'!G:G),"")</f>
        <v/>
      </c>
      <c r="V124" s="51" t="str">
        <f t="array" ref="V124">IFERROR(_xlfn.XLOOKUP($F124,'Acerto virtual'!$E:$E,'Acerto virtual'!H:H),"")</f>
        <v/>
      </c>
      <c r="W124" s="51" t="str">
        <f t="array" ref="W124">IFERROR(_xlfn.XLOOKUP($F124,'Acerto virtual'!$E:$E,'Acerto virtual'!I:I),"")</f>
        <v/>
      </c>
      <c r="X124" s="51" t="str">
        <f t="array" ref="X124">IFERROR(_xlfn.XLOOKUP($F124,'Acerto virtual'!$E:$E,'Acerto virtual'!J:J),"")</f>
        <v/>
      </c>
      <c r="Y124" s="51" t="str">
        <f t="array" ref="Y124">IFERROR(_xlfn.XLOOKUP($F124,'Acerto virtual'!$E:$E,'Acerto virtual'!K:K),"")</f>
        <v/>
      </c>
      <c r="Z124" s="51" t="str">
        <f t="array" ref="Z124">IFERROR(_xlfn.XLOOKUP($F124,'Acerto virtual'!$E:$E,'Acerto virtual'!L:L),"")</f>
        <v/>
      </c>
      <c r="AA124" s="51" t="str">
        <f t="array" ref="AA124">IFERROR(_xlfn.XLOOKUP($F124,'Acerto virtual'!$E:$E,'Acerto virtual'!M:M),"")</f>
        <v/>
      </c>
      <c r="AB124" s="51" t="str">
        <f t="array" ref="AB124">IFERROR(_xlfn.XLOOKUP($F124,'Acerto virtual'!$E:$E,'Acerto virtual'!N:N),"")</f>
        <v/>
      </c>
      <c r="AC124" s="51" t="str">
        <f t="array" ref="AC124">IFERROR(_xlfn.XLOOKUP($F124,'Acerto virtual'!$E:$E,'Acerto virtual'!O:O),"")</f>
        <v/>
      </c>
      <c r="AD124" s="51" t="str">
        <f t="array" ref="AD124">IFERROR(_xlfn.XLOOKUP($F124,'Acerto virtual'!$E:$E,'Acerto virtual'!P:P),"")</f>
        <v/>
      </c>
      <c r="AE124" s="51" t="str">
        <f t="array" ref="AE124">IFERROR(_xlfn.XLOOKUP($F124,'Acerto virtual'!$E:$E,'Acerto virtual'!Q:Q),"")</f>
        <v/>
      </c>
      <c r="AF124" s="51" t="str">
        <f t="array" ref="AF124">IFERROR(_xlfn.XLOOKUP($F124,'Acerto virtual'!$E:$E,'Acerto virtual'!R:R),"")</f>
        <v/>
      </c>
      <c r="AG124" s="51" t="str">
        <f t="array" ref="AG124">IFERROR(_xlfn.XLOOKUP($F124,'Acerto virtual'!$E:$E,'Acerto virtual'!S:S),"")</f>
        <v/>
      </c>
      <c r="AH124" s="51" t="str">
        <f t="array" ref="AH124">IFERROR(_xlfn.XLOOKUP($F124,'Acerto virtual'!$E:$E,'Acerto virtual'!T:T),"")</f>
        <v/>
      </c>
      <c r="AI124" s="51" t="str">
        <f t="array" ref="AI124">IFERROR(_xlfn.XLOOKUP($F124,'Acerto virtual'!$E:$E,'Acerto virtual'!U:U),"")</f>
        <v/>
      </c>
    </row>
    <row r="125">
      <c r="A125" s="47" t="s">
        <v>570</v>
      </c>
      <c r="B125" s="47" t="s">
        <v>571</v>
      </c>
      <c r="C125" s="48" t="str">
        <f t="array" ref="C125">IFERROR(_xlfn.XLOOKUP($B125,'Histórico'!$B:$B,'Histórico'!$I:$I),"")</f>
        <v>702801-5</v>
      </c>
      <c r="D125" s="19" t="str">
        <f t="array" ref="D125">IFERROR(_xlfn.XLOOKUP($B125,'Histórico'!$B:$B,'Histórico'!$J:$J),"")</f>
        <v>59875</v>
      </c>
      <c r="E125" s="19" t="str">
        <f t="array" ref="E125">IFERROR(_xlfn.XLOOKUP($B125,'Histórico'!$B:$B,'Histórico'!$K:$K),"")</f>
        <v>FUEL PUMP</v>
      </c>
      <c r="F125" s="19" t="str">
        <f t="array" ref="F125">IFERROR(_xlfn.XLOOKUP($B125,'Histórico'!$B:$B,'Histórico'!$L:$L),"")</f>
        <v>003614</v>
      </c>
      <c r="G125" s="49" t="str">
        <f t="array" ref="G125">IFERROR(_xlfn.XLOOKUP($B125,'Histórico'!$B:$B,'Histórico'!$F:$F),"")</f>
        <v>11/07/2025</v>
      </c>
      <c r="H125" s="19" t="str">
        <f t="array" ref="H125">IFERROR(_xlfn.XLOOKUP($B125,'Histórico'!$B:$B,'Histórico'!$AA:$AA),"")</f>
        <v>PAMASP</v>
      </c>
      <c r="I125" s="19" t="str">
        <f t="array" ref="I125">IFERROR(_xlfn.XLOOKUP($B125,Atual!$B:$B,Atual!$E:$E),"OS concluída")</f>
        <v>REC</v>
      </c>
      <c r="J125" s="19">
        <f t="shared" si="1"/>
        <v>461</v>
      </c>
      <c r="K125" s="19"/>
      <c r="L125" s="19" t="str">
        <f t="shared" si="2"/>
        <v>NÃO APLICÁVEL</v>
      </c>
      <c r="M125" s="19"/>
      <c r="N125" s="49" t="str">
        <f t="array" ref="N125">IFERROR(_xlfn.XLOOKUP($B125,EMPRESA_1!A:A,EMPRESA_1!J:J),"")</f>
        <v>EM REPARO</v>
      </c>
      <c r="O125" s="50" t="str">
        <f t="array" ref="O125">IFERROR(_xlfn.XLOOKUP(B125,EMPRESA_1!A:A,EMPRESA_1!K:K),"")
</f>
        <v>VEE ONE</v>
      </c>
      <c r="P125" s="48" t="str">
        <f t="array" ref="P125">IFERROR(_xlfn.XLOOKUP(B125,EMPRESA_1!A:A,EMPRESA_1!L:L),"")</f>
        <v/>
      </c>
      <c r="Q125" s="49" t="str">
        <f t="array" ref="Q125">IFERROR(_xlfn.XLOOKUP(B125,EMPRESA_1!A:A,EMPRESA_1!J:J),"")</f>
        <v>EM REPARO</v>
      </c>
      <c r="R125" s="19" t="str">
        <f t="array" ref="R125">IFERROR(_xlfn.XLOOKUP(B125,EMPRESA_1!A:A,EMPRESA_1!M:M),"")</f>
        <v/>
      </c>
      <c r="S125" s="51"/>
      <c r="T125" s="51" t="str">
        <f t="array" ref="T125">IFERROR(_xlfn.XLOOKUP($F125,'Acerto virtual'!$E:$E,'Acerto virtual'!F:F),"")</f>
        <v/>
      </c>
      <c r="U125" s="51" t="str">
        <f t="array" ref="U125">IFERROR(_xlfn.XLOOKUP($F125,'Acerto virtual'!$E:$E,'Acerto virtual'!G:G),"")</f>
        <v/>
      </c>
      <c r="V125" s="51" t="str">
        <f t="array" ref="V125">IFERROR(_xlfn.XLOOKUP($F125,'Acerto virtual'!$E:$E,'Acerto virtual'!H:H),"")</f>
        <v/>
      </c>
      <c r="W125" s="51" t="str">
        <f t="array" ref="W125">IFERROR(_xlfn.XLOOKUP($F125,'Acerto virtual'!$E:$E,'Acerto virtual'!I:I),"")</f>
        <v/>
      </c>
      <c r="X125" s="51" t="str">
        <f t="array" ref="X125">IFERROR(_xlfn.XLOOKUP($F125,'Acerto virtual'!$E:$E,'Acerto virtual'!J:J),"")</f>
        <v/>
      </c>
      <c r="Y125" s="51" t="str">
        <f t="array" ref="Y125">IFERROR(_xlfn.XLOOKUP($F125,'Acerto virtual'!$E:$E,'Acerto virtual'!K:K),"")</f>
        <v/>
      </c>
      <c r="Z125" s="51" t="str">
        <f t="array" ref="Z125">IFERROR(_xlfn.XLOOKUP($F125,'Acerto virtual'!$E:$E,'Acerto virtual'!L:L),"")</f>
        <v/>
      </c>
      <c r="AA125" s="51" t="str">
        <f t="array" ref="AA125">IFERROR(_xlfn.XLOOKUP($F125,'Acerto virtual'!$E:$E,'Acerto virtual'!M:M),"")</f>
        <v/>
      </c>
      <c r="AB125" s="51" t="str">
        <f t="array" ref="AB125">IFERROR(_xlfn.XLOOKUP($F125,'Acerto virtual'!$E:$E,'Acerto virtual'!N:N),"")</f>
        <v/>
      </c>
      <c r="AC125" s="51" t="str">
        <f t="array" ref="AC125">IFERROR(_xlfn.XLOOKUP($F125,'Acerto virtual'!$E:$E,'Acerto virtual'!O:O),"")</f>
        <v/>
      </c>
      <c r="AD125" s="51" t="str">
        <f t="array" ref="AD125">IFERROR(_xlfn.XLOOKUP($F125,'Acerto virtual'!$E:$E,'Acerto virtual'!P:P),"")</f>
        <v/>
      </c>
      <c r="AE125" s="51" t="str">
        <f t="array" ref="AE125">IFERROR(_xlfn.XLOOKUP($F125,'Acerto virtual'!$E:$E,'Acerto virtual'!Q:Q),"")</f>
        <v/>
      </c>
      <c r="AF125" s="51" t="str">
        <f t="array" ref="AF125">IFERROR(_xlfn.XLOOKUP($F125,'Acerto virtual'!$E:$E,'Acerto virtual'!R:R),"")</f>
        <v/>
      </c>
      <c r="AG125" s="51" t="str">
        <f t="array" ref="AG125">IFERROR(_xlfn.XLOOKUP($F125,'Acerto virtual'!$E:$E,'Acerto virtual'!S:S),"")</f>
        <v/>
      </c>
      <c r="AH125" s="51" t="str">
        <f t="array" ref="AH125">IFERROR(_xlfn.XLOOKUP($F125,'Acerto virtual'!$E:$E,'Acerto virtual'!T:T),"")</f>
        <v/>
      </c>
      <c r="AI125" s="51" t="str">
        <f t="array" ref="AI125">IFERROR(_xlfn.XLOOKUP($F125,'Acerto virtual'!$E:$E,'Acerto virtual'!U:U),"")</f>
        <v/>
      </c>
    </row>
    <row r="126" hidden="1">
      <c r="A126" s="47" t="s">
        <v>572</v>
      </c>
      <c r="B126" s="47" t="s">
        <v>573</v>
      </c>
      <c r="C126" s="19" t="str">
        <f t="array" ref="C126">IFERROR(_xlfn.XLOOKUP($B126,'Histórico'!$B:$B,'Histórico'!$I:$I),"")</f>
        <v>8210-002</v>
      </c>
      <c r="D126" s="19" t="str">
        <f t="array" ref="D126">IFERROR(_xlfn.XLOOKUP($B126,'Histórico'!$B:$B,'Histórico'!$J:$J),"")</f>
        <v>66503</v>
      </c>
      <c r="E126" s="19" t="str">
        <f t="array" ref="E126">IFERROR(_xlfn.XLOOKUP($B126,'Histórico'!$B:$B,'Histórico'!$K:$K),"")</f>
        <v>GOVERNOR,CONSTANT SPEED DRIVE</v>
      </c>
      <c r="F126" s="19" t="str">
        <f t="array" ref="F126">IFERROR(_xlfn.XLOOKUP($B126,'Histórico'!$B:$B,'Histórico'!$L:$L),"")</f>
        <v>15100008</v>
      </c>
      <c r="G126" s="49" t="str">
        <f t="array" ref="G126">IFERROR(_xlfn.XLOOKUP($B126,'Histórico'!$B:$B,'Histórico'!$F:$F),"")</f>
        <v>11/07/2025</v>
      </c>
      <c r="H126" s="19" t="str">
        <f t="array" ref="H126">IFERROR(_xlfn.XLOOKUP($B126,'Histórico'!$B:$B,'Histórico'!$AA:$AA),"")</f>
        <v>PAMALS</v>
      </c>
      <c r="I126" s="19" t="str">
        <f t="array" ref="I126">IFERROR(_xlfn.XLOOKUP($B126,Atual!$B:$B,Atual!$E:$E),"OS concluída")</f>
        <v>OS concluída</v>
      </c>
      <c r="J126" s="19" t="str">
        <f t="shared" si="1"/>
        <v/>
      </c>
      <c r="K126" s="19"/>
      <c r="L126" s="19" t="str">
        <f t="shared" si="2"/>
        <v/>
      </c>
      <c r="M126" s="19"/>
      <c r="N126" s="49" t="str">
        <f t="array" ref="N126">IFERROR(_xlfn.XLOOKUP($B126,Empresa!G:G,Empresa!K:K),"")</f>
        <v/>
      </c>
      <c r="O126" s="49"/>
      <c r="P126" s="19" t="str">
        <f t="array" ref="P126">IFERROR(_xlfn.XLOOKUP($F126,'Vee one'!F:F,'Vee one'!O:O),"")</f>
        <v/>
      </c>
      <c r="Q126" s="19" t="str">
        <f t="array" ref="Q126">IFERROR(_xlfn.XLOOKUP($F126,'Vee one'!F:F,'Vee one'!K:K),"")</f>
        <v/>
      </c>
      <c r="R126" s="19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</row>
    <row r="127">
      <c r="A127" s="47" t="s">
        <v>574</v>
      </c>
      <c r="B127" s="47" t="s">
        <v>575</v>
      </c>
      <c r="C127" s="48" t="str">
        <f t="array" ref="C127">IFERROR(_xlfn.XLOOKUP($B127,'Histórico'!$B:$B,'Histórico'!$I:$I),"")</f>
        <v>DAAS-A-010-1</v>
      </c>
      <c r="D127" s="19" t="str">
        <f t="array" ref="D127">IFERROR(_xlfn.XLOOKUP($B127,'Histórico'!$B:$B,'Histórico'!$J:$J),"")</f>
        <v>1YQ22</v>
      </c>
      <c r="E127" s="19" t="str">
        <f t="array" ref="E127">IFERROR(_xlfn.XLOOKUP($B127,'Histórico'!$B:$B,'Histórico'!$K:$K),"")</f>
        <v>ADAS-D PROCESSOR</v>
      </c>
      <c r="F127" s="19" t="str">
        <f t="array" ref="F127">IFERROR(_xlfn.XLOOKUP($B127,'Histórico'!$B:$B,'Histórico'!$L:$L),"")</f>
        <v>0235</v>
      </c>
      <c r="G127" s="49" t="str">
        <f t="array" ref="G127">IFERROR(_xlfn.XLOOKUP($B127,'Histórico'!$B:$B,'Histórico'!$F:$F),"")</f>
        <v>15/07/2025</v>
      </c>
      <c r="H127" s="19" t="str">
        <f t="array" ref="H127">IFERROR(_xlfn.XLOOKUP($B127,'Histórico'!$B:$B,'Histórico'!$AA:$AA),"")</f>
        <v>PAMALS</v>
      </c>
      <c r="I127" s="19" t="str">
        <f t="array" ref="I127">IFERROR(_xlfn.XLOOKUP($B127,Atual!$B:$B,Atual!$E:$E),"OS concluída")</f>
        <v>REC</v>
      </c>
      <c r="J127" s="19">
        <f t="shared" si="1"/>
        <v>457</v>
      </c>
      <c r="K127" s="19"/>
      <c r="L127" s="19" t="str">
        <f t="shared" si="2"/>
        <v>NÃO APLICÁVEL</v>
      </c>
      <c r="M127" s="19"/>
      <c r="N127" s="49" t="str">
        <f t="array" ref="N127">IFERROR(_xlfn.XLOOKUP($B127,EMPRESA_1!A:A,EMPRESA_1!J:J),"")</f>
        <v>EM REPARO</v>
      </c>
      <c r="O127" s="50" t="str">
        <f t="array" ref="O127">IFERROR(_xlfn.XLOOKUP(B127,EMPRESA_1!A:A,EMPRESA_1!K:K),"")
</f>
        <v>VEE ONE</v>
      </c>
      <c r="P127" s="48" t="str">
        <f t="array" ref="P127">IFERROR(_xlfn.XLOOKUP(B127,EMPRESA_1!A:A,EMPRESA_1!L:L),"")</f>
        <v/>
      </c>
      <c r="Q127" s="49" t="str">
        <f t="array" ref="Q127">IFERROR(_xlfn.XLOOKUP(B127,EMPRESA_1!A:A,EMPRESA_1!J:J),"")</f>
        <v>EM REPARO</v>
      </c>
      <c r="R127" s="19" t="str">
        <f t="array" ref="R127">IFERROR(_xlfn.XLOOKUP(B127,EMPRESA_1!A:A,EMPRESA_1!M:M),"")</f>
        <v/>
      </c>
      <c r="S127" s="51"/>
      <c r="T127" s="51" t="str">
        <f t="array" ref="T127">IFERROR(_xlfn.XLOOKUP($F127,'Acerto virtual'!$E:$E,'Acerto virtual'!F:F),"")</f>
        <v/>
      </c>
      <c r="U127" s="51" t="str">
        <f t="array" ref="U127">IFERROR(_xlfn.XLOOKUP($F127,'Acerto virtual'!$E:$E,'Acerto virtual'!G:G),"")</f>
        <v/>
      </c>
      <c r="V127" s="51" t="str">
        <f t="array" ref="V127">IFERROR(_xlfn.XLOOKUP($F127,'Acerto virtual'!$E:$E,'Acerto virtual'!H:H),"")</f>
        <v/>
      </c>
      <c r="W127" s="51" t="str">
        <f t="array" ref="W127">IFERROR(_xlfn.XLOOKUP($F127,'Acerto virtual'!$E:$E,'Acerto virtual'!I:I),"")</f>
        <v/>
      </c>
      <c r="X127" s="51" t="str">
        <f t="array" ref="X127">IFERROR(_xlfn.XLOOKUP($F127,'Acerto virtual'!$E:$E,'Acerto virtual'!J:J),"")</f>
        <v/>
      </c>
      <c r="Y127" s="51" t="str">
        <f t="array" ref="Y127">IFERROR(_xlfn.XLOOKUP($F127,'Acerto virtual'!$E:$E,'Acerto virtual'!K:K),"")</f>
        <v/>
      </c>
      <c r="Z127" s="51" t="str">
        <f t="array" ref="Z127">IFERROR(_xlfn.XLOOKUP($F127,'Acerto virtual'!$E:$E,'Acerto virtual'!L:L),"")</f>
        <v/>
      </c>
      <c r="AA127" s="51" t="str">
        <f t="array" ref="AA127">IFERROR(_xlfn.XLOOKUP($F127,'Acerto virtual'!$E:$E,'Acerto virtual'!M:M),"")</f>
        <v/>
      </c>
      <c r="AB127" s="51" t="str">
        <f t="array" ref="AB127">IFERROR(_xlfn.XLOOKUP($F127,'Acerto virtual'!$E:$E,'Acerto virtual'!N:N),"")</f>
        <v/>
      </c>
      <c r="AC127" s="51" t="str">
        <f t="array" ref="AC127">IFERROR(_xlfn.XLOOKUP($F127,'Acerto virtual'!$E:$E,'Acerto virtual'!O:O),"")</f>
        <v/>
      </c>
      <c r="AD127" s="51" t="str">
        <f t="array" ref="AD127">IFERROR(_xlfn.XLOOKUP($F127,'Acerto virtual'!$E:$E,'Acerto virtual'!P:P),"")</f>
        <v/>
      </c>
      <c r="AE127" s="51" t="str">
        <f t="array" ref="AE127">IFERROR(_xlfn.XLOOKUP($F127,'Acerto virtual'!$E:$E,'Acerto virtual'!Q:Q),"")</f>
        <v/>
      </c>
      <c r="AF127" s="51" t="str">
        <f t="array" ref="AF127">IFERROR(_xlfn.XLOOKUP($F127,'Acerto virtual'!$E:$E,'Acerto virtual'!R:R),"")</f>
        <v/>
      </c>
      <c r="AG127" s="51" t="str">
        <f t="array" ref="AG127">IFERROR(_xlfn.XLOOKUP($F127,'Acerto virtual'!$E:$E,'Acerto virtual'!S:S),"")</f>
        <v/>
      </c>
      <c r="AH127" s="51" t="str">
        <f t="array" ref="AH127">IFERROR(_xlfn.XLOOKUP($F127,'Acerto virtual'!$E:$E,'Acerto virtual'!T:T),"")</f>
        <v/>
      </c>
      <c r="AI127" s="51" t="str">
        <f t="array" ref="AI127">IFERROR(_xlfn.XLOOKUP($F127,'Acerto virtual'!$E:$E,'Acerto virtual'!U:U),"")</f>
        <v/>
      </c>
    </row>
    <row r="128">
      <c r="A128" s="47" t="s">
        <v>576</v>
      </c>
      <c r="B128" s="47" t="s">
        <v>577</v>
      </c>
      <c r="C128" s="48" t="str">
        <f t="array" ref="C128">IFERROR(_xlfn.XLOOKUP($B128,'Histórico'!$B:$B,'Histórico'!$I:$I),"")</f>
        <v>071-01519-0101</v>
      </c>
      <c r="D128" s="19" t="str">
        <f t="array" ref="D128">IFERROR(_xlfn.XLOOKUP($B128,'Histórico'!$B:$B,'Histórico'!$J:$J),"")</f>
        <v>U0625</v>
      </c>
      <c r="E128" s="19" t="str">
        <f t="array" ref="E128">IFERROR(_xlfn.XLOOKUP($B128,'Histórico'!$B:$B,'Histórico'!$K:$K),"")</f>
        <v>RECEIVER-EXCITER,RADAR</v>
      </c>
      <c r="F128" s="19" t="str">
        <f t="array" ref="F128">IFERROR(_xlfn.XLOOKUP($B128,'Histórico'!$B:$B,'Histórico'!$L:$L),"")</f>
        <v>5236</v>
      </c>
      <c r="G128" s="49" t="str">
        <f t="array" ref="G128">IFERROR(_xlfn.XLOOKUP($B128,'Histórico'!$B:$B,'Histórico'!$F:$F),"")</f>
        <v>17/07/2025</v>
      </c>
      <c r="H128" s="19" t="str">
        <f t="array" ref="H128">IFERROR(_xlfn.XLOOKUP($B128,'Histórico'!$B:$B,'Histórico'!$AA:$AA),"")</f>
        <v>BANT</v>
      </c>
      <c r="I128" s="19" t="str">
        <f t="array" ref="I128">IFERROR(_xlfn.XLOOKUP($B128,Atual!$B:$B,Atual!$E:$E),"OS concluída")</f>
        <v>REC</v>
      </c>
      <c r="J128" s="19">
        <f t="shared" si="1"/>
        <v>455</v>
      </c>
      <c r="K128" s="19"/>
      <c r="L128" s="19" t="str">
        <f t="shared" si="2"/>
        <v/>
      </c>
      <c r="M128" s="19"/>
      <c r="N128" s="49" t="str">
        <f t="array" ref="N128">IFERROR(_xlfn.XLOOKUP($B128,EMPRESA_1!A:A,EMPRESA_1!J:J),"")</f>
        <v/>
      </c>
      <c r="O128" s="50" t="str">
        <f t="array" ref="O128">IFERROR(_xlfn.XLOOKUP(B128,EMPRESA_1!A:A,EMPRESA_1!K:K),"")
</f>
        <v>PROCURANDO</v>
      </c>
      <c r="P128" s="19" t="str">
        <f t="array" ref="P128">IFERROR(_xlfn.XLOOKUP(B128,EMPRESA_1!A:A,EMPRESA_1!L:L),"")</f>
        <v/>
      </c>
      <c r="Q128" s="49" t="str">
        <f t="array" ref="Q128">IFERROR(_xlfn.XLOOKUP(B128,EMPRESA_1!A:A,EMPRESA_1!J:J),"")</f>
        <v/>
      </c>
      <c r="R128" s="19" t="str">
        <f t="array" ref="R128">IFERROR(_xlfn.XLOOKUP(B128,EMPRESA_1!A:A,EMPRESA_1!M:M),"")</f>
        <v>Por acaso o sn é 5263 ?</v>
      </c>
      <c r="S128" s="51"/>
      <c r="T128" s="51" t="str">
        <f t="array" ref="T128">IFERROR(_xlfn.XLOOKUP($F128,'Acerto virtual'!$E:$E,'Acerto virtual'!F:F),"")</f>
        <v/>
      </c>
      <c r="U128" s="51" t="str">
        <f t="array" ref="U128">IFERROR(_xlfn.XLOOKUP($F128,'Acerto virtual'!$E:$E,'Acerto virtual'!G:G),"")</f>
        <v/>
      </c>
      <c r="V128" s="51" t="str">
        <f t="array" ref="V128">IFERROR(_xlfn.XLOOKUP($F128,'Acerto virtual'!$E:$E,'Acerto virtual'!H:H),"")</f>
        <v/>
      </c>
      <c r="W128" s="51" t="str">
        <f t="array" ref="W128">IFERROR(_xlfn.XLOOKUP($F128,'Acerto virtual'!$E:$E,'Acerto virtual'!I:I),"")</f>
        <v/>
      </c>
      <c r="X128" s="51" t="str">
        <f t="array" ref="X128">IFERROR(_xlfn.XLOOKUP($F128,'Acerto virtual'!$E:$E,'Acerto virtual'!J:J),"")</f>
        <v/>
      </c>
      <c r="Y128" s="51" t="str">
        <f t="array" ref="Y128">IFERROR(_xlfn.XLOOKUP($F128,'Acerto virtual'!$E:$E,'Acerto virtual'!K:K),"")</f>
        <v/>
      </c>
      <c r="Z128" s="51" t="str">
        <f t="array" ref="Z128">IFERROR(_xlfn.XLOOKUP($F128,'Acerto virtual'!$E:$E,'Acerto virtual'!L:L),"")</f>
        <v/>
      </c>
      <c r="AA128" s="51" t="str">
        <f t="array" ref="AA128">IFERROR(_xlfn.XLOOKUP($F128,'Acerto virtual'!$E:$E,'Acerto virtual'!M:M),"")</f>
        <v/>
      </c>
      <c r="AB128" s="51" t="str">
        <f t="array" ref="AB128">IFERROR(_xlfn.XLOOKUP($F128,'Acerto virtual'!$E:$E,'Acerto virtual'!N:N),"")</f>
        <v/>
      </c>
      <c r="AC128" s="51" t="str">
        <f t="array" ref="AC128">IFERROR(_xlfn.XLOOKUP($F128,'Acerto virtual'!$E:$E,'Acerto virtual'!O:O),"")</f>
        <v/>
      </c>
      <c r="AD128" s="51" t="str">
        <f t="array" ref="AD128">IFERROR(_xlfn.XLOOKUP($F128,'Acerto virtual'!$E:$E,'Acerto virtual'!P:P),"")</f>
        <v/>
      </c>
      <c r="AE128" s="51" t="str">
        <f t="array" ref="AE128">IFERROR(_xlfn.XLOOKUP($F128,'Acerto virtual'!$E:$E,'Acerto virtual'!Q:Q),"")</f>
        <v/>
      </c>
      <c r="AF128" s="51" t="str">
        <f t="array" ref="AF128">IFERROR(_xlfn.XLOOKUP($F128,'Acerto virtual'!$E:$E,'Acerto virtual'!R:R),"")</f>
        <v/>
      </c>
      <c r="AG128" s="51" t="str">
        <f t="array" ref="AG128">IFERROR(_xlfn.XLOOKUP($F128,'Acerto virtual'!$E:$E,'Acerto virtual'!S:S),"")</f>
        <v/>
      </c>
      <c r="AH128" s="51" t="str">
        <f t="array" ref="AH128">IFERROR(_xlfn.XLOOKUP($F128,'Acerto virtual'!$E:$E,'Acerto virtual'!T:T),"")</f>
        <v/>
      </c>
      <c r="AI128" s="51" t="str">
        <f t="array" ref="AI128">IFERROR(_xlfn.XLOOKUP($F128,'Acerto virtual'!$E:$E,'Acerto virtual'!U:U),"")</f>
        <v/>
      </c>
    </row>
    <row r="129" hidden="1">
      <c r="A129" s="47" t="s">
        <v>578</v>
      </c>
      <c r="B129" s="47" t="s">
        <v>579</v>
      </c>
      <c r="C129" s="19" t="str">
        <f t="array" ref="C129">IFERROR(_xlfn.XLOOKUP($B129,'Histórico'!$B:$B,'Histórico'!$I:$I),"")</f>
        <v>071-01519-0101</v>
      </c>
      <c r="D129" s="19" t="str">
        <f t="array" ref="D129">IFERROR(_xlfn.XLOOKUP($B129,'Histórico'!$B:$B,'Histórico'!$J:$J),"")</f>
        <v>22373</v>
      </c>
      <c r="E129" s="19" t="str">
        <f t="array" ref="E129">IFERROR(_xlfn.XLOOKUP($B129,'Histórico'!$B:$B,'Histórico'!$K:$K),"")</f>
        <v>RECEIVER-EXCITER,RADAR</v>
      </c>
      <c r="F129" s="19" t="str">
        <f t="array" ref="F129">IFERROR(_xlfn.XLOOKUP($B129,'Histórico'!$B:$B,'Histórico'!$L:$L),"")</f>
        <v>ART2000-13237</v>
      </c>
      <c r="G129" s="49" t="str">
        <f t="array" ref="G129">IFERROR(_xlfn.XLOOKUP($B129,'Histórico'!$B:$B,'Histórico'!$F:$F),"")</f>
        <v>17/07/2025</v>
      </c>
      <c r="H129" s="19" t="str">
        <f t="array" ref="H129">IFERROR(_xlfn.XLOOKUP($B129,'Histórico'!$B:$B,'Histórico'!$AA:$AA),"")</f>
        <v>PAMALS</v>
      </c>
      <c r="I129" s="19" t="str">
        <f t="array" ref="I129">IFERROR(_xlfn.XLOOKUP($B129,Atual!$B:$B,Atual!$E:$E),"OS concluída")</f>
        <v>OS concluída</v>
      </c>
      <c r="J129" s="19" t="str">
        <f t="shared" si="1"/>
        <v/>
      </c>
      <c r="K129" s="19"/>
      <c r="L129" s="19" t="str">
        <f t="shared" si="2"/>
        <v/>
      </c>
      <c r="M129" s="19"/>
      <c r="N129" s="49" t="str">
        <f t="shared" ref="N129:N130" si="34">IFERROR(_xlfn.XLOOKUP($B129,Empresa!G:G,Empresa!K:K),"")</f>
        <v/>
      </c>
      <c r="O129" s="49"/>
      <c r="P129" s="19" t="str">
        <f t="shared" ref="P129:P130" si="35">IFERROR(_xlfn.XLOOKUP($F129,'Vee one'!F:F,'Vee one'!O:O),"")</f>
        <v/>
      </c>
      <c r="Q129" s="19" t="str">
        <f t="shared" ref="Q129:Q130" si="36">IFERROR(_xlfn.XLOOKUP($F129,'Vee one'!F:F,'Vee one'!K:K),"")</f>
        <v/>
      </c>
      <c r="R129" s="19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</row>
    <row r="130" hidden="1">
      <c r="A130" s="47" t="s">
        <v>580</v>
      </c>
      <c r="B130" s="47" t="s">
        <v>581</v>
      </c>
      <c r="C130" s="19" t="str">
        <f t="array" ref="C130">IFERROR(_xlfn.XLOOKUP($B130,'Histórico'!$B:$B,'Histórico'!$I:$I),"")</f>
        <v>C661064-0237</v>
      </c>
      <c r="D130" s="19" t="str">
        <f t="array" ref="D130">IFERROR(_xlfn.XLOOKUP($B130,'Histórico'!$B:$B,'Histórico'!$J:$J),"")</f>
        <v>7EK50</v>
      </c>
      <c r="E130" s="19" t="str">
        <f t="array" ref="E130">IFERROR(_xlfn.XLOOKUP($B130,'Histórico'!$B:$B,'Histórico'!$K:$K),"")</f>
        <v>AIRSPEED INDICATOR</v>
      </c>
      <c r="F130" s="19" t="str">
        <f t="array" ref="F130">IFERROR(_xlfn.XLOOKUP($B130,'Histórico'!$B:$B,'Histórico'!$L:$L),"")</f>
        <v>T23740</v>
      </c>
      <c r="G130" s="49" t="str">
        <f t="array" ref="G130">IFERROR(_xlfn.XLOOKUP($B130,'Histórico'!$B:$B,'Histórico'!$F:$F),"")</f>
        <v>18/07/2025</v>
      </c>
      <c r="H130" s="19" t="str">
        <f t="array" ref="H130">IFERROR(_xlfn.XLOOKUP($B130,'Histórico'!$B:$B,'Histórico'!$AA:$AA),"")</f>
        <v>BAMN</v>
      </c>
      <c r="I130" s="19" t="str">
        <f t="array" ref="I130">IFERROR(_xlfn.XLOOKUP($B130,Atual!$B:$B,Atual!$E:$E),"OS concluída")</f>
        <v>OS concluída</v>
      </c>
      <c r="J130" s="19" t="str">
        <f t="shared" si="1"/>
        <v/>
      </c>
      <c r="K130" s="19"/>
      <c r="L130" s="19" t="str">
        <f t="shared" si="2"/>
        <v/>
      </c>
      <c r="M130" s="19"/>
      <c r="N130" s="49" t="str">
        <f t="shared" si="34"/>
        <v/>
      </c>
      <c r="O130" s="49"/>
      <c r="P130" s="19" t="str">
        <f t="shared" si="35"/>
        <v/>
      </c>
      <c r="Q130" s="19" t="str">
        <f t="shared" si="36"/>
        <v/>
      </c>
      <c r="R130" s="19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</row>
    <row r="131">
      <c r="A131" s="47" t="s">
        <v>582</v>
      </c>
      <c r="B131" s="47" t="s">
        <v>583</v>
      </c>
      <c r="C131" s="48" t="str">
        <f t="array" ref="C131">IFERROR(_xlfn.XLOOKUP($B131,'Histórico'!$B:$B,'Histórico'!$I:$I),"")</f>
        <v>5934PAD-3</v>
      </c>
      <c r="D131" s="19" t="str">
        <f t="array" ref="D131">IFERROR(_xlfn.XLOOKUP($B131,'Histórico'!$B:$B,'Histórico'!$J:$J),"")</f>
        <v>16455</v>
      </c>
      <c r="E131" s="19" t="str">
        <f t="array" ref="E131">IFERROR(_xlfn.XLOOKUP($B131,'Histórico'!$B:$B,'Histórico'!$K:$K),"")</f>
        <v>ALTIMETER,PRESSURE</v>
      </c>
      <c r="F131" s="19" t="str">
        <f t="array" ref="F131">IFERROR(_xlfn.XLOOKUP($B131,'Histórico'!$B:$B,'Histórico'!$L:$L),"")</f>
        <v>5K660</v>
      </c>
      <c r="G131" s="49" t="str">
        <f t="array" ref="G131">IFERROR(_xlfn.XLOOKUP($B131,'Histórico'!$B:$B,'Histórico'!$F:$F),"")</f>
        <v>31/07/2025</v>
      </c>
      <c r="H131" s="19" t="str">
        <f t="array" ref="H131">IFERROR(_xlfn.XLOOKUP($B131,'Histórico'!$B:$B,'Histórico'!$AA:$AA),"")</f>
        <v>PAMALS</v>
      </c>
      <c r="I131" s="19" t="str">
        <f t="array" ref="I131">IFERROR(_xlfn.XLOOKUP($B131,Atual!$B:$B,Atual!$E:$E),"OS concluída")</f>
        <v>REC</v>
      </c>
      <c r="J131" s="19">
        <f t="shared" si="1"/>
        <v>441</v>
      </c>
      <c r="K131" s="19"/>
      <c r="L131" s="19" t="str">
        <f t="shared" si="2"/>
        <v>NÃO APLICÁVEL</v>
      </c>
      <c r="M131" s="19"/>
      <c r="N131" s="49" t="str">
        <f t="array" ref="N131">IFERROR(_xlfn.XLOOKUP($B131,EMPRESA_1!A:A,EMPRESA_1!J:J),"")</f>
        <v>EM REPARO</v>
      </c>
      <c r="O131" s="50" t="str">
        <f t="array" ref="O131">IFERROR(_xlfn.XLOOKUP(B131,EMPRESA_1!A:A,EMPRESA_1!K:K),"")
</f>
        <v>VEE ONE</v>
      </c>
      <c r="P131" s="48" t="str">
        <f t="array" ref="P131">IFERROR(_xlfn.XLOOKUP(B131,EMPRESA_1!A:A,EMPRESA_1!L:L),"")</f>
        <v/>
      </c>
      <c r="Q131" s="49" t="str">
        <f t="array" ref="Q131">IFERROR(_xlfn.XLOOKUP(B131,EMPRESA_1!A:A,EMPRESA_1!J:J),"")</f>
        <v>EM REPARO</v>
      </c>
      <c r="R131" s="19" t="str">
        <f t="array" ref="R131">IFERROR(_xlfn.XLOOKUP(B131,EMPRESA_1!A:A,EMPRESA_1!M:M),"")</f>
        <v/>
      </c>
      <c r="S131" s="51"/>
      <c r="T131" s="51" t="str">
        <f t="array" ref="T131">IFERROR(_xlfn.XLOOKUP($F131,'Acerto virtual'!$E:$E,'Acerto virtual'!F:F),"")</f>
        <v/>
      </c>
      <c r="U131" s="51" t="str">
        <f t="array" ref="U131">IFERROR(_xlfn.XLOOKUP($F131,'Acerto virtual'!$E:$E,'Acerto virtual'!G:G),"")</f>
        <v/>
      </c>
      <c r="V131" s="51" t="str">
        <f t="array" ref="V131">IFERROR(_xlfn.XLOOKUP($F131,'Acerto virtual'!$E:$E,'Acerto virtual'!H:H),"")</f>
        <v/>
      </c>
      <c r="W131" s="51" t="str">
        <f t="array" ref="W131">IFERROR(_xlfn.XLOOKUP($F131,'Acerto virtual'!$E:$E,'Acerto virtual'!I:I),"")</f>
        <v/>
      </c>
      <c r="X131" s="51" t="str">
        <f t="array" ref="X131">IFERROR(_xlfn.XLOOKUP($F131,'Acerto virtual'!$E:$E,'Acerto virtual'!J:J),"")</f>
        <v/>
      </c>
      <c r="Y131" s="51" t="str">
        <f t="array" ref="Y131">IFERROR(_xlfn.XLOOKUP($F131,'Acerto virtual'!$E:$E,'Acerto virtual'!K:K),"")</f>
        <v/>
      </c>
      <c r="Z131" s="51" t="str">
        <f t="array" ref="Z131">IFERROR(_xlfn.XLOOKUP($F131,'Acerto virtual'!$E:$E,'Acerto virtual'!L:L),"")</f>
        <v/>
      </c>
      <c r="AA131" s="51" t="str">
        <f t="array" ref="AA131">IFERROR(_xlfn.XLOOKUP($F131,'Acerto virtual'!$E:$E,'Acerto virtual'!M:M),"")</f>
        <v/>
      </c>
      <c r="AB131" s="51" t="str">
        <f t="array" ref="AB131">IFERROR(_xlfn.XLOOKUP($F131,'Acerto virtual'!$E:$E,'Acerto virtual'!N:N),"")</f>
        <v/>
      </c>
      <c r="AC131" s="51" t="str">
        <f t="array" ref="AC131">IFERROR(_xlfn.XLOOKUP($F131,'Acerto virtual'!$E:$E,'Acerto virtual'!O:O),"")</f>
        <v/>
      </c>
      <c r="AD131" s="51" t="str">
        <f t="array" ref="AD131">IFERROR(_xlfn.XLOOKUP($F131,'Acerto virtual'!$E:$E,'Acerto virtual'!P:P),"")</f>
        <v/>
      </c>
      <c r="AE131" s="51" t="str">
        <f t="array" ref="AE131">IFERROR(_xlfn.XLOOKUP($F131,'Acerto virtual'!$E:$E,'Acerto virtual'!Q:Q),"")</f>
        <v/>
      </c>
      <c r="AF131" s="51" t="str">
        <f t="array" ref="AF131">IFERROR(_xlfn.XLOOKUP($F131,'Acerto virtual'!$E:$E,'Acerto virtual'!R:R),"")</f>
        <v/>
      </c>
      <c r="AG131" s="51" t="str">
        <f t="array" ref="AG131">IFERROR(_xlfn.XLOOKUP($F131,'Acerto virtual'!$E:$E,'Acerto virtual'!S:S),"")</f>
        <v/>
      </c>
      <c r="AH131" s="51" t="str">
        <f t="array" ref="AH131">IFERROR(_xlfn.XLOOKUP($F131,'Acerto virtual'!$E:$E,'Acerto virtual'!T:T),"")</f>
        <v/>
      </c>
      <c r="AI131" s="51" t="str">
        <f t="array" ref="AI131">IFERROR(_xlfn.XLOOKUP($F131,'Acerto virtual'!$E:$E,'Acerto virtual'!U:U),"")</f>
        <v/>
      </c>
    </row>
    <row r="132">
      <c r="A132" s="47" t="s">
        <v>584</v>
      </c>
      <c r="B132" s="47" t="s">
        <v>585</v>
      </c>
      <c r="C132" s="48" t="str">
        <f t="array" ref="C132">IFERROR(_xlfn.XLOOKUP($B132,'Histórico'!$B:$B,'Histórico'!$I:$I),"")</f>
        <v>011-00878-10</v>
      </c>
      <c r="D132" s="19" t="str">
        <f t="array" ref="D132">IFERROR(_xlfn.XLOOKUP($B132,'Histórico'!$B:$B,'Histórico'!$J:$J),"")</f>
        <v>0TRC3</v>
      </c>
      <c r="E132" s="19" t="str">
        <f t="array" ref="E132">IFERROR(_xlfn.XLOOKUP($B132,'Histórico'!$B:$B,'Histórico'!$K:$K),"")</f>
        <v>GSA-81 TORQUE SERVO</v>
      </c>
      <c r="F132" s="19" t="str">
        <f t="array" ref="F132">IFERROR(_xlfn.XLOOKUP($B132,'Histórico'!$B:$B,'Histórico'!$L:$L),"")</f>
        <v>71306307</v>
      </c>
      <c r="G132" s="49" t="str">
        <f t="array" ref="G132">IFERROR(_xlfn.XLOOKUP($B132,'Histórico'!$B:$B,'Histórico'!$F:$F),"")</f>
        <v>31/07/2025</v>
      </c>
      <c r="H132" s="19" t="str">
        <f t="array" ref="H132">IFERROR(_xlfn.XLOOKUP($B132,'Histórico'!$B:$B,'Histórico'!$AA:$AA),"")</f>
        <v>BAPV</v>
      </c>
      <c r="I132" s="19" t="str">
        <f t="array" ref="I132">IFERROR(_xlfn.XLOOKUP($B132,Atual!$B:$B,Atual!$E:$E),"OS concluída")</f>
        <v>REC</v>
      </c>
      <c r="J132" s="19">
        <f t="shared" si="1"/>
        <v>441</v>
      </c>
      <c r="K132" s="19"/>
      <c r="L132" s="19" t="str">
        <f t="shared" si="2"/>
        <v>NÃO APLICÁVEL</v>
      </c>
      <c r="M132" s="19"/>
      <c r="N132" s="49" t="str">
        <f t="array" ref="N132">IFERROR(_xlfn.XLOOKUP($B132,EMPRESA_1!A:A,EMPRESA_1!J:J),"")</f>
        <v>EM REPARO</v>
      </c>
      <c r="O132" s="50" t="str">
        <f t="array" ref="O132">IFERROR(_xlfn.XLOOKUP(B132,EMPRESA_1!A:A,EMPRESA_1!K:K),"")
</f>
        <v>LEAP</v>
      </c>
      <c r="P132" s="48" t="str">
        <f t="array" ref="P132">IFERROR(_xlfn.XLOOKUP(B132,EMPRESA_1!A:A,EMPRESA_1!L:L),"")</f>
        <v/>
      </c>
      <c r="Q132" s="49" t="str">
        <f t="array" ref="Q132">IFERROR(_xlfn.XLOOKUP(B132,EMPRESA_1!A:A,EMPRESA_1!J:J),"")</f>
        <v>EM REPARO</v>
      </c>
      <c r="R132" s="19" t="str">
        <f t="array" ref="R132">IFERROR(_xlfn.XLOOKUP(B132,EMPRESA_1!A:A,EMPRESA_1!M:M),"")</f>
        <v/>
      </c>
      <c r="S132" s="51"/>
      <c r="T132" s="51" t="str">
        <f t="array" ref="T132">IFERROR(_xlfn.XLOOKUP($F132,'Acerto virtual'!$E:$E,'Acerto virtual'!F:F),"")</f>
        <v/>
      </c>
      <c r="U132" s="51" t="str">
        <f t="array" ref="U132">IFERROR(_xlfn.XLOOKUP($F132,'Acerto virtual'!$E:$E,'Acerto virtual'!G:G),"")</f>
        <v/>
      </c>
      <c r="V132" s="51" t="str">
        <f t="array" ref="V132">IFERROR(_xlfn.XLOOKUP($F132,'Acerto virtual'!$E:$E,'Acerto virtual'!H:H),"")</f>
        <v/>
      </c>
      <c r="W132" s="51" t="str">
        <f t="array" ref="W132">IFERROR(_xlfn.XLOOKUP($F132,'Acerto virtual'!$E:$E,'Acerto virtual'!I:I),"")</f>
        <v/>
      </c>
      <c r="X132" s="51" t="str">
        <f t="array" ref="X132">IFERROR(_xlfn.XLOOKUP($F132,'Acerto virtual'!$E:$E,'Acerto virtual'!J:J),"")</f>
        <v/>
      </c>
      <c r="Y132" s="51" t="str">
        <f t="array" ref="Y132">IFERROR(_xlfn.XLOOKUP($F132,'Acerto virtual'!$E:$E,'Acerto virtual'!K:K),"")</f>
        <v/>
      </c>
      <c r="Z132" s="51" t="str">
        <f t="array" ref="Z132">IFERROR(_xlfn.XLOOKUP($F132,'Acerto virtual'!$E:$E,'Acerto virtual'!L:L),"")</f>
        <v/>
      </c>
      <c r="AA132" s="51" t="str">
        <f t="array" ref="AA132">IFERROR(_xlfn.XLOOKUP($F132,'Acerto virtual'!$E:$E,'Acerto virtual'!M:M),"")</f>
        <v/>
      </c>
      <c r="AB132" s="51" t="str">
        <f t="array" ref="AB132">IFERROR(_xlfn.XLOOKUP($F132,'Acerto virtual'!$E:$E,'Acerto virtual'!N:N),"")</f>
        <v/>
      </c>
      <c r="AC132" s="51" t="str">
        <f t="array" ref="AC132">IFERROR(_xlfn.XLOOKUP($F132,'Acerto virtual'!$E:$E,'Acerto virtual'!O:O),"")</f>
        <v/>
      </c>
      <c r="AD132" s="51" t="str">
        <f t="array" ref="AD132">IFERROR(_xlfn.XLOOKUP($F132,'Acerto virtual'!$E:$E,'Acerto virtual'!P:P),"")</f>
        <v/>
      </c>
      <c r="AE132" s="51" t="str">
        <f t="array" ref="AE132">IFERROR(_xlfn.XLOOKUP($F132,'Acerto virtual'!$E:$E,'Acerto virtual'!Q:Q),"")</f>
        <v/>
      </c>
      <c r="AF132" s="51" t="str">
        <f t="array" ref="AF132">IFERROR(_xlfn.XLOOKUP($F132,'Acerto virtual'!$E:$E,'Acerto virtual'!R:R),"")</f>
        <v/>
      </c>
      <c r="AG132" s="51" t="str">
        <f t="array" ref="AG132">IFERROR(_xlfn.XLOOKUP($F132,'Acerto virtual'!$E:$E,'Acerto virtual'!S:S),"")</f>
        <v/>
      </c>
      <c r="AH132" s="51" t="str">
        <f t="array" ref="AH132">IFERROR(_xlfn.XLOOKUP($F132,'Acerto virtual'!$E:$E,'Acerto virtual'!T:T),"")</f>
        <v/>
      </c>
      <c r="AI132" s="51" t="str">
        <f t="array" ref="AI132">IFERROR(_xlfn.XLOOKUP($F132,'Acerto virtual'!$E:$E,'Acerto virtual'!U:U),"")</f>
        <v/>
      </c>
    </row>
    <row r="133">
      <c r="A133" s="47" t="s">
        <v>586</v>
      </c>
      <c r="B133" s="47" t="s">
        <v>587</v>
      </c>
      <c r="C133" s="48" t="str">
        <f t="array" ref="C133">IFERROR(_xlfn.XLOOKUP($B133,'Histórico'!$B:$B,'Histórico'!$I:$I),"")</f>
        <v>011-00883-20</v>
      </c>
      <c r="D133" s="19" t="str">
        <f t="array" ref="D133">IFERROR(_xlfn.XLOOKUP($B133,'Histórico'!$B:$B,'Histórico'!$J:$J),"")</f>
        <v>0TRC3</v>
      </c>
      <c r="E133" s="19" t="str">
        <f t="array" ref="E133">IFERROR(_xlfn.XLOOKUP($B133,'Histórico'!$B:$B,'Histórico'!$K:$K),"")</f>
        <v>RADAR GWX 68 WEATHER</v>
      </c>
      <c r="F133" s="19" t="str">
        <f t="array" ref="F133">IFERROR(_xlfn.XLOOKUP($B133,'Histórico'!$B:$B,'Histórico'!$L:$L),"")</f>
        <v>47204432</v>
      </c>
      <c r="G133" s="49" t="str">
        <f t="array" ref="G133">IFERROR(_xlfn.XLOOKUP($B133,'Histórico'!$B:$B,'Histórico'!$F:$F),"")</f>
        <v>31/07/2025</v>
      </c>
      <c r="H133" s="19" t="str">
        <f t="array" ref="H133">IFERROR(_xlfn.XLOOKUP($B133,'Histórico'!$B:$B,'Histórico'!$AA:$AA),"")</f>
        <v>BABE</v>
      </c>
      <c r="I133" s="19" t="str">
        <f t="array" ref="I133">IFERROR(_xlfn.XLOOKUP($B133,Atual!$B:$B,Atual!$E:$E),"OS concluída")</f>
        <v>REC</v>
      </c>
      <c r="J133" s="19">
        <f t="shared" si="1"/>
        <v>441</v>
      </c>
      <c r="K133" s="19"/>
      <c r="L133" s="19">
        <f t="shared" si="2"/>
        <v>47</v>
      </c>
      <c r="M133" s="19"/>
      <c r="N133" s="49">
        <f t="array" ref="N133">IFERROR(_xlfn.XLOOKUP($B133,EMPRESA_1!A:A,EMPRESA_1!J:J),"")</f>
        <v>45916</v>
      </c>
      <c r="O133" s="50" t="str">
        <f t="array" ref="O133">IFERROR(_xlfn.XLOOKUP(B133,EMPRESA_1!A:A,EMPRESA_1!K:K),"")
</f>
        <v>BAMN</v>
      </c>
      <c r="P133" s="19" t="str">
        <f t="array" ref="P133">IFERROR(_xlfn.XLOOKUP(B133,EMPRESA_1!A:A,EMPRESA_1!L:L),"")</f>
        <v>083/FAB/25</v>
      </c>
      <c r="Q133" s="49">
        <f t="array" ref="Q133">IFERROR(_xlfn.XLOOKUP(B133,EMPRESA_1!A:A,EMPRESA_1!J:J),"")</f>
        <v>45916</v>
      </c>
      <c r="R133" s="19">
        <f t="array" ref="R133">IFERROR(_xlfn.XLOOKUP(B133,EMPRESA_1!A:A,EMPRESA_1!M:M),"")</f>
        <v>47202466</v>
      </c>
      <c r="S133" s="51"/>
      <c r="T133" s="51" t="str">
        <f t="array" ref="T133">IFERROR(_xlfn.XLOOKUP($F133,'Acerto virtual'!$E:$E,'Acerto virtual'!F:F),"")</f>
        <v/>
      </c>
      <c r="U133" s="51" t="str">
        <f t="array" ref="U133">IFERROR(_xlfn.XLOOKUP($F133,'Acerto virtual'!$E:$E,'Acerto virtual'!G:G),"")</f>
        <v/>
      </c>
      <c r="V133" s="51" t="str">
        <f t="array" ref="V133">IFERROR(_xlfn.XLOOKUP($F133,'Acerto virtual'!$E:$E,'Acerto virtual'!H:H),"")</f>
        <v/>
      </c>
      <c r="W133" s="51" t="str">
        <f t="array" ref="W133">IFERROR(_xlfn.XLOOKUP($F133,'Acerto virtual'!$E:$E,'Acerto virtual'!I:I),"")</f>
        <v/>
      </c>
      <c r="X133" s="51" t="str">
        <f t="array" ref="X133">IFERROR(_xlfn.XLOOKUP($F133,'Acerto virtual'!$E:$E,'Acerto virtual'!J:J),"")</f>
        <v/>
      </c>
      <c r="Y133" s="51" t="str">
        <f t="array" ref="Y133">IFERROR(_xlfn.XLOOKUP($F133,'Acerto virtual'!$E:$E,'Acerto virtual'!K:K),"")</f>
        <v/>
      </c>
      <c r="Z133" s="51" t="str">
        <f t="array" ref="Z133">IFERROR(_xlfn.XLOOKUP($F133,'Acerto virtual'!$E:$E,'Acerto virtual'!L:L),"")</f>
        <v/>
      </c>
      <c r="AA133" s="51" t="str">
        <f t="array" ref="AA133">IFERROR(_xlfn.XLOOKUP($F133,'Acerto virtual'!$E:$E,'Acerto virtual'!M:M),"")</f>
        <v/>
      </c>
      <c r="AB133" s="51" t="str">
        <f t="array" ref="AB133">IFERROR(_xlfn.XLOOKUP($F133,'Acerto virtual'!$E:$E,'Acerto virtual'!N:N),"")</f>
        <v/>
      </c>
      <c r="AC133" s="51" t="str">
        <f t="array" ref="AC133">IFERROR(_xlfn.XLOOKUP($F133,'Acerto virtual'!$E:$E,'Acerto virtual'!O:O),"")</f>
        <v/>
      </c>
      <c r="AD133" s="51" t="str">
        <f t="array" ref="AD133">IFERROR(_xlfn.XLOOKUP($F133,'Acerto virtual'!$E:$E,'Acerto virtual'!P:P),"")</f>
        <v/>
      </c>
      <c r="AE133" s="51" t="str">
        <f t="array" ref="AE133">IFERROR(_xlfn.XLOOKUP($F133,'Acerto virtual'!$E:$E,'Acerto virtual'!Q:Q),"")</f>
        <v/>
      </c>
      <c r="AF133" s="51" t="str">
        <f t="array" ref="AF133">IFERROR(_xlfn.XLOOKUP($F133,'Acerto virtual'!$E:$E,'Acerto virtual'!R:R),"")</f>
        <v/>
      </c>
      <c r="AG133" s="51" t="str">
        <f t="array" ref="AG133">IFERROR(_xlfn.XLOOKUP($F133,'Acerto virtual'!$E:$E,'Acerto virtual'!S:S),"")</f>
        <v/>
      </c>
      <c r="AH133" s="51" t="str">
        <f t="array" ref="AH133">IFERROR(_xlfn.XLOOKUP($F133,'Acerto virtual'!$E:$E,'Acerto virtual'!T:T),"")</f>
        <v/>
      </c>
      <c r="AI133" s="51" t="str">
        <f t="array" ref="AI133">IFERROR(_xlfn.XLOOKUP($F133,'Acerto virtual'!$E:$E,'Acerto virtual'!U:U),"")</f>
        <v/>
      </c>
    </row>
    <row r="134" hidden="1">
      <c r="A134" s="47" t="s">
        <v>588</v>
      </c>
      <c r="B134" s="47" t="s">
        <v>589</v>
      </c>
      <c r="C134" s="19" t="str">
        <f t="array" ref="C134">IFERROR(_xlfn.XLOOKUP($B134,'Histórico'!$B:$B,'Histórico'!$I:$I),"")</f>
        <v>5934PAD-3</v>
      </c>
      <c r="D134" s="19" t="str">
        <f t="array" ref="D134">IFERROR(_xlfn.XLOOKUP($B134,'Histórico'!$B:$B,'Histórico'!$J:$J),"")</f>
        <v>16455</v>
      </c>
      <c r="E134" s="19" t="str">
        <f t="array" ref="E134">IFERROR(_xlfn.XLOOKUP($B134,'Histórico'!$B:$B,'Histórico'!$K:$K),"")</f>
        <v>ALTIMETER,PRESSURE</v>
      </c>
      <c r="F134" s="19" t="str">
        <f t="array" ref="F134">IFERROR(_xlfn.XLOOKUP($B134,'Histórico'!$B:$B,'Histórico'!$L:$L),"")</f>
        <v>409496</v>
      </c>
      <c r="G134" s="49" t="str">
        <f t="array" ref="G134">IFERROR(_xlfn.XLOOKUP($B134,'Histórico'!$B:$B,'Histórico'!$F:$F),"")</f>
        <v>31/07/2025</v>
      </c>
      <c r="H134" s="19" t="str">
        <f t="array" ref="H134">IFERROR(_xlfn.XLOOKUP($B134,'Histórico'!$B:$B,'Histórico'!$AA:$AA),"")</f>
        <v>PAMALS</v>
      </c>
      <c r="I134" s="19" t="str">
        <f t="array" ref="I134">IFERROR(_xlfn.XLOOKUP($B134,Atual!$B:$B,Atual!$E:$E),"OS concluída")</f>
        <v>OS concluída</v>
      </c>
      <c r="J134" s="19" t="str">
        <f t="shared" si="1"/>
        <v/>
      </c>
      <c r="K134" s="19"/>
      <c r="L134" s="19" t="str">
        <f t="shared" si="2"/>
        <v/>
      </c>
      <c r="M134" s="19"/>
      <c r="N134" s="49" t="str">
        <f t="array" ref="N134">IFERROR(_xlfn.XLOOKUP($B134,Empresa!G:G,Empresa!K:K),"")</f>
        <v/>
      </c>
      <c r="O134" s="49"/>
      <c r="P134" s="19" t="str">
        <f t="array" ref="P134">IFERROR(_xlfn.XLOOKUP($F134,'Vee one'!F:F,'Vee one'!O:O),"")</f>
        <v/>
      </c>
      <c r="Q134" s="19" t="str">
        <f t="array" ref="Q134">IFERROR(_xlfn.XLOOKUP($F134,'Vee one'!F:F,'Vee one'!K:K),"")</f>
        <v/>
      </c>
      <c r="R134" s="19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</row>
    <row r="135">
      <c r="A135" s="47" t="s">
        <v>590</v>
      </c>
      <c r="B135" s="47" t="s">
        <v>591</v>
      </c>
      <c r="C135" s="48" t="str">
        <f t="array" ref="C135">IFERROR(_xlfn.XLOOKUP($B135,'Histórico'!$B:$B,'Histórico'!$I:$I),"")</f>
        <v>011-00878-10</v>
      </c>
      <c r="D135" s="19" t="str">
        <f t="array" ref="D135">IFERROR(_xlfn.XLOOKUP($B135,'Histórico'!$B:$B,'Histórico'!$J:$J),"")</f>
        <v>0TRC3</v>
      </c>
      <c r="E135" s="19" t="str">
        <f t="array" ref="E135">IFERROR(_xlfn.XLOOKUP($B135,'Histórico'!$B:$B,'Histórico'!$K:$K),"")</f>
        <v>GSA-81 TORQUE SERVO</v>
      </c>
      <c r="F135" s="19" t="str">
        <f t="array" ref="F135">IFERROR(_xlfn.XLOOKUP($B135,'Histórico'!$B:$B,'Histórico'!$L:$L),"")</f>
        <v>71308676</v>
      </c>
      <c r="G135" s="49" t="str">
        <f t="array" ref="G135">IFERROR(_xlfn.XLOOKUP($B135,'Histórico'!$B:$B,'Histórico'!$F:$F),"")</f>
        <v>31/07/2025</v>
      </c>
      <c r="H135" s="19" t="str">
        <f t="array" ref="H135">IFERROR(_xlfn.XLOOKUP($B135,'Histórico'!$B:$B,'Histórico'!$AA:$AA),"")</f>
        <v>BAPV</v>
      </c>
      <c r="I135" s="19" t="str">
        <f t="array" ref="I135">IFERROR(_xlfn.XLOOKUP($B135,Atual!$B:$B,Atual!$E:$E),"OS concluída")</f>
        <v>REC</v>
      </c>
      <c r="J135" s="19">
        <f t="shared" si="1"/>
        <v>441</v>
      </c>
      <c r="K135" s="19"/>
      <c r="L135" s="19">
        <f t="shared" si="2"/>
        <v>145</v>
      </c>
      <c r="M135" s="19"/>
      <c r="N135" s="49">
        <f t="array" ref="N135">IFERROR(_xlfn.XLOOKUP($B135,EMPRESA_1!A:A,EMPRESA_1!J:J),"")</f>
        <v>46014</v>
      </c>
      <c r="O135" s="50" t="str">
        <f t="array" ref="O135">IFERROR(_xlfn.XLOOKUP(B135,EMPRESA_1!A:A,EMPRESA_1!K:K),"")
</f>
        <v>BACO</v>
      </c>
      <c r="P135" s="19" t="str">
        <f t="array" ref="P135">IFERROR(_xlfn.XLOOKUP(B135,EMPRESA_1!A:A,EMPRESA_1!L:L),"")</f>
        <v>329/FAB/26</v>
      </c>
      <c r="Q135" s="49">
        <f t="array" ref="Q135">IFERROR(_xlfn.XLOOKUP(B135,EMPRESA_1!A:A,EMPRESA_1!J:J),"")</f>
        <v>46014</v>
      </c>
      <c r="R135" s="19">
        <f t="array" ref="R135">IFERROR(_xlfn.XLOOKUP(B135,EMPRESA_1!A:A,EMPRESA_1!M:M),"")</f>
        <v>71305219</v>
      </c>
      <c r="S135" s="51"/>
      <c r="T135" s="51" t="str">
        <f t="array" ref="T135">IFERROR(_xlfn.XLOOKUP($F135,'Acerto virtual'!$E:$E,'Acerto virtual'!F:F),"")</f>
        <v/>
      </c>
      <c r="U135" s="51" t="str">
        <f t="array" ref="U135">IFERROR(_xlfn.XLOOKUP($F135,'Acerto virtual'!$E:$E,'Acerto virtual'!G:G),"")</f>
        <v/>
      </c>
      <c r="V135" s="51" t="str">
        <f t="array" ref="V135">IFERROR(_xlfn.XLOOKUP($F135,'Acerto virtual'!$E:$E,'Acerto virtual'!H:H),"")</f>
        <v/>
      </c>
      <c r="W135" s="51" t="str">
        <f t="array" ref="W135">IFERROR(_xlfn.XLOOKUP($F135,'Acerto virtual'!$E:$E,'Acerto virtual'!I:I),"")</f>
        <v/>
      </c>
      <c r="X135" s="51" t="str">
        <f t="array" ref="X135">IFERROR(_xlfn.XLOOKUP($F135,'Acerto virtual'!$E:$E,'Acerto virtual'!J:J),"")</f>
        <v/>
      </c>
      <c r="Y135" s="51" t="str">
        <f t="array" ref="Y135">IFERROR(_xlfn.XLOOKUP($F135,'Acerto virtual'!$E:$E,'Acerto virtual'!K:K),"")</f>
        <v/>
      </c>
      <c r="Z135" s="51" t="str">
        <f t="array" ref="Z135">IFERROR(_xlfn.XLOOKUP($F135,'Acerto virtual'!$E:$E,'Acerto virtual'!L:L),"")</f>
        <v/>
      </c>
      <c r="AA135" s="51" t="str">
        <f t="array" ref="AA135">IFERROR(_xlfn.XLOOKUP($F135,'Acerto virtual'!$E:$E,'Acerto virtual'!M:M),"")</f>
        <v/>
      </c>
      <c r="AB135" s="51" t="str">
        <f t="array" ref="AB135">IFERROR(_xlfn.XLOOKUP($F135,'Acerto virtual'!$E:$E,'Acerto virtual'!N:N),"")</f>
        <v/>
      </c>
      <c r="AC135" s="51" t="str">
        <f t="array" ref="AC135">IFERROR(_xlfn.XLOOKUP($F135,'Acerto virtual'!$E:$E,'Acerto virtual'!O:O),"")</f>
        <v/>
      </c>
      <c r="AD135" s="51" t="str">
        <f t="array" ref="AD135">IFERROR(_xlfn.XLOOKUP($F135,'Acerto virtual'!$E:$E,'Acerto virtual'!P:P),"")</f>
        <v/>
      </c>
      <c r="AE135" s="51" t="str">
        <f t="array" ref="AE135">IFERROR(_xlfn.XLOOKUP($F135,'Acerto virtual'!$E:$E,'Acerto virtual'!Q:Q),"")</f>
        <v/>
      </c>
      <c r="AF135" s="51" t="str">
        <f t="array" ref="AF135">IFERROR(_xlfn.XLOOKUP($F135,'Acerto virtual'!$E:$E,'Acerto virtual'!R:R),"")</f>
        <v/>
      </c>
      <c r="AG135" s="51" t="str">
        <f t="array" ref="AG135">IFERROR(_xlfn.XLOOKUP($F135,'Acerto virtual'!$E:$E,'Acerto virtual'!S:S),"")</f>
        <v/>
      </c>
      <c r="AH135" s="51" t="str">
        <f t="array" ref="AH135">IFERROR(_xlfn.XLOOKUP($F135,'Acerto virtual'!$E:$E,'Acerto virtual'!T:T),"")</f>
        <v/>
      </c>
      <c r="AI135" s="51" t="str">
        <f t="array" ref="AI135">IFERROR(_xlfn.XLOOKUP($F135,'Acerto virtual'!$E:$E,'Acerto virtual'!U:U),"")</f>
        <v/>
      </c>
    </row>
    <row r="136" hidden="1">
      <c r="A136" s="47" t="s">
        <v>592</v>
      </c>
      <c r="B136" s="47" t="s">
        <v>593</v>
      </c>
      <c r="C136" s="19" t="str">
        <f t="array" ref="C136">IFERROR(_xlfn.XLOOKUP($B136,'Histórico'!$B:$B,'Histórico'!$I:$I),"")</f>
        <v>011-00916-10</v>
      </c>
      <c r="D136" s="19" t="str">
        <f t="array" ref="D136">IFERROR(_xlfn.XLOOKUP($B136,'Histórico'!$B:$B,'Histórico'!$J:$J),"")</f>
        <v>0TRC3</v>
      </c>
      <c r="E136" s="19" t="str">
        <f t="array" ref="E136">IFERROR(_xlfn.XLOOKUP($B136,'Histórico'!$B:$B,'Histórico'!$K:$K),"")</f>
        <v>DISPLAY UNIT,FLIGHT INFORMATION</v>
      </c>
      <c r="F136" s="19" t="str">
        <f t="array" ref="F136">IFERROR(_xlfn.XLOOKUP($B136,'Histórico'!$B:$B,'Histórico'!$L:$L),"")</f>
        <v>86819178</v>
      </c>
      <c r="G136" s="49" t="str">
        <f t="array" ref="G136">IFERROR(_xlfn.XLOOKUP($B136,'Histórico'!$B:$B,'Histórico'!$F:$F),"")</f>
        <v>31/07/2025</v>
      </c>
      <c r="H136" s="19" t="str">
        <f t="array" ref="H136">IFERROR(_xlfn.XLOOKUP($B136,'Histórico'!$B:$B,'Histórico'!$AA:$AA),"")</f>
        <v>BAMN</v>
      </c>
      <c r="I136" s="19" t="str">
        <f t="array" ref="I136">IFERROR(_xlfn.XLOOKUP($B136,Atual!$B:$B,Atual!$E:$E),"OS concluída")</f>
        <v>OS concluída</v>
      </c>
      <c r="J136" s="19" t="str">
        <f t="shared" si="1"/>
        <v/>
      </c>
      <c r="K136" s="19"/>
      <c r="L136" s="19" t="str">
        <f t="shared" si="2"/>
        <v/>
      </c>
      <c r="M136" s="19"/>
      <c r="N136" s="49" t="str">
        <f t="array" ref="N136">IFERROR(_xlfn.XLOOKUP($B136,Empresa!G:G,Empresa!K:K),"")</f>
        <v/>
      </c>
      <c r="O136" s="49"/>
      <c r="P136" s="19" t="str">
        <f t="array" ref="P136">IFERROR(_xlfn.XLOOKUP($F136,'Vee one'!F:F,'Vee one'!O:O),"")</f>
        <v/>
      </c>
      <c r="Q136" s="19" t="str">
        <f t="array" ref="Q136">IFERROR(_xlfn.XLOOKUP($F136,'Vee one'!F:F,'Vee one'!K:K),"")</f>
        <v/>
      </c>
      <c r="R136" s="19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</row>
    <row r="137">
      <c r="A137" s="47" t="s">
        <v>594</v>
      </c>
      <c r="B137" s="47" t="s">
        <v>595</v>
      </c>
      <c r="C137" s="48" t="str">
        <f t="array" ref="C137">IFERROR(_xlfn.XLOOKUP($B137,'Histórico'!$B:$B,'Histórico'!$I:$I),"")</f>
        <v>066-4010-12</v>
      </c>
      <c r="D137" s="19" t="str">
        <f t="array" ref="D137">IFERROR(_xlfn.XLOOKUP($B137,'Histórico'!$B:$B,'Histórico'!$J:$J),"")</f>
        <v>22373</v>
      </c>
      <c r="E137" s="19" t="str">
        <f t="array" ref="E137">IFERROR(_xlfn.XLOOKUP($B137,'Histórico'!$B:$B,'Histórico'!$K:$K),"")</f>
        <v>RECEIVER VOR/LOC (KNS81)</v>
      </c>
      <c r="F137" s="19" t="str">
        <f t="array" ref="F137">IFERROR(_xlfn.XLOOKUP($B137,'Histórico'!$B:$B,'Histórico'!$L:$L),"")</f>
        <v>8259</v>
      </c>
      <c r="G137" s="49" t="str">
        <f t="array" ref="G137">IFERROR(_xlfn.XLOOKUP($B137,'Histórico'!$B:$B,'Histórico'!$F:$F),"")</f>
        <v>13/08/2025</v>
      </c>
      <c r="H137" s="19" t="str">
        <f t="array" ref="H137">IFERROR(_xlfn.XLOOKUP($B137,'Histórico'!$B:$B,'Histórico'!$AA:$AA),"")</f>
        <v>EEAR</v>
      </c>
      <c r="I137" s="19" t="str">
        <f t="array" ref="I137">IFERROR(_xlfn.XLOOKUP($B137,Atual!$B:$B,Atual!$E:$E),"OS concluída")</f>
        <v>REC</v>
      </c>
      <c r="J137" s="19">
        <f t="shared" si="1"/>
        <v>428</v>
      </c>
      <c r="K137" s="19"/>
      <c r="L137" s="19" t="str">
        <f t="shared" si="2"/>
        <v>NÃO APLICÁVEL</v>
      </c>
      <c r="M137" s="19"/>
      <c r="N137" s="49" t="str">
        <f t="array" ref="N137">IFERROR(_xlfn.XLOOKUP($B137,EMPRESA_1!A:A,EMPRESA_1!J:J),"")</f>
        <v>EM REPARO</v>
      </c>
      <c r="O137" s="50" t="str">
        <f t="array" ref="O137">IFERROR(_xlfn.XLOOKUP(B137,EMPRESA_1!A:A,EMPRESA_1!K:K),"")
</f>
        <v>LEAP</v>
      </c>
      <c r="P137" s="48" t="str">
        <f t="array" ref="P137">IFERROR(_xlfn.XLOOKUP(B137,EMPRESA_1!A:A,EMPRESA_1!L:L),"")</f>
        <v/>
      </c>
      <c r="Q137" s="49" t="str">
        <f t="array" ref="Q137">IFERROR(_xlfn.XLOOKUP(B137,EMPRESA_1!A:A,EMPRESA_1!J:J),"")</f>
        <v>EM REPARO</v>
      </c>
      <c r="R137" s="19" t="str">
        <f t="array" ref="R137">IFERROR(_xlfn.XLOOKUP(B137,EMPRESA_1!A:A,EMPRESA_1!M:M),"")</f>
        <v/>
      </c>
      <c r="S137" s="51"/>
      <c r="T137" s="51" t="str">
        <f t="array" ref="T137">IFERROR(_xlfn.XLOOKUP($F137,'Acerto virtual'!$E:$E,'Acerto virtual'!F:F),"")</f>
        <v/>
      </c>
      <c r="U137" s="51" t="str">
        <f t="array" ref="U137">IFERROR(_xlfn.XLOOKUP($F137,'Acerto virtual'!$E:$E,'Acerto virtual'!G:G),"")</f>
        <v/>
      </c>
      <c r="V137" s="51" t="str">
        <f t="array" ref="V137">IFERROR(_xlfn.XLOOKUP($F137,'Acerto virtual'!$E:$E,'Acerto virtual'!H:H),"")</f>
        <v/>
      </c>
      <c r="W137" s="51" t="str">
        <f t="array" ref="W137">IFERROR(_xlfn.XLOOKUP($F137,'Acerto virtual'!$E:$E,'Acerto virtual'!I:I),"")</f>
        <v/>
      </c>
      <c r="X137" s="51" t="str">
        <f t="array" ref="X137">IFERROR(_xlfn.XLOOKUP($F137,'Acerto virtual'!$E:$E,'Acerto virtual'!J:J),"")</f>
        <v/>
      </c>
      <c r="Y137" s="51" t="str">
        <f t="array" ref="Y137">IFERROR(_xlfn.XLOOKUP($F137,'Acerto virtual'!$E:$E,'Acerto virtual'!K:K),"")</f>
        <v/>
      </c>
      <c r="Z137" s="51" t="str">
        <f t="array" ref="Z137">IFERROR(_xlfn.XLOOKUP($F137,'Acerto virtual'!$E:$E,'Acerto virtual'!L:L),"")</f>
        <v/>
      </c>
      <c r="AA137" s="51" t="str">
        <f t="array" ref="AA137">IFERROR(_xlfn.XLOOKUP($F137,'Acerto virtual'!$E:$E,'Acerto virtual'!M:M),"")</f>
        <v/>
      </c>
      <c r="AB137" s="51" t="str">
        <f t="array" ref="AB137">IFERROR(_xlfn.XLOOKUP($F137,'Acerto virtual'!$E:$E,'Acerto virtual'!N:N),"")</f>
        <v/>
      </c>
      <c r="AC137" s="51" t="str">
        <f t="array" ref="AC137">IFERROR(_xlfn.XLOOKUP($F137,'Acerto virtual'!$E:$E,'Acerto virtual'!O:O),"")</f>
        <v/>
      </c>
      <c r="AD137" s="51" t="str">
        <f t="array" ref="AD137">IFERROR(_xlfn.XLOOKUP($F137,'Acerto virtual'!$E:$E,'Acerto virtual'!P:P),"")</f>
        <v/>
      </c>
      <c r="AE137" s="51" t="str">
        <f t="array" ref="AE137">IFERROR(_xlfn.XLOOKUP($F137,'Acerto virtual'!$E:$E,'Acerto virtual'!Q:Q),"")</f>
        <v/>
      </c>
      <c r="AF137" s="51" t="str">
        <f t="array" ref="AF137">IFERROR(_xlfn.XLOOKUP($F137,'Acerto virtual'!$E:$E,'Acerto virtual'!R:R),"")</f>
        <v/>
      </c>
      <c r="AG137" s="51" t="str">
        <f t="array" ref="AG137">IFERROR(_xlfn.XLOOKUP($F137,'Acerto virtual'!$E:$E,'Acerto virtual'!S:S),"")</f>
        <v/>
      </c>
      <c r="AH137" s="51" t="str">
        <f t="array" ref="AH137">IFERROR(_xlfn.XLOOKUP($F137,'Acerto virtual'!$E:$E,'Acerto virtual'!T:T),"")</f>
        <v/>
      </c>
      <c r="AI137" s="51" t="str">
        <f t="array" ref="AI137">IFERROR(_xlfn.XLOOKUP($F137,'Acerto virtual'!$E:$E,'Acerto virtual'!U:U),"")</f>
        <v/>
      </c>
    </row>
    <row r="138" hidden="1">
      <c r="A138" s="47" t="s">
        <v>596</v>
      </c>
      <c r="B138" s="47" t="s">
        <v>597</v>
      </c>
      <c r="C138" s="19" t="str">
        <f t="array" ref="C138">IFERROR(_xlfn.XLOOKUP($B138,'Histórico'!$B:$B,'Histórico'!$I:$I),"")</f>
        <v>3121248-03</v>
      </c>
      <c r="D138" s="19" t="str">
        <f t="array" ref="D138">IFERROR(_xlfn.XLOOKUP($B138,'Histórico'!$B:$B,'Histórico'!$J:$J),"")</f>
        <v>00198</v>
      </c>
      <c r="E138" s="19" t="str">
        <f t="array" ref="E138">IFERROR(_xlfn.XLOOKUP($B138,'Histórico'!$B:$B,'Histórico'!$K:$K),"")</f>
        <v>VALVE ASSEMBLY,COMPRESSOR BLEED</v>
      </c>
      <c r="F138" s="19" t="str">
        <f t="array" ref="F138">IFERROR(_xlfn.XLOOKUP($B138,'Histórico'!$B:$B,'Histórico'!$L:$L),"")</f>
        <v>22A805</v>
      </c>
      <c r="G138" s="49" t="str">
        <f t="array" ref="G138">IFERROR(_xlfn.XLOOKUP($B138,'Histórico'!$B:$B,'Histórico'!$F:$F),"")</f>
        <v>13/08/2025</v>
      </c>
      <c r="H138" s="19" t="str">
        <f t="array" ref="H138">IFERROR(_xlfn.XLOOKUP($B138,'Histórico'!$B:$B,'Histórico'!$AA:$AA),"")</f>
        <v>PAMALS</v>
      </c>
      <c r="I138" s="19" t="str">
        <f t="array" ref="I138">IFERROR(_xlfn.XLOOKUP($B138,Atual!$B:$B,Atual!$E:$E),"OS concluída")</f>
        <v>OS concluída</v>
      </c>
      <c r="J138" s="19" t="str">
        <f t="shared" si="1"/>
        <v/>
      </c>
      <c r="K138" s="19"/>
      <c r="L138" s="19" t="str">
        <f t="shared" si="2"/>
        <v/>
      </c>
      <c r="M138" s="19"/>
      <c r="N138" s="49" t="str">
        <f t="shared" ref="N138:N140" si="37">IFERROR(_xlfn.XLOOKUP($B138,Empresa!G:G,Empresa!K:K),"")</f>
        <v/>
      </c>
      <c r="O138" s="49"/>
      <c r="P138" s="19" t="str">
        <f t="shared" ref="P138:P140" si="38">IFERROR(_xlfn.XLOOKUP($F138,'Vee one'!F:F,'Vee one'!O:O),"")</f>
        <v/>
      </c>
      <c r="Q138" s="19" t="str">
        <f t="shared" ref="Q138:Q140" si="39">IFERROR(_xlfn.XLOOKUP($F138,'Vee one'!F:F,'Vee one'!K:K),"")</f>
        <v/>
      </c>
      <c r="R138" s="19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</row>
    <row r="139" hidden="1">
      <c r="A139" s="47" t="s">
        <v>598</v>
      </c>
      <c r="B139" s="47" t="s">
        <v>599</v>
      </c>
      <c r="C139" s="19" t="str">
        <f t="array" ref="C139">IFERROR(_xlfn.XLOOKUP($B139,'Histórico'!$B:$B,'Histórico'!$I:$I),"")</f>
        <v>C661064-0237</v>
      </c>
      <c r="D139" s="19" t="str">
        <f t="array" ref="D139">IFERROR(_xlfn.XLOOKUP($B139,'Histórico'!$B:$B,'Histórico'!$J:$J),"")</f>
        <v>7EK50</v>
      </c>
      <c r="E139" s="19" t="str">
        <f t="array" ref="E139">IFERROR(_xlfn.XLOOKUP($B139,'Histórico'!$B:$B,'Histórico'!$K:$K),"")</f>
        <v>AIRSPEED INDICATOR</v>
      </c>
      <c r="F139" s="19" t="str">
        <f t="array" ref="F139">IFERROR(_xlfn.XLOOKUP($B139,'Histórico'!$B:$B,'Histórico'!$L:$L),"")</f>
        <v>T22974</v>
      </c>
      <c r="G139" s="49" t="str">
        <f t="array" ref="G139">IFERROR(_xlfn.XLOOKUP($B139,'Histórico'!$B:$B,'Histórico'!$F:$F),"")</f>
        <v>22/08/2025</v>
      </c>
      <c r="H139" s="19" t="str">
        <f t="array" ref="H139">IFERROR(_xlfn.XLOOKUP($B139,'Histórico'!$B:$B,'Histórico'!$AA:$AA),"")</f>
        <v>PAMALS</v>
      </c>
      <c r="I139" s="19" t="str">
        <f t="array" ref="I139">IFERROR(_xlfn.XLOOKUP($B139,Atual!$B:$B,Atual!$E:$E),"OS concluída")</f>
        <v>OS concluída</v>
      </c>
      <c r="J139" s="19" t="str">
        <f t="shared" si="1"/>
        <v/>
      </c>
      <c r="K139" s="19"/>
      <c r="L139" s="19" t="str">
        <f t="shared" si="2"/>
        <v/>
      </c>
      <c r="M139" s="19"/>
      <c r="N139" s="49" t="str">
        <f t="shared" si="37"/>
        <v/>
      </c>
      <c r="O139" s="49"/>
      <c r="P139" s="19" t="str">
        <f t="shared" si="38"/>
        <v/>
      </c>
      <c r="Q139" s="19" t="str">
        <f t="shared" si="39"/>
        <v/>
      </c>
      <c r="R139" s="19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</row>
    <row r="140" hidden="1">
      <c r="A140" s="47" t="s">
        <v>600</v>
      </c>
      <c r="B140" s="47" t="s">
        <v>601</v>
      </c>
      <c r="C140" s="19" t="str">
        <f t="array" ref="C140">IFERROR(_xlfn.XLOOKUP($B140,'Histórico'!$B:$B,'Histórico'!$I:$I),"")</f>
        <v>D210507</v>
      </c>
      <c r="D140" s="19" t="str">
        <f t="array" ref="D140">IFERROR(_xlfn.XLOOKUP($B140,'Histórico'!$B:$B,'Histórico'!$J:$J),"")</f>
        <v>66503</v>
      </c>
      <c r="E140" s="19" t="str">
        <f t="array" ref="E140">IFERROR(_xlfn.XLOOKUP($B140,'Histórico'!$B:$B,'Histórico'!$K:$K),"")</f>
        <v>GOVERNOR,OVERSPEED</v>
      </c>
      <c r="F140" s="19" t="str">
        <f t="array" ref="F140">IFERROR(_xlfn.XLOOKUP($B140,'Histórico'!$B:$B,'Histórico'!$L:$L),"")</f>
        <v>15508160</v>
      </c>
      <c r="G140" s="49" t="str">
        <f t="array" ref="G140">IFERROR(_xlfn.XLOOKUP($B140,'Histórico'!$B:$B,'Histórico'!$F:$F),"")</f>
        <v>22/08/2025</v>
      </c>
      <c r="H140" s="19" t="str">
        <f t="array" ref="H140">IFERROR(_xlfn.XLOOKUP($B140,'Histórico'!$B:$B,'Histórico'!$AA:$AA),"")</f>
        <v>PAMALS</v>
      </c>
      <c r="I140" s="19" t="str">
        <f t="array" ref="I140">IFERROR(_xlfn.XLOOKUP($B140,Atual!$B:$B,Atual!$E:$E),"OS concluída")</f>
        <v>OS concluída</v>
      </c>
      <c r="J140" s="19" t="str">
        <f t="shared" si="1"/>
        <v/>
      </c>
      <c r="K140" s="19"/>
      <c r="L140" s="19" t="str">
        <f t="shared" si="2"/>
        <v/>
      </c>
      <c r="M140" s="19"/>
      <c r="N140" s="49" t="str">
        <f t="shared" si="37"/>
        <v/>
      </c>
      <c r="O140" s="49"/>
      <c r="P140" s="19" t="str">
        <f t="shared" si="38"/>
        <v/>
      </c>
      <c r="Q140" s="19" t="str">
        <f t="shared" si="39"/>
        <v/>
      </c>
      <c r="R140" s="19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</row>
    <row r="141">
      <c r="A141" s="47" t="s">
        <v>602</v>
      </c>
      <c r="B141" s="47" t="s">
        <v>603</v>
      </c>
      <c r="C141" s="48" t="str">
        <f t="array" ref="C141">IFERROR(_xlfn.XLOOKUP($B141,'Histórico'!$B:$B,'Histórico'!$I:$I),"")</f>
        <v>D210507</v>
      </c>
      <c r="D141" s="19" t="str">
        <f t="array" ref="D141">IFERROR(_xlfn.XLOOKUP($B141,'Histórico'!$B:$B,'Histórico'!$J:$J),"")</f>
        <v>66503</v>
      </c>
      <c r="E141" s="19" t="str">
        <f t="array" ref="E141">IFERROR(_xlfn.XLOOKUP($B141,'Histórico'!$B:$B,'Histórico'!$K:$K),"")</f>
        <v>GOVERNOR,OVERSPEED</v>
      </c>
      <c r="F141" s="19" t="str">
        <f t="array" ref="F141">IFERROR(_xlfn.XLOOKUP($B141,'Histórico'!$B:$B,'Histórico'!$L:$L),"")</f>
        <v>12056029</v>
      </c>
      <c r="G141" s="49" t="str">
        <f t="array" ref="G141">IFERROR(_xlfn.XLOOKUP($B141,'Histórico'!$B:$B,'Histórico'!$F:$F),"")</f>
        <v>22/08/2025</v>
      </c>
      <c r="H141" s="19" t="str">
        <f t="array" ref="H141">IFERROR(_xlfn.XLOOKUP($B141,'Histórico'!$B:$B,'Histórico'!$AA:$AA),"")</f>
        <v>PAMALS</v>
      </c>
      <c r="I141" s="19" t="str">
        <f t="array" ref="I141">IFERROR(_xlfn.XLOOKUP($B141,Atual!$B:$B,Atual!$E:$E),"OS concluída")</f>
        <v>REC</v>
      </c>
      <c r="J141" s="19">
        <f t="shared" si="1"/>
        <v>419</v>
      </c>
      <c r="K141" s="19"/>
      <c r="L141" s="19" t="str">
        <f t="shared" si="2"/>
        <v>NÃO APLICÁVEL</v>
      </c>
      <c r="M141" s="19"/>
      <c r="N141" s="49" t="str">
        <f t="array" ref="N141">IFERROR(_xlfn.XLOOKUP($B141,EMPRESA_1!A:A,EMPRESA_1!J:J),"")</f>
        <v>REPARADO</v>
      </c>
      <c r="O141" s="50" t="str">
        <f t="array" ref="O141">IFERROR(_xlfn.XLOOKUP(B141,EMPRESA_1!A:A,EMPRESA_1!K:K),"")
</f>
        <v>VEE ONE</v>
      </c>
      <c r="P141" s="48" t="str">
        <f t="array" ref="P141">IFERROR(_xlfn.XLOOKUP(B141,EMPRESA_1!A:A,EMPRESA_1!L:L),"")</f>
        <v/>
      </c>
      <c r="Q141" s="49" t="str">
        <f t="array" ref="Q141">IFERROR(_xlfn.XLOOKUP(B141,EMPRESA_1!A:A,EMPRESA_1!J:J),"")</f>
        <v>REPARADO</v>
      </c>
      <c r="R141" s="19" t="str">
        <f t="array" ref="R141">IFERROR(_xlfn.XLOOKUP(B141,EMPRESA_1!A:A,EMPRESA_1!M:M),"")</f>
        <v/>
      </c>
      <c r="S141" s="51"/>
      <c r="T141" s="51" t="str">
        <f t="array" ref="T141">IFERROR(_xlfn.XLOOKUP($F141,'Acerto virtual'!$E:$E,'Acerto virtual'!F:F),"")</f>
        <v/>
      </c>
      <c r="U141" s="51" t="str">
        <f t="array" ref="U141">IFERROR(_xlfn.XLOOKUP($F141,'Acerto virtual'!$E:$E,'Acerto virtual'!G:G),"")</f>
        <v/>
      </c>
      <c r="V141" s="51" t="str">
        <f t="array" ref="V141">IFERROR(_xlfn.XLOOKUP($F141,'Acerto virtual'!$E:$E,'Acerto virtual'!H:H),"")</f>
        <v/>
      </c>
      <c r="W141" s="51" t="str">
        <f t="array" ref="W141">IFERROR(_xlfn.XLOOKUP($F141,'Acerto virtual'!$E:$E,'Acerto virtual'!I:I),"")</f>
        <v/>
      </c>
      <c r="X141" s="51" t="str">
        <f t="array" ref="X141">IFERROR(_xlfn.XLOOKUP($F141,'Acerto virtual'!$E:$E,'Acerto virtual'!J:J),"")</f>
        <v/>
      </c>
      <c r="Y141" s="51" t="str">
        <f t="array" ref="Y141">IFERROR(_xlfn.XLOOKUP($F141,'Acerto virtual'!$E:$E,'Acerto virtual'!K:K),"")</f>
        <v/>
      </c>
      <c r="Z141" s="51" t="str">
        <f t="array" ref="Z141">IFERROR(_xlfn.XLOOKUP($F141,'Acerto virtual'!$E:$E,'Acerto virtual'!L:L),"")</f>
        <v/>
      </c>
      <c r="AA141" s="51" t="str">
        <f t="array" ref="AA141">IFERROR(_xlfn.XLOOKUP($F141,'Acerto virtual'!$E:$E,'Acerto virtual'!M:M),"")</f>
        <v/>
      </c>
      <c r="AB141" s="51" t="str">
        <f t="array" ref="AB141">IFERROR(_xlfn.XLOOKUP($F141,'Acerto virtual'!$E:$E,'Acerto virtual'!N:N),"")</f>
        <v/>
      </c>
      <c r="AC141" s="51" t="str">
        <f t="array" ref="AC141">IFERROR(_xlfn.XLOOKUP($F141,'Acerto virtual'!$E:$E,'Acerto virtual'!O:O),"")</f>
        <v/>
      </c>
      <c r="AD141" s="51" t="str">
        <f t="array" ref="AD141">IFERROR(_xlfn.XLOOKUP($F141,'Acerto virtual'!$E:$E,'Acerto virtual'!P:P),"")</f>
        <v/>
      </c>
      <c r="AE141" s="51" t="str">
        <f t="array" ref="AE141">IFERROR(_xlfn.XLOOKUP($F141,'Acerto virtual'!$E:$E,'Acerto virtual'!Q:Q),"")</f>
        <v/>
      </c>
      <c r="AF141" s="51" t="str">
        <f t="array" ref="AF141">IFERROR(_xlfn.XLOOKUP($F141,'Acerto virtual'!$E:$E,'Acerto virtual'!R:R),"")</f>
        <v/>
      </c>
      <c r="AG141" s="51" t="str">
        <f t="array" ref="AG141">IFERROR(_xlfn.XLOOKUP($F141,'Acerto virtual'!$E:$E,'Acerto virtual'!S:S),"")</f>
        <v/>
      </c>
      <c r="AH141" s="51" t="str">
        <f t="array" ref="AH141">IFERROR(_xlfn.XLOOKUP($F141,'Acerto virtual'!$E:$E,'Acerto virtual'!T:T),"")</f>
        <v/>
      </c>
      <c r="AI141" s="51" t="str">
        <f t="array" ref="AI141">IFERROR(_xlfn.XLOOKUP($F141,'Acerto virtual'!$E:$E,'Acerto virtual'!U:U),"")</f>
        <v/>
      </c>
    </row>
    <row r="142" hidden="1">
      <c r="A142" s="47" t="s">
        <v>604</v>
      </c>
      <c r="B142" s="47" t="s">
        <v>605</v>
      </c>
      <c r="C142" s="19" t="str">
        <f t="array" ref="C142">IFERROR(_xlfn.XLOOKUP($B142,'Histórico'!$B:$B,'Histórico'!$I:$I),"")</f>
        <v>C661064-0237</v>
      </c>
      <c r="D142" s="19" t="str">
        <f t="array" ref="D142">IFERROR(_xlfn.XLOOKUP($B142,'Histórico'!$B:$B,'Histórico'!$J:$J),"")</f>
        <v>7EK50</v>
      </c>
      <c r="E142" s="19" t="str">
        <f t="array" ref="E142">IFERROR(_xlfn.XLOOKUP($B142,'Histórico'!$B:$B,'Histórico'!$K:$K),"")</f>
        <v>AIRSPEED INDICATOR</v>
      </c>
      <c r="F142" s="19" t="str">
        <f t="array" ref="F142">IFERROR(_xlfn.XLOOKUP($B142,'Histórico'!$B:$B,'Histórico'!$L:$L),"")</f>
        <v>T20503</v>
      </c>
      <c r="G142" s="49" t="str">
        <f t="array" ref="G142">IFERROR(_xlfn.XLOOKUP($B142,'Histórico'!$B:$B,'Histórico'!$F:$F),"")</f>
        <v>22/08/2025</v>
      </c>
      <c r="H142" s="19" t="str">
        <f t="array" ref="H142">IFERROR(_xlfn.XLOOKUP($B142,'Histórico'!$B:$B,'Histórico'!$AA:$AA),"")</f>
        <v>BABR</v>
      </c>
      <c r="I142" s="19" t="str">
        <f t="array" ref="I142">IFERROR(_xlfn.XLOOKUP($B142,Atual!$B:$B,Atual!$E:$E),"OS concluída")</f>
        <v>OS concluída</v>
      </c>
      <c r="J142" s="19" t="str">
        <f t="shared" si="1"/>
        <v/>
      </c>
      <c r="K142" s="19"/>
      <c r="L142" s="19" t="str">
        <f t="shared" si="2"/>
        <v/>
      </c>
      <c r="M142" s="19"/>
      <c r="N142" s="49" t="str">
        <f t="shared" ref="N142:N150" si="40">IFERROR(_xlfn.XLOOKUP($B142,Empresa!G:G,Empresa!K:K),"")</f>
        <v/>
      </c>
      <c r="O142" s="49"/>
      <c r="P142" s="19" t="str">
        <f t="shared" ref="P142:P150" si="41">IFERROR(_xlfn.XLOOKUP($F142,'Vee one'!F:F,'Vee one'!O:O),"")</f>
        <v/>
      </c>
      <c r="Q142" s="19" t="str">
        <f t="shared" ref="Q142:Q150" si="42">IFERROR(_xlfn.XLOOKUP($F142,'Vee one'!F:F,'Vee one'!K:K),"")</f>
        <v/>
      </c>
      <c r="R142" s="19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</row>
    <row r="143" hidden="1">
      <c r="A143" s="47" t="s">
        <v>606</v>
      </c>
      <c r="B143" s="47" t="s">
        <v>607</v>
      </c>
      <c r="C143" s="19" t="str">
        <f t="array" ref="C143">IFERROR(_xlfn.XLOOKUP($B143,'Histórico'!$B:$B,'Histórico'!$I:$I),"")</f>
        <v>C661064-0237</v>
      </c>
      <c r="D143" s="19" t="str">
        <f t="array" ref="D143">IFERROR(_xlfn.XLOOKUP($B143,'Histórico'!$B:$B,'Histórico'!$J:$J),"")</f>
        <v>7EK50</v>
      </c>
      <c r="E143" s="19" t="str">
        <f t="array" ref="E143">IFERROR(_xlfn.XLOOKUP($B143,'Histórico'!$B:$B,'Histórico'!$K:$K),"")</f>
        <v>AIRSPEED INDICATOR</v>
      </c>
      <c r="F143" s="19" t="str">
        <f t="array" ref="F143">IFERROR(_xlfn.XLOOKUP($B143,'Histórico'!$B:$B,'Histórico'!$L:$L),"")</f>
        <v>T25426</v>
      </c>
      <c r="G143" s="49" t="str">
        <f t="array" ref="G143">IFERROR(_xlfn.XLOOKUP($B143,'Histórico'!$B:$B,'Histórico'!$F:$F),"")</f>
        <v>22/08/2025</v>
      </c>
      <c r="H143" s="19" t="str">
        <f t="array" ref="H143">IFERROR(_xlfn.XLOOKUP($B143,'Histórico'!$B:$B,'Histórico'!$AA:$AA),"")</f>
        <v>PAMALS</v>
      </c>
      <c r="I143" s="19" t="str">
        <f t="array" ref="I143">IFERROR(_xlfn.XLOOKUP($B143,Atual!$B:$B,Atual!$E:$E),"OS concluída")</f>
        <v>OS concluída</v>
      </c>
      <c r="J143" s="19" t="str">
        <f t="shared" si="1"/>
        <v/>
      </c>
      <c r="K143" s="19"/>
      <c r="L143" s="19" t="str">
        <f t="shared" si="2"/>
        <v/>
      </c>
      <c r="M143" s="19"/>
      <c r="N143" s="49" t="str">
        <f t="shared" si="40"/>
        <v/>
      </c>
      <c r="O143" s="49"/>
      <c r="P143" s="19" t="str">
        <f t="shared" si="41"/>
        <v/>
      </c>
      <c r="Q143" s="19" t="str">
        <f t="shared" si="42"/>
        <v/>
      </c>
      <c r="R143" s="19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</row>
    <row r="144" hidden="1">
      <c r="A144" s="47" t="s">
        <v>608</v>
      </c>
      <c r="B144" s="47" t="s">
        <v>609</v>
      </c>
      <c r="C144" s="19" t="str">
        <f t="array" ref="C144">IFERROR(_xlfn.XLOOKUP($B144,'Histórico'!$B:$B,'Histórico'!$I:$I),"")</f>
        <v>030-18200</v>
      </c>
      <c r="D144" s="19" t="str">
        <f t="array" ref="D144">IFERROR(_xlfn.XLOOKUP($B144,'Histórico'!$B:$B,'Histórico'!$J:$J),"")</f>
        <v>33269</v>
      </c>
      <c r="E144" s="19" t="str">
        <f t="array" ref="E144">IFERROR(_xlfn.XLOOKUP($B144,'Histórico'!$B:$B,'Histórico'!$K:$K),"")</f>
        <v>MAIN WHEEL BRAKE</v>
      </c>
      <c r="F144" s="19" t="str">
        <f t="array" ref="F144">IFERROR(_xlfn.XLOOKUP($B144,'Histórico'!$B:$B,'Histórico'!$L:$L),"")</f>
        <v>03</v>
      </c>
      <c r="G144" s="49" t="str">
        <f t="array" ref="G144">IFERROR(_xlfn.XLOOKUP($B144,'Histórico'!$B:$B,'Histórico'!$F:$F),"")</f>
        <v>22/08/2025</v>
      </c>
      <c r="H144" s="19" t="str">
        <f t="array" ref="H144">IFERROR(_xlfn.XLOOKUP($B144,'Histórico'!$B:$B,'Histórico'!$AA:$AA),"")</f>
        <v>BASM</v>
      </c>
      <c r="I144" s="19" t="str">
        <f t="array" ref="I144">IFERROR(_xlfn.XLOOKUP($B144,Atual!$B:$B,Atual!$E:$E),"OS concluída")</f>
        <v>OS concluída</v>
      </c>
      <c r="J144" s="19" t="str">
        <f t="shared" si="1"/>
        <v/>
      </c>
      <c r="K144" s="19"/>
      <c r="L144" s="19" t="str">
        <f t="shared" si="2"/>
        <v/>
      </c>
      <c r="M144" s="19"/>
      <c r="N144" s="49" t="str">
        <f t="shared" si="40"/>
        <v/>
      </c>
      <c r="O144" s="49"/>
      <c r="P144" s="19" t="str">
        <f t="shared" si="41"/>
        <v/>
      </c>
      <c r="Q144" s="19" t="str">
        <f t="shared" si="42"/>
        <v/>
      </c>
      <c r="R144" s="19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</row>
    <row r="145" hidden="1">
      <c r="A145" s="47" t="s">
        <v>610</v>
      </c>
      <c r="B145" s="47" t="s">
        <v>611</v>
      </c>
      <c r="C145" s="19" t="str">
        <f t="array" ref="C145">IFERROR(_xlfn.XLOOKUP($B145,'Histórico'!$B:$B,'Histórico'!$I:$I),"")</f>
        <v>161-11700</v>
      </c>
      <c r="D145" s="19" t="str">
        <f t="array" ref="D145">IFERROR(_xlfn.XLOOKUP($B145,'Histórico'!$B:$B,'Histórico'!$J:$J),"")</f>
        <v>71513</v>
      </c>
      <c r="E145" s="19" t="str">
        <f t="array" ref="E145">IFERROR(_xlfn.XLOOKUP($B145,'Histórico'!$B:$B,'Histórico'!$K:$K),"")</f>
        <v>INNER WHEEL HALF ASSY</v>
      </c>
      <c r="F145" s="19" t="str">
        <f t="array" ref="F145">IFERROR(_xlfn.XLOOKUP($B145,'Histórico'!$B:$B,'Histórico'!$L:$L),"")</f>
        <v>778</v>
      </c>
      <c r="G145" s="49" t="str">
        <f t="array" ref="G145">IFERROR(_xlfn.XLOOKUP($B145,'Histórico'!$B:$B,'Histórico'!$F:$F),"")</f>
        <v>22/08/2025</v>
      </c>
      <c r="H145" s="19" t="str">
        <f t="array" ref="H145">IFERROR(_xlfn.XLOOKUP($B145,'Histórico'!$B:$B,'Histórico'!$AA:$AA),"")</f>
        <v>BABV</v>
      </c>
      <c r="I145" s="19" t="str">
        <f t="array" ref="I145">IFERROR(_xlfn.XLOOKUP($B145,Atual!$B:$B,Atual!$E:$E),"OS concluída")</f>
        <v>OS concluída</v>
      </c>
      <c r="J145" s="19" t="str">
        <f t="shared" si="1"/>
        <v/>
      </c>
      <c r="K145" s="19"/>
      <c r="L145" s="19" t="str">
        <f t="shared" si="2"/>
        <v/>
      </c>
      <c r="M145" s="19"/>
      <c r="N145" s="49" t="str">
        <f t="shared" si="40"/>
        <v/>
      </c>
      <c r="O145" s="49"/>
      <c r="P145" s="19" t="str">
        <f t="shared" si="41"/>
        <v/>
      </c>
      <c r="Q145" s="19" t="str">
        <f t="shared" si="42"/>
        <v/>
      </c>
      <c r="R145" s="19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</row>
    <row r="146" hidden="1">
      <c r="A146" s="47" t="s">
        <v>612</v>
      </c>
      <c r="B146" s="47" t="s">
        <v>613</v>
      </c>
      <c r="C146" s="19" t="str">
        <f t="array" ref="C146">IFERROR(_xlfn.XLOOKUP($B146,'Histórico'!$B:$B,'Histórico'!$I:$I),"")</f>
        <v>161-11700</v>
      </c>
      <c r="D146" s="19" t="str">
        <f t="array" ref="D146">IFERROR(_xlfn.XLOOKUP($B146,'Histórico'!$B:$B,'Histórico'!$J:$J),"")</f>
        <v>71513</v>
      </c>
      <c r="E146" s="19" t="str">
        <f t="array" ref="E146">IFERROR(_xlfn.XLOOKUP($B146,'Histórico'!$B:$B,'Histórico'!$K:$K),"")</f>
        <v>INNER WHEEL HALF ASSY</v>
      </c>
      <c r="F146" s="19" t="str">
        <f t="array" ref="F146">IFERROR(_xlfn.XLOOKUP($B146,'Histórico'!$B:$B,'Histórico'!$L:$L),"")</f>
        <v>356</v>
      </c>
      <c r="G146" s="49" t="str">
        <f t="array" ref="G146">IFERROR(_xlfn.XLOOKUP($B146,'Histórico'!$B:$B,'Histórico'!$F:$F),"")</f>
        <v>22/08/2025</v>
      </c>
      <c r="H146" s="19" t="str">
        <f t="array" ref="H146">IFERROR(_xlfn.XLOOKUP($B146,'Histórico'!$B:$B,'Histórico'!$AA:$AA),"")</f>
        <v>PAMALS</v>
      </c>
      <c r="I146" s="19" t="str">
        <f t="array" ref="I146">IFERROR(_xlfn.XLOOKUP($B146,Atual!$B:$B,Atual!$E:$E),"OS concluída")</f>
        <v>OS concluída</v>
      </c>
      <c r="J146" s="19" t="str">
        <f t="shared" si="1"/>
        <v/>
      </c>
      <c r="K146" s="19"/>
      <c r="L146" s="19" t="str">
        <f t="shared" si="2"/>
        <v/>
      </c>
      <c r="M146" s="19"/>
      <c r="N146" s="49" t="str">
        <f t="shared" si="40"/>
        <v/>
      </c>
      <c r="O146" s="49"/>
      <c r="P146" s="19" t="str">
        <f t="shared" si="41"/>
        <v/>
      </c>
      <c r="Q146" s="19" t="str">
        <f t="shared" si="42"/>
        <v/>
      </c>
      <c r="R146" s="19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</row>
    <row r="147" hidden="1">
      <c r="A147" s="47" t="s">
        <v>614</v>
      </c>
      <c r="B147" s="47" t="s">
        <v>615</v>
      </c>
      <c r="C147" s="19" t="str">
        <f t="array" ref="C147">IFERROR(_xlfn.XLOOKUP($B147,'Histórico'!$B:$B,'Histórico'!$I:$I),"")</f>
        <v>161-11700</v>
      </c>
      <c r="D147" s="19" t="str">
        <f t="array" ref="D147">IFERROR(_xlfn.XLOOKUP($B147,'Histórico'!$B:$B,'Histórico'!$J:$J),"")</f>
        <v>71513</v>
      </c>
      <c r="E147" s="19" t="str">
        <f t="array" ref="E147">IFERROR(_xlfn.XLOOKUP($B147,'Histórico'!$B:$B,'Histórico'!$K:$K),"")</f>
        <v>INNER WHEEL HALF ASSY</v>
      </c>
      <c r="F147" s="19" t="str">
        <f t="array" ref="F147">IFERROR(_xlfn.XLOOKUP($B147,'Histórico'!$B:$B,'Histórico'!$L:$L),"")</f>
        <v>28</v>
      </c>
      <c r="G147" s="49" t="str">
        <f t="array" ref="G147">IFERROR(_xlfn.XLOOKUP($B147,'Histórico'!$B:$B,'Histórico'!$F:$F),"")</f>
        <v>22/08/2025</v>
      </c>
      <c r="H147" s="19" t="str">
        <f t="array" ref="H147">IFERROR(_xlfn.XLOOKUP($B147,'Histórico'!$B:$B,'Histórico'!$AA:$AA),"")</f>
        <v>PAMALS</v>
      </c>
      <c r="I147" s="19" t="str">
        <f t="array" ref="I147">IFERROR(_xlfn.XLOOKUP($B147,Atual!$B:$B,Atual!$E:$E),"OS concluída")</f>
        <v>OS concluída</v>
      </c>
      <c r="J147" s="19" t="str">
        <f t="shared" si="1"/>
        <v/>
      </c>
      <c r="K147" s="19"/>
      <c r="L147" s="19" t="str">
        <f t="shared" si="2"/>
        <v/>
      </c>
      <c r="M147" s="19"/>
      <c r="N147" s="49" t="str">
        <f t="shared" si="40"/>
        <v/>
      </c>
      <c r="O147" s="49"/>
      <c r="P147" s="19" t="str">
        <f t="shared" si="41"/>
        <v/>
      </c>
      <c r="Q147" s="19" t="str">
        <f t="shared" si="42"/>
        <v/>
      </c>
      <c r="R147" s="19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</row>
    <row r="148" hidden="1">
      <c r="A148" s="47" t="s">
        <v>616</v>
      </c>
      <c r="B148" s="47" t="s">
        <v>617</v>
      </c>
      <c r="C148" s="19" t="str">
        <f t="array" ref="C148">IFERROR(_xlfn.XLOOKUP($B148,'Histórico'!$B:$B,'Histórico'!$I:$I),"")</f>
        <v>161-11700</v>
      </c>
      <c r="D148" s="19" t="str">
        <f t="array" ref="D148">IFERROR(_xlfn.XLOOKUP($B148,'Histórico'!$B:$B,'Histórico'!$J:$J),"")</f>
        <v>71513</v>
      </c>
      <c r="E148" s="19" t="str">
        <f t="array" ref="E148">IFERROR(_xlfn.XLOOKUP($B148,'Histórico'!$B:$B,'Histórico'!$K:$K),"")</f>
        <v>INNER WHEEL HALF ASSY</v>
      </c>
      <c r="F148" s="19" t="str">
        <f t="array" ref="F148">IFERROR(_xlfn.XLOOKUP($B148,'Histórico'!$B:$B,'Histórico'!$L:$L),"")</f>
        <v>048F</v>
      </c>
      <c r="G148" s="49" t="str">
        <f t="array" ref="G148">IFERROR(_xlfn.XLOOKUP($B148,'Histórico'!$B:$B,'Histórico'!$F:$F),"")</f>
        <v>22/08/2025</v>
      </c>
      <c r="H148" s="19" t="str">
        <f t="array" ref="H148">IFERROR(_xlfn.XLOOKUP($B148,'Histórico'!$B:$B,'Histórico'!$AA:$AA),"")</f>
        <v>PAMALS</v>
      </c>
      <c r="I148" s="19" t="str">
        <f t="array" ref="I148">IFERROR(_xlfn.XLOOKUP($B148,Atual!$B:$B,Atual!$E:$E),"OS concluída")</f>
        <v>OS concluída</v>
      </c>
      <c r="J148" s="19" t="str">
        <f t="shared" si="1"/>
        <v/>
      </c>
      <c r="K148" s="19"/>
      <c r="L148" s="19" t="str">
        <f t="shared" si="2"/>
        <v/>
      </c>
      <c r="M148" s="19"/>
      <c r="N148" s="49" t="str">
        <f t="shared" si="40"/>
        <v/>
      </c>
      <c r="O148" s="49"/>
      <c r="P148" s="19" t="str">
        <f t="shared" si="41"/>
        <v/>
      </c>
      <c r="Q148" s="19" t="str">
        <f t="shared" si="42"/>
        <v/>
      </c>
      <c r="R148" s="19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</row>
    <row r="149" hidden="1">
      <c r="A149" s="47" t="s">
        <v>618</v>
      </c>
      <c r="B149" s="47" t="s">
        <v>619</v>
      </c>
      <c r="C149" s="19" t="str">
        <f t="array" ref="C149">IFERROR(_xlfn.XLOOKUP($B149,'Histórico'!$B:$B,'Histórico'!$I:$I),"")</f>
        <v>161-11700</v>
      </c>
      <c r="D149" s="19" t="str">
        <f t="array" ref="D149">IFERROR(_xlfn.XLOOKUP($B149,'Histórico'!$B:$B,'Histórico'!$J:$J),"")</f>
        <v>71513</v>
      </c>
      <c r="E149" s="19" t="str">
        <f t="array" ref="E149">IFERROR(_xlfn.XLOOKUP($B149,'Histórico'!$B:$B,'Histórico'!$K:$K),"")</f>
        <v>INNER WHEEL HALF ASSY</v>
      </c>
      <c r="F149" s="19" t="str">
        <f t="array" ref="F149">IFERROR(_xlfn.XLOOKUP($B149,'Histórico'!$B:$B,'Histórico'!$L:$L),"")</f>
        <v>3270</v>
      </c>
      <c r="G149" s="49" t="str">
        <f t="array" ref="G149">IFERROR(_xlfn.XLOOKUP($B149,'Histórico'!$B:$B,'Histórico'!$F:$F),"")</f>
        <v>22/08/2025</v>
      </c>
      <c r="H149" s="19" t="str">
        <f t="array" ref="H149">IFERROR(_xlfn.XLOOKUP($B149,'Histórico'!$B:$B,'Histórico'!$AA:$AA),"")</f>
        <v>PAMALS</v>
      </c>
      <c r="I149" s="19" t="str">
        <f t="array" ref="I149">IFERROR(_xlfn.XLOOKUP($B149,Atual!$B:$B,Atual!$E:$E),"OS concluída")</f>
        <v>OS concluída</v>
      </c>
      <c r="J149" s="19" t="str">
        <f t="shared" si="1"/>
        <v/>
      </c>
      <c r="K149" s="19"/>
      <c r="L149" s="19" t="str">
        <f t="shared" si="2"/>
        <v/>
      </c>
      <c r="M149" s="19"/>
      <c r="N149" s="49" t="str">
        <f t="shared" si="40"/>
        <v/>
      </c>
      <c r="O149" s="49"/>
      <c r="P149" s="19" t="str">
        <f t="shared" si="41"/>
        <v/>
      </c>
      <c r="Q149" s="19" t="str">
        <f t="shared" si="42"/>
        <v/>
      </c>
      <c r="R149" s="19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</row>
    <row r="150" hidden="1">
      <c r="A150" s="47" t="s">
        <v>620</v>
      </c>
      <c r="B150" s="47" t="s">
        <v>621</v>
      </c>
      <c r="C150" s="19" t="str">
        <f t="array" ref="C150">IFERROR(_xlfn.XLOOKUP($B150,'Histórico'!$B:$B,'Histórico'!$I:$I),"")</f>
        <v>161-11700</v>
      </c>
      <c r="D150" s="19" t="str">
        <f t="array" ref="D150">IFERROR(_xlfn.XLOOKUP($B150,'Histórico'!$B:$B,'Histórico'!$J:$J),"")</f>
        <v>71513</v>
      </c>
      <c r="E150" s="19" t="str">
        <f t="array" ref="E150">IFERROR(_xlfn.XLOOKUP($B150,'Histórico'!$B:$B,'Histórico'!$K:$K),"")</f>
        <v>INNER WHEEL HALF ASSY</v>
      </c>
      <c r="F150" s="19" t="str">
        <f t="array" ref="F150">IFERROR(_xlfn.XLOOKUP($B150,'Histórico'!$B:$B,'Histórico'!$L:$L),"")</f>
        <v>LSEAM3250</v>
      </c>
      <c r="G150" s="49" t="str">
        <f t="array" ref="G150">IFERROR(_xlfn.XLOOKUP($B150,'Histórico'!$B:$B,'Histórico'!$F:$F),"")</f>
        <v>22/08/2025</v>
      </c>
      <c r="H150" s="19" t="str">
        <f t="array" ref="H150">IFERROR(_xlfn.XLOOKUP($B150,'Histórico'!$B:$B,'Histórico'!$AA:$AA),"")</f>
        <v>PAMALS</v>
      </c>
      <c r="I150" s="19" t="str">
        <f t="array" ref="I150">IFERROR(_xlfn.XLOOKUP($B150,Atual!$B:$B,Atual!$E:$E),"OS concluída")</f>
        <v>OS concluída</v>
      </c>
      <c r="J150" s="19" t="str">
        <f t="shared" si="1"/>
        <v/>
      </c>
      <c r="K150" s="19"/>
      <c r="L150" s="19" t="str">
        <f t="shared" si="2"/>
        <v/>
      </c>
      <c r="M150" s="19"/>
      <c r="N150" s="49" t="str">
        <f t="shared" si="40"/>
        <v/>
      </c>
      <c r="O150" s="49"/>
      <c r="P150" s="19" t="str">
        <f t="shared" si="41"/>
        <v/>
      </c>
      <c r="Q150" s="19" t="str">
        <f t="shared" si="42"/>
        <v/>
      </c>
      <c r="R150" s="19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</row>
    <row r="151" hidden="1">
      <c r="A151" s="47" t="s">
        <v>622</v>
      </c>
      <c r="B151" s="47" t="s">
        <v>623</v>
      </c>
      <c r="C151" s="48" t="str">
        <f t="array" ref="C151">IFERROR(_xlfn.XLOOKUP($B151,'Histórico'!$B:$B,'Histórico'!$I:$I),"")</f>
        <v>161-11700</v>
      </c>
      <c r="D151" s="19" t="str">
        <f t="array" ref="D151">IFERROR(_xlfn.XLOOKUP($B151,'Histórico'!$B:$B,'Histórico'!$J:$J),"")</f>
        <v>71513</v>
      </c>
      <c r="E151" s="19" t="str">
        <f t="array" ref="E151">IFERROR(_xlfn.XLOOKUP($B151,'Histórico'!$B:$B,'Histórico'!$K:$K),"")</f>
        <v>INNER WHEEL HALF ASSY</v>
      </c>
      <c r="F151" s="19" t="str">
        <f t="array" ref="F151">IFERROR(_xlfn.XLOOKUP($B151,'Histórico'!$B:$B,'Histórico'!$L:$L),"")</f>
        <v>A4H-106-02</v>
      </c>
      <c r="G151" s="49" t="str">
        <f t="array" ref="G151">IFERROR(_xlfn.XLOOKUP($B151,'Histórico'!$B:$B,'Histórico'!$F:$F),"")</f>
        <v>22/08/2025</v>
      </c>
      <c r="H151" s="19" t="str">
        <f t="array" ref="H151">IFERROR(_xlfn.XLOOKUP($B151,'Histórico'!$B:$B,'Histórico'!$AA:$AA),"")</f>
        <v>PAMALS</v>
      </c>
      <c r="I151" s="19" t="str">
        <f t="array" ref="I151">IFERROR(_xlfn.XLOOKUP($B151,Atual!$B:$B,Atual!$E:$E),"OS concluída")</f>
        <v>OS concluída</v>
      </c>
      <c r="J151" s="19" t="str">
        <f t="shared" si="1"/>
        <v/>
      </c>
      <c r="K151" s="19"/>
      <c r="L151" s="19">
        <f t="shared" si="2"/>
        <v>341</v>
      </c>
      <c r="M151" s="19"/>
      <c r="N151" s="49">
        <f t="array" ref="N151">IFERROR(_xlfn.XLOOKUP($B151,EMPRESA_1!A:A,EMPRESA_1!J:J),"")</f>
        <v>46232</v>
      </c>
      <c r="O151" s="50" t="str">
        <f t="array" ref="O151">IFERROR(_xlfn.XLOOKUP(B151,EMPRESA_1!A:A,EMPRESA_1!K:K),"")
</f>
        <v>PAMA-LS</v>
      </c>
      <c r="P151" s="48" t="str">
        <f t="array" ref="P151">IFERROR(_xlfn.XLOOKUP(B151,EMPRESA_1!A:A,EMPRESA_1!L:L),"")</f>
        <v>598/FAB/26</v>
      </c>
      <c r="Q151" s="49">
        <f t="array" ref="Q151">IFERROR(_xlfn.XLOOKUP(B151,EMPRESA_1!A:A,EMPRESA_1!J:J),"")</f>
        <v>46232</v>
      </c>
      <c r="R151" s="19" t="str">
        <f t="array" ref="R151">IFERROR(_xlfn.XLOOKUP(B151,EMPRESA_1!A:A,EMPRESA_1!M:M),"")</f>
        <v/>
      </c>
      <c r="S151" s="51"/>
      <c r="T151" s="51" t="str">
        <f t="array" ref="T151">IFERROR(_xlfn.XLOOKUP($F151,'Acerto virtual'!$E:$E,'Acerto virtual'!F:F),"")</f>
        <v/>
      </c>
      <c r="U151" s="51" t="str">
        <f t="array" ref="U151">IFERROR(_xlfn.XLOOKUP($F151,'Acerto virtual'!$E:$E,'Acerto virtual'!G:G),"")</f>
        <v/>
      </c>
      <c r="V151" s="51" t="str">
        <f t="array" ref="V151">IFERROR(_xlfn.XLOOKUP($F151,'Acerto virtual'!$E:$E,'Acerto virtual'!H:H),"")</f>
        <v/>
      </c>
      <c r="W151" s="51" t="str">
        <f t="array" ref="W151">IFERROR(_xlfn.XLOOKUP($F151,'Acerto virtual'!$E:$E,'Acerto virtual'!I:I),"")</f>
        <v/>
      </c>
      <c r="X151" s="51" t="str">
        <f t="array" ref="X151">IFERROR(_xlfn.XLOOKUP($F151,'Acerto virtual'!$E:$E,'Acerto virtual'!J:J),"")</f>
        <v/>
      </c>
      <c r="Y151" s="51" t="str">
        <f t="array" ref="Y151">IFERROR(_xlfn.XLOOKUP($F151,'Acerto virtual'!$E:$E,'Acerto virtual'!K:K),"")</f>
        <v/>
      </c>
      <c r="Z151" s="51" t="str">
        <f t="array" ref="Z151">IFERROR(_xlfn.XLOOKUP($F151,'Acerto virtual'!$E:$E,'Acerto virtual'!L:L),"")</f>
        <v/>
      </c>
      <c r="AA151" s="51" t="str">
        <f t="array" ref="AA151">IFERROR(_xlfn.XLOOKUP($F151,'Acerto virtual'!$E:$E,'Acerto virtual'!M:M),"")</f>
        <v/>
      </c>
      <c r="AB151" s="51" t="str">
        <f t="array" ref="AB151">IFERROR(_xlfn.XLOOKUP($F151,'Acerto virtual'!$E:$E,'Acerto virtual'!N:N),"")</f>
        <v/>
      </c>
      <c r="AC151" s="51" t="str">
        <f t="array" ref="AC151">IFERROR(_xlfn.XLOOKUP($F151,'Acerto virtual'!$E:$E,'Acerto virtual'!O:O),"")</f>
        <v/>
      </c>
      <c r="AD151" s="51" t="str">
        <f t="array" ref="AD151">IFERROR(_xlfn.XLOOKUP($F151,'Acerto virtual'!$E:$E,'Acerto virtual'!P:P),"")</f>
        <v/>
      </c>
      <c r="AE151" s="51" t="str">
        <f t="array" ref="AE151">IFERROR(_xlfn.XLOOKUP($F151,'Acerto virtual'!$E:$E,'Acerto virtual'!Q:Q),"")</f>
        <v/>
      </c>
      <c r="AF151" s="51" t="str">
        <f t="array" ref="AF151">IFERROR(_xlfn.XLOOKUP($F151,'Acerto virtual'!$E:$E,'Acerto virtual'!R:R),"")</f>
        <v/>
      </c>
      <c r="AG151" s="51" t="str">
        <f t="array" ref="AG151">IFERROR(_xlfn.XLOOKUP($F151,'Acerto virtual'!$E:$E,'Acerto virtual'!S:S),"")</f>
        <v/>
      </c>
      <c r="AH151" s="51" t="str">
        <f t="array" ref="AH151">IFERROR(_xlfn.XLOOKUP($F151,'Acerto virtual'!$E:$E,'Acerto virtual'!T:T),"")</f>
        <v/>
      </c>
      <c r="AI151" s="51" t="str">
        <f t="array" ref="AI151">IFERROR(_xlfn.XLOOKUP($F151,'Acerto virtual'!$E:$E,'Acerto virtual'!U:U),"")</f>
        <v/>
      </c>
    </row>
    <row r="152" hidden="1">
      <c r="A152" s="47" t="s">
        <v>624</v>
      </c>
      <c r="B152" s="47" t="s">
        <v>625</v>
      </c>
      <c r="C152" s="48" t="str">
        <f t="array" ref="C152">IFERROR(_xlfn.XLOOKUP($B152,'Histórico'!$B:$B,'Histórico'!$I:$I),"")</f>
        <v>030-18200</v>
      </c>
      <c r="D152" s="19" t="str">
        <f t="array" ref="D152">IFERROR(_xlfn.XLOOKUP($B152,'Histórico'!$B:$B,'Histórico'!$J:$J),"")</f>
        <v>33269</v>
      </c>
      <c r="E152" s="19" t="str">
        <f t="array" ref="E152">IFERROR(_xlfn.XLOOKUP($B152,'Histórico'!$B:$B,'Histórico'!$K:$K),"")</f>
        <v>MAIN WHEEL BRAKE</v>
      </c>
      <c r="F152" s="19" t="str">
        <f t="array" ref="F152">IFERROR(_xlfn.XLOOKUP($B152,'Histórico'!$B:$B,'Histórico'!$L:$L),"")</f>
        <v>K517</v>
      </c>
      <c r="G152" s="49" t="str">
        <f t="array" ref="G152">IFERROR(_xlfn.XLOOKUP($B152,'Histórico'!$B:$B,'Histórico'!$F:$F),"")</f>
        <v>22/08/2025</v>
      </c>
      <c r="H152" s="19" t="str">
        <f t="array" ref="H152">IFERROR(_xlfn.XLOOKUP($B152,'Histórico'!$B:$B,'Histórico'!$AA:$AA),"")</f>
        <v>PAMASP</v>
      </c>
      <c r="I152" s="19" t="str">
        <f t="array" ref="I152">IFERROR(_xlfn.XLOOKUP($B152,Atual!$B:$B,Atual!$E:$E),"OS concluída")</f>
        <v>OS concluída</v>
      </c>
      <c r="J152" s="19" t="str">
        <f t="shared" si="1"/>
        <v/>
      </c>
      <c r="K152" s="19"/>
      <c r="L152" s="19">
        <f t="shared" si="2"/>
        <v>374</v>
      </c>
      <c r="M152" s="19"/>
      <c r="N152" s="49">
        <f t="array" ref="N152">IFERROR(_xlfn.XLOOKUP($B152,EMPRESA_1!A:A,EMPRESA_1!J:J),"")</f>
        <v>46265</v>
      </c>
      <c r="O152" s="50" t="str">
        <f t="array" ref="O152">IFERROR(_xlfn.XLOOKUP(B152,EMPRESA_1!A:A,EMPRESA_1!K:K),"")
</f>
        <v>BABE</v>
      </c>
      <c r="P152" s="19" t="str">
        <f t="array" ref="P152">IFERROR(_xlfn.XLOOKUP(B152,EMPRESA_1!A:A,EMPRESA_1!L:L),"")</f>
        <v>734/FAB/26</v>
      </c>
      <c r="Q152" s="49">
        <f t="array" ref="Q152">IFERROR(_xlfn.XLOOKUP(B152,EMPRESA_1!A:A,EMPRESA_1!J:J),"")</f>
        <v>46265</v>
      </c>
      <c r="R152" s="19" t="str">
        <f t="array" ref="R152">IFERROR(_xlfn.XLOOKUP(B152,EMPRESA_1!A:A,EMPRESA_1!M:M),"")</f>
        <v/>
      </c>
      <c r="S152" s="51"/>
      <c r="T152" s="51" t="str">
        <f t="array" ref="T152">IFERROR(_xlfn.XLOOKUP($F152,'Acerto virtual'!$E:$E,'Acerto virtual'!F:F),"")</f>
        <v>028/2026</v>
      </c>
      <c r="U152" s="51" t="str">
        <f t="array" ref="U152">IFERROR(_xlfn.XLOOKUP($F152,'Acerto virtual'!$E:$E,'Acerto virtual'!G:G),"")</f>
        <v>04/09</v>
      </c>
      <c r="V152" s="51" t="str">
        <f t="array" ref="V152">IFERROR(_xlfn.XLOOKUP($F152,'Acerto virtual'!$E:$E,'Acerto virtual'!H:H),"")</f>
        <v>04/09</v>
      </c>
      <c r="W152" s="51" t="str">
        <f t="array" ref="W152">IFERROR(_xlfn.XLOOKUP($F152,'Acerto virtual'!$E:$E,'Acerto virtual'!I:I),"")</f>
        <v/>
      </c>
      <c r="X152" s="51" t="str">
        <f t="array" ref="X152">IFERROR(_xlfn.XLOOKUP($F152,'Acerto virtual'!$E:$E,'Acerto virtual'!J:J),"")</f>
        <v>08/09</v>
      </c>
      <c r="Y152" s="51" t="str">
        <f t="array" ref="Y152">IFERROR(_xlfn.XLOOKUP($F152,'Acerto virtual'!$E:$E,'Acerto virtual'!K:K),"")</f>
        <v>08/09</v>
      </c>
      <c r="Z152" s="51" t="str">
        <f t="array" ref="Z152">IFERROR(_xlfn.XLOOKUP($F152,'Acerto virtual'!$E:$E,'Acerto virtual'!L:L),"")</f>
        <v>08/09</v>
      </c>
      <c r="AA152" s="51" t="str">
        <f t="array" ref="AA152">IFERROR(_xlfn.XLOOKUP($F152,'Acerto virtual'!$E:$E,'Acerto virtual'!M:M),"")</f>
        <v>09/09</v>
      </c>
      <c r="AB152" s="51" t="str">
        <f t="array" ref="AB152">IFERROR(_xlfn.XLOOKUP($F152,'Acerto virtual'!$E:$E,'Acerto virtual'!N:N),"")</f>
        <v>09/09</v>
      </c>
      <c r="AC152" s="51" t="str">
        <f t="array" ref="AC152">IFERROR(_xlfn.XLOOKUP($F152,'Acerto virtual'!$E:$E,'Acerto virtual'!O:O),"")</f>
        <v>09/09</v>
      </c>
      <c r="AD152" s="51" t="str">
        <f t="array" ref="AD152">IFERROR(_xlfn.XLOOKUP($F152,'Acerto virtual'!$E:$E,'Acerto virtual'!P:P),"")</f>
        <v>09/09</v>
      </c>
      <c r="AE152" s="51" t="str">
        <f t="array" ref="AE152">IFERROR(_xlfn.XLOOKUP($F152,'Acerto virtual'!$E:$E,'Acerto virtual'!Q:Q),"")</f>
        <v>09/09</v>
      </c>
      <c r="AF152" s="51" t="str">
        <f t="array" ref="AF152">IFERROR(_xlfn.XLOOKUP($F152,'Acerto virtual'!$E:$E,'Acerto virtual'!R:R),"")</f>
        <v>09/09</v>
      </c>
      <c r="AG152" s="51" t="str">
        <f t="array" ref="AG152">IFERROR(_xlfn.XLOOKUP($F152,'Acerto virtual'!$E:$E,'Acerto virtual'!S:S),"")</f>
        <v>09/09</v>
      </c>
      <c r="AH152" s="51" t="str">
        <f t="array" ref="AH152">IFERROR(_xlfn.XLOOKUP($F152,'Acerto virtual'!$E:$E,'Acerto virtual'!T:T),"")</f>
        <v>10/09</v>
      </c>
      <c r="AI152" s="51" t="str">
        <f t="array" ref="AI152">IFERROR(_xlfn.XLOOKUP($F152,'Acerto virtual'!$E:$E,'Acerto virtual'!U:U),"")</f>
        <v/>
      </c>
    </row>
    <row r="153">
      <c r="A153" s="47" t="s">
        <v>626</v>
      </c>
      <c r="B153" s="47" t="s">
        <v>627</v>
      </c>
      <c r="C153" s="48" t="str">
        <f t="array" ref="C153">IFERROR(_xlfn.XLOOKUP($B153,'Histórico'!$B:$B,'Histórico'!$I:$I),"")</f>
        <v>030-18200</v>
      </c>
      <c r="D153" s="19" t="str">
        <f t="array" ref="D153">IFERROR(_xlfn.XLOOKUP($B153,'Histórico'!$B:$B,'Histórico'!$J:$J),"")</f>
        <v>33269</v>
      </c>
      <c r="E153" s="19" t="str">
        <f t="array" ref="E153">IFERROR(_xlfn.XLOOKUP($B153,'Histórico'!$B:$B,'Histórico'!$K:$K),"")</f>
        <v>MAIN WHEEL BRAKE</v>
      </c>
      <c r="F153" s="19" t="str">
        <f t="array" ref="F153">IFERROR(_xlfn.XLOOKUP($B153,'Histórico'!$B:$B,'Histórico'!$L:$L),"")</f>
        <v>016B</v>
      </c>
      <c r="G153" s="49" t="str">
        <f t="array" ref="G153">IFERROR(_xlfn.XLOOKUP($B153,'Histórico'!$B:$B,'Histórico'!$F:$F),"")</f>
        <v>22/08/2025</v>
      </c>
      <c r="H153" s="19" t="str">
        <f t="array" ref="H153">IFERROR(_xlfn.XLOOKUP($B153,'Histórico'!$B:$B,'Histórico'!$AA:$AA),"")</f>
        <v>ALA 3</v>
      </c>
      <c r="I153" s="19" t="str">
        <f t="array" ref="I153">IFERROR(_xlfn.XLOOKUP($B153,Atual!$B:$B,Atual!$E:$E),"OS concluída")</f>
        <v>REC</v>
      </c>
      <c r="J153" s="19">
        <f t="shared" si="1"/>
        <v>419</v>
      </c>
      <c r="K153" s="19"/>
      <c r="L153" s="19">
        <f t="shared" si="2"/>
        <v>201</v>
      </c>
      <c r="M153" s="19"/>
      <c r="N153" s="49">
        <f t="array" ref="N153">IFERROR(_xlfn.XLOOKUP($B153,EMPRESA_1!A:A,EMPRESA_1!J:J),"")</f>
        <v>46092</v>
      </c>
      <c r="O153" s="50" t="str">
        <f t="array" ref="O153">IFERROR(_xlfn.XLOOKUP(B153,EMPRESA_1!A:A,EMPRESA_1!K:K),"")
</f>
        <v>BAMN</v>
      </c>
      <c r="P153" s="19" t="str">
        <f t="array" ref="P153">IFERROR(_xlfn.XLOOKUP(B153,EMPRESA_1!A:A,EMPRESA_1!L:L),"")</f>
        <v>176/FAB/26</v>
      </c>
      <c r="Q153" s="49">
        <f t="array" ref="Q153">IFERROR(_xlfn.XLOOKUP(B153,EMPRESA_1!A:A,EMPRESA_1!J:J),"")</f>
        <v>46092</v>
      </c>
      <c r="R153" s="19" t="str">
        <f t="array" ref="R153">IFERROR(_xlfn.XLOOKUP(B153,EMPRESA_1!A:A,EMPRESA_1!M:M),"")</f>
        <v/>
      </c>
      <c r="S153" s="51"/>
      <c r="T153" s="51" t="str">
        <f t="array" ref="T153">IFERROR(_xlfn.XLOOKUP($F153,'Acerto virtual'!$E:$E,'Acerto virtual'!F:F),"")</f>
        <v>045/2026</v>
      </c>
      <c r="U153" s="51" t="str">
        <f t="array" ref="U153">IFERROR(_xlfn.XLOOKUP($F153,'Acerto virtual'!$E:$E,'Acerto virtual'!G:G),"")</f>
        <v>17/03</v>
      </c>
      <c r="V153" s="51" t="str">
        <f t="array" ref="V153">IFERROR(_xlfn.XLOOKUP($F153,'Acerto virtual'!$E:$E,'Acerto virtual'!H:H),"")</f>
        <v>18/03</v>
      </c>
      <c r="W153" s="51" t="str">
        <f t="array" ref="W153">IFERROR(_xlfn.XLOOKUP($F153,'Acerto virtual'!$E:$E,'Acerto virtual'!I:I),"")</f>
        <v>23/03</v>
      </c>
      <c r="X153" s="51" t="str">
        <f t="array" ref="X153">IFERROR(_xlfn.XLOOKUP($F153,'Acerto virtual'!$E:$E,'Acerto virtual'!J:J),"")</f>
        <v/>
      </c>
      <c r="Y153" s="51" t="str">
        <f t="array" ref="Y153">IFERROR(_xlfn.XLOOKUP($F153,'Acerto virtual'!$E:$E,'Acerto virtual'!K:K),"")</f>
        <v/>
      </c>
      <c r="Z153" s="51" t="str">
        <f t="array" ref="Z153">IFERROR(_xlfn.XLOOKUP($F153,'Acerto virtual'!$E:$E,'Acerto virtual'!L:L),"")</f>
        <v/>
      </c>
      <c r="AA153" s="51" t="str">
        <f t="array" ref="AA153">IFERROR(_xlfn.XLOOKUP($F153,'Acerto virtual'!$E:$E,'Acerto virtual'!M:M),"")</f>
        <v/>
      </c>
      <c r="AB153" s="51" t="str">
        <f t="array" ref="AB153">IFERROR(_xlfn.XLOOKUP($F153,'Acerto virtual'!$E:$E,'Acerto virtual'!N:N),"")</f>
        <v/>
      </c>
      <c r="AC153" s="51" t="str">
        <f t="array" ref="AC153">IFERROR(_xlfn.XLOOKUP($F153,'Acerto virtual'!$E:$E,'Acerto virtual'!O:O),"")</f>
        <v/>
      </c>
      <c r="AD153" s="51" t="str">
        <f t="array" ref="AD153">IFERROR(_xlfn.XLOOKUP($F153,'Acerto virtual'!$E:$E,'Acerto virtual'!P:P),"")</f>
        <v/>
      </c>
      <c r="AE153" s="51" t="str">
        <f t="array" ref="AE153">IFERROR(_xlfn.XLOOKUP($F153,'Acerto virtual'!$E:$E,'Acerto virtual'!Q:Q),"")</f>
        <v/>
      </c>
      <c r="AF153" s="51" t="str">
        <f t="array" ref="AF153">IFERROR(_xlfn.XLOOKUP($F153,'Acerto virtual'!$E:$E,'Acerto virtual'!R:R),"")</f>
        <v/>
      </c>
      <c r="AG153" s="51" t="str">
        <f t="array" ref="AG153">IFERROR(_xlfn.XLOOKUP($F153,'Acerto virtual'!$E:$E,'Acerto virtual'!S:S),"")</f>
        <v/>
      </c>
      <c r="AH153" s="51" t="str">
        <f t="array" ref="AH153">IFERROR(_xlfn.XLOOKUP($F153,'Acerto virtual'!$E:$E,'Acerto virtual'!T:T),"")</f>
        <v/>
      </c>
      <c r="AI153" s="51" t="str">
        <f t="array" ref="AI153">IFERROR(_xlfn.XLOOKUP($F153,'Acerto virtual'!$E:$E,'Acerto virtual'!U:U),"")</f>
        <v/>
      </c>
    </row>
    <row r="154" hidden="1">
      <c r="A154" s="47" t="s">
        <v>628</v>
      </c>
      <c r="B154" s="47" t="s">
        <v>629</v>
      </c>
      <c r="C154" s="19" t="str">
        <f t="array" ref="C154">IFERROR(_xlfn.XLOOKUP($B154,'Histórico'!$B:$B,'Histórico'!$I:$I),"")</f>
        <v>162-11800</v>
      </c>
      <c r="D154" s="19" t="str">
        <f t="array" ref="D154">IFERROR(_xlfn.XLOOKUP($B154,'Histórico'!$B:$B,'Histórico'!$J:$J),"")</f>
        <v>33269</v>
      </c>
      <c r="E154" s="19" t="str">
        <f t="array" ref="E154">IFERROR(_xlfn.XLOOKUP($B154,'Histórico'!$B:$B,'Histórico'!$K:$K),"")</f>
        <v>WHEEL HALF ASSY-OUTER</v>
      </c>
      <c r="F154" s="19" t="str">
        <f t="array" ref="F154">IFERROR(_xlfn.XLOOKUP($B154,'Histórico'!$B:$B,'Histórico'!$L:$L),"")</f>
        <v>935</v>
      </c>
      <c r="G154" s="49" t="str">
        <f t="array" ref="G154">IFERROR(_xlfn.XLOOKUP($B154,'Histórico'!$B:$B,'Histórico'!$F:$F),"")</f>
        <v>22/08/2025</v>
      </c>
      <c r="H154" s="19" t="str">
        <f t="array" ref="H154">IFERROR(_xlfn.XLOOKUP($B154,'Histórico'!$B:$B,'Histórico'!$AA:$AA),"")</f>
        <v>BANT</v>
      </c>
      <c r="I154" s="19" t="str">
        <f t="array" ref="I154">IFERROR(_xlfn.XLOOKUP($B154,Atual!$B:$B,Atual!$E:$E),"OS concluída")</f>
        <v>OS concluída</v>
      </c>
      <c r="J154" s="19" t="str">
        <f t="shared" si="1"/>
        <v/>
      </c>
      <c r="K154" s="19"/>
      <c r="L154" s="19" t="str">
        <f t="shared" si="2"/>
        <v/>
      </c>
      <c r="M154" s="19"/>
      <c r="N154" s="49" t="str">
        <f t="array" ref="N154">IFERROR(_xlfn.XLOOKUP($B154,Empresa!G:G,Empresa!K:K),"")</f>
        <v/>
      </c>
      <c r="O154" s="49"/>
      <c r="P154" s="19" t="str">
        <f t="array" ref="P154">IFERROR(_xlfn.XLOOKUP($F154,'Vee one'!F:F,'Vee one'!O:O),"")</f>
        <v/>
      </c>
      <c r="Q154" s="19" t="str">
        <f t="array" ref="Q154">IFERROR(_xlfn.XLOOKUP($F154,'Vee one'!F:F,'Vee one'!K:K),"")</f>
        <v/>
      </c>
      <c r="R154" s="19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</row>
    <row r="155" hidden="1">
      <c r="A155" s="47" t="s">
        <v>630</v>
      </c>
      <c r="B155" s="47" t="s">
        <v>631</v>
      </c>
      <c r="C155" s="48" t="str">
        <f t="array" ref="C155">IFERROR(_xlfn.XLOOKUP($B155,'Histórico'!$B:$B,'Histórico'!$I:$I),"")</f>
        <v>162-11800</v>
      </c>
      <c r="D155" s="19" t="str">
        <f t="array" ref="D155">IFERROR(_xlfn.XLOOKUP($B155,'Histórico'!$B:$B,'Histórico'!$J:$J),"")</f>
        <v>33269</v>
      </c>
      <c r="E155" s="19" t="str">
        <f t="array" ref="E155">IFERROR(_xlfn.XLOOKUP($B155,'Histórico'!$B:$B,'Histórico'!$K:$K),"")</f>
        <v>WHEEL HALF ASSY-OUTER</v>
      </c>
      <c r="F155" s="19" t="str">
        <f t="array" ref="F155">IFERROR(_xlfn.XLOOKUP($B155,'Histórico'!$B:$B,'Histórico'!$L:$L),"")</f>
        <v>03</v>
      </c>
      <c r="G155" s="49" t="str">
        <f t="array" ref="G155">IFERROR(_xlfn.XLOOKUP($B155,'Histórico'!$B:$B,'Histórico'!$F:$F),"")</f>
        <v>22/08/2025</v>
      </c>
      <c r="H155" s="19" t="str">
        <f t="array" ref="H155">IFERROR(_xlfn.XLOOKUP($B155,'Histórico'!$B:$B,'Histórico'!$AA:$AA),"")</f>
        <v>PAMALS</v>
      </c>
      <c r="I155" s="19" t="str">
        <f t="array" ref="I155">IFERROR(_xlfn.XLOOKUP($B155,Atual!$B:$B,Atual!$E:$E),"OS concluída")</f>
        <v>OS concluída</v>
      </c>
      <c r="J155" s="19" t="str">
        <f t="shared" si="1"/>
        <v/>
      </c>
      <c r="K155" s="19"/>
      <c r="L155" s="19">
        <f t="shared" si="2"/>
        <v>228</v>
      </c>
      <c r="M155" s="19"/>
      <c r="N155" s="49">
        <f t="array" ref="N155">IFERROR(_xlfn.XLOOKUP($B155,EMPRESA_1!A:A,EMPRESA_1!J:J),"")</f>
        <v>46119</v>
      </c>
      <c r="O155" s="50" t="str">
        <f t="array" ref="O155">IFERROR(_xlfn.XLOOKUP(B155,EMPRESA_1!A:A,EMPRESA_1!K:K),"")
</f>
        <v>PAMA-LS</v>
      </c>
      <c r="P155" s="19" t="str">
        <f t="array" ref="P155">IFERROR(_xlfn.XLOOKUP(B155,EMPRESA_1!A:A,EMPRESA_1!L:L),"")</f>
        <v>133/FAB/25</v>
      </c>
      <c r="Q155" s="49">
        <f t="array" ref="Q155">IFERROR(_xlfn.XLOOKUP(B155,EMPRESA_1!A:A,EMPRESA_1!J:J),"")</f>
        <v>46119</v>
      </c>
      <c r="R155" s="19" t="str">
        <f t="array" ref="R155">IFERROR(_xlfn.XLOOKUP(B155,EMPRESA_1!A:A,EMPRESA_1!M:M),"")</f>
        <v/>
      </c>
      <c r="S155" s="51"/>
      <c r="T155" s="51" t="str">
        <f t="array" ref="T155">IFERROR(_xlfn.XLOOKUP($F155,'Acerto virtual'!$E:$E,'Acerto virtual'!F:F),"")</f>
        <v/>
      </c>
      <c r="U155" s="51" t="str">
        <f t="array" ref="U155">IFERROR(_xlfn.XLOOKUP($F155,'Acerto virtual'!$E:$E,'Acerto virtual'!G:G),"")</f>
        <v/>
      </c>
      <c r="V155" s="51" t="str">
        <f t="array" ref="V155">IFERROR(_xlfn.XLOOKUP($F155,'Acerto virtual'!$E:$E,'Acerto virtual'!H:H),"")</f>
        <v/>
      </c>
      <c r="W155" s="51" t="str">
        <f t="array" ref="W155">IFERROR(_xlfn.XLOOKUP($F155,'Acerto virtual'!$E:$E,'Acerto virtual'!I:I),"")</f>
        <v/>
      </c>
      <c r="X155" s="51" t="str">
        <f t="array" ref="X155">IFERROR(_xlfn.XLOOKUP($F155,'Acerto virtual'!$E:$E,'Acerto virtual'!J:J),"")</f>
        <v/>
      </c>
      <c r="Y155" s="51" t="str">
        <f t="array" ref="Y155">IFERROR(_xlfn.XLOOKUP($F155,'Acerto virtual'!$E:$E,'Acerto virtual'!K:K),"")</f>
        <v/>
      </c>
      <c r="Z155" s="51" t="str">
        <f t="array" ref="Z155">IFERROR(_xlfn.XLOOKUP($F155,'Acerto virtual'!$E:$E,'Acerto virtual'!L:L),"")</f>
        <v/>
      </c>
      <c r="AA155" s="51" t="str">
        <f t="array" ref="AA155">IFERROR(_xlfn.XLOOKUP($F155,'Acerto virtual'!$E:$E,'Acerto virtual'!M:M),"")</f>
        <v/>
      </c>
      <c r="AB155" s="51" t="str">
        <f t="array" ref="AB155">IFERROR(_xlfn.XLOOKUP($F155,'Acerto virtual'!$E:$E,'Acerto virtual'!N:N),"")</f>
        <v/>
      </c>
      <c r="AC155" s="51" t="str">
        <f t="array" ref="AC155">IFERROR(_xlfn.XLOOKUP($F155,'Acerto virtual'!$E:$E,'Acerto virtual'!O:O),"")</f>
        <v/>
      </c>
      <c r="AD155" s="51" t="str">
        <f t="array" ref="AD155">IFERROR(_xlfn.XLOOKUP($F155,'Acerto virtual'!$E:$E,'Acerto virtual'!P:P),"")</f>
        <v/>
      </c>
      <c r="AE155" s="51" t="str">
        <f t="array" ref="AE155">IFERROR(_xlfn.XLOOKUP($F155,'Acerto virtual'!$E:$E,'Acerto virtual'!Q:Q),"")</f>
        <v/>
      </c>
      <c r="AF155" s="51" t="str">
        <f t="array" ref="AF155">IFERROR(_xlfn.XLOOKUP($F155,'Acerto virtual'!$E:$E,'Acerto virtual'!R:R),"")</f>
        <v/>
      </c>
      <c r="AG155" s="51" t="str">
        <f t="array" ref="AG155">IFERROR(_xlfn.XLOOKUP($F155,'Acerto virtual'!$E:$E,'Acerto virtual'!S:S),"")</f>
        <v/>
      </c>
      <c r="AH155" s="51" t="str">
        <f t="array" ref="AH155">IFERROR(_xlfn.XLOOKUP($F155,'Acerto virtual'!$E:$E,'Acerto virtual'!T:T),"")</f>
        <v/>
      </c>
      <c r="AI155" s="51" t="str">
        <f t="array" ref="AI155">IFERROR(_xlfn.XLOOKUP($F155,'Acerto virtual'!$E:$E,'Acerto virtual'!U:U),"")</f>
        <v/>
      </c>
    </row>
    <row r="156" hidden="1">
      <c r="A156" s="47" t="s">
        <v>632</v>
      </c>
      <c r="B156" s="47" t="s">
        <v>633</v>
      </c>
      <c r="C156" s="48" t="str">
        <f t="array" ref="C156">IFERROR(_xlfn.XLOOKUP($B156,'Histórico'!$B:$B,'Histórico'!$I:$I),"")</f>
        <v>161-12800</v>
      </c>
      <c r="D156" s="19" t="str">
        <f t="array" ref="D156">IFERROR(_xlfn.XLOOKUP($B156,'Histórico'!$B:$B,'Histórico'!$J:$J),"")</f>
        <v>71513</v>
      </c>
      <c r="E156" s="19" t="str">
        <f t="array" ref="E156">IFERROR(_xlfn.XLOOKUP($B156,'Histórico'!$B:$B,'Histórico'!$K:$K),"")</f>
        <v>WHEEL HALF ASSY-INNER</v>
      </c>
      <c r="F156" s="19" t="str">
        <f t="array" ref="F156">IFERROR(_xlfn.XLOOKUP($B156,'Histórico'!$B:$B,'Histórico'!$L:$L),"")</f>
        <v>B4H-018</v>
      </c>
      <c r="G156" s="49" t="str">
        <f t="array" ref="G156">IFERROR(_xlfn.XLOOKUP($B156,'Histórico'!$B:$B,'Histórico'!$F:$F),"")</f>
        <v>22/08/2025</v>
      </c>
      <c r="H156" s="19" t="str">
        <f t="array" ref="H156">IFERROR(_xlfn.XLOOKUP($B156,'Histórico'!$B:$B,'Histórico'!$AA:$AA),"")</f>
        <v>PAMALS</v>
      </c>
      <c r="I156" s="19" t="str">
        <f t="array" ref="I156">IFERROR(_xlfn.XLOOKUP($B156,Atual!$B:$B,Atual!$E:$E),"OS concluída")</f>
        <v>OS concluída</v>
      </c>
      <c r="J156" s="19" t="str">
        <f t="shared" si="1"/>
        <v/>
      </c>
      <c r="K156" s="19"/>
      <c r="L156" s="19">
        <f t="shared" si="2"/>
        <v>341</v>
      </c>
      <c r="M156" s="19"/>
      <c r="N156" s="49">
        <f t="array" ref="N156">IFERROR(_xlfn.XLOOKUP($B156,EMPRESA_1!A:A,EMPRESA_1!J:J),"")</f>
        <v>46232</v>
      </c>
      <c r="O156" s="50" t="str">
        <f t="array" ref="O156">IFERROR(_xlfn.XLOOKUP(B156,EMPRESA_1!A:A,EMPRESA_1!K:K),"")
</f>
        <v>PAMA-LS</v>
      </c>
      <c r="P156" s="48" t="str">
        <f t="array" ref="P156">IFERROR(_xlfn.XLOOKUP(B156,EMPRESA_1!A:A,EMPRESA_1!L:L),"")</f>
        <v>598/FAB/26</v>
      </c>
      <c r="Q156" s="49">
        <f t="array" ref="Q156">IFERROR(_xlfn.XLOOKUP(B156,EMPRESA_1!A:A,EMPRESA_1!J:J),"")</f>
        <v>46232</v>
      </c>
      <c r="R156" s="19" t="str">
        <f t="array" ref="R156">IFERROR(_xlfn.XLOOKUP(B156,EMPRESA_1!A:A,EMPRESA_1!M:M),"")</f>
        <v/>
      </c>
      <c r="S156" s="51"/>
      <c r="T156" s="51" t="str">
        <f t="array" ref="T156">IFERROR(_xlfn.XLOOKUP($F156,'Acerto virtual'!$E:$E,'Acerto virtual'!F:F),"")</f>
        <v/>
      </c>
      <c r="U156" s="51" t="str">
        <f t="array" ref="U156">IFERROR(_xlfn.XLOOKUP($F156,'Acerto virtual'!$E:$E,'Acerto virtual'!G:G),"")</f>
        <v/>
      </c>
      <c r="V156" s="51" t="str">
        <f t="array" ref="V156">IFERROR(_xlfn.XLOOKUP($F156,'Acerto virtual'!$E:$E,'Acerto virtual'!H:H),"")</f>
        <v/>
      </c>
      <c r="W156" s="51" t="str">
        <f t="array" ref="W156">IFERROR(_xlfn.XLOOKUP($F156,'Acerto virtual'!$E:$E,'Acerto virtual'!I:I),"")</f>
        <v/>
      </c>
      <c r="X156" s="51" t="str">
        <f t="array" ref="X156">IFERROR(_xlfn.XLOOKUP($F156,'Acerto virtual'!$E:$E,'Acerto virtual'!J:J),"")</f>
        <v/>
      </c>
      <c r="Y156" s="51" t="str">
        <f t="array" ref="Y156">IFERROR(_xlfn.XLOOKUP($F156,'Acerto virtual'!$E:$E,'Acerto virtual'!K:K),"")</f>
        <v/>
      </c>
      <c r="Z156" s="51" t="str">
        <f t="array" ref="Z156">IFERROR(_xlfn.XLOOKUP($F156,'Acerto virtual'!$E:$E,'Acerto virtual'!L:L),"")</f>
        <v/>
      </c>
      <c r="AA156" s="51" t="str">
        <f t="array" ref="AA156">IFERROR(_xlfn.XLOOKUP($F156,'Acerto virtual'!$E:$E,'Acerto virtual'!M:M),"")</f>
        <v/>
      </c>
      <c r="AB156" s="51" t="str">
        <f t="array" ref="AB156">IFERROR(_xlfn.XLOOKUP($F156,'Acerto virtual'!$E:$E,'Acerto virtual'!N:N),"")</f>
        <v/>
      </c>
      <c r="AC156" s="51" t="str">
        <f t="array" ref="AC156">IFERROR(_xlfn.XLOOKUP($F156,'Acerto virtual'!$E:$E,'Acerto virtual'!O:O),"")</f>
        <v/>
      </c>
      <c r="AD156" s="51" t="str">
        <f t="array" ref="AD156">IFERROR(_xlfn.XLOOKUP($F156,'Acerto virtual'!$E:$E,'Acerto virtual'!P:P),"")</f>
        <v/>
      </c>
      <c r="AE156" s="51" t="str">
        <f t="array" ref="AE156">IFERROR(_xlfn.XLOOKUP($F156,'Acerto virtual'!$E:$E,'Acerto virtual'!Q:Q),"")</f>
        <v/>
      </c>
      <c r="AF156" s="51" t="str">
        <f t="array" ref="AF156">IFERROR(_xlfn.XLOOKUP($F156,'Acerto virtual'!$E:$E,'Acerto virtual'!R:R),"")</f>
        <v/>
      </c>
      <c r="AG156" s="51" t="str">
        <f t="array" ref="AG156">IFERROR(_xlfn.XLOOKUP($F156,'Acerto virtual'!$E:$E,'Acerto virtual'!S:S),"")</f>
        <v/>
      </c>
      <c r="AH156" s="51" t="str">
        <f t="array" ref="AH156">IFERROR(_xlfn.XLOOKUP($F156,'Acerto virtual'!$E:$E,'Acerto virtual'!T:T),"")</f>
        <v/>
      </c>
      <c r="AI156" s="51" t="str">
        <f t="array" ref="AI156">IFERROR(_xlfn.XLOOKUP($F156,'Acerto virtual'!$E:$E,'Acerto virtual'!U:U),"")</f>
        <v/>
      </c>
    </row>
    <row r="157" hidden="1">
      <c r="A157" s="47" t="s">
        <v>634</v>
      </c>
      <c r="B157" s="47" t="s">
        <v>635</v>
      </c>
      <c r="C157" s="19" t="str">
        <f t="array" ref="C157">IFERROR(_xlfn.XLOOKUP($B157,'Histórico'!$B:$B,'Histórico'!$I:$I),"")</f>
        <v>161-12800</v>
      </c>
      <c r="D157" s="19" t="str">
        <f t="array" ref="D157">IFERROR(_xlfn.XLOOKUP($B157,'Histórico'!$B:$B,'Histórico'!$J:$J),"")</f>
        <v>71513</v>
      </c>
      <c r="E157" s="19" t="str">
        <f t="array" ref="E157">IFERROR(_xlfn.XLOOKUP($B157,'Histórico'!$B:$B,'Histórico'!$K:$K),"")</f>
        <v>WHEEL HALF ASSY-INNER</v>
      </c>
      <c r="F157" s="19" t="str">
        <f t="array" ref="F157">IFERROR(_xlfn.XLOOKUP($B157,'Histórico'!$B:$B,'Histórico'!$L:$L),"")</f>
        <v>108</v>
      </c>
      <c r="G157" s="49" t="str">
        <f t="array" ref="G157">IFERROR(_xlfn.XLOOKUP($B157,'Histórico'!$B:$B,'Histórico'!$F:$F),"")</f>
        <v>22/08/2025</v>
      </c>
      <c r="H157" s="19" t="str">
        <f t="array" ref="H157">IFERROR(_xlfn.XLOOKUP($B157,'Histórico'!$B:$B,'Histórico'!$AA:$AA),"")</f>
        <v>BANT</v>
      </c>
      <c r="I157" s="19" t="str">
        <f t="array" ref="I157">IFERROR(_xlfn.XLOOKUP($B157,Atual!$B:$B,Atual!$E:$E),"OS concluída")</f>
        <v>OS concluída</v>
      </c>
      <c r="J157" s="19" t="str">
        <f t="shared" si="1"/>
        <v/>
      </c>
      <c r="K157" s="19"/>
      <c r="L157" s="19" t="str">
        <f t="shared" si="2"/>
        <v/>
      </c>
      <c r="M157" s="19"/>
      <c r="N157" s="49" t="str">
        <f t="array" ref="N157">IFERROR(_xlfn.XLOOKUP($B157,Empresa!G:G,Empresa!K:K),"")</f>
        <v/>
      </c>
      <c r="O157" s="49"/>
      <c r="P157" s="19" t="str">
        <f t="array" ref="P157">IFERROR(_xlfn.XLOOKUP($F157,'Vee one'!F:F,'Vee one'!O:O),"")</f>
        <v/>
      </c>
      <c r="Q157" s="19" t="str">
        <f t="array" ref="Q157">IFERROR(_xlfn.XLOOKUP($F157,'Vee one'!F:F,'Vee one'!K:K),"")</f>
        <v/>
      </c>
      <c r="R157" s="19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</row>
    <row r="158">
      <c r="A158" s="47" t="s">
        <v>636</v>
      </c>
      <c r="B158" s="47" t="s">
        <v>637</v>
      </c>
      <c r="C158" s="48" t="str">
        <f t="array" ref="C158">IFERROR(_xlfn.XLOOKUP($B158,'Histórico'!$B:$B,'Histórico'!$I:$I),"")</f>
        <v>011-00877-00</v>
      </c>
      <c r="D158" s="19" t="str">
        <f t="array" ref="D158">IFERROR(_xlfn.XLOOKUP($B158,'Histórico'!$B:$B,'Histórico'!$J:$J),"")</f>
        <v>0TRC3</v>
      </c>
      <c r="E158" s="19" t="str">
        <f t="array" ref="E158">IFERROR(_xlfn.XLOOKUP($B158,'Histórico'!$B:$B,'Histórico'!$K:$K),"")</f>
        <v>GSA-80 SERVO ROL,YAW,SPEC</v>
      </c>
      <c r="F158" s="19" t="str">
        <f t="array" ref="F158">IFERROR(_xlfn.XLOOKUP($B158,'Histórico'!$B:$B,'Histórico'!$L:$L),"")</f>
        <v>66306636</v>
      </c>
      <c r="G158" s="49" t="str">
        <f t="array" ref="G158">IFERROR(_xlfn.XLOOKUP($B158,'Histórico'!$B:$B,'Histórico'!$F:$F),"")</f>
        <v>22/08/2025</v>
      </c>
      <c r="H158" s="19" t="str">
        <f t="array" ref="H158">IFERROR(_xlfn.XLOOKUP($B158,'Histórico'!$B:$B,'Histórico'!$AA:$AA),"")</f>
        <v>BAMN</v>
      </c>
      <c r="I158" s="19" t="str">
        <f t="array" ref="I158">IFERROR(_xlfn.XLOOKUP($B158,Atual!$B:$B,Atual!$E:$E),"OS concluída")</f>
        <v>REC</v>
      </c>
      <c r="J158" s="19">
        <f t="shared" si="1"/>
        <v>419</v>
      </c>
      <c r="K158" s="19"/>
      <c r="L158" s="19" t="str">
        <f t="shared" si="2"/>
        <v/>
      </c>
      <c r="M158" s="19"/>
      <c r="N158" s="49" t="str">
        <f t="array" ref="N158">IFERROR(_xlfn.XLOOKUP($B158,EMPRESA_1!A:A,EMPRESA_1!J:J),"")</f>
        <v/>
      </c>
      <c r="O158" s="50" t="str">
        <f t="array" ref="O158">IFERROR(_xlfn.XLOOKUP(B158,EMPRESA_1!A:A,EMPRESA_1!K:K),"")
</f>
        <v>PROCURANDO</v>
      </c>
      <c r="P158" s="19" t="str">
        <f t="array" ref="P158">IFERROR(_xlfn.XLOOKUP(B158,EMPRESA_1!A:A,EMPRESA_1!L:L),"")</f>
        <v/>
      </c>
      <c r="Q158" s="49" t="str">
        <f t="array" ref="Q158">IFERROR(_xlfn.XLOOKUP(B158,EMPRESA_1!A:A,EMPRESA_1!J:J),"")</f>
        <v/>
      </c>
      <c r="R158" s="19" t="str">
        <f t="array" ref="R158">IFERROR(_xlfn.XLOOKUP(B158,EMPRESA_1!A:A,EMPRESA_1!M:M),"")</f>
        <v/>
      </c>
      <c r="S158" s="51"/>
      <c r="T158" s="51" t="str">
        <f t="array" ref="T158">IFERROR(_xlfn.XLOOKUP($F158,'Acerto virtual'!$E:$E,'Acerto virtual'!F:F),"")</f>
        <v/>
      </c>
      <c r="U158" s="51" t="str">
        <f t="array" ref="U158">IFERROR(_xlfn.XLOOKUP($F158,'Acerto virtual'!$E:$E,'Acerto virtual'!G:G),"")</f>
        <v/>
      </c>
      <c r="V158" s="51" t="str">
        <f t="array" ref="V158">IFERROR(_xlfn.XLOOKUP($F158,'Acerto virtual'!$E:$E,'Acerto virtual'!H:H),"")</f>
        <v/>
      </c>
      <c r="W158" s="51" t="str">
        <f t="array" ref="W158">IFERROR(_xlfn.XLOOKUP($F158,'Acerto virtual'!$E:$E,'Acerto virtual'!I:I),"")</f>
        <v/>
      </c>
      <c r="X158" s="51" t="str">
        <f t="array" ref="X158">IFERROR(_xlfn.XLOOKUP($F158,'Acerto virtual'!$E:$E,'Acerto virtual'!J:J),"")</f>
        <v/>
      </c>
      <c r="Y158" s="51" t="str">
        <f t="array" ref="Y158">IFERROR(_xlfn.XLOOKUP($F158,'Acerto virtual'!$E:$E,'Acerto virtual'!K:K),"")</f>
        <v/>
      </c>
      <c r="Z158" s="51" t="str">
        <f t="array" ref="Z158">IFERROR(_xlfn.XLOOKUP($F158,'Acerto virtual'!$E:$E,'Acerto virtual'!L:L),"")</f>
        <v/>
      </c>
      <c r="AA158" s="51" t="str">
        <f t="array" ref="AA158">IFERROR(_xlfn.XLOOKUP($F158,'Acerto virtual'!$E:$E,'Acerto virtual'!M:M),"")</f>
        <v/>
      </c>
      <c r="AB158" s="51" t="str">
        <f t="array" ref="AB158">IFERROR(_xlfn.XLOOKUP($F158,'Acerto virtual'!$E:$E,'Acerto virtual'!N:N),"")</f>
        <v/>
      </c>
      <c r="AC158" s="51" t="str">
        <f t="array" ref="AC158">IFERROR(_xlfn.XLOOKUP($F158,'Acerto virtual'!$E:$E,'Acerto virtual'!O:O),"")</f>
        <v/>
      </c>
      <c r="AD158" s="51" t="str">
        <f t="array" ref="AD158">IFERROR(_xlfn.XLOOKUP($F158,'Acerto virtual'!$E:$E,'Acerto virtual'!P:P),"")</f>
        <v/>
      </c>
      <c r="AE158" s="51" t="str">
        <f t="array" ref="AE158">IFERROR(_xlfn.XLOOKUP($F158,'Acerto virtual'!$E:$E,'Acerto virtual'!Q:Q),"")</f>
        <v/>
      </c>
      <c r="AF158" s="51" t="str">
        <f t="array" ref="AF158">IFERROR(_xlfn.XLOOKUP($F158,'Acerto virtual'!$E:$E,'Acerto virtual'!R:R),"")</f>
        <v/>
      </c>
      <c r="AG158" s="51" t="str">
        <f t="array" ref="AG158">IFERROR(_xlfn.XLOOKUP($F158,'Acerto virtual'!$E:$E,'Acerto virtual'!S:S),"")</f>
        <v/>
      </c>
      <c r="AH158" s="51" t="str">
        <f t="array" ref="AH158">IFERROR(_xlfn.XLOOKUP($F158,'Acerto virtual'!$E:$E,'Acerto virtual'!T:T),"")</f>
        <v/>
      </c>
      <c r="AI158" s="51" t="str">
        <f t="array" ref="AI158">IFERROR(_xlfn.XLOOKUP($F158,'Acerto virtual'!$E:$E,'Acerto virtual'!U:U),"")</f>
        <v/>
      </c>
    </row>
    <row r="159">
      <c r="A159" s="47" t="s">
        <v>638</v>
      </c>
      <c r="B159" s="47" t="s">
        <v>639</v>
      </c>
      <c r="C159" s="48" t="str">
        <f t="array" ref="C159">IFERROR(_xlfn.XLOOKUP($B159,'Histórico'!$B:$B,'Histórico'!$I:$I),"")</f>
        <v>011-00877-00</v>
      </c>
      <c r="D159" s="19" t="str">
        <f t="array" ref="D159">IFERROR(_xlfn.XLOOKUP($B159,'Histórico'!$B:$B,'Histórico'!$J:$J),"")</f>
        <v>0TRC3</v>
      </c>
      <c r="E159" s="19" t="str">
        <f t="array" ref="E159">IFERROR(_xlfn.XLOOKUP($B159,'Histórico'!$B:$B,'Histórico'!$K:$K),"")</f>
        <v>GSA-80 SERVO ROL,YAW,SPEC</v>
      </c>
      <c r="F159" s="19" t="str">
        <f t="array" ref="F159">IFERROR(_xlfn.XLOOKUP($B159,'Histórico'!$B:$B,'Histórico'!$L:$L),"")</f>
        <v>66305791</v>
      </c>
      <c r="G159" s="49" t="str">
        <f t="array" ref="G159">IFERROR(_xlfn.XLOOKUP($B159,'Histórico'!$B:$B,'Histórico'!$F:$F),"")</f>
        <v>22/08/2025</v>
      </c>
      <c r="H159" s="19" t="str">
        <f t="array" ref="H159">IFERROR(_xlfn.XLOOKUP($B159,'Histórico'!$B:$B,'Histórico'!$AA:$AA),"")</f>
        <v>PAMALS</v>
      </c>
      <c r="I159" s="19" t="str">
        <f t="array" ref="I159">IFERROR(_xlfn.XLOOKUP($B159,Atual!$B:$B,Atual!$E:$E),"OS concluída")</f>
        <v>REC</v>
      </c>
      <c r="J159" s="19">
        <f t="shared" si="1"/>
        <v>419</v>
      </c>
      <c r="K159" s="19"/>
      <c r="L159" s="19" t="str">
        <f t="shared" si="2"/>
        <v>NÃO APLICÁVEL</v>
      </c>
      <c r="M159" s="19"/>
      <c r="N159" s="49" t="str">
        <f t="array" ref="N159">IFERROR(_xlfn.XLOOKUP($B159,EMPRESA_1!A:A,EMPRESA_1!J:J),"")</f>
        <v>EM REPARO</v>
      </c>
      <c r="O159" s="50" t="str">
        <f t="array" ref="O159">IFERROR(_xlfn.XLOOKUP(B159,EMPRESA_1!A:A,EMPRESA_1!K:K),"")
</f>
        <v>VEE ONE</v>
      </c>
      <c r="P159" s="48" t="str">
        <f t="array" ref="P159">IFERROR(_xlfn.XLOOKUP(B159,EMPRESA_1!A:A,EMPRESA_1!L:L),"")</f>
        <v/>
      </c>
      <c r="Q159" s="49" t="str">
        <f t="array" ref="Q159">IFERROR(_xlfn.XLOOKUP(B159,EMPRESA_1!A:A,EMPRESA_1!J:J),"")</f>
        <v>EM REPARO</v>
      </c>
      <c r="R159" s="19" t="str">
        <f t="array" ref="R159">IFERROR(_xlfn.XLOOKUP(B159,EMPRESA_1!A:A,EMPRESA_1!M:M),"")</f>
        <v/>
      </c>
      <c r="S159" s="51"/>
      <c r="T159" s="51" t="str">
        <f t="array" ref="T159">IFERROR(_xlfn.XLOOKUP($F159,'Acerto virtual'!$E:$E,'Acerto virtual'!F:F),"")</f>
        <v/>
      </c>
      <c r="U159" s="51" t="str">
        <f t="array" ref="U159">IFERROR(_xlfn.XLOOKUP($F159,'Acerto virtual'!$E:$E,'Acerto virtual'!G:G),"")</f>
        <v/>
      </c>
      <c r="V159" s="51" t="str">
        <f t="array" ref="V159">IFERROR(_xlfn.XLOOKUP($F159,'Acerto virtual'!$E:$E,'Acerto virtual'!H:H),"")</f>
        <v/>
      </c>
      <c r="W159" s="51" t="str">
        <f t="array" ref="W159">IFERROR(_xlfn.XLOOKUP($F159,'Acerto virtual'!$E:$E,'Acerto virtual'!I:I),"")</f>
        <v/>
      </c>
      <c r="X159" s="51" t="str">
        <f t="array" ref="X159">IFERROR(_xlfn.XLOOKUP($F159,'Acerto virtual'!$E:$E,'Acerto virtual'!J:J),"")</f>
        <v/>
      </c>
      <c r="Y159" s="51" t="str">
        <f t="array" ref="Y159">IFERROR(_xlfn.XLOOKUP($F159,'Acerto virtual'!$E:$E,'Acerto virtual'!K:K),"")</f>
        <v/>
      </c>
      <c r="Z159" s="51" t="str">
        <f t="array" ref="Z159">IFERROR(_xlfn.XLOOKUP($F159,'Acerto virtual'!$E:$E,'Acerto virtual'!L:L),"")</f>
        <v/>
      </c>
      <c r="AA159" s="51" t="str">
        <f t="array" ref="AA159">IFERROR(_xlfn.XLOOKUP($F159,'Acerto virtual'!$E:$E,'Acerto virtual'!M:M),"")</f>
        <v/>
      </c>
      <c r="AB159" s="51" t="str">
        <f t="array" ref="AB159">IFERROR(_xlfn.XLOOKUP($F159,'Acerto virtual'!$E:$E,'Acerto virtual'!N:N),"")</f>
        <v/>
      </c>
      <c r="AC159" s="51" t="str">
        <f t="array" ref="AC159">IFERROR(_xlfn.XLOOKUP($F159,'Acerto virtual'!$E:$E,'Acerto virtual'!O:O),"")</f>
        <v/>
      </c>
      <c r="AD159" s="51" t="str">
        <f t="array" ref="AD159">IFERROR(_xlfn.XLOOKUP($F159,'Acerto virtual'!$E:$E,'Acerto virtual'!P:P),"")</f>
        <v/>
      </c>
      <c r="AE159" s="51" t="str">
        <f t="array" ref="AE159">IFERROR(_xlfn.XLOOKUP($F159,'Acerto virtual'!$E:$E,'Acerto virtual'!Q:Q),"")</f>
        <v/>
      </c>
      <c r="AF159" s="51" t="str">
        <f t="array" ref="AF159">IFERROR(_xlfn.XLOOKUP($F159,'Acerto virtual'!$E:$E,'Acerto virtual'!R:R),"")</f>
        <v/>
      </c>
      <c r="AG159" s="51" t="str">
        <f t="array" ref="AG159">IFERROR(_xlfn.XLOOKUP($F159,'Acerto virtual'!$E:$E,'Acerto virtual'!S:S),"")</f>
        <v/>
      </c>
      <c r="AH159" s="51" t="str">
        <f t="array" ref="AH159">IFERROR(_xlfn.XLOOKUP($F159,'Acerto virtual'!$E:$E,'Acerto virtual'!T:T),"")</f>
        <v/>
      </c>
      <c r="AI159" s="51" t="str">
        <f t="array" ref="AI159">IFERROR(_xlfn.XLOOKUP($F159,'Acerto virtual'!$E:$E,'Acerto virtual'!U:U),"")</f>
        <v/>
      </c>
    </row>
    <row r="160">
      <c r="A160" s="47" t="s">
        <v>640</v>
      </c>
      <c r="B160" s="47" t="s">
        <v>641</v>
      </c>
      <c r="C160" s="48" t="str">
        <f t="array" ref="C160">IFERROR(_xlfn.XLOOKUP($B160,'Histórico'!$B:$B,'Histórico'!$I:$I),"")</f>
        <v>011-00883-20</v>
      </c>
      <c r="D160" s="19" t="str">
        <f t="array" ref="D160">IFERROR(_xlfn.XLOOKUP($B160,'Histórico'!$B:$B,'Histórico'!$J:$J),"")</f>
        <v>0TRC3</v>
      </c>
      <c r="E160" s="19" t="str">
        <f t="array" ref="E160">IFERROR(_xlfn.XLOOKUP($B160,'Histórico'!$B:$B,'Histórico'!$K:$K),"")</f>
        <v>RADAR GWX 68 WEATHER</v>
      </c>
      <c r="F160" s="19" t="str">
        <f t="array" ref="F160">IFERROR(_xlfn.XLOOKUP($B160,'Histórico'!$B:$B,'Histórico'!$L:$L),"")</f>
        <v>47203806</v>
      </c>
      <c r="G160" s="49" t="str">
        <f t="array" ref="G160">IFERROR(_xlfn.XLOOKUP($B160,'Histórico'!$B:$B,'Histórico'!$F:$F),"")</f>
        <v>22/08/2025</v>
      </c>
      <c r="H160" s="19" t="str">
        <f t="array" ref="H160">IFERROR(_xlfn.XLOOKUP($B160,'Histórico'!$B:$B,'Histórico'!$AA:$AA),"")</f>
        <v>PAMALS</v>
      </c>
      <c r="I160" s="19" t="str">
        <f t="array" ref="I160">IFERROR(_xlfn.XLOOKUP($B160,Atual!$B:$B,Atual!$E:$E),"OS concluída")</f>
        <v>REC</v>
      </c>
      <c r="J160" s="19">
        <f t="shared" si="1"/>
        <v>419</v>
      </c>
      <c r="K160" s="19"/>
      <c r="L160" s="19">
        <f t="shared" si="2"/>
        <v>371</v>
      </c>
      <c r="M160" s="19"/>
      <c r="N160" s="49">
        <f t="array" ref="N160">IFERROR(_xlfn.XLOOKUP($B160,EMPRESA_1!A:A,EMPRESA_1!J:J),"")</f>
        <v>46262</v>
      </c>
      <c r="O160" s="50" t="str">
        <f t="array" ref="O160">IFERROR(_xlfn.XLOOKUP(B160,EMPRESA_1!A:A,EMPRESA_1!K:K),"")
</f>
        <v>PAMA-LS</v>
      </c>
      <c r="P160" s="48" t="str">
        <f t="array" ref="P160">IFERROR(_xlfn.XLOOKUP(B160,EMPRESA_1!A:A,EMPRESA_1!L:L),"")</f>
        <v>623/FAB/26</v>
      </c>
      <c r="Q160" s="49">
        <f t="array" ref="Q160">IFERROR(_xlfn.XLOOKUP(B160,EMPRESA_1!A:A,EMPRESA_1!J:J),"")</f>
        <v>46262</v>
      </c>
      <c r="R160" s="19" t="str">
        <f t="array" ref="R160">IFERROR(_xlfn.XLOOKUP(B160,EMPRESA_1!A:A,EMPRESA_1!M:M),"")</f>
        <v/>
      </c>
      <c r="S160" s="51"/>
      <c r="T160" s="51" t="str">
        <f t="array" ref="T160">IFERROR(_xlfn.XLOOKUP($F160,'Acerto virtual'!$E:$E,'Acerto virtual'!F:F),"")</f>
        <v/>
      </c>
      <c r="U160" s="51" t="str">
        <f t="array" ref="U160">IFERROR(_xlfn.XLOOKUP($F160,'Acerto virtual'!$E:$E,'Acerto virtual'!G:G),"")</f>
        <v/>
      </c>
      <c r="V160" s="51" t="str">
        <f t="array" ref="V160">IFERROR(_xlfn.XLOOKUP($F160,'Acerto virtual'!$E:$E,'Acerto virtual'!H:H),"")</f>
        <v/>
      </c>
      <c r="W160" s="51" t="str">
        <f t="array" ref="W160">IFERROR(_xlfn.XLOOKUP($F160,'Acerto virtual'!$E:$E,'Acerto virtual'!I:I),"")</f>
        <v/>
      </c>
      <c r="X160" s="51" t="str">
        <f t="array" ref="X160">IFERROR(_xlfn.XLOOKUP($F160,'Acerto virtual'!$E:$E,'Acerto virtual'!J:J),"")</f>
        <v/>
      </c>
      <c r="Y160" s="51" t="str">
        <f t="array" ref="Y160">IFERROR(_xlfn.XLOOKUP($F160,'Acerto virtual'!$E:$E,'Acerto virtual'!K:K),"")</f>
        <v/>
      </c>
      <c r="Z160" s="51" t="str">
        <f t="array" ref="Z160">IFERROR(_xlfn.XLOOKUP($F160,'Acerto virtual'!$E:$E,'Acerto virtual'!L:L),"")</f>
        <v/>
      </c>
      <c r="AA160" s="51" t="str">
        <f t="array" ref="AA160">IFERROR(_xlfn.XLOOKUP($F160,'Acerto virtual'!$E:$E,'Acerto virtual'!M:M),"")</f>
        <v/>
      </c>
      <c r="AB160" s="51" t="str">
        <f t="array" ref="AB160">IFERROR(_xlfn.XLOOKUP($F160,'Acerto virtual'!$E:$E,'Acerto virtual'!N:N),"")</f>
        <v/>
      </c>
      <c r="AC160" s="51" t="str">
        <f t="array" ref="AC160">IFERROR(_xlfn.XLOOKUP($F160,'Acerto virtual'!$E:$E,'Acerto virtual'!O:O),"")</f>
        <v/>
      </c>
      <c r="AD160" s="51" t="str">
        <f t="array" ref="AD160">IFERROR(_xlfn.XLOOKUP($F160,'Acerto virtual'!$E:$E,'Acerto virtual'!P:P),"")</f>
        <v/>
      </c>
      <c r="AE160" s="51" t="str">
        <f t="array" ref="AE160">IFERROR(_xlfn.XLOOKUP($F160,'Acerto virtual'!$E:$E,'Acerto virtual'!Q:Q),"")</f>
        <v/>
      </c>
      <c r="AF160" s="51" t="str">
        <f t="array" ref="AF160">IFERROR(_xlfn.XLOOKUP($F160,'Acerto virtual'!$E:$E,'Acerto virtual'!R:R),"")</f>
        <v/>
      </c>
      <c r="AG160" s="51" t="str">
        <f t="array" ref="AG160">IFERROR(_xlfn.XLOOKUP($F160,'Acerto virtual'!$E:$E,'Acerto virtual'!S:S),"")</f>
        <v/>
      </c>
      <c r="AH160" s="51" t="str">
        <f t="array" ref="AH160">IFERROR(_xlfn.XLOOKUP($F160,'Acerto virtual'!$E:$E,'Acerto virtual'!T:T),"")</f>
        <v/>
      </c>
      <c r="AI160" s="51" t="str">
        <f t="array" ref="AI160">IFERROR(_xlfn.XLOOKUP($F160,'Acerto virtual'!$E:$E,'Acerto virtual'!U:U),"")</f>
        <v/>
      </c>
    </row>
    <row r="161">
      <c r="A161" s="47" t="s">
        <v>642</v>
      </c>
      <c r="B161" s="47" t="s">
        <v>643</v>
      </c>
      <c r="C161" s="48" t="str">
        <f t="array" ref="C161">IFERROR(_xlfn.XLOOKUP($B161,'Histórico'!$B:$B,'Histórico'!$I:$I),"")</f>
        <v>3121248-03</v>
      </c>
      <c r="D161" s="19" t="str">
        <f t="array" ref="D161">IFERROR(_xlfn.XLOOKUP($B161,'Histórico'!$B:$B,'Histórico'!$J:$J),"")</f>
        <v>00198</v>
      </c>
      <c r="E161" s="19" t="str">
        <f t="array" ref="E161">IFERROR(_xlfn.XLOOKUP($B161,'Histórico'!$B:$B,'Histórico'!$K:$K),"")</f>
        <v>VALVE ASSEMBLY,COMPRESSOR BLEED</v>
      </c>
      <c r="F161" s="52" t="str">
        <f t="array" ref="F161">IFERROR(_xlfn.XLOOKUP($B161,'Histórico'!$B:$B,'Histórico'!$L:$L),"")</f>
        <v>28A403</v>
      </c>
      <c r="G161" s="49" t="str">
        <f t="array" ref="G161">IFERROR(_xlfn.XLOOKUP($B161,'Histórico'!$B:$B,'Histórico'!$F:$F),"")</f>
        <v>25/08/2025</v>
      </c>
      <c r="H161" s="19" t="str">
        <f t="array" ref="H161">IFERROR(_xlfn.XLOOKUP($B161,'Histórico'!$B:$B,'Histórico'!$AA:$AA),"")</f>
        <v>PAMASP</v>
      </c>
      <c r="I161" s="19" t="str">
        <f t="array" ref="I161">IFERROR(_xlfn.XLOOKUP($B161,Atual!$B:$B,Atual!$E:$E),"OS concluída")</f>
        <v>REC</v>
      </c>
      <c r="J161" s="19">
        <f t="shared" si="1"/>
        <v>416</v>
      </c>
      <c r="K161" s="19"/>
      <c r="L161" s="19">
        <f t="shared" si="2"/>
        <v>52</v>
      </c>
      <c r="M161" s="19"/>
      <c r="N161" s="49">
        <f t="array" ref="N161">IFERROR(_xlfn.XLOOKUP($B161,EMPRESA_1!A:A,EMPRESA_1!J:J),"")</f>
        <v>45946</v>
      </c>
      <c r="O161" s="50" t="str">
        <f t="array" ref="O161">IFERROR(_xlfn.XLOOKUP(B161,EMPRESA_1!A:A,EMPRESA_1!K:K),"")
</f>
        <v>BANT</v>
      </c>
      <c r="P161" s="19" t="str">
        <f t="array" ref="P161">IFERROR(_xlfn.XLOOKUP(B161,EMPRESA_1!A:A,EMPRESA_1!L:L),"")</f>
        <v>162/FAB/25</v>
      </c>
      <c r="Q161" s="49">
        <f t="array" ref="Q161">IFERROR(_xlfn.XLOOKUP(B161,EMPRESA_1!A:A,EMPRESA_1!J:J),"")</f>
        <v>45946</v>
      </c>
      <c r="R161" s="19" t="str">
        <f t="array" ref="R161">IFERROR(_xlfn.XLOOKUP(B161,EMPRESA_1!A:A,EMPRESA_1!M:M),"")</f>
        <v/>
      </c>
      <c r="S161" s="51"/>
      <c r="T161" s="51" t="str">
        <f t="array" ref="T161">IFERROR(_xlfn.XLOOKUP($F161,'Acerto virtual'!$E:$E,'Acerto virtual'!F:F),"")</f>
        <v/>
      </c>
      <c r="U161" s="51" t="str">
        <f t="array" ref="U161">IFERROR(_xlfn.XLOOKUP($F161,'Acerto virtual'!$E:$E,'Acerto virtual'!G:G),"")</f>
        <v/>
      </c>
      <c r="V161" s="51" t="str">
        <f t="array" ref="V161">IFERROR(_xlfn.XLOOKUP($F161,'Acerto virtual'!$E:$E,'Acerto virtual'!H:H),"")</f>
        <v/>
      </c>
      <c r="W161" s="51" t="str">
        <f t="array" ref="W161">IFERROR(_xlfn.XLOOKUP($F161,'Acerto virtual'!$E:$E,'Acerto virtual'!I:I),"")</f>
        <v/>
      </c>
      <c r="X161" s="51" t="str">
        <f t="array" ref="X161">IFERROR(_xlfn.XLOOKUP($F161,'Acerto virtual'!$E:$E,'Acerto virtual'!J:J),"")</f>
        <v/>
      </c>
      <c r="Y161" s="51" t="str">
        <f t="array" ref="Y161">IFERROR(_xlfn.XLOOKUP($F161,'Acerto virtual'!$E:$E,'Acerto virtual'!K:K),"")</f>
        <v/>
      </c>
      <c r="Z161" s="51" t="str">
        <f t="array" ref="Z161">IFERROR(_xlfn.XLOOKUP($F161,'Acerto virtual'!$E:$E,'Acerto virtual'!L:L),"")</f>
        <v/>
      </c>
      <c r="AA161" s="51" t="str">
        <f t="array" ref="AA161">IFERROR(_xlfn.XLOOKUP($F161,'Acerto virtual'!$E:$E,'Acerto virtual'!M:M),"")</f>
        <v/>
      </c>
      <c r="AB161" s="51" t="str">
        <f t="array" ref="AB161">IFERROR(_xlfn.XLOOKUP($F161,'Acerto virtual'!$E:$E,'Acerto virtual'!N:N),"")</f>
        <v/>
      </c>
      <c r="AC161" s="51" t="str">
        <f t="array" ref="AC161">IFERROR(_xlfn.XLOOKUP($F161,'Acerto virtual'!$E:$E,'Acerto virtual'!O:O),"")</f>
        <v/>
      </c>
      <c r="AD161" s="51" t="str">
        <f t="array" ref="AD161">IFERROR(_xlfn.XLOOKUP($F161,'Acerto virtual'!$E:$E,'Acerto virtual'!P:P),"")</f>
        <v/>
      </c>
      <c r="AE161" s="51" t="str">
        <f t="array" ref="AE161">IFERROR(_xlfn.XLOOKUP($F161,'Acerto virtual'!$E:$E,'Acerto virtual'!Q:Q),"")</f>
        <v/>
      </c>
      <c r="AF161" s="51" t="str">
        <f t="array" ref="AF161">IFERROR(_xlfn.XLOOKUP($F161,'Acerto virtual'!$E:$E,'Acerto virtual'!R:R),"")</f>
        <v/>
      </c>
      <c r="AG161" s="51" t="str">
        <f t="array" ref="AG161">IFERROR(_xlfn.XLOOKUP($F161,'Acerto virtual'!$E:$E,'Acerto virtual'!S:S),"")</f>
        <v/>
      </c>
      <c r="AH161" s="51" t="str">
        <f t="array" ref="AH161">IFERROR(_xlfn.XLOOKUP($F161,'Acerto virtual'!$E:$E,'Acerto virtual'!T:T),"")</f>
        <v/>
      </c>
      <c r="AI161" s="51" t="str">
        <f t="array" ref="AI161">IFERROR(_xlfn.XLOOKUP($F161,'Acerto virtual'!$E:$E,'Acerto virtual'!U:U),"")</f>
        <v/>
      </c>
    </row>
    <row r="162">
      <c r="A162" s="47" t="s">
        <v>644</v>
      </c>
      <c r="B162" s="47" t="s">
        <v>645</v>
      </c>
      <c r="C162" s="48" t="str">
        <f t="array" ref="C162">IFERROR(_xlfn.XLOOKUP($B162,'Histórico'!$B:$B,'Histórico'!$I:$I),"")</f>
        <v>161-12800</v>
      </c>
      <c r="D162" s="19" t="str">
        <f t="array" ref="D162">IFERROR(_xlfn.XLOOKUP($B162,'Histórico'!$B:$B,'Histórico'!$J:$J),"")</f>
        <v>71513</v>
      </c>
      <c r="E162" s="19" t="str">
        <f t="array" ref="E162">IFERROR(_xlfn.XLOOKUP($B162,'Histórico'!$B:$B,'Histórico'!$K:$K),"")</f>
        <v>WHEEL HALF ASSY-INNER</v>
      </c>
      <c r="F162" s="19" t="str">
        <f t="array" ref="F162">IFERROR(_xlfn.XLOOKUP($B162,'Histórico'!$B:$B,'Histórico'!$L:$L),"")</f>
        <v>479</v>
      </c>
      <c r="G162" s="49" t="str">
        <f t="array" ref="G162">IFERROR(_xlfn.XLOOKUP($B162,'Histórico'!$B:$B,'Histórico'!$F:$F),"")</f>
        <v>25/08/2025</v>
      </c>
      <c r="H162" s="19" t="str">
        <f t="array" ref="H162">IFERROR(_xlfn.XLOOKUP($B162,'Histórico'!$B:$B,'Histórico'!$AA:$AA),"")</f>
        <v>PAMALS</v>
      </c>
      <c r="I162" s="19" t="str">
        <f t="array" ref="I162">IFERROR(_xlfn.XLOOKUP($B162,Atual!$B:$B,Atual!$E:$E),"OS concluída")</f>
        <v>REC</v>
      </c>
      <c r="J162" s="19">
        <f t="shared" si="1"/>
        <v>416</v>
      </c>
      <c r="K162" s="19"/>
      <c r="L162" s="19" t="str">
        <f t="shared" si="2"/>
        <v>NÃO APLICÁVEL</v>
      </c>
      <c r="M162" s="19"/>
      <c r="N162" s="49" t="str">
        <f t="array" ref="N162">IFERROR(_xlfn.XLOOKUP($B162,EMPRESA_1!A:A,EMPRESA_1!J:J),"")</f>
        <v>CONDENADO</v>
      </c>
      <c r="O162" s="50" t="str">
        <f t="array" ref="O162">IFERROR(_xlfn.XLOOKUP(B162,EMPRESA_1!A:A,EMPRESA_1!K:K),"")
</f>
        <v>VEE ONE</v>
      </c>
      <c r="P162" s="48" t="str">
        <f t="array" ref="P162">IFERROR(_xlfn.XLOOKUP(B162,EMPRESA_1!A:A,EMPRESA_1!L:L),"")</f>
        <v/>
      </c>
      <c r="Q162" s="49" t="str">
        <f t="array" ref="Q162">IFERROR(_xlfn.XLOOKUP(B162,EMPRESA_1!A:A,EMPRESA_1!J:J),"")</f>
        <v>CONDENADO</v>
      </c>
      <c r="R162" s="19" t="str">
        <f t="array" ref="R162">IFERROR(_xlfn.XLOOKUP(B162,EMPRESA_1!A:A,EMPRESA_1!M:M),"")</f>
        <v/>
      </c>
      <c r="S162" s="51"/>
      <c r="T162" s="51" t="str">
        <f t="array" ref="T162">IFERROR(_xlfn.XLOOKUP($F162,'Acerto virtual'!$E:$E,'Acerto virtual'!F:F),"")</f>
        <v/>
      </c>
      <c r="U162" s="51" t="str">
        <f t="array" ref="U162">IFERROR(_xlfn.XLOOKUP($F162,'Acerto virtual'!$E:$E,'Acerto virtual'!G:G),"")</f>
        <v/>
      </c>
      <c r="V162" s="51" t="str">
        <f t="array" ref="V162">IFERROR(_xlfn.XLOOKUP($F162,'Acerto virtual'!$E:$E,'Acerto virtual'!H:H),"")</f>
        <v/>
      </c>
      <c r="W162" s="51" t="str">
        <f t="array" ref="W162">IFERROR(_xlfn.XLOOKUP($F162,'Acerto virtual'!$E:$E,'Acerto virtual'!I:I),"")</f>
        <v/>
      </c>
      <c r="X162" s="51" t="str">
        <f t="array" ref="X162">IFERROR(_xlfn.XLOOKUP($F162,'Acerto virtual'!$E:$E,'Acerto virtual'!J:J),"")</f>
        <v/>
      </c>
      <c r="Y162" s="51" t="str">
        <f t="array" ref="Y162">IFERROR(_xlfn.XLOOKUP($F162,'Acerto virtual'!$E:$E,'Acerto virtual'!K:K),"")</f>
        <v/>
      </c>
      <c r="Z162" s="51" t="str">
        <f t="array" ref="Z162">IFERROR(_xlfn.XLOOKUP($F162,'Acerto virtual'!$E:$E,'Acerto virtual'!L:L),"")</f>
        <v/>
      </c>
      <c r="AA162" s="51" t="str">
        <f t="array" ref="AA162">IFERROR(_xlfn.XLOOKUP($F162,'Acerto virtual'!$E:$E,'Acerto virtual'!M:M),"")</f>
        <v/>
      </c>
      <c r="AB162" s="51" t="str">
        <f t="array" ref="AB162">IFERROR(_xlfn.XLOOKUP($F162,'Acerto virtual'!$E:$E,'Acerto virtual'!N:N),"")</f>
        <v/>
      </c>
      <c r="AC162" s="51" t="str">
        <f t="array" ref="AC162">IFERROR(_xlfn.XLOOKUP($F162,'Acerto virtual'!$E:$E,'Acerto virtual'!O:O),"")</f>
        <v/>
      </c>
      <c r="AD162" s="51" t="str">
        <f t="array" ref="AD162">IFERROR(_xlfn.XLOOKUP($F162,'Acerto virtual'!$E:$E,'Acerto virtual'!P:P),"")</f>
        <v/>
      </c>
      <c r="AE162" s="51" t="str">
        <f t="array" ref="AE162">IFERROR(_xlfn.XLOOKUP($F162,'Acerto virtual'!$E:$E,'Acerto virtual'!Q:Q),"")</f>
        <v/>
      </c>
      <c r="AF162" s="51" t="str">
        <f t="array" ref="AF162">IFERROR(_xlfn.XLOOKUP($F162,'Acerto virtual'!$E:$E,'Acerto virtual'!R:R),"")</f>
        <v/>
      </c>
      <c r="AG162" s="51" t="str">
        <f t="array" ref="AG162">IFERROR(_xlfn.XLOOKUP($F162,'Acerto virtual'!$E:$E,'Acerto virtual'!S:S),"")</f>
        <v/>
      </c>
      <c r="AH162" s="51" t="str">
        <f t="array" ref="AH162">IFERROR(_xlfn.XLOOKUP($F162,'Acerto virtual'!$E:$E,'Acerto virtual'!T:T),"")</f>
        <v/>
      </c>
      <c r="AI162" s="51" t="str">
        <f t="array" ref="AI162">IFERROR(_xlfn.XLOOKUP($F162,'Acerto virtual'!$E:$E,'Acerto virtual'!U:U),"")</f>
        <v/>
      </c>
    </row>
    <row r="163">
      <c r="A163" s="47" t="s">
        <v>646</v>
      </c>
      <c r="B163" s="47" t="s">
        <v>647</v>
      </c>
      <c r="C163" s="48" t="str">
        <f t="array" ref="C163">IFERROR(_xlfn.XLOOKUP($B163,'Histórico'!$B:$B,'Histórico'!$I:$I),"")</f>
        <v>011-01105-01</v>
      </c>
      <c r="D163" s="19" t="str">
        <f t="array" ref="D163">IFERROR(_xlfn.XLOOKUP($B163,'Histórico'!$B:$B,'Histórico'!$J:$J),"")</f>
        <v>0TRC3</v>
      </c>
      <c r="E163" s="19" t="str">
        <f t="array" ref="E163">IFERROR(_xlfn.XLOOKUP($B163,'Histórico'!$B:$B,'Histórico'!$K:$K),"")</f>
        <v>INTEGRATED AVIONICS UNIT GIA63W</v>
      </c>
      <c r="F163" s="19" t="str">
        <f t="array" ref="F163">IFERROR(_xlfn.XLOOKUP($B163,'Histórico'!$B:$B,'Histórico'!$L:$L),"")</f>
        <v>15W008701</v>
      </c>
      <c r="G163" s="49" t="str">
        <f t="array" ref="G163">IFERROR(_xlfn.XLOOKUP($B163,'Histórico'!$B:$B,'Histórico'!$F:$F),"")</f>
        <v>29/08/2025</v>
      </c>
      <c r="H163" s="19" t="str">
        <f t="array" ref="H163">IFERROR(_xlfn.XLOOKUP($B163,'Histórico'!$B:$B,'Histórico'!$AA:$AA),"")</f>
        <v>BABE</v>
      </c>
      <c r="I163" s="19" t="str">
        <f t="array" ref="I163">IFERROR(_xlfn.XLOOKUP($B163,Atual!$B:$B,Atual!$E:$E),"OS concluída")</f>
        <v>REC</v>
      </c>
      <c r="J163" s="19">
        <f t="shared" si="1"/>
        <v>412</v>
      </c>
      <c r="K163" s="19"/>
      <c r="L163" s="19" t="str">
        <f t="shared" si="2"/>
        <v>NÃO APLICÁVEL</v>
      </c>
      <c r="M163" s="19"/>
      <c r="N163" s="49" t="str">
        <f t="array" ref="N163">IFERROR(_xlfn.XLOOKUP($B163,EMPRESA_1!A:A,EMPRESA_1!J:J),"")</f>
        <v>EM REPARO</v>
      </c>
      <c r="O163" s="50" t="str">
        <f t="array" ref="O163">IFERROR(_xlfn.XLOOKUP(B163,EMPRESA_1!A:A,EMPRESA_1!K:K),"")
</f>
        <v>VEE ONE</v>
      </c>
      <c r="P163" s="48" t="str">
        <f t="array" ref="P163">IFERROR(_xlfn.XLOOKUP(B163,EMPRESA_1!A:A,EMPRESA_1!L:L),"")</f>
        <v/>
      </c>
      <c r="Q163" s="49" t="str">
        <f t="array" ref="Q163">IFERROR(_xlfn.XLOOKUP(B163,EMPRESA_1!A:A,EMPRESA_1!J:J),"")</f>
        <v>EM REPARO</v>
      </c>
      <c r="R163" s="19" t="str">
        <f t="array" ref="R163">IFERROR(_xlfn.XLOOKUP(B163,EMPRESA_1!A:A,EMPRESA_1!M:M),"")</f>
        <v/>
      </c>
      <c r="S163" s="51"/>
      <c r="T163" s="51" t="str">
        <f t="array" ref="T163">IFERROR(_xlfn.XLOOKUP($F163,'Acerto virtual'!$E:$E,'Acerto virtual'!F:F),"")</f>
        <v/>
      </c>
      <c r="U163" s="51" t="str">
        <f t="array" ref="U163">IFERROR(_xlfn.XLOOKUP($F163,'Acerto virtual'!$E:$E,'Acerto virtual'!G:G),"")</f>
        <v/>
      </c>
      <c r="V163" s="51" t="str">
        <f t="array" ref="V163">IFERROR(_xlfn.XLOOKUP($F163,'Acerto virtual'!$E:$E,'Acerto virtual'!H:H),"")</f>
        <v/>
      </c>
      <c r="W163" s="51" t="str">
        <f t="array" ref="W163">IFERROR(_xlfn.XLOOKUP($F163,'Acerto virtual'!$E:$E,'Acerto virtual'!I:I),"")</f>
        <v/>
      </c>
      <c r="X163" s="51" t="str">
        <f t="array" ref="X163">IFERROR(_xlfn.XLOOKUP($F163,'Acerto virtual'!$E:$E,'Acerto virtual'!J:J),"")</f>
        <v/>
      </c>
      <c r="Y163" s="51" t="str">
        <f t="array" ref="Y163">IFERROR(_xlfn.XLOOKUP($F163,'Acerto virtual'!$E:$E,'Acerto virtual'!K:K),"")</f>
        <v/>
      </c>
      <c r="Z163" s="51" t="str">
        <f t="array" ref="Z163">IFERROR(_xlfn.XLOOKUP($F163,'Acerto virtual'!$E:$E,'Acerto virtual'!L:L),"")</f>
        <v/>
      </c>
      <c r="AA163" s="51" t="str">
        <f t="array" ref="AA163">IFERROR(_xlfn.XLOOKUP($F163,'Acerto virtual'!$E:$E,'Acerto virtual'!M:M),"")</f>
        <v/>
      </c>
      <c r="AB163" s="51" t="str">
        <f t="array" ref="AB163">IFERROR(_xlfn.XLOOKUP($F163,'Acerto virtual'!$E:$E,'Acerto virtual'!N:N),"")</f>
        <v/>
      </c>
      <c r="AC163" s="51" t="str">
        <f t="array" ref="AC163">IFERROR(_xlfn.XLOOKUP($F163,'Acerto virtual'!$E:$E,'Acerto virtual'!O:O),"")</f>
        <v/>
      </c>
      <c r="AD163" s="51" t="str">
        <f t="array" ref="AD163">IFERROR(_xlfn.XLOOKUP($F163,'Acerto virtual'!$E:$E,'Acerto virtual'!P:P),"")</f>
        <v/>
      </c>
      <c r="AE163" s="51" t="str">
        <f t="array" ref="AE163">IFERROR(_xlfn.XLOOKUP($F163,'Acerto virtual'!$E:$E,'Acerto virtual'!Q:Q),"")</f>
        <v/>
      </c>
      <c r="AF163" s="51" t="str">
        <f t="array" ref="AF163">IFERROR(_xlfn.XLOOKUP($F163,'Acerto virtual'!$E:$E,'Acerto virtual'!R:R),"")</f>
        <v/>
      </c>
      <c r="AG163" s="51" t="str">
        <f t="array" ref="AG163">IFERROR(_xlfn.XLOOKUP($F163,'Acerto virtual'!$E:$E,'Acerto virtual'!S:S),"")</f>
        <v/>
      </c>
      <c r="AH163" s="51" t="str">
        <f t="array" ref="AH163">IFERROR(_xlfn.XLOOKUP($F163,'Acerto virtual'!$E:$E,'Acerto virtual'!T:T),"")</f>
        <v/>
      </c>
      <c r="AI163" s="51" t="str">
        <f t="array" ref="AI163">IFERROR(_xlfn.XLOOKUP($F163,'Acerto virtual'!$E:$E,'Acerto virtual'!U:U),"")</f>
        <v/>
      </c>
    </row>
    <row r="164">
      <c r="A164" s="47" t="s">
        <v>648</v>
      </c>
      <c r="B164" s="47" t="s">
        <v>649</v>
      </c>
      <c r="C164" s="48" t="str">
        <f t="array" ref="C164">IFERROR(_xlfn.XLOOKUP($B164,'Histórico'!$B:$B,'Histórico'!$I:$I),"")</f>
        <v>011-01105-01</v>
      </c>
      <c r="D164" s="19" t="str">
        <f t="array" ref="D164">IFERROR(_xlfn.XLOOKUP($B164,'Histórico'!$B:$B,'Histórico'!$J:$J),"")</f>
        <v>0TRC3</v>
      </c>
      <c r="E164" s="19" t="str">
        <f t="array" ref="E164">IFERROR(_xlfn.XLOOKUP($B164,'Histórico'!$B:$B,'Histórico'!$K:$K),"")</f>
        <v>INTEGRATED AVIONICS UNIT GIA63W</v>
      </c>
      <c r="F164" s="19" t="str">
        <f t="array" ref="F164">IFERROR(_xlfn.XLOOKUP($B164,'Histórico'!$B:$B,'Histórico'!$L:$L),"")</f>
        <v>15W006615</v>
      </c>
      <c r="G164" s="49" t="str">
        <f t="array" ref="G164">IFERROR(_xlfn.XLOOKUP($B164,'Histórico'!$B:$B,'Histórico'!$F:$F),"")</f>
        <v>29/08/2025</v>
      </c>
      <c r="H164" s="19" t="str">
        <f t="array" ref="H164">IFERROR(_xlfn.XLOOKUP($B164,'Histórico'!$B:$B,'Histórico'!$AA:$AA),"")</f>
        <v>BABE</v>
      </c>
      <c r="I164" s="19" t="str">
        <f t="array" ref="I164">IFERROR(_xlfn.XLOOKUP($B164,Atual!$B:$B,Atual!$E:$E),"OS concluída")</f>
        <v>REC</v>
      </c>
      <c r="J164" s="19">
        <f t="shared" si="1"/>
        <v>412</v>
      </c>
      <c r="K164" s="19"/>
      <c r="L164" s="19">
        <f t="shared" si="2"/>
        <v>55</v>
      </c>
      <c r="M164" s="19"/>
      <c r="N164" s="49">
        <f t="array" ref="N164">IFERROR(_xlfn.XLOOKUP($B164,EMPRESA_1!A:A,EMPRESA_1!J:J),"")</f>
        <v>45953</v>
      </c>
      <c r="O164" s="50" t="str">
        <f t="array" ref="O164">IFERROR(_xlfn.XLOOKUP(B164,EMPRESA_1!A:A,EMPRESA_1!K:K),"")
</f>
        <v>BAMN</v>
      </c>
      <c r="P164" s="19" t="str">
        <f t="array" ref="P164">IFERROR(_xlfn.XLOOKUP(B164,EMPRESA_1!A:A,EMPRESA_1!L:L),"")</f>
        <v>182/FAB/25</v>
      </c>
      <c r="Q164" s="49">
        <f t="array" ref="Q164">IFERROR(_xlfn.XLOOKUP(B164,EMPRESA_1!A:A,EMPRESA_1!J:J),"")</f>
        <v>45953</v>
      </c>
      <c r="R164" s="19" t="str">
        <f t="array" ref="R164">IFERROR(_xlfn.XLOOKUP(B164,EMPRESA_1!A:A,EMPRESA_1!M:M),"")</f>
        <v>15W005529</v>
      </c>
      <c r="S164" s="51"/>
      <c r="T164" s="51" t="str">
        <f t="array" ref="T164">IFERROR(_xlfn.XLOOKUP($F164,'Acerto virtual'!$E:$E,'Acerto virtual'!F:F),"")</f>
        <v/>
      </c>
      <c r="U164" s="51" t="str">
        <f t="array" ref="U164">IFERROR(_xlfn.XLOOKUP($F164,'Acerto virtual'!$E:$E,'Acerto virtual'!G:G),"")</f>
        <v/>
      </c>
      <c r="V164" s="51" t="str">
        <f t="array" ref="V164">IFERROR(_xlfn.XLOOKUP($F164,'Acerto virtual'!$E:$E,'Acerto virtual'!H:H),"")</f>
        <v/>
      </c>
      <c r="W164" s="51" t="str">
        <f t="array" ref="W164">IFERROR(_xlfn.XLOOKUP($F164,'Acerto virtual'!$E:$E,'Acerto virtual'!I:I),"")</f>
        <v/>
      </c>
      <c r="X164" s="51" t="str">
        <f t="array" ref="X164">IFERROR(_xlfn.XLOOKUP($F164,'Acerto virtual'!$E:$E,'Acerto virtual'!J:J),"")</f>
        <v/>
      </c>
      <c r="Y164" s="51" t="str">
        <f t="array" ref="Y164">IFERROR(_xlfn.XLOOKUP($F164,'Acerto virtual'!$E:$E,'Acerto virtual'!K:K),"")</f>
        <v/>
      </c>
      <c r="Z164" s="51" t="str">
        <f t="array" ref="Z164">IFERROR(_xlfn.XLOOKUP($F164,'Acerto virtual'!$E:$E,'Acerto virtual'!L:L),"")</f>
        <v/>
      </c>
      <c r="AA164" s="51" t="str">
        <f t="array" ref="AA164">IFERROR(_xlfn.XLOOKUP($F164,'Acerto virtual'!$E:$E,'Acerto virtual'!M:M),"")</f>
        <v/>
      </c>
      <c r="AB164" s="51" t="str">
        <f t="array" ref="AB164">IFERROR(_xlfn.XLOOKUP($F164,'Acerto virtual'!$E:$E,'Acerto virtual'!N:N),"")</f>
        <v/>
      </c>
      <c r="AC164" s="51" t="str">
        <f t="array" ref="AC164">IFERROR(_xlfn.XLOOKUP($F164,'Acerto virtual'!$E:$E,'Acerto virtual'!O:O),"")</f>
        <v/>
      </c>
      <c r="AD164" s="51" t="str">
        <f t="array" ref="AD164">IFERROR(_xlfn.XLOOKUP($F164,'Acerto virtual'!$E:$E,'Acerto virtual'!P:P),"")</f>
        <v/>
      </c>
      <c r="AE164" s="51" t="str">
        <f t="array" ref="AE164">IFERROR(_xlfn.XLOOKUP($F164,'Acerto virtual'!$E:$E,'Acerto virtual'!Q:Q),"")</f>
        <v/>
      </c>
      <c r="AF164" s="51" t="str">
        <f t="array" ref="AF164">IFERROR(_xlfn.XLOOKUP($F164,'Acerto virtual'!$E:$E,'Acerto virtual'!R:R),"")</f>
        <v/>
      </c>
      <c r="AG164" s="51" t="str">
        <f t="array" ref="AG164">IFERROR(_xlfn.XLOOKUP($F164,'Acerto virtual'!$E:$E,'Acerto virtual'!S:S),"")</f>
        <v/>
      </c>
      <c r="AH164" s="51" t="str">
        <f t="array" ref="AH164">IFERROR(_xlfn.XLOOKUP($F164,'Acerto virtual'!$E:$E,'Acerto virtual'!T:T),"")</f>
        <v/>
      </c>
      <c r="AI164" s="51" t="str">
        <f t="array" ref="AI164">IFERROR(_xlfn.XLOOKUP($F164,'Acerto virtual'!$E:$E,'Acerto virtual'!U:U),"")</f>
        <v/>
      </c>
    </row>
    <row r="165" hidden="1">
      <c r="A165" s="47" t="s">
        <v>650</v>
      </c>
      <c r="B165" s="47" t="s">
        <v>651</v>
      </c>
      <c r="C165" s="48" t="str">
        <f t="array" ref="C165">IFERROR(_xlfn.XLOOKUP($B165,'Histórico'!$B:$B,'Histórico'!$I:$I),"")</f>
        <v>065-00183-0501</v>
      </c>
      <c r="D165" s="19" t="str">
        <f t="array" ref="D165">IFERROR(_xlfn.XLOOKUP($B165,'Histórico'!$B:$B,'Histórico'!$J:$J),"")</f>
        <v>22373</v>
      </c>
      <c r="E165" s="19" t="str">
        <f t="array" ref="E165">IFERROR(_xlfn.XLOOKUP($B165,'Histórico'!$B:$B,'Histórico'!$K:$K),"")</f>
        <v>AUTOPILOT COMPUTER KFC225</v>
      </c>
      <c r="F165" s="52" t="str">
        <f t="array" ref="F165">IFERROR(_xlfn.XLOOKUP($B165,'Histórico'!$B:$B,'Histórico'!$L:$L),"")</f>
        <v>2953</v>
      </c>
      <c r="G165" s="49" t="str">
        <f t="array" ref="G165">IFERROR(_xlfn.XLOOKUP($B165,'Histórico'!$B:$B,'Histórico'!$F:$F),"")</f>
        <v>29/08/2025</v>
      </c>
      <c r="H165" s="19" t="str">
        <f t="array" ref="H165">IFERROR(_xlfn.XLOOKUP($B165,'Histórico'!$B:$B,'Histórico'!$AA:$AA),"")</f>
        <v>BABE</v>
      </c>
      <c r="I165" s="19" t="str">
        <f t="array" ref="I165">IFERROR(_xlfn.XLOOKUP($B165,Atual!$B:$B,Atual!$E:$E),"OS concluída")</f>
        <v>OS concluída</v>
      </c>
      <c r="J165" s="19" t="str">
        <f t="shared" si="1"/>
        <v/>
      </c>
      <c r="K165" s="19"/>
      <c r="L165" s="19">
        <f t="shared" si="2"/>
        <v>42</v>
      </c>
      <c r="M165" s="19"/>
      <c r="N165" s="49">
        <f t="array" ref="N165">IFERROR(_xlfn.XLOOKUP($B165,EMPRESA_1!A:A,EMPRESA_1!J:J),"")</f>
        <v>45940</v>
      </c>
      <c r="O165" s="50" t="str">
        <f t="array" ref="O165">IFERROR(_xlfn.XLOOKUP(B165,EMPRESA_1!A:A,EMPRESA_1!K:K),"")
</f>
        <v>BANT</v>
      </c>
      <c r="P165" s="19" t="str">
        <f t="array" ref="P165">IFERROR(_xlfn.XLOOKUP(B165,EMPRESA_1!A:A,EMPRESA_1!L:L),"")</f>
        <v>140/FAB/25</v>
      </c>
      <c r="Q165" s="49">
        <f t="array" ref="Q165">IFERROR(_xlfn.XLOOKUP(B165,EMPRESA_1!A:A,EMPRESA_1!J:J),"")</f>
        <v>45940</v>
      </c>
      <c r="R165" s="19" t="str">
        <f t="array" ref="R165">IFERROR(_xlfn.XLOOKUP(B165,EMPRESA_1!A:A,EMPRESA_1!M:M),"")</f>
        <v/>
      </c>
      <c r="S165" s="51"/>
      <c r="T165" s="51" t="str">
        <f t="array" ref="T165">IFERROR(_xlfn.XLOOKUP($F165,'Acerto virtual'!$E:$E,'Acerto virtual'!F:F),"")</f>
        <v>038/2025</v>
      </c>
      <c r="U165" s="51" t="str">
        <f t="array" ref="U165">IFERROR(_xlfn.XLOOKUP($F165,'Acerto virtual'!$E:$E,'Acerto virtual'!G:G),"")</f>
        <v>14/10/25</v>
      </c>
      <c r="V165" s="51" t="str">
        <f t="array" ref="V165">IFERROR(_xlfn.XLOOKUP($F165,'Acerto virtual'!$E:$E,'Acerto virtual'!H:H),"")</f>
        <v>17/09</v>
      </c>
      <c r="W165" s="51" t="str">
        <f t="array" ref="W165">IFERROR(_xlfn.XLOOKUP($F165,'Acerto virtual'!$E:$E,'Acerto virtual'!I:I),"")</f>
        <v/>
      </c>
      <c r="X165" s="51" t="str">
        <f t="array" ref="X165">IFERROR(_xlfn.XLOOKUP($F165,'Acerto virtual'!$E:$E,'Acerto virtual'!J:J),"")</f>
        <v>28/09</v>
      </c>
      <c r="Y165" s="51" t="str">
        <f t="array" ref="Y165">IFERROR(_xlfn.XLOOKUP($F165,'Acerto virtual'!$E:$E,'Acerto virtual'!K:K),"")</f>
        <v>28/09</v>
      </c>
      <c r="Z165" s="51" t="str">
        <f t="array" ref="Z165">IFERROR(_xlfn.XLOOKUP($F165,'Acerto virtual'!$E:$E,'Acerto virtual'!L:L),"")</f>
        <v>28/09</v>
      </c>
      <c r="AA165" s="51" t="str">
        <f t="array" ref="AA165">IFERROR(_xlfn.XLOOKUP($F165,'Acerto virtual'!$E:$E,'Acerto virtual'!M:M),"")</f>
        <v>28/09</v>
      </c>
      <c r="AB165" s="51" t="str">
        <f t="array" ref="AB165">IFERROR(_xlfn.XLOOKUP($F165,'Acerto virtual'!$E:$E,'Acerto virtual'!N:N),"")</f>
        <v>28/09</v>
      </c>
      <c r="AC165" s="51" t="str">
        <f t="array" ref="AC165">IFERROR(_xlfn.XLOOKUP($F165,'Acerto virtual'!$E:$E,'Acerto virtual'!O:O),"")</f>
        <v>28/09</v>
      </c>
      <c r="AD165" s="51" t="str">
        <f t="array" ref="AD165">IFERROR(_xlfn.XLOOKUP($F165,'Acerto virtual'!$E:$E,'Acerto virtual'!P:P),"")</f>
        <v>28/09</v>
      </c>
      <c r="AE165" s="51" t="str">
        <f t="array" ref="AE165">IFERROR(_xlfn.XLOOKUP($F165,'Acerto virtual'!$E:$E,'Acerto virtual'!Q:Q),"")</f>
        <v>28/09</v>
      </c>
      <c r="AF165" s="51" t="str">
        <f t="array" ref="AF165">IFERROR(_xlfn.XLOOKUP($F165,'Acerto virtual'!$E:$E,'Acerto virtual'!R:R),"")</f>
        <v>28/09</v>
      </c>
      <c r="AG165" s="51" t="str">
        <f t="array" ref="AG165">IFERROR(_xlfn.XLOOKUP($F165,'Acerto virtual'!$E:$E,'Acerto virtual'!S:S),"")</f>
        <v>28/09</v>
      </c>
      <c r="AH165" s="51" t="str">
        <f t="array" ref="AH165">IFERROR(_xlfn.XLOOKUP($F165,'Acerto virtual'!$E:$E,'Acerto virtual'!T:T),"")</f>
        <v/>
      </c>
      <c r="AI165" s="51" t="str">
        <f t="array" ref="AI165">IFERROR(_xlfn.XLOOKUP($F165,'Acerto virtual'!$E:$E,'Acerto virtual'!U:U),"")</f>
        <v>RECEBIMENTO PENDENTE - ENTRADA EM ABERTO - GODOY 05/10/2026</v>
      </c>
    </row>
    <row r="166" hidden="1">
      <c r="A166" s="47" t="s">
        <v>652</v>
      </c>
      <c r="B166" s="47" t="s">
        <v>653</v>
      </c>
      <c r="C166" s="48" t="str">
        <f t="array" ref="C166">IFERROR(_xlfn.XLOOKUP($B166,'Histórico'!$B:$B,'Histórico'!$I:$I),"")</f>
        <v>065-00183-0501</v>
      </c>
      <c r="D166" s="19" t="str">
        <f t="array" ref="D166">IFERROR(_xlfn.XLOOKUP($B166,'Histórico'!$B:$B,'Histórico'!$J:$J),"")</f>
        <v>22373</v>
      </c>
      <c r="E166" s="19" t="str">
        <f t="array" ref="E166">IFERROR(_xlfn.XLOOKUP($B166,'Histórico'!$B:$B,'Histórico'!$K:$K),"")</f>
        <v>AUTOPILOT COMPUTER KFC225</v>
      </c>
      <c r="F166" s="52" t="str">
        <f t="array" ref="F166">IFERROR(_xlfn.XLOOKUP($B166,'Histórico'!$B:$B,'Histórico'!$L:$L),"")</f>
        <v>2982</v>
      </c>
      <c r="G166" s="49" t="str">
        <f t="array" ref="G166">IFERROR(_xlfn.XLOOKUP($B166,'Histórico'!$B:$B,'Histórico'!$F:$F),"")</f>
        <v>29/08/2025</v>
      </c>
      <c r="H166" s="19" t="str">
        <f t="array" ref="H166">IFERROR(_xlfn.XLOOKUP($B166,'Histórico'!$B:$B,'Histórico'!$AA:$AA),"")</f>
        <v>BABE</v>
      </c>
      <c r="I166" s="19" t="str">
        <f t="array" ref="I166">IFERROR(_xlfn.XLOOKUP($B166,Atual!$B:$B,Atual!$E:$E),"OS concluída")</f>
        <v>OS concluída</v>
      </c>
      <c r="J166" s="19" t="str">
        <f t="shared" si="1"/>
        <v/>
      </c>
      <c r="K166" s="19"/>
      <c r="L166" s="19">
        <f t="shared" si="2"/>
        <v>42</v>
      </c>
      <c r="M166" s="19"/>
      <c r="N166" s="49">
        <f t="array" ref="N166">IFERROR(_xlfn.XLOOKUP($B166,EMPRESA_1!A:A,EMPRESA_1!J:J),"")</f>
        <v>45940</v>
      </c>
      <c r="O166" s="50" t="str">
        <f t="array" ref="O166">IFERROR(_xlfn.XLOOKUP(B166,EMPRESA_1!A:A,EMPRESA_1!K:K),"")
</f>
        <v>BANT</v>
      </c>
      <c r="P166" s="19" t="str">
        <f t="array" ref="P166">IFERROR(_xlfn.XLOOKUP(B166,EMPRESA_1!A:A,EMPRESA_1!L:L),"")</f>
        <v>140/FAB/25</v>
      </c>
      <c r="Q166" s="49">
        <f t="array" ref="Q166">IFERROR(_xlfn.XLOOKUP(B166,EMPRESA_1!A:A,EMPRESA_1!J:J),"")</f>
        <v>45940</v>
      </c>
      <c r="R166" s="19" t="str">
        <f t="array" ref="R166">IFERROR(_xlfn.XLOOKUP(B166,EMPRESA_1!A:A,EMPRESA_1!M:M),"")</f>
        <v/>
      </c>
      <c r="S166" s="51"/>
      <c r="T166" s="51" t="str">
        <f t="array" ref="T166">IFERROR(_xlfn.XLOOKUP($F166,'Acerto virtual'!$E:$E,'Acerto virtual'!F:F),"")</f>
        <v>038/2025</v>
      </c>
      <c r="U166" s="51" t="str">
        <f t="array" ref="U166">IFERROR(_xlfn.XLOOKUP($F166,'Acerto virtual'!$E:$E,'Acerto virtual'!G:G),"")</f>
        <v>14/10/25</v>
      </c>
      <c r="V166" s="51" t="str">
        <f t="array" ref="V166">IFERROR(_xlfn.XLOOKUP($F166,'Acerto virtual'!$E:$E,'Acerto virtual'!H:H),"")</f>
        <v>17/09</v>
      </c>
      <c r="W166" s="51" t="str">
        <f t="array" ref="W166">IFERROR(_xlfn.XLOOKUP($F166,'Acerto virtual'!$E:$E,'Acerto virtual'!I:I),"")</f>
        <v/>
      </c>
      <c r="X166" s="51" t="str">
        <f t="array" ref="X166">IFERROR(_xlfn.XLOOKUP($F166,'Acerto virtual'!$E:$E,'Acerto virtual'!J:J),"")</f>
        <v>28/09</v>
      </c>
      <c r="Y166" s="51" t="str">
        <f t="array" ref="Y166">IFERROR(_xlfn.XLOOKUP($F166,'Acerto virtual'!$E:$E,'Acerto virtual'!K:K),"")</f>
        <v>28/09</v>
      </c>
      <c r="Z166" s="51" t="str">
        <f t="array" ref="Z166">IFERROR(_xlfn.XLOOKUP($F166,'Acerto virtual'!$E:$E,'Acerto virtual'!L:L),"")</f>
        <v>28/09</v>
      </c>
      <c r="AA166" s="51" t="str">
        <f t="array" ref="AA166">IFERROR(_xlfn.XLOOKUP($F166,'Acerto virtual'!$E:$E,'Acerto virtual'!M:M),"")</f>
        <v>28/09</v>
      </c>
      <c r="AB166" s="51" t="str">
        <f t="array" ref="AB166">IFERROR(_xlfn.XLOOKUP($F166,'Acerto virtual'!$E:$E,'Acerto virtual'!N:N),"")</f>
        <v>28/09</v>
      </c>
      <c r="AC166" s="51" t="str">
        <f t="array" ref="AC166">IFERROR(_xlfn.XLOOKUP($F166,'Acerto virtual'!$E:$E,'Acerto virtual'!O:O),"")</f>
        <v>28/09</v>
      </c>
      <c r="AD166" s="51" t="str">
        <f t="array" ref="AD166">IFERROR(_xlfn.XLOOKUP($F166,'Acerto virtual'!$E:$E,'Acerto virtual'!P:P),"")</f>
        <v>28/09</v>
      </c>
      <c r="AE166" s="51" t="str">
        <f t="array" ref="AE166">IFERROR(_xlfn.XLOOKUP($F166,'Acerto virtual'!$E:$E,'Acerto virtual'!Q:Q),"")</f>
        <v>28/09</v>
      </c>
      <c r="AF166" s="51" t="str">
        <f t="array" ref="AF166">IFERROR(_xlfn.XLOOKUP($F166,'Acerto virtual'!$E:$E,'Acerto virtual'!R:R),"")</f>
        <v>28/09</v>
      </c>
      <c r="AG166" s="51" t="str">
        <f t="array" ref="AG166">IFERROR(_xlfn.XLOOKUP($F166,'Acerto virtual'!$E:$E,'Acerto virtual'!S:S),"")</f>
        <v>28/09</v>
      </c>
      <c r="AH166" s="51" t="str">
        <f t="array" ref="AH166">IFERROR(_xlfn.XLOOKUP($F166,'Acerto virtual'!$E:$E,'Acerto virtual'!T:T),"")</f>
        <v/>
      </c>
      <c r="AI166" s="51" t="str">
        <f t="array" ref="AI166">IFERROR(_xlfn.XLOOKUP($F166,'Acerto virtual'!$E:$E,'Acerto virtual'!U:U),"")</f>
        <v>RECEBIMENTO PENDENTE - ENTRADA EM ABERTO - GODOY 05/10/2026</v>
      </c>
    </row>
    <row r="167">
      <c r="A167" s="47" t="s">
        <v>654</v>
      </c>
      <c r="B167" s="47" t="s">
        <v>655</v>
      </c>
      <c r="C167" s="48" t="str">
        <f t="array" ref="C167">IFERROR(_xlfn.XLOOKUP($B167,'Histórico'!$B:$B,'Histórico'!$I:$I),"")</f>
        <v>161-12800</v>
      </c>
      <c r="D167" s="19" t="str">
        <f t="array" ref="D167">IFERROR(_xlfn.XLOOKUP($B167,'Histórico'!$B:$B,'Histórico'!$J:$J),"")</f>
        <v>71513</v>
      </c>
      <c r="E167" s="19" t="str">
        <f t="array" ref="E167">IFERROR(_xlfn.XLOOKUP($B167,'Histórico'!$B:$B,'Histórico'!$K:$K),"")</f>
        <v>WHEEL HALF ASSY-INNER</v>
      </c>
      <c r="F167" s="19" t="str">
        <f t="array" ref="F167">IFERROR(_xlfn.XLOOKUP($B167,'Histórico'!$B:$B,'Histórico'!$L:$L),"")</f>
        <v>37F</v>
      </c>
      <c r="G167" s="49" t="str">
        <f t="array" ref="G167">IFERROR(_xlfn.XLOOKUP($B167,'Histórico'!$B:$B,'Histórico'!$F:$F),"")</f>
        <v>10/09/2025</v>
      </c>
      <c r="H167" s="19" t="str">
        <f t="array" ref="H167">IFERROR(_xlfn.XLOOKUP($B167,'Histórico'!$B:$B,'Histórico'!$AA:$AA),"")</f>
        <v>ALA 3</v>
      </c>
      <c r="I167" s="19" t="str">
        <f t="array" ref="I167">IFERROR(_xlfn.XLOOKUP($B167,Atual!$B:$B,Atual!$E:$E),"OS concluída")</f>
        <v>REC</v>
      </c>
      <c r="J167" s="19">
        <f t="shared" si="1"/>
        <v>400</v>
      </c>
      <c r="K167" s="19"/>
      <c r="L167" s="19" t="str">
        <f t="shared" si="2"/>
        <v/>
      </c>
      <c r="M167" s="19"/>
      <c r="N167" s="49" t="str">
        <f t="array" ref="N167">IFERROR(_xlfn.XLOOKUP($B167,EMPRESA_1!A:A,EMPRESA_1!J:J),"")</f>
        <v/>
      </c>
      <c r="O167" s="50" t="str">
        <f t="array" ref="O167">IFERROR(_xlfn.XLOOKUP(B167,EMPRESA_1!A:A,EMPRESA_1!K:K),"")
</f>
        <v/>
      </c>
      <c r="P167" s="19" t="str">
        <f t="array" ref="P167">IFERROR(_xlfn.XLOOKUP(B167,EMPRESA_1!A:A,EMPRESA_1!L:L),"")</f>
        <v/>
      </c>
      <c r="Q167" s="49" t="str">
        <f t="array" ref="Q167">IFERROR(_xlfn.XLOOKUP(B167,EMPRESA_1!A:A,EMPRESA_1!J:J),"")</f>
        <v/>
      </c>
      <c r="R167" s="19" t="str">
        <f t="array" ref="R167">IFERROR(_xlfn.XLOOKUP(B167,EMPRESA_1!A:A,EMPRESA_1!M:M),"")</f>
        <v>NÃO TEVE MOVIMENTAÇÃO</v>
      </c>
      <c r="S167" s="51"/>
      <c r="T167" s="51" t="str">
        <f t="array" ref="T167">IFERROR(_xlfn.XLOOKUP($F167,'Acerto virtual'!$E:$E,'Acerto virtual'!F:F),"")</f>
        <v/>
      </c>
      <c r="U167" s="51" t="str">
        <f t="array" ref="U167">IFERROR(_xlfn.XLOOKUP($F167,'Acerto virtual'!$E:$E,'Acerto virtual'!G:G),"")</f>
        <v/>
      </c>
      <c r="V167" s="51" t="str">
        <f t="array" ref="V167">IFERROR(_xlfn.XLOOKUP($F167,'Acerto virtual'!$E:$E,'Acerto virtual'!H:H),"")</f>
        <v/>
      </c>
      <c r="W167" s="51" t="str">
        <f t="array" ref="W167">IFERROR(_xlfn.XLOOKUP($F167,'Acerto virtual'!$E:$E,'Acerto virtual'!I:I),"")</f>
        <v/>
      </c>
      <c r="X167" s="51" t="str">
        <f t="array" ref="X167">IFERROR(_xlfn.XLOOKUP($F167,'Acerto virtual'!$E:$E,'Acerto virtual'!J:J),"")</f>
        <v/>
      </c>
      <c r="Y167" s="51" t="str">
        <f t="array" ref="Y167">IFERROR(_xlfn.XLOOKUP($F167,'Acerto virtual'!$E:$E,'Acerto virtual'!K:K),"")</f>
        <v/>
      </c>
      <c r="Z167" s="51" t="str">
        <f t="array" ref="Z167">IFERROR(_xlfn.XLOOKUP($F167,'Acerto virtual'!$E:$E,'Acerto virtual'!L:L),"")</f>
        <v/>
      </c>
      <c r="AA167" s="51" t="str">
        <f t="array" ref="AA167">IFERROR(_xlfn.XLOOKUP($F167,'Acerto virtual'!$E:$E,'Acerto virtual'!M:M),"")</f>
        <v/>
      </c>
      <c r="AB167" s="51" t="str">
        <f t="array" ref="AB167">IFERROR(_xlfn.XLOOKUP($F167,'Acerto virtual'!$E:$E,'Acerto virtual'!N:N),"")</f>
        <v/>
      </c>
      <c r="AC167" s="51" t="str">
        <f t="array" ref="AC167">IFERROR(_xlfn.XLOOKUP($F167,'Acerto virtual'!$E:$E,'Acerto virtual'!O:O),"")</f>
        <v/>
      </c>
      <c r="AD167" s="51" t="str">
        <f t="array" ref="AD167">IFERROR(_xlfn.XLOOKUP($F167,'Acerto virtual'!$E:$E,'Acerto virtual'!P:P),"")</f>
        <v/>
      </c>
      <c r="AE167" s="51" t="str">
        <f t="array" ref="AE167">IFERROR(_xlfn.XLOOKUP($F167,'Acerto virtual'!$E:$E,'Acerto virtual'!Q:Q),"")</f>
        <v/>
      </c>
      <c r="AF167" s="51" t="str">
        <f t="array" ref="AF167">IFERROR(_xlfn.XLOOKUP($F167,'Acerto virtual'!$E:$E,'Acerto virtual'!R:R),"")</f>
        <v/>
      </c>
      <c r="AG167" s="51" t="str">
        <f t="array" ref="AG167">IFERROR(_xlfn.XLOOKUP($F167,'Acerto virtual'!$E:$E,'Acerto virtual'!S:S),"")</f>
        <v/>
      </c>
      <c r="AH167" s="51" t="str">
        <f t="array" ref="AH167">IFERROR(_xlfn.XLOOKUP($F167,'Acerto virtual'!$E:$E,'Acerto virtual'!T:T),"")</f>
        <v/>
      </c>
      <c r="AI167" s="51" t="str">
        <f t="array" ref="AI167">IFERROR(_xlfn.XLOOKUP($F167,'Acerto virtual'!$E:$E,'Acerto virtual'!U:U),"")</f>
        <v/>
      </c>
    </row>
    <row r="168" hidden="1">
      <c r="A168" s="47" t="s">
        <v>656</v>
      </c>
      <c r="B168" s="47" t="s">
        <v>657</v>
      </c>
      <c r="C168" s="48" t="str">
        <f t="array" ref="C168">IFERROR(_xlfn.XLOOKUP($B168,'Histórico'!$B:$B,'Histórico'!$I:$I),"")</f>
        <v>C163030-1001</v>
      </c>
      <c r="D168" s="19" t="str">
        <f t="array" ref="D168">IFERROR(_xlfn.XLOOKUP($B168,'Histórico'!$B:$B,'Histórico'!$J:$J),"")</f>
        <v>7EK50</v>
      </c>
      <c r="E168" s="19" t="str">
        <f t="array" ref="E168">IFERROR(_xlfn.XLOOKUP($B168,'Histórico'!$B:$B,'Histórico'!$K:$K),"")</f>
        <v>MAIN W BRAKE A</v>
      </c>
      <c r="F168" s="19" t="str">
        <f t="array" ref="F168">IFERROR(_xlfn.XLOOKUP($B168,'Histórico'!$B:$B,'Histórico'!$L:$L),"")</f>
        <v>02LS</v>
      </c>
      <c r="G168" s="49" t="str">
        <f t="array" ref="G168">IFERROR(_xlfn.XLOOKUP($B168,'Histórico'!$B:$B,'Histórico'!$F:$F),"")</f>
        <v>17/09/2025</v>
      </c>
      <c r="H168" s="19" t="str">
        <f t="array" ref="H168">IFERROR(_xlfn.XLOOKUP($B168,'Histórico'!$B:$B,'Histórico'!$AA:$AA),"")</f>
        <v>BAMN</v>
      </c>
      <c r="I168" s="19" t="str">
        <f t="array" ref="I168">IFERROR(_xlfn.XLOOKUP($B168,Atual!$B:$B,Atual!$E:$E),"OS concluída")</f>
        <v>OS concluída</v>
      </c>
      <c r="J168" s="19" t="str">
        <f t="shared" si="1"/>
        <v/>
      </c>
      <c r="K168" s="19"/>
      <c r="L168" s="19">
        <f t="shared" si="2"/>
        <v>287</v>
      </c>
      <c r="M168" s="19"/>
      <c r="N168" s="49">
        <f t="array" ref="N168">IFERROR(_xlfn.XLOOKUP($B168,EMPRESA_1!A:A,EMPRESA_1!J:J),"")</f>
        <v>46204</v>
      </c>
      <c r="O168" s="50" t="str">
        <f t="array" ref="O168">IFERROR(_xlfn.XLOOKUP(B168,EMPRESA_1!A:A,EMPRESA_1!K:K),"")
</f>
        <v>BAMN</v>
      </c>
      <c r="P168" s="48" t="str">
        <f t="array" ref="P168">IFERROR(_xlfn.XLOOKUP(B168,EMPRESA_1!A:A,EMPRESA_1!L:L),"")</f>
        <v>529/fab/26</v>
      </c>
      <c r="Q168" s="49">
        <f t="array" ref="Q168">IFERROR(_xlfn.XLOOKUP(B168,EMPRESA_1!A:A,EMPRESA_1!J:J),"")</f>
        <v>46204</v>
      </c>
      <c r="R168" s="19" t="str">
        <f t="array" ref="R168">IFERROR(_xlfn.XLOOKUP(B168,EMPRESA_1!A:A,EMPRESA_1!M:M),"")</f>
        <v/>
      </c>
      <c r="S168" s="51"/>
      <c r="T168" s="51" t="str">
        <f t="array" ref="T168">IFERROR(_xlfn.XLOOKUP($F168,'Acerto virtual'!$E:$E,'Acerto virtual'!F:F),"")</f>
        <v>080/2026</v>
      </c>
      <c r="U168" s="51" t="str">
        <f t="array" ref="U168">IFERROR(_xlfn.XLOOKUP($F168,'Acerto virtual'!$E:$E,'Acerto virtual'!G:G),"")</f>
        <v>07/07</v>
      </c>
      <c r="V168" s="51" t="str">
        <f t="array" ref="V168">IFERROR(_xlfn.XLOOKUP($F168,'Acerto virtual'!$E:$E,'Acerto virtual'!H:H),"")</f>
        <v>14/07</v>
      </c>
      <c r="W168" s="51" t="str">
        <f t="array" ref="W168">IFERROR(_xlfn.XLOOKUP($F168,'Acerto virtual'!$E:$E,'Acerto virtual'!I:I),"")</f>
        <v/>
      </c>
      <c r="X168" s="51" t="str">
        <f t="array" ref="X168">IFERROR(_xlfn.XLOOKUP($F168,'Acerto virtual'!$E:$E,'Acerto virtual'!J:J),"")</f>
        <v>15/07</v>
      </c>
      <c r="Y168" s="51" t="str">
        <f t="array" ref="Y168">IFERROR(_xlfn.XLOOKUP($F168,'Acerto virtual'!$E:$E,'Acerto virtual'!K:K),"")</f>
        <v>15/07</v>
      </c>
      <c r="Z168" s="51" t="str">
        <f t="array" ref="Z168">IFERROR(_xlfn.XLOOKUP($F168,'Acerto virtual'!$E:$E,'Acerto virtual'!L:L),"")</f>
        <v>15/07</v>
      </c>
      <c r="AA168" s="51" t="str">
        <f t="array" ref="AA168">IFERROR(_xlfn.XLOOKUP($F168,'Acerto virtual'!$E:$E,'Acerto virtual'!M:M),"")</f>
        <v>15/07</v>
      </c>
      <c r="AB168" s="51" t="str">
        <f t="array" ref="AB168">IFERROR(_xlfn.XLOOKUP($F168,'Acerto virtual'!$E:$E,'Acerto virtual'!N:N),"")</f>
        <v>15/07</v>
      </c>
      <c r="AC168" s="51" t="str">
        <f t="array" ref="AC168">IFERROR(_xlfn.XLOOKUP($F168,'Acerto virtual'!$E:$E,'Acerto virtual'!O:O),"")</f>
        <v>15/07</v>
      </c>
      <c r="AD168" s="51" t="str">
        <f t="array" ref="AD168">IFERROR(_xlfn.XLOOKUP($F168,'Acerto virtual'!$E:$E,'Acerto virtual'!P:P),"")</f>
        <v>16/07</v>
      </c>
      <c r="AE168" s="51" t="str">
        <f t="array" ref="AE168">IFERROR(_xlfn.XLOOKUP($F168,'Acerto virtual'!$E:$E,'Acerto virtual'!Q:Q),"")</f>
        <v>16/07</v>
      </c>
      <c r="AF168" s="51" t="str">
        <f t="array" ref="AF168">IFERROR(_xlfn.XLOOKUP($F168,'Acerto virtual'!$E:$E,'Acerto virtual'!R:R),"")</f>
        <v>16/07</v>
      </c>
      <c r="AG168" s="51" t="str">
        <f t="array" ref="AG168">IFERROR(_xlfn.XLOOKUP($F168,'Acerto virtual'!$E:$E,'Acerto virtual'!S:S),"")</f>
        <v>16/07</v>
      </c>
      <c r="AH168" s="51" t="str">
        <f t="array" ref="AH168">IFERROR(_xlfn.XLOOKUP($F168,'Acerto virtual'!$E:$E,'Acerto virtual'!T:T),"")</f>
        <v>21/07</v>
      </c>
      <c r="AI168" s="51" t="str">
        <f t="array" ref="AI168">IFERROR(_xlfn.XLOOKUP($F168,'Acerto virtual'!$E:$E,'Acerto virtual'!U:U),"")</f>
        <v/>
      </c>
    </row>
    <row r="169" hidden="1">
      <c r="A169" s="47" t="s">
        <v>658</v>
      </c>
      <c r="B169" s="47" t="s">
        <v>659</v>
      </c>
      <c r="C169" s="19" t="str">
        <f t="array" ref="C169">IFERROR(_xlfn.XLOOKUP($B169,'Histórico'!$B:$B,'Histórico'!$I:$I),"")</f>
        <v>3244809-8</v>
      </c>
      <c r="D169" s="19" t="str">
        <f t="array" ref="D169">IFERROR(_xlfn.XLOOKUP($B169,'Histórico'!$B:$B,'Histórico'!$J:$J),"")</f>
        <v>06848</v>
      </c>
      <c r="E169" s="19" t="str">
        <f t="array" ref="E169">IFERROR(_xlfn.XLOOKUP($B169,'Histórico'!$B:$B,'Histórico'!$K:$K),"")</f>
        <v>FUEL CONTROL,MAIN,TURBINE ENGINE</v>
      </c>
      <c r="F169" s="19" t="str">
        <f t="array" ref="F169">IFERROR(_xlfn.XLOOKUP($B169,'Histórico'!$B:$B,'Histórico'!$L:$L),"")</f>
        <v>B10133</v>
      </c>
      <c r="G169" s="49" t="str">
        <f t="array" ref="G169">IFERROR(_xlfn.XLOOKUP($B169,'Histórico'!$B:$B,'Histórico'!$F:$F),"")</f>
        <v>17/09/2025</v>
      </c>
      <c r="H169" s="19" t="str">
        <f t="array" ref="H169">IFERROR(_xlfn.XLOOKUP($B169,'Histórico'!$B:$B,'Histórico'!$AA:$AA),"")</f>
        <v>BAPV</v>
      </c>
      <c r="I169" s="19" t="str">
        <f t="array" ref="I169">IFERROR(_xlfn.XLOOKUP($B169,Atual!$B:$B,Atual!$E:$E),"OS concluída")</f>
        <v>OS concluída</v>
      </c>
      <c r="J169" s="19" t="str">
        <f t="shared" si="1"/>
        <v/>
      </c>
      <c r="K169" s="19"/>
      <c r="L169" s="19" t="str">
        <f t="shared" si="2"/>
        <v/>
      </c>
      <c r="M169" s="19"/>
      <c r="N169" s="49" t="str">
        <f t="shared" ref="N169:N170" si="43">IFERROR(_xlfn.XLOOKUP($B169,Empresa!G:G,Empresa!K:K),"")</f>
        <v/>
      </c>
      <c r="O169" s="50" t="str">
        <f t="array" ref="O169">IFERROR(_xlfn.XLOOKUP(B169,EMPRESA_1!A:A,EMPRESA_1!K:K),"")
</f>
        <v/>
      </c>
      <c r="P169" s="19" t="str">
        <f t="shared" ref="P169:P170" si="44">IFERROR(_xlfn.XLOOKUP($F169,'Vee one'!F:F,'Vee one'!O:O),"")</f>
        <v/>
      </c>
      <c r="Q169" s="19" t="str">
        <f t="shared" ref="Q169:Q170" si="45">IFERROR(_xlfn.XLOOKUP($F169,'Vee one'!F:F,'Vee one'!K:K),"")</f>
        <v/>
      </c>
      <c r="R169" s="19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</row>
    <row r="170" hidden="1">
      <c r="A170" s="47" t="s">
        <v>660</v>
      </c>
      <c r="B170" s="47" t="s">
        <v>661</v>
      </c>
      <c r="C170" s="19" t="str">
        <f t="array" ref="C170">IFERROR(_xlfn.XLOOKUP($B170,'Histórico'!$B:$B,'Histórico'!$I:$I),"")</f>
        <v>EA-5172-45-CES</v>
      </c>
      <c r="D170" s="19" t="str">
        <f t="array" ref="D170">IFERROR(_xlfn.XLOOKUP($B170,'Histórico'!$B:$B,'Histórico'!$J:$J),"")</f>
        <v>7EK50</v>
      </c>
      <c r="E170" s="19" t="str">
        <f t="array" ref="E170">IFERROR(_xlfn.XLOOKUP($B170,'Histórico'!$B:$B,'Histórico'!$K:$K),"")</f>
        <v>INDICATOR,AIRSPEED</v>
      </c>
      <c r="F170" s="19" t="str">
        <f t="array" ref="F170">IFERROR(_xlfn.XLOOKUP($B170,'Histórico'!$B:$B,'Histórico'!$L:$L),"")</f>
        <v>T20874</v>
      </c>
      <c r="G170" s="49" t="str">
        <f t="array" ref="G170">IFERROR(_xlfn.XLOOKUP($B170,'Histórico'!$B:$B,'Histórico'!$F:$F),"")</f>
        <v>17/09/2025</v>
      </c>
      <c r="H170" s="19" t="str">
        <f t="array" ref="H170">IFERROR(_xlfn.XLOOKUP($B170,'Histórico'!$B:$B,'Histórico'!$AA:$AA),"")</f>
        <v>BACG</v>
      </c>
      <c r="I170" s="19" t="str">
        <f t="array" ref="I170">IFERROR(_xlfn.XLOOKUP($B170,Atual!$B:$B,Atual!$E:$E),"OS concluída")</f>
        <v>OS concluída</v>
      </c>
      <c r="J170" s="19" t="str">
        <f t="shared" si="1"/>
        <v/>
      </c>
      <c r="K170" s="19"/>
      <c r="L170" s="19" t="str">
        <f t="shared" si="2"/>
        <v/>
      </c>
      <c r="M170" s="19"/>
      <c r="N170" s="49" t="str">
        <f t="shared" si="43"/>
        <v/>
      </c>
      <c r="O170" s="49"/>
      <c r="P170" s="19" t="str">
        <f t="shared" si="44"/>
        <v/>
      </c>
      <c r="Q170" s="19" t="str">
        <f t="shared" si="45"/>
        <v/>
      </c>
      <c r="R170" s="19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</row>
    <row r="171" hidden="1">
      <c r="A171" s="47" t="s">
        <v>662</v>
      </c>
      <c r="B171" s="47" t="s">
        <v>663</v>
      </c>
      <c r="C171" s="48" t="str">
        <f t="array" ref="C171">IFERROR(_xlfn.XLOOKUP($B171,'Histórico'!$B:$B,'Histórico'!$I:$I),"")</f>
        <v>EA-5172-45-CES</v>
      </c>
      <c r="D171" s="19" t="str">
        <f t="array" ref="D171">IFERROR(_xlfn.XLOOKUP($B171,'Histórico'!$B:$B,'Histórico'!$J:$J),"")</f>
        <v>7EK50</v>
      </c>
      <c r="E171" s="19" t="str">
        <f t="array" ref="E171">IFERROR(_xlfn.XLOOKUP($B171,'Histórico'!$B:$B,'Histórico'!$K:$K),"")</f>
        <v>INDICATOR,AIRSPEED</v>
      </c>
      <c r="F171" s="19" t="str">
        <f t="array" ref="F171">IFERROR(_xlfn.XLOOKUP($B171,'Histórico'!$B:$B,'Histórico'!$L:$L),"")</f>
        <v>T20976</v>
      </c>
      <c r="G171" s="49" t="str">
        <f t="array" ref="G171">IFERROR(_xlfn.XLOOKUP($B171,'Histórico'!$B:$B,'Histórico'!$F:$F),"")</f>
        <v>17/09/2025</v>
      </c>
      <c r="H171" s="19" t="str">
        <f t="array" ref="H171">IFERROR(_xlfn.XLOOKUP($B171,'Histórico'!$B:$B,'Histórico'!$AA:$AA),"")</f>
        <v>ALA 7</v>
      </c>
      <c r="I171" s="19" t="str">
        <f t="array" ref="I171">IFERROR(_xlfn.XLOOKUP($B171,Atual!$B:$B,Atual!$E:$E),"OS concluída")</f>
        <v>OS concluída</v>
      </c>
      <c r="J171" s="19" t="str">
        <f t="shared" si="1"/>
        <v/>
      </c>
      <c r="K171" s="19"/>
      <c r="L171" s="19" t="str">
        <f t="shared" si="2"/>
        <v>NÃO APLICÁVEL</v>
      </c>
      <c r="M171" s="19"/>
      <c r="N171" s="49" t="str">
        <f t="array" ref="N171">IFERROR(_xlfn.XLOOKUP($B171,EMPRESA_1!A:A,EMPRESA_1!J:J),"")</f>
        <v>DEVOLVODO NO ESTADO</v>
      </c>
      <c r="O171" s="50" t="str">
        <f t="array" ref="O171">IFERROR(_xlfn.XLOOKUP(B171,EMPRESA_1!A:A,EMPRESA_1!K:K),"")
</f>
        <v>WILLIAM</v>
      </c>
      <c r="P171" s="48" t="str">
        <f t="array" ref="P171">IFERROR(_xlfn.XLOOKUP(B171,EMPRESA_1!A:A,EMPRESA_1!L:L),"")</f>
        <v>MATERIAL VOLTOU EM GARANTIA</v>
      </c>
      <c r="Q171" s="49" t="str">
        <f t="array" ref="Q171">IFERROR(_xlfn.XLOOKUP(B171,EMPRESA_1!A:A,EMPRESA_1!J:J),"")</f>
        <v>DEVOLVODO NO ESTADO</v>
      </c>
      <c r="R171" s="19" t="str">
        <f t="array" ref="R171">IFERROR(_xlfn.XLOOKUP(B171,EMPRESA_1!A:A,EMPRESA_1!M:M),"")</f>
        <v/>
      </c>
      <c r="S171" s="51"/>
      <c r="T171" s="51" t="str">
        <f t="array" ref="T171">IFERROR(_xlfn.XLOOKUP($F171,'Acerto virtual'!$E:$E,'Acerto virtual'!F:F),"")</f>
        <v/>
      </c>
      <c r="U171" s="51" t="str">
        <f t="array" ref="U171">IFERROR(_xlfn.XLOOKUP($F171,'Acerto virtual'!$E:$E,'Acerto virtual'!G:G),"")</f>
        <v/>
      </c>
      <c r="V171" s="51" t="str">
        <f t="array" ref="V171">IFERROR(_xlfn.XLOOKUP($F171,'Acerto virtual'!$E:$E,'Acerto virtual'!H:H),"")</f>
        <v/>
      </c>
      <c r="W171" s="51" t="str">
        <f t="array" ref="W171">IFERROR(_xlfn.XLOOKUP($F171,'Acerto virtual'!$E:$E,'Acerto virtual'!I:I),"")</f>
        <v/>
      </c>
      <c r="X171" s="51" t="str">
        <f t="array" ref="X171">IFERROR(_xlfn.XLOOKUP($F171,'Acerto virtual'!$E:$E,'Acerto virtual'!J:J),"")</f>
        <v/>
      </c>
      <c r="Y171" s="51" t="str">
        <f t="array" ref="Y171">IFERROR(_xlfn.XLOOKUP($F171,'Acerto virtual'!$E:$E,'Acerto virtual'!K:K),"")</f>
        <v/>
      </c>
      <c r="Z171" s="51" t="str">
        <f t="array" ref="Z171">IFERROR(_xlfn.XLOOKUP($F171,'Acerto virtual'!$E:$E,'Acerto virtual'!L:L),"")</f>
        <v/>
      </c>
      <c r="AA171" s="51" t="str">
        <f t="array" ref="AA171">IFERROR(_xlfn.XLOOKUP($F171,'Acerto virtual'!$E:$E,'Acerto virtual'!M:M),"")</f>
        <v/>
      </c>
      <c r="AB171" s="51" t="str">
        <f t="array" ref="AB171">IFERROR(_xlfn.XLOOKUP($F171,'Acerto virtual'!$E:$E,'Acerto virtual'!N:N),"")</f>
        <v/>
      </c>
      <c r="AC171" s="51" t="str">
        <f t="array" ref="AC171">IFERROR(_xlfn.XLOOKUP($F171,'Acerto virtual'!$E:$E,'Acerto virtual'!O:O),"")</f>
        <v/>
      </c>
      <c r="AD171" s="51" t="str">
        <f t="array" ref="AD171">IFERROR(_xlfn.XLOOKUP($F171,'Acerto virtual'!$E:$E,'Acerto virtual'!P:P),"")</f>
        <v/>
      </c>
      <c r="AE171" s="51" t="str">
        <f t="array" ref="AE171">IFERROR(_xlfn.XLOOKUP($F171,'Acerto virtual'!$E:$E,'Acerto virtual'!Q:Q),"")</f>
        <v/>
      </c>
      <c r="AF171" s="51" t="str">
        <f t="array" ref="AF171">IFERROR(_xlfn.XLOOKUP($F171,'Acerto virtual'!$E:$E,'Acerto virtual'!R:R),"")</f>
        <v/>
      </c>
      <c r="AG171" s="51" t="str">
        <f t="array" ref="AG171">IFERROR(_xlfn.XLOOKUP($F171,'Acerto virtual'!$E:$E,'Acerto virtual'!S:S),"")</f>
        <v/>
      </c>
      <c r="AH171" s="51" t="str">
        <f t="array" ref="AH171">IFERROR(_xlfn.XLOOKUP($F171,'Acerto virtual'!$E:$E,'Acerto virtual'!T:T),"")</f>
        <v/>
      </c>
      <c r="AI171" s="51" t="str">
        <f t="array" ref="AI171">IFERROR(_xlfn.XLOOKUP($F171,'Acerto virtual'!$E:$E,'Acerto virtual'!U:U),"")</f>
        <v/>
      </c>
    </row>
    <row r="172">
      <c r="A172" s="47" t="s">
        <v>664</v>
      </c>
      <c r="B172" s="47" t="s">
        <v>665</v>
      </c>
      <c r="C172" s="48" t="str">
        <f t="array" ref="C172">IFERROR(_xlfn.XLOOKUP($B172,'Histórico'!$B:$B,'Histórico'!$I:$I),"")</f>
        <v>3244809-7</v>
      </c>
      <c r="D172" s="19" t="str">
        <f t="array" ref="D172">IFERROR(_xlfn.XLOOKUP($B172,'Histórico'!$B:$B,'Histórico'!$J:$J),"")</f>
        <v>07213</v>
      </c>
      <c r="E172" s="19" t="str">
        <f t="array" ref="E172">IFERROR(_xlfn.XLOOKUP($B172,'Histórico'!$B:$B,'Histórico'!$K:$K),"")</f>
        <v>FUEL CONTROL,MAIN,TURBINE ENGINE</v>
      </c>
      <c r="F172" s="52" t="str">
        <f t="array" ref="F172">IFERROR(_xlfn.XLOOKUP($B172,'Histórico'!$B:$B,'Histórico'!$L:$L),"")</f>
        <v>C25361</v>
      </c>
      <c r="G172" s="49" t="str">
        <f t="array" ref="G172">IFERROR(_xlfn.XLOOKUP($B172,'Histórico'!$B:$B,'Histórico'!$F:$F),"")</f>
        <v>17/09/2025</v>
      </c>
      <c r="H172" s="19" t="str">
        <f t="array" ref="H172">IFERROR(_xlfn.XLOOKUP($B172,'Histórico'!$B:$B,'Histórico'!$AA:$AA),"")</f>
        <v>PAMASP</v>
      </c>
      <c r="I172" s="19" t="str">
        <f t="array" ref="I172">IFERROR(_xlfn.XLOOKUP($B172,Atual!$B:$B,Atual!$E:$E),"OS concluída")</f>
        <v>REC</v>
      </c>
      <c r="J172" s="19">
        <f t="shared" si="1"/>
        <v>393</v>
      </c>
      <c r="K172" s="19"/>
      <c r="L172" s="19" t="str">
        <f t="shared" si="2"/>
        <v/>
      </c>
      <c r="M172" s="19"/>
      <c r="N172" s="49" t="str">
        <f t="shared" ref="N172:N173" si="46">IFERROR(_xlfn.XLOOKUP($B172,Empresa!G:G,Empresa!K:K),"")</f>
        <v/>
      </c>
      <c r="O172" s="50" t="str">
        <f t="array" ref="O172">IFERROR(_xlfn.XLOOKUP(B172,EMPRESA_1!A:A,EMPRESA_1!K:K),"")
</f>
        <v>BANT</v>
      </c>
      <c r="P172" s="19" t="str">
        <f t="array" ref="P172">IFERROR(_xlfn.XLOOKUP(B172,EMPRESA_1!A:A,EMPRESA_1!L:L),"")</f>
        <v>228/FAB/25</v>
      </c>
      <c r="Q172" s="49">
        <f t="array" ref="Q172">IFERROR(_xlfn.XLOOKUP(B172,EMPRESA_1!A:A,EMPRESA_1!J:J),"")</f>
        <v>45973</v>
      </c>
      <c r="R172" s="19" t="str">
        <f t="array" ref="R172">IFERROR(_xlfn.XLOOKUP(B172,EMPRESA_1!A:A,EMPRESA_1!M:M),"")</f>
        <v/>
      </c>
      <c r="S172" s="51"/>
      <c r="T172" s="51" t="str">
        <f t="array" ref="T172">IFERROR(_xlfn.XLOOKUP($F172,'Acerto virtual'!$E:$E,'Acerto virtual'!F:F),"")</f>
        <v/>
      </c>
      <c r="U172" s="51" t="str">
        <f t="array" ref="U172">IFERROR(_xlfn.XLOOKUP($F172,'Acerto virtual'!$E:$E,'Acerto virtual'!G:G),"")</f>
        <v/>
      </c>
      <c r="V172" s="51" t="str">
        <f t="array" ref="V172">IFERROR(_xlfn.XLOOKUP($F172,'Acerto virtual'!$E:$E,'Acerto virtual'!H:H),"")</f>
        <v/>
      </c>
      <c r="W172" s="51" t="str">
        <f t="array" ref="W172">IFERROR(_xlfn.XLOOKUP($F172,'Acerto virtual'!$E:$E,'Acerto virtual'!I:I),"")</f>
        <v/>
      </c>
      <c r="X172" s="51" t="str">
        <f t="array" ref="X172">IFERROR(_xlfn.XLOOKUP($F172,'Acerto virtual'!$E:$E,'Acerto virtual'!J:J),"")</f>
        <v/>
      </c>
      <c r="Y172" s="51" t="str">
        <f t="array" ref="Y172">IFERROR(_xlfn.XLOOKUP($F172,'Acerto virtual'!$E:$E,'Acerto virtual'!K:K),"")</f>
        <v/>
      </c>
      <c r="Z172" s="51" t="str">
        <f t="array" ref="Z172">IFERROR(_xlfn.XLOOKUP($F172,'Acerto virtual'!$E:$E,'Acerto virtual'!L:L),"")</f>
        <v/>
      </c>
      <c r="AA172" s="51" t="str">
        <f t="array" ref="AA172">IFERROR(_xlfn.XLOOKUP($F172,'Acerto virtual'!$E:$E,'Acerto virtual'!M:M),"")</f>
        <v/>
      </c>
      <c r="AB172" s="51" t="str">
        <f t="array" ref="AB172">IFERROR(_xlfn.XLOOKUP($F172,'Acerto virtual'!$E:$E,'Acerto virtual'!N:N),"")</f>
        <v/>
      </c>
      <c r="AC172" s="51" t="str">
        <f t="array" ref="AC172">IFERROR(_xlfn.XLOOKUP($F172,'Acerto virtual'!$E:$E,'Acerto virtual'!O:O),"")</f>
        <v/>
      </c>
      <c r="AD172" s="51" t="str">
        <f t="array" ref="AD172">IFERROR(_xlfn.XLOOKUP($F172,'Acerto virtual'!$E:$E,'Acerto virtual'!P:P),"")</f>
        <v/>
      </c>
      <c r="AE172" s="51" t="str">
        <f t="array" ref="AE172">IFERROR(_xlfn.XLOOKUP($F172,'Acerto virtual'!$E:$E,'Acerto virtual'!Q:Q),"")</f>
        <v/>
      </c>
      <c r="AF172" s="51" t="str">
        <f t="array" ref="AF172">IFERROR(_xlfn.XLOOKUP($F172,'Acerto virtual'!$E:$E,'Acerto virtual'!R:R),"")</f>
        <v/>
      </c>
      <c r="AG172" s="51" t="str">
        <f t="array" ref="AG172">IFERROR(_xlfn.XLOOKUP($F172,'Acerto virtual'!$E:$E,'Acerto virtual'!S:S),"")</f>
        <v/>
      </c>
      <c r="AH172" s="51" t="str">
        <f t="array" ref="AH172">IFERROR(_xlfn.XLOOKUP($F172,'Acerto virtual'!$E:$E,'Acerto virtual'!T:T),"")</f>
        <v/>
      </c>
      <c r="AI172" s="51" t="str">
        <f t="array" ref="AI172">IFERROR(_xlfn.XLOOKUP($F172,'Acerto virtual'!$E:$E,'Acerto virtual'!U:U),"")</f>
        <v/>
      </c>
    </row>
    <row r="173" hidden="1">
      <c r="A173" s="47" t="s">
        <v>666</v>
      </c>
      <c r="B173" s="47" t="s">
        <v>667</v>
      </c>
      <c r="C173" s="19" t="str">
        <f t="array" ref="C173">IFERROR(_xlfn.XLOOKUP($B173,'Histórico'!$B:$B,'Histórico'!$I:$I),"")</f>
        <v>3244809-4</v>
      </c>
      <c r="D173" s="19" t="str">
        <f t="array" ref="D173">IFERROR(_xlfn.XLOOKUP($B173,'Histórico'!$B:$B,'Histórico'!$J:$J),"")</f>
        <v>07213</v>
      </c>
      <c r="E173" s="19" t="str">
        <f t="array" ref="E173">IFERROR(_xlfn.XLOOKUP($B173,'Histórico'!$B:$B,'Histórico'!$K:$K),"")</f>
        <v>FUEL CONTROL,MAIN,TURBINE ENGINE</v>
      </c>
      <c r="F173" s="19" t="str">
        <f t="array" ref="F173">IFERROR(_xlfn.XLOOKUP($B173,'Histórico'!$B:$B,'Histórico'!$L:$L),"")</f>
        <v>C25208</v>
      </c>
      <c r="G173" s="49" t="str">
        <f t="array" ref="G173">IFERROR(_xlfn.XLOOKUP($B173,'Histórico'!$B:$B,'Histórico'!$F:$F),"")</f>
        <v>17/09/2025</v>
      </c>
      <c r="H173" s="19" t="str">
        <f t="array" ref="H173">IFERROR(_xlfn.XLOOKUP($B173,'Histórico'!$B:$B,'Histórico'!$AA:$AA),"")</f>
        <v>PAMASP</v>
      </c>
      <c r="I173" s="19" t="str">
        <f t="array" ref="I173">IFERROR(_xlfn.XLOOKUP($B173,Atual!$B:$B,Atual!$E:$E),"OS concluída")</f>
        <v>OS concluída</v>
      </c>
      <c r="J173" s="19" t="str">
        <f t="shared" si="1"/>
        <v/>
      </c>
      <c r="K173" s="19"/>
      <c r="L173" s="19" t="str">
        <f t="shared" si="2"/>
        <v/>
      </c>
      <c r="M173" s="19"/>
      <c r="N173" s="49" t="str">
        <f t="shared" si="46"/>
        <v/>
      </c>
      <c r="O173" s="50" t="str">
        <f t="array" ref="O173">IFERROR(_xlfn.XLOOKUP(B173,EMPRESA_1!A:A,EMPRESA_1!K:K),"")
</f>
        <v>LEAP</v>
      </c>
      <c r="P173" s="19" t="str">
        <f t="array" ref="P173">IFERROR(_xlfn.XLOOKUP(B173,EMPRESA_1!A:A,EMPRESA_1!L:L),"")</f>
        <v/>
      </c>
      <c r="Q173" s="49" t="str">
        <f t="array" ref="Q173">IFERROR(_xlfn.XLOOKUP(B173,EMPRESA_1!A:A,EMPRESA_1!J:J),"")</f>
        <v>EM REPARO</v>
      </c>
      <c r="R173" s="19" t="str">
        <f t="array" ref="R173">IFERROR(_xlfn.XLOOKUP(B173,EMPRESA_1!A:A,EMPRESA_1!M:M),"")</f>
        <v/>
      </c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</row>
    <row r="174" hidden="1">
      <c r="A174" s="47" t="s">
        <v>668</v>
      </c>
      <c r="B174" s="47" t="s">
        <v>669</v>
      </c>
      <c r="C174" s="48" t="str">
        <f t="array" ref="C174">IFERROR(_xlfn.XLOOKUP($B174,'Histórico'!$B:$B,'Histórico'!$I:$I),"")</f>
        <v>030-18200</v>
      </c>
      <c r="D174" s="19" t="str">
        <f t="array" ref="D174">IFERROR(_xlfn.XLOOKUP($B174,'Histórico'!$B:$B,'Histórico'!$J:$J),"")</f>
        <v>33269</v>
      </c>
      <c r="E174" s="19" t="str">
        <f t="array" ref="E174">IFERROR(_xlfn.XLOOKUP($B174,'Histórico'!$B:$B,'Histórico'!$K:$K),"")</f>
        <v>MAIN WHEEL BRAKE</v>
      </c>
      <c r="F174" s="19" t="str">
        <f t="array" ref="F174">IFERROR(_xlfn.XLOOKUP($B174,'Histórico'!$B:$B,'Histórico'!$L:$L),"")</f>
        <v>571</v>
      </c>
      <c r="G174" s="49" t="str">
        <f t="array" ref="G174">IFERROR(_xlfn.XLOOKUP($B174,'Histórico'!$B:$B,'Histórico'!$F:$F),"")</f>
        <v>17/09/2025</v>
      </c>
      <c r="H174" s="19" t="str">
        <f t="array" ref="H174">IFERROR(_xlfn.XLOOKUP($B174,'Histórico'!$B:$B,'Histórico'!$AA:$AA),"")</f>
        <v>BAMN</v>
      </c>
      <c r="I174" s="19" t="str">
        <f t="array" ref="I174">IFERROR(_xlfn.XLOOKUP($B174,Atual!$B:$B,Atual!$E:$E),"OS concluída")</f>
        <v>OS concluída</v>
      </c>
      <c r="J174" s="19" t="str">
        <f t="shared" si="1"/>
        <v/>
      </c>
      <c r="K174" s="19"/>
      <c r="L174" s="19" t="str">
        <f t="shared" si="2"/>
        <v>NÃO APLICÁVEL</v>
      </c>
      <c r="M174" s="19"/>
      <c r="N174" s="49" t="str">
        <f t="array" ref="N174">IFERROR(_xlfn.XLOOKUP($B174,EMPRESA_1!A:A,EMPRESA_1!J:J),"")</f>
        <v>REPARADO</v>
      </c>
      <c r="O174" s="50" t="str">
        <f t="array" ref="O174">IFERROR(_xlfn.XLOOKUP(B174,EMPRESA_1!A:A,EMPRESA_1!K:K),"")
</f>
        <v>VEE ONE</v>
      </c>
      <c r="P174" s="48" t="str">
        <f t="array" ref="P174">IFERROR(_xlfn.XLOOKUP(B174,EMPRESA_1!A:A,EMPRESA_1!L:L),"")</f>
        <v/>
      </c>
      <c r="Q174" s="49" t="str">
        <f t="array" ref="Q174">IFERROR(_xlfn.XLOOKUP(B174,EMPRESA_1!A:A,EMPRESA_1!J:J),"")</f>
        <v>REPARADO</v>
      </c>
      <c r="R174" s="19" t="str">
        <f t="array" ref="R174">IFERROR(_xlfn.XLOOKUP(B174,EMPRESA_1!A:A,EMPRESA_1!M:M),"")</f>
        <v/>
      </c>
      <c r="S174" s="51"/>
      <c r="T174" s="51" t="str">
        <f t="array" ref="T174">IFERROR(_xlfn.XLOOKUP($F174,'Acerto virtual'!$E:$E,'Acerto virtual'!F:F),"")</f>
        <v>032/2026</v>
      </c>
      <c r="U174" s="51" t="str">
        <f t="array" ref="U174">IFERROR(_xlfn.XLOOKUP($F174,'Acerto virtual'!$E:$E,'Acerto virtual'!G:G),"")</f>
        <v>22/09</v>
      </c>
      <c r="V174" s="51" t="str">
        <f t="array" ref="V174">IFERROR(_xlfn.XLOOKUP($F174,'Acerto virtual'!$E:$E,'Acerto virtual'!H:H),"")</f>
        <v>22/09</v>
      </c>
      <c r="W174" s="51" t="str">
        <f t="array" ref="W174">IFERROR(_xlfn.XLOOKUP($F174,'Acerto virtual'!$E:$E,'Acerto virtual'!I:I),"")</f>
        <v/>
      </c>
      <c r="X174" s="51" t="str">
        <f t="array" ref="X174">IFERROR(_xlfn.XLOOKUP($F174,'Acerto virtual'!$E:$E,'Acerto virtual'!J:J),"")</f>
        <v>22/09</v>
      </c>
      <c r="Y174" s="51" t="str">
        <f t="array" ref="Y174">IFERROR(_xlfn.XLOOKUP($F174,'Acerto virtual'!$E:$E,'Acerto virtual'!K:K),"")</f>
        <v>22/09</v>
      </c>
      <c r="Z174" s="51" t="str">
        <f t="array" ref="Z174">IFERROR(_xlfn.XLOOKUP($F174,'Acerto virtual'!$E:$E,'Acerto virtual'!L:L),"")</f>
        <v>22/09</v>
      </c>
      <c r="AA174" s="51" t="str">
        <f t="array" ref="AA174">IFERROR(_xlfn.XLOOKUP($F174,'Acerto virtual'!$E:$E,'Acerto virtual'!M:M),"")</f>
        <v>22/09</v>
      </c>
      <c r="AB174" s="51" t="str">
        <f t="array" ref="AB174">IFERROR(_xlfn.XLOOKUP($F174,'Acerto virtual'!$E:$E,'Acerto virtual'!N:N),"")</f>
        <v>22/09</v>
      </c>
      <c r="AC174" s="51" t="str">
        <f t="array" ref="AC174">IFERROR(_xlfn.XLOOKUP($F174,'Acerto virtual'!$E:$E,'Acerto virtual'!O:O),"")</f>
        <v>22/09</v>
      </c>
      <c r="AD174" s="51" t="str">
        <f t="array" ref="AD174">IFERROR(_xlfn.XLOOKUP($F174,'Acerto virtual'!$E:$E,'Acerto virtual'!P:P),"")</f>
        <v>22/09</v>
      </c>
      <c r="AE174" s="51" t="str">
        <f t="array" ref="AE174">IFERROR(_xlfn.XLOOKUP($F174,'Acerto virtual'!$E:$E,'Acerto virtual'!Q:Q),"")</f>
        <v>22/09</v>
      </c>
      <c r="AF174" s="51" t="str">
        <f t="array" ref="AF174">IFERROR(_xlfn.XLOOKUP($F174,'Acerto virtual'!$E:$E,'Acerto virtual'!R:R),"")</f>
        <v>29/09</v>
      </c>
      <c r="AG174" s="51" t="str">
        <f t="array" ref="AG174">IFERROR(_xlfn.XLOOKUP($F174,'Acerto virtual'!$E:$E,'Acerto virtual'!S:S),"")</f>
        <v>29/09</v>
      </c>
      <c r="AH174" s="51" t="str">
        <f t="array" ref="AH174">IFERROR(_xlfn.XLOOKUP($F174,'Acerto virtual'!$E:$E,'Acerto virtual'!T:T),"")</f>
        <v>29/09</v>
      </c>
      <c r="AI174" s="51" t="str">
        <f t="array" ref="AI174">IFERROR(_xlfn.XLOOKUP($F174,'Acerto virtual'!$E:$E,'Acerto virtual'!U:U),"")</f>
        <v>RECEBIDO POR 2S BRUNO</v>
      </c>
    </row>
    <row r="175" hidden="1">
      <c r="A175" s="47" t="s">
        <v>670</v>
      </c>
      <c r="B175" s="47" t="s">
        <v>671</v>
      </c>
      <c r="C175" s="19" t="str">
        <f t="array" ref="C175">IFERROR(_xlfn.XLOOKUP($B175,'Histórico'!$B:$B,'Histórico'!$I:$I),"")</f>
        <v>162-10700</v>
      </c>
      <c r="D175" s="19" t="str">
        <f t="array" ref="D175">IFERROR(_xlfn.XLOOKUP($B175,'Histórico'!$B:$B,'Histórico'!$J:$J),"")</f>
        <v>71513</v>
      </c>
      <c r="E175" s="19" t="str">
        <f t="array" ref="E175">IFERROR(_xlfn.XLOOKUP($B175,'Histórico'!$B:$B,'Histórico'!$K:$K),"")</f>
        <v>OUTER WHEEL HALF ASSY</v>
      </c>
      <c r="F175" s="19" t="str">
        <f t="array" ref="F175">IFERROR(_xlfn.XLOOKUP($B175,'Histórico'!$B:$B,'Histórico'!$L:$L),"")</f>
        <v>776</v>
      </c>
      <c r="G175" s="49" t="str">
        <f t="array" ref="G175">IFERROR(_xlfn.XLOOKUP($B175,'Histórico'!$B:$B,'Histórico'!$F:$F),"")</f>
        <v>17/09/2025</v>
      </c>
      <c r="H175" s="19" t="str">
        <f t="array" ref="H175">IFERROR(_xlfn.XLOOKUP($B175,'Histórico'!$B:$B,'Histórico'!$AA:$AA),"")</f>
        <v>PAMALS</v>
      </c>
      <c r="I175" s="19" t="str">
        <f t="array" ref="I175">IFERROR(_xlfn.XLOOKUP($B175,Atual!$B:$B,Atual!$E:$E),"OS concluída")</f>
        <v>OS concluída</v>
      </c>
      <c r="J175" s="19" t="str">
        <f t="shared" si="1"/>
        <v/>
      </c>
      <c r="K175" s="19"/>
      <c r="L175" s="19" t="str">
        <f t="shared" si="2"/>
        <v/>
      </c>
      <c r="M175" s="19"/>
      <c r="N175" s="49" t="str">
        <f t="shared" ref="N175:N177" si="47">IFERROR(_xlfn.XLOOKUP($B175,Empresa!G:G,Empresa!K:K),"")</f>
        <v/>
      </c>
      <c r="O175" s="49"/>
      <c r="P175" s="19" t="str">
        <f t="shared" ref="P175:P176" si="48">IFERROR(_xlfn.XLOOKUP($F175,'Vee one'!F:F,'Vee one'!O:O),"")</f>
        <v/>
      </c>
      <c r="Q175" s="19" t="str">
        <f t="shared" ref="Q175:Q176" si="49">IFERROR(_xlfn.XLOOKUP($F175,'Vee one'!F:F,'Vee one'!K:K),"")</f>
        <v/>
      </c>
      <c r="R175" s="19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</row>
    <row r="176" hidden="1">
      <c r="A176" s="47" t="s">
        <v>672</v>
      </c>
      <c r="B176" s="47" t="s">
        <v>673</v>
      </c>
      <c r="C176" s="19" t="str">
        <f t="array" ref="C176">IFERROR(_xlfn.XLOOKUP($B176,'Histórico'!$B:$B,'Histórico'!$I:$I),"")</f>
        <v>162-10700</v>
      </c>
      <c r="D176" s="19" t="str">
        <f t="array" ref="D176">IFERROR(_xlfn.XLOOKUP($B176,'Histórico'!$B:$B,'Histórico'!$J:$J),"")</f>
        <v>71513</v>
      </c>
      <c r="E176" s="19" t="str">
        <f t="array" ref="E176">IFERROR(_xlfn.XLOOKUP($B176,'Histórico'!$B:$B,'Histórico'!$K:$K),"")</f>
        <v>OUTER WHEEL HALF ASSY</v>
      </c>
      <c r="F176" s="19" t="str">
        <f t="array" ref="F176">IFERROR(_xlfn.XLOOKUP($B176,'Histórico'!$B:$B,'Histórico'!$L:$L),"")</f>
        <v>LSEAM3239</v>
      </c>
      <c r="G176" s="49" t="str">
        <f t="array" ref="G176">IFERROR(_xlfn.XLOOKUP($B176,'Histórico'!$B:$B,'Histórico'!$F:$F),"")</f>
        <v>17/09/2025</v>
      </c>
      <c r="H176" s="19" t="str">
        <f t="array" ref="H176">IFERROR(_xlfn.XLOOKUP($B176,'Histórico'!$B:$B,'Histórico'!$AA:$AA),"")</f>
        <v>PAMALS</v>
      </c>
      <c r="I176" s="19" t="str">
        <f t="array" ref="I176">IFERROR(_xlfn.XLOOKUP($B176,Atual!$B:$B,Atual!$E:$E),"OS concluída")</f>
        <v>OS concluída</v>
      </c>
      <c r="J176" s="19" t="str">
        <f t="shared" si="1"/>
        <v/>
      </c>
      <c r="K176" s="19"/>
      <c r="L176" s="19" t="str">
        <f t="shared" si="2"/>
        <v/>
      </c>
      <c r="M176" s="19"/>
      <c r="N176" s="49" t="str">
        <f t="shared" si="47"/>
        <v/>
      </c>
      <c r="O176" s="49"/>
      <c r="P176" s="19" t="str">
        <f t="shared" si="48"/>
        <v/>
      </c>
      <c r="Q176" s="19" t="str">
        <f t="shared" si="49"/>
        <v/>
      </c>
      <c r="R176" s="19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</row>
    <row r="177" hidden="1">
      <c r="A177" s="47" t="s">
        <v>674</v>
      </c>
      <c r="B177" s="47" t="s">
        <v>675</v>
      </c>
      <c r="C177" s="19" t="str">
        <f t="array" ref="C177">IFERROR(_xlfn.XLOOKUP($B177,'Histórico'!$B:$B,'Histórico'!$I:$I),"")</f>
        <v>30994-001</v>
      </c>
      <c r="D177" s="19" t="str">
        <f t="array" ref="D177">IFERROR(_xlfn.XLOOKUP($B177,'Histórico'!$B:$B,'Histórico'!$J:$J),"")</f>
        <v>74025</v>
      </c>
      <c r="E177" s="19" t="str">
        <f t="array" ref="E177">IFERROR(_xlfn.XLOOKUP($B177,'Histórico'!$B:$B,'Histórico'!$K:$K),"")</f>
        <v>BATTERY-MARATHON TSP410 NICAD</v>
      </c>
      <c r="F177" s="19" t="str">
        <f t="array" ref="F177">IFERROR(_xlfn.XLOOKUP($B177,'Histórico'!$B:$B,'Histórico'!$L:$L),"")</f>
        <v>10603742</v>
      </c>
      <c r="G177" s="49" t="str">
        <f t="array" ref="G177">IFERROR(_xlfn.XLOOKUP($B177,'Histórico'!$B:$B,'Histórico'!$F:$F),"")</f>
        <v>17/09/2025</v>
      </c>
      <c r="H177" s="19" t="str">
        <f t="array" ref="H177">IFERROR(_xlfn.XLOOKUP($B177,'Histórico'!$B:$B,'Histórico'!$AA:$AA),"")</f>
        <v>PAMALS</v>
      </c>
      <c r="I177" s="19" t="str">
        <f t="array" ref="I177">IFERROR(_xlfn.XLOOKUP($B177,Atual!$B:$B,Atual!$E:$E),"OS concluída")</f>
        <v>OS concluída</v>
      </c>
      <c r="J177" s="19" t="str">
        <f t="shared" si="1"/>
        <v/>
      </c>
      <c r="K177" s="19"/>
      <c r="L177" s="19" t="str">
        <f t="shared" si="2"/>
        <v/>
      </c>
      <c r="M177" s="19"/>
      <c r="N177" s="49" t="str">
        <f t="shared" si="47"/>
        <v/>
      </c>
      <c r="O177" s="50" t="str">
        <f t="array" ref="O177">IFERROR(_xlfn.XLOOKUP(B177,EMPRESA_1!A:A,EMPRESA_1!K:K),"")
</f>
        <v>PAMA-LS</v>
      </c>
      <c r="P177" s="19" t="str">
        <f t="array" ref="P177">IFERROR(_xlfn.XLOOKUP(B177,EMPRESA_1!A:A,EMPRESA_1!L:L),"")</f>
        <v>487/TRA/26</v>
      </c>
      <c r="Q177" s="49">
        <f t="array" ref="Q177">IFERROR(_xlfn.XLOOKUP(B177,EMPRESA_1!A:A,EMPRESA_1!J:J),"")</f>
        <v>46195</v>
      </c>
      <c r="R177" s="19" t="str">
        <f t="array" ref="R177">IFERROR(_xlfn.XLOOKUP(B177,EMPRESA_1!A:A,EMPRESA_1!M:M),"")</f>
        <v/>
      </c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</row>
    <row r="178">
      <c r="A178" s="47" t="s">
        <v>676</v>
      </c>
      <c r="B178" s="47" t="s">
        <v>677</v>
      </c>
      <c r="C178" s="48" t="str">
        <f t="array" ref="C178">IFERROR(_xlfn.XLOOKUP($B178,'Histórico'!$B:$B,'Histórico'!$I:$I),"")</f>
        <v>030-18200</v>
      </c>
      <c r="D178" s="19" t="str">
        <f t="array" ref="D178">IFERROR(_xlfn.XLOOKUP($B178,'Histórico'!$B:$B,'Histórico'!$J:$J),"")</f>
        <v>33269</v>
      </c>
      <c r="E178" s="19" t="str">
        <f t="array" ref="E178">IFERROR(_xlfn.XLOOKUP($B178,'Histórico'!$B:$B,'Histórico'!$K:$K),"")</f>
        <v>MAIN WHEEL BRAKE</v>
      </c>
      <c r="F178" s="19" t="str">
        <f t="array" ref="F178">IFERROR(_xlfn.XLOOKUP($B178,'Histórico'!$B:$B,'Histórico'!$L:$L),"")</f>
        <v>015A</v>
      </c>
      <c r="G178" s="49" t="str">
        <f t="array" ref="G178">IFERROR(_xlfn.XLOOKUP($B178,'Histórico'!$B:$B,'Histórico'!$F:$F),"")</f>
        <v>17/09/2025</v>
      </c>
      <c r="H178" s="19" t="str">
        <f t="array" ref="H178">IFERROR(_xlfn.XLOOKUP($B178,'Histórico'!$B:$B,'Histórico'!$AA:$AA),"")</f>
        <v>BAPV</v>
      </c>
      <c r="I178" s="19" t="str">
        <f t="array" ref="I178">IFERROR(_xlfn.XLOOKUP($B178,Atual!$B:$B,Atual!$E:$E),"OS concluída")</f>
        <v>REC</v>
      </c>
      <c r="J178" s="19">
        <f t="shared" si="1"/>
        <v>393</v>
      </c>
      <c r="K178" s="19"/>
      <c r="L178" s="19">
        <f t="shared" si="2"/>
        <v>205</v>
      </c>
      <c r="M178" s="19"/>
      <c r="N178" s="49">
        <f t="array" ref="N178">IFERROR(_xlfn.XLOOKUP($B178,EMPRESA_1!A:A,EMPRESA_1!J:J),"")</f>
        <v>46122</v>
      </c>
      <c r="O178" s="50" t="str">
        <f t="array" ref="O178">IFERROR(_xlfn.XLOOKUP(B178,EMPRESA_1!A:A,EMPRESA_1!K:K),"")
</f>
        <v>BAMN</v>
      </c>
      <c r="P178" s="19" t="str">
        <f t="array" ref="P178">IFERROR(_xlfn.XLOOKUP(B178,EMPRESA_1!A:A,EMPRESA_1!L:L),"")</f>
        <v>290/FAB/26</v>
      </c>
      <c r="Q178" s="49">
        <f t="array" ref="Q178">IFERROR(_xlfn.XLOOKUP(B178,EMPRESA_1!A:A,EMPRESA_1!J:J),"")</f>
        <v>46122</v>
      </c>
      <c r="R178" s="19" t="str">
        <f t="array" ref="R178">IFERROR(_xlfn.XLOOKUP(B178,EMPRESA_1!A:A,EMPRESA_1!M:M),"")</f>
        <v/>
      </c>
      <c r="S178" s="51"/>
      <c r="T178" s="51" t="str">
        <f t="array" ref="T178">IFERROR(_xlfn.XLOOKUP($F178,'Acerto virtual'!$E:$E,'Acerto virtual'!F:F),"")</f>
        <v>062/2026</v>
      </c>
      <c r="U178" s="51" t="str">
        <f t="array" ref="U178">IFERROR(_xlfn.XLOOKUP($F178,'Acerto virtual'!$E:$E,'Acerto virtual'!G:G),"")</f>
        <v>07/05</v>
      </c>
      <c r="V178" s="51" t="str">
        <f t="array" ref="V178">IFERROR(_xlfn.XLOOKUP($F178,'Acerto virtual'!$E:$E,'Acerto virtual'!H:H),"")</f>
        <v>08/05</v>
      </c>
      <c r="W178" s="51" t="str">
        <f t="array" ref="W178">IFERROR(_xlfn.XLOOKUP($F178,'Acerto virtual'!$E:$E,'Acerto virtual'!I:I),"")</f>
        <v>corrigir PN do certificado</v>
      </c>
      <c r="X178" s="51" t="str">
        <f t="array" ref="X178">IFERROR(_xlfn.XLOOKUP($F178,'Acerto virtual'!$E:$E,'Acerto virtual'!J:J),"")</f>
        <v/>
      </c>
      <c r="Y178" s="51" t="str">
        <f t="array" ref="Y178">IFERROR(_xlfn.XLOOKUP($F178,'Acerto virtual'!$E:$E,'Acerto virtual'!K:K),"")</f>
        <v/>
      </c>
      <c r="Z178" s="51" t="str">
        <f t="array" ref="Z178">IFERROR(_xlfn.XLOOKUP($F178,'Acerto virtual'!$E:$E,'Acerto virtual'!L:L),"")</f>
        <v/>
      </c>
      <c r="AA178" s="51" t="str">
        <f t="array" ref="AA178">IFERROR(_xlfn.XLOOKUP($F178,'Acerto virtual'!$E:$E,'Acerto virtual'!M:M),"")</f>
        <v/>
      </c>
      <c r="AB178" s="51" t="str">
        <f t="array" ref="AB178">IFERROR(_xlfn.XLOOKUP($F178,'Acerto virtual'!$E:$E,'Acerto virtual'!N:N),"")</f>
        <v/>
      </c>
      <c r="AC178" s="51" t="str">
        <f t="array" ref="AC178">IFERROR(_xlfn.XLOOKUP($F178,'Acerto virtual'!$E:$E,'Acerto virtual'!O:O),"")</f>
        <v/>
      </c>
      <c r="AD178" s="51" t="str">
        <f t="array" ref="AD178">IFERROR(_xlfn.XLOOKUP($F178,'Acerto virtual'!$E:$E,'Acerto virtual'!P:P),"")</f>
        <v/>
      </c>
      <c r="AE178" s="51" t="str">
        <f t="array" ref="AE178">IFERROR(_xlfn.XLOOKUP($F178,'Acerto virtual'!$E:$E,'Acerto virtual'!Q:Q),"")</f>
        <v/>
      </c>
      <c r="AF178" s="51" t="str">
        <f t="array" ref="AF178">IFERROR(_xlfn.XLOOKUP($F178,'Acerto virtual'!$E:$E,'Acerto virtual'!R:R),"")</f>
        <v/>
      </c>
      <c r="AG178" s="51" t="str">
        <f t="array" ref="AG178">IFERROR(_xlfn.XLOOKUP($F178,'Acerto virtual'!$E:$E,'Acerto virtual'!S:S),"")</f>
        <v/>
      </c>
      <c r="AH178" s="51" t="str">
        <f t="array" ref="AH178">IFERROR(_xlfn.XLOOKUP($F178,'Acerto virtual'!$E:$E,'Acerto virtual'!T:T),"")</f>
        <v/>
      </c>
      <c r="AI178" s="51" t="str">
        <f t="array" ref="AI178">IFERROR(_xlfn.XLOOKUP($F178,'Acerto virtual'!$E:$E,'Acerto virtual'!U:U),"")</f>
        <v/>
      </c>
    </row>
    <row r="179">
      <c r="A179" s="47" t="s">
        <v>678</v>
      </c>
      <c r="B179" s="47" t="s">
        <v>679</v>
      </c>
      <c r="C179" s="48" t="str">
        <f t="array" ref="C179">IFERROR(_xlfn.XLOOKUP($B179,'Histórico'!$B:$B,'Histórico'!$I:$I),"")</f>
        <v>030-18200</v>
      </c>
      <c r="D179" s="19" t="str">
        <f t="array" ref="D179">IFERROR(_xlfn.XLOOKUP($B179,'Histórico'!$B:$B,'Histórico'!$J:$J),"")</f>
        <v>33269</v>
      </c>
      <c r="E179" s="19" t="str">
        <f t="array" ref="E179">IFERROR(_xlfn.XLOOKUP($B179,'Histórico'!$B:$B,'Histórico'!$K:$K),"")</f>
        <v>MAIN WHEEL BRAKE</v>
      </c>
      <c r="F179" s="19" t="str">
        <f t="array" ref="F179">IFERROR(_xlfn.XLOOKUP($B179,'Histórico'!$B:$B,'Histórico'!$L:$L),"")</f>
        <v>01</v>
      </c>
      <c r="G179" s="49" t="str">
        <f t="array" ref="G179">IFERROR(_xlfn.XLOOKUP($B179,'Histórico'!$B:$B,'Histórico'!$F:$F),"")</f>
        <v>17/09/2025</v>
      </c>
      <c r="H179" s="19" t="str">
        <f t="array" ref="H179">IFERROR(_xlfn.XLOOKUP($B179,'Histórico'!$B:$B,'Histórico'!$AA:$AA),"")</f>
        <v>BANT</v>
      </c>
      <c r="I179" s="19" t="str">
        <f t="array" ref="I179">IFERROR(_xlfn.XLOOKUP($B179,Atual!$B:$B,Atual!$E:$E),"OS concluída")</f>
        <v>REC</v>
      </c>
      <c r="J179" s="19">
        <f t="shared" si="1"/>
        <v>393</v>
      </c>
      <c r="K179" s="19"/>
      <c r="L179" s="19" t="str">
        <f t="shared" si="2"/>
        <v>NÃO APLICÁVEL</v>
      </c>
      <c r="M179" s="19"/>
      <c r="N179" s="49" t="str">
        <f t="array" ref="N179">IFERROR(_xlfn.XLOOKUP($B179,EMPRESA_1!A:A,EMPRESA_1!J:J),"")</f>
        <v>CONDENADO</v>
      </c>
      <c r="O179" s="50" t="str">
        <f t="array" ref="O179">IFERROR(_xlfn.XLOOKUP(B179,EMPRESA_1!A:A,EMPRESA_1!K:K),"")
</f>
        <v>VEE ONE</v>
      </c>
      <c r="P179" s="48" t="str">
        <f t="array" ref="P179">IFERROR(_xlfn.XLOOKUP(B179,EMPRESA_1!A:A,EMPRESA_1!L:L),"")</f>
        <v/>
      </c>
      <c r="Q179" s="49" t="str">
        <f t="array" ref="Q179">IFERROR(_xlfn.XLOOKUP(B179,EMPRESA_1!A:A,EMPRESA_1!J:J),"")</f>
        <v>CONDENADO</v>
      </c>
      <c r="R179" s="19" t="str">
        <f t="array" ref="R179">IFERROR(_xlfn.XLOOKUP(B179,EMPRESA_1!A:A,EMPRESA_1!M:M),"")</f>
        <v/>
      </c>
      <c r="S179" s="51"/>
      <c r="T179" s="51" t="str">
        <f t="array" ref="T179">IFERROR(_xlfn.XLOOKUP($F179,'Acerto virtual'!$E:$E,'Acerto virtual'!F:F),"")</f>
        <v/>
      </c>
      <c r="U179" s="51" t="str">
        <f t="array" ref="U179">IFERROR(_xlfn.XLOOKUP($F179,'Acerto virtual'!$E:$E,'Acerto virtual'!G:G),"")</f>
        <v/>
      </c>
      <c r="V179" s="51" t="str">
        <f t="array" ref="V179">IFERROR(_xlfn.XLOOKUP($F179,'Acerto virtual'!$E:$E,'Acerto virtual'!H:H),"")</f>
        <v/>
      </c>
      <c r="W179" s="51" t="str">
        <f t="array" ref="W179">IFERROR(_xlfn.XLOOKUP($F179,'Acerto virtual'!$E:$E,'Acerto virtual'!I:I),"")</f>
        <v/>
      </c>
      <c r="X179" s="51" t="str">
        <f t="array" ref="X179">IFERROR(_xlfn.XLOOKUP($F179,'Acerto virtual'!$E:$E,'Acerto virtual'!J:J),"")</f>
        <v/>
      </c>
      <c r="Y179" s="51" t="str">
        <f t="array" ref="Y179">IFERROR(_xlfn.XLOOKUP($F179,'Acerto virtual'!$E:$E,'Acerto virtual'!K:K),"")</f>
        <v/>
      </c>
      <c r="Z179" s="51" t="str">
        <f t="array" ref="Z179">IFERROR(_xlfn.XLOOKUP($F179,'Acerto virtual'!$E:$E,'Acerto virtual'!L:L),"")</f>
        <v/>
      </c>
      <c r="AA179" s="51" t="str">
        <f t="array" ref="AA179">IFERROR(_xlfn.XLOOKUP($F179,'Acerto virtual'!$E:$E,'Acerto virtual'!M:M),"")</f>
        <v/>
      </c>
      <c r="AB179" s="51" t="str">
        <f t="array" ref="AB179">IFERROR(_xlfn.XLOOKUP($F179,'Acerto virtual'!$E:$E,'Acerto virtual'!N:N),"")</f>
        <v/>
      </c>
      <c r="AC179" s="51" t="str">
        <f t="array" ref="AC179">IFERROR(_xlfn.XLOOKUP($F179,'Acerto virtual'!$E:$E,'Acerto virtual'!O:O),"")</f>
        <v/>
      </c>
      <c r="AD179" s="51" t="str">
        <f t="array" ref="AD179">IFERROR(_xlfn.XLOOKUP($F179,'Acerto virtual'!$E:$E,'Acerto virtual'!P:P),"")</f>
        <v/>
      </c>
      <c r="AE179" s="51" t="str">
        <f t="array" ref="AE179">IFERROR(_xlfn.XLOOKUP($F179,'Acerto virtual'!$E:$E,'Acerto virtual'!Q:Q),"")</f>
        <v/>
      </c>
      <c r="AF179" s="51" t="str">
        <f t="array" ref="AF179">IFERROR(_xlfn.XLOOKUP($F179,'Acerto virtual'!$E:$E,'Acerto virtual'!R:R),"")</f>
        <v/>
      </c>
      <c r="AG179" s="51" t="str">
        <f t="array" ref="AG179">IFERROR(_xlfn.XLOOKUP($F179,'Acerto virtual'!$E:$E,'Acerto virtual'!S:S),"")</f>
        <v/>
      </c>
      <c r="AH179" s="51" t="str">
        <f t="array" ref="AH179">IFERROR(_xlfn.XLOOKUP($F179,'Acerto virtual'!$E:$E,'Acerto virtual'!T:T),"")</f>
        <v/>
      </c>
      <c r="AI179" s="51" t="str">
        <f t="array" ref="AI179">IFERROR(_xlfn.XLOOKUP($F179,'Acerto virtual'!$E:$E,'Acerto virtual'!U:U),"")</f>
        <v/>
      </c>
    </row>
    <row r="180">
      <c r="A180" s="47" t="s">
        <v>680</v>
      </c>
      <c r="B180" s="47" t="s">
        <v>681</v>
      </c>
      <c r="C180" s="48" t="str">
        <f t="array" ref="C180">IFERROR(_xlfn.XLOOKUP($B180,'Histórico'!$B:$B,'Histórico'!$I:$I),"")</f>
        <v>030-18200</v>
      </c>
      <c r="D180" s="19" t="str">
        <f t="array" ref="D180">IFERROR(_xlfn.XLOOKUP($B180,'Histórico'!$B:$B,'Histórico'!$J:$J),"")</f>
        <v>33269</v>
      </c>
      <c r="E180" s="19" t="str">
        <f t="array" ref="E180">IFERROR(_xlfn.XLOOKUP($B180,'Histórico'!$B:$B,'Histórico'!$K:$K),"")</f>
        <v>MAIN WHEEL BRAKE</v>
      </c>
      <c r="F180" s="19" t="str">
        <f t="array" ref="F180">IFERROR(_xlfn.XLOOKUP($B180,'Histórico'!$B:$B,'Histórico'!$L:$L),"")</f>
        <v>327</v>
      </c>
      <c r="G180" s="49" t="str">
        <f t="array" ref="G180">IFERROR(_xlfn.XLOOKUP($B180,'Histórico'!$B:$B,'Histórico'!$F:$F),"")</f>
        <v>17/09/2025</v>
      </c>
      <c r="H180" s="19" t="str">
        <f t="array" ref="H180">IFERROR(_xlfn.XLOOKUP($B180,'Histórico'!$B:$B,'Histórico'!$AA:$AA),"")</f>
        <v>BAMN</v>
      </c>
      <c r="I180" s="19" t="str">
        <f t="array" ref="I180">IFERROR(_xlfn.XLOOKUP($B180,Atual!$B:$B,Atual!$E:$E),"OS concluída")</f>
        <v>REC</v>
      </c>
      <c r="J180" s="19">
        <f t="shared" si="1"/>
        <v>393</v>
      </c>
      <c r="K180" s="19"/>
      <c r="L180" s="19">
        <f t="shared" si="2"/>
        <v>44</v>
      </c>
      <c r="M180" s="19"/>
      <c r="N180" s="49">
        <f t="array" ref="N180">IFERROR(_xlfn.XLOOKUP($B180,EMPRESA_1!A:A,EMPRESA_1!J:J),"")</f>
        <v>45961</v>
      </c>
      <c r="O180" s="50" t="str">
        <f t="array" ref="O180">IFERROR(_xlfn.XLOOKUP(B180,EMPRESA_1!A:A,EMPRESA_1!K:K),"")
</f>
        <v>BAMN</v>
      </c>
      <c r="P180" s="19" t="str">
        <f t="array" ref="P180">IFERROR(_xlfn.XLOOKUP(B180,EMPRESA_1!A:A,EMPRESA_1!L:L),"")</f>
        <v>198/FAB/25</v>
      </c>
      <c r="Q180" s="49">
        <f t="array" ref="Q180">IFERROR(_xlfn.XLOOKUP(B180,EMPRESA_1!A:A,EMPRESA_1!J:J),"")</f>
        <v>45961</v>
      </c>
      <c r="R180" s="19" t="str">
        <f t="array" ref="R180">IFERROR(_xlfn.XLOOKUP(B180,EMPRESA_1!A:A,EMPRESA_1!M:M),"")</f>
        <v/>
      </c>
      <c r="S180" s="51"/>
      <c r="T180" s="51" t="str">
        <f t="array" ref="T180">IFERROR(_xlfn.XLOOKUP($F180,'Acerto virtual'!$E:$E,'Acerto virtual'!F:F),"")</f>
        <v>035/2025</v>
      </c>
      <c r="U180" s="51" t="str">
        <f t="array" ref="U180">IFERROR(_xlfn.XLOOKUP($F180,'Acerto virtual'!$E:$E,'Acerto virtual'!G:G),"")</f>
        <v>04/11</v>
      </c>
      <c r="V180" s="51" t="str">
        <f t="array" ref="V180">IFERROR(_xlfn.XLOOKUP($F180,'Acerto virtual'!$E:$E,'Acerto virtual'!H:H),"")</f>
        <v>26/11</v>
      </c>
      <c r="W180" s="51" t="str">
        <f t="array" ref="W180">IFERROR(_xlfn.XLOOKUP($F180,'Acerto virtual'!$E:$E,'Acerto virtual'!I:I),"")</f>
        <v>12/12</v>
      </c>
      <c r="X180" s="51" t="str">
        <f t="array" ref="X180">IFERROR(_xlfn.XLOOKUP($F180,'Acerto virtual'!$E:$E,'Acerto virtual'!J:J),"")</f>
        <v>29/01</v>
      </c>
      <c r="Y180" s="51" t="str">
        <f t="array" ref="Y180">IFERROR(_xlfn.XLOOKUP($F180,'Acerto virtual'!$E:$E,'Acerto virtual'!K:K),"")</f>
        <v>11/02</v>
      </c>
      <c r="Z180" s="51" t="str">
        <f t="array" ref="Z180">IFERROR(_xlfn.XLOOKUP($F180,'Acerto virtual'!$E:$E,'Acerto virtual'!L:L),"")</f>
        <v>11/02</v>
      </c>
      <c r="AA180" s="51" t="str">
        <f t="array" ref="AA180">IFERROR(_xlfn.XLOOKUP($F180,'Acerto virtual'!$E:$E,'Acerto virtual'!M:M),"")</f>
        <v>12/02</v>
      </c>
      <c r="AB180" s="51" t="str">
        <f t="array" ref="AB180">IFERROR(_xlfn.XLOOKUP($F180,'Acerto virtual'!$E:$E,'Acerto virtual'!N:N),"")</f>
        <v>12/02</v>
      </c>
      <c r="AC180" s="51" t="str">
        <f t="array" ref="AC180">IFERROR(_xlfn.XLOOKUP($F180,'Acerto virtual'!$E:$E,'Acerto virtual'!O:O),"")</f>
        <v>12/02</v>
      </c>
      <c r="AD180" s="51" t="str">
        <f t="array" ref="AD180">IFERROR(_xlfn.XLOOKUP($F180,'Acerto virtual'!$E:$E,'Acerto virtual'!P:P),"")</f>
        <v>12/02</v>
      </c>
      <c r="AE180" s="51" t="str">
        <f t="array" ref="AE180">IFERROR(_xlfn.XLOOKUP($F180,'Acerto virtual'!$E:$E,'Acerto virtual'!Q:Q),"")</f>
        <v>12/02</v>
      </c>
      <c r="AF180" s="51" t="str">
        <f t="array" ref="AF180">IFERROR(_xlfn.XLOOKUP($F180,'Acerto virtual'!$E:$E,'Acerto virtual'!R:R),"")</f>
        <v>12/02</v>
      </c>
      <c r="AG180" s="51" t="str">
        <f t="array" ref="AG180">IFERROR(_xlfn.XLOOKUP($F180,'Acerto virtual'!$E:$E,'Acerto virtual'!S:S),"")</f>
        <v>12/02</v>
      </c>
      <c r="AH180" s="51" t="str">
        <f t="array" ref="AH180">IFERROR(_xlfn.XLOOKUP($F180,'Acerto virtual'!$E:$E,'Acerto virtual'!T:T),"")</f>
        <v>13/02</v>
      </c>
      <c r="AI180" s="51" t="str">
        <f t="array" ref="AI180">IFERROR(_xlfn.XLOOKUP($F180,'Acerto virtual'!$E:$E,'Acerto virtual'!U:U),"")</f>
        <v/>
      </c>
    </row>
    <row r="181">
      <c r="A181" s="47" t="s">
        <v>682</v>
      </c>
      <c r="B181" s="47" t="s">
        <v>683</v>
      </c>
      <c r="C181" s="48" t="str">
        <f t="array" ref="C181">IFERROR(_xlfn.XLOOKUP($B181,'Histórico'!$B:$B,'Histórico'!$I:$I),"")</f>
        <v>D210507</v>
      </c>
      <c r="D181" s="19" t="str">
        <f t="array" ref="D181">IFERROR(_xlfn.XLOOKUP($B181,'Histórico'!$B:$B,'Histórico'!$J:$J),"")</f>
        <v>66503</v>
      </c>
      <c r="E181" s="19" t="str">
        <f t="array" ref="E181">IFERROR(_xlfn.XLOOKUP($B181,'Histórico'!$B:$B,'Histórico'!$K:$K),"")</f>
        <v>GOVERNOR,OVERSPEED</v>
      </c>
      <c r="F181" s="19" t="str">
        <f t="array" ref="F181">IFERROR(_xlfn.XLOOKUP($B181,'Histórico'!$B:$B,'Histórico'!$L:$L),"")</f>
        <v>16389901</v>
      </c>
      <c r="G181" s="49" t="str">
        <f t="array" ref="G181">IFERROR(_xlfn.XLOOKUP($B181,'Histórico'!$B:$B,'Histórico'!$F:$F),"")</f>
        <v>07/10/2025</v>
      </c>
      <c r="H181" s="19" t="str">
        <f t="array" ref="H181">IFERROR(_xlfn.XLOOKUP($B181,'Histórico'!$B:$B,'Histórico'!$AA:$AA),"")</f>
        <v>PAMALS</v>
      </c>
      <c r="I181" s="19" t="str">
        <f t="array" ref="I181">IFERROR(_xlfn.XLOOKUP($B181,Atual!$B:$B,Atual!$E:$E),"OS concluída")</f>
        <v>REC</v>
      </c>
      <c r="J181" s="19">
        <f t="shared" si="1"/>
        <v>373</v>
      </c>
      <c r="K181" s="19"/>
      <c r="L181" s="19" t="str">
        <f t="shared" si="2"/>
        <v>NÃO APLICÁVEL</v>
      </c>
      <c r="M181" s="19"/>
      <c r="N181" s="49" t="str">
        <f t="array" ref="N181">IFERROR(_xlfn.XLOOKUP($B181,EMPRESA_1!A:A,EMPRESA_1!J:J),"")</f>
        <v>EM REPARO</v>
      </c>
      <c r="O181" s="50" t="str">
        <f t="array" ref="O181">IFERROR(_xlfn.XLOOKUP(B181,EMPRESA_1!A:A,EMPRESA_1!K:K),"")
</f>
        <v>LEAP</v>
      </c>
      <c r="P181" s="48" t="str">
        <f t="array" ref="P181">IFERROR(_xlfn.XLOOKUP(B181,EMPRESA_1!A:A,EMPRESA_1!L:L),"")</f>
        <v/>
      </c>
      <c r="Q181" s="49" t="str">
        <f t="array" ref="Q181">IFERROR(_xlfn.XLOOKUP(B181,EMPRESA_1!A:A,EMPRESA_1!J:J),"")</f>
        <v>EM REPARO</v>
      </c>
      <c r="R181" s="19" t="str">
        <f t="array" ref="R181">IFERROR(_xlfn.XLOOKUP(B181,EMPRESA_1!A:A,EMPRESA_1!M:M),"")</f>
        <v/>
      </c>
      <c r="S181" s="51"/>
      <c r="T181" s="51" t="str">
        <f t="array" ref="T181">IFERROR(_xlfn.XLOOKUP($F181,'Acerto virtual'!$E:$E,'Acerto virtual'!F:F),"")</f>
        <v/>
      </c>
      <c r="U181" s="51" t="str">
        <f t="array" ref="U181">IFERROR(_xlfn.XLOOKUP($F181,'Acerto virtual'!$E:$E,'Acerto virtual'!G:G),"")</f>
        <v/>
      </c>
      <c r="V181" s="51" t="str">
        <f t="array" ref="V181">IFERROR(_xlfn.XLOOKUP($F181,'Acerto virtual'!$E:$E,'Acerto virtual'!H:H),"")</f>
        <v/>
      </c>
      <c r="W181" s="51" t="str">
        <f t="array" ref="W181">IFERROR(_xlfn.XLOOKUP($F181,'Acerto virtual'!$E:$E,'Acerto virtual'!I:I),"")</f>
        <v/>
      </c>
      <c r="X181" s="51" t="str">
        <f t="array" ref="X181">IFERROR(_xlfn.XLOOKUP($F181,'Acerto virtual'!$E:$E,'Acerto virtual'!J:J),"")</f>
        <v/>
      </c>
      <c r="Y181" s="51" t="str">
        <f t="array" ref="Y181">IFERROR(_xlfn.XLOOKUP($F181,'Acerto virtual'!$E:$E,'Acerto virtual'!K:K),"")</f>
        <v/>
      </c>
      <c r="Z181" s="51" t="str">
        <f t="array" ref="Z181">IFERROR(_xlfn.XLOOKUP($F181,'Acerto virtual'!$E:$E,'Acerto virtual'!L:L),"")</f>
        <v/>
      </c>
      <c r="AA181" s="51" t="str">
        <f t="array" ref="AA181">IFERROR(_xlfn.XLOOKUP($F181,'Acerto virtual'!$E:$E,'Acerto virtual'!M:M),"")</f>
        <v/>
      </c>
      <c r="AB181" s="51" t="str">
        <f t="array" ref="AB181">IFERROR(_xlfn.XLOOKUP($F181,'Acerto virtual'!$E:$E,'Acerto virtual'!N:N),"")</f>
        <v/>
      </c>
      <c r="AC181" s="51" t="str">
        <f t="array" ref="AC181">IFERROR(_xlfn.XLOOKUP($F181,'Acerto virtual'!$E:$E,'Acerto virtual'!O:O),"")</f>
        <v/>
      </c>
      <c r="AD181" s="51" t="str">
        <f t="array" ref="AD181">IFERROR(_xlfn.XLOOKUP($F181,'Acerto virtual'!$E:$E,'Acerto virtual'!P:P),"")</f>
        <v/>
      </c>
      <c r="AE181" s="51" t="str">
        <f t="array" ref="AE181">IFERROR(_xlfn.XLOOKUP($F181,'Acerto virtual'!$E:$E,'Acerto virtual'!Q:Q),"")</f>
        <v/>
      </c>
      <c r="AF181" s="51" t="str">
        <f t="array" ref="AF181">IFERROR(_xlfn.XLOOKUP($F181,'Acerto virtual'!$E:$E,'Acerto virtual'!R:R),"")</f>
        <v/>
      </c>
      <c r="AG181" s="51" t="str">
        <f t="array" ref="AG181">IFERROR(_xlfn.XLOOKUP($F181,'Acerto virtual'!$E:$E,'Acerto virtual'!S:S),"")</f>
        <v/>
      </c>
      <c r="AH181" s="51" t="str">
        <f t="array" ref="AH181">IFERROR(_xlfn.XLOOKUP($F181,'Acerto virtual'!$E:$E,'Acerto virtual'!T:T),"")</f>
        <v/>
      </c>
      <c r="AI181" s="51" t="str">
        <f t="array" ref="AI181">IFERROR(_xlfn.XLOOKUP($F181,'Acerto virtual'!$E:$E,'Acerto virtual'!U:U),"")</f>
        <v/>
      </c>
    </row>
    <row r="182" hidden="1">
      <c r="A182" s="47" t="s">
        <v>684</v>
      </c>
      <c r="B182" s="47" t="s">
        <v>685</v>
      </c>
      <c r="C182" s="19" t="str">
        <f t="array" ref="C182">IFERROR(_xlfn.XLOOKUP($B182,'Histórico'!$B:$B,'Histórico'!$I:$I),"")</f>
        <v>D210507</v>
      </c>
      <c r="D182" s="19" t="str">
        <f t="array" ref="D182">IFERROR(_xlfn.XLOOKUP($B182,'Histórico'!$B:$B,'Histórico'!$J:$J),"")</f>
        <v>66503</v>
      </c>
      <c r="E182" s="19" t="str">
        <f t="array" ref="E182">IFERROR(_xlfn.XLOOKUP($B182,'Histórico'!$B:$B,'Histórico'!$K:$K),"")</f>
        <v>GOVERNOR,OVERSPEED</v>
      </c>
      <c r="F182" s="19" t="str">
        <f t="array" ref="F182">IFERROR(_xlfn.XLOOKUP($B182,'Histórico'!$B:$B,'Histórico'!$L:$L),"")</f>
        <v>18384912</v>
      </c>
      <c r="G182" s="49" t="str">
        <f t="array" ref="G182">IFERROR(_xlfn.XLOOKUP($B182,'Histórico'!$B:$B,'Histórico'!$F:$F),"")</f>
        <v>07/10/2025</v>
      </c>
      <c r="H182" s="19" t="str">
        <f t="array" ref="H182">IFERROR(_xlfn.XLOOKUP($B182,'Histórico'!$B:$B,'Histórico'!$AA:$AA),"")</f>
        <v>BACO</v>
      </c>
      <c r="I182" s="19" t="str">
        <f t="array" ref="I182">IFERROR(_xlfn.XLOOKUP($B182,Atual!$B:$B,Atual!$E:$E),"OS concluída")</f>
        <v>OS concluída</v>
      </c>
      <c r="J182" s="19" t="str">
        <f t="shared" si="1"/>
        <v/>
      </c>
      <c r="K182" s="19"/>
      <c r="L182" s="19" t="str">
        <f t="shared" si="2"/>
        <v/>
      </c>
      <c r="M182" s="19"/>
      <c r="N182" s="49" t="str">
        <f t="array" ref="N182">IFERROR(_xlfn.XLOOKUP($B182,Empresa!G:G,Empresa!K:K),"")</f>
        <v/>
      </c>
      <c r="O182" s="49"/>
      <c r="P182" s="19" t="str">
        <f t="array" ref="P182">IFERROR(_xlfn.XLOOKUP($F182,'Vee one'!F:F,'Vee one'!O:O),"")</f>
        <v/>
      </c>
      <c r="Q182" s="19" t="str">
        <f t="array" ref="Q182">IFERROR(_xlfn.XLOOKUP($F182,'Vee one'!F:F,'Vee one'!K:K),"")</f>
        <v/>
      </c>
      <c r="R182" s="19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</row>
    <row r="183">
      <c r="A183" s="47" t="s">
        <v>686</v>
      </c>
      <c r="B183" s="47" t="s">
        <v>687</v>
      </c>
      <c r="C183" s="48" t="str">
        <f t="array" ref="C183">IFERROR(_xlfn.XLOOKUP($B183,'Histórico'!$B:$B,'Histórico'!$I:$I),"")</f>
        <v>D210507</v>
      </c>
      <c r="D183" s="19" t="str">
        <f t="array" ref="D183">IFERROR(_xlfn.XLOOKUP($B183,'Histórico'!$B:$B,'Histórico'!$J:$J),"")</f>
        <v>66503</v>
      </c>
      <c r="E183" s="19" t="str">
        <f t="array" ref="E183">IFERROR(_xlfn.XLOOKUP($B183,'Histórico'!$B:$B,'Histórico'!$K:$K),"")</f>
        <v>GOVERNOR,OVERSPEED</v>
      </c>
      <c r="F183" s="19" t="str">
        <f t="array" ref="F183">IFERROR(_xlfn.XLOOKUP($B183,'Histórico'!$B:$B,'Histórico'!$L:$L),"")</f>
        <v>12253839V</v>
      </c>
      <c r="G183" s="49" t="str">
        <f t="array" ref="G183">IFERROR(_xlfn.XLOOKUP($B183,'Histórico'!$B:$B,'Histórico'!$F:$F),"")</f>
        <v>07/10/2025</v>
      </c>
      <c r="H183" s="19" t="str">
        <f t="array" ref="H183">IFERROR(_xlfn.XLOOKUP($B183,'Histórico'!$B:$B,'Histórico'!$AA:$AA),"")</f>
        <v>BAMN</v>
      </c>
      <c r="I183" s="19" t="str">
        <f t="array" ref="I183">IFERROR(_xlfn.XLOOKUP($B183,Atual!$B:$B,Atual!$E:$E),"OS concluída")</f>
        <v>REC</v>
      </c>
      <c r="J183" s="19">
        <f t="shared" si="1"/>
        <v>373</v>
      </c>
      <c r="K183" s="19"/>
      <c r="L183" s="19" t="str">
        <f t="shared" si="2"/>
        <v>NÃO APLICÁVEL</v>
      </c>
      <c r="M183" s="19"/>
      <c r="N183" s="49" t="str">
        <f t="array" ref="N183">IFERROR(_xlfn.XLOOKUP($B183,EMPRESA_1!A:A,EMPRESA_1!J:J),"")</f>
        <v>EM REPARO</v>
      </c>
      <c r="O183" s="50" t="str">
        <f t="array" ref="O183">IFERROR(_xlfn.XLOOKUP(B183,EMPRESA_1!A:A,EMPRESA_1!K:K),"")
</f>
        <v>LEAP</v>
      </c>
      <c r="P183" s="48" t="str">
        <f t="array" ref="P183">IFERROR(_xlfn.XLOOKUP(B183,EMPRESA_1!A:A,EMPRESA_1!L:L),"")</f>
        <v/>
      </c>
      <c r="Q183" s="49" t="str">
        <f t="array" ref="Q183">IFERROR(_xlfn.XLOOKUP(B183,EMPRESA_1!A:A,EMPRESA_1!J:J),"")</f>
        <v>EM REPARO</v>
      </c>
      <c r="R183" s="19" t="str">
        <f t="array" ref="R183">IFERROR(_xlfn.XLOOKUP(B183,EMPRESA_1!A:A,EMPRESA_1!M:M),"")</f>
        <v/>
      </c>
      <c r="S183" s="51"/>
      <c r="T183" s="51" t="str">
        <f t="array" ref="T183">IFERROR(_xlfn.XLOOKUP($F183,'Acerto virtual'!$E:$E,'Acerto virtual'!F:F),"")</f>
        <v/>
      </c>
      <c r="U183" s="51" t="str">
        <f t="array" ref="U183">IFERROR(_xlfn.XLOOKUP($F183,'Acerto virtual'!$E:$E,'Acerto virtual'!G:G),"")</f>
        <v/>
      </c>
      <c r="V183" s="51" t="str">
        <f t="array" ref="V183">IFERROR(_xlfn.XLOOKUP($F183,'Acerto virtual'!$E:$E,'Acerto virtual'!H:H),"")</f>
        <v/>
      </c>
      <c r="W183" s="51" t="str">
        <f t="array" ref="W183">IFERROR(_xlfn.XLOOKUP($F183,'Acerto virtual'!$E:$E,'Acerto virtual'!I:I),"")</f>
        <v/>
      </c>
      <c r="X183" s="51" t="str">
        <f t="array" ref="X183">IFERROR(_xlfn.XLOOKUP($F183,'Acerto virtual'!$E:$E,'Acerto virtual'!J:J),"")</f>
        <v/>
      </c>
      <c r="Y183" s="51" t="str">
        <f t="array" ref="Y183">IFERROR(_xlfn.XLOOKUP($F183,'Acerto virtual'!$E:$E,'Acerto virtual'!K:K),"")</f>
        <v/>
      </c>
      <c r="Z183" s="51" t="str">
        <f t="array" ref="Z183">IFERROR(_xlfn.XLOOKUP($F183,'Acerto virtual'!$E:$E,'Acerto virtual'!L:L),"")</f>
        <v/>
      </c>
      <c r="AA183" s="51" t="str">
        <f t="array" ref="AA183">IFERROR(_xlfn.XLOOKUP($F183,'Acerto virtual'!$E:$E,'Acerto virtual'!M:M),"")</f>
        <v/>
      </c>
      <c r="AB183" s="51" t="str">
        <f t="array" ref="AB183">IFERROR(_xlfn.XLOOKUP($F183,'Acerto virtual'!$E:$E,'Acerto virtual'!N:N),"")</f>
        <v/>
      </c>
      <c r="AC183" s="51" t="str">
        <f t="array" ref="AC183">IFERROR(_xlfn.XLOOKUP($F183,'Acerto virtual'!$E:$E,'Acerto virtual'!O:O),"")</f>
        <v/>
      </c>
      <c r="AD183" s="51" t="str">
        <f t="array" ref="AD183">IFERROR(_xlfn.XLOOKUP($F183,'Acerto virtual'!$E:$E,'Acerto virtual'!P:P),"")</f>
        <v/>
      </c>
      <c r="AE183" s="51" t="str">
        <f t="array" ref="AE183">IFERROR(_xlfn.XLOOKUP($F183,'Acerto virtual'!$E:$E,'Acerto virtual'!Q:Q),"")</f>
        <v/>
      </c>
      <c r="AF183" s="51" t="str">
        <f t="array" ref="AF183">IFERROR(_xlfn.XLOOKUP($F183,'Acerto virtual'!$E:$E,'Acerto virtual'!R:R),"")</f>
        <v/>
      </c>
      <c r="AG183" s="51" t="str">
        <f t="array" ref="AG183">IFERROR(_xlfn.XLOOKUP($F183,'Acerto virtual'!$E:$E,'Acerto virtual'!S:S),"")</f>
        <v/>
      </c>
      <c r="AH183" s="51" t="str">
        <f t="array" ref="AH183">IFERROR(_xlfn.XLOOKUP($F183,'Acerto virtual'!$E:$E,'Acerto virtual'!T:T),"")</f>
        <v/>
      </c>
      <c r="AI183" s="51" t="str">
        <f t="array" ref="AI183">IFERROR(_xlfn.XLOOKUP($F183,'Acerto virtual'!$E:$E,'Acerto virtual'!U:U),"")</f>
        <v/>
      </c>
    </row>
    <row r="184" hidden="1">
      <c r="A184" s="47" t="s">
        <v>688</v>
      </c>
      <c r="B184" s="47" t="s">
        <v>689</v>
      </c>
      <c r="C184" s="19" t="str">
        <f t="array" ref="C184">IFERROR(_xlfn.XLOOKUP($B184,'Histórico'!$B:$B,'Histórico'!$I:$I),"")</f>
        <v>D210507</v>
      </c>
      <c r="D184" s="19" t="str">
        <f t="array" ref="D184">IFERROR(_xlfn.XLOOKUP($B184,'Histórico'!$B:$B,'Histórico'!$J:$J),"")</f>
        <v>66503</v>
      </c>
      <c r="E184" s="19" t="str">
        <f t="array" ref="E184">IFERROR(_xlfn.XLOOKUP($B184,'Histórico'!$B:$B,'Histórico'!$K:$K),"")</f>
        <v>GOVERNOR,OVERSPEED</v>
      </c>
      <c r="F184" s="19" t="str">
        <f t="array" ref="F184">IFERROR(_xlfn.XLOOKUP($B184,'Histórico'!$B:$B,'Histórico'!$L:$L),"")</f>
        <v>12245097V</v>
      </c>
      <c r="G184" s="49" t="str">
        <f t="array" ref="G184">IFERROR(_xlfn.XLOOKUP($B184,'Histórico'!$B:$B,'Histórico'!$F:$F),"")</f>
        <v>07/10/2025</v>
      </c>
      <c r="H184" s="19" t="str">
        <f t="array" ref="H184">IFERROR(_xlfn.XLOOKUP($B184,'Histórico'!$B:$B,'Histórico'!$AA:$AA),"")</f>
        <v>BAMN</v>
      </c>
      <c r="I184" s="19" t="str">
        <f t="array" ref="I184">IFERROR(_xlfn.XLOOKUP($B184,Atual!$B:$B,Atual!$E:$E),"OS concluída")</f>
        <v>OS concluída</v>
      </c>
      <c r="J184" s="19" t="str">
        <f t="shared" si="1"/>
        <v/>
      </c>
      <c r="K184" s="19"/>
      <c r="L184" s="19" t="str">
        <f t="shared" si="2"/>
        <v/>
      </c>
      <c r="M184" s="19"/>
      <c r="N184" s="49" t="str">
        <f t="shared" ref="N184:N185" si="50">IFERROR(_xlfn.XLOOKUP($B184,Empresa!G:G,Empresa!K:K),"")</f>
        <v/>
      </c>
      <c r="O184" s="49"/>
      <c r="P184" s="19" t="str">
        <f t="shared" ref="P184:P185" si="51">IFERROR(_xlfn.XLOOKUP($F184,'Vee one'!F:F,'Vee one'!O:O),"")</f>
        <v/>
      </c>
      <c r="Q184" s="19" t="str">
        <f t="shared" ref="Q184:Q185" si="52">IFERROR(_xlfn.XLOOKUP($F184,'Vee one'!F:F,'Vee one'!K:K),"")</f>
        <v/>
      </c>
      <c r="R184" s="19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</row>
    <row r="185" hidden="1">
      <c r="A185" s="47" t="s">
        <v>690</v>
      </c>
      <c r="B185" s="47" t="s">
        <v>691</v>
      </c>
      <c r="C185" s="19" t="str">
        <f t="array" ref="C185">IFERROR(_xlfn.XLOOKUP($B185,'Histórico'!$B:$B,'Histórico'!$I:$I),"")</f>
        <v>D210507</v>
      </c>
      <c r="D185" s="19" t="str">
        <f t="array" ref="D185">IFERROR(_xlfn.XLOOKUP($B185,'Histórico'!$B:$B,'Histórico'!$J:$J),"")</f>
        <v>66503</v>
      </c>
      <c r="E185" s="19" t="str">
        <f t="array" ref="E185">IFERROR(_xlfn.XLOOKUP($B185,'Histórico'!$B:$B,'Histórico'!$K:$K),"")</f>
        <v>GOVERNOR,OVERSPEED</v>
      </c>
      <c r="F185" s="19" t="str">
        <f t="array" ref="F185">IFERROR(_xlfn.XLOOKUP($B185,'Histórico'!$B:$B,'Histórico'!$L:$L),"")</f>
        <v>16940865</v>
      </c>
      <c r="G185" s="49" t="str">
        <f t="array" ref="G185">IFERROR(_xlfn.XLOOKUP($B185,'Histórico'!$B:$B,'Histórico'!$F:$F),"")</f>
        <v>07/10/2025</v>
      </c>
      <c r="H185" s="19" t="str">
        <f t="array" ref="H185">IFERROR(_xlfn.XLOOKUP($B185,'Histórico'!$B:$B,'Histórico'!$AA:$AA),"")</f>
        <v>ALA 5</v>
      </c>
      <c r="I185" s="19" t="str">
        <f t="array" ref="I185">IFERROR(_xlfn.XLOOKUP($B185,Atual!$B:$B,Atual!$E:$E),"OS concluída")</f>
        <v>OS concluída</v>
      </c>
      <c r="J185" s="19" t="str">
        <f t="shared" si="1"/>
        <v/>
      </c>
      <c r="K185" s="19"/>
      <c r="L185" s="19" t="str">
        <f t="shared" si="2"/>
        <v/>
      </c>
      <c r="M185" s="19"/>
      <c r="N185" s="49" t="str">
        <f t="shared" si="50"/>
        <v/>
      </c>
      <c r="O185" s="49"/>
      <c r="P185" s="19" t="str">
        <f t="shared" si="51"/>
        <v/>
      </c>
      <c r="Q185" s="19" t="str">
        <f t="shared" si="52"/>
        <v/>
      </c>
      <c r="R185" s="19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</row>
    <row r="186">
      <c r="A186" s="47" t="s">
        <v>692</v>
      </c>
      <c r="B186" s="47" t="s">
        <v>693</v>
      </c>
      <c r="C186" s="48" t="str">
        <f t="array" ref="C186">IFERROR(_xlfn.XLOOKUP($B186,'Histórico'!$B:$B,'Histórico'!$I:$I),"")</f>
        <v>011-00877-00</v>
      </c>
      <c r="D186" s="19" t="str">
        <f t="array" ref="D186">IFERROR(_xlfn.XLOOKUP($B186,'Histórico'!$B:$B,'Histórico'!$J:$J),"")</f>
        <v>0TRC3</v>
      </c>
      <c r="E186" s="19" t="str">
        <f t="array" ref="E186">IFERROR(_xlfn.XLOOKUP($B186,'Histórico'!$B:$B,'Histórico'!$K:$K),"")</f>
        <v>GSA-80 SERVO ROL,YAW,SPEC</v>
      </c>
      <c r="F186" s="19" t="str">
        <f t="array" ref="F186">IFERROR(_xlfn.XLOOKUP($B186,'Histórico'!$B:$B,'Histórico'!$L:$L),"")</f>
        <v>66307595</v>
      </c>
      <c r="G186" s="49" t="str">
        <f t="array" ref="G186">IFERROR(_xlfn.XLOOKUP($B186,'Histórico'!$B:$B,'Histórico'!$F:$F),"")</f>
        <v>07/10/2025</v>
      </c>
      <c r="H186" s="19" t="str">
        <f t="array" ref="H186">IFERROR(_xlfn.XLOOKUP($B186,'Histórico'!$B:$B,'Histórico'!$AA:$AA),"")</f>
        <v>DACTA II</v>
      </c>
      <c r="I186" s="19" t="str">
        <f t="array" ref="I186">IFERROR(_xlfn.XLOOKUP($B186,Atual!$B:$B,Atual!$E:$E),"OS concluída")</f>
        <v>REC</v>
      </c>
      <c r="J186" s="19">
        <f t="shared" si="1"/>
        <v>373</v>
      </c>
      <c r="K186" s="19"/>
      <c r="L186" s="19" t="str">
        <f t="shared" si="2"/>
        <v>NÃO APLICÁVEL</v>
      </c>
      <c r="M186" s="19"/>
      <c r="N186" s="49" t="str">
        <f t="array" ref="N186">IFERROR(_xlfn.XLOOKUP($B186,EMPRESA_1!A:A,EMPRESA_1!J:J),"")</f>
        <v>EM REPARO</v>
      </c>
      <c r="O186" s="50" t="str">
        <f t="array" ref="O186">IFERROR(_xlfn.XLOOKUP(B186,EMPRESA_1!A:A,EMPRESA_1!K:K),"")
</f>
        <v>VEE ONE</v>
      </c>
      <c r="P186" s="48" t="str">
        <f t="array" ref="P186">IFERROR(_xlfn.XLOOKUP(B186,EMPRESA_1!A:A,EMPRESA_1!L:L),"")</f>
        <v/>
      </c>
      <c r="Q186" s="49" t="str">
        <f t="array" ref="Q186">IFERROR(_xlfn.XLOOKUP(B186,EMPRESA_1!A:A,EMPRESA_1!J:J),"")</f>
        <v>EM REPARO</v>
      </c>
      <c r="R186" s="19">
        <f t="array" ref="R186">IFERROR(_xlfn.XLOOKUP(B186,EMPRESA_1!A:A,EMPRESA_1!M:M),"")</f>
        <v>66305639</v>
      </c>
      <c r="S186" s="51"/>
      <c r="T186" s="51" t="str">
        <f t="array" ref="T186">IFERROR(_xlfn.XLOOKUP($F186,'Acerto virtual'!$E:$E,'Acerto virtual'!F:F),"")</f>
        <v/>
      </c>
      <c r="U186" s="51" t="str">
        <f t="array" ref="U186">IFERROR(_xlfn.XLOOKUP($F186,'Acerto virtual'!$E:$E,'Acerto virtual'!G:G),"")</f>
        <v/>
      </c>
      <c r="V186" s="51" t="str">
        <f t="array" ref="V186">IFERROR(_xlfn.XLOOKUP($F186,'Acerto virtual'!$E:$E,'Acerto virtual'!H:H),"")</f>
        <v/>
      </c>
      <c r="W186" s="51" t="str">
        <f t="array" ref="W186">IFERROR(_xlfn.XLOOKUP($F186,'Acerto virtual'!$E:$E,'Acerto virtual'!I:I),"")</f>
        <v/>
      </c>
      <c r="X186" s="51" t="str">
        <f t="array" ref="X186">IFERROR(_xlfn.XLOOKUP($F186,'Acerto virtual'!$E:$E,'Acerto virtual'!J:J),"")</f>
        <v/>
      </c>
      <c r="Y186" s="51" t="str">
        <f t="array" ref="Y186">IFERROR(_xlfn.XLOOKUP($F186,'Acerto virtual'!$E:$E,'Acerto virtual'!K:K),"")</f>
        <v/>
      </c>
      <c r="Z186" s="51" t="str">
        <f t="array" ref="Z186">IFERROR(_xlfn.XLOOKUP($F186,'Acerto virtual'!$E:$E,'Acerto virtual'!L:L),"")</f>
        <v/>
      </c>
      <c r="AA186" s="51" t="str">
        <f t="array" ref="AA186">IFERROR(_xlfn.XLOOKUP($F186,'Acerto virtual'!$E:$E,'Acerto virtual'!M:M),"")</f>
        <v/>
      </c>
      <c r="AB186" s="51" t="str">
        <f t="array" ref="AB186">IFERROR(_xlfn.XLOOKUP($F186,'Acerto virtual'!$E:$E,'Acerto virtual'!N:N),"")</f>
        <v/>
      </c>
      <c r="AC186" s="51" t="str">
        <f t="array" ref="AC186">IFERROR(_xlfn.XLOOKUP($F186,'Acerto virtual'!$E:$E,'Acerto virtual'!O:O),"")</f>
        <v/>
      </c>
      <c r="AD186" s="51" t="str">
        <f t="array" ref="AD186">IFERROR(_xlfn.XLOOKUP($F186,'Acerto virtual'!$E:$E,'Acerto virtual'!P:P),"")</f>
        <v/>
      </c>
      <c r="AE186" s="51" t="str">
        <f t="array" ref="AE186">IFERROR(_xlfn.XLOOKUP($F186,'Acerto virtual'!$E:$E,'Acerto virtual'!Q:Q),"")</f>
        <v/>
      </c>
      <c r="AF186" s="51" t="str">
        <f t="array" ref="AF186">IFERROR(_xlfn.XLOOKUP($F186,'Acerto virtual'!$E:$E,'Acerto virtual'!R:R),"")</f>
        <v/>
      </c>
      <c r="AG186" s="51" t="str">
        <f t="array" ref="AG186">IFERROR(_xlfn.XLOOKUP($F186,'Acerto virtual'!$E:$E,'Acerto virtual'!S:S),"")</f>
        <v/>
      </c>
      <c r="AH186" s="51" t="str">
        <f t="array" ref="AH186">IFERROR(_xlfn.XLOOKUP($F186,'Acerto virtual'!$E:$E,'Acerto virtual'!T:T),"")</f>
        <v/>
      </c>
      <c r="AI186" s="51" t="str">
        <f t="array" ref="AI186">IFERROR(_xlfn.XLOOKUP($F186,'Acerto virtual'!$E:$E,'Acerto virtual'!U:U),"")</f>
        <v/>
      </c>
    </row>
    <row r="187">
      <c r="A187" s="47" t="s">
        <v>694</v>
      </c>
      <c r="B187" s="47" t="s">
        <v>695</v>
      </c>
      <c r="C187" s="48" t="str">
        <f t="array" ref="C187">IFERROR(_xlfn.XLOOKUP($B187,'Histórico'!$B:$B,'Histórico'!$I:$I),"")</f>
        <v>2601188-8</v>
      </c>
      <c r="D187" s="19" t="str">
        <f t="array" ref="D187">IFERROR(_xlfn.XLOOKUP($B187,'Histórico'!$B:$B,'Histórico'!$J:$J),"")</f>
        <v>7EK50</v>
      </c>
      <c r="E187" s="19" t="str">
        <f t="array" ref="E187">IFERROR(_xlfn.XLOOKUP($B187,'Histórico'!$B:$B,'Histórico'!$K:$K),"")</f>
        <v>COMPRESSOR DRIVE ASSY R134A</v>
      </c>
      <c r="F187" s="19" t="str">
        <f t="array" ref="F187">IFERROR(_xlfn.XLOOKUP($B187,'Histórico'!$B:$B,'Histórico'!$L:$L),"")</f>
        <v/>
      </c>
      <c r="G187" s="49" t="str">
        <f t="array" ref="G187">IFERROR(_xlfn.XLOOKUP($B187,'Histórico'!$B:$B,'Histórico'!$F:$F),"")</f>
        <v>09/10/2025</v>
      </c>
      <c r="H187" s="19" t="str">
        <f t="array" ref="H187">IFERROR(_xlfn.XLOOKUP($B187,'Histórico'!$B:$B,'Histórico'!$AA:$AA),"")</f>
        <v>PAMASP</v>
      </c>
      <c r="I187" s="19" t="str">
        <f t="array" ref="I187">IFERROR(_xlfn.XLOOKUP($B187,Atual!$B:$B,Atual!$E:$E),"OS concluída")</f>
        <v>REC</v>
      </c>
      <c r="J187" s="19">
        <f t="shared" si="1"/>
        <v>371</v>
      </c>
      <c r="K187" s="19"/>
      <c r="L187" s="19" t="str">
        <f t="shared" si="2"/>
        <v/>
      </c>
      <c r="M187" s="19"/>
      <c r="N187" s="49" t="str">
        <f t="array" ref="N187">IFERROR(_xlfn.XLOOKUP($B187,EMPRESA_1!A:A,EMPRESA_1!J:J),"")</f>
        <v/>
      </c>
      <c r="O187" s="50" t="str">
        <f t="array" ref="O187">IFERROR(_xlfn.XLOOKUP(B187,EMPRESA_1!A:A,EMPRESA_1!K:K),"")
</f>
        <v>PROCURANDO</v>
      </c>
      <c r="P187" s="19" t="str">
        <f t="array" ref="P187">IFERROR(_xlfn.XLOOKUP(B187,EMPRESA_1!A:A,EMPRESA_1!L:L),"")</f>
        <v/>
      </c>
      <c r="Q187" s="49" t="str">
        <f t="array" ref="Q187">IFERROR(_xlfn.XLOOKUP(B187,EMPRESA_1!A:A,EMPRESA_1!J:J),"")</f>
        <v/>
      </c>
      <c r="R187" s="19" t="str">
        <f t="array" ref="R187">IFERROR(_xlfn.XLOOKUP(B187,EMPRESA_1!A:A,EMPRESA_1!M:M),"")</f>
        <v/>
      </c>
      <c r="S187" s="51"/>
      <c r="T187" s="51" t="str">
        <f t="array" ref="T187">IFERROR(_xlfn.XLOOKUP($F187,'Acerto virtual'!$E:$E,'Acerto virtual'!F:F),"")</f>
        <v/>
      </c>
      <c r="U187" s="51" t="str">
        <f t="array" ref="U187">IFERROR(_xlfn.XLOOKUP($F187,'Acerto virtual'!$E:$E,'Acerto virtual'!G:G),"")</f>
        <v/>
      </c>
      <c r="V187" s="51" t="str">
        <f t="array" ref="V187">IFERROR(_xlfn.XLOOKUP($F187,'Acerto virtual'!$E:$E,'Acerto virtual'!H:H),"")</f>
        <v/>
      </c>
      <c r="W187" s="51" t="str">
        <f t="array" ref="W187">IFERROR(_xlfn.XLOOKUP($F187,'Acerto virtual'!$E:$E,'Acerto virtual'!I:I),"")</f>
        <v/>
      </c>
      <c r="X187" s="51" t="str">
        <f t="array" ref="X187">IFERROR(_xlfn.XLOOKUP($F187,'Acerto virtual'!$E:$E,'Acerto virtual'!J:J),"")</f>
        <v/>
      </c>
      <c r="Y187" s="51" t="str">
        <f t="array" ref="Y187">IFERROR(_xlfn.XLOOKUP($F187,'Acerto virtual'!$E:$E,'Acerto virtual'!K:K),"")</f>
        <v/>
      </c>
      <c r="Z187" s="51" t="str">
        <f t="array" ref="Z187">IFERROR(_xlfn.XLOOKUP($F187,'Acerto virtual'!$E:$E,'Acerto virtual'!L:L),"")</f>
        <v/>
      </c>
      <c r="AA187" s="51" t="str">
        <f t="array" ref="AA187">IFERROR(_xlfn.XLOOKUP($F187,'Acerto virtual'!$E:$E,'Acerto virtual'!M:M),"")</f>
        <v/>
      </c>
      <c r="AB187" s="51" t="str">
        <f t="array" ref="AB187">IFERROR(_xlfn.XLOOKUP($F187,'Acerto virtual'!$E:$E,'Acerto virtual'!N:N),"")</f>
        <v/>
      </c>
      <c r="AC187" s="51" t="str">
        <f t="array" ref="AC187">IFERROR(_xlfn.XLOOKUP($F187,'Acerto virtual'!$E:$E,'Acerto virtual'!O:O),"")</f>
        <v/>
      </c>
      <c r="AD187" s="51" t="str">
        <f t="array" ref="AD187">IFERROR(_xlfn.XLOOKUP($F187,'Acerto virtual'!$E:$E,'Acerto virtual'!P:P),"")</f>
        <v/>
      </c>
      <c r="AE187" s="51" t="str">
        <f t="array" ref="AE187">IFERROR(_xlfn.XLOOKUP($F187,'Acerto virtual'!$E:$E,'Acerto virtual'!Q:Q),"")</f>
        <v/>
      </c>
      <c r="AF187" s="51" t="str">
        <f t="array" ref="AF187">IFERROR(_xlfn.XLOOKUP($F187,'Acerto virtual'!$E:$E,'Acerto virtual'!R:R),"")</f>
        <v/>
      </c>
      <c r="AG187" s="51" t="str">
        <f t="array" ref="AG187">IFERROR(_xlfn.XLOOKUP($F187,'Acerto virtual'!$E:$E,'Acerto virtual'!S:S),"")</f>
        <v/>
      </c>
      <c r="AH187" s="51" t="str">
        <f t="array" ref="AH187">IFERROR(_xlfn.XLOOKUP($F187,'Acerto virtual'!$E:$E,'Acerto virtual'!T:T),"")</f>
        <v/>
      </c>
      <c r="AI187" s="51" t="str">
        <f t="array" ref="AI187">IFERROR(_xlfn.XLOOKUP($F187,'Acerto virtual'!$E:$E,'Acerto virtual'!U:U),"")</f>
        <v/>
      </c>
    </row>
    <row r="188">
      <c r="A188" s="47" t="s">
        <v>696</v>
      </c>
      <c r="B188" s="47" t="s">
        <v>697</v>
      </c>
      <c r="C188" s="48" t="str">
        <f t="array" ref="C188">IFERROR(_xlfn.XLOOKUP($B188,'Histórico'!$B:$B,'Histórico'!$I:$I),"")</f>
        <v>011-00877-00</v>
      </c>
      <c r="D188" s="19" t="str">
        <f t="array" ref="D188">IFERROR(_xlfn.XLOOKUP($B188,'Histórico'!$B:$B,'Histórico'!$J:$J),"")</f>
        <v>0TRC3</v>
      </c>
      <c r="E188" s="19" t="str">
        <f t="array" ref="E188">IFERROR(_xlfn.XLOOKUP($B188,'Histórico'!$B:$B,'Histórico'!$K:$K),"")</f>
        <v>GSA-80 SERVO ROL,YAW,SPEC</v>
      </c>
      <c r="F188" s="19" t="str">
        <f t="array" ref="F188">IFERROR(_xlfn.XLOOKUP($B188,'Histórico'!$B:$B,'Histórico'!$L:$L),"")</f>
        <v>66307562</v>
      </c>
      <c r="G188" s="49" t="str">
        <f t="array" ref="G188">IFERROR(_xlfn.XLOOKUP($B188,'Histórico'!$B:$B,'Histórico'!$F:$F),"")</f>
        <v>09/10/2025</v>
      </c>
      <c r="H188" s="19" t="str">
        <f t="array" ref="H188">IFERROR(_xlfn.XLOOKUP($B188,'Histórico'!$B:$B,'Histórico'!$AA:$AA),"")</f>
        <v>DACTA II</v>
      </c>
      <c r="I188" s="19" t="str">
        <f t="array" ref="I188">IFERROR(_xlfn.XLOOKUP($B188,Atual!$B:$B,Atual!$E:$E),"OS concluída")</f>
        <v>REC</v>
      </c>
      <c r="J188" s="19">
        <f t="shared" si="1"/>
        <v>371</v>
      </c>
      <c r="K188" s="19"/>
      <c r="L188" s="19" t="str">
        <f t="shared" si="2"/>
        <v>NÃO APLICÁVEL</v>
      </c>
      <c r="M188" s="19"/>
      <c r="N188" s="49" t="str">
        <f t="array" ref="N188">IFERROR(_xlfn.XLOOKUP($B188,EMPRESA_1!A:A,EMPRESA_1!J:J),"")</f>
        <v>EM REPARO</v>
      </c>
      <c r="O188" s="50" t="str">
        <f t="array" ref="O188">IFERROR(_xlfn.XLOOKUP(B188,EMPRESA_1!A:A,EMPRESA_1!K:K),"")
</f>
        <v>VEE ONE</v>
      </c>
      <c r="P188" s="48" t="str">
        <f t="array" ref="P188">IFERROR(_xlfn.XLOOKUP(B188,EMPRESA_1!A:A,EMPRESA_1!L:L),"")</f>
        <v/>
      </c>
      <c r="Q188" s="49" t="str">
        <f t="array" ref="Q188">IFERROR(_xlfn.XLOOKUP(B188,EMPRESA_1!A:A,EMPRESA_1!J:J),"")</f>
        <v>EM REPARO</v>
      </c>
      <c r="R188" s="19" t="str">
        <f t="array" ref="R188">IFERROR(_xlfn.XLOOKUP(B188,EMPRESA_1!A:A,EMPRESA_1!M:M),"")</f>
        <v/>
      </c>
      <c r="S188" s="51"/>
      <c r="T188" s="51" t="str">
        <f t="array" ref="T188">IFERROR(_xlfn.XLOOKUP($F188,'Acerto virtual'!$E:$E,'Acerto virtual'!F:F),"")</f>
        <v/>
      </c>
      <c r="U188" s="51" t="str">
        <f t="array" ref="U188">IFERROR(_xlfn.XLOOKUP($F188,'Acerto virtual'!$E:$E,'Acerto virtual'!G:G),"")</f>
        <v/>
      </c>
      <c r="V188" s="51" t="str">
        <f t="array" ref="V188">IFERROR(_xlfn.XLOOKUP($F188,'Acerto virtual'!$E:$E,'Acerto virtual'!H:H),"")</f>
        <v/>
      </c>
      <c r="W188" s="51" t="str">
        <f t="array" ref="W188">IFERROR(_xlfn.XLOOKUP($F188,'Acerto virtual'!$E:$E,'Acerto virtual'!I:I),"")</f>
        <v/>
      </c>
      <c r="X188" s="51" t="str">
        <f t="array" ref="X188">IFERROR(_xlfn.XLOOKUP($F188,'Acerto virtual'!$E:$E,'Acerto virtual'!J:J),"")</f>
        <v/>
      </c>
      <c r="Y188" s="51" t="str">
        <f t="array" ref="Y188">IFERROR(_xlfn.XLOOKUP($F188,'Acerto virtual'!$E:$E,'Acerto virtual'!K:K),"")</f>
        <v/>
      </c>
      <c r="Z188" s="51" t="str">
        <f t="array" ref="Z188">IFERROR(_xlfn.XLOOKUP($F188,'Acerto virtual'!$E:$E,'Acerto virtual'!L:L),"")</f>
        <v/>
      </c>
      <c r="AA188" s="51" t="str">
        <f t="array" ref="AA188">IFERROR(_xlfn.XLOOKUP($F188,'Acerto virtual'!$E:$E,'Acerto virtual'!M:M),"")</f>
        <v/>
      </c>
      <c r="AB188" s="51" t="str">
        <f t="array" ref="AB188">IFERROR(_xlfn.XLOOKUP($F188,'Acerto virtual'!$E:$E,'Acerto virtual'!N:N),"")</f>
        <v/>
      </c>
      <c r="AC188" s="51" t="str">
        <f t="array" ref="AC188">IFERROR(_xlfn.XLOOKUP($F188,'Acerto virtual'!$E:$E,'Acerto virtual'!O:O),"")</f>
        <v/>
      </c>
      <c r="AD188" s="51" t="str">
        <f t="array" ref="AD188">IFERROR(_xlfn.XLOOKUP($F188,'Acerto virtual'!$E:$E,'Acerto virtual'!P:P),"")</f>
        <v/>
      </c>
      <c r="AE188" s="51" t="str">
        <f t="array" ref="AE188">IFERROR(_xlfn.XLOOKUP($F188,'Acerto virtual'!$E:$E,'Acerto virtual'!Q:Q),"")</f>
        <v/>
      </c>
      <c r="AF188" s="51" t="str">
        <f t="array" ref="AF188">IFERROR(_xlfn.XLOOKUP($F188,'Acerto virtual'!$E:$E,'Acerto virtual'!R:R),"")</f>
        <v/>
      </c>
      <c r="AG188" s="51" t="str">
        <f t="array" ref="AG188">IFERROR(_xlfn.XLOOKUP($F188,'Acerto virtual'!$E:$E,'Acerto virtual'!S:S),"")</f>
        <v/>
      </c>
      <c r="AH188" s="51" t="str">
        <f t="array" ref="AH188">IFERROR(_xlfn.XLOOKUP($F188,'Acerto virtual'!$E:$E,'Acerto virtual'!T:T),"")</f>
        <v/>
      </c>
      <c r="AI188" s="51" t="str">
        <f t="array" ref="AI188">IFERROR(_xlfn.XLOOKUP($F188,'Acerto virtual'!$E:$E,'Acerto virtual'!U:U),"")</f>
        <v/>
      </c>
    </row>
    <row r="189">
      <c r="A189" s="47" t="s">
        <v>698</v>
      </c>
      <c r="B189" s="47" t="s">
        <v>699</v>
      </c>
      <c r="C189" s="48" t="str">
        <f t="array" ref="C189">IFERROR(_xlfn.XLOOKUP($B189,'Histórico'!$B:$B,'Histórico'!$I:$I),"")</f>
        <v>011-00877-00</v>
      </c>
      <c r="D189" s="19" t="str">
        <f t="array" ref="D189">IFERROR(_xlfn.XLOOKUP($B189,'Histórico'!$B:$B,'Histórico'!$J:$J),"")</f>
        <v>0TRC3</v>
      </c>
      <c r="E189" s="19" t="str">
        <f t="array" ref="E189">IFERROR(_xlfn.XLOOKUP($B189,'Histórico'!$B:$B,'Histórico'!$K:$K),"")</f>
        <v>GSA-80 SERVO ROL,YAW,SPEC</v>
      </c>
      <c r="F189" s="19" t="str">
        <f t="array" ref="F189">IFERROR(_xlfn.XLOOKUP($B189,'Histórico'!$B:$B,'Histórico'!$L:$L),"")</f>
        <v>66306759</v>
      </c>
      <c r="G189" s="49" t="str">
        <f t="array" ref="G189">IFERROR(_xlfn.XLOOKUP($B189,'Histórico'!$B:$B,'Histórico'!$F:$F),"")</f>
        <v>09/10/2025</v>
      </c>
      <c r="H189" s="19" t="str">
        <f t="array" ref="H189">IFERROR(_xlfn.XLOOKUP($B189,'Histórico'!$B:$B,'Histórico'!$AA:$AA),"")</f>
        <v>BACO</v>
      </c>
      <c r="I189" s="19" t="str">
        <f t="array" ref="I189">IFERROR(_xlfn.XLOOKUP($B189,Atual!$B:$B,Atual!$E:$E),"OS concluída")</f>
        <v>REC</v>
      </c>
      <c r="J189" s="19">
        <f t="shared" si="1"/>
        <v>371</v>
      </c>
      <c r="K189" s="19"/>
      <c r="L189" s="19" t="str">
        <f t="shared" si="2"/>
        <v>NÃO APLICÁVEL</v>
      </c>
      <c r="M189" s="19"/>
      <c r="N189" s="49" t="str">
        <f t="array" ref="N189">IFERROR(_xlfn.XLOOKUP($B189,EMPRESA_1!A:A,EMPRESA_1!J:J),"")</f>
        <v>EM REPARO</v>
      </c>
      <c r="O189" s="50" t="str">
        <f t="array" ref="O189">IFERROR(_xlfn.XLOOKUP(B189,EMPRESA_1!A:A,EMPRESA_1!K:K),"")
</f>
        <v>VEE ONE</v>
      </c>
      <c r="P189" s="48" t="str">
        <f t="array" ref="P189">IFERROR(_xlfn.XLOOKUP(B189,EMPRESA_1!A:A,EMPRESA_1!L:L),"")</f>
        <v/>
      </c>
      <c r="Q189" s="49" t="str">
        <f t="array" ref="Q189">IFERROR(_xlfn.XLOOKUP(B189,EMPRESA_1!A:A,EMPRESA_1!J:J),"")</f>
        <v>EM REPARO</v>
      </c>
      <c r="R189" s="19" t="str">
        <f t="array" ref="R189">IFERROR(_xlfn.XLOOKUP(B189,EMPRESA_1!A:A,EMPRESA_1!M:M),"")</f>
        <v/>
      </c>
      <c r="S189" s="51"/>
      <c r="T189" s="51" t="str">
        <f t="array" ref="T189">IFERROR(_xlfn.XLOOKUP($F189,'Acerto virtual'!$E:$E,'Acerto virtual'!F:F),"")</f>
        <v/>
      </c>
      <c r="U189" s="51" t="str">
        <f t="array" ref="U189">IFERROR(_xlfn.XLOOKUP($F189,'Acerto virtual'!$E:$E,'Acerto virtual'!G:G),"")</f>
        <v/>
      </c>
      <c r="V189" s="51" t="str">
        <f t="array" ref="V189">IFERROR(_xlfn.XLOOKUP($F189,'Acerto virtual'!$E:$E,'Acerto virtual'!H:H),"")</f>
        <v/>
      </c>
      <c r="W189" s="51" t="str">
        <f t="array" ref="W189">IFERROR(_xlfn.XLOOKUP($F189,'Acerto virtual'!$E:$E,'Acerto virtual'!I:I),"")</f>
        <v/>
      </c>
      <c r="X189" s="51" t="str">
        <f t="array" ref="X189">IFERROR(_xlfn.XLOOKUP($F189,'Acerto virtual'!$E:$E,'Acerto virtual'!J:J),"")</f>
        <v/>
      </c>
      <c r="Y189" s="51" t="str">
        <f t="array" ref="Y189">IFERROR(_xlfn.XLOOKUP($F189,'Acerto virtual'!$E:$E,'Acerto virtual'!K:K),"")</f>
        <v/>
      </c>
      <c r="Z189" s="51" t="str">
        <f t="array" ref="Z189">IFERROR(_xlfn.XLOOKUP($F189,'Acerto virtual'!$E:$E,'Acerto virtual'!L:L),"")</f>
        <v/>
      </c>
      <c r="AA189" s="51" t="str">
        <f t="array" ref="AA189">IFERROR(_xlfn.XLOOKUP($F189,'Acerto virtual'!$E:$E,'Acerto virtual'!M:M),"")</f>
        <v/>
      </c>
      <c r="AB189" s="51" t="str">
        <f t="array" ref="AB189">IFERROR(_xlfn.XLOOKUP($F189,'Acerto virtual'!$E:$E,'Acerto virtual'!N:N),"")</f>
        <v/>
      </c>
      <c r="AC189" s="51" t="str">
        <f t="array" ref="AC189">IFERROR(_xlfn.XLOOKUP($F189,'Acerto virtual'!$E:$E,'Acerto virtual'!O:O),"")</f>
        <v/>
      </c>
      <c r="AD189" s="51" t="str">
        <f t="array" ref="AD189">IFERROR(_xlfn.XLOOKUP($F189,'Acerto virtual'!$E:$E,'Acerto virtual'!P:P),"")</f>
        <v/>
      </c>
      <c r="AE189" s="51" t="str">
        <f t="array" ref="AE189">IFERROR(_xlfn.XLOOKUP($F189,'Acerto virtual'!$E:$E,'Acerto virtual'!Q:Q),"")</f>
        <v/>
      </c>
      <c r="AF189" s="51" t="str">
        <f t="array" ref="AF189">IFERROR(_xlfn.XLOOKUP($F189,'Acerto virtual'!$E:$E,'Acerto virtual'!R:R),"")</f>
        <v/>
      </c>
      <c r="AG189" s="51" t="str">
        <f t="array" ref="AG189">IFERROR(_xlfn.XLOOKUP($F189,'Acerto virtual'!$E:$E,'Acerto virtual'!S:S),"")</f>
        <v/>
      </c>
      <c r="AH189" s="51" t="str">
        <f t="array" ref="AH189">IFERROR(_xlfn.XLOOKUP($F189,'Acerto virtual'!$E:$E,'Acerto virtual'!T:T),"")</f>
        <v/>
      </c>
      <c r="AI189" s="51" t="str">
        <f t="array" ref="AI189">IFERROR(_xlfn.XLOOKUP($F189,'Acerto virtual'!$E:$E,'Acerto virtual'!U:U),"")</f>
        <v/>
      </c>
    </row>
    <row r="190">
      <c r="A190" s="47" t="s">
        <v>700</v>
      </c>
      <c r="B190" s="47" t="s">
        <v>701</v>
      </c>
      <c r="C190" s="48" t="str">
        <f t="array" ref="C190">IFERROR(_xlfn.XLOOKUP($B190,'Histórico'!$B:$B,'Histórico'!$I:$I),"")</f>
        <v>011-00877-00</v>
      </c>
      <c r="D190" s="19" t="str">
        <f t="array" ref="D190">IFERROR(_xlfn.XLOOKUP($B190,'Histórico'!$B:$B,'Histórico'!$J:$J),"")</f>
        <v>0TRC3</v>
      </c>
      <c r="E190" s="19" t="str">
        <f t="array" ref="E190">IFERROR(_xlfn.XLOOKUP($B190,'Histórico'!$B:$B,'Histórico'!$K:$K),"")</f>
        <v>GSA-80 SERVO ROL,YAW,SPEC</v>
      </c>
      <c r="F190" s="19" t="str">
        <f t="array" ref="F190">IFERROR(_xlfn.XLOOKUP($B190,'Histórico'!$B:$B,'Histórico'!$L:$L),"")</f>
        <v>66307058</v>
      </c>
      <c r="G190" s="49" t="str">
        <f t="array" ref="G190">IFERROR(_xlfn.XLOOKUP($B190,'Histórico'!$B:$B,'Histórico'!$F:$F),"")</f>
        <v>09/10/2025</v>
      </c>
      <c r="H190" s="19" t="str">
        <f t="array" ref="H190">IFERROR(_xlfn.XLOOKUP($B190,'Histórico'!$B:$B,'Histórico'!$AA:$AA),"")</f>
        <v>BABE</v>
      </c>
      <c r="I190" s="19" t="str">
        <f t="array" ref="I190">IFERROR(_xlfn.XLOOKUP($B190,Atual!$B:$B,Atual!$E:$E),"OS concluída")</f>
        <v>REC</v>
      </c>
      <c r="J190" s="19">
        <f t="shared" si="1"/>
        <v>371</v>
      </c>
      <c r="K190" s="19"/>
      <c r="L190" s="19">
        <f t="shared" si="2"/>
        <v>75</v>
      </c>
      <c r="M190" s="19"/>
      <c r="N190" s="49">
        <f t="array" ref="N190">IFERROR(_xlfn.XLOOKUP($B190,EMPRESA_1!A:A,EMPRESA_1!J:J),"")</f>
        <v>46014</v>
      </c>
      <c r="O190" s="50" t="str">
        <f t="array" ref="O190">IFERROR(_xlfn.XLOOKUP(B190,EMPRESA_1!A:A,EMPRESA_1!K:K),"")
</f>
        <v>BACO</v>
      </c>
      <c r="P190" s="19" t="str">
        <f t="array" ref="P190">IFERROR(_xlfn.XLOOKUP(B190,EMPRESA_1!A:A,EMPRESA_1!L:L),"")</f>
        <v>329/FAB/25</v>
      </c>
      <c r="Q190" s="49">
        <f t="array" ref="Q190">IFERROR(_xlfn.XLOOKUP(B190,EMPRESA_1!A:A,EMPRESA_1!J:J),"")</f>
        <v>46014</v>
      </c>
      <c r="R190" s="19">
        <f t="array" ref="R190">IFERROR(_xlfn.XLOOKUP(B190,EMPRESA_1!A:A,EMPRESA_1!M:M),"")</f>
        <v>66307619</v>
      </c>
      <c r="S190" s="51"/>
      <c r="T190" s="51" t="str">
        <f t="array" ref="T190">IFERROR(_xlfn.XLOOKUP($F190,'Acerto virtual'!$E:$E,'Acerto virtual'!F:F),"")</f>
        <v/>
      </c>
      <c r="U190" s="51" t="str">
        <f t="array" ref="U190">IFERROR(_xlfn.XLOOKUP($F190,'Acerto virtual'!$E:$E,'Acerto virtual'!G:G),"")</f>
        <v/>
      </c>
      <c r="V190" s="51" t="str">
        <f t="array" ref="V190">IFERROR(_xlfn.XLOOKUP($F190,'Acerto virtual'!$E:$E,'Acerto virtual'!H:H),"")</f>
        <v/>
      </c>
      <c r="W190" s="51" t="str">
        <f t="array" ref="W190">IFERROR(_xlfn.XLOOKUP($F190,'Acerto virtual'!$E:$E,'Acerto virtual'!I:I),"")</f>
        <v/>
      </c>
      <c r="X190" s="51" t="str">
        <f t="array" ref="X190">IFERROR(_xlfn.XLOOKUP($F190,'Acerto virtual'!$E:$E,'Acerto virtual'!J:J),"")</f>
        <v/>
      </c>
      <c r="Y190" s="51" t="str">
        <f t="array" ref="Y190">IFERROR(_xlfn.XLOOKUP($F190,'Acerto virtual'!$E:$E,'Acerto virtual'!K:K),"")</f>
        <v/>
      </c>
      <c r="Z190" s="51" t="str">
        <f t="array" ref="Z190">IFERROR(_xlfn.XLOOKUP($F190,'Acerto virtual'!$E:$E,'Acerto virtual'!L:L),"")</f>
        <v/>
      </c>
      <c r="AA190" s="51" t="str">
        <f t="array" ref="AA190">IFERROR(_xlfn.XLOOKUP($F190,'Acerto virtual'!$E:$E,'Acerto virtual'!M:M),"")</f>
        <v/>
      </c>
      <c r="AB190" s="51" t="str">
        <f t="array" ref="AB190">IFERROR(_xlfn.XLOOKUP($F190,'Acerto virtual'!$E:$E,'Acerto virtual'!N:N),"")</f>
        <v/>
      </c>
      <c r="AC190" s="51" t="str">
        <f t="array" ref="AC190">IFERROR(_xlfn.XLOOKUP($F190,'Acerto virtual'!$E:$E,'Acerto virtual'!O:O),"")</f>
        <v/>
      </c>
      <c r="AD190" s="51" t="str">
        <f t="array" ref="AD190">IFERROR(_xlfn.XLOOKUP($F190,'Acerto virtual'!$E:$E,'Acerto virtual'!P:P),"")</f>
        <v/>
      </c>
      <c r="AE190" s="51" t="str">
        <f t="array" ref="AE190">IFERROR(_xlfn.XLOOKUP($F190,'Acerto virtual'!$E:$E,'Acerto virtual'!Q:Q),"")</f>
        <v/>
      </c>
      <c r="AF190" s="51" t="str">
        <f t="array" ref="AF190">IFERROR(_xlfn.XLOOKUP($F190,'Acerto virtual'!$E:$E,'Acerto virtual'!R:R),"")</f>
        <v/>
      </c>
      <c r="AG190" s="51" t="str">
        <f t="array" ref="AG190">IFERROR(_xlfn.XLOOKUP($F190,'Acerto virtual'!$E:$E,'Acerto virtual'!S:S),"")</f>
        <v/>
      </c>
      <c r="AH190" s="51" t="str">
        <f t="array" ref="AH190">IFERROR(_xlfn.XLOOKUP($F190,'Acerto virtual'!$E:$E,'Acerto virtual'!T:T),"")</f>
        <v/>
      </c>
      <c r="AI190" s="51" t="str">
        <f t="array" ref="AI190">IFERROR(_xlfn.XLOOKUP($F190,'Acerto virtual'!$E:$E,'Acerto virtual'!U:U),"")</f>
        <v/>
      </c>
    </row>
    <row r="191">
      <c r="A191" s="47" t="s">
        <v>702</v>
      </c>
      <c r="B191" s="47" t="s">
        <v>703</v>
      </c>
      <c r="C191" s="48" t="str">
        <f t="array" ref="C191">IFERROR(_xlfn.XLOOKUP($B191,'Histórico'!$B:$B,'Histórico'!$I:$I),"")</f>
        <v>069-01034-0102</v>
      </c>
      <c r="D191" s="19" t="str">
        <f t="array" ref="D191">IFERROR(_xlfn.XLOOKUP($B191,'Histórico'!$B:$B,'Histórico'!$J:$J),"")</f>
        <v>22373</v>
      </c>
      <c r="E191" s="19" t="str">
        <f t="array" ref="E191">IFERROR(_xlfn.XLOOKUP($B191,'Histórico'!$B:$B,'Histórico'!$K:$K),"")</f>
        <v>NAVIGATION SET,SATELLITE SIGNALS KLN-94</v>
      </c>
      <c r="F191" s="52" t="str">
        <f t="array" ref="F191">IFERROR(_xlfn.XLOOKUP($B191,'Histórico'!$B:$B,'Histórico'!$L:$L),"")</f>
        <v>21107</v>
      </c>
      <c r="G191" s="49" t="str">
        <f t="array" ref="G191">IFERROR(_xlfn.XLOOKUP($B191,'Histórico'!$B:$B,'Histórico'!$F:$F),"")</f>
        <v>16/10/2025</v>
      </c>
      <c r="H191" s="19" t="str">
        <f t="array" ref="H191">IFERROR(_xlfn.XLOOKUP($B191,'Histórico'!$B:$B,'Histórico'!$AA:$AA),"")</f>
        <v>PAMALS</v>
      </c>
      <c r="I191" s="19" t="str">
        <f t="array" ref="I191">IFERROR(_xlfn.XLOOKUP($B191,Atual!$B:$B,Atual!$E:$E),"OS concluída")</f>
        <v>REC</v>
      </c>
      <c r="J191" s="19">
        <f t="shared" si="1"/>
        <v>364</v>
      </c>
      <c r="K191" s="19"/>
      <c r="L191" s="19">
        <f t="shared" si="2"/>
        <v>40</v>
      </c>
      <c r="M191" s="19"/>
      <c r="N191" s="49">
        <f t="array" ref="N191">IFERROR(_xlfn.XLOOKUP($B191,EMPRESA_1!A:A,EMPRESA_1!J:J),"")</f>
        <v>45986</v>
      </c>
      <c r="O191" s="50" t="str">
        <f t="array" ref="O191">IFERROR(_xlfn.XLOOKUP(B191,EMPRESA_1!A:A,EMPRESA_1!K:K),"")
</f>
        <v>BANT</v>
      </c>
      <c r="P191" s="19" t="str">
        <f t="array" ref="P191">IFERROR(_xlfn.XLOOKUP(B191,EMPRESA_1!A:A,EMPRESA_1!L:L),"")</f>
        <v>1096/LS-C98/2025</v>
      </c>
      <c r="Q191" s="49">
        <f t="array" ref="Q191">IFERROR(_xlfn.XLOOKUP(B191,EMPRESA_1!A:A,EMPRESA_1!J:J),"")</f>
        <v>45986</v>
      </c>
      <c r="R191" s="19" t="str">
        <f t="array" ref="R191">IFERROR(_xlfn.XLOOKUP(B191,EMPRESA_1!A:A,EMPRESA_1!M:M),"")</f>
        <v/>
      </c>
      <c r="S191" s="51"/>
      <c r="T191" s="51" t="str">
        <f t="array" ref="T191">IFERROR(_xlfn.XLOOKUP($F191,'Acerto virtual'!$E:$E,'Acerto virtual'!F:F),"")</f>
        <v>037/2025</v>
      </c>
      <c r="U191" s="51" t="str">
        <f t="array" ref="U191">IFERROR(_xlfn.XLOOKUP($F191,'Acerto virtual'!$E:$E,'Acerto virtual'!G:G),"")</f>
        <v>04/12</v>
      </c>
      <c r="V191" s="51" t="str">
        <f t="array" ref="V191">IFERROR(_xlfn.XLOOKUP($F191,'Acerto virtual'!$E:$E,'Acerto virtual'!H:H),"")</f>
        <v>06/02</v>
      </c>
      <c r="W191" s="51" t="str">
        <f t="array" ref="W191">IFERROR(_xlfn.XLOOKUP($F191,'Acerto virtual'!$E:$E,'Acerto virtual'!I:I),"")</f>
        <v>CERTIFICADO</v>
      </c>
      <c r="X191" s="51" t="str">
        <f t="array" ref="X191">IFERROR(_xlfn.XLOOKUP($F191,'Acerto virtual'!$E:$E,'Acerto virtual'!J:J),"")</f>
        <v/>
      </c>
      <c r="Y191" s="51" t="str">
        <f t="array" ref="Y191">IFERROR(_xlfn.XLOOKUP($F191,'Acerto virtual'!$E:$E,'Acerto virtual'!K:K),"")</f>
        <v/>
      </c>
      <c r="Z191" s="51" t="str">
        <f t="array" ref="Z191">IFERROR(_xlfn.XLOOKUP($F191,'Acerto virtual'!$E:$E,'Acerto virtual'!L:L),"")</f>
        <v/>
      </c>
      <c r="AA191" s="51" t="str">
        <f t="array" ref="AA191">IFERROR(_xlfn.XLOOKUP($F191,'Acerto virtual'!$E:$E,'Acerto virtual'!M:M),"")</f>
        <v/>
      </c>
      <c r="AB191" s="51" t="str">
        <f t="array" ref="AB191">IFERROR(_xlfn.XLOOKUP($F191,'Acerto virtual'!$E:$E,'Acerto virtual'!N:N),"")</f>
        <v/>
      </c>
      <c r="AC191" s="51" t="str">
        <f t="array" ref="AC191">IFERROR(_xlfn.XLOOKUP($F191,'Acerto virtual'!$E:$E,'Acerto virtual'!O:O),"")</f>
        <v/>
      </c>
      <c r="AD191" s="51" t="str">
        <f t="array" ref="AD191">IFERROR(_xlfn.XLOOKUP($F191,'Acerto virtual'!$E:$E,'Acerto virtual'!P:P),"")</f>
        <v/>
      </c>
      <c r="AE191" s="51" t="str">
        <f t="array" ref="AE191">IFERROR(_xlfn.XLOOKUP($F191,'Acerto virtual'!$E:$E,'Acerto virtual'!Q:Q),"")</f>
        <v/>
      </c>
      <c r="AF191" s="51" t="str">
        <f t="array" ref="AF191">IFERROR(_xlfn.XLOOKUP($F191,'Acerto virtual'!$E:$E,'Acerto virtual'!R:R),"")</f>
        <v/>
      </c>
      <c r="AG191" s="51" t="str">
        <f t="array" ref="AG191">IFERROR(_xlfn.XLOOKUP($F191,'Acerto virtual'!$E:$E,'Acerto virtual'!S:S),"")</f>
        <v/>
      </c>
      <c r="AH191" s="51" t="str">
        <f t="array" ref="AH191">IFERROR(_xlfn.XLOOKUP($F191,'Acerto virtual'!$E:$E,'Acerto virtual'!T:T),"")</f>
        <v/>
      </c>
      <c r="AI191" s="51" t="str">
        <f t="array" ref="AI191">IFERROR(_xlfn.XLOOKUP($F191,'Acerto virtual'!$E:$E,'Acerto virtual'!U:U),"")</f>
        <v/>
      </c>
    </row>
    <row r="192">
      <c r="A192" s="47" t="s">
        <v>704</v>
      </c>
      <c r="B192" s="47" t="s">
        <v>705</v>
      </c>
      <c r="C192" s="48" t="str">
        <f t="array" ref="C192">IFERROR(_xlfn.XLOOKUP($B192,'Histórico'!$B:$B,'Histórico'!$I:$I),"")</f>
        <v>066-01141-5101</v>
      </c>
      <c r="D192" s="19" t="str">
        <f t="array" ref="D192">IFERROR(_xlfn.XLOOKUP($B192,'Histórico'!$B:$B,'Histórico'!$J:$J),"")</f>
        <v>K0268</v>
      </c>
      <c r="E192" s="19" t="str">
        <f t="array" ref="E192">IFERROR(_xlfn.XLOOKUP($B192,'Histórico'!$B:$B,'Histórico'!$K:$K),"")</f>
        <v>TRANSPONDER,RADAR</v>
      </c>
      <c r="F192" s="52" t="str">
        <f t="array" ref="F192">IFERROR(_xlfn.XLOOKUP($B192,'Histórico'!$B:$B,'Histórico'!$L:$L),"")</f>
        <v>1318</v>
      </c>
      <c r="G192" s="49" t="str">
        <f t="array" ref="G192">IFERROR(_xlfn.XLOOKUP($B192,'Histórico'!$B:$B,'Histórico'!$F:$F),"")</f>
        <v>04/11/2025</v>
      </c>
      <c r="H192" s="19" t="str">
        <f t="array" ref="H192">IFERROR(_xlfn.XLOOKUP($B192,'Histórico'!$B:$B,'Histórico'!$AA:$AA),"")</f>
        <v>BABE</v>
      </c>
      <c r="I192" s="19" t="str">
        <f t="array" ref="I192">IFERROR(_xlfn.XLOOKUP($B192,Atual!$B:$B,Atual!$E:$E),"OS concluída")</f>
        <v>REC</v>
      </c>
      <c r="J192" s="19">
        <f t="shared" si="1"/>
        <v>345</v>
      </c>
      <c r="K192" s="19"/>
      <c r="L192" s="19">
        <f t="shared" si="2"/>
        <v>155</v>
      </c>
      <c r="M192" s="19"/>
      <c r="N192" s="49">
        <f t="array" ref="N192">IFERROR(_xlfn.XLOOKUP($B192,EMPRESA_1!A:A,EMPRESA_1!J:J),"")</f>
        <v>46120</v>
      </c>
      <c r="O192" s="50" t="str">
        <f t="array" ref="O192">IFERROR(_xlfn.XLOOKUP(B192,EMPRESA_1!A:A,EMPRESA_1!K:K),"")
</f>
        <v>BANT</v>
      </c>
      <c r="P192" s="19" t="str">
        <f t="array" ref="P192">IFERROR(_xlfn.XLOOKUP(B192,EMPRESA_1!A:A,EMPRESA_1!L:L),"")</f>
        <v>282/FAB/2026</v>
      </c>
      <c r="Q192" s="49">
        <f t="array" ref="Q192">IFERROR(_xlfn.XLOOKUP(B192,EMPRESA_1!A:A,EMPRESA_1!J:J),"")</f>
        <v>46120</v>
      </c>
      <c r="R192" s="19" t="str">
        <f t="array" ref="R192">IFERROR(_xlfn.XLOOKUP(B192,EMPRESA_1!A:A,EMPRESA_1!M:M),"")</f>
        <v/>
      </c>
      <c r="S192" s="51"/>
      <c r="T192" s="51" t="str">
        <f t="array" ref="T192">IFERROR(_xlfn.XLOOKUP($F192,'Acerto virtual'!$E:$E,'Acerto virtual'!F:F),"")</f>
        <v/>
      </c>
      <c r="U192" s="51" t="str">
        <f t="array" ref="U192">IFERROR(_xlfn.XLOOKUP($F192,'Acerto virtual'!$E:$E,'Acerto virtual'!G:G),"")</f>
        <v/>
      </c>
      <c r="V192" s="51" t="str">
        <f t="array" ref="V192">IFERROR(_xlfn.XLOOKUP($F192,'Acerto virtual'!$E:$E,'Acerto virtual'!H:H),"")</f>
        <v/>
      </c>
      <c r="W192" s="51" t="str">
        <f t="array" ref="W192">IFERROR(_xlfn.XLOOKUP($F192,'Acerto virtual'!$E:$E,'Acerto virtual'!I:I),"")</f>
        <v/>
      </c>
      <c r="X192" s="51" t="str">
        <f t="array" ref="X192">IFERROR(_xlfn.XLOOKUP($F192,'Acerto virtual'!$E:$E,'Acerto virtual'!J:J),"")</f>
        <v/>
      </c>
      <c r="Y192" s="51" t="str">
        <f t="array" ref="Y192">IFERROR(_xlfn.XLOOKUP($F192,'Acerto virtual'!$E:$E,'Acerto virtual'!K:K),"")</f>
        <v/>
      </c>
      <c r="Z192" s="51" t="str">
        <f t="array" ref="Z192">IFERROR(_xlfn.XLOOKUP($F192,'Acerto virtual'!$E:$E,'Acerto virtual'!L:L),"")</f>
        <v/>
      </c>
      <c r="AA192" s="51" t="str">
        <f t="array" ref="AA192">IFERROR(_xlfn.XLOOKUP($F192,'Acerto virtual'!$E:$E,'Acerto virtual'!M:M),"")</f>
        <v/>
      </c>
      <c r="AB192" s="51" t="str">
        <f t="array" ref="AB192">IFERROR(_xlfn.XLOOKUP($F192,'Acerto virtual'!$E:$E,'Acerto virtual'!N:N),"")</f>
        <v/>
      </c>
      <c r="AC192" s="51" t="str">
        <f t="array" ref="AC192">IFERROR(_xlfn.XLOOKUP($F192,'Acerto virtual'!$E:$E,'Acerto virtual'!O:O),"")</f>
        <v/>
      </c>
      <c r="AD192" s="51" t="str">
        <f t="array" ref="AD192">IFERROR(_xlfn.XLOOKUP($F192,'Acerto virtual'!$E:$E,'Acerto virtual'!P:P),"")</f>
        <v/>
      </c>
      <c r="AE192" s="51" t="str">
        <f t="array" ref="AE192">IFERROR(_xlfn.XLOOKUP($F192,'Acerto virtual'!$E:$E,'Acerto virtual'!Q:Q),"")</f>
        <v/>
      </c>
      <c r="AF192" s="51" t="str">
        <f t="array" ref="AF192">IFERROR(_xlfn.XLOOKUP($F192,'Acerto virtual'!$E:$E,'Acerto virtual'!R:R),"")</f>
        <v/>
      </c>
      <c r="AG192" s="51" t="str">
        <f t="array" ref="AG192">IFERROR(_xlfn.XLOOKUP($F192,'Acerto virtual'!$E:$E,'Acerto virtual'!S:S),"")</f>
        <v/>
      </c>
      <c r="AH192" s="51" t="str">
        <f t="array" ref="AH192">IFERROR(_xlfn.XLOOKUP($F192,'Acerto virtual'!$E:$E,'Acerto virtual'!T:T),"")</f>
        <v/>
      </c>
      <c r="AI192" s="51" t="str">
        <f t="array" ref="AI192">IFERROR(_xlfn.XLOOKUP($F192,'Acerto virtual'!$E:$E,'Acerto virtual'!U:U),"")</f>
        <v/>
      </c>
    </row>
    <row r="193">
      <c r="A193" s="47" t="s">
        <v>706</v>
      </c>
      <c r="B193" s="47" t="s">
        <v>707</v>
      </c>
      <c r="C193" s="48" t="str">
        <f t="array" ref="C193">IFERROR(_xlfn.XLOOKUP($B193,'Histórico'!$B:$B,'Histórico'!$I:$I),"")</f>
        <v>066-01141-5101</v>
      </c>
      <c r="D193" s="19" t="str">
        <f t="array" ref="D193">IFERROR(_xlfn.XLOOKUP($B193,'Histórico'!$B:$B,'Histórico'!$J:$J),"")</f>
        <v>K0268</v>
      </c>
      <c r="E193" s="19" t="str">
        <f t="array" ref="E193">IFERROR(_xlfn.XLOOKUP($B193,'Histórico'!$B:$B,'Histórico'!$K:$K),"")</f>
        <v>TRANSPONDER,RADAR</v>
      </c>
      <c r="F193" s="19" t="str">
        <f t="array" ref="F193">IFERROR(_xlfn.XLOOKUP($B193,'Histórico'!$B:$B,'Histórico'!$L:$L),"")</f>
        <v>1608</v>
      </c>
      <c r="G193" s="49" t="str">
        <f t="array" ref="G193">IFERROR(_xlfn.XLOOKUP($B193,'Histórico'!$B:$B,'Histórico'!$F:$F),"")</f>
        <v>04/11/2025</v>
      </c>
      <c r="H193" s="19" t="str">
        <f t="array" ref="H193">IFERROR(_xlfn.XLOOKUP($B193,'Histórico'!$B:$B,'Histórico'!$AA:$AA),"")</f>
        <v>BANT</v>
      </c>
      <c r="I193" s="19" t="str">
        <f t="array" ref="I193">IFERROR(_xlfn.XLOOKUP($B193,Atual!$B:$B,Atual!$E:$E),"OS concluída")</f>
        <v>REC</v>
      </c>
      <c r="J193" s="19">
        <f t="shared" si="1"/>
        <v>345</v>
      </c>
      <c r="K193" s="19"/>
      <c r="L193" s="19">
        <f t="shared" si="2"/>
        <v>107</v>
      </c>
      <c r="M193" s="19"/>
      <c r="N193" s="49">
        <f t="array" ref="N193">IFERROR(_xlfn.XLOOKUP($B193,EMPRESA_1!A:A,EMPRESA_1!J:J),"")</f>
        <v>46072</v>
      </c>
      <c r="O193" s="50" t="str">
        <f t="array" ref="O193">IFERROR(_xlfn.XLOOKUP(B193,EMPRESA_1!A:A,EMPRESA_1!K:K),"")
</f>
        <v>BANT</v>
      </c>
      <c r="P193" s="48" t="str">
        <f t="array" ref="P193">IFERROR(_xlfn.XLOOKUP(B193,EMPRESA_1!A:A,EMPRESA_1!L:L),"")</f>
        <v>593/fab/26</v>
      </c>
      <c r="Q193" s="49">
        <f t="array" ref="Q193">IFERROR(_xlfn.XLOOKUP(B193,EMPRESA_1!A:A,EMPRESA_1!J:J),"")</f>
        <v>46072</v>
      </c>
      <c r="R193" s="19" t="str">
        <f t="array" ref="R193">IFERROR(_xlfn.XLOOKUP(B193,EMPRESA_1!A:A,EMPRESA_1!M:M),"")</f>
        <v/>
      </c>
      <c r="S193" s="51"/>
      <c r="T193" s="51" t="str">
        <f t="array" ref="T193">IFERROR(_xlfn.XLOOKUP($F193,'Acerto virtual'!$E:$E,'Acerto virtual'!F:F),"")</f>
        <v/>
      </c>
      <c r="U193" s="51" t="str">
        <f t="array" ref="U193">IFERROR(_xlfn.XLOOKUP($F193,'Acerto virtual'!$E:$E,'Acerto virtual'!G:G),"")</f>
        <v/>
      </c>
      <c r="V193" s="51" t="str">
        <f t="array" ref="V193">IFERROR(_xlfn.XLOOKUP($F193,'Acerto virtual'!$E:$E,'Acerto virtual'!H:H),"")</f>
        <v/>
      </c>
      <c r="W193" s="51" t="str">
        <f t="array" ref="W193">IFERROR(_xlfn.XLOOKUP($F193,'Acerto virtual'!$E:$E,'Acerto virtual'!I:I),"")</f>
        <v/>
      </c>
      <c r="X193" s="51" t="str">
        <f t="array" ref="X193">IFERROR(_xlfn.XLOOKUP($F193,'Acerto virtual'!$E:$E,'Acerto virtual'!J:J),"")</f>
        <v/>
      </c>
      <c r="Y193" s="51" t="str">
        <f t="array" ref="Y193">IFERROR(_xlfn.XLOOKUP($F193,'Acerto virtual'!$E:$E,'Acerto virtual'!K:K),"")</f>
        <v/>
      </c>
      <c r="Z193" s="51" t="str">
        <f t="array" ref="Z193">IFERROR(_xlfn.XLOOKUP($F193,'Acerto virtual'!$E:$E,'Acerto virtual'!L:L),"")</f>
        <v/>
      </c>
      <c r="AA193" s="51" t="str">
        <f t="array" ref="AA193">IFERROR(_xlfn.XLOOKUP($F193,'Acerto virtual'!$E:$E,'Acerto virtual'!M:M),"")</f>
        <v/>
      </c>
      <c r="AB193" s="51" t="str">
        <f t="array" ref="AB193">IFERROR(_xlfn.XLOOKUP($F193,'Acerto virtual'!$E:$E,'Acerto virtual'!N:N),"")</f>
        <v/>
      </c>
      <c r="AC193" s="51" t="str">
        <f t="array" ref="AC193">IFERROR(_xlfn.XLOOKUP($F193,'Acerto virtual'!$E:$E,'Acerto virtual'!O:O),"")</f>
        <v/>
      </c>
      <c r="AD193" s="51" t="str">
        <f t="array" ref="AD193">IFERROR(_xlfn.XLOOKUP($F193,'Acerto virtual'!$E:$E,'Acerto virtual'!P:P),"")</f>
        <v/>
      </c>
      <c r="AE193" s="51" t="str">
        <f t="array" ref="AE193">IFERROR(_xlfn.XLOOKUP($F193,'Acerto virtual'!$E:$E,'Acerto virtual'!Q:Q),"")</f>
        <v/>
      </c>
      <c r="AF193" s="51" t="str">
        <f t="array" ref="AF193">IFERROR(_xlfn.XLOOKUP($F193,'Acerto virtual'!$E:$E,'Acerto virtual'!R:R),"")</f>
        <v/>
      </c>
      <c r="AG193" s="51" t="str">
        <f t="array" ref="AG193">IFERROR(_xlfn.XLOOKUP($F193,'Acerto virtual'!$E:$E,'Acerto virtual'!S:S),"")</f>
        <v/>
      </c>
      <c r="AH193" s="51" t="str">
        <f t="array" ref="AH193">IFERROR(_xlfn.XLOOKUP($F193,'Acerto virtual'!$E:$E,'Acerto virtual'!T:T),"")</f>
        <v/>
      </c>
      <c r="AI193" s="51" t="str">
        <f t="array" ref="AI193">IFERROR(_xlfn.XLOOKUP($F193,'Acerto virtual'!$E:$E,'Acerto virtual'!U:U),"")</f>
        <v/>
      </c>
    </row>
    <row r="194">
      <c r="A194" s="47" t="s">
        <v>708</v>
      </c>
      <c r="B194" s="47" t="s">
        <v>709</v>
      </c>
      <c r="C194" s="48" t="str">
        <f t="array" ref="C194">IFERROR(_xlfn.XLOOKUP($B194,'Histórico'!$B:$B,'Histórico'!$I:$I),"")</f>
        <v>064-1019-05</v>
      </c>
      <c r="D194" s="19" t="str">
        <f t="array" ref="D194">IFERROR(_xlfn.XLOOKUP($B194,'Histórico'!$B:$B,'Histórico'!$J:$J),"")</f>
        <v>22373</v>
      </c>
      <c r="E194" s="19" t="str">
        <f t="array" ref="E194">IFERROR(_xlfn.XLOOKUP($B194,'Histórico'!$B:$B,'Histórico'!$K:$K),"")</f>
        <v>VHF TRANSCEIVE KY196</v>
      </c>
      <c r="F194" s="19" t="str">
        <f t="array" ref="F194">IFERROR(_xlfn.XLOOKUP($B194,'Histórico'!$B:$B,'Histórico'!$L:$L),"")</f>
        <v>17869</v>
      </c>
      <c r="G194" s="49" t="str">
        <f t="array" ref="G194">IFERROR(_xlfn.XLOOKUP($B194,'Histórico'!$B:$B,'Histórico'!$F:$F),"")</f>
        <v>06/11/2025</v>
      </c>
      <c r="H194" s="19" t="str">
        <f t="array" ref="H194">IFERROR(_xlfn.XLOOKUP($B194,'Histórico'!$B:$B,'Histórico'!$AA:$AA),"")</f>
        <v>EEAR</v>
      </c>
      <c r="I194" s="19" t="str">
        <f t="array" ref="I194">IFERROR(_xlfn.XLOOKUP($B194,Atual!$B:$B,Atual!$E:$E),"OS concluída")</f>
        <v>REC</v>
      </c>
      <c r="J194" s="19">
        <f t="shared" si="1"/>
        <v>343</v>
      </c>
      <c r="K194" s="19"/>
      <c r="L194" s="19">
        <f t="shared" si="2"/>
        <v>5</v>
      </c>
      <c r="M194" s="19"/>
      <c r="N194" s="49">
        <f t="array" ref="N194">IFERROR(_xlfn.XLOOKUP($B194,EMPRESA_1!A:A,EMPRESA_1!J:J),"")</f>
        <v>45972</v>
      </c>
      <c r="O194" s="50" t="str">
        <f t="array" ref="O194">IFERROR(_xlfn.XLOOKUP(B194,EMPRESA_1!A:A,EMPRESA_1!K:K),"")
</f>
        <v>EEAR</v>
      </c>
      <c r="P194" s="19" t="str">
        <f t="array" ref="P194">IFERROR(_xlfn.XLOOKUP(B194,EMPRESA_1!A:A,EMPRESA_1!L:L),"")</f>
        <v>1087/PAMA-LS/2025</v>
      </c>
      <c r="Q194" s="49">
        <f t="array" ref="Q194">IFERROR(_xlfn.XLOOKUP(B194,EMPRESA_1!A:A,EMPRESA_1!J:J),"")</f>
        <v>45972</v>
      </c>
      <c r="R194" s="19" t="str">
        <f t="array" ref="R194">IFERROR(_xlfn.XLOOKUP(B194,EMPRESA_1!A:A,EMPRESA_1!M:M),"")</f>
        <v/>
      </c>
      <c r="S194" s="51"/>
      <c r="T194" s="51" t="str">
        <f t="array" ref="T194">IFERROR(_xlfn.XLOOKUP($F194,'Acerto virtual'!$E:$E,'Acerto virtual'!F:F),"")</f>
        <v/>
      </c>
      <c r="U194" s="51" t="str">
        <f t="array" ref="U194">IFERROR(_xlfn.XLOOKUP($F194,'Acerto virtual'!$E:$E,'Acerto virtual'!G:G),"")</f>
        <v/>
      </c>
      <c r="V194" s="51" t="str">
        <f t="array" ref="V194">IFERROR(_xlfn.XLOOKUP($F194,'Acerto virtual'!$E:$E,'Acerto virtual'!H:H),"")</f>
        <v/>
      </c>
      <c r="W194" s="51" t="str">
        <f t="array" ref="W194">IFERROR(_xlfn.XLOOKUP($F194,'Acerto virtual'!$E:$E,'Acerto virtual'!I:I),"")</f>
        <v/>
      </c>
      <c r="X194" s="51" t="str">
        <f t="array" ref="X194">IFERROR(_xlfn.XLOOKUP($F194,'Acerto virtual'!$E:$E,'Acerto virtual'!J:J),"")</f>
        <v/>
      </c>
      <c r="Y194" s="51" t="str">
        <f t="array" ref="Y194">IFERROR(_xlfn.XLOOKUP($F194,'Acerto virtual'!$E:$E,'Acerto virtual'!K:K),"")</f>
        <v/>
      </c>
      <c r="Z194" s="51" t="str">
        <f t="array" ref="Z194">IFERROR(_xlfn.XLOOKUP($F194,'Acerto virtual'!$E:$E,'Acerto virtual'!L:L),"")</f>
        <v/>
      </c>
      <c r="AA194" s="51" t="str">
        <f t="array" ref="AA194">IFERROR(_xlfn.XLOOKUP($F194,'Acerto virtual'!$E:$E,'Acerto virtual'!M:M),"")</f>
        <v/>
      </c>
      <c r="AB194" s="51" t="str">
        <f t="array" ref="AB194">IFERROR(_xlfn.XLOOKUP($F194,'Acerto virtual'!$E:$E,'Acerto virtual'!N:N),"")</f>
        <v/>
      </c>
      <c r="AC194" s="51" t="str">
        <f t="array" ref="AC194">IFERROR(_xlfn.XLOOKUP($F194,'Acerto virtual'!$E:$E,'Acerto virtual'!O:O),"")</f>
        <v/>
      </c>
      <c r="AD194" s="51" t="str">
        <f t="array" ref="AD194">IFERROR(_xlfn.XLOOKUP($F194,'Acerto virtual'!$E:$E,'Acerto virtual'!P:P),"")</f>
        <v/>
      </c>
      <c r="AE194" s="51" t="str">
        <f t="array" ref="AE194">IFERROR(_xlfn.XLOOKUP($F194,'Acerto virtual'!$E:$E,'Acerto virtual'!Q:Q),"")</f>
        <v/>
      </c>
      <c r="AF194" s="51" t="str">
        <f t="array" ref="AF194">IFERROR(_xlfn.XLOOKUP($F194,'Acerto virtual'!$E:$E,'Acerto virtual'!R:R),"")</f>
        <v/>
      </c>
      <c r="AG194" s="51" t="str">
        <f t="array" ref="AG194">IFERROR(_xlfn.XLOOKUP($F194,'Acerto virtual'!$E:$E,'Acerto virtual'!S:S),"")</f>
        <v/>
      </c>
      <c r="AH194" s="51" t="str">
        <f t="array" ref="AH194">IFERROR(_xlfn.XLOOKUP($F194,'Acerto virtual'!$E:$E,'Acerto virtual'!T:T),"")</f>
        <v/>
      </c>
      <c r="AI194" s="51" t="str">
        <f t="array" ref="AI194">IFERROR(_xlfn.XLOOKUP($F194,'Acerto virtual'!$E:$E,'Acerto virtual'!U:U),"")</f>
        <v/>
      </c>
    </row>
    <row r="195">
      <c r="A195" s="47" t="s">
        <v>710</v>
      </c>
      <c r="B195" s="47" t="s">
        <v>711</v>
      </c>
      <c r="C195" s="48" t="str">
        <f t="array" ref="C195">IFERROR(_xlfn.XLOOKUP($B195,'Histórico'!$B:$B,'Histórico'!$I:$I),"")</f>
        <v>1U149-015-15</v>
      </c>
      <c r="D195" s="19" t="str">
        <f t="array" ref="D195">IFERROR(_xlfn.XLOOKUP($B195,'Histórico'!$B:$B,'Histórico'!$J:$J),"")</f>
        <v>86887</v>
      </c>
      <c r="E195" s="19" t="str">
        <f t="array" ref="E195">IFERROR(_xlfn.XLOOKUP($B195,'Histórico'!$B:$B,'Histórico'!$K:$K),"")</f>
        <v>HORIZ. GYRO-STADBY</v>
      </c>
      <c r="F195" s="19" t="str">
        <f t="array" ref="F195">IFERROR(_xlfn.XLOOKUP($B195,'Histórico'!$B:$B,'Histórico'!$L:$L),"")</f>
        <v>T97147Q</v>
      </c>
      <c r="G195" s="49" t="str">
        <f t="array" ref="G195">IFERROR(_xlfn.XLOOKUP($B195,'Histórico'!$B:$B,'Histórico'!$F:$F),"")</f>
        <v>07/11/2025</v>
      </c>
      <c r="H195" s="19" t="str">
        <f t="array" ref="H195">IFERROR(_xlfn.XLOOKUP($B195,'Histórico'!$B:$B,'Histórico'!$AA:$AA),"")</f>
        <v>PAMALS</v>
      </c>
      <c r="I195" s="19" t="str">
        <f t="array" ref="I195">IFERROR(_xlfn.XLOOKUP($B195,Atual!$B:$B,Atual!$E:$E),"OS concluída")</f>
        <v>REC</v>
      </c>
      <c r="J195" s="19">
        <f t="shared" si="1"/>
        <v>342</v>
      </c>
      <c r="K195" s="19"/>
      <c r="L195" s="19" t="str">
        <f t="shared" si="2"/>
        <v>NÃO APLICÁVEL</v>
      </c>
      <c r="M195" s="19"/>
      <c r="N195" s="49" t="str">
        <f t="array" ref="N195">IFERROR(_xlfn.XLOOKUP($B195,EMPRESA_1!A:A,EMPRESA_1!J:J),"")</f>
        <v>EM REPARO </v>
      </c>
      <c r="O195" s="50" t="str">
        <f t="array" ref="O195">IFERROR(_xlfn.XLOOKUP(B195,EMPRESA_1!A:A,EMPRESA_1!K:K),"")
</f>
        <v>VEE ONE</v>
      </c>
      <c r="P195" s="48" t="str">
        <f t="array" ref="P195">IFERROR(_xlfn.XLOOKUP(B195,EMPRESA_1!A:A,EMPRESA_1!L:L),"")</f>
        <v/>
      </c>
      <c r="Q195" s="49" t="str">
        <f t="array" ref="Q195">IFERROR(_xlfn.XLOOKUP(B195,EMPRESA_1!A:A,EMPRESA_1!J:J),"")</f>
        <v>EM REPARO </v>
      </c>
      <c r="R195" s="19" t="str">
        <f t="array" ref="R195">IFERROR(_xlfn.XLOOKUP(B195,EMPRESA_1!A:A,EMPRESA_1!M:M),"")</f>
        <v/>
      </c>
      <c r="S195" s="51"/>
      <c r="T195" s="51" t="str">
        <f t="array" ref="T195">IFERROR(_xlfn.XLOOKUP($F195,'Acerto virtual'!$E:$E,'Acerto virtual'!F:F),"")</f>
        <v/>
      </c>
      <c r="U195" s="51" t="str">
        <f t="array" ref="U195">IFERROR(_xlfn.XLOOKUP($F195,'Acerto virtual'!$E:$E,'Acerto virtual'!G:G),"")</f>
        <v/>
      </c>
      <c r="V195" s="51" t="str">
        <f t="array" ref="V195">IFERROR(_xlfn.XLOOKUP($F195,'Acerto virtual'!$E:$E,'Acerto virtual'!H:H),"")</f>
        <v/>
      </c>
      <c r="W195" s="51" t="str">
        <f t="array" ref="W195">IFERROR(_xlfn.XLOOKUP($F195,'Acerto virtual'!$E:$E,'Acerto virtual'!I:I),"")</f>
        <v/>
      </c>
      <c r="X195" s="51" t="str">
        <f t="array" ref="X195">IFERROR(_xlfn.XLOOKUP($F195,'Acerto virtual'!$E:$E,'Acerto virtual'!J:J),"")</f>
        <v/>
      </c>
      <c r="Y195" s="51" t="str">
        <f t="array" ref="Y195">IFERROR(_xlfn.XLOOKUP($F195,'Acerto virtual'!$E:$E,'Acerto virtual'!K:K),"")</f>
        <v/>
      </c>
      <c r="Z195" s="51" t="str">
        <f t="array" ref="Z195">IFERROR(_xlfn.XLOOKUP($F195,'Acerto virtual'!$E:$E,'Acerto virtual'!L:L),"")</f>
        <v/>
      </c>
      <c r="AA195" s="51" t="str">
        <f t="array" ref="AA195">IFERROR(_xlfn.XLOOKUP($F195,'Acerto virtual'!$E:$E,'Acerto virtual'!M:M),"")</f>
        <v/>
      </c>
      <c r="AB195" s="51" t="str">
        <f t="array" ref="AB195">IFERROR(_xlfn.XLOOKUP($F195,'Acerto virtual'!$E:$E,'Acerto virtual'!N:N),"")</f>
        <v/>
      </c>
      <c r="AC195" s="51" t="str">
        <f t="array" ref="AC195">IFERROR(_xlfn.XLOOKUP($F195,'Acerto virtual'!$E:$E,'Acerto virtual'!O:O),"")</f>
        <v/>
      </c>
      <c r="AD195" s="51" t="str">
        <f t="array" ref="AD195">IFERROR(_xlfn.XLOOKUP($F195,'Acerto virtual'!$E:$E,'Acerto virtual'!P:P),"")</f>
        <v/>
      </c>
      <c r="AE195" s="51" t="str">
        <f t="array" ref="AE195">IFERROR(_xlfn.XLOOKUP($F195,'Acerto virtual'!$E:$E,'Acerto virtual'!Q:Q),"")</f>
        <v/>
      </c>
      <c r="AF195" s="51" t="str">
        <f t="array" ref="AF195">IFERROR(_xlfn.XLOOKUP($F195,'Acerto virtual'!$E:$E,'Acerto virtual'!R:R),"")</f>
        <v/>
      </c>
      <c r="AG195" s="51" t="str">
        <f t="array" ref="AG195">IFERROR(_xlfn.XLOOKUP($F195,'Acerto virtual'!$E:$E,'Acerto virtual'!S:S),"")</f>
        <v/>
      </c>
      <c r="AH195" s="51" t="str">
        <f t="array" ref="AH195">IFERROR(_xlfn.XLOOKUP($F195,'Acerto virtual'!$E:$E,'Acerto virtual'!T:T),"")</f>
        <v/>
      </c>
      <c r="AI195" s="51" t="str">
        <f t="array" ref="AI195">IFERROR(_xlfn.XLOOKUP($F195,'Acerto virtual'!$E:$E,'Acerto virtual'!U:U),"")</f>
        <v/>
      </c>
    </row>
    <row r="196">
      <c r="A196" s="47" t="s">
        <v>712</v>
      </c>
      <c r="B196" s="47" t="s">
        <v>713</v>
      </c>
      <c r="C196" s="48" t="str">
        <f t="array" ref="C196">IFERROR(_xlfn.XLOOKUP($B196,'Histórico'!$B:$B,'Histórico'!$I:$I),"")</f>
        <v>162-10700</v>
      </c>
      <c r="D196" s="19" t="str">
        <f t="array" ref="D196">IFERROR(_xlfn.XLOOKUP($B196,'Histórico'!$B:$B,'Histórico'!$J:$J),"")</f>
        <v>71513</v>
      </c>
      <c r="E196" s="19" t="str">
        <f t="array" ref="E196">IFERROR(_xlfn.XLOOKUP($B196,'Histórico'!$B:$B,'Histórico'!$K:$K),"")</f>
        <v>OUTER WHEEL HALF ASSY</v>
      </c>
      <c r="F196" s="19" t="str">
        <f t="array" ref="F196">IFERROR(_xlfn.XLOOKUP($B196,'Histórico'!$B:$B,'Histórico'!$L:$L),"")</f>
        <v>07</v>
      </c>
      <c r="G196" s="49" t="str">
        <f t="array" ref="G196">IFERROR(_xlfn.XLOOKUP($B196,'Histórico'!$B:$B,'Histórico'!$F:$F),"")</f>
        <v>07/11/2025</v>
      </c>
      <c r="H196" s="19" t="str">
        <f t="array" ref="H196">IFERROR(_xlfn.XLOOKUP($B196,'Histórico'!$B:$B,'Histórico'!$AA:$AA),"")</f>
        <v>BANT</v>
      </c>
      <c r="I196" s="19" t="str">
        <f t="array" ref="I196">IFERROR(_xlfn.XLOOKUP($B196,Atual!$B:$B,Atual!$E:$E),"OS concluída")</f>
        <v>REC</v>
      </c>
      <c r="J196" s="19">
        <f t="shared" si="1"/>
        <v>342</v>
      </c>
      <c r="K196" s="19"/>
      <c r="L196" s="19" t="str">
        <f t="shared" si="2"/>
        <v>NÃO APLICÁVEL</v>
      </c>
      <c r="M196" s="19"/>
      <c r="N196" s="49" t="str">
        <f t="array" ref="N196">IFERROR(_xlfn.XLOOKUP($B196,EMPRESA_1!A:A,EMPRESA_1!J:J),"")</f>
        <v>EM REPARO </v>
      </c>
      <c r="O196" s="50" t="str">
        <f t="array" ref="O196">IFERROR(_xlfn.XLOOKUP(B196,EMPRESA_1!A:A,EMPRESA_1!K:K),"")
</f>
        <v>AMA - VEE ONE</v>
      </c>
      <c r="P196" s="48" t="str">
        <f t="array" ref="P196">IFERROR(_xlfn.XLOOKUP(B196,EMPRESA_1!A:A,EMPRESA_1!L:L),"")</f>
        <v/>
      </c>
      <c r="Q196" s="49" t="str">
        <f t="array" ref="Q196">IFERROR(_xlfn.XLOOKUP(B196,EMPRESA_1!A:A,EMPRESA_1!J:J),"")</f>
        <v>EM REPARO </v>
      </c>
      <c r="R196" s="19" t="str">
        <f t="array" ref="R196">IFERROR(_xlfn.XLOOKUP(B196,EMPRESA_1!A:A,EMPRESA_1!M:M),"")</f>
        <v/>
      </c>
      <c r="S196" s="51"/>
      <c r="T196" s="51" t="str">
        <f t="array" ref="T196">IFERROR(_xlfn.XLOOKUP($F196,'Acerto virtual'!$E:$E,'Acerto virtual'!F:F),"")</f>
        <v/>
      </c>
      <c r="U196" s="51" t="str">
        <f t="array" ref="U196">IFERROR(_xlfn.XLOOKUP($F196,'Acerto virtual'!$E:$E,'Acerto virtual'!G:G),"")</f>
        <v/>
      </c>
      <c r="V196" s="51" t="str">
        <f t="array" ref="V196">IFERROR(_xlfn.XLOOKUP($F196,'Acerto virtual'!$E:$E,'Acerto virtual'!H:H),"")</f>
        <v/>
      </c>
      <c r="W196" s="51" t="str">
        <f t="array" ref="W196">IFERROR(_xlfn.XLOOKUP($F196,'Acerto virtual'!$E:$E,'Acerto virtual'!I:I),"")</f>
        <v/>
      </c>
      <c r="X196" s="51" t="str">
        <f t="array" ref="X196">IFERROR(_xlfn.XLOOKUP($F196,'Acerto virtual'!$E:$E,'Acerto virtual'!J:J),"")</f>
        <v/>
      </c>
      <c r="Y196" s="51" t="str">
        <f t="array" ref="Y196">IFERROR(_xlfn.XLOOKUP($F196,'Acerto virtual'!$E:$E,'Acerto virtual'!K:K),"")</f>
        <v/>
      </c>
      <c r="Z196" s="51" t="str">
        <f t="array" ref="Z196">IFERROR(_xlfn.XLOOKUP($F196,'Acerto virtual'!$E:$E,'Acerto virtual'!L:L),"")</f>
        <v/>
      </c>
      <c r="AA196" s="51" t="str">
        <f t="array" ref="AA196">IFERROR(_xlfn.XLOOKUP($F196,'Acerto virtual'!$E:$E,'Acerto virtual'!M:M),"")</f>
        <v/>
      </c>
      <c r="AB196" s="51" t="str">
        <f t="array" ref="AB196">IFERROR(_xlfn.XLOOKUP($F196,'Acerto virtual'!$E:$E,'Acerto virtual'!N:N),"")</f>
        <v/>
      </c>
      <c r="AC196" s="51" t="str">
        <f t="array" ref="AC196">IFERROR(_xlfn.XLOOKUP($F196,'Acerto virtual'!$E:$E,'Acerto virtual'!O:O),"")</f>
        <v/>
      </c>
      <c r="AD196" s="51" t="str">
        <f t="array" ref="AD196">IFERROR(_xlfn.XLOOKUP($F196,'Acerto virtual'!$E:$E,'Acerto virtual'!P:P),"")</f>
        <v/>
      </c>
      <c r="AE196" s="51" t="str">
        <f t="array" ref="AE196">IFERROR(_xlfn.XLOOKUP($F196,'Acerto virtual'!$E:$E,'Acerto virtual'!Q:Q),"")</f>
        <v/>
      </c>
      <c r="AF196" s="51" t="str">
        <f t="array" ref="AF196">IFERROR(_xlfn.XLOOKUP($F196,'Acerto virtual'!$E:$E,'Acerto virtual'!R:R),"")</f>
        <v/>
      </c>
      <c r="AG196" s="51" t="str">
        <f t="array" ref="AG196">IFERROR(_xlfn.XLOOKUP($F196,'Acerto virtual'!$E:$E,'Acerto virtual'!S:S),"")</f>
        <v/>
      </c>
      <c r="AH196" s="51" t="str">
        <f t="array" ref="AH196">IFERROR(_xlfn.XLOOKUP($F196,'Acerto virtual'!$E:$E,'Acerto virtual'!T:T),"")</f>
        <v/>
      </c>
      <c r="AI196" s="51" t="str">
        <f t="array" ref="AI196">IFERROR(_xlfn.XLOOKUP($F196,'Acerto virtual'!$E:$E,'Acerto virtual'!U:U),"")</f>
        <v/>
      </c>
    </row>
    <row r="197" hidden="1">
      <c r="A197" s="47" t="s">
        <v>714</v>
      </c>
      <c r="B197" s="47" t="s">
        <v>715</v>
      </c>
      <c r="C197" s="19" t="str">
        <f t="array" ref="C197">IFERROR(_xlfn.XLOOKUP($B197,'Histórico'!$B:$B,'Histórico'!$I:$I),"")</f>
        <v>3049038-03</v>
      </c>
      <c r="D197" s="19" t="str">
        <f t="array" ref="D197">IFERROR(_xlfn.XLOOKUP($B197,'Histórico'!$B:$B,'Histórico'!$J:$J),"")</f>
        <v>00198</v>
      </c>
      <c r="E197" s="19" t="str">
        <f t="array" ref="E197">IFERROR(_xlfn.XLOOKUP($B197,'Histórico'!$B:$B,'Histórico'!$K:$K),"")</f>
        <v>VALVE,COMPRESSOR BLEED</v>
      </c>
      <c r="F197" s="19" t="str">
        <f t="array" ref="F197">IFERROR(_xlfn.XLOOKUP($B197,'Histórico'!$B:$B,'Histórico'!$L:$L),"")</f>
        <v>6891</v>
      </c>
      <c r="G197" s="49" t="str">
        <f t="array" ref="G197">IFERROR(_xlfn.XLOOKUP($B197,'Histórico'!$B:$B,'Histórico'!$F:$F),"")</f>
        <v>07/11/2025</v>
      </c>
      <c r="H197" s="19" t="str">
        <f t="array" ref="H197">IFERROR(_xlfn.XLOOKUP($B197,'Histórico'!$B:$B,'Histórico'!$AA:$AA),"")</f>
        <v>BANT</v>
      </c>
      <c r="I197" s="19" t="str">
        <f t="array" ref="I197">IFERROR(_xlfn.XLOOKUP($B197,Atual!$B:$B,Atual!$E:$E),"OS concluída")</f>
        <v>OS concluída</v>
      </c>
      <c r="J197" s="19" t="str">
        <f t="shared" si="1"/>
        <v/>
      </c>
      <c r="K197" s="19"/>
      <c r="L197" s="19" t="str">
        <f t="shared" si="2"/>
        <v/>
      </c>
      <c r="M197" s="19"/>
      <c r="N197" s="49" t="str">
        <f t="array" ref="N197">IFERROR(_xlfn.XLOOKUP($B197,Empresa!G:G,Empresa!K:K),"")</f>
        <v/>
      </c>
      <c r="O197" s="49"/>
      <c r="P197" s="19" t="str">
        <f t="array" ref="P197">IFERROR(_xlfn.XLOOKUP($F197,'Vee one'!F:F,'Vee one'!O:O),"")</f>
        <v/>
      </c>
      <c r="Q197" s="19" t="str">
        <f t="array" ref="Q197">IFERROR(_xlfn.XLOOKUP($F197,'Vee one'!F:F,'Vee one'!K:K),"")</f>
        <v/>
      </c>
      <c r="R197" s="19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</row>
    <row r="198" hidden="1">
      <c r="A198" s="47" t="s">
        <v>716</v>
      </c>
      <c r="B198" s="47" t="s">
        <v>717</v>
      </c>
      <c r="C198" s="48" t="str">
        <f t="array" ref="C198">IFERROR(_xlfn.XLOOKUP($B198,'Histórico'!$B:$B,'Histórico'!$I:$I),"")</f>
        <v>2606015-4</v>
      </c>
      <c r="D198" s="19" t="str">
        <f t="array" ref="D198">IFERROR(_xlfn.XLOOKUP($B198,'Histórico'!$B:$B,'Histórico'!$J:$J),"")</f>
        <v>08AF1</v>
      </c>
      <c r="E198" s="19" t="str">
        <f t="array" ref="E198">IFERROR(_xlfn.XLOOKUP($B198,'Histórico'!$B:$B,'Histórico'!$K:$K),"")</f>
        <v>INDICATOR-OIL TEMP/OIL PRESS</v>
      </c>
      <c r="F198" s="19" t="str">
        <f t="array" ref="F198">IFERROR(_xlfn.XLOOKUP($B198,'Histórico'!$B:$B,'Histórico'!$L:$L),"")</f>
        <v>D12-10002</v>
      </c>
      <c r="G198" s="49" t="str">
        <f t="array" ref="G198">IFERROR(_xlfn.XLOOKUP($B198,'Histórico'!$B:$B,'Histórico'!$F:$F),"")</f>
        <v>10/11/2025</v>
      </c>
      <c r="H198" s="19" t="str">
        <f t="array" ref="H198">IFERROR(_xlfn.XLOOKUP($B198,'Histórico'!$B:$B,'Histórico'!$AA:$AA),"")</f>
        <v>BACG</v>
      </c>
      <c r="I198" s="19" t="str">
        <f t="array" ref="I198">IFERROR(_xlfn.XLOOKUP($B198,Atual!$B:$B,Atual!$E:$E),"OS concluída")</f>
        <v>OS concluída</v>
      </c>
      <c r="J198" s="19" t="str">
        <f t="shared" si="1"/>
        <v/>
      </c>
      <c r="K198" s="19"/>
      <c r="L198" s="19">
        <f t="shared" si="2"/>
        <v>186</v>
      </c>
      <c r="M198" s="19"/>
      <c r="N198" s="49">
        <f t="array" ref="N198">IFERROR(_xlfn.XLOOKUP($B198,EMPRESA_1!A:A,EMPRESA_1!J:J),"")</f>
        <v>46157</v>
      </c>
      <c r="O198" s="50" t="str">
        <f t="array" ref="O198">IFERROR(_xlfn.XLOOKUP(B198,EMPRESA_1!A:A,EMPRESA_1!K:K),"")
</f>
        <v>PAMA-LS</v>
      </c>
      <c r="P198" s="48" t="str">
        <f t="array" ref="P198">IFERROR(_xlfn.XLOOKUP(B198,EMPRESA_1!A:A,EMPRESA_1!L:L),"")</f>
        <v>682/fab/26</v>
      </c>
      <c r="Q198" s="49">
        <f t="array" ref="Q198">IFERROR(_xlfn.XLOOKUP(B198,EMPRESA_1!A:A,EMPRESA_1!J:J),"")</f>
        <v>46157</v>
      </c>
      <c r="R198" s="19" t="str">
        <f t="array" ref="R198">IFERROR(_xlfn.XLOOKUP(B198,EMPRESA_1!A:A,EMPRESA_1!M:M),"")</f>
        <v/>
      </c>
      <c r="S198" s="51"/>
      <c r="T198" s="51" t="str">
        <f t="array" ref="T198">IFERROR(_xlfn.XLOOKUP($F198,'Acerto virtual'!$E:$E,'Acerto virtual'!F:F),"")</f>
        <v/>
      </c>
      <c r="U198" s="51" t="str">
        <f t="array" ref="U198">IFERROR(_xlfn.XLOOKUP($F198,'Acerto virtual'!$E:$E,'Acerto virtual'!G:G),"")</f>
        <v/>
      </c>
      <c r="V198" s="51" t="str">
        <f t="array" ref="V198">IFERROR(_xlfn.XLOOKUP($F198,'Acerto virtual'!$E:$E,'Acerto virtual'!H:H),"")</f>
        <v/>
      </c>
      <c r="W198" s="51" t="str">
        <f t="array" ref="W198">IFERROR(_xlfn.XLOOKUP($F198,'Acerto virtual'!$E:$E,'Acerto virtual'!I:I),"")</f>
        <v/>
      </c>
      <c r="X198" s="51" t="str">
        <f t="array" ref="X198">IFERROR(_xlfn.XLOOKUP($F198,'Acerto virtual'!$E:$E,'Acerto virtual'!J:J),"")</f>
        <v/>
      </c>
      <c r="Y198" s="51" t="str">
        <f t="array" ref="Y198">IFERROR(_xlfn.XLOOKUP($F198,'Acerto virtual'!$E:$E,'Acerto virtual'!K:K),"")</f>
        <v/>
      </c>
      <c r="Z198" s="51" t="str">
        <f t="array" ref="Z198">IFERROR(_xlfn.XLOOKUP($F198,'Acerto virtual'!$E:$E,'Acerto virtual'!L:L),"")</f>
        <v/>
      </c>
      <c r="AA198" s="51" t="str">
        <f t="array" ref="AA198">IFERROR(_xlfn.XLOOKUP($F198,'Acerto virtual'!$E:$E,'Acerto virtual'!M:M),"")</f>
        <v/>
      </c>
      <c r="AB198" s="51" t="str">
        <f t="array" ref="AB198">IFERROR(_xlfn.XLOOKUP($F198,'Acerto virtual'!$E:$E,'Acerto virtual'!N:N),"")</f>
        <v/>
      </c>
      <c r="AC198" s="51" t="str">
        <f t="array" ref="AC198">IFERROR(_xlfn.XLOOKUP($F198,'Acerto virtual'!$E:$E,'Acerto virtual'!O:O),"")</f>
        <v/>
      </c>
      <c r="AD198" s="51" t="str">
        <f t="array" ref="AD198">IFERROR(_xlfn.XLOOKUP($F198,'Acerto virtual'!$E:$E,'Acerto virtual'!P:P),"")</f>
        <v/>
      </c>
      <c r="AE198" s="51" t="str">
        <f t="array" ref="AE198">IFERROR(_xlfn.XLOOKUP($F198,'Acerto virtual'!$E:$E,'Acerto virtual'!Q:Q),"")</f>
        <v/>
      </c>
      <c r="AF198" s="51" t="str">
        <f t="array" ref="AF198">IFERROR(_xlfn.XLOOKUP($F198,'Acerto virtual'!$E:$E,'Acerto virtual'!R:R),"")</f>
        <v/>
      </c>
      <c r="AG198" s="51" t="str">
        <f t="array" ref="AG198">IFERROR(_xlfn.XLOOKUP($F198,'Acerto virtual'!$E:$E,'Acerto virtual'!S:S),"")</f>
        <v/>
      </c>
      <c r="AH198" s="51" t="str">
        <f t="array" ref="AH198">IFERROR(_xlfn.XLOOKUP($F198,'Acerto virtual'!$E:$E,'Acerto virtual'!T:T),"")</f>
        <v/>
      </c>
      <c r="AI198" s="51" t="str">
        <f t="array" ref="AI198">IFERROR(_xlfn.XLOOKUP($F198,'Acerto virtual'!$E:$E,'Acerto virtual'!U:U),"")</f>
        <v/>
      </c>
    </row>
    <row r="199" hidden="1">
      <c r="A199" s="47" t="s">
        <v>718</v>
      </c>
      <c r="B199" s="47" t="s">
        <v>719</v>
      </c>
      <c r="C199" s="19" t="str">
        <f t="array" ref="C199">IFERROR(_xlfn.XLOOKUP($B199,'Histórico'!$B:$B,'Histórico'!$I:$I),"")</f>
        <v>C414007-0102</v>
      </c>
      <c r="D199" s="19" t="str">
        <f t="array" ref="D199">IFERROR(_xlfn.XLOOKUP($B199,'Histórico'!$B:$B,'Histórico'!$J:$J),"")</f>
        <v>7EK50</v>
      </c>
      <c r="E199" s="19" t="str">
        <f t="array" ref="E199">IFERROR(_xlfn.XLOOKUP($B199,'Histórico'!$B:$B,'Histórico'!$K:$K),"")</f>
        <v>BLOWER ASSY</v>
      </c>
      <c r="F199" s="19" t="str">
        <f t="array" ref="F199">IFERROR(_xlfn.XLOOKUP($B199,'Histórico'!$B:$B,'Histórico'!$L:$L),"")</f>
        <v>0709LS</v>
      </c>
      <c r="G199" s="49" t="str">
        <f t="array" ref="G199">IFERROR(_xlfn.XLOOKUP($B199,'Histórico'!$B:$B,'Histórico'!$F:$F),"")</f>
        <v>17/11/2025</v>
      </c>
      <c r="H199" s="19" t="str">
        <f t="array" ref="H199">IFERROR(_xlfn.XLOOKUP($B199,'Histórico'!$B:$B,'Histórico'!$AA:$AA),"")</f>
        <v>PAMALS</v>
      </c>
      <c r="I199" s="19" t="str">
        <f t="array" ref="I199">IFERROR(_xlfn.XLOOKUP($B199,Atual!$B:$B,Atual!$E:$E),"OS concluída")</f>
        <v>OS concluída</v>
      </c>
      <c r="J199" s="19" t="str">
        <f t="shared" si="1"/>
        <v/>
      </c>
      <c r="K199" s="19"/>
      <c r="L199" s="19" t="str">
        <f t="shared" si="2"/>
        <v/>
      </c>
      <c r="M199" s="19"/>
      <c r="N199" s="49" t="str">
        <f t="shared" ref="N199:N201" si="53">IFERROR(_xlfn.XLOOKUP($B199,Empresa!G:G,Empresa!K:K),"")</f>
        <v/>
      </c>
      <c r="O199" s="49"/>
      <c r="P199" s="19" t="str">
        <f t="shared" ref="P199:P201" si="54">IFERROR(_xlfn.XLOOKUP($F199,'Vee one'!F:F,'Vee one'!O:O),"")</f>
        <v/>
      </c>
      <c r="Q199" s="19" t="str">
        <f t="shared" ref="Q199:Q201" si="55">IFERROR(_xlfn.XLOOKUP($F199,'Vee one'!F:F,'Vee one'!K:K),"")</f>
        <v/>
      </c>
      <c r="R199" s="19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</row>
    <row r="200" hidden="1">
      <c r="A200" s="47" t="s">
        <v>720</v>
      </c>
      <c r="B200" s="47" t="s">
        <v>721</v>
      </c>
      <c r="C200" s="19" t="str">
        <f t="array" ref="C200">IFERROR(_xlfn.XLOOKUP($B200,'Histórico'!$B:$B,'Histórico'!$I:$I),"")</f>
        <v>C414007-0102</v>
      </c>
      <c r="D200" s="19" t="str">
        <f t="array" ref="D200">IFERROR(_xlfn.XLOOKUP($B200,'Histórico'!$B:$B,'Histórico'!$J:$J),"")</f>
        <v>7EK50</v>
      </c>
      <c r="E200" s="19" t="str">
        <f t="array" ref="E200">IFERROR(_xlfn.XLOOKUP($B200,'Histórico'!$B:$B,'Histórico'!$K:$K),"")</f>
        <v>BLOWER ASSY</v>
      </c>
      <c r="F200" s="19" t="str">
        <f t="array" ref="F200">IFERROR(_xlfn.XLOOKUP($B200,'Histórico'!$B:$B,'Histórico'!$L:$L),"")</f>
        <v>H9533</v>
      </c>
      <c r="G200" s="49" t="str">
        <f t="array" ref="G200">IFERROR(_xlfn.XLOOKUP($B200,'Histórico'!$B:$B,'Histórico'!$F:$F),"")</f>
        <v>17/11/2025</v>
      </c>
      <c r="H200" s="19" t="str">
        <f t="array" ref="H200">IFERROR(_xlfn.XLOOKUP($B200,'Histórico'!$B:$B,'Histórico'!$AA:$AA),"")</f>
        <v>ALA 10</v>
      </c>
      <c r="I200" s="19" t="str">
        <f t="array" ref="I200">IFERROR(_xlfn.XLOOKUP($B200,Atual!$B:$B,Atual!$E:$E),"OS concluída")</f>
        <v>OS concluída</v>
      </c>
      <c r="J200" s="19" t="str">
        <f t="shared" si="1"/>
        <v/>
      </c>
      <c r="K200" s="19"/>
      <c r="L200" s="19" t="str">
        <f t="shared" si="2"/>
        <v/>
      </c>
      <c r="M200" s="19"/>
      <c r="N200" s="49" t="str">
        <f t="shared" si="53"/>
        <v/>
      </c>
      <c r="O200" s="49"/>
      <c r="P200" s="19" t="str">
        <f t="shared" si="54"/>
        <v/>
      </c>
      <c r="Q200" s="19" t="str">
        <f t="shared" si="55"/>
        <v/>
      </c>
      <c r="R200" s="19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</row>
    <row r="201" hidden="1">
      <c r="A201" s="47" t="s">
        <v>722</v>
      </c>
      <c r="B201" s="47" t="s">
        <v>723</v>
      </c>
      <c r="C201" s="19" t="str">
        <f t="array" ref="C201">IFERROR(_xlfn.XLOOKUP($B201,'Histórico'!$B:$B,'Histórico'!$I:$I),"")</f>
        <v>C414007-0102</v>
      </c>
      <c r="D201" s="19" t="str">
        <f t="array" ref="D201">IFERROR(_xlfn.XLOOKUP($B201,'Histórico'!$B:$B,'Histórico'!$J:$J),"")</f>
        <v>7EK50</v>
      </c>
      <c r="E201" s="19" t="str">
        <f t="array" ref="E201">IFERROR(_xlfn.XLOOKUP($B201,'Histórico'!$B:$B,'Histórico'!$K:$K),"")</f>
        <v>BLOWER ASSY</v>
      </c>
      <c r="F201" s="19" t="str">
        <f t="array" ref="F201">IFERROR(_xlfn.XLOOKUP($B201,'Histórico'!$B:$B,'Histórico'!$L:$L),"")</f>
        <v>1902269</v>
      </c>
      <c r="G201" s="49" t="str">
        <f t="array" ref="G201">IFERROR(_xlfn.XLOOKUP($B201,'Histórico'!$B:$B,'Histórico'!$F:$F),"")</f>
        <v>17/11/2025</v>
      </c>
      <c r="H201" s="19" t="str">
        <f t="array" ref="H201">IFERROR(_xlfn.XLOOKUP($B201,'Histórico'!$B:$B,'Histórico'!$AA:$AA),"")</f>
        <v>ALA 10</v>
      </c>
      <c r="I201" s="19" t="str">
        <f t="array" ref="I201">IFERROR(_xlfn.XLOOKUP($B201,Atual!$B:$B,Atual!$E:$E),"OS concluída")</f>
        <v>OS concluída</v>
      </c>
      <c r="J201" s="19" t="str">
        <f t="shared" si="1"/>
        <v/>
      </c>
      <c r="K201" s="19"/>
      <c r="L201" s="19" t="str">
        <f t="shared" si="2"/>
        <v/>
      </c>
      <c r="M201" s="19"/>
      <c r="N201" s="49" t="str">
        <f t="shared" si="53"/>
        <v/>
      </c>
      <c r="O201" s="49"/>
      <c r="P201" s="19" t="str">
        <f t="shared" si="54"/>
        <v/>
      </c>
      <c r="Q201" s="19" t="str">
        <f t="shared" si="55"/>
        <v/>
      </c>
      <c r="R201" s="19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</row>
    <row r="202">
      <c r="A202" s="47" t="s">
        <v>724</v>
      </c>
      <c r="B202" s="47" t="s">
        <v>725</v>
      </c>
      <c r="C202" s="48" t="str">
        <f t="array" ref="C202">IFERROR(_xlfn.XLOOKUP($B202,'Histórico'!$B:$B,'Histórico'!$I:$I),"")</f>
        <v>025323-150</v>
      </c>
      <c r="D202" s="19" t="str">
        <f t="array" ref="D202">IFERROR(_xlfn.XLOOKUP($B202,'Histórico'!$B:$B,'Histórico'!$J:$J),"")</f>
        <v>99167</v>
      </c>
      <c r="E202" s="19" t="str">
        <f t="array" ref="E202">IFERROR(_xlfn.XLOOKUP($B202,'Histórico'!$B:$B,'Histórico'!$K:$K),"")</f>
        <v>FUEL PUMP</v>
      </c>
      <c r="F202" s="19" t="str">
        <f t="array" ref="F202">IFERROR(_xlfn.XLOOKUP($B202,'Histórico'!$B:$B,'Histórico'!$L:$L),"")</f>
        <v>1439</v>
      </c>
      <c r="G202" s="49" t="str">
        <f t="array" ref="G202">IFERROR(_xlfn.XLOOKUP($B202,'Histórico'!$B:$B,'Histórico'!$F:$F),"")</f>
        <v>18/11/2025</v>
      </c>
      <c r="H202" s="19" t="str">
        <f t="array" ref="H202">IFERROR(_xlfn.XLOOKUP($B202,'Histórico'!$B:$B,'Histórico'!$AA:$AA),"")</f>
        <v>PAMASP</v>
      </c>
      <c r="I202" s="19" t="str">
        <f t="array" ref="I202">IFERROR(_xlfn.XLOOKUP($B202,Atual!$B:$B,Atual!$E:$E),"OS concluída")</f>
        <v>REC</v>
      </c>
      <c r="J202" s="19">
        <f t="shared" si="1"/>
        <v>331</v>
      </c>
      <c r="K202" s="19"/>
      <c r="L202" s="19">
        <f t="shared" si="2"/>
        <v>70</v>
      </c>
      <c r="M202" s="19"/>
      <c r="N202" s="49">
        <f t="array" ref="N202">IFERROR(_xlfn.XLOOKUP($B202,EMPRESA_1!A:A,EMPRESA_1!J:J),"")</f>
        <v>46049</v>
      </c>
      <c r="O202" s="50" t="str">
        <f t="array" ref="O202">IFERROR(_xlfn.XLOOKUP(B202,EMPRESA_1!A:A,EMPRESA_1!K:K),"")
</f>
        <v>BACO</v>
      </c>
      <c r="P202" s="19" t="str">
        <f t="array" ref="P202">IFERROR(_xlfn.XLOOKUP(B202,EMPRESA_1!A:A,EMPRESA_1!L:L),"")</f>
        <v>1116/LS-C98/2026</v>
      </c>
      <c r="Q202" s="49">
        <f t="array" ref="Q202">IFERROR(_xlfn.XLOOKUP(B202,EMPRESA_1!A:A,EMPRESA_1!J:J),"")</f>
        <v>46049</v>
      </c>
      <c r="R202" s="19" t="str">
        <f t="array" ref="R202">IFERROR(_xlfn.XLOOKUP(B202,EMPRESA_1!A:A,EMPRESA_1!M:M),"")</f>
        <v/>
      </c>
      <c r="S202" s="51"/>
      <c r="T202" s="51" t="str">
        <f t="array" ref="T202">IFERROR(_xlfn.XLOOKUP($F202,'Acerto virtual'!$E:$E,'Acerto virtual'!F:F),"")</f>
        <v/>
      </c>
      <c r="U202" s="51" t="str">
        <f t="array" ref="U202">IFERROR(_xlfn.XLOOKUP($F202,'Acerto virtual'!$E:$E,'Acerto virtual'!G:G),"")</f>
        <v/>
      </c>
      <c r="V202" s="51" t="str">
        <f t="array" ref="V202">IFERROR(_xlfn.XLOOKUP($F202,'Acerto virtual'!$E:$E,'Acerto virtual'!H:H),"")</f>
        <v/>
      </c>
      <c r="W202" s="51" t="str">
        <f t="array" ref="W202">IFERROR(_xlfn.XLOOKUP($F202,'Acerto virtual'!$E:$E,'Acerto virtual'!I:I),"")</f>
        <v/>
      </c>
      <c r="X202" s="51" t="str">
        <f t="array" ref="X202">IFERROR(_xlfn.XLOOKUP($F202,'Acerto virtual'!$E:$E,'Acerto virtual'!J:J),"")</f>
        <v/>
      </c>
      <c r="Y202" s="51" t="str">
        <f t="array" ref="Y202">IFERROR(_xlfn.XLOOKUP($F202,'Acerto virtual'!$E:$E,'Acerto virtual'!K:K),"")</f>
        <v/>
      </c>
      <c r="Z202" s="51" t="str">
        <f t="array" ref="Z202">IFERROR(_xlfn.XLOOKUP($F202,'Acerto virtual'!$E:$E,'Acerto virtual'!L:L),"")</f>
        <v/>
      </c>
      <c r="AA202" s="51" t="str">
        <f t="array" ref="AA202">IFERROR(_xlfn.XLOOKUP($F202,'Acerto virtual'!$E:$E,'Acerto virtual'!M:M),"")</f>
        <v/>
      </c>
      <c r="AB202" s="51" t="str">
        <f t="array" ref="AB202">IFERROR(_xlfn.XLOOKUP($F202,'Acerto virtual'!$E:$E,'Acerto virtual'!N:N),"")</f>
        <v/>
      </c>
      <c r="AC202" s="51" t="str">
        <f t="array" ref="AC202">IFERROR(_xlfn.XLOOKUP($F202,'Acerto virtual'!$E:$E,'Acerto virtual'!O:O),"")</f>
        <v/>
      </c>
      <c r="AD202" s="51" t="str">
        <f t="array" ref="AD202">IFERROR(_xlfn.XLOOKUP($F202,'Acerto virtual'!$E:$E,'Acerto virtual'!P:P),"")</f>
        <v/>
      </c>
      <c r="AE202" s="51" t="str">
        <f t="array" ref="AE202">IFERROR(_xlfn.XLOOKUP($F202,'Acerto virtual'!$E:$E,'Acerto virtual'!Q:Q),"")</f>
        <v/>
      </c>
      <c r="AF202" s="51" t="str">
        <f t="array" ref="AF202">IFERROR(_xlfn.XLOOKUP($F202,'Acerto virtual'!$E:$E,'Acerto virtual'!R:R),"")</f>
        <v/>
      </c>
      <c r="AG202" s="51" t="str">
        <f t="array" ref="AG202">IFERROR(_xlfn.XLOOKUP($F202,'Acerto virtual'!$E:$E,'Acerto virtual'!S:S),"")</f>
        <v/>
      </c>
      <c r="AH202" s="51" t="str">
        <f t="array" ref="AH202">IFERROR(_xlfn.XLOOKUP($F202,'Acerto virtual'!$E:$E,'Acerto virtual'!T:T),"")</f>
        <v/>
      </c>
      <c r="AI202" s="51" t="str">
        <f t="array" ref="AI202">IFERROR(_xlfn.XLOOKUP($F202,'Acerto virtual'!$E:$E,'Acerto virtual'!U:U),"")</f>
        <v/>
      </c>
    </row>
    <row r="203" hidden="1">
      <c r="A203" s="47" t="s">
        <v>726</v>
      </c>
      <c r="B203" s="47" t="s">
        <v>727</v>
      </c>
      <c r="C203" s="48" t="str">
        <f t="array" ref="C203">IFERROR(_xlfn.XLOOKUP($B203,'Histórico'!$B:$B,'Histórico'!$I:$I),"")</f>
        <v>C414007-0102</v>
      </c>
      <c r="D203" s="19" t="str">
        <f t="array" ref="D203">IFERROR(_xlfn.XLOOKUP($B203,'Histórico'!$B:$B,'Histórico'!$J:$J),"")</f>
        <v>7EK50</v>
      </c>
      <c r="E203" s="19" t="str">
        <f t="array" ref="E203">IFERROR(_xlfn.XLOOKUP($B203,'Histórico'!$B:$B,'Histórico'!$K:$K),"")</f>
        <v>BLOWER ASSY</v>
      </c>
      <c r="F203" s="19" t="str">
        <f t="array" ref="F203">IFERROR(_xlfn.XLOOKUP($B203,'Histórico'!$B:$B,'Histórico'!$L:$L),"")</f>
        <v>182</v>
      </c>
      <c r="G203" s="49" t="str">
        <f t="array" ref="G203">IFERROR(_xlfn.XLOOKUP($B203,'Histórico'!$B:$B,'Histórico'!$F:$F),"")</f>
        <v>25/11/2025</v>
      </c>
      <c r="H203" s="19" t="str">
        <f t="array" ref="H203">IFERROR(_xlfn.XLOOKUP($B203,'Histórico'!$B:$B,'Histórico'!$AA:$AA),"")</f>
        <v>BANT</v>
      </c>
      <c r="I203" s="19" t="str">
        <f t="array" ref="I203">IFERROR(_xlfn.XLOOKUP($B203,Atual!$B:$B,Atual!$E:$E),"OS concluída")</f>
        <v>OS concluída</v>
      </c>
      <c r="J203" s="19" t="str">
        <f t="shared" si="1"/>
        <v/>
      </c>
      <c r="K203" s="19"/>
      <c r="L203" s="19">
        <f t="shared" si="2"/>
        <v>170</v>
      </c>
      <c r="M203" s="19"/>
      <c r="N203" s="49">
        <f t="array" ref="N203">IFERROR(_xlfn.XLOOKUP($B203,EMPRESA_1!A:A,EMPRESA_1!J:J),"")</f>
        <v>46156</v>
      </c>
      <c r="O203" s="50" t="str">
        <f t="array" ref="O203">IFERROR(_xlfn.XLOOKUP(B203,EMPRESA_1!A:A,EMPRESA_1!K:K),"")
</f>
        <v>PAMA-LS</v>
      </c>
      <c r="P203" s="48" t="str">
        <f t="array" ref="P203">IFERROR(_xlfn.XLOOKUP(B203,EMPRESA_1!A:A,EMPRESA_1!L:L),"")</f>
        <v>682/fab/26</v>
      </c>
      <c r="Q203" s="49">
        <f t="array" ref="Q203">IFERROR(_xlfn.XLOOKUP(B203,EMPRESA_1!A:A,EMPRESA_1!J:J),"")</f>
        <v>46156</v>
      </c>
      <c r="R203" s="19" t="str">
        <f t="array" ref="R203">IFERROR(_xlfn.XLOOKUP(B203,EMPRESA_1!A:A,EMPRESA_1!M:M),"")</f>
        <v/>
      </c>
      <c r="S203" s="51"/>
      <c r="T203" s="51" t="str">
        <f t="array" ref="T203">IFERROR(_xlfn.XLOOKUP($F203,'Acerto virtual'!$E:$E,'Acerto virtual'!F:F),"")</f>
        <v/>
      </c>
      <c r="U203" s="51" t="str">
        <f t="array" ref="U203">IFERROR(_xlfn.XLOOKUP($F203,'Acerto virtual'!$E:$E,'Acerto virtual'!G:G),"")</f>
        <v/>
      </c>
      <c r="V203" s="51" t="str">
        <f t="array" ref="V203">IFERROR(_xlfn.XLOOKUP($F203,'Acerto virtual'!$E:$E,'Acerto virtual'!H:H),"")</f>
        <v/>
      </c>
      <c r="W203" s="51" t="str">
        <f t="array" ref="W203">IFERROR(_xlfn.XLOOKUP($F203,'Acerto virtual'!$E:$E,'Acerto virtual'!I:I),"")</f>
        <v/>
      </c>
      <c r="X203" s="51" t="str">
        <f t="array" ref="X203">IFERROR(_xlfn.XLOOKUP($F203,'Acerto virtual'!$E:$E,'Acerto virtual'!J:J),"")</f>
        <v/>
      </c>
      <c r="Y203" s="51" t="str">
        <f t="array" ref="Y203">IFERROR(_xlfn.XLOOKUP($F203,'Acerto virtual'!$E:$E,'Acerto virtual'!K:K),"")</f>
        <v/>
      </c>
      <c r="Z203" s="51" t="str">
        <f t="array" ref="Z203">IFERROR(_xlfn.XLOOKUP($F203,'Acerto virtual'!$E:$E,'Acerto virtual'!L:L),"")</f>
        <v/>
      </c>
      <c r="AA203" s="51" t="str">
        <f t="array" ref="AA203">IFERROR(_xlfn.XLOOKUP($F203,'Acerto virtual'!$E:$E,'Acerto virtual'!M:M),"")</f>
        <v/>
      </c>
      <c r="AB203" s="51" t="str">
        <f t="array" ref="AB203">IFERROR(_xlfn.XLOOKUP($F203,'Acerto virtual'!$E:$E,'Acerto virtual'!N:N),"")</f>
        <v/>
      </c>
      <c r="AC203" s="51" t="str">
        <f t="array" ref="AC203">IFERROR(_xlfn.XLOOKUP($F203,'Acerto virtual'!$E:$E,'Acerto virtual'!O:O),"")</f>
        <v/>
      </c>
      <c r="AD203" s="51" t="str">
        <f t="array" ref="AD203">IFERROR(_xlfn.XLOOKUP($F203,'Acerto virtual'!$E:$E,'Acerto virtual'!P:P),"")</f>
        <v/>
      </c>
      <c r="AE203" s="51" t="str">
        <f t="array" ref="AE203">IFERROR(_xlfn.XLOOKUP($F203,'Acerto virtual'!$E:$E,'Acerto virtual'!Q:Q),"")</f>
        <v/>
      </c>
      <c r="AF203" s="51" t="str">
        <f t="array" ref="AF203">IFERROR(_xlfn.XLOOKUP($F203,'Acerto virtual'!$E:$E,'Acerto virtual'!R:R),"")</f>
        <v/>
      </c>
      <c r="AG203" s="51" t="str">
        <f t="array" ref="AG203">IFERROR(_xlfn.XLOOKUP($F203,'Acerto virtual'!$E:$E,'Acerto virtual'!S:S),"")</f>
        <v/>
      </c>
      <c r="AH203" s="51" t="str">
        <f t="array" ref="AH203">IFERROR(_xlfn.XLOOKUP($F203,'Acerto virtual'!$E:$E,'Acerto virtual'!T:T),"")</f>
        <v/>
      </c>
      <c r="AI203" s="51" t="str">
        <f t="array" ref="AI203">IFERROR(_xlfn.XLOOKUP($F203,'Acerto virtual'!$E:$E,'Acerto virtual'!U:U),"")</f>
        <v/>
      </c>
    </row>
    <row r="204">
      <c r="A204" s="47" t="s">
        <v>728</v>
      </c>
      <c r="B204" s="47" t="s">
        <v>729</v>
      </c>
      <c r="C204" s="48" t="str">
        <f t="array" ref="C204">IFERROR(_xlfn.XLOOKUP($B204,'Histórico'!$B:$B,'Histórico'!$I:$I),"")</f>
        <v>C414007-0102</v>
      </c>
      <c r="D204" s="19" t="str">
        <f t="array" ref="D204">IFERROR(_xlfn.XLOOKUP($B204,'Histórico'!$B:$B,'Histórico'!$J:$J),"")</f>
        <v>7EK50</v>
      </c>
      <c r="E204" s="19" t="str">
        <f t="array" ref="E204">IFERROR(_xlfn.XLOOKUP($B204,'Histórico'!$B:$B,'Histórico'!$K:$K),"")</f>
        <v>BLOWER ASSY</v>
      </c>
      <c r="F204" s="19" t="str">
        <f t="array" ref="F204">IFERROR(_xlfn.XLOOKUP($B204,'Histórico'!$B:$B,'Histórico'!$L:$L),"")</f>
        <v>0707LS</v>
      </c>
      <c r="G204" s="49" t="str">
        <f t="array" ref="G204">IFERROR(_xlfn.XLOOKUP($B204,'Histórico'!$B:$B,'Histórico'!$F:$F),"")</f>
        <v>25/11/2025</v>
      </c>
      <c r="H204" s="19" t="str">
        <f t="array" ref="H204">IFERROR(_xlfn.XLOOKUP($B204,'Histórico'!$B:$B,'Histórico'!$AA:$AA),"")</f>
        <v>PAMALS</v>
      </c>
      <c r="I204" s="19" t="str">
        <f t="array" ref="I204">IFERROR(_xlfn.XLOOKUP($B204,Atual!$B:$B,Atual!$E:$E),"OS concluída")</f>
        <v>REC</v>
      </c>
      <c r="J204" s="19">
        <f t="shared" si="1"/>
        <v>324</v>
      </c>
      <c r="K204" s="19"/>
      <c r="L204" s="19" t="str">
        <f t="shared" si="2"/>
        <v>NÃO APLICÁVEL</v>
      </c>
      <c r="M204" s="19"/>
      <c r="N204" s="49" t="str">
        <f t="array" ref="N204">IFERROR(_xlfn.XLOOKUP($B204,EMPRESA_1!A:A,EMPRESA_1!J:J),"")</f>
        <v>EM REPARO</v>
      </c>
      <c r="O204" s="50" t="str">
        <f t="array" ref="O204">IFERROR(_xlfn.XLOOKUP(B204,EMPRESA_1!A:A,EMPRESA_1!K:K),"")
</f>
        <v>VEE ONE</v>
      </c>
      <c r="P204" s="48" t="str">
        <f t="array" ref="P204">IFERROR(_xlfn.XLOOKUP(B204,EMPRESA_1!A:A,EMPRESA_1!L:L),"")</f>
        <v/>
      </c>
      <c r="Q204" s="49" t="str">
        <f t="array" ref="Q204">IFERROR(_xlfn.XLOOKUP(B204,EMPRESA_1!A:A,EMPRESA_1!J:J),"")</f>
        <v>EM REPARO</v>
      </c>
      <c r="R204" s="19" t="str">
        <f t="array" ref="R204">IFERROR(_xlfn.XLOOKUP(B204,EMPRESA_1!A:A,EMPRESA_1!M:M),"")</f>
        <v/>
      </c>
      <c r="S204" s="51"/>
      <c r="T204" s="51" t="str">
        <f t="array" ref="T204">IFERROR(_xlfn.XLOOKUP($F204,'Acerto virtual'!$E:$E,'Acerto virtual'!F:F),"")</f>
        <v/>
      </c>
      <c r="U204" s="51" t="str">
        <f t="array" ref="U204">IFERROR(_xlfn.XLOOKUP($F204,'Acerto virtual'!$E:$E,'Acerto virtual'!G:G),"")</f>
        <v/>
      </c>
      <c r="V204" s="51" t="str">
        <f t="array" ref="V204">IFERROR(_xlfn.XLOOKUP($F204,'Acerto virtual'!$E:$E,'Acerto virtual'!H:H),"")</f>
        <v/>
      </c>
      <c r="W204" s="51" t="str">
        <f t="array" ref="W204">IFERROR(_xlfn.XLOOKUP($F204,'Acerto virtual'!$E:$E,'Acerto virtual'!I:I),"")</f>
        <v/>
      </c>
      <c r="X204" s="51" t="str">
        <f t="array" ref="X204">IFERROR(_xlfn.XLOOKUP($F204,'Acerto virtual'!$E:$E,'Acerto virtual'!J:J),"")</f>
        <v/>
      </c>
      <c r="Y204" s="51" t="str">
        <f t="array" ref="Y204">IFERROR(_xlfn.XLOOKUP($F204,'Acerto virtual'!$E:$E,'Acerto virtual'!K:K),"")</f>
        <v/>
      </c>
      <c r="Z204" s="51" t="str">
        <f t="array" ref="Z204">IFERROR(_xlfn.XLOOKUP($F204,'Acerto virtual'!$E:$E,'Acerto virtual'!L:L),"")</f>
        <v/>
      </c>
      <c r="AA204" s="51" t="str">
        <f t="array" ref="AA204">IFERROR(_xlfn.XLOOKUP($F204,'Acerto virtual'!$E:$E,'Acerto virtual'!M:M),"")</f>
        <v/>
      </c>
      <c r="AB204" s="51" t="str">
        <f t="array" ref="AB204">IFERROR(_xlfn.XLOOKUP($F204,'Acerto virtual'!$E:$E,'Acerto virtual'!N:N),"")</f>
        <v/>
      </c>
      <c r="AC204" s="51" t="str">
        <f t="array" ref="AC204">IFERROR(_xlfn.XLOOKUP($F204,'Acerto virtual'!$E:$E,'Acerto virtual'!O:O),"")</f>
        <v/>
      </c>
      <c r="AD204" s="51" t="str">
        <f t="array" ref="AD204">IFERROR(_xlfn.XLOOKUP($F204,'Acerto virtual'!$E:$E,'Acerto virtual'!P:P),"")</f>
        <v/>
      </c>
      <c r="AE204" s="51" t="str">
        <f t="array" ref="AE204">IFERROR(_xlfn.XLOOKUP($F204,'Acerto virtual'!$E:$E,'Acerto virtual'!Q:Q),"")</f>
        <v/>
      </c>
      <c r="AF204" s="51" t="str">
        <f t="array" ref="AF204">IFERROR(_xlfn.XLOOKUP($F204,'Acerto virtual'!$E:$E,'Acerto virtual'!R:R),"")</f>
        <v/>
      </c>
      <c r="AG204" s="51" t="str">
        <f t="array" ref="AG204">IFERROR(_xlfn.XLOOKUP($F204,'Acerto virtual'!$E:$E,'Acerto virtual'!S:S),"")</f>
        <v/>
      </c>
      <c r="AH204" s="51" t="str">
        <f t="array" ref="AH204">IFERROR(_xlfn.XLOOKUP($F204,'Acerto virtual'!$E:$E,'Acerto virtual'!T:T),"")</f>
        <v/>
      </c>
      <c r="AI204" s="51" t="str">
        <f t="array" ref="AI204">IFERROR(_xlfn.XLOOKUP($F204,'Acerto virtual'!$E:$E,'Acerto virtual'!U:U),"")</f>
        <v/>
      </c>
    </row>
    <row r="205">
      <c r="A205" s="47" t="s">
        <v>730</v>
      </c>
      <c r="B205" s="47" t="s">
        <v>731</v>
      </c>
      <c r="C205" s="48" t="str">
        <f t="array" ref="C205">IFERROR(_xlfn.XLOOKUP($B205,'Histórico'!$B:$B,'Histórico'!$I:$I),"")</f>
        <v>C414007-0102</v>
      </c>
      <c r="D205" s="19" t="str">
        <f t="array" ref="D205">IFERROR(_xlfn.XLOOKUP($B205,'Histórico'!$B:$B,'Histórico'!$J:$J),"")</f>
        <v>7EK50</v>
      </c>
      <c r="E205" s="19" t="str">
        <f t="array" ref="E205">IFERROR(_xlfn.XLOOKUP($B205,'Histórico'!$B:$B,'Histórico'!$K:$K),"")</f>
        <v>BLOWER ASSY</v>
      </c>
      <c r="F205" s="19" t="str">
        <f t="array" ref="F205">IFERROR(_xlfn.XLOOKUP($B205,'Histórico'!$B:$B,'Histórico'!$L:$L),"")</f>
        <v>0801LS</v>
      </c>
      <c r="G205" s="49" t="str">
        <f t="array" ref="G205">IFERROR(_xlfn.XLOOKUP($B205,'Histórico'!$B:$B,'Histórico'!$F:$F),"")</f>
        <v>25/11/2025</v>
      </c>
      <c r="H205" s="19" t="str">
        <f t="array" ref="H205">IFERROR(_xlfn.XLOOKUP($B205,'Histórico'!$B:$B,'Histórico'!$AA:$AA),"")</f>
        <v>BACG</v>
      </c>
      <c r="I205" s="19" t="str">
        <f t="array" ref="I205">IFERROR(_xlfn.XLOOKUP($B205,Atual!$B:$B,Atual!$E:$E),"OS concluída")</f>
        <v>REC</v>
      </c>
      <c r="J205" s="19">
        <f t="shared" si="1"/>
        <v>324</v>
      </c>
      <c r="K205" s="19"/>
      <c r="L205" s="19" t="str">
        <f t="shared" si="2"/>
        <v>NÃO APLICÁVEL</v>
      </c>
      <c r="M205" s="19"/>
      <c r="N205" s="49" t="str">
        <f t="array" ref="N205">IFERROR(_xlfn.XLOOKUP($B205,EMPRESA_1!A:A,EMPRESA_1!J:J),"")</f>
        <v>EM REPARO</v>
      </c>
      <c r="O205" s="50" t="str">
        <f t="array" ref="O205">IFERROR(_xlfn.XLOOKUP(B205,EMPRESA_1!A:A,EMPRESA_1!K:K),"")
</f>
        <v>VEE ONE</v>
      </c>
      <c r="P205" s="48" t="str">
        <f t="array" ref="P205">IFERROR(_xlfn.XLOOKUP(B205,EMPRESA_1!A:A,EMPRESA_1!L:L),"")</f>
        <v/>
      </c>
      <c r="Q205" s="49" t="str">
        <f t="array" ref="Q205">IFERROR(_xlfn.XLOOKUP(B205,EMPRESA_1!A:A,EMPRESA_1!J:J),"")</f>
        <v>EM REPARO</v>
      </c>
      <c r="R205" s="19" t="str">
        <f t="array" ref="R205">IFERROR(_xlfn.XLOOKUP(B205,EMPRESA_1!A:A,EMPRESA_1!M:M),"")</f>
        <v/>
      </c>
      <c r="S205" s="51"/>
      <c r="T205" s="51" t="str">
        <f t="array" ref="T205">IFERROR(_xlfn.XLOOKUP($F205,'Acerto virtual'!$E:$E,'Acerto virtual'!F:F),"")</f>
        <v/>
      </c>
      <c r="U205" s="51" t="str">
        <f t="array" ref="U205">IFERROR(_xlfn.XLOOKUP($F205,'Acerto virtual'!$E:$E,'Acerto virtual'!G:G),"")</f>
        <v/>
      </c>
      <c r="V205" s="51" t="str">
        <f t="array" ref="V205">IFERROR(_xlfn.XLOOKUP($F205,'Acerto virtual'!$E:$E,'Acerto virtual'!H:H),"")</f>
        <v/>
      </c>
      <c r="W205" s="51" t="str">
        <f t="array" ref="W205">IFERROR(_xlfn.XLOOKUP($F205,'Acerto virtual'!$E:$E,'Acerto virtual'!I:I),"")</f>
        <v/>
      </c>
      <c r="X205" s="51" t="str">
        <f t="array" ref="X205">IFERROR(_xlfn.XLOOKUP($F205,'Acerto virtual'!$E:$E,'Acerto virtual'!J:J),"")</f>
        <v/>
      </c>
      <c r="Y205" s="51" t="str">
        <f t="array" ref="Y205">IFERROR(_xlfn.XLOOKUP($F205,'Acerto virtual'!$E:$E,'Acerto virtual'!K:K),"")</f>
        <v/>
      </c>
      <c r="Z205" s="51" t="str">
        <f t="array" ref="Z205">IFERROR(_xlfn.XLOOKUP($F205,'Acerto virtual'!$E:$E,'Acerto virtual'!L:L),"")</f>
        <v/>
      </c>
      <c r="AA205" s="51" t="str">
        <f t="array" ref="AA205">IFERROR(_xlfn.XLOOKUP($F205,'Acerto virtual'!$E:$E,'Acerto virtual'!M:M),"")</f>
        <v/>
      </c>
      <c r="AB205" s="51" t="str">
        <f t="array" ref="AB205">IFERROR(_xlfn.XLOOKUP($F205,'Acerto virtual'!$E:$E,'Acerto virtual'!N:N),"")</f>
        <v/>
      </c>
      <c r="AC205" s="51" t="str">
        <f t="array" ref="AC205">IFERROR(_xlfn.XLOOKUP($F205,'Acerto virtual'!$E:$E,'Acerto virtual'!O:O),"")</f>
        <v/>
      </c>
      <c r="AD205" s="51" t="str">
        <f t="array" ref="AD205">IFERROR(_xlfn.XLOOKUP($F205,'Acerto virtual'!$E:$E,'Acerto virtual'!P:P),"")</f>
        <v/>
      </c>
      <c r="AE205" s="51" t="str">
        <f t="array" ref="AE205">IFERROR(_xlfn.XLOOKUP($F205,'Acerto virtual'!$E:$E,'Acerto virtual'!Q:Q),"")</f>
        <v/>
      </c>
      <c r="AF205" s="51" t="str">
        <f t="array" ref="AF205">IFERROR(_xlfn.XLOOKUP($F205,'Acerto virtual'!$E:$E,'Acerto virtual'!R:R),"")</f>
        <v/>
      </c>
      <c r="AG205" s="51" t="str">
        <f t="array" ref="AG205">IFERROR(_xlfn.XLOOKUP($F205,'Acerto virtual'!$E:$E,'Acerto virtual'!S:S),"")</f>
        <v/>
      </c>
      <c r="AH205" s="51" t="str">
        <f t="array" ref="AH205">IFERROR(_xlfn.XLOOKUP($F205,'Acerto virtual'!$E:$E,'Acerto virtual'!T:T),"")</f>
        <v/>
      </c>
      <c r="AI205" s="51" t="str">
        <f t="array" ref="AI205">IFERROR(_xlfn.XLOOKUP($F205,'Acerto virtual'!$E:$E,'Acerto virtual'!U:U),"")</f>
        <v/>
      </c>
    </row>
    <row r="206" hidden="1">
      <c r="A206" s="47" t="s">
        <v>732</v>
      </c>
      <c r="B206" s="47" t="s">
        <v>733</v>
      </c>
      <c r="C206" s="48" t="str">
        <f t="array" ref="C206">IFERROR(_xlfn.XLOOKUP($B206,'Histórico'!$B:$B,'Histórico'!$I:$I),"")</f>
        <v>C414007-0102</v>
      </c>
      <c r="D206" s="19" t="str">
        <f t="array" ref="D206">IFERROR(_xlfn.XLOOKUP($B206,'Histórico'!$B:$B,'Histórico'!$J:$J),"")</f>
        <v>7EK50</v>
      </c>
      <c r="E206" s="19" t="str">
        <f t="array" ref="E206">IFERROR(_xlfn.XLOOKUP($B206,'Histórico'!$B:$B,'Histórico'!$K:$K),"")</f>
        <v>BLOWER ASSY</v>
      </c>
      <c r="F206" s="19" t="str">
        <f t="array" ref="F206">IFERROR(_xlfn.XLOOKUP($B206,'Histórico'!$B:$B,'Histórico'!$L:$L),"")</f>
        <v>H9817</v>
      </c>
      <c r="G206" s="49" t="str">
        <f t="array" ref="G206">IFERROR(_xlfn.XLOOKUP($B206,'Histórico'!$B:$B,'Histórico'!$F:$F),"")</f>
        <v>25/11/2025</v>
      </c>
      <c r="H206" s="19" t="str">
        <f t="array" ref="H206">IFERROR(_xlfn.XLOOKUP($B206,'Histórico'!$B:$B,'Histórico'!$AA:$AA),"")</f>
        <v>ALA 10</v>
      </c>
      <c r="I206" s="19" t="str">
        <f t="array" ref="I206">IFERROR(_xlfn.XLOOKUP($B206,Atual!$B:$B,Atual!$E:$E),"OS concluída")</f>
        <v>OS concluída</v>
      </c>
      <c r="J206" s="19" t="str">
        <f t="shared" si="1"/>
        <v/>
      </c>
      <c r="K206" s="19"/>
      <c r="L206" s="19">
        <f t="shared" si="2"/>
        <v>246</v>
      </c>
      <c r="M206" s="19"/>
      <c r="N206" s="49">
        <f t="array" ref="N206">IFERROR(_xlfn.XLOOKUP($B206,EMPRESA_1!A:A,EMPRESA_1!J:J),"")</f>
        <v>46232</v>
      </c>
      <c r="O206" s="50" t="str">
        <f t="array" ref="O206">IFERROR(_xlfn.XLOOKUP(B206,EMPRESA_1!A:A,EMPRESA_1!K:K),"")
</f>
        <v>VEE ONE</v>
      </c>
      <c r="P206" s="48" t="str">
        <f t="array" ref="P206">IFERROR(_xlfn.XLOOKUP(B206,EMPRESA_1!A:A,EMPRESA_1!L:L),"")</f>
        <v>598/fab/26</v>
      </c>
      <c r="Q206" s="49">
        <f t="array" ref="Q206">IFERROR(_xlfn.XLOOKUP(B206,EMPRESA_1!A:A,EMPRESA_1!J:J),"")</f>
        <v>46232</v>
      </c>
      <c r="R206" s="19" t="str">
        <f t="array" ref="R206">IFERROR(_xlfn.XLOOKUP(B206,EMPRESA_1!A:A,EMPRESA_1!M:M),"")</f>
        <v/>
      </c>
      <c r="S206" s="51"/>
      <c r="T206" s="51" t="str">
        <f t="array" ref="T206">IFERROR(_xlfn.XLOOKUP($F206,'Acerto virtual'!$E:$E,'Acerto virtual'!F:F),"")</f>
        <v/>
      </c>
      <c r="U206" s="51" t="str">
        <f t="array" ref="U206">IFERROR(_xlfn.XLOOKUP($F206,'Acerto virtual'!$E:$E,'Acerto virtual'!G:G),"")</f>
        <v/>
      </c>
      <c r="V206" s="51" t="str">
        <f t="array" ref="V206">IFERROR(_xlfn.XLOOKUP($F206,'Acerto virtual'!$E:$E,'Acerto virtual'!H:H),"")</f>
        <v/>
      </c>
      <c r="W206" s="51" t="str">
        <f t="array" ref="W206">IFERROR(_xlfn.XLOOKUP($F206,'Acerto virtual'!$E:$E,'Acerto virtual'!I:I),"")</f>
        <v/>
      </c>
      <c r="X206" s="51" t="str">
        <f t="array" ref="X206">IFERROR(_xlfn.XLOOKUP($F206,'Acerto virtual'!$E:$E,'Acerto virtual'!J:J),"")</f>
        <v/>
      </c>
      <c r="Y206" s="51" t="str">
        <f t="array" ref="Y206">IFERROR(_xlfn.XLOOKUP($F206,'Acerto virtual'!$E:$E,'Acerto virtual'!K:K),"")</f>
        <v/>
      </c>
      <c r="Z206" s="51" t="str">
        <f t="array" ref="Z206">IFERROR(_xlfn.XLOOKUP($F206,'Acerto virtual'!$E:$E,'Acerto virtual'!L:L),"")</f>
        <v/>
      </c>
      <c r="AA206" s="51" t="str">
        <f t="array" ref="AA206">IFERROR(_xlfn.XLOOKUP($F206,'Acerto virtual'!$E:$E,'Acerto virtual'!M:M),"")</f>
        <v/>
      </c>
      <c r="AB206" s="51" t="str">
        <f t="array" ref="AB206">IFERROR(_xlfn.XLOOKUP($F206,'Acerto virtual'!$E:$E,'Acerto virtual'!N:N),"")</f>
        <v/>
      </c>
      <c r="AC206" s="51" t="str">
        <f t="array" ref="AC206">IFERROR(_xlfn.XLOOKUP($F206,'Acerto virtual'!$E:$E,'Acerto virtual'!O:O),"")</f>
        <v/>
      </c>
      <c r="AD206" s="51" t="str">
        <f t="array" ref="AD206">IFERROR(_xlfn.XLOOKUP($F206,'Acerto virtual'!$E:$E,'Acerto virtual'!P:P),"")</f>
        <v/>
      </c>
      <c r="AE206" s="51" t="str">
        <f t="array" ref="AE206">IFERROR(_xlfn.XLOOKUP($F206,'Acerto virtual'!$E:$E,'Acerto virtual'!Q:Q),"")</f>
        <v/>
      </c>
      <c r="AF206" s="51" t="str">
        <f t="array" ref="AF206">IFERROR(_xlfn.XLOOKUP($F206,'Acerto virtual'!$E:$E,'Acerto virtual'!R:R),"")</f>
        <v/>
      </c>
      <c r="AG206" s="51" t="str">
        <f t="array" ref="AG206">IFERROR(_xlfn.XLOOKUP($F206,'Acerto virtual'!$E:$E,'Acerto virtual'!S:S),"")</f>
        <v/>
      </c>
      <c r="AH206" s="51" t="str">
        <f t="array" ref="AH206">IFERROR(_xlfn.XLOOKUP($F206,'Acerto virtual'!$E:$E,'Acerto virtual'!T:T),"")</f>
        <v/>
      </c>
      <c r="AI206" s="51" t="str">
        <f t="array" ref="AI206">IFERROR(_xlfn.XLOOKUP($F206,'Acerto virtual'!$E:$E,'Acerto virtual'!U:U),"")</f>
        <v/>
      </c>
    </row>
    <row r="207">
      <c r="A207" s="47" t="s">
        <v>734</v>
      </c>
      <c r="B207" s="47" t="s">
        <v>735</v>
      </c>
      <c r="C207" s="48" t="str">
        <f t="array" ref="C207">IFERROR(_xlfn.XLOOKUP($B207,'Histórico'!$B:$B,'Histórico'!$I:$I),"")</f>
        <v>065-0060-01</v>
      </c>
      <c r="D207" s="19" t="str">
        <f t="array" ref="D207">IFERROR(_xlfn.XLOOKUP($B207,'Histórico'!$B:$B,'Histórico'!$J:$J),"")</f>
        <v>22373</v>
      </c>
      <c r="E207" s="19" t="str">
        <f t="array" ref="E207">IFERROR(_xlfn.XLOOKUP($B207,'Histórico'!$B:$B,'Histórico'!$K:$K),"")</f>
        <v>CONTROL,SERVO,AUTOMATIC PILOT</v>
      </c>
      <c r="F207" s="19" t="str">
        <f t="array" ref="F207">IFERROR(_xlfn.XLOOKUP($B207,'Histórico'!$B:$B,'Histórico'!$L:$L),"")</f>
        <v>37940</v>
      </c>
      <c r="G207" s="49" t="str">
        <f t="array" ref="G207">IFERROR(_xlfn.XLOOKUP($B207,'Histórico'!$B:$B,'Histórico'!$F:$F),"")</f>
        <v>25/11/2025</v>
      </c>
      <c r="H207" s="19" t="str">
        <f t="array" ref="H207">IFERROR(_xlfn.XLOOKUP($B207,'Histórico'!$B:$B,'Histórico'!$AA:$AA),"")</f>
        <v>PAMALS</v>
      </c>
      <c r="I207" s="19" t="str">
        <f t="array" ref="I207">IFERROR(_xlfn.XLOOKUP($B207,Atual!$B:$B,Atual!$E:$E),"OS concluída")</f>
        <v>REC</v>
      </c>
      <c r="J207" s="19">
        <f t="shared" si="1"/>
        <v>324</v>
      </c>
      <c r="K207" s="19"/>
      <c r="L207" s="19" t="str">
        <f t="shared" si="2"/>
        <v>NÃO APLICÁVEL</v>
      </c>
      <c r="M207" s="19"/>
      <c r="N207" s="49" t="str">
        <f t="array" ref="N207">IFERROR(_xlfn.XLOOKUP($B207,EMPRESA_1!A:A,EMPRESA_1!J:J),"")</f>
        <v>EM REPARO</v>
      </c>
      <c r="O207" s="50" t="str">
        <f t="array" ref="O207">IFERROR(_xlfn.XLOOKUP(B207,EMPRESA_1!A:A,EMPRESA_1!K:K),"")
</f>
        <v>LEAP</v>
      </c>
      <c r="P207" s="48" t="str">
        <f t="array" ref="P207">IFERROR(_xlfn.XLOOKUP(B207,EMPRESA_1!A:A,EMPRESA_1!L:L),"")</f>
        <v/>
      </c>
      <c r="Q207" s="49" t="str">
        <f t="array" ref="Q207">IFERROR(_xlfn.XLOOKUP(B207,EMPRESA_1!A:A,EMPRESA_1!J:J),"")</f>
        <v>EM REPARO</v>
      </c>
      <c r="R207" s="19" t="str">
        <f t="array" ref="R207">IFERROR(_xlfn.XLOOKUP(B207,EMPRESA_1!A:A,EMPRESA_1!M:M),"")</f>
        <v/>
      </c>
      <c r="S207" s="51"/>
      <c r="T207" s="51" t="str">
        <f t="array" ref="T207">IFERROR(_xlfn.XLOOKUP($F207,'Acerto virtual'!$E:$E,'Acerto virtual'!F:F),"")</f>
        <v/>
      </c>
      <c r="U207" s="51" t="str">
        <f t="array" ref="U207">IFERROR(_xlfn.XLOOKUP($F207,'Acerto virtual'!$E:$E,'Acerto virtual'!G:G),"")</f>
        <v/>
      </c>
      <c r="V207" s="51" t="str">
        <f t="array" ref="V207">IFERROR(_xlfn.XLOOKUP($F207,'Acerto virtual'!$E:$E,'Acerto virtual'!H:H),"")</f>
        <v/>
      </c>
      <c r="W207" s="51" t="str">
        <f t="array" ref="W207">IFERROR(_xlfn.XLOOKUP($F207,'Acerto virtual'!$E:$E,'Acerto virtual'!I:I),"")</f>
        <v/>
      </c>
      <c r="X207" s="51" t="str">
        <f t="array" ref="X207">IFERROR(_xlfn.XLOOKUP($F207,'Acerto virtual'!$E:$E,'Acerto virtual'!J:J),"")</f>
        <v/>
      </c>
      <c r="Y207" s="51" t="str">
        <f t="array" ref="Y207">IFERROR(_xlfn.XLOOKUP($F207,'Acerto virtual'!$E:$E,'Acerto virtual'!K:K),"")</f>
        <v/>
      </c>
      <c r="Z207" s="51" t="str">
        <f t="array" ref="Z207">IFERROR(_xlfn.XLOOKUP($F207,'Acerto virtual'!$E:$E,'Acerto virtual'!L:L),"")</f>
        <v/>
      </c>
      <c r="AA207" s="51" t="str">
        <f t="array" ref="AA207">IFERROR(_xlfn.XLOOKUP($F207,'Acerto virtual'!$E:$E,'Acerto virtual'!M:M),"")</f>
        <v/>
      </c>
      <c r="AB207" s="51" t="str">
        <f t="array" ref="AB207">IFERROR(_xlfn.XLOOKUP($F207,'Acerto virtual'!$E:$E,'Acerto virtual'!N:N),"")</f>
        <v/>
      </c>
      <c r="AC207" s="51" t="str">
        <f t="array" ref="AC207">IFERROR(_xlfn.XLOOKUP($F207,'Acerto virtual'!$E:$E,'Acerto virtual'!O:O),"")</f>
        <v/>
      </c>
      <c r="AD207" s="51" t="str">
        <f t="array" ref="AD207">IFERROR(_xlfn.XLOOKUP($F207,'Acerto virtual'!$E:$E,'Acerto virtual'!P:P),"")</f>
        <v/>
      </c>
      <c r="AE207" s="51" t="str">
        <f t="array" ref="AE207">IFERROR(_xlfn.XLOOKUP($F207,'Acerto virtual'!$E:$E,'Acerto virtual'!Q:Q),"")</f>
        <v/>
      </c>
      <c r="AF207" s="51" t="str">
        <f t="array" ref="AF207">IFERROR(_xlfn.XLOOKUP($F207,'Acerto virtual'!$E:$E,'Acerto virtual'!R:R),"")</f>
        <v/>
      </c>
      <c r="AG207" s="51" t="str">
        <f t="array" ref="AG207">IFERROR(_xlfn.XLOOKUP($F207,'Acerto virtual'!$E:$E,'Acerto virtual'!S:S),"")</f>
        <v/>
      </c>
      <c r="AH207" s="51" t="str">
        <f t="array" ref="AH207">IFERROR(_xlfn.XLOOKUP($F207,'Acerto virtual'!$E:$E,'Acerto virtual'!T:T),"")</f>
        <v/>
      </c>
      <c r="AI207" s="51" t="str">
        <f t="array" ref="AI207">IFERROR(_xlfn.XLOOKUP($F207,'Acerto virtual'!$E:$E,'Acerto virtual'!U:U),"")</f>
        <v/>
      </c>
    </row>
    <row r="208">
      <c r="A208" s="47" t="s">
        <v>736</v>
      </c>
      <c r="B208" s="47" t="s">
        <v>737</v>
      </c>
      <c r="C208" s="48" t="str">
        <f t="array" ref="C208">IFERROR(_xlfn.XLOOKUP($B208,'Histórico'!$B:$B,'Histórico'!$I:$I),"")</f>
        <v>065-0060-01</v>
      </c>
      <c r="D208" s="19" t="str">
        <f t="array" ref="D208">IFERROR(_xlfn.XLOOKUP($B208,'Histórico'!$B:$B,'Histórico'!$J:$J),"")</f>
        <v>22373</v>
      </c>
      <c r="E208" s="19" t="str">
        <f t="array" ref="E208">IFERROR(_xlfn.XLOOKUP($B208,'Histórico'!$B:$B,'Histórico'!$K:$K),"")</f>
        <v>CONTROL,SERVO,AUTOMATIC PILOT</v>
      </c>
      <c r="F208" s="19" t="str">
        <f t="array" ref="F208">IFERROR(_xlfn.XLOOKUP($B208,'Histórico'!$B:$B,'Histórico'!$L:$L),"")</f>
        <v>39816</v>
      </c>
      <c r="G208" s="49" t="str">
        <f t="array" ref="G208">IFERROR(_xlfn.XLOOKUP($B208,'Histórico'!$B:$B,'Histórico'!$F:$F),"")</f>
        <v>25/11/2025</v>
      </c>
      <c r="H208" s="19" t="str">
        <f t="array" ref="H208">IFERROR(_xlfn.XLOOKUP($B208,'Histórico'!$B:$B,'Histórico'!$AA:$AA),"")</f>
        <v>PAMALS</v>
      </c>
      <c r="I208" s="19" t="str">
        <f t="array" ref="I208">IFERROR(_xlfn.XLOOKUP($B208,Atual!$B:$B,Atual!$E:$E),"OS concluída")</f>
        <v>REC</v>
      </c>
      <c r="J208" s="19">
        <f t="shared" si="1"/>
        <v>324</v>
      </c>
      <c r="K208" s="19"/>
      <c r="L208" s="19" t="str">
        <f t="shared" si="2"/>
        <v>NÃO APLICÁVEL</v>
      </c>
      <c r="M208" s="19"/>
      <c r="N208" s="49" t="str">
        <f t="array" ref="N208">IFERROR(_xlfn.XLOOKUP($B208,EMPRESA_1!A:A,EMPRESA_1!J:J),"")</f>
        <v>EM REPARO</v>
      </c>
      <c r="O208" s="50" t="str">
        <f t="array" ref="O208">IFERROR(_xlfn.XLOOKUP(B208,EMPRESA_1!A:A,EMPRESA_1!K:K),"")
</f>
        <v>LEAP</v>
      </c>
      <c r="P208" s="48" t="str">
        <f t="array" ref="P208">IFERROR(_xlfn.XLOOKUP(B208,EMPRESA_1!A:A,EMPRESA_1!L:L),"")</f>
        <v/>
      </c>
      <c r="Q208" s="49" t="str">
        <f t="array" ref="Q208">IFERROR(_xlfn.XLOOKUP(B208,EMPRESA_1!A:A,EMPRESA_1!J:J),"")</f>
        <v>EM REPARO</v>
      </c>
      <c r="R208" s="19" t="str">
        <f t="array" ref="R208">IFERROR(_xlfn.XLOOKUP(B208,EMPRESA_1!A:A,EMPRESA_1!M:M),"")</f>
        <v/>
      </c>
      <c r="S208" s="51"/>
      <c r="T208" s="51" t="str">
        <f t="array" ref="T208">IFERROR(_xlfn.XLOOKUP($F208,'Acerto virtual'!$E:$E,'Acerto virtual'!F:F),"")</f>
        <v/>
      </c>
      <c r="U208" s="51" t="str">
        <f t="array" ref="U208">IFERROR(_xlfn.XLOOKUP($F208,'Acerto virtual'!$E:$E,'Acerto virtual'!G:G),"")</f>
        <v/>
      </c>
      <c r="V208" s="51" t="str">
        <f t="array" ref="V208">IFERROR(_xlfn.XLOOKUP($F208,'Acerto virtual'!$E:$E,'Acerto virtual'!H:H),"")</f>
        <v/>
      </c>
      <c r="W208" s="51" t="str">
        <f t="array" ref="W208">IFERROR(_xlfn.XLOOKUP($F208,'Acerto virtual'!$E:$E,'Acerto virtual'!I:I),"")</f>
        <v/>
      </c>
      <c r="X208" s="51" t="str">
        <f t="array" ref="X208">IFERROR(_xlfn.XLOOKUP($F208,'Acerto virtual'!$E:$E,'Acerto virtual'!J:J),"")</f>
        <v/>
      </c>
      <c r="Y208" s="51" t="str">
        <f t="array" ref="Y208">IFERROR(_xlfn.XLOOKUP($F208,'Acerto virtual'!$E:$E,'Acerto virtual'!K:K),"")</f>
        <v/>
      </c>
      <c r="Z208" s="51" t="str">
        <f t="array" ref="Z208">IFERROR(_xlfn.XLOOKUP($F208,'Acerto virtual'!$E:$E,'Acerto virtual'!L:L),"")</f>
        <v/>
      </c>
      <c r="AA208" s="51" t="str">
        <f t="array" ref="AA208">IFERROR(_xlfn.XLOOKUP($F208,'Acerto virtual'!$E:$E,'Acerto virtual'!M:M),"")</f>
        <v/>
      </c>
      <c r="AB208" s="51" t="str">
        <f t="array" ref="AB208">IFERROR(_xlfn.XLOOKUP($F208,'Acerto virtual'!$E:$E,'Acerto virtual'!N:N),"")</f>
        <v/>
      </c>
      <c r="AC208" s="51" t="str">
        <f t="array" ref="AC208">IFERROR(_xlfn.XLOOKUP($F208,'Acerto virtual'!$E:$E,'Acerto virtual'!O:O),"")</f>
        <v/>
      </c>
      <c r="AD208" s="51" t="str">
        <f t="array" ref="AD208">IFERROR(_xlfn.XLOOKUP($F208,'Acerto virtual'!$E:$E,'Acerto virtual'!P:P),"")</f>
        <v/>
      </c>
      <c r="AE208" s="51" t="str">
        <f t="array" ref="AE208">IFERROR(_xlfn.XLOOKUP($F208,'Acerto virtual'!$E:$E,'Acerto virtual'!Q:Q),"")</f>
        <v/>
      </c>
      <c r="AF208" s="51" t="str">
        <f t="array" ref="AF208">IFERROR(_xlfn.XLOOKUP($F208,'Acerto virtual'!$E:$E,'Acerto virtual'!R:R),"")</f>
        <v/>
      </c>
      <c r="AG208" s="51" t="str">
        <f t="array" ref="AG208">IFERROR(_xlfn.XLOOKUP($F208,'Acerto virtual'!$E:$E,'Acerto virtual'!S:S),"")</f>
        <v/>
      </c>
      <c r="AH208" s="51" t="str">
        <f t="array" ref="AH208">IFERROR(_xlfn.XLOOKUP($F208,'Acerto virtual'!$E:$E,'Acerto virtual'!T:T),"")</f>
        <v/>
      </c>
      <c r="AI208" s="51" t="str">
        <f t="array" ref="AI208">IFERROR(_xlfn.XLOOKUP($F208,'Acerto virtual'!$E:$E,'Acerto virtual'!U:U),"")</f>
        <v/>
      </c>
    </row>
    <row r="209" hidden="1">
      <c r="A209" s="47" t="s">
        <v>738</v>
      </c>
      <c r="B209" s="47" t="s">
        <v>739</v>
      </c>
      <c r="C209" s="19" t="str">
        <f t="array" ref="C209">IFERROR(_xlfn.XLOOKUP($B209,'Histórico'!$B:$B,'Histórico'!$I:$I),"")</f>
        <v>066-3046-07</v>
      </c>
      <c r="D209" s="19" t="str">
        <f t="array" ref="D209">IFERROR(_xlfn.XLOOKUP($B209,'Histórico'!$B:$B,'Histórico'!$J:$J),"")</f>
        <v>22373</v>
      </c>
      <c r="E209" s="19" t="str">
        <f t="array" ref="E209">IFERROR(_xlfn.XLOOKUP($B209,'Histórico'!$B:$B,'Histórico'!$K:$K),"")</f>
        <v>CONTROL,INDICATOR</v>
      </c>
      <c r="F209" s="19" t="str">
        <f t="array" ref="F209">IFERROR(_xlfn.XLOOKUP($B209,'Histórico'!$B:$B,'Histórico'!$L:$L),"")</f>
        <v>89292</v>
      </c>
      <c r="G209" s="49" t="str">
        <f t="array" ref="G209">IFERROR(_xlfn.XLOOKUP($B209,'Histórico'!$B:$B,'Histórico'!$F:$F),"")</f>
        <v>25/11/2025</v>
      </c>
      <c r="H209" s="19" t="str">
        <f t="array" ref="H209">IFERROR(_xlfn.XLOOKUP($B209,'Histórico'!$B:$B,'Histórico'!$AA:$AA),"")</f>
        <v>EEAR</v>
      </c>
      <c r="I209" s="19" t="str">
        <f t="array" ref="I209">IFERROR(_xlfn.XLOOKUP($B209,Atual!$B:$B,Atual!$E:$E),"OS concluída")</f>
        <v>OS concluída</v>
      </c>
      <c r="J209" s="19" t="str">
        <f t="shared" si="1"/>
        <v/>
      </c>
      <c r="K209" s="19"/>
      <c r="L209" s="19" t="str">
        <f t="shared" si="2"/>
        <v/>
      </c>
      <c r="M209" s="19"/>
      <c r="N209" s="49" t="str">
        <f t="array" ref="N209">IFERROR(_xlfn.XLOOKUP($B209,Empresa!G:G,Empresa!K:K),"")</f>
        <v/>
      </c>
      <c r="O209" s="49"/>
      <c r="P209" s="19" t="str">
        <f t="array" ref="P209">IFERROR(_xlfn.XLOOKUP($F209,'Vee one'!F:F,'Vee one'!O:O),"")</f>
        <v/>
      </c>
      <c r="Q209" s="19" t="str">
        <f t="array" ref="Q209">IFERROR(_xlfn.XLOOKUP($F209,'Vee one'!F:F,'Vee one'!K:K),"")</f>
        <v/>
      </c>
      <c r="R209" s="19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</row>
    <row r="210">
      <c r="A210" s="47" t="s">
        <v>740</v>
      </c>
      <c r="B210" s="47" t="s">
        <v>741</v>
      </c>
      <c r="C210" s="48" t="str">
        <f t="array" ref="C210">IFERROR(_xlfn.XLOOKUP($B210,'Histórico'!$B:$B,'Histórico'!$I:$I),"")</f>
        <v>066-3046-07</v>
      </c>
      <c r="D210" s="19" t="str">
        <f t="array" ref="D210">IFERROR(_xlfn.XLOOKUP($B210,'Histórico'!$B:$B,'Histórico'!$J:$J),"")</f>
        <v>22373</v>
      </c>
      <c r="E210" s="19" t="str">
        <f t="array" ref="E210">IFERROR(_xlfn.XLOOKUP($B210,'Histórico'!$B:$B,'Histórico'!$K:$K),"")</f>
        <v>CONTROL,INDICATOR</v>
      </c>
      <c r="F210" s="52" t="str">
        <f t="array" ref="F210">IFERROR(_xlfn.XLOOKUP($B210,'Histórico'!$B:$B,'Histórico'!$L:$L),"")</f>
        <v>96293</v>
      </c>
      <c r="G210" s="49" t="str">
        <f t="array" ref="G210">IFERROR(_xlfn.XLOOKUP($B210,'Histórico'!$B:$B,'Histórico'!$F:$F),"")</f>
        <v>25/11/2025</v>
      </c>
      <c r="H210" s="19" t="str">
        <f t="array" ref="H210">IFERROR(_xlfn.XLOOKUP($B210,'Histórico'!$B:$B,'Histórico'!$AA:$AA),"")</f>
        <v>BANT</v>
      </c>
      <c r="I210" s="19" t="str">
        <f t="array" ref="I210">IFERROR(_xlfn.XLOOKUP($B210,Atual!$B:$B,Atual!$E:$E),"OS concluída")</f>
        <v>REC</v>
      </c>
      <c r="J210" s="19">
        <f t="shared" si="1"/>
        <v>324</v>
      </c>
      <c r="K210" s="19"/>
      <c r="L210" s="19">
        <f t="shared" si="2"/>
        <v>167</v>
      </c>
      <c r="M210" s="19"/>
      <c r="N210" s="49">
        <f t="array" ref="N210">IFERROR(_xlfn.XLOOKUP($B210,EMPRESA_1!A:A,EMPRESA_1!J:J),"")</f>
        <v>46153</v>
      </c>
      <c r="O210" s="50" t="str">
        <f t="array" ref="O210">IFERROR(_xlfn.XLOOKUP(B210,EMPRESA_1!A:A,EMPRESA_1!K:K),"")
</f>
        <v>BANT</v>
      </c>
      <c r="P210" s="19" t="str">
        <f t="array" ref="P210">IFERROR(_xlfn.XLOOKUP(B210,EMPRESA_1!A:A,EMPRESA_1!L:L),"")</f>
        <v>362/FAB/26</v>
      </c>
      <c r="Q210" s="49">
        <f t="array" ref="Q210">IFERROR(_xlfn.XLOOKUP(B210,EMPRESA_1!A:A,EMPRESA_1!J:J),"")</f>
        <v>46153</v>
      </c>
      <c r="R210" s="19" t="str">
        <f t="array" ref="R210">IFERROR(_xlfn.XLOOKUP(B210,EMPRESA_1!A:A,EMPRESA_1!M:M),"")</f>
        <v/>
      </c>
      <c r="S210" s="51"/>
      <c r="T210" s="51" t="str">
        <f t="array" ref="T210">IFERROR(_xlfn.XLOOKUP($F210,'Acerto virtual'!$E:$E,'Acerto virtual'!F:F),"")</f>
        <v/>
      </c>
      <c r="U210" s="51" t="str">
        <f t="array" ref="U210">IFERROR(_xlfn.XLOOKUP($F210,'Acerto virtual'!$E:$E,'Acerto virtual'!G:G),"")</f>
        <v/>
      </c>
      <c r="V210" s="51" t="str">
        <f t="array" ref="V210">IFERROR(_xlfn.XLOOKUP($F210,'Acerto virtual'!$E:$E,'Acerto virtual'!H:H),"")</f>
        <v/>
      </c>
      <c r="W210" s="51" t="str">
        <f t="array" ref="W210">IFERROR(_xlfn.XLOOKUP($F210,'Acerto virtual'!$E:$E,'Acerto virtual'!I:I),"")</f>
        <v/>
      </c>
      <c r="X210" s="51" t="str">
        <f t="array" ref="X210">IFERROR(_xlfn.XLOOKUP($F210,'Acerto virtual'!$E:$E,'Acerto virtual'!J:J),"")</f>
        <v/>
      </c>
      <c r="Y210" s="51" t="str">
        <f t="array" ref="Y210">IFERROR(_xlfn.XLOOKUP($F210,'Acerto virtual'!$E:$E,'Acerto virtual'!K:K),"")</f>
        <v/>
      </c>
      <c r="Z210" s="51" t="str">
        <f t="array" ref="Z210">IFERROR(_xlfn.XLOOKUP($F210,'Acerto virtual'!$E:$E,'Acerto virtual'!L:L),"")</f>
        <v/>
      </c>
      <c r="AA210" s="51" t="str">
        <f t="array" ref="AA210">IFERROR(_xlfn.XLOOKUP($F210,'Acerto virtual'!$E:$E,'Acerto virtual'!M:M),"")</f>
        <v/>
      </c>
      <c r="AB210" s="51" t="str">
        <f t="array" ref="AB210">IFERROR(_xlfn.XLOOKUP($F210,'Acerto virtual'!$E:$E,'Acerto virtual'!N:N),"")</f>
        <v/>
      </c>
      <c r="AC210" s="51" t="str">
        <f t="array" ref="AC210">IFERROR(_xlfn.XLOOKUP($F210,'Acerto virtual'!$E:$E,'Acerto virtual'!O:O),"")</f>
        <v/>
      </c>
      <c r="AD210" s="51" t="str">
        <f t="array" ref="AD210">IFERROR(_xlfn.XLOOKUP($F210,'Acerto virtual'!$E:$E,'Acerto virtual'!P:P),"")</f>
        <v/>
      </c>
      <c r="AE210" s="51" t="str">
        <f t="array" ref="AE210">IFERROR(_xlfn.XLOOKUP($F210,'Acerto virtual'!$E:$E,'Acerto virtual'!Q:Q),"")</f>
        <v/>
      </c>
      <c r="AF210" s="51" t="str">
        <f t="array" ref="AF210">IFERROR(_xlfn.XLOOKUP($F210,'Acerto virtual'!$E:$E,'Acerto virtual'!R:R),"")</f>
        <v/>
      </c>
      <c r="AG210" s="51" t="str">
        <f t="array" ref="AG210">IFERROR(_xlfn.XLOOKUP($F210,'Acerto virtual'!$E:$E,'Acerto virtual'!S:S),"")</f>
        <v/>
      </c>
      <c r="AH210" s="51" t="str">
        <f t="array" ref="AH210">IFERROR(_xlfn.XLOOKUP($F210,'Acerto virtual'!$E:$E,'Acerto virtual'!T:T),"")</f>
        <v/>
      </c>
      <c r="AI210" s="51" t="str">
        <f t="array" ref="AI210">IFERROR(_xlfn.XLOOKUP($F210,'Acerto virtual'!$E:$E,'Acerto virtual'!U:U),"")</f>
        <v/>
      </c>
    </row>
    <row r="211">
      <c r="A211" s="47" t="s">
        <v>742</v>
      </c>
      <c r="B211" s="47" t="s">
        <v>743</v>
      </c>
      <c r="C211" s="48" t="str">
        <f t="array" ref="C211">IFERROR(_xlfn.XLOOKUP($B211,'Histórico'!$B:$B,'Histórico'!$I:$I),"")</f>
        <v>066-3046-07</v>
      </c>
      <c r="D211" s="19" t="str">
        <f t="array" ref="D211">IFERROR(_xlfn.XLOOKUP($B211,'Histórico'!$B:$B,'Histórico'!$J:$J),"")</f>
        <v>22373</v>
      </c>
      <c r="E211" s="19" t="str">
        <f t="array" ref="E211">IFERROR(_xlfn.XLOOKUP($B211,'Histórico'!$B:$B,'Histórico'!$K:$K),"")</f>
        <v>CONTROL,INDICATOR</v>
      </c>
      <c r="F211" s="19" t="str">
        <f t="array" ref="F211">IFERROR(_xlfn.XLOOKUP($B211,'Histórico'!$B:$B,'Histórico'!$L:$L),"")</f>
        <v>89287</v>
      </c>
      <c r="G211" s="49" t="str">
        <f t="array" ref="G211">IFERROR(_xlfn.XLOOKUP($B211,'Histórico'!$B:$B,'Histórico'!$F:$F),"")</f>
        <v>25/11/2025</v>
      </c>
      <c r="H211" s="19" t="str">
        <f t="array" ref="H211">IFERROR(_xlfn.XLOOKUP($B211,'Histórico'!$B:$B,'Histórico'!$AA:$AA),"")</f>
        <v>EEAR</v>
      </c>
      <c r="I211" s="19" t="str">
        <f t="array" ref="I211">IFERROR(_xlfn.XLOOKUP($B211,Atual!$B:$B,Atual!$E:$E),"OS concluída")</f>
        <v>REC</v>
      </c>
      <c r="J211" s="19">
        <f t="shared" si="1"/>
        <v>324</v>
      </c>
      <c r="K211" s="19"/>
      <c r="L211" s="19">
        <f t="shared" si="2"/>
        <v>45</v>
      </c>
      <c r="M211" s="19"/>
      <c r="N211" s="49">
        <f t="array" ref="N211">IFERROR(_xlfn.XLOOKUP($B211,EMPRESA_1!A:A,EMPRESA_1!J:J),"")</f>
        <v>46031</v>
      </c>
      <c r="O211" s="50" t="str">
        <f t="array" ref="O211">IFERROR(_xlfn.XLOOKUP(B211,EMPRESA_1!A:A,EMPRESA_1!K:K),"")
</f>
        <v>PAMA-LS</v>
      </c>
      <c r="P211" s="19" t="str">
        <f t="array" ref="P211">IFERROR(_xlfn.XLOOKUP(B211,EMPRESA_1!A:A,EMPRESA_1!L:L),"")</f>
        <v>1112/LS-C98/2026</v>
      </c>
      <c r="Q211" s="49">
        <f t="array" ref="Q211">IFERROR(_xlfn.XLOOKUP(B211,EMPRESA_1!A:A,EMPRESA_1!J:J),"")</f>
        <v>46031</v>
      </c>
      <c r="R211" s="19" t="str">
        <f t="array" ref="R211">IFERROR(_xlfn.XLOOKUP(B211,EMPRESA_1!A:A,EMPRESA_1!M:M),"")</f>
        <v/>
      </c>
      <c r="S211" s="51"/>
      <c r="T211" s="51" t="str">
        <f t="array" ref="T211">IFERROR(_xlfn.XLOOKUP($F211,'Acerto virtual'!$E:$E,'Acerto virtual'!F:F),"")</f>
        <v/>
      </c>
      <c r="U211" s="51" t="str">
        <f t="array" ref="U211">IFERROR(_xlfn.XLOOKUP($F211,'Acerto virtual'!$E:$E,'Acerto virtual'!G:G),"")</f>
        <v/>
      </c>
      <c r="V211" s="51" t="str">
        <f t="array" ref="V211">IFERROR(_xlfn.XLOOKUP($F211,'Acerto virtual'!$E:$E,'Acerto virtual'!H:H),"")</f>
        <v/>
      </c>
      <c r="W211" s="51" t="str">
        <f t="array" ref="W211">IFERROR(_xlfn.XLOOKUP($F211,'Acerto virtual'!$E:$E,'Acerto virtual'!I:I),"")</f>
        <v/>
      </c>
      <c r="X211" s="51" t="str">
        <f t="array" ref="X211">IFERROR(_xlfn.XLOOKUP($F211,'Acerto virtual'!$E:$E,'Acerto virtual'!J:J),"")</f>
        <v/>
      </c>
      <c r="Y211" s="51" t="str">
        <f t="array" ref="Y211">IFERROR(_xlfn.XLOOKUP($F211,'Acerto virtual'!$E:$E,'Acerto virtual'!K:K),"")</f>
        <v/>
      </c>
      <c r="Z211" s="51" t="str">
        <f t="array" ref="Z211">IFERROR(_xlfn.XLOOKUP($F211,'Acerto virtual'!$E:$E,'Acerto virtual'!L:L),"")</f>
        <v/>
      </c>
      <c r="AA211" s="51" t="str">
        <f t="array" ref="AA211">IFERROR(_xlfn.XLOOKUP($F211,'Acerto virtual'!$E:$E,'Acerto virtual'!M:M),"")</f>
        <v/>
      </c>
      <c r="AB211" s="51" t="str">
        <f t="array" ref="AB211">IFERROR(_xlfn.XLOOKUP($F211,'Acerto virtual'!$E:$E,'Acerto virtual'!N:N),"")</f>
        <v/>
      </c>
      <c r="AC211" s="51" t="str">
        <f t="array" ref="AC211">IFERROR(_xlfn.XLOOKUP($F211,'Acerto virtual'!$E:$E,'Acerto virtual'!O:O),"")</f>
        <v/>
      </c>
      <c r="AD211" s="51" t="str">
        <f t="array" ref="AD211">IFERROR(_xlfn.XLOOKUP($F211,'Acerto virtual'!$E:$E,'Acerto virtual'!P:P),"")</f>
        <v/>
      </c>
      <c r="AE211" s="51" t="str">
        <f t="array" ref="AE211">IFERROR(_xlfn.XLOOKUP($F211,'Acerto virtual'!$E:$E,'Acerto virtual'!Q:Q),"")</f>
        <v/>
      </c>
      <c r="AF211" s="51" t="str">
        <f t="array" ref="AF211">IFERROR(_xlfn.XLOOKUP($F211,'Acerto virtual'!$E:$E,'Acerto virtual'!R:R),"")</f>
        <v/>
      </c>
      <c r="AG211" s="51" t="str">
        <f t="array" ref="AG211">IFERROR(_xlfn.XLOOKUP($F211,'Acerto virtual'!$E:$E,'Acerto virtual'!S:S),"")</f>
        <v/>
      </c>
      <c r="AH211" s="51" t="str">
        <f t="array" ref="AH211">IFERROR(_xlfn.XLOOKUP($F211,'Acerto virtual'!$E:$E,'Acerto virtual'!T:T),"")</f>
        <v/>
      </c>
      <c r="AI211" s="51" t="str">
        <f t="array" ref="AI211">IFERROR(_xlfn.XLOOKUP($F211,'Acerto virtual'!$E:$E,'Acerto virtual'!U:U),"")</f>
        <v/>
      </c>
    </row>
    <row r="212">
      <c r="A212" s="47" t="s">
        <v>744</v>
      </c>
      <c r="B212" s="47" t="s">
        <v>745</v>
      </c>
      <c r="C212" s="48" t="str">
        <f t="array" ref="C212">IFERROR(_xlfn.XLOOKUP($B212,'Histórico'!$B:$B,'Histórico'!$I:$I),"")</f>
        <v>011-00916-00</v>
      </c>
      <c r="D212" s="19" t="str">
        <f t="array" ref="D212">IFERROR(_xlfn.XLOOKUP($B212,'Histórico'!$B:$B,'Histórico'!$J:$J),"")</f>
        <v>0TRC3</v>
      </c>
      <c r="E212" s="19" t="str">
        <f t="array" ref="E212">IFERROR(_xlfn.XLOOKUP($B212,'Histórico'!$B:$B,'Histórico'!$K:$K),"")</f>
        <v>DISPLAY UNIT GDU 1040A</v>
      </c>
      <c r="F212" s="19" t="str">
        <f t="array" ref="F212">IFERROR(_xlfn.XLOOKUP($B212,'Histórico'!$B:$B,'Histórico'!$L:$L),"")</f>
        <v>86805429</v>
      </c>
      <c r="G212" s="49" t="str">
        <f t="array" ref="G212">IFERROR(_xlfn.XLOOKUP($B212,'Histórico'!$B:$B,'Histórico'!$F:$F),"")</f>
        <v>09/12/2025</v>
      </c>
      <c r="H212" s="19" t="str">
        <f t="array" ref="H212">IFERROR(_xlfn.XLOOKUP($B212,'Histórico'!$B:$B,'Histórico'!$AA:$AA),"")</f>
        <v>PAMALS</v>
      </c>
      <c r="I212" s="19" t="str">
        <f t="array" ref="I212">IFERROR(_xlfn.XLOOKUP($B212,Atual!$B:$B,Atual!$E:$E),"OS concluída")</f>
        <v>REC</v>
      </c>
      <c r="J212" s="19">
        <f t="shared" si="1"/>
        <v>310</v>
      </c>
      <c r="K212" s="19"/>
      <c r="L212" s="19">
        <f t="shared" si="2"/>
        <v>191</v>
      </c>
      <c r="M212" s="19"/>
      <c r="N212" s="49">
        <f t="array" ref="N212">IFERROR(_xlfn.XLOOKUP($B212,EMPRESA_1!A:A,EMPRESA_1!J:J),"")</f>
        <v>46191</v>
      </c>
      <c r="O212" s="50" t="str">
        <f t="array" ref="O212">IFERROR(_xlfn.XLOOKUP(B212,EMPRESA_1!A:A,EMPRESA_1!K:K),"")
</f>
        <v>BAMN</v>
      </c>
      <c r="P212" s="19" t="str">
        <f t="array" ref="P212">IFERROR(_xlfn.XLOOKUP(B212,EMPRESA_1!A:A,EMPRESA_1!L:L),"")</f>
        <v>490/FAB/26</v>
      </c>
      <c r="Q212" s="49">
        <f t="array" ref="Q212">IFERROR(_xlfn.XLOOKUP(B212,EMPRESA_1!A:A,EMPRESA_1!J:J),"")</f>
        <v>46191</v>
      </c>
      <c r="R212" s="19" t="str">
        <f t="array" ref="R212">IFERROR(_xlfn.XLOOKUP(B212,EMPRESA_1!A:A,EMPRESA_1!M:M),"")</f>
        <v/>
      </c>
      <c r="S212" s="51"/>
      <c r="T212" s="51" t="str">
        <f t="array" ref="T212">IFERROR(_xlfn.XLOOKUP($F212,'Acerto virtual'!$E:$E,'Acerto virtual'!F:F),"")</f>
        <v/>
      </c>
      <c r="U212" s="51" t="str">
        <f t="array" ref="U212">IFERROR(_xlfn.XLOOKUP($F212,'Acerto virtual'!$E:$E,'Acerto virtual'!G:G),"")</f>
        <v/>
      </c>
      <c r="V212" s="51" t="str">
        <f t="array" ref="V212">IFERROR(_xlfn.XLOOKUP($F212,'Acerto virtual'!$E:$E,'Acerto virtual'!H:H),"")</f>
        <v/>
      </c>
      <c r="W212" s="51" t="str">
        <f t="array" ref="W212">IFERROR(_xlfn.XLOOKUP($F212,'Acerto virtual'!$E:$E,'Acerto virtual'!I:I),"")</f>
        <v/>
      </c>
      <c r="X212" s="51" t="str">
        <f t="array" ref="X212">IFERROR(_xlfn.XLOOKUP($F212,'Acerto virtual'!$E:$E,'Acerto virtual'!J:J),"")</f>
        <v/>
      </c>
      <c r="Y212" s="51" t="str">
        <f t="array" ref="Y212">IFERROR(_xlfn.XLOOKUP($F212,'Acerto virtual'!$E:$E,'Acerto virtual'!K:K),"")</f>
        <v/>
      </c>
      <c r="Z212" s="51" t="str">
        <f t="array" ref="Z212">IFERROR(_xlfn.XLOOKUP($F212,'Acerto virtual'!$E:$E,'Acerto virtual'!L:L),"")</f>
        <v/>
      </c>
      <c r="AA212" s="51" t="str">
        <f t="array" ref="AA212">IFERROR(_xlfn.XLOOKUP($F212,'Acerto virtual'!$E:$E,'Acerto virtual'!M:M),"")</f>
        <v/>
      </c>
      <c r="AB212" s="51" t="str">
        <f t="array" ref="AB212">IFERROR(_xlfn.XLOOKUP($F212,'Acerto virtual'!$E:$E,'Acerto virtual'!N:N),"")</f>
        <v/>
      </c>
      <c r="AC212" s="51" t="str">
        <f t="array" ref="AC212">IFERROR(_xlfn.XLOOKUP($F212,'Acerto virtual'!$E:$E,'Acerto virtual'!O:O),"")</f>
        <v/>
      </c>
      <c r="AD212" s="51" t="str">
        <f t="array" ref="AD212">IFERROR(_xlfn.XLOOKUP($F212,'Acerto virtual'!$E:$E,'Acerto virtual'!P:P),"")</f>
        <v/>
      </c>
      <c r="AE212" s="51" t="str">
        <f t="array" ref="AE212">IFERROR(_xlfn.XLOOKUP($F212,'Acerto virtual'!$E:$E,'Acerto virtual'!Q:Q),"")</f>
        <v/>
      </c>
      <c r="AF212" s="51" t="str">
        <f t="array" ref="AF212">IFERROR(_xlfn.XLOOKUP($F212,'Acerto virtual'!$E:$E,'Acerto virtual'!R:R),"")</f>
        <v/>
      </c>
      <c r="AG212" s="51" t="str">
        <f t="array" ref="AG212">IFERROR(_xlfn.XLOOKUP($F212,'Acerto virtual'!$E:$E,'Acerto virtual'!S:S),"")</f>
        <v/>
      </c>
      <c r="AH212" s="51" t="str">
        <f t="array" ref="AH212">IFERROR(_xlfn.XLOOKUP($F212,'Acerto virtual'!$E:$E,'Acerto virtual'!T:T),"")</f>
        <v/>
      </c>
      <c r="AI212" s="51" t="str">
        <f t="array" ref="AI212">IFERROR(_xlfn.XLOOKUP($F212,'Acerto virtual'!$E:$E,'Acerto virtual'!U:U),"")</f>
        <v/>
      </c>
    </row>
    <row r="213">
      <c r="A213" s="47" t="s">
        <v>746</v>
      </c>
      <c r="B213" s="47" t="s">
        <v>747</v>
      </c>
      <c r="C213" s="48" t="str">
        <f t="array" ref="C213">IFERROR(_xlfn.XLOOKUP($B213,'Histórico'!$B:$B,'Histórico'!$I:$I),"")</f>
        <v>324843-W020</v>
      </c>
      <c r="D213" s="19" t="str">
        <f t="array" ref="D213">IFERROR(_xlfn.XLOOKUP($B213,'Histórico'!$B:$B,'Histórico'!$J:$J),"")</f>
        <v>32108</v>
      </c>
      <c r="E213" s="19" t="str">
        <f t="array" ref="E213">IFERROR(_xlfn.XLOOKUP($B213,'Histórico'!$B:$B,'Histórico'!$K:$K),"")</f>
        <v>HEADSET-MICROPHONE</v>
      </c>
      <c r="F213" s="19" t="str">
        <f t="array" ref="F213">IFERROR(_xlfn.XLOOKUP($B213,'Histórico'!$B:$B,'Histórico'!$L:$L),"")</f>
        <v>073200G02170010AE</v>
      </c>
      <c r="G213" s="49" t="str">
        <f t="array" ref="G213">IFERROR(_xlfn.XLOOKUP($B213,'Histórico'!$B:$B,'Histórico'!$F:$F),"")</f>
        <v>09/12/2025</v>
      </c>
      <c r="H213" s="19" t="str">
        <f t="array" ref="H213">IFERROR(_xlfn.XLOOKUP($B213,'Histórico'!$B:$B,'Histórico'!$AA:$AA),"")</f>
        <v>PAMALS</v>
      </c>
      <c r="I213" s="19" t="str">
        <f t="array" ref="I213">IFERROR(_xlfn.XLOOKUP($B213,Atual!$B:$B,Atual!$E:$E),"OS concluída")</f>
        <v>REC</v>
      </c>
      <c r="J213" s="19">
        <f t="shared" si="1"/>
        <v>310</v>
      </c>
      <c r="K213" s="19"/>
      <c r="L213" s="19" t="str">
        <f t="shared" si="2"/>
        <v>NÃO APLICÁVEL</v>
      </c>
      <c r="M213" s="19"/>
      <c r="N213" s="49" t="str">
        <f t="array" ref="N213">IFERROR(_xlfn.XLOOKUP($B213,EMPRESA_1!A:A,EMPRESA_1!J:J),"")</f>
        <v>VAI SER DEVOLVIDO SEM REPARO</v>
      </c>
      <c r="O213" s="50" t="str">
        <f t="array" ref="O213">IFERROR(_xlfn.XLOOKUP(B213,EMPRESA_1!A:A,EMPRESA_1!K:K),"")
</f>
        <v>WILLIAM</v>
      </c>
      <c r="P213" s="48" t="str">
        <f t="array" ref="P213">IFERROR(_xlfn.XLOOKUP(B213,EMPRESA_1!A:A,EMPRESA_1!L:L),"")</f>
        <v/>
      </c>
      <c r="Q213" s="49" t="str">
        <f t="array" ref="Q213">IFERROR(_xlfn.XLOOKUP(B213,EMPRESA_1!A:A,EMPRESA_1!J:J),"")</f>
        <v>VAI SER DEVOLVIDO SEM REPARO</v>
      </c>
      <c r="R213" s="19" t="str">
        <f t="array" ref="R213">IFERROR(_xlfn.XLOOKUP(B213,EMPRESA_1!A:A,EMPRESA_1!M:M),"")</f>
        <v/>
      </c>
      <c r="S213" s="51"/>
      <c r="T213" s="51" t="str">
        <f t="array" ref="T213">IFERROR(_xlfn.XLOOKUP($F213,'Acerto virtual'!$E:$E,'Acerto virtual'!F:F),"")</f>
        <v/>
      </c>
      <c r="U213" s="51" t="str">
        <f t="array" ref="U213">IFERROR(_xlfn.XLOOKUP($F213,'Acerto virtual'!$E:$E,'Acerto virtual'!G:G),"")</f>
        <v/>
      </c>
      <c r="V213" s="51" t="str">
        <f t="array" ref="V213">IFERROR(_xlfn.XLOOKUP($F213,'Acerto virtual'!$E:$E,'Acerto virtual'!H:H),"")</f>
        <v/>
      </c>
      <c r="W213" s="51" t="str">
        <f t="array" ref="W213">IFERROR(_xlfn.XLOOKUP($F213,'Acerto virtual'!$E:$E,'Acerto virtual'!I:I),"")</f>
        <v/>
      </c>
      <c r="X213" s="51" t="str">
        <f t="array" ref="X213">IFERROR(_xlfn.XLOOKUP($F213,'Acerto virtual'!$E:$E,'Acerto virtual'!J:J),"")</f>
        <v/>
      </c>
      <c r="Y213" s="51" t="str">
        <f t="array" ref="Y213">IFERROR(_xlfn.XLOOKUP($F213,'Acerto virtual'!$E:$E,'Acerto virtual'!K:K),"")</f>
        <v/>
      </c>
      <c r="Z213" s="51" t="str">
        <f t="array" ref="Z213">IFERROR(_xlfn.XLOOKUP($F213,'Acerto virtual'!$E:$E,'Acerto virtual'!L:L),"")</f>
        <v/>
      </c>
      <c r="AA213" s="51" t="str">
        <f t="array" ref="AA213">IFERROR(_xlfn.XLOOKUP($F213,'Acerto virtual'!$E:$E,'Acerto virtual'!M:M),"")</f>
        <v/>
      </c>
      <c r="AB213" s="51" t="str">
        <f t="array" ref="AB213">IFERROR(_xlfn.XLOOKUP($F213,'Acerto virtual'!$E:$E,'Acerto virtual'!N:N),"")</f>
        <v/>
      </c>
      <c r="AC213" s="51" t="str">
        <f t="array" ref="AC213">IFERROR(_xlfn.XLOOKUP($F213,'Acerto virtual'!$E:$E,'Acerto virtual'!O:O),"")</f>
        <v/>
      </c>
      <c r="AD213" s="51" t="str">
        <f t="array" ref="AD213">IFERROR(_xlfn.XLOOKUP($F213,'Acerto virtual'!$E:$E,'Acerto virtual'!P:P),"")</f>
        <v/>
      </c>
      <c r="AE213" s="51" t="str">
        <f t="array" ref="AE213">IFERROR(_xlfn.XLOOKUP($F213,'Acerto virtual'!$E:$E,'Acerto virtual'!Q:Q),"")</f>
        <v/>
      </c>
      <c r="AF213" s="51" t="str">
        <f t="array" ref="AF213">IFERROR(_xlfn.XLOOKUP($F213,'Acerto virtual'!$E:$E,'Acerto virtual'!R:R),"")</f>
        <v/>
      </c>
      <c r="AG213" s="51" t="str">
        <f t="array" ref="AG213">IFERROR(_xlfn.XLOOKUP($F213,'Acerto virtual'!$E:$E,'Acerto virtual'!S:S),"")</f>
        <v/>
      </c>
      <c r="AH213" s="51" t="str">
        <f t="array" ref="AH213">IFERROR(_xlfn.XLOOKUP($F213,'Acerto virtual'!$E:$E,'Acerto virtual'!T:T),"")</f>
        <v/>
      </c>
      <c r="AI213" s="51" t="str">
        <f t="array" ref="AI213">IFERROR(_xlfn.XLOOKUP($F213,'Acerto virtual'!$E:$E,'Acerto virtual'!U:U),"")</f>
        <v/>
      </c>
    </row>
    <row r="214" hidden="1">
      <c r="A214" s="47" t="s">
        <v>748</v>
      </c>
      <c r="B214" s="47" t="s">
        <v>749</v>
      </c>
      <c r="C214" s="19" t="str">
        <f t="array" ref="C214">IFERROR(_xlfn.XLOOKUP($B214,'Histórico'!$B:$B,'Histórico'!$I:$I),"")</f>
        <v>324843-W020</v>
      </c>
      <c r="D214" s="19" t="str">
        <f t="array" ref="D214">IFERROR(_xlfn.XLOOKUP($B214,'Histórico'!$B:$B,'Histórico'!$J:$J),"")</f>
        <v>32108</v>
      </c>
      <c r="E214" s="19" t="str">
        <f t="array" ref="E214">IFERROR(_xlfn.XLOOKUP($B214,'Histórico'!$B:$B,'Histórico'!$K:$K),"")</f>
        <v>HEADSET-MICROPHONE</v>
      </c>
      <c r="F214" s="19" t="str">
        <f t="array" ref="F214">IFERROR(_xlfn.XLOOKUP($B214,'Histórico'!$B:$B,'Histórico'!$L:$L),"")</f>
        <v>073200G71030137AE</v>
      </c>
      <c r="G214" s="49" t="str">
        <f t="array" ref="G214">IFERROR(_xlfn.XLOOKUP($B214,'Histórico'!$B:$B,'Histórico'!$F:$F),"")</f>
        <v>09/12/2025</v>
      </c>
      <c r="H214" s="19" t="str">
        <f t="array" ref="H214">IFERROR(_xlfn.XLOOKUP($B214,'Histórico'!$B:$B,'Histórico'!$AA:$AA),"")</f>
        <v>PAMALS</v>
      </c>
      <c r="I214" s="19" t="str">
        <f t="array" ref="I214">IFERROR(_xlfn.XLOOKUP($B214,Atual!$B:$B,Atual!$E:$E),"OS concluída")</f>
        <v>OS concluída</v>
      </c>
      <c r="J214" s="19" t="str">
        <f t="shared" si="1"/>
        <v/>
      </c>
      <c r="K214" s="19"/>
      <c r="L214" s="19" t="str">
        <f t="shared" si="2"/>
        <v/>
      </c>
      <c r="M214" s="19"/>
      <c r="N214" s="49" t="str">
        <f t="shared" ref="N214:N215" si="56">IFERROR(_xlfn.XLOOKUP($B214,Empresa!G:G,Empresa!K:K),"")</f>
        <v/>
      </c>
      <c r="O214" s="49"/>
      <c r="P214" s="19" t="str">
        <f t="shared" ref="P214:P215" si="57">IFERROR(_xlfn.XLOOKUP($F214,'Vee one'!F:F,'Vee one'!O:O),"")</f>
        <v/>
      </c>
      <c r="Q214" s="19" t="str">
        <f t="shared" ref="Q214:Q215" si="58">IFERROR(_xlfn.XLOOKUP($F214,'Vee one'!F:F,'Vee one'!K:K),"")</f>
        <v/>
      </c>
      <c r="R214" s="19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</row>
    <row r="215" hidden="1">
      <c r="A215" s="47" t="s">
        <v>750</v>
      </c>
      <c r="B215" s="47" t="s">
        <v>751</v>
      </c>
      <c r="C215" s="19" t="str">
        <f t="array" ref="C215">IFERROR(_xlfn.XLOOKUP($B215,'Histórico'!$B:$B,'Histórico'!$I:$I),"")</f>
        <v>324843-W020</v>
      </c>
      <c r="D215" s="19" t="str">
        <f t="array" ref="D215">IFERROR(_xlfn.XLOOKUP($B215,'Histórico'!$B:$B,'Histórico'!$J:$J),"")</f>
        <v>32108</v>
      </c>
      <c r="E215" s="19" t="str">
        <f t="array" ref="E215">IFERROR(_xlfn.XLOOKUP($B215,'Histórico'!$B:$B,'Histórico'!$K:$K),"")</f>
        <v>HEADSET-MICROPHONE</v>
      </c>
      <c r="F215" s="19" t="str">
        <f t="array" ref="F215">IFERROR(_xlfn.XLOOKUP($B215,'Histórico'!$B:$B,'Histórico'!$L:$L),"")</f>
        <v>073200G71360003AE</v>
      </c>
      <c r="G215" s="49" t="str">
        <f t="array" ref="G215">IFERROR(_xlfn.XLOOKUP($B215,'Histórico'!$B:$B,'Histórico'!$F:$F),"")</f>
        <v>09/12/2025</v>
      </c>
      <c r="H215" s="19" t="str">
        <f t="array" ref="H215">IFERROR(_xlfn.XLOOKUP($B215,'Histórico'!$B:$B,'Histórico'!$AA:$AA),"")</f>
        <v>PAMALS</v>
      </c>
      <c r="I215" s="19" t="str">
        <f t="array" ref="I215">IFERROR(_xlfn.XLOOKUP($B215,Atual!$B:$B,Atual!$E:$E),"OS concluída")</f>
        <v>OS concluída</v>
      </c>
      <c r="J215" s="19" t="str">
        <f t="shared" si="1"/>
        <v/>
      </c>
      <c r="K215" s="19"/>
      <c r="L215" s="19" t="str">
        <f t="shared" si="2"/>
        <v/>
      </c>
      <c r="M215" s="19"/>
      <c r="N215" s="49" t="str">
        <f t="shared" si="56"/>
        <v/>
      </c>
      <c r="O215" s="49"/>
      <c r="P215" s="19" t="str">
        <f t="shared" si="57"/>
        <v/>
      </c>
      <c r="Q215" s="19" t="str">
        <f t="shared" si="58"/>
        <v/>
      </c>
      <c r="R215" s="19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</row>
    <row r="216">
      <c r="A216" s="47" t="s">
        <v>752</v>
      </c>
      <c r="B216" s="47" t="s">
        <v>753</v>
      </c>
      <c r="C216" s="48" t="str">
        <f t="array" ref="C216">IFERROR(_xlfn.XLOOKUP($B216,'Histórico'!$B:$B,'Histórico'!$I:$I),"")</f>
        <v>SD5H14C4527</v>
      </c>
      <c r="D216" s="19" t="str">
        <f t="array" ref="D216">IFERROR(_xlfn.XLOOKUP($B216,'Histórico'!$B:$B,'Histórico'!$J:$J),"")</f>
        <v>7EK50</v>
      </c>
      <c r="E216" s="19" t="str">
        <f t="array" ref="E216">IFERROR(_xlfn.XLOOKUP($B216,'Histórico'!$B:$B,'Histórico'!$K:$K),"")</f>
        <v>AIR COMPRESSOR</v>
      </c>
      <c r="F216" s="19" t="str">
        <f t="array" ref="F216">IFERROR(_xlfn.XLOOKUP($B216,'Histórico'!$B:$B,'Histórico'!$L:$L),"")</f>
        <v>01381310971</v>
      </c>
      <c r="G216" s="49" t="str">
        <f t="array" ref="G216">IFERROR(_xlfn.XLOOKUP($B216,'Histórico'!$B:$B,'Histórico'!$F:$F),"")</f>
        <v>16/12/2025</v>
      </c>
      <c r="H216" s="19" t="str">
        <f t="array" ref="H216">IFERROR(_xlfn.XLOOKUP($B216,'Histórico'!$B:$B,'Histórico'!$AA:$AA),"")</f>
        <v>PAMALS</v>
      </c>
      <c r="I216" s="19" t="str">
        <f t="array" ref="I216">IFERROR(_xlfn.XLOOKUP($B216,Atual!$B:$B,Atual!$E:$E),"OS concluída")</f>
        <v>REC</v>
      </c>
      <c r="J216" s="19">
        <f t="shared" si="1"/>
        <v>303</v>
      </c>
      <c r="K216" s="19"/>
      <c r="L216" s="19" t="str">
        <f t="shared" si="2"/>
        <v>NÃO APLICÁVEL</v>
      </c>
      <c r="M216" s="19"/>
      <c r="N216" s="49" t="str">
        <f t="array" ref="N216">IFERROR(_xlfn.XLOOKUP($B216,EMPRESA_1!A:A,EMPRESA_1!J:J),"")</f>
        <v>EM REPARO</v>
      </c>
      <c r="O216" s="50" t="str">
        <f t="array" ref="O216">IFERROR(_xlfn.XLOOKUP(B216,EMPRESA_1!A:A,EMPRESA_1!K:K),"")
</f>
        <v>VEE ONE</v>
      </c>
      <c r="P216" s="48" t="str">
        <f t="array" ref="P216">IFERROR(_xlfn.XLOOKUP(B216,EMPRESA_1!A:A,EMPRESA_1!L:L),"")</f>
        <v/>
      </c>
      <c r="Q216" s="49" t="str">
        <f t="array" ref="Q216">IFERROR(_xlfn.XLOOKUP(B216,EMPRESA_1!A:A,EMPRESA_1!J:J),"")</f>
        <v>EM REPARO</v>
      </c>
      <c r="R216" s="19" t="str">
        <f t="array" ref="R216">IFERROR(_xlfn.XLOOKUP(B216,EMPRESA_1!A:A,EMPRESA_1!M:M),"")</f>
        <v/>
      </c>
      <c r="S216" s="51"/>
      <c r="T216" s="51" t="str">
        <f t="array" ref="T216">IFERROR(_xlfn.XLOOKUP($F216,'Acerto virtual'!$E:$E,'Acerto virtual'!F:F),"")</f>
        <v/>
      </c>
      <c r="U216" s="51" t="str">
        <f t="array" ref="U216">IFERROR(_xlfn.XLOOKUP($F216,'Acerto virtual'!$E:$E,'Acerto virtual'!G:G),"")</f>
        <v/>
      </c>
      <c r="V216" s="51" t="str">
        <f t="array" ref="V216">IFERROR(_xlfn.XLOOKUP($F216,'Acerto virtual'!$E:$E,'Acerto virtual'!H:H),"")</f>
        <v/>
      </c>
      <c r="W216" s="51" t="str">
        <f t="array" ref="W216">IFERROR(_xlfn.XLOOKUP($F216,'Acerto virtual'!$E:$E,'Acerto virtual'!I:I),"")</f>
        <v/>
      </c>
      <c r="X216" s="51" t="str">
        <f t="array" ref="X216">IFERROR(_xlfn.XLOOKUP($F216,'Acerto virtual'!$E:$E,'Acerto virtual'!J:J),"")</f>
        <v/>
      </c>
      <c r="Y216" s="51" t="str">
        <f t="array" ref="Y216">IFERROR(_xlfn.XLOOKUP($F216,'Acerto virtual'!$E:$E,'Acerto virtual'!K:K),"")</f>
        <v/>
      </c>
      <c r="Z216" s="51" t="str">
        <f t="array" ref="Z216">IFERROR(_xlfn.XLOOKUP($F216,'Acerto virtual'!$E:$E,'Acerto virtual'!L:L),"")</f>
        <v/>
      </c>
      <c r="AA216" s="51" t="str">
        <f t="array" ref="AA216">IFERROR(_xlfn.XLOOKUP($F216,'Acerto virtual'!$E:$E,'Acerto virtual'!M:M),"")</f>
        <v/>
      </c>
      <c r="AB216" s="51" t="str">
        <f t="array" ref="AB216">IFERROR(_xlfn.XLOOKUP($F216,'Acerto virtual'!$E:$E,'Acerto virtual'!N:N),"")</f>
        <v/>
      </c>
      <c r="AC216" s="51" t="str">
        <f t="array" ref="AC216">IFERROR(_xlfn.XLOOKUP($F216,'Acerto virtual'!$E:$E,'Acerto virtual'!O:O),"")</f>
        <v/>
      </c>
      <c r="AD216" s="51" t="str">
        <f t="array" ref="AD216">IFERROR(_xlfn.XLOOKUP($F216,'Acerto virtual'!$E:$E,'Acerto virtual'!P:P),"")</f>
        <v/>
      </c>
      <c r="AE216" s="51" t="str">
        <f t="array" ref="AE216">IFERROR(_xlfn.XLOOKUP($F216,'Acerto virtual'!$E:$E,'Acerto virtual'!Q:Q),"")</f>
        <v/>
      </c>
      <c r="AF216" s="51" t="str">
        <f t="array" ref="AF216">IFERROR(_xlfn.XLOOKUP($F216,'Acerto virtual'!$E:$E,'Acerto virtual'!R:R),"")</f>
        <v/>
      </c>
      <c r="AG216" s="51" t="str">
        <f t="array" ref="AG216">IFERROR(_xlfn.XLOOKUP($F216,'Acerto virtual'!$E:$E,'Acerto virtual'!S:S),"")</f>
        <v/>
      </c>
      <c r="AH216" s="51" t="str">
        <f t="array" ref="AH216">IFERROR(_xlfn.XLOOKUP($F216,'Acerto virtual'!$E:$E,'Acerto virtual'!T:T),"")</f>
        <v/>
      </c>
      <c r="AI216" s="51" t="str">
        <f t="array" ref="AI216">IFERROR(_xlfn.XLOOKUP($F216,'Acerto virtual'!$E:$E,'Acerto virtual'!U:U),"")</f>
        <v/>
      </c>
    </row>
    <row r="217">
      <c r="A217" s="47" t="s">
        <v>754</v>
      </c>
      <c r="B217" s="47" t="s">
        <v>755</v>
      </c>
      <c r="C217" s="48" t="str">
        <f t="array" ref="C217">IFERROR(_xlfn.XLOOKUP($B217,'Histórico'!$B:$B,'Histórico'!$I:$I),"")</f>
        <v>065-00183-0501</v>
      </c>
      <c r="D217" s="19" t="str">
        <f t="array" ref="D217">IFERROR(_xlfn.XLOOKUP($B217,'Histórico'!$B:$B,'Histórico'!$J:$J),"")</f>
        <v>22373</v>
      </c>
      <c r="E217" s="19" t="str">
        <f t="array" ref="E217">IFERROR(_xlfn.XLOOKUP($B217,'Histórico'!$B:$B,'Histórico'!$K:$K),"")</f>
        <v>AUTOPILOT COMPUTER KFC225</v>
      </c>
      <c r="F217" s="52" t="str">
        <f t="array" ref="F217">IFERROR(_xlfn.XLOOKUP($B217,'Histórico'!$B:$B,'Histórico'!$L:$L),"")</f>
        <v>KC225-3029</v>
      </c>
      <c r="G217" s="49" t="str">
        <f t="array" ref="G217">IFERROR(_xlfn.XLOOKUP($B217,'Histórico'!$B:$B,'Histórico'!$F:$F),"")</f>
        <v>16/12/2025</v>
      </c>
      <c r="H217" s="19" t="str">
        <f t="array" ref="H217">IFERROR(_xlfn.XLOOKUP($B217,'Histórico'!$B:$B,'Histórico'!$AA:$AA),"")</f>
        <v>BANT</v>
      </c>
      <c r="I217" s="19" t="str">
        <f t="array" ref="I217">IFERROR(_xlfn.XLOOKUP($B217,Atual!$B:$B,Atual!$E:$E),"OS concluída")</f>
        <v>REC</v>
      </c>
      <c r="J217" s="19">
        <f t="shared" si="1"/>
        <v>303</v>
      </c>
      <c r="K217" s="19"/>
      <c r="L217" s="19">
        <f t="shared" si="2"/>
        <v>14</v>
      </c>
      <c r="M217" s="19"/>
      <c r="N217" s="49">
        <f t="array" ref="N217">IFERROR(_xlfn.XLOOKUP($B217,EMPRESA_1!A:A,EMPRESA_1!J:J),"")</f>
        <v>46021</v>
      </c>
      <c r="O217" s="50" t="str">
        <f t="array" ref="O217">IFERROR(_xlfn.XLOOKUP(B217,EMPRESA_1!A:A,EMPRESA_1!K:K),"")
</f>
        <v>BANT</v>
      </c>
      <c r="P217" s="19" t="str">
        <f t="array" ref="P217">IFERROR(_xlfn.XLOOKUP(B217,EMPRESA_1!A:A,EMPRESA_1!L:L),"")</f>
        <v>339/FAB/25</v>
      </c>
      <c r="Q217" s="49">
        <f t="array" ref="Q217">IFERROR(_xlfn.XLOOKUP(B217,EMPRESA_1!A:A,EMPRESA_1!J:J),"")</f>
        <v>46021</v>
      </c>
      <c r="R217" s="19">
        <f t="array" ref="R217">IFERROR(_xlfn.XLOOKUP(B217,EMPRESA_1!A:A,EMPRESA_1!M:M),"")</f>
        <v>2793</v>
      </c>
      <c r="S217" s="51"/>
      <c r="T217" s="51" t="str">
        <f t="array" ref="T217">IFERROR(_xlfn.XLOOKUP($F217,'Acerto virtual'!$E:$E,'Acerto virtual'!F:F),"")</f>
        <v/>
      </c>
      <c r="U217" s="51" t="str">
        <f t="array" ref="U217">IFERROR(_xlfn.XLOOKUP($F217,'Acerto virtual'!$E:$E,'Acerto virtual'!G:G),"")</f>
        <v/>
      </c>
      <c r="V217" s="51" t="str">
        <f t="array" ref="V217">IFERROR(_xlfn.XLOOKUP($F217,'Acerto virtual'!$E:$E,'Acerto virtual'!H:H),"")</f>
        <v/>
      </c>
      <c r="W217" s="51" t="str">
        <f t="array" ref="W217">IFERROR(_xlfn.XLOOKUP($F217,'Acerto virtual'!$E:$E,'Acerto virtual'!I:I),"")</f>
        <v/>
      </c>
      <c r="X217" s="51" t="str">
        <f t="array" ref="X217">IFERROR(_xlfn.XLOOKUP($F217,'Acerto virtual'!$E:$E,'Acerto virtual'!J:J),"")</f>
        <v/>
      </c>
      <c r="Y217" s="51" t="str">
        <f t="array" ref="Y217">IFERROR(_xlfn.XLOOKUP($F217,'Acerto virtual'!$E:$E,'Acerto virtual'!K:K),"")</f>
        <v/>
      </c>
      <c r="Z217" s="51" t="str">
        <f t="array" ref="Z217">IFERROR(_xlfn.XLOOKUP($F217,'Acerto virtual'!$E:$E,'Acerto virtual'!L:L),"")</f>
        <v/>
      </c>
      <c r="AA217" s="51" t="str">
        <f t="array" ref="AA217">IFERROR(_xlfn.XLOOKUP($F217,'Acerto virtual'!$E:$E,'Acerto virtual'!M:M),"")</f>
        <v/>
      </c>
      <c r="AB217" s="51" t="str">
        <f t="array" ref="AB217">IFERROR(_xlfn.XLOOKUP($F217,'Acerto virtual'!$E:$E,'Acerto virtual'!N:N),"")</f>
        <v/>
      </c>
      <c r="AC217" s="51" t="str">
        <f t="array" ref="AC217">IFERROR(_xlfn.XLOOKUP($F217,'Acerto virtual'!$E:$E,'Acerto virtual'!O:O),"")</f>
        <v/>
      </c>
      <c r="AD217" s="51" t="str">
        <f t="array" ref="AD217">IFERROR(_xlfn.XLOOKUP($F217,'Acerto virtual'!$E:$E,'Acerto virtual'!P:P),"")</f>
        <v/>
      </c>
      <c r="AE217" s="51" t="str">
        <f t="array" ref="AE217">IFERROR(_xlfn.XLOOKUP($F217,'Acerto virtual'!$E:$E,'Acerto virtual'!Q:Q),"")</f>
        <v/>
      </c>
      <c r="AF217" s="51" t="str">
        <f t="array" ref="AF217">IFERROR(_xlfn.XLOOKUP($F217,'Acerto virtual'!$E:$E,'Acerto virtual'!R:R),"")</f>
        <v/>
      </c>
      <c r="AG217" s="51" t="str">
        <f t="array" ref="AG217">IFERROR(_xlfn.XLOOKUP($F217,'Acerto virtual'!$E:$E,'Acerto virtual'!S:S),"")</f>
        <v/>
      </c>
      <c r="AH217" s="51" t="str">
        <f t="array" ref="AH217">IFERROR(_xlfn.XLOOKUP($F217,'Acerto virtual'!$E:$E,'Acerto virtual'!T:T),"")</f>
        <v/>
      </c>
      <c r="AI217" s="51" t="str">
        <f t="array" ref="AI217">IFERROR(_xlfn.XLOOKUP($F217,'Acerto virtual'!$E:$E,'Acerto virtual'!U:U),"")</f>
        <v/>
      </c>
    </row>
    <row r="218">
      <c r="A218" s="47" t="s">
        <v>756</v>
      </c>
      <c r="B218" s="47" t="s">
        <v>757</v>
      </c>
      <c r="C218" s="48" t="str">
        <f t="array" ref="C218">IFERROR(_xlfn.XLOOKUP($B218,'Histórico'!$B:$B,'Histórico'!$I:$I),"")</f>
        <v>SD5H14C4527</v>
      </c>
      <c r="D218" s="19" t="str">
        <f t="array" ref="D218">IFERROR(_xlfn.XLOOKUP($B218,'Histórico'!$B:$B,'Histórico'!$J:$J),"")</f>
        <v>7EK50</v>
      </c>
      <c r="E218" s="19" t="str">
        <f t="array" ref="E218">IFERROR(_xlfn.XLOOKUP($B218,'Histórico'!$B:$B,'Histórico'!$K:$K),"")</f>
        <v>AIR COMPRESSOR</v>
      </c>
      <c r="F218" s="19" t="str">
        <f t="array" ref="F218">IFERROR(_xlfn.XLOOKUP($B218,'Histórico'!$B:$B,'Histórico'!$L:$L),"")</f>
        <v>1141111980</v>
      </c>
      <c r="G218" s="49" t="str">
        <f t="array" ref="G218">IFERROR(_xlfn.XLOOKUP($B218,'Histórico'!$B:$B,'Histórico'!$F:$F),"")</f>
        <v>16/12/2025</v>
      </c>
      <c r="H218" s="19" t="str">
        <f t="array" ref="H218">IFERROR(_xlfn.XLOOKUP($B218,'Histórico'!$B:$B,'Histórico'!$AA:$AA),"")</f>
        <v>PAMALS</v>
      </c>
      <c r="I218" s="19" t="str">
        <f t="array" ref="I218">IFERROR(_xlfn.XLOOKUP($B218,Atual!$B:$B,Atual!$E:$E),"OS concluída")</f>
        <v>REC</v>
      </c>
      <c r="J218" s="19">
        <f t="shared" si="1"/>
        <v>303</v>
      </c>
      <c r="K218" s="19"/>
      <c r="L218" s="19" t="str">
        <f t="shared" si="2"/>
        <v>NÃO APLICÁVEL</v>
      </c>
      <c r="M218" s="19"/>
      <c r="N218" s="49" t="str">
        <f t="array" ref="N218">IFERROR(_xlfn.XLOOKUP($B218,EMPRESA_1!A:A,EMPRESA_1!J:J),"")</f>
        <v>EM REPARO</v>
      </c>
      <c r="O218" s="50" t="str">
        <f t="array" ref="O218">IFERROR(_xlfn.XLOOKUP(B218,EMPRESA_1!A:A,EMPRESA_1!K:K),"")
</f>
        <v>VEE ONE</v>
      </c>
      <c r="P218" s="48" t="str">
        <f t="array" ref="P218">IFERROR(_xlfn.XLOOKUP(B218,EMPRESA_1!A:A,EMPRESA_1!L:L),"")</f>
        <v/>
      </c>
      <c r="Q218" s="49" t="str">
        <f t="array" ref="Q218">IFERROR(_xlfn.XLOOKUP(B218,EMPRESA_1!A:A,EMPRESA_1!J:J),"")</f>
        <v>EM REPARO</v>
      </c>
      <c r="R218" s="19" t="str">
        <f t="array" ref="R218">IFERROR(_xlfn.XLOOKUP(B218,EMPRESA_1!A:A,EMPRESA_1!M:M),"")</f>
        <v/>
      </c>
      <c r="S218" s="51"/>
      <c r="T218" s="51" t="str">
        <f t="array" ref="T218">IFERROR(_xlfn.XLOOKUP($F218,'Acerto virtual'!$E:$E,'Acerto virtual'!F:F),"")</f>
        <v/>
      </c>
      <c r="U218" s="51" t="str">
        <f t="array" ref="U218">IFERROR(_xlfn.XLOOKUP($F218,'Acerto virtual'!$E:$E,'Acerto virtual'!G:G),"")</f>
        <v/>
      </c>
      <c r="V218" s="51" t="str">
        <f t="array" ref="V218">IFERROR(_xlfn.XLOOKUP($F218,'Acerto virtual'!$E:$E,'Acerto virtual'!H:H),"")</f>
        <v/>
      </c>
      <c r="W218" s="51" t="str">
        <f t="array" ref="W218">IFERROR(_xlfn.XLOOKUP($F218,'Acerto virtual'!$E:$E,'Acerto virtual'!I:I),"")</f>
        <v/>
      </c>
      <c r="X218" s="51" t="str">
        <f t="array" ref="X218">IFERROR(_xlfn.XLOOKUP($F218,'Acerto virtual'!$E:$E,'Acerto virtual'!J:J),"")</f>
        <v/>
      </c>
      <c r="Y218" s="51" t="str">
        <f t="array" ref="Y218">IFERROR(_xlfn.XLOOKUP($F218,'Acerto virtual'!$E:$E,'Acerto virtual'!K:K),"")</f>
        <v/>
      </c>
      <c r="Z218" s="51" t="str">
        <f t="array" ref="Z218">IFERROR(_xlfn.XLOOKUP($F218,'Acerto virtual'!$E:$E,'Acerto virtual'!L:L),"")</f>
        <v/>
      </c>
      <c r="AA218" s="51" t="str">
        <f t="array" ref="AA218">IFERROR(_xlfn.XLOOKUP($F218,'Acerto virtual'!$E:$E,'Acerto virtual'!M:M),"")</f>
        <v/>
      </c>
      <c r="AB218" s="51" t="str">
        <f t="array" ref="AB218">IFERROR(_xlfn.XLOOKUP($F218,'Acerto virtual'!$E:$E,'Acerto virtual'!N:N),"")</f>
        <v/>
      </c>
      <c r="AC218" s="51" t="str">
        <f t="array" ref="AC218">IFERROR(_xlfn.XLOOKUP($F218,'Acerto virtual'!$E:$E,'Acerto virtual'!O:O),"")</f>
        <v/>
      </c>
      <c r="AD218" s="51" t="str">
        <f t="array" ref="AD218">IFERROR(_xlfn.XLOOKUP($F218,'Acerto virtual'!$E:$E,'Acerto virtual'!P:P),"")</f>
        <v/>
      </c>
      <c r="AE218" s="51" t="str">
        <f t="array" ref="AE218">IFERROR(_xlfn.XLOOKUP($F218,'Acerto virtual'!$E:$E,'Acerto virtual'!Q:Q),"")</f>
        <v/>
      </c>
      <c r="AF218" s="51" t="str">
        <f t="array" ref="AF218">IFERROR(_xlfn.XLOOKUP($F218,'Acerto virtual'!$E:$E,'Acerto virtual'!R:R),"")</f>
        <v/>
      </c>
      <c r="AG218" s="51" t="str">
        <f t="array" ref="AG218">IFERROR(_xlfn.XLOOKUP($F218,'Acerto virtual'!$E:$E,'Acerto virtual'!S:S),"")</f>
        <v/>
      </c>
      <c r="AH218" s="51" t="str">
        <f t="array" ref="AH218">IFERROR(_xlfn.XLOOKUP($F218,'Acerto virtual'!$E:$E,'Acerto virtual'!T:T),"")</f>
        <v/>
      </c>
      <c r="AI218" s="51" t="str">
        <f t="array" ref="AI218">IFERROR(_xlfn.XLOOKUP($F218,'Acerto virtual'!$E:$E,'Acerto virtual'!U:U),"")</f>
        <v/>
      </c>
    </row>
    <row r="219" hidden="1">
      <c r="A219" s="47" t="s">
        <v>758</v>
      </c>
      <c r="B219" s="47" t="s">
        <v>759</v>
      </c>
      <c r="C219" s="19" t="str">
        <f t="array" ref="C219">IFERROR(_xlfn.XLOOKUP($B219,'Histórico'!$B:$B,'Histórico'!$I:$I),"")</f>
        <v>ASG12000-2</v>
      </c>
      <c r="D219" s="19" t="str">
        <f t="array" ref="D219">IFERROR(_xlfn.XLOOKUP($B219,'Histórico'!$B:$B,'Histórico'!$J:$J),"")</f>
        <v>71653</v>
      </c>
      <c r="E219" s="19" t="str">
        <f t="array" ref="E219">IFERROR(_xlfn.XLOOKUP($B219,'Histórico'!$B:$B,'Histórico'!$K:$K),"")</f>
        <v>ALTERNATOR</v>
      </c>
      <c r="F219" s="19" t="str">
        <f t="array" ref="F219">IFERROR(_xlfn.XLOOKUP($B219,'Histórico'!$B:$B,'Histórico'!$L:$L),"")</f>
        <v>A-184434</v>
      </c>
      <c r="G219" s="49" t="str">
        <f t="array" ref="G219">IFERROR(_xlfn.XLOOKUP($B219,'Histórico'!$B:$B,'Histórico'!$F:$F),"")</f>
        <v>19/12/2025</v>
      </c>
      <c r="H219" s="19" t="str">
        <f t="array" ref="H219">IFERROR(_xlfn.XLOOKUP($B219,'Histórico'!$B:$B,'Histórico'!$AA:$AA),"")</f>
        <v>PAMALS</v>
      </c>
      <c r="I219" s="19" t="str">
        <f t="array" ref="I219">IFERROR(_xlfn.XLOOKUP($B219,Atual!$B:$B,Atual!$E:$E),"OS concluída")</f>
        <v>OS concluída</v>
      </c>
      <c r="J219" s="19" t="str">
        <f t="shared" si="1"/>
        <v/>
      </c>
      <c r="K219" s="19"/>
      <c r="L219" s="19" t="str">
        <f t="shared" si="2"/>
        <v/>
      </c>
      <c r="M219" s="19"/>
      <c r="N219" s="49" t="str">
        <f t="array" ref="N219">IFERROR(_xlfn.XLOOKUP($B219,Empresa!G:G,Empresa!K:K),"")</f>
        <v/>
      </c>
      <c r="O219" s="49"/>
      <c r="P219" s="19" t="str">
        <f t="array" ref="P219">IFERROR(_xlfn.XLOOKUP($F219,'Vee one'!F:F,'Vee one'!O:O),"")</f>
        <v/>
      </c>
      <c r="Q219" s="19" t="str">
        <f t="array" ref="Q219">IFERROR(_xlfn.XLOOKUP($F219,'Vee one'!F:F,'Vee one'!K:K),"")</f>
        <v/>
      </c>
      <c r="R219" s="19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</row>
    <row r="220">
      <c r="A220" s="47" t="s">
        <v>760</v>
      </c>
      <c r="B220" s="47" t="s">
        <v>761</v>
      </c>
      <c r="C220" s="48" t="str">
        <f t="array" ref="C220">IFERROR(_xlfn.XLOOKUP($B220,'Histórico'!$B:$B,'Histórico'!$I:$I),"")</f>
        <v>51539-012M</v>
      </c>
      <c r="D220" s="19" t="str">
        <f t="array" ref="D220">IFERROR(_xlfn.XLOOKUP($B220,'Histórico'!$B:$B,'Histórico'!$J:$J),"")</f>
        <v>7EK50</v>
      </c>
      <c r="E220" s="19" t="str">
        <f t="array" ref="E220">IFERROR(_xlfn.XLOOKUP($B220,'Histórico'!$B:$B,'Histórico'!$K:$K),"")</f>
        <v>CONTROL UNIT ASSY-GENERATOR</v>
      </c>
      <c r="F220" s="19" t="str">
        <f t="array" ref="F220">IFERROR(_xlfn.XLOOKUP($B220,'Histórico'!$B:$B,'Histórico'!$L:$L),"")</f>
        <v>3201</v>
      </c>
      <c r="G220" s="49" t="str">
        <f t="array" ref="G220">IFERROR(_xlfn.XLOOKUP($B220,'Histórico'!$B:$B,'Histórico'!$F:$F),"")</f>
        <v>19/12/2025</v>
      </c>
      <c r="H220" s="19" t="str">
        <f t="array" ref="H220">IFERROR(_xlfn.XLOOKUP($B220,'Histórico'!$B:$B,'Histórico'!$AA:$AA),"")</f>
        <v>BANT</v>
      </c>
      <c r="I220" s="19" t="str">
        <f t="array" ref="I220">IFERROR(_xlfn.XLOOKUP($B220,Atual!$B:$B,Atual!$E:$E),"OS concluída")</f>
        <v>REC</v>
      </c>
      <c r="J220" s="19">
        <f t="shared" si="1"/>
        <v>300</v>
      </c>
      <c r="K220" s="19"/>
      <c r="L220" s="19">
        <f t="shared" si="2"/>
        <v>42</v>
      </c>
      <c r="M220" s="19"/>
      <c r="N220" s="49">
        <f t="array" ref="N220">IFERROR(_xlfn.XLOOKUP($B220,EMPRESA_1!A:A,EMPRESA_1!J:J),"")</f>
        <v>46052</v>
      </c>
      <c r="O220" s="50" t="str">
        <f t="array" ref="O220">IFERROR(_xlfn.XLOOKUP(B220,EMPRESA_1!A:A,EMPRESA_1!K:K),"")
</f>
        <v>BACG</v>
      </c>
      <c r="P220" s="19" t="str">
        <f t="array" ref="P220">IFERROR(_xlfn.XLOOKUP(B220,EMPRESA_1!A:A,EMPRESA_1!L:L),"")</f>
        <v>058/FAB/26</v>
      </c>
      <c r="Q220" s="49">
        <f t="array" ref="Q220">IFERROR(_xlfn.XLOOKUP(B220,EMPRESA_1!A:A,EMPRESA_1!J:J),"")</f>
        <v>46052</v>
      </c>
      <c r="R220" s="19" t="str">
        <f t="array" ref="R220">IFERROR(_xlfn.XLOOKUP(B220,EMPRESA_1!A:A,EMPRESA_1!M:M),"")</f>
        <v/>
      </c>
      <c r="S220" s="51"/>
      <c r="T220" s="51" t="str">
        <f t="array" ref="T220">IFERROR(_xlfn.XLOOKUP($F220,'Acerto virtual'!$E:$E,'Acerto virtual'!F:F),"")</f>
        <v/>
      </c>
      <c r="U220" s="51" t="str">
        <f t="array" ref="U220">IFERROR(_xlfn.XLOOKUP($F220,'Acerto virtual'!$E:$E,'Acerto virtual'!G:G),"")</f>
        <v/>
      </c>
      <c r="V220" s="51" t="str">
        <f t="array" ref="V220">IFERROR(_xlfn.XLOOKUP($F220,'Acerto virtual'!$E:$E,'Acerto virtual'!H:H),"")</f>
        <v/>
      </c>
      <c r="W220" s="51" t="str">
        <f t="array" ref="W220">IFERROR(_xlfn.XLOOKUP($F220,'Acerto virtual'!$E:$E,'Acerto virtual'!I:I),"")</f>
        <v/>
      </c>
      <c r="X220" s="51" t="str">
        <f t="array" ref="X220">IFERROR(_xlfn.XLOOKUP($F220,'Acerto virtual'!$E:$E,'Acerto virtual'!J:J),"")</f>
        <v/>
      </c>
      <c r="Y220" s="51" t="str">
        <f t="array" ref="Y220">IFERROR(_xlfn.XLOOKUP($F220,'Acerto virtual'!$E:$E,'Acerto virtual'!K:K),"")</f>
        <v/>
      </c>
      <c r="Z220" s="51" t="str">
        <f t="array" ref="Z220">IFERROR(_xlfn.XLOOKUP($F220,'Acerto virtual'!$E:$E,'Acerto virtual'!L:L),"")</f>
        <v/>
      </c>
      <c r="AA220" s="51" t="str">
        <f t="array" ref="AA220">IFERROR(_xlfn.XLOOKUP($F220,'Acerto virtual'!$E:$E,'Acerto virtual'!M:M),"")</f>
        <v/>
      </c>
      <c r="AB220" s="51" t="str">
        <f t="array" ref="AB220">IFERROR(_xlfn.XLOOKUP($F220,'Acerto virtual'!$E:$E,'Acerto virtual'!N:N),"")</f>
        <v/>
      </c>
      <c r="AC220" s="51" t="str">
        <f t="array" ref="AC220">IFERROR(_xlfn.XLOOKUP($F220,'Acerto virtual'!$E:$E,'Acerto virtual'!O:O),"")</f>
        <v/>
      </c>
      <c r="AD220" s="51" t="str">
        <f t="array" ref="AD220">IFERROR(_xlfn.XLOOKUP($F220,'Acerto virtual'!$E:$E,'Acerto virtual'!P:P),"")</f>
        <v/>
      </c>
      <c r="AE220" s="51" t="str">
        <f t="array" ref="AE220">IFERROR(_xlfn.XLOOKUP($F220,'Acerto virtual'!$E:$E,'Acerto virtual'!Q:Q),"")</f>
        <v/>
      </c>
      <c r="AF220" s="51" t="str">
        <f t="array" ref="AF220">IFERROR(_xlfn.XLOOKUP($F220,'Acerto virtual'!$E:$E,'Acerto virtual'!R:R),"")</f>
        <v/>
      </c>
      <c r="AG220" s="51" t="str">
        <f t="array" ref="AG220">IFERROR(_xlfn.XLOOKUP($F220,'Acerto virtual'!$E:$E,'Acerto virtual'!S:S),"")</f>
        <v/>
      </c>
      <c r="AH220" s="51" t="str">
        <f t="array" ref="AH220">IFERROR(_xlfn.XLOOKUP($F220,'Acerto virtual'!$E:$E,'Acerto virtual'!T:T),"")</f>
        <v/>
      </c>
      <c r="AI220" s="51" t="str">
        <f t="array" ref="AI220">IFERROR(_xlfn.XLOOKUP($F220,'Acerto virtual'!$E:$E,'Acerto virtual'!U:U),"")</f>
        <v/>
      </c>
    </row>
    <row r="221">
      <c r="A221" s="47" t="s">
        <v>762</v>
      </c>
      <c r="B221" s="47" t="s">
        <v>763</v>
      </c>
      <c r="C221" s="48" t="str">
        <f t="array" ref="C221">IFERROR(_xlfn.XLOOKUP($B221,'Histórico'!$B:$B,'Histórico'!$I:$I),"")</f>
        <v>ASG12000-2</v>
      </c>
      <c r="D221" s="19" t="str">
        <f t="array" ref="D221">IFERROR(_xlfn.XLOOKUP($B221,'Histórico'!$B:$B,'Histórico'!$J:$J),"")</f>
        <v>71653</v>
      </c>
      <c r="E221" s="19" t="str">
        <f t="array" ref="E221">IFERROR(_xlfn.XLOOKUP($B221,'Histórico'!$B:$B,'Histórico'!$K:$K),"")</f>
        <v>ALTERNATOR</v>
      </c>
      <c r="F221" s="19" t="str">
        <f t="array" ref="F221">IFERROR(_xlfn.XLOOKUP($B221,'Histórico'!$B:$B,'Histórico'!$L:$L),"")</f>
        <v>A-183643</v>
      </c>
      <c r="G221" s="49" t="str">
        <f t="array" ref="G221">IFERROR(_xlfn.XLOOKUP($B221,'Histórico'!$B:$B,'Histórico'!$F:$F),"")</f>
        <v>19/12/2025</v>
      </c>
      <c r="H221" s="19" t="str">
        <f t="array" ref="H221">IFERROR(_xlfn.XLOOKUP($B221,'Histórico'!$B:$B,'Histórico'!$AA:$AA),"")</f>
        <v>PAMALS</v>
      </c>
      <c r="I221" s="19" t="str">
        <f t="array" ref="I221">IFERROR(_xlfn.XLOOKUP($B221,Atual!$B:$B,Atual!$E:$E),"OS concluída")</f>
        <v>REC</v>
      </c>
      <c r="J221" s="19">
        <f t="shared" si="1"/>
        <v>300</v>
      </c>
      <c r="K221" s="19"/>
      <c r="L221" s="19">
        <f t="shared" si="2"/>
        <v>166</v>
      </c>
      <c r="M221" s="19"/>
      <c r="N221" s="49">
        <f t="array" ref="N221">IFERROR(_xlfn.XLOOKUP($B221,EMPRESA_1!A:A,EMPRESA_1!J:J),"")</f>
        <v>46176</v>
      </c>
      <c r="O221" s="50" t="str">
        <f t="array" ref="O221">IFERROR(_xlfn.XLOOKUP(B221,EMPRESA_1!A:A,EMPRESA_1!K:K),"")
</f>
        <v>V1 PAMA-LS</v>
      </c>
      <c r="P221" s="48" t="str">
        <f t="array" ref="P221">IFERROR(_xlfn.XLOOKUP(B221,EMPRESA_1!A:A,EMPRESA_1!L:L),"")</f>
        <v/>
      </c>
      <c r="Q221" s="49">
        <f t="array" ref="Q221">IFERROR(_xlfn.XLOOKUP(B221,EMPRESA_1!A:A,EMPRESA_1!J:J),"")</f>
        <v>46176</v>
      </c>
      <c r="R221" s="19" t="str">
        <f t="array" ref="R221">IFERROR(_xlfn.XLOOKUP(B221,EMPRESA_1!A:A,EMPRESA_1!M:M),"")</f>
        <v/>
      </c>
      <c r="S221" s="51"/>
      <c r="T221" s="51" t="str">
        <f t="array" ref="T221">IFERROR(_xlfn.XLOOKUP($F221,'Acerto virtual'!$E:$E,'Acerto virtual'!F:F),"")</f>
        <v>028/2026</v>
      </c>
      <c r="U221" s="51" t="str">
        <f t="array" ref="U221">IFERROR(_xlfn.XLOOKUP($F221,'Acerto virtual'!$E:$E,'Acerto virtual'!G:G),"")</f>
        <v>14/08</v>
      </c>
      <c r="V221" s="51" t="str">
        <f t="array" ref="V221">IFERROR(_xlfn.XLOOKUP($F221,'Acerto virtual'!$E:$E,'Acerto virtual'!H:H),"")</f>
        <v>31/08</v>
      </c>
      <c r="W221" s="51" t="str">
        <f t="array" ref="W221">IFERROR(_xlfn.XLOOKUP($F221,'Acerto virtual'!$E:$E,'Acerto virtual'!I:I),"")</f>
        <v/>
      </c>
      <c r="X221" s="51" t="str">
        <f t="array" ref="X221">IFERROR(_xlfn.XLOOKUP($F221,'Acerto virtual'!$E:$E,'Acerto virtual'!J:J),"")</f>
        <v/>
      </c>
      <c r="Y221" s="51" t="str">
        <f t="array" ref="Y221">IFERROR(_xlfn.XLOOKUP($F221,'Acerto virtual'!$E:$E,'Acerto virtual'!K:K),"")</f>
        <v/>
      </c>
      <c r="Z221" s="51" t="str">
        <f t="array" ref="Z221">IFERROR(_xlfn.XLOOKUP($F221,'Acerto virtual'!$E:$E,'Acerto virtual'!L:L),"")</f>
        <v/>
      </c>
      <c r="AA221" s="51" t="str">
        <f t="array" ref="AA221">IFERROR(_xlfn.XLOOKUP($F221,'Acerto virtual'!$E:$E,'Acerto virtual'!M:M),"")</f>
        <v/>
      </c>
      <c r="AB221" s="51" t="str">
        <f t="array" ref="AB221">IFERROR(_xlfn.XLOOKUP($F221,'Acerto virtual'!$E:$E,'Acerto virtual'!N:N),"")</f>
        <v/>
      </c>
      <c r="AC221" s="51" t="str">
        <f t="array" ref="AC221">IFERROR(_xlfn.XLOOKUP($F221,'Acerto virtual'!$E:$E,'Acerto virtual'!O:O),"")</f>
        <v/>
      </c>
      <c r="AD221" s="51" t="str">
        <f t="array" ref="AD221">IFERROR(_xlfn.XLOOKUP($F221,'Acerto virtual'!$E:$E,'Acerto virtual'!P:P),"")</f>
        <v/>
      </c>
      <c r="AE221" s="51" t="str">
        <f t="array" ref="AE221">IFERROR(_xlfn.XLOOKUP($F221,'Acerto virtual'!$E:$E,'Acerto virtual'!Q:Q),"")</f>
        <v/>
      </c>
      <c r="AF221" s="51" t="str">
        <f t="array" ref="AF221">IFERROR(_xlfn.XLOOKUP($F221,'Acerto virtual'!$E:$E,'Acerto virtual'!R:R),"")</f>
        <v/>
      </c>
      <c r="AG221" s="51" t="str">
        <f t="array" ref="AG221">IFERROR(_xlfn.XLOOKUP($F221,'Acerto virtual'!$E:$E,'Acerto virtual'!S:S),"")</f>
        <v/>
      </c>
      <c r="AH221" s="51" t="str">
        <f t="array" ref="AH221">IFERROR(_xlfn.XLOOKUP($F221,'Acerto virtual'!$E:$E,'Acerto virtual'!T:T),"")</f>
        <v/>
      </c>
      <c r="AI221" s="51" t="str">
        <f t="array" ref="AI221">IFERROR(_xlfn.XLOOKUP($F221,'Acerto virtual'!$E:$E,'Acerto virtual'!U:U),"")</f>
        <v>AGD RESPOSTA DO OPERADOR - E-MAIL ENVIADO NO DIA 01/09/206</v>
      </c>
    </row>
    <row r="222" hidden="1">
      <c r="A222" s="47" t="s">
        <v>764</v>
      </c>
      <c r="B222" s="47" t="s">
        <v>765</v>
      </c>
      <c r="C222" s="48" t="str">
        <f t="array" ref="C222">IFERROR(_xlfn.XLOOKUP($B222,'Histórico'!$B:$B,'Histórico'!$I:$I),"")</f>
        <v>9910592-2</v>
      </c>
      <c r="D222" s="19" t="str">
        <f t="array" ref="D222">IFERROR(_xlfn.XLOOKUP($B222,'Histórico'!$B:$B,'Histórico'!$J:$J),"")</f>
        <v>7EK50</v>
      </c>
      <c r="E222" s="19" t="str">
        <f t="array" ref="E222">IFERROR(_xlfn.XLOOKUP($B222,'Histórico'!$B:$B,'Histórico'!$K:$K),"")</f>
        <v>ALTERNADOR</v>
      </c>
      <c r="F222" s="19" t="str">
        <f t="array" ref="F222">IFERROR(_xlfn.XLOOKUP($B222,'Histórico'!$B:$B,'Histórico'!$L:$L),"")</f>
        <v>A-180560</v>
      </c>
      <c r="G222" s="49" t="str">
        <f t="array" ref="G222">IFERROR(_xlfn.XLOOKUP($B222,'Histórico'!$B:$B,'Histórico'!$F:$F),"")</f>
        <v>19/12/2025</v>
      </c>
      <c r="H222" s="19" t="str">
        <f t="array" ref="H222">IFERROR(_xlfn.XLOOKUP($B222,'Histórico'!$B:$B,'Histórico'!$AA:$AA),"")</f>
        <v>BAMN</v>
      </c>
      <c r="I222" s="19" t="str">
        <f t="array" ref="I222">IFERROR(_xlfn.XLOOKUP($B222,Atual!$B:$B,Atual!$E:$E),"OS concluída")</f>
        <v>OS concluída</v>
      </c>
      <c r="J222" s="19" t="str">
        <f t="shared" si="1"/>
        <v/>
      </c>
      <c r="K222" s="19"/>
      <c r="L222" s="19">
        <f t="shared" si="2"/>
        <v>166</v>
      </c>
      <c r="M222" s="19"/>
      <c r="N222" s="49">
        <f t="array" ref="N222">IFERROR(_xlfn.XLOOKUP($B222,EMPRESA_1!A:A,EMPRESA_1!J:J),"")</f>
        <v>46176</v>
      </c>
      <c r="O222" s="50" t="str">
        <f t="array" ref="O222">IFERROR(_xlfn.XLOOKUP(B222,EMPRESA_1!A:A,EMPRESA_1!K:K),"")
</f>
        <v>babr</v>
      </c>
      <c r="P222" s="48" t="str">
        <f t="array" ref="P222">IFERROR(_xlfn.XLOOKUP(B222,EMPRESA_1!A:A,EMPRESA_1!L:L),"")</f>
        <v>596/fab/26</v>
      </c>
      <c r="Q222" s="49">
        <f t="array" ref="Q222">IFERROR(_xlfn.XLOOKUP(B222,EMPRESA_1!A:A,EMPRESA_1!J:J),"")</f>
        <v>46176</v>
      </c>
      <c r="R222" s="19" t="str">
        <f t="array" ref="R222">IFERROR(_xlfn.XLOOKUP(B222,EMPRESA_1!A:A,EMPRESA_1!M:M),"")</f>
        <v/>
      </c>
      <c r="S222" s="51"/>
      <c r="T222" s="51" t="str">
        <f t="array" ref="T222">IFERROR(_xlfn.XLOOKUP($F222,'Acerto virtual'!$E:$E,'Acerto virtual'!F:F),"")</f>
        <v>029/2026</v>
      </c>
      <c r="U222" s="51" t="str">
        <f t="array" ref="U222">IFERROR(_xlfn.XLOOKUP($F222,'Acerto virtual'!$E:$E,'Acerto virtual'!G:G),"")</f>
        <v>23/06</v>
      </c>
      <c r="V222" s="51" t="str">
        <f t="array" ref="V222">IFERROR(_xlfn.XLOOKUP($F222,'Acerto virtual'!$E:$E,'Acerto virtual'!H:H),"")</f>
        <v>05/08</v>
      </c>
      <c r="W222" s="51" t="str">
        <f t="array" ref="W222">IFERROR(_xlfn.XLOOKUP($F222,'Acerto virtual'!$E:$E,'Acerto virtual'!I:I),"")</f>
        <v/>
      </c>
      <c r="X222" s="51" t="str">
        <f t="array" ref="X222">IFERROR(_xlfn.XLOOKUP($F222,'Acerto virtual'!$E:$E,'Acerto virtual'!J:J),"")</f>
        <v>05/08</v>
      </c>
      <c r="Y222" s="51" t="str">
        <f t="array" ref="Y222">IFERROR(_xlfn.XLOOKUP($F222,'Acerto virtual'!$E:$E,'Acerto virtual'!K:K),"")</f>
        <v>17/08</v>
      </c>
      <c r="Z222" s="51" t="str">
        <f t="array" ref="Z222">IFERROR(_xlfn.XLOOKUP($F222,'Acerto virtual'!$E:$E,'Acerto virtual'!L:L),"")</f>
        <v>01/09</v>
      </c>
      <c r="AA222" s="51" t="str">
        <f t="array" ref="AA222">IFERROR(_xlfn.XLOOKUP($F222,'Acerto virtual'!$E:$E,'Acerto virtual'!M:M),"")</f>
        <v>01/09</v>
      </c>
      <c r="AB222" s="51" t="str">
        <f t="array" ref="AB222">IFERROR(_xlfn.XLOOKUP($F222,'Acerto virtual'!$E:$E,'Acerto virtual'!N:N),"")</f>
        <v>01/09</v>
      </c>
      <c r="AC222" s="51" t="str">
        <f t="array" ref="AC222">IFERROR(_xlfn.XLOOKUP($F222,'Acerto virtual'!$E:$E,'Acerto virtual'!O:O),"")</f>
        <v>01/09</v>
      </c>
      <c r="AD222" s="51" t="str">
        <f t="array" ref="AD222">IFERROR(_xlfn.XLOOKUP($F222,'Acerto virtual'!$E:$E,'Acerto virtual'!P:P),"")</f>
        <v>01/09</v>
      </c>
      <c r="AE222" s="51" t="str">
        <f t="array" ref="AE222">IFERROR(_xlfn.XLOOKUP($F222,'Acerto virtual'!$E:$E,'Acerto virtual'!Q:Q),"")</f>
        <v>01/09</v>
      </c>
      <c r="AF222" s="51" t="str">
        <f t="array" ref="AF222">IFERROR(_xlfn.XLOOKUP($F222,'Acerto virtual'!$E:$E,'Acerto virtual'!R:R),"")</f>
        <v>01/09</v>
      </c>
      <c r="AG222" s="51" t="str">
        <f t="array" ref="AG222">IFERROR(_xlfn.XLOOKUP($F222,'Acerto virtual'!$E:$E,'Acerto virtual'!S:S),"")</f>
        <v>01/09</v>
      </c>
      <c r="AH222" s="51" t="str">
        <f t="array" ref="AH222">IFERROR(_xlfn.XLOOKUP($F222,'Acerto virtual'!$E:$E,'Acerto virtual'!T:T),"")</f>
        <v/>
      </c>
      <c r="AI222" s="51" t="str">
        <f t="array" ref="AI222">IFERROR(_xlfn.XLOOKUP($F222,'Acerto virtual'!$E:$E,'Acerto virtual'!U:U),"")</f>
        <v>RECEBIMENTO PENDENTE - ENTRADA EM ABERTO - GODOY 05/10/2026</v>
      </c>
    </row>
    <row r="223">
      <c r="A223" s="47" t="s">
        <v>766</v>
      </c>
      <c r="B223" s="47" t="s">
        <v>767</v>
      </c>
      <c r="C223" s="48" t="str">
        <f t="array" ref="C223">IFERROR(_xlfn.XLOOKUP($B223,'Histórico'!$B:$B,'Histórico'!$I:$I),"")</f>
        <v>9910592-2</v>
      </c>
      <c r="D223" s="19" t="str">
        <f t="array" ref="D223">IFERROR(_xlfn.XLOOKUP($B223,'Histórico'!$B:$B,'Histórico'!$J:$J),"")</f>
        <v>7EK50</v>
      </c>
      <c r="E223" s="19" t="str">
        <f t="array" ref="E223">IFERROR(_xlfn.XLOOKUP($B223,'Histórico'!$B:$B,'Histórico'!$K:$K),"")</f>
        <v>ALTERNADOR</v>
      </c>
      <c r="F223" s="19" t="str">
        <f t="array" ref="F223">IFERROR(_xlfn.XLOOKUP($B223,'Histórico'!$B:$B,'Histórico'!$L:$L),"")</f>
        <v>A-134709</v>
      </c>
      <c r="G223" s="49" t="str">
        <f t="array" ref="G223">IFERROR(_xlfn.XLOOKUP($B223,'Histórico'!$B:$B,'Histórico'!$F:$F),"")</f>
        <v>19/12/2025</v>
      </c>
      <c r="H223" s="19" t="str">
        <f t="array" ref="H223">IFERROR(_xlfn.XLOOKUP($B223,'Histórico'!$B:$B,'Histórico'!$AA:$AA),"")</f>
        <v>BAMN</v>
      </c>
      <c r="I223" s="19" t="str">
        <f t="array" ref="I223">IFERROR(_xlfn.XLOOKUP($B223,Atual!$B:$B,Atual!$E:$E),"OS concluída")</f>
        <v>REC</v>
      </c>
      <c r="J223" s="19">
        <f t="shared" si="1"/>
        <v>300</v>
      </c>
      <c r="K223" s="19"/>
      <c r="L223" s="19">
        <f t="shared" si="2"/>
        <v>154</v>
      </c>
      <c r="M223" s="19"/>
      <c r="N223" s="49">
        <f t="array" ref="N223">IFERROR(_xlfn.XLOOKUP($B223,EMPRESA_1!A:A,EMPRESA_1!J:J),"")</f>
        <v>46164</v>
      </c>
      <c r="O223" s="50" t="str">
        <f t="array" ref="O223">IFERROR(_xlfn.XLOOKUP(B223,EMPRESA_1!A:A,EMPRESA_1!K:K),"")
</f>
        <v>dacta II</v>
      </c>
      <c r="P223" s="48" t="str">
        <f t="array" ref="P223">IFERROR(_xlfn.XLOOKUP(B223,EMPRESA_1!A:A,EMPRESA_1!L:L),"")</f>
        <v>687/fab/26</v>
      </c>
      <c r="Q223" s="49">
        <f t="array" ref="Q223">IFERROR(_xlfn.XLOOKUP(B223,EMPRESA_1!A:A,EMPRESA_1!J:J),"")</f>
        <v>46164</v>
      </c>
      <c r="R223" s="19" t="str">
        <f t="array" ref="R223">IFERROR(_xlfn.XLOOKUP(B223,EMPRESA_1!A:A,EMPRESA_1!M:M),"")</f>
        <v/>
      </c>
      <c r="S223" s="51"/>
      <c r="T223" s="51" t="str">
        <f t="array" ref="T223">IFERROR(_xlfn.XLOOKUP($F223,'Acerto virtual'!$E:$E,'Acerto virtual'!F:F),"")</f>
        <v/>
      </c>
      <c r="U223" s="51" t="str">
        <f t="array" ref="U223">IFERROR(_xlfn.XLOOKUP($F223,'Acerto virtual'!$E:$E,'Acerto virtual'!G:G),"")</f>
        <v/>
      </c>
      <c r="V223" s="51" t="str">
        <f t="array" ref="V223">IFERROR(_xlfn.XLOOKUP($F223,'Acerto virtual'!$E:$E,'Acerto virtual'!H:H),"")</f>
        <v/>
      </c>
      <c r="W223" s="51" t="str">
        <f t="array" ref="W223">IFERROR(_xlfn.XLOOKUP($F223,'Acerto virtual'!$E:$E,'Acerto virtual'!I:I),"")</f>
        <v/>
      </c>
      <c r="X223" s="51" t="str">
        <f t="array" ref="X223">IFERROR(_xlfn.XLOOKUP($F223,'Acerto virtual'!$E:$E,'Acerto virtual'!J:J),"")</f>
        <v/>
      </c>
      <c r="Y223" s="51" t="str">
        <f t="array" ref="Y223">IFERROR(_xlfn.XLOOKUP($F223,'Acerto virtual'!$E:$E,'Acerto virtual'!K:K),"")</f>
        <v/>
      </c>
      <c r="Z223" s="51" t="str">
        <f t="array" ref="Z223">IFERROR(_xlfn.XLOOKUP($F223,'Acerto virtual'!$E:$E,'Acerto virtual'!L:L),"")</f>
        <v/>
      </c>
      <c r="AA223" s="51" t="str">
        <f t="array" ref="AA223">IFERROR(_xlfn.XLOOKUP($F223,'Acerto virtual'!$E:$E,'Acerto virtual'!M:M),"")</f>
        <v/>
      </c>
      <c r="AB223" s="51" t="str">
        <f t="array" ref="AB223">IFERROR(_xlfn.XLOOKUP($F223,'Acerto virtual'!$E:$E,'Acerto virtual'!N:N),"")</f>
        <v/>
      </c>
      <c r="AC223" s="51" t="str">
        <f t="array" ref="AC223">IFERROR(_xlfn.XLOOKUP($F223,'Acerto virtual'!$E:$E,'Acerto virtual'!O:O),"")</f>
        <v/>
      </c>
      <c r="AD223" s="51" t="str">
        <f t="array" ref="AD223">IFERROR(_xlfn.XLOOKUP($F223,'Acerto virtual'!$E:$E,'Acerto virtual'!P:P),"")</f>
        <v/>
      </c>
      <c r="AE223" s="51" t="str">
        <f t="array" ref="AE223">IFERROR(_xlfn.XLOOKUP($F223,'Acerto virtual'!$E:$E,'Acerto virtual'!Q:Q),"")</f>
        <v/>
      </c>
      <c r="AF223" s="51" t="str">
        <f t="array" ref="AF223">IFERROR(_xlfn.XLOOKUP($F223,'Acerto virtual'!$E:$E,'Acerto virtual'!R:R),"")</f>
        <v/>
      </c>
      <c r="AG223" s="51" t="str">
        <f t="array" ref="AG223">IFERROR(_xlfn.XLOOKUP($F223,'Acerto virtual'!$E:$E,'Acerto virtual'!S:S),"")</f>
        <v/>
      </c>
      <c r="AH223" s="51" t="str">
        <f t="array" ref="AH223">IFERROR(_xlfn.XLOOKUP($F223,'Acerto virtual'!$E:$E,'Acerto virtual'!T:T),"")</f>
        <v/>
      </c>
      <c r="AI223" s="51" t="str">
        <f t="array" ref="AI223">IFERROR(_xlfn.XLOOKUP($F223,'Acerto virtual'!$E:$E,'Acerto virtual'!U:U),"")</f>
        <v/>
      </c>
    </row>
    <row r="224" hidden="1">
      <c r="A224" s="47" t="s">
        <v>768</v>
      </c>
      <c r="B224" s="47" t="s">
        <v>769</v>
      </c>
      <c r="C224" s="19" t="str">
        <f t="array" ref="C224">IFERROR(_xlfn.XLOOKUP($B224,'Histórico'!$B:$B,'Histórico'!$I:$I),"")</f>
        <v>161-12800</v>
      </c>
      <c r="D224" s="19" t="str">
        <f t="array" ref="D224">IFERROR(_xlfn.XLOOKUP($B224,'Histórico'!$B:$B,'Histórico'!$J:$J),"")</f>
        <v>71513</v>
      </c>
      <c r="E224" s="19" t="str">
        <f t="array" ref="E224">IFERROR(_xlfn.XLOOKUP($B224,'Histórico'!$B:$B,'Histórico'!$K:$K),"")</f>
        <v>WHEEL HALF ASSY-INNER</v>
      </c>
      <c r="F224" s="19" t="str">
        <f t="array" ref="F224">IFERROR(_xlfn.XLOOKUP($B224,'Histórico'!$B:$B,'Histórico'!$L:$L),"")</f>
        <v>822</v>
      </c>
      <c r="G224" s="49" t="str">
        <f t="array" ref="G224">IFERROR(_xlfn.XLOOKUP($B224,'Histórico'!$B:$B,'Histórico'!$F:$F),"")</f>
        <v>06/01/2026</v>
      </c>
      <c r="H224" s="19" t="str">
        <f t="array" ref="H224">IFERROR(_xlfn.XLOOKUP($B224,'Histórico'!$B:$B,'Histórico'!$AA:$AA),"")</f>
        <v>EPCAR</v>
      </c>
      <c r="I224" s="19" t="str">
        <f t="array" ref="I224">IFERROR(_xlfn.XLOOKUP($B224,Atual!$B:$B,Atual!$E:$E),"OS concluída")</f>
        <v>OS concluída</v>
      </c>
      <c r="J224" s="19" t="str">
        <f t="shared" si="1"/>
        <v/>
      </c>
      <c r="K224" s="19"/>
      <c r="L224" s="19" t="str">
        <f t="shared" si="2"/>
        <v/>
      </c>
      <c r="M224" s="19"/>
      <c r="N224" s="49" t="str">
        <f t="array" ref="N224">IFERROR(_xlfn.XLOOKUP($B224,Empresa!G:G,Empresa!K:K),"")</f>
        <v/>
      </c>
      <c r="O224" s="50" t="str">
        <f t="array" ref="O224">IFERROR(_xlfn.XLOOKUP(B224,EMPRESA_1!A:A,EMPRESA_1!K:K),"")
</f>
        <v>BABE</v>
      </c>
      <c r="P224" s="19" t="str">
        <f t="array" ref="P224">IFERROR(_xlfn.XLOOKUP(B224,EMPRESA_1!A:A,EMPRESA_1!L:L),"")</f>
        <v>473/FAB/26</v>
      </c>
      <c r="Q224" s="49">
        <f t="array" ref="Q224">IFERROR(_xlfn.XLOOKUP(B224,EMPRESA_1!A:A,EMPRESA_1!J:J),"")</f>
        <v>46184</v>
      </c>
      <c r="R224" s="19" t="str">
        <f t="array" ref="R224">IFERROR(_xlfn.XLOOKUP(B224,EMPRESA_1!A:A,EMPRESA_1!M:M),"")</f>
        <v/>
      </c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</row>
    <row r="225" hidden="1">
      <c r="A225" s="47" t="s">
        <v>770</v>
      </c>
      <c r="B225" s="47" t="s">
        <v>771</v>
      </c>
      <c r="C225" s="48" t="str">
        <f t="array" ref="C225">IFERROR(_xlfn.XLOOKUP($B225,'Histórico'!$B:$B,'Histórico'!$I:$I),"")</f>
        <v>161-11700</v>
      </c>
      <c r="D225" s="19" t="str">
        <f t="array" ref="D225">IFERROR(_xlfn.XLOOKUP($B225,'Histórico'!$B:$B,'Histórico'!$J:$J),"")</f>
        <v>71513</v>
      </c>
      <c r="E225" s="19" t="str">
        <f t="array" ref="E225">IFERROR(_xlfn.XLOOKUP($B225,'Histórico'!$B:$B,'Histórico'!$K:$K),"")</f>
        <v>INNER WHEEL HALF ASSY</v>
      </c>
      <c r="F225" s="19" t="str">
        <f t="array" ref="F225">IFERROR(_xlfn.XLOOKUP($B225,'Histórico'!$B:$B,'Histórico'!$L:$L),"")</f>
        <v>795</v>
      </c>
      <c r="G225" s="49" t="str">
        <f t="array" ref="G225">IFERROR(_xlfn.XLOOKUP($B225,'Histórico'!$B:$B,'Histórico'!$F:$F),"")</f>
        <v>06/01/2026</v>
      </c>
      <c r="H225" s="19" t="str">
        <f t="array" ref="H225">IFERROR(_xlfn.XLOOKUP($B225,'Histórico'!$B:$B,'Histórico'!$AA:$AA),"")</f>
        <v>BACG</v>
      </c>
      <c r="I225" s="19" t="str">
        <f t="array" ref="I225">IFERROR(_xlfn.XLOOKUP($B225,Atual!$B:$B,Atual!$E:$E),"OS concluída")</f>
        <v>OS concluída</v>
      </c>
      <c r="J225" s="19" t="str">
        <f t="shared" si="1"/>
        <v/>
      </c>
      <c r="K225" s="19"/>
      <c r="L225" s="19">
        <f t="shared" si="2"/>
        <v>204</v>
      </c>
      <c r="M225" s="19"/>
      <c r="N225" s="49">
        <f t="array" ref="N225">IFERROR(_xlfn.XLOOKUP($B225,EMPRESA_1!A:A,EMPRESA_1!J:J),"")</f>
        <v>46232</v>
      </c>
      <c r="O225" s="50" t="str">
        <f t="array" ref="O225">IFERROR(_xlfn.XLOOKUP(B225,EMPRESA_1!A:A,EMPRESA_1!K:K),"")
</f>
        <v/>
      </c>
      <c r="P225" s="48" t="str">
        <f t="array" ref="P225">IFERROR(_xlfn.XLOOKUP(B225,EMPRESA_1!A:A,EMPRESA_1!L:L),"")</f>
        <v>598/FAB/26</v>
      </c>
      <c r="Q225" s="49">
        <f t="array" ref="Q225">IFERROR(_xlfn.XLOOKUP(B225,EMPRESA_1!A:A,EMPRESA_1!J:J),"")</f>
        <v>46232</v>
      </c>
      <c r="R225" s="19" t="str">
        <f t="array" ref="R225">IFERROR(_xlfn.XLOOKUP(B225,EMPRESA_1!A:A,EMPRESA_1!M:M),"")</f>
        <v/>
      </c>
      <c r="S225" s="51"/>
      <c r="T225" s="51" t="str">
        <f t="array" ref="T225">IFERROR(_xlfn.XLOOKUP($F225,'Acerto virtual'!$E:$E,'Acerto virtual'!F:F),"")</f>
        <v/>
      </c>
      <c r="U225" s="51" t="str">
        <f t="array" ref="U225">IFERROR(_xlfn.XLOOKUP($F225,'Acerto virtual'!$E:$E,'Acerto virtual'!G:G),"")</f>
        <v/>
      </c>
      <c r="V225" s="51" t="str">
        <f t="array" ref="V225">IFERROR(_xlfn.XLOOKUP($F225,'Acerto virtual'!$E:$E,'Acerto virtual'!H:H),"")</f>
        <v/>
      </c>
      <c r="W225" s="51" t="str">
        <f t="array" ref="W225">IFERROR(_xlfn.XLOOKUP($F225,'Acerto virtual'!$E:$E,'Acerto virtual'!I:I),"")</f>
        <v/>
      </c>
      <c r="X225" s="51" t="str">
        <f t="array" ref="X225">IFERROR(_xlfn.XLOOKUP($F225,'Acerto virtual'!$E:$E,'Acerto virtual'!J:J),"")</f>
        <v/>
      </c>
      <c r="Y225" s="51" t="str">
        <f t="array" ref="Y225">IFERROR(_xlfn.XLOOKUP($F225,'Acerto virtual'!$E:$E,'Acerto virtual'!K:K),"")</f>
        <v/>
      </c>
      <c r="Z225" s="51" t="str">
        <f t="array" ref="Z225">IFERROR(_xlfn.XLOOKUP($F225,'Acerto virtual'!$E:$E,'Acerto virtual'!L:L),"")</f>
        <v/>
      </c>
      <c r="AA225" s="51" t="str">
        <f t="array" ref="AA225">IFERROR(_xlfn.XLOOKUP($F225,'Acerto virtual'!$E:$E,'Acerto virtual'!M:M),"")</f>
        <v/>
      </c>
      <c r="AB225" s="51" t="str">
        <f t="array" ref="AB225">IFERROR(_xlfn.XLOOKUP($F225,'Acerto virtual'!$E:$E,'Acerto virtual'!N:N),"")</f>
        <v/>
      </c>
      <c r="AC225" s="51" t="str">
        <f t="array" ref="AC225">IFERROR(_xlfn.XLOOKUP($F225,'Acerto virtual'!$E:$E,'Acerto virtual'!O:O),"")</f>
        <v/>
      </c>
      <c r="AD225" s="51" t="str">
        <f t="array" ref="AD225">IFERROR(_xlfn.XLOOKUP($F225,'Acerto virtual'!$E:$E,'Acerto virtual'!P:P),"")</f>
        <v/>
      </c>
      <c r="AE225" s="51" t="str">
        <f t="array" ref="AE225">IFERROR(_xlfn.XLOOKUP($F225,'Acerto virtual'!$E:$E,'Acerto virtual'!Q:Q),"")</f>
        <v/>
      </c>
      <c r="AF225" s="51" t="str">
        <f t="array" ref="AF225">IFERROR(_xlfn.XLOOKUP($F225,'Acerto virtual'!$E:$E,'Acerto virtual'!R:R),"")</f>
        <v/>
      </c>
      <c r="AG225" s="51" t="str">
        <f t="array" ref="AG225">IFERROR(_xlfn.XLOOKUP($F225,'Acerto virtual'!$E:$E,'Acerto virtual'!S:S),"")</f>
        <v/>
      </c>
      <c r="AH225" s="51" t="str">
        <f t="array" ref="AH225">IFERROR(_xlfn.XLOOKUP($F225,'Acerto virtual'!$E:$E,'Acerto virtual'!T:T),"")</f>
        <v/>
      </c>
      <c r="AI225" s="51" t="str">
        <f t="array" ref="AI225">IFERROR(_xlfn.XLOOKUP($F225,'Acerto virtual'!$E:$E,'Acerto virtual'!U:U),"")</f>
        <v/>
      </c>
    </row>
    <row r="226" hidden="1">
      <c r="A226" s="47" t="s">
        <v>772</v>
      </c>
      <c r="B226" s="47" t="s">
        <v>773</v>
      </c>
      <c r="C226" s="48" t="str">
        <f t="array" ref="C226">IFERROR(_xlfn.XLOOKUP($B226,'Histórico'!$B:$B,'Histórico'!$I:$I),"")</f>
        <v>161-11700</v>
      </c>
      <c r="D226" s="19" t="str">
        <f t="array" ref="D226">IFERROR(_xlfn.XLOOKUP($B226,'Histórico'!$B:$B,'Histórico'!$J:$J),"")</f>
        <v>71513</v>
      </c>
      <c r="E226" s="19" t="str">
        <f t="array" ref="E226">IFERROR(_xlfn.XLOOKUP($B226,'Histórico'!$B:$B,'Histórico'!$K:$K),"")</f>
        <v>INNER WHEEL HALF ASSY</v>
      </c>
      <c r="F226" s="19" t="str">
        <f t="array" ref="F226">IFERROR(_xlfn.XLOOKUP($B226,'Histórico'!$B:$B,'Histórico'!$L:$L),"")</f>
        <v>784</v>
      </c>
      <c r="G226" s="49" t="str">
        <f t="array" ref="G226">IFERROR(_xlfn.XLOOKUP($B226,'Histórico'!$B:$B,'Histórico'!$F:$F),"")</f>
        <v>06/01/2026</v>
      </c>
      <c r="H226" s="19" t="str">
        <f t="array" ref="H226">IFERROR(_xlfn.XLOOKUP($B226,'Histórico'!$B:$B,'Histórico'!$AA:$AA),"")</f>
        <v>BANT</v>
      </c>
      <c r="I226" s="19" t="str">
        <f t="array" ref="I226">IFERROR(_xlfn.XLOOKUP($B226,Atual!$B:$B,Atual!$E:$E),"OS concluída")</f>
        <v>OS concluída</v>
      </c>
      <c r="J226" s="19" t="str">
        <f t="shared" si="1"/>
        <v/>
      </c>
      <c r="K226" s="19"/>
      <c r="L226" s="19">
        <f t="shared" si="2"/>
        <v>204</v>
      </c>
      <c r="M226" s="19"/>
      <c r="N226" s="49">
        <f t="array" ref="N226">IFERROR(_xlfn.XLOOKUP($B226,EMPRESA_1!A:A,EMPRESA_1!J:J),"")</f>
        <v>46232</v>
      </c>
      <c r="O226" s="50" t="str">
        <f t="array" ref="O226">IFERROR(_xlfn.XLOOKUP(B226,EMPRESA_1!A:A,EMPRESA_1!K:K),"")
</f>
        <v/>
      </c>
      <c r="P226" s="48" t="str">
        <f t="array" ref="P226">IFERROR(_xlfn.XLOOKUP(B226,EMPRESA_1!A:A,EMPRESA_1!L:L),"")</f>
        <v>598/FAB/26</v>
      </c>
      <c r="Q226" s="49">
        <f t="array" ref="Q226">IFERROR(_xlfn.XLOOKUP(B226,EMPRESA_1!A:A,EMPRESA_1!J:J),"")</f>
        <v>46232</v>
      </c>
      <c r="R226" s="19" t="str">
        <f t="array" ref="R226">IFERROR(_xlfn.XLOOKUP(B226,EMPRESA_1!A:A,EMPRESA_1!M:M),"")</f>
        <v/>
      </c>
      <c r="S226" s="51"/>
      <c r="T226" s="51" t="str">
        <f t="array" ref="T226">IFERROR(_xlfn.XLOOKUP($F226,'Acerto virtual'!$E:$E,'Acerto virtual'!F:F),"")</f>
        <v/>
      </c>
      <c r="U226" s="51" t="str">
        <f t="array" ref="U226">IFERROR(_xlfn.XLOOKUP($F226,'Acerto virtual'!$E:$E,'Acerto virtual'!G:G),"")</f>
        <v/>
      </c>
      <c r="V226" s="51" t="str">
        <f t="array" ref="V226">IFERROR(_xlfn.XLOOKUP($F226,'Acerto virtual'!$E:$E,'Acerto virtual'!H:H),"")</f>
        <v/>
      </c>
      <c r="W226" s="51" t="str">
        <f t="array" ref="W226">IFERROR(_xlfn.XLOOKUP($F226,'Acerto virtual'!$E:$E,'Acerto virtual'!I:I),"")</f>
        <v/>
      </c>
      <c r="X226" s="51" t="str">
        <f t="array" ref="X226">IFERROR(_xlfn.XLOOKUP($F226,'Acerto virtual'!$E:$E,'Acerto virtual'!J:J),"")</f>
        <v/>
      </c>
      <c r="Y226" s="51" t="str">
        <f t="array" ref="Y226">IFERROR(_xlfn.XLOOKUP($F226,'Acerto virtual'!$E:$E,'Acerto virtual'!K:K),"")</f>
        <v/>
      </c>
      <c r="Z226" s="51" t="str">
        <f t="array" ref="Z226">IFERROR(_xlfn.XLOOKUP($F226,'Acerto virtual'!$E:$E,'Acerto virtual'!L:L),"")</f>
        <v/>
      </c>
      <c r="AA226" s="51" t="str">
        <f t="array" ref="AA226">IFERROR(_xlfn.XLOOKUP($F226,'Acerto virtual'!$E:$E,'Acerto virtual'!M:M),"")</f>
        <v/>
      </c>
      <c r="AB226" s="51" t="str">
        <f t="array" ref="AB226">IFERROR(_xlfn.XLOOKUP($F226,'Acerto virtual'!$E:$E,'Acerto virtual'!N:N),"")</f>
        <v/>
      </c>
      <c r="AC226" s="51" t="str">
        <f t="array" ref="AC226">IFERROR(_xlfn.XLOOKUP($F226,'Acerto virtual'!$E:$E,'Acerto virtual'!O:O),"")</f>
        <v/>
      </c>
      <c r="AD226" s="51" t="str">
        <f t="array" ref="AD226">IFERROR(_xlfn.XLOOKUP($F226,'Acerto virtual'!$E:$E,'Acerto virtual'!P:P),"")</f>
        <v/>
      </c>
      <c r="AE226" s="51" t="str">
        <f t="array" ref="AE226">IFERROR(_xlfn.XLOOKUP($F226,'Acerto virtual'!$E:$E,'Acerto virtual'!Q:Q),"")</f>
        <v/>
      </c>
      <c r="AF226" s="51" t="str">
        <f t="array" ref="AF226">IFERROR(_xlfn.XLOOKUP($F226,'Acerto virtual'!$E:$E,'Acerto virtual'!R:R),"")</f>
        <v/>
      </c>
      <c r="AG226" s="51" t="str">
        <f t="array" ref="AG226">IFERROR(_xlfn.XLOOKUP($F226,'Acerto virtual'!$E:$E,'Acerto virtual'!S:S),"")</f>
        <v/>
      </c>
      <c r="AH226" s="51" t="str">
        <f t="array" ref="AH226">IFERROR(_xlfn.XLOOKUP($F226,'Acerto virtual'!$E:$E,'Acerto virtual'!T:T),"")</f>
        <v/>
      </c>
      <c r="AI226" s="51" t="str">
        <f t="array" ref="AI226">IFERROR(_xlfn.XLOOKUP($F226,'Acerto virtual'!$E:$E,'Acerto virtual'!U:U),"")</f>
        <v/>
      </c>
    </row>
    <row r="227" hidden="1">
      <c r="A227" s="47" t="s">
        <v>774</v>
      </c>
      <c r="B227" s="47" t="s">
        <v>775</v>
      </c>
      <c r="C227" s="48" t="str">
        <f t="array" ref="C227">IFERROR(_xlfn.XLOOKUP($B227,'Histórico'!$B:$B,'Histórico'!$I:$I),"")</f>
        <v>161-12800</v>
      </c>
      <c r="D227" s="19" t="str">
        <f t="array" ref="D227">IFERROR(_xlfn.XLOOKUP($B227,'Histórico'!$B:$B,'Histórico'!$J:$J),"")</f>
        <v>71513</v>
      </c>
      <c r="E227" s="19" t="str">
        <f t="array" ref="E227">IFERROR(_xlfn.XLOOKUP($B227,'Histórico'!$B:$B,'Histórico'!$K:$K),"")</f>
        <v>WHEEL HALF ASSY-INNER</v>
      </c>
      <c r="F227" s="19" t="str">
        <f t="array" ref="F227">IFERROR(_xlfn.XLOOKUP($B227,'Histórico'!$B:$B,'Histórico'!$L:$L),"")</f>
        <v>482</v>
      </c>
      <c r="G227" s="49" t="str">
        <f t="array" ref="G227">IFERROR(_xlfn.XLOOKUP($B227,'Histórico'!$B:$B,'Histórico'!$F:$F),"")</f>
        <v>06/01/2026</v>
      </c>
      <c r="H227" s="19" t="str">
        <f t="array" ref="H227">IFERROR(_xlfn.XLOOKUP($B227,'Histórico'!$B:$B,'Histórico'!$AA:$AA),"")</f>
        <v>PAMALS</v>
      </c>
      <c r="I227" s="19" t="str">
        <f t="array" ref="I227">IFERROR(_xlfn.XLOOKUP($B227,Atual!$B:$B,Atual!$E:$E),"OS concluída")</f>
        <v>OS concluída</v>
      </c>
      <c r="J227" s="19" t="str">
        <f t="shared" si="1"/>
        <v/>
      </c>
      <c r="K227" s="19"/>
      <c r="L227" s="19">
        <f t="shared" si="2"/>
        <v>204</v>
      </c>
      <c r="M227" s="19"/>
      <c r="N227" s="49">
        <f t="array" ref="N227">IFERROR(_xlfn.XLOOKUP($B227,EMPRESA_1!A:A,EMPRESA_1!J:J),"")</f>
        <v>46232</v>
      </c>
      <c r="O227" s="50" t="str">
        <f t="array" ref="O227">IFERROR(_xlfn.XLOOKUP(B227,EMPRESA_1!A:A,EMPRESA_1!K:K),"")
</f>
        <v/>
      </c>
      <c r="P227" s="48" t="str">
        <f t="array" ref="P227">IFERROR(_xlfn.XLOOKUP(B227,EMPRESA_1!A:A,EMPRESA_1!L:L),"")</f>
        <v>598/FAB/26</v>
      </c>
      <c r="Q227" s="49">
        <f t="array" ref="Q227">IFERROR(_xlfn.XLOOKUP(B227,EMPRESA_1!A:A,EMPRESA_1!J:J),"")</f>
        <v>46232</v>
      </c>
      <c r="R227" s="19" t="str">
        <f t="array" ref="R227">IFERROR(_xlfn.XLOOKUP(B227,EMPRESA_1!A:A,EMPRESA_1!M:M),"")</f>
        <v/>
      </c>
      <c r="S227" s="51"/>
      <c r="T227" s="51" t="str">
        <f t="array" ref="T227">IFERROR(_xlfn.XLOOKUP($F227,'Acerto virtual'!$E:$E,'Acerto virtual'!F:F),"")</f>
        <v/>
      </c>
      <c r="U227" s="51" t="str">
        <f t="array" ref="U227">IFERROR(_xlfn.XLOOKUP($F227,'Acerto virtual'!$E:$E,'Acerto virtual'!G:G),"")</f>
        <v/>
      </c>
      <c r="V227" s="51" t="str">
        <f t="array" ref="V227">IFERROR(_xlfn.XLOOKUP($F227,'Acerto virtual'!$E:$E,'Acerto virtual'!H:H),"")</f>
        <v/>
      </c>
      <c r="W227" s="51" t="str">
        <f t="array" ref="W227">IFERROR(_xlfn.XLOOKUP($F227,'Acerto virtual'!$E:$E,'Acerto virtual'!I:I),"")</f>
        <v/>
      </c>
      <c r="X227" s="51" t="str">
        <f t="array" ref="X227">IFERROR(_xlfn.XLOOKUP($F227,'Acerto virtual'!$E:$E,'Acerto virtual'!J:J),"")</f>
        <v/>
      </c>
      <c r="Y227" s="51" t="str">
        <f t="array" ref="Y227">IFERROR(_xlfn.XLOOKUP($F227,'Acerto virtual'!$E:$E,'Acerto virtual'!K:K),"")</f>
        <v/>
      </c>
      <c r="Z227" s="51" t="str">
        <f t="array" ref="Z227">IFERROR(_xlfn.XLOOKUP($F227,'Acerto virtual'!$E:$E,'Acerto virtual'!L:L),"")</f>
        <v/>
      </c>
      <c r="AA227" s="51" t="str">
        <f t="array" ref="AA227">IFERROR(_xlfn.XLOOKUP($F227,'Acerto virtual'!$E:$E,'Acerto virtual'!M:M),"")</f>
        <v/>
      </c>
      <c r="AB227" s="51" t="str">
        <f t="array" ref="AB227">IFERROR(_xlfn.XLOOKUP($F227,'Acerto virtual'!$E:$E,'Acerto virtual'!N:N),"")</f>
        <v/>
      </c>
      <c r="AC227" s="51" t="str">
        <f t="array" ref="AC227">IFERROR(_xlfn.XLOOKUP($F227,'Acerto virtual'!$E:$E,'Acerto virtual'!O:O),"")</f>
        <v/>
      </c>
      <c r="AD227" s="51" t="str">
        <f t="array" ref="AD227">IFERROR(_xlfn.XLOOKUP($F227,'Acerto virtual'!$E:$E,'Acerto virtual'!P:P),"")</f>
        <v/>
      </c>
      <c r="AE227" s="51" t="str">
        <f t="array" ref="AE227">IFERROR(_xlfn.XLOOKUP($F227,'Acerto virtual'!$E:$E,'Acerto virtual'!Q:Q),"")</f>
        <v/>
      </c>
      <c r="AF227" s="51" t="str">
        <f t="array" ref="AF227">IFERROR(_xlfn.XLOOKUP($F227,'Acerto virtual'!$E:$E,'Acerto virtual'!R:R),"")</f>
        <v/>
      </c>
      <c r="AG227" s="51" t="str">
        <f t="array" ref="AG227">IFERROR(_xlfn.XLOOKUP($F227,'Acerto virtual'!$E:$E,'Acerto virtual'!S:S),"")</f>
        <v/>
      </c>
      <c r="AH227" s="51" t="str">
        <f t="array" ref="AH227">IFERROR(_xlfn.XLOOKUP($F227,'Acerto virtual'!$E:$E,'Acerto virtual'!T:T),"")</f>
        <v/>
      </c>
      <c r="AI227" s="51" t="str">
        <f t="array" ref="AI227">IFERROR(_xlfn.XLOOKUP($F227,'Acerto virtual'!$E:$E,'Acerto virtual'!U:U),"")</f>
        <v/>
      </c>
    </row>
    <row r="228" hidden="1">
      <c r="A228" s="47" t="s">
        <v>776</v>
      </c>
      <c r="B228" s="47" t="s">
        <v>777</v>
      </c>
      <c r="C228" s="48" t="str">
        <f t="array" ref="C228">IFERROR(_xlfn.XLOOKUP($B228,'Histórico'!$B:$B,'Histórico'!$I:$I),"")</f>
        <v>161-11700</v>
      </c>
      <c r="D228" s="19" t="str">
        <f t="array" ref="D228">IFERROR(_xlfn.XLOOKUP($B228,'Histórico'!$B:$B,'Histórico'!$J:$J),"")</f>
        <v>71513</v>
      </c>
      <c r="E228" s="19" t="str">
        <f t="array" ref="E228">IFERROR(_xlfn.XLOOKUP($B228,'Histórico'!$B:$B,'Histórico'!$K:$K),"")</f>
        <v>INNER WHEEL HALF ASSY</v>
      </c>
      <c r="F228" s="19" t="str">
        <f t="array" ref="F228">IFERROR(_xlfn.XLOOKUP($B228,'Histórico'!$B:$B,'Histórico'!$L:$L),"")</f>
        <v>LSEAM3218</v>
      </c>
      <c r="G228" s="49" t="str">
        <f t="array" ref="G228">IFERROR(_xlfn.XLOOKUP($B228,'Histórico'!$B:$B,'Histórico'!$F:$F),"")</f>
        <v>06/01/2026</v>
      </c>
      <c r="H228" s="19" t="str">
        <f t="array" ref="H228">IFERROR(_xlfn.XLOOKUP($B228,'Histórico'!$B:$B,'Histórico'!$AA:$AA),"")</f>
        <v>CLA</v>
      </c>
      <c r="I228" s="19" t="str">
        <f t="array" ref="I228">IFERROR(_xlfn.XLOOKUP($B228,Atual!$B:$B,Atual!$E:$E),"OS concluída")</f>
        <v>OS concluída</v>
      </c>
      <c r="J228" s="19" t="str">
        <f t="shared" si="1"/>
        <v/>
      </c>
      <c r="K228" s="19"/>
      <c r="L228" s="19">
        <f t="shared" si="2"/>
        <v>204</v>
      </c>
      <c r="M228" s="19"/>
      <c r="N228" s="49">
        <f t="array" ref="N228">IFERROR(_xlfn.XLOOKUP($B228,EMPRESA_1!A:A,EMPRESA_1!J:J),"")</f>
        <v>46232</v>
      </c>
      <c r="O228" s="50" t="str">
        <f t="array" ref="O228">IFERROR(_xlfn.XLOOKUP(B228,EMPRESA_1!A:A,EMPRESA_1!K:K),"")
</f>
        <v/>
      </c>
      <c r="P228" s="48" t="str">
        <f t="array" ref="P228">IFERROR(_xlfn.XLOOKUP(B228,EMPRESA_1!A:A,EMPRESA_1!L:L),"")</f>
        <v>598/FAB/26</v>
      </c>
      <c r="Q228" s="49">
        <f t="array" ref="Q228">IFERROR(_xlfn.XLOOKUP(B228,EMPRESA_1!A:A,EMPRESA_1!J:J),"")</f>
        <v>46232</v>
      </c>
      <c r="R228" s="19" t="str">
        <f t="array" ref="R228">IFERROR(_xlfn.XLOOKUP(B228,EMPRESA_1!A:A,EMPRESA_1!M:M),"")</f>
        <v/>
      </c>
      <c r="S228" s="51"/>
      <c r="T228" s="51" t="str">
        <f t="array" ref="T228">IFERROR(_xlfn.XLOOKUP($F228,'Acerto virtual'!$E:$E,'Acerto virtual'!F:F),"")</f>
        <v/>
      </c>
      <c r="U228" s="51" t="str">
        <f t="array" ref="U228">IFERROR(_xlfn.XLOOKUP($F228,'Acerto virtual'!$E:$E,'Acerto virtual'!G:G),"")</f>
        <v/>
      </c>
      <c r="V228" s="51" t="str">
        <f t="array" ref="V228">IFERROR(_xlfn.XLOOKUP($F228,'Acerto virtual'!$E:$E,'Acerto virtual'!H:H),"")</f>
        <v/>
      </c>
      <c r="W228" s="51" t="str">
        <f t="array" ref="W228">IFERROR(_xlfn.XLOOKUP($F228,'Acerto virtual'!$E:$E,'Acerto virtual'!I:I),"")</f>
        <v/>
      </c>
      <c r="X228" s="51" t="str">
        <f t="array" ref="X228">IFERROR(_xlfn.XLOOKUP($F228,'Acerto virtual'!$E:$E,'Acerto virtual'!J:J),"")</f>
        <v/>
      </c>
      <c r="Y228" s="51" t="str">
        <f t="array" ref="Y228">IFERROR(_xlfn.XLOOKUP($F228,'Acerto virtual'!$E:$E,'Acerto virtual'!K:K),"")</f>
        <v/>
      </c>
      <c r="Z228" s="51" t="str">
        <f t="array" ref="Z228">IFERROR(_xlfn.XLOOKUP($F228,'Acerto virtual'!$E:$E,'Acerto virtual'!L:L),"")</f>
        <v/>
      </c>
      <c r="AA228" s="51" t="str">
        <f t="array" ref="AA228">IFERROR(_xlfn.XLOOKUP($F228,'Acerto virtual'!$E:$E,'Acerto virtual'!M:M),"")</f>
        <v/>
      </c>
      <c r="AB228" s="51" t="str">
        <f t="array" ref="AB228">IFERROR(_xlfn.XLOOKUP($F228,'Acerto virtual'!$E:$E,'Acerto virtual'!N:N),"")</f>
        <v/>
      </c>
      <c r="AC228" s="51" t="str">
        <f t="array" ref="AC228">IFERROR(_xlfn.XLOOKUP($F228,'Acerto virtual'!$E:$E,'Acerto virtual'!O:O),"")</f>
        <v/>
      </c>
      <c r="AD228" s="51" t="str">
        <f t="array" ref="AD228">IFERROR(_xlfn.XLOOKUP($F228,'Acerto virtual'!$E:$E,'Acerto virtual'!P:P),"")</f>
        <v/>
      </c>
      <c r="AE228" s="51" t="str">
        <f t="array" ref="AE228">IFERROR(_xlfn.XLOOKUP($F228,'Acerto virtual'!$E:$E,'Acerto virtual'!Q:Q),"")</f>
        <v/>
      </c>
      <c r="AF228" s="51" t="str">
        <f t="array" ref="AF228">IFERROR(_xlfn.XLOOKUP($F228,'Acerto virtual'!$E:$E,'Acerto virtual'!R:R),"")</f>
        <v/>
      </c>
      <c r="AG228" s="51" t="str">
        <f t="array" ref="AG228">IFERROR(_xlfn.XLOOKUP($F228,'Acerto virtual'!$E:$E,'Acerto virtual'!S:S),"")</f>
        <v/>
      </c>
      <c r="AH228" s="51" t="str">
        <f t="array" ref="AH228">IFERROR(_xlfn.XLOOKUP($F228,'Acerto virtual'!$E:$E,'Acerto virtual'!T:T),"")</f>
        <v/>
      </c>
      <c r="AI228" s="51" t="str">
        <f t="array" ref="AI228">IFERROR(_xlfn.XLOOKUP($F228,'Acerto virtual'!$E:$E,'Acerto virtual'!U:U),"")</f>
        <v/>
      </c>
    </row>
    <row r="229" hidden="1">
      <c r="A229" s="47" t="s">
        <v>778</v>
      </c>
      <c r="B229" s="47" t="s">
        <v>779</v>
      </c>
      <c r="C229" s="48" t="str">
        <f t="array" ref="C229">IFERROR(_xlfn.XLOOKUP($B229,'Histórico'!$B:$B,'Histórico'!$I:$I),"")</f>
        <v>162-10700</v>
      </c>
      <c r="D229" s="19" t="str">
        <f t="array" ref="D229">IFERROR(_xlfn.XLOOKUP($B229,'Histórico'!$B:$B,'Histórico'!$J:$J),"")</f>
        <v>71513</v>
      </c>
      <c r="E229" s="19" t="str">
        <f t="array" ref="E229">IFERROR(_xlfn.XLOOKUP($B229,'Histórico'!$B:$B,'Histórico'!$K:$K),"")</f>
        <v>OUTER WHEEL HALF ASSY</v>
      </c>
      <c r="F229" s="19" t="str">
        <f t="array" ref="F229">IFERROR(_xlfn.XLOOKUP($B229,'Histórico'!$B:$B,'Histórico'!$L:$L),"")</f>
        <v>48</v>
      </c>
      <c r="G229" s="49" t="str">
        <f t="array" ref="G229">IFERROR(_xlfn.XLOOKUP($B229,'Histórico'!$B:$B,'Histórico'!$F:$F),"")</f>
        <v>06/01/2026</v>
      </c>
      <c r="H229" s="19" t="str">
        <f t="array" ref="H229">IFERROR(_xlfn.XLOOKUP($B229,'Histórico'!$B:$B,'Histórico'!$AA:$AA),"")</f>
        <v>BACG</v>
      </c>
      <c r="I229" s="19" t="str">
        <f t="array" ref="I229">IFERROR(_xlfn.XLOOKUP($B229,Atual!$B:$B,Atual!$E:$E),"OS concluída")</f>
        <v>OS concluída</v>
      </c>
      <c r="J229" s="19" t="str">
        <f t="shared" si="1"/>
        <v/>
      </c>
      <c r="K229" s="19"/>
      <c r="L229" s="19">
        <f t="shared" si="2"/>
        <v>204</v>
      </c>
      <c r="M229" s="19"/>
      <c r="N229" s="49">
        <f t="array" ref="N229">IFERROR(_xlfn.XLOOKUP($B229,EMPRESA_1!A:A,EMPRESA_1!J:J),"")</f>
        <v>46232</v>
      </c>
      <c r="O229" s="50" t="str">
        <f t="array" ref="O229">IFERROR(_xlfn.XLOOKUP(B229,EMPRESA_1!A:A,EMPRESA_1!K:K),"")
</f>
        <v/>
      </c>
      <c r="P229" s="48" t="str">
        <f t="array" ref="P229">IFERROR(_xlfn.XLOOKUP(B229,EMPRESA_1!A:A,EMPRESA_1!L:L),"")</f>
        <v>598/FAB/26</v>
      </c>
      <c r="Q229" s="49">
        <f t="array" ref="Q229">IFERROR(_xlfn.XLOOKUP(B229,EMPRESA_1!A:A,EMPRESA_1!J:J),"")</f>
        <v>46232</v>
      </c>
      <c r="R229" s="19" t="str">
        <f t="array" ref="R229">IFERROR(_xlfn.XLOOKUP(B229,EMPRESA_1!A:A,EMPRESA_1!M:M),"")</f>
        <v/>
      </c>
      <c r="S229" s="51"/>
      <c r="T229" s="51" t="str">
        <f t="array" ref="T229">IFERROR(_xlfn.XLOOKUP($F229,'Acerto virtual'!$E:$E,'Acerto virtual'!F:F),"")</f>
        <v/>
      </c>
      <c r="U229" s="51" t="str">
        <f t="array" ref="U229">IFERROR(_xlfn.XLOOKUP($F229,'Acerto virtual'!$E:$E,'Acerto virtual'!G:G),"")</f>
        <v/>
      </c>
      <c r="V229" s="51" t="str">
        <f t="array" ref="V229">IFERROR(_xlfn.XLOOKUP($F229,'Acerto virtual'!$E:$E,'Acerto virtual'!H:H),"")</f>
        <v/>
      </c>
      <c r="W229" s="51" t="str">
        <f t="array" ref="W229">IFERROR(_xlfn.XLOOKUP($F229,'Acerto virtual'!$E:$E,'Acerto virtual'!I:I),"")</f>
        <v/>
      </c>
      <c r="X229" s="51" t="str">
        <f t="array" ref="X229">IFERROR(_xlfn.XLOOKUP($F229,'Acerto virtual'!$E:$E,'Acerto virtual'!J:J),"")</f>
        <v/>
      </c>
      <c r="Y229" s="51" t="str">
        <f t="array" ref="Y229">IFERROR(_xlfn.XLOOKUP($F229,'Acerto virtual'!$E:$E,'Acerto virtual'!K:K),"")</f>
        <v/>
      </c>
      <c r="Z229" s="51" t="str">
        <f t="array" ref="Z229">IFERROR(_xlfn.XLOOKUP($F229,'Acerto virtual'!$E:$E,'Acerto virtual'!L:L),"")</f>
        <v/>
      </c>
      <c r="AA229" s="51" t="str">
        <f t="array" ref="AA229">IFERROR(_xlfn.XLOOKUP($F229,'Acerto virtual'!$E:$E,'Acerto virtual'!M:M),"")</f>
        <v/>
      </c>
      <c r="AB229" s="51" t="str">
        <f t="array" ref="AB229">IFERROR(_xlfn.XLOOKUP($F229,'Acerto virtual'!$E:$E,'Acerto virtual'!N:N),"")</f>
        <v/>
      </c>
      <c r="AC229" s="51" t="str">
        <f t="array" ref="AC229">IFERROR(_xlfn.XLOOKUP($F229,'Acerto virtual'!$E:$E,'Acerto virtual'!O:O),"")</f>
        <v/>
      </c>
      <c r="AD229" s="51" t="str">
        <f t="array" ref="AD229">IFERROR(_xlfn.XLOOKUP($F229,'Acerto virtual'!$E:$E,'Acerto virtual'!P:P),"")</f>
        <v/>
      </c>
      <c r="AE229" s="51" t="str">
        <f t="array" ref="AE229">IFERROR(_xlfn.XLOOKUP($F229,'Acerto virtual'!$E:$E,'Acerto virtual'!Q:Q),"")</f>
        <v/>
      </c>
      <c r="AF229" s="51" t="str">
        <f t="array" ref="AF229">IFERROR(_xlfn.XLOOKUP($F229,'Acerto virtual'!$E:$E,'Acerto virtual'!R:R),"")</f>
        <v/>
      </c>
      <c r="AG229" s="51" t="str">
        <f t="array" ref="AG229">IFERROR(_xlfn.XLOOKUP($F229,'Acerto virtual'!$E:$E,'Acerto virtual'!S:S),"")</f>
        <v/>
      </c>
      <c r="AH229" s="51" t="str">
        <f t="array" ref="AH229">IFERROR(_xlfn.XLOOKUP($F229,'Acerto virtual'!$E:$E,'Acerto virtual'!T:T),"")</f>
        <v/>
      </c>
      <c r="AI229" s="51" t="str">
        <f t="array" ref="AI229">IFERROR(_xlfn.XLOOKUP($F229,'Acerto virtual'!$E:$E,'Acerto virtual'!U:U),"")</f>
        <v/>
      </c>
    </row>
    <row r="230" hidden="1">
      <c r="A230" s="47" t="s">
        <v>780</v>
      </c>
      <c r="B230" s="47" t="s">
        <v>781</v>
      </c>
      <c r="C230" s="48" t="str">
        <f t="array" ref="C230">IFERROR(_xlfn.XLOOKUP($B230,'Histórico'!$B:$B,'Histórico'!$I:$I),"")</f>
        <v>162-10700</v>
      </c>
      <c r="D230" s="19" t="str">
        <f t="array" ref="D230">IFERROR(_xlfn.XLOOKUP($B230,'Histórico'!$B:$B,'Histórico'!$J:$J),"")</f>
        <v>71513</v>
      </c>
      <c r="E230" s="19" t="str">
        <f t="array" ref="E230">IFERROR(_xlfn.XLOOKUP($B230,'Histórico'!$B:$B,'Histórico'!$K:$K),"")</f>
        <v>OUTER WHEEL HALF ASSY</v>
      </c>
      <c r="F230" s="19" t="str">
        <f t="array" ref="F230">IFERROR(_xlfn.XLOOKUP($B230,'Histórico'!$B:$B,'Histórico'!$L:$L),"")</f>
        <v>LSEAM3167</v>
      </c>
      <c r="G230" s="49" t="str">
        <f t="array" ref="G230">IFERROR(_xlfn.XLOOKUP($B230,'Histórico'!$B:$B,'Histórico'!$F:$F),"")</f>
        <v>06/01/2026</v>
      </c>
      <c r="H230" s="19" t="str">
        <f t="array" ref="H230">IFERROR(_xlfn.XLOOKUP($B230,'Histórico'!$B:$B,'Histórico'!$AA:$AA),"")</f>
        <v>CLA</v>
      </c>
      <c r="I230" s="19" t="str">
        <f t="array" ref="I230">IFERROR(_xlfn.XLOOKUP($B230,Atual!$B:$B,Atual!$E:$E),"OS concluída")</f>
        <v>OS concluída</v>
      </c>
      <c r="J230" s="19" t="str">
        <f t="shared" si="1"/>
        <v/>
      </c>
      <c r="K230" s="19"/>
      <c r="L230" s="19">
        <f t="shared" si="2"/>
        <v>204</v>
      </c>
      <c r="M230" s="19"/>
      <c r="N230" s="49">
        <f t="array" ref="N230">IFERROR(_xlfn.XLOOKUP($B230,EMPRESA_1!A:A,EMPRESA_1!J:J),"")</f>
        <v>46232</v>
      </c>
      <c r="O230" s="50" t="str">
        <f t="array" ref="O230">IFERROR(_xlfn.XLOOKUP(B230,EMPRESA_1!A:A,EMPRESA_1!K:K),"")
</f>
        <v/>
      </c>
      <c r="P230" s="48" t="str">
        <f t="array" ref="P230">IFERROR(_xlfn.XLOOKUP(B230,EMPRESA_1!A:A,EMPRESA_1!L:L),"")</f>
        <v>598/FAB/26</v>
      </c>
      <c r="Q230" s="49">
        <f t="array" ref="Q230">IFERROR(_xlfn.XLOOKUP(B230,EMPRESA_1!A:A,EMPRESA_1!J:J),"")</f>
        <v>46232</v>
      </c>
      <c r="R230" s="19" t="str">
        <f t="array" ref="R230">IFERROR(_xlfn.XLOOKUP(B230,EMPRESA_1!A:A,EMPRESA_1!M:M),"")</f>
        <v/>
      </c>
      <c r="S230" s="51"/>
      <c r="T230" s="51" t="str">
        <f t="array" ref="T230">IFERROR(_xlfn.XLOOKUP($F230,'Acerto virtual'!$E:$E,'Acerto virtual'!F:F),"")</f>
        <v/>
      </c>
      <c r="U230" s="51" t="str">
        <f t="array" ref="U230">IFERROR(_xlfn.XLOOKUP($F230,'Acerto virtual'!$E:$E,'Acerto virtual'!G:G),"")</f>
        <v/>
      </c>
      <c r="V230" s="51" t="str">
        <f t="array" ref="V230">IFERROR(_xlfn.XLOOKUP($F230,'Acerto virtual'!$E:$E,'Acerto virtual'!H:H),"")</f>
        <v/>
      </c>
      <c r="W230" s="51" t="str">
        <f t="array" ref="W230">IFERROR(_xlfn.XLOOKUP($F230,'Acerto virtual'!$E:$E,'Acerto virtual'!I:I),"")</f>
        <v/>
      </c>
      <c r="X230" s="51" t="str">
        <f t="array" ref="X230">IFERROR(_xlfn.XLOOKUP($F230,'Acerto virtual'!$E:$E,'Acerto virtual'!J:J),"")</f>
        <v/>
      </c>
      <c r="Y230" s="51" t="str">
        <f t="array" ref="Y230">IFERROR(_xlfn.XLOOKUP($F230,'Acerto virtual'!$E:$E,'Acerto virtual'!K:K),"")</f>
        <v/>
      </c>
      <c r="Z230" s="51" t="str">
        <f t="array" ref="Z230">IFERROR(_xlfn.XLOOKUP($F230,'Acerto virtual'!$E:$E,'Acerto virtual'!L:L),"")</f>
        <v/>
      </c>
      <c r="AA230" s="51" t="str">
        <f t="array" ref="AA230">IFERROR(_xlfn.XLOOKUP($F230,'Acerto virtual'!$E:$E,'Acerto virtual'!M:M),"")</f>
        <v/>
      </c>
      <c r="AB230" s="51" t="str">
        <f t="array" ref="AB230">IFERROR(_xlfn.XLOOKUP($F230,'Acerto virtual'!$E:$E,'Acerto virtual'!N:N),"")</f>
        <v/>
      </c>
      <c r="AC230" s="51" t="str">
        <f t="array" ref="AC230">IFERROR(_xlfn.XLOOKUP($F230,'Acerto virtual'!$E:$E,'Acerto virtual'!O:O),"")</f>
        <v/>
      </c>
      <c r="AD230" s="51" t="str">
        <f t="array" ref="AD230">IFERROR(_xlfn.XLOOKUP($F230,'Acerto virtual'!$E:$E,'Acerto virtual'!P:P),"")</f>
        <v/>
      </c>
      <c r="AE230" s="51" t="str">
        <f t="array" ref="AE230">IFERROR(_xlfn.XLOOKUP($F230,'Acerto virtual'!$E:$E,'Acerto virtual'!Q:Q),"")</f>
        <v/>
      </c>
      <c r="AF230" s="51" t="str">
        <f t="array" ref="AF230">IFERROR(_xlfn.XLOOKUP($F230,'Acerto virtual'!$E:$E,'Acerto virtual'!R:R),"")</f>
        <v/>
      </c>
      <c r="AG230" s="51" t="str">
        <f t="array" ref="AG230">IFERROR(_xlfn.XLOOKUP($F230,'Acerto virtual'!$E:$E,'Acerto virtual'!S:S),"")</f>
        <v/>
      </c>
      <c r="AH230" s="51" t="str">
        <f t="array" ref="AH230">IFERROR(_xlfn.XLOOKUP($F230,'Acerto virtual'!$E:$E,'Acerto virtual'!T:T),"")</f>
        <v/>
      </c>
      <c r="AI230" s="51" t="str">
        <f t="array" ref="AI230">IFERROR(_xlfn.XLOOKUP($F230,'Acerto virtual'!$E:$E,'Acerto virtual'!U:U),"")</f>
        <v/>
      </c>
    </row>
    <row r="231" hidden="1">
      <c r="A231" s="47" t="s">
        <v>782</v>
      </c>
      <c r="B231" s="47" t="s">
        <v>783</v>
      </c>
      <c r="C231" s="48" t="str">
        <f t="array" ref="C231">IFERROR(_xlfn.XLOOKUP($B231,'Histórico'!$B:$B,'Histórico'!$I:$I),"")</f>
        <v>162-11800</v>
      </c>
      <c r="D231" s="19" t="str">
        <f t="array" ref="D231">IFERROR(_xlfn.XLOOKUP($B231,'Histórico'!$B:$B,'Histórico'!$J:$J),"")</f>
        <v>33269</v>
      </c>
      <c r="E231" s="19" t="str">
        <f t="array" ref="E231">IFERROR(_xlfn.XLOOKUP($B231,'Histórico'!$B:$B,'Histórico'!$K:$K),"")</f>
        <v>WHEEL HALF ASSY-OUTER</v>
      </c>
      <c r="F231" s="19" t="str">
        <f t="array" ref="F231">IFERROR(_xlfn.XLOOKUP($B231,'Histórico'!$B:$B,'Histórico'!$L:$L),"")</f>
        <v>01B</v>
      </c>
      <c r="G231" s="49" t="str">
        <f t="array" ref="G231">IFERROR(_xlfn.XLOOKUP($B231,'Histórico'!$B:$B,'Histórico'!$F:$F),"")</f>
        <v>06/01/2026</v>
      </c>
      <c r="H231" s="19" t="str">
        <f t="array" ref="H231">IFERROR(_xlfn.XLOOKUP($B231,'Histórico'!$B:$B,'Histórico'!$AA:$AA),"")</f>
        <v>BANT</v>
      </c>
      <c r="I231" s="19" t="str">
        <f t="array" ref="I231">IFERROR(_xlfn.XLOOKUP($B231,Atual!$B:$B,Atual!$E:$E),"OS concluída")</f>
        <v>OS concluída</v>
      </c>
      <c r="J231" s="19" t="str">
        <f t="shared" si="1"/>
        <v/>
      </c>
      <c r="K231" s="19"/>
      <c r="L231" s="19">
        <f t="shared" si="2"/>
        <v>204</v>
      </c>
      <c r="M231" s="19"/>
      <c r="N231" s="49">
        <f t="array" ref="N231">IFERROR(_xlfn.XLOOKUP($B231,EMPRESA_1!A:A,EMPRESA_1!J:J),"")</f>
        <v>46232</v>
      </c>
      <c r="O231" s="50" t="str">
        <f t="array" ref="O231">IFERROR(_xlfn.XLOOKUP(B231,EMPRESA_1!A:A,EMPRESA_1!K:K),"")
</f>
        <v/>
      </c>
      <c r="P231" s="48" t="str">
        <f t="array" ref="P231">IFERROR(_xlfn.XLOOKUP(B231,EMPRESA_1!A:A,EMPRESA_1!L:L),"")</f>
        <v>598/FAB/26</v>
      </c>
      <c r="Q231" s="49">
        <f t="array" ref="Q231">IFERROR(_xlfn.XLOOKUP(B231,EMPRESA_1!A:A,EMPRESA_1!J:J),"")</f>
        <v>46232</v>
      </c>
      <c r="R231" s="19" t="str">
        <f t="array" ref="R231">IFERROR(_xlfn.XLOOKUP(B231,EMPRESA_1!A:A,EMPRESA_1!M:M),"")</f>
        <v/>
      </c>
      <c r="S231" s="51"/>
      <c r="T231" s="51" t="str">
        <f t="array" ref="T231">IFERROR(_xlfn.XLOOKUP($F231,'Acerto virtual'!$E:$E,'Acerto virtual'!F:F),"")</f>
        <v/>
      </c>
      <c r="U231" s="51" t="str">
        <f t="array" ref="U231">IFERROR(_xlfn.XLOOKUP($F231,'Acerto virtual'!$E:$E,'Acerto virtual'!G:G),"")</f>
        <v/>
      </c>
      <c r="V231" s="51" t="str">
        <f t="array" ref="V231">IFERROR(_xlfn.XLOOKUP($F231,'Acerto virtual'!$E:$E,'Acerto virtual'!H:H),"")</f>
        <v/>
      </c>
      <c r="W231" s="51" t="str">
        <f t="array" ref="W231">IFERROR(_xlfn.XLOOKUP($F231,'Acerto virtual'!$E:$E,'Acerto virtual'!I:I),"")</f>
        <v/>
      </c>
      <c r="X231" s="51" t="str">
        <f t="array" ref="X231">IFERROR(_xlfn.XLOOKUP($F231,'Acerto virtual'!$E:$E,'Acerto virtual'!J:J),"")</f>
        <v/>
      </c>
      <c r="Y231" s="51" t="str">
        <f t="array" ref="Y231">IFERROR(_xlfn.XLOOKUP($F231,'Acerto virtual'!$E:$E,'Acerto virtual'!K:K),"")</f>
        <v/>
      </c>
      <c r="Z231" s="51" t="str">
        <f t="array" ref="Z231">IFERROR(_xlfn.XLOOKUP($F231,'Acerto virtual'!$E:$E,'Acerto virtual'!L:L),"")</f>
        <v/>
      </c>
      <c r="AA231" s="51" t="str">
        <f t="array" ref="AA231">IFERROR(_xlfn.XLOOKUP($F231,'Acerto virtual'!$E:$E,'Acerto virtual'!M:M),"")</f>
        <v/>
      </c>
      <c r="AB231" s="51" t="str">
        <f t="array" ref="AB231">IFERROR(_xlfn.XLOOKUP($F231,'Acerto virtual'!$E:$E,'Acerto virtual'!N:N),"")</f>
        <v/>
      </c>
      <c r="AC231" s="51" t="str">
        <f t="array" ref="AC231">IFERROR(_xlfn.XLOOKUP($F231,'Acerto virtual'!$E:$E,'Acerto virtual'!O:O),"")</f>
        <v/>
      </c>
      <c r="AD231" s="51" t="str">
        <f t="array" ref="AD231">IFERROR(_xlfn.XLOOKUP($F231,'Acerto virtual'!$E:$E,'Acerto virtual'!P:P),"")</f>
        <v/>
      </c>
      <c r="AE231" s="51" t="str">
        <f t="array" ref="AE231">IFERROR(_xlfn.XLOOKUP($F231,'Acerto virtual'!$E:$E,'Acerto virtual'!Q:Q),"")</f>
        <v/>
      </c>
      <c r="AF231" s="51" t="str">
        <f t="array" ref="AF231">IFERROR(_xlfn.XLOOKUP($F231,'Acerto virtual'!$E:$E,'Acerto virtual'!R:R),"")</f>
        <v/>
      </c>
      <c r="AG231" s="51" t="str">
        <f t="array" ref="AG231">IFERROR(_xlfn.XLOOKUP($F231,'Acerto virtual'!$E:$E,'Acerto virtual'!S:S),"")</f>
        <v/>
      </c>
      <c r="AH231" s="51" t="str">
        <f t="array" ref="AH231">IFERROR(_xlfn.XLOOKUP($F231,'Acerto virtual'!$E:$E,'Acerto virtual'!T:T),"")</f>
        <v/>
      </c>
      <c r="AI231" s="51" t="str">
        <f t="array" ref="AI231">IFERROR(_xlfn.XLOOKUP($F231,'Acerto virtual'!$E:$E,'Acerto virtual'!U:U),"")</f>
        <v/>
      </c>
    </row>
    <row r="232" hidden="1">
      <c r="A232" s="47" t="s">
        <v>784</v>
      </c>
      <c r="B232" s="47" t="s">
        <v>785</v>
      </c>
      <c r="C232" s="19" t="str">
        <f t="array" ref="C232">IFERROR(_xlfn.XLOOKUP($B232,'Histórico'!$B:$B,'Histórico'!$I:$I),"")</f>
        <v>30994-001</v>
      </c>
      <c r="D232" s="19" t="str">
        <f t="array" ref="D232">IFERROR(_xlfn.XLOOKUP($B232,'Histórico'!$B:$B,'Histórico'!$J:$J),"")</f>
        <v>74025</v>
      </c>
      <c r="E232" s="19" t="str">
        <f t="array" ref="E232">IFERROR(_xlfn.XLOOKUP($B232,'Histórico'!$B:$B,'Histórico'!$K:$K),"")</f>
        <v>BATTERY-MARATHON TSP410 NICAD</v>
      </c>
      <c r="F232" s="19" t="str">
        <f t="array" ref="F232">IFERROR(_xlfn.XLOOKUP($B232,'Histórico'!$B:$B,'Histórico'!$L:$L),"")</f>
        <v>392-000003</v>
      </c>
      <c r="G232" s="49" t="str">
        <f t="array" ref="G232">IFERROR(_xlfn.XLOOKUP($B232,'Histórico'!$B:$B,'Histórico'!$F:$F),"")</f>
        <v>06/01/2026</v>
      </c>
      <c r="H232" s="19" t="str">
        <f t="array" ref="H232">IFERROR(_xlfn.XLOOKUP($B232,'Histórico'!$B:$B,'Histórico'!$AA:$AA),"")</f>
        <v>BABE</v>
      </c>
      <c r="I232" s="19" t="str">
        <f t="array" ref="I232">IFERROR(_xlfn.XLOOKUP($B232,Atual!$B:$B,Atual!$E:$E),"OS concluída")</f>
        <v>OS concluída</v>
      </c>
      <c r="J232" s="19" t="str">
        <f t="shared" si="1"/>
        <v/>
      </c>
      <c r="K232" s="19"/>
      <c r="L232" s="19" t="str">
        <f t="shared" si="2"/>
        <v/>
      </c>
      <c r="M232" s="19"/>
      <c r="N232" s="49" t="str">
        <f t="array" ref="N232">IFERROR(_xlfn.XLOOKUP($B232,Empresa!G:G,Empresa!K:K),"")</f>
        <v/>
      </c>
      <c r="O232" s="50" t="str">
        <f t="array" ref="O232">IFERROR(_xlfn.XLOOKUP(B232,EMPRESA_1!A:A,EMPRESA_1!K:K),"")
</f>
        <v>PAMA-LS</v>
      </c>
      <c r="P232" s="19" t="str">
        <f t="array" ref="P232">IFERROR(_xlfn.XLOOKUP(B232,EMPRESA_1!A:A,EMPRESA_1!L:L),"")</f>
        <v>487/tra/26</v>
      </c>
      <c r="Q232" s="49">
        <f t="array" ref="Q232">IFERROR(_xlfn.XLOOKUP(B232,EMPRESA_1!A:A,EMPRESA_1!J:J),"")</f>
        <v>46191</v>
      </c>
      <c r="R232" s="19" t="str">
        <f t="array" ref="R232">IFERROR(_xlfn.XLOOKUP(B232,EMPRESA_1!A:A,EMPRESA_1!M:M),"")</f>
        <v/>
      </c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</row>
    <row r="233">
      <c r="A233" s="47" t="s">
        <v>786</v>
      </c>
      <c r="B233" s="47" t="s">
        <v>787</v>
      </c>
      <c r="C233" s="48" t="str">
        <f t="array" ref="C233">IFERROR(_xlfn.XLOOKUP($B233,'Histórico'!$B:$B,'Histórico'!$I:$I),"")</f>
        <v>324843-W020</v>
      </c>
      <c r="D233" s="19" t="str">
        <f t="array" ref="D233">IFERROR(_xlfn.XLOOKUP($B233,'Histórico'!$B:$B,'Histórico'!$J:$J),"")</f>
        <v>32108</v>
      </c>
      <c r="E233" s="19" t="str">
        <f t="array" ref="E233">IFERROR(_xlfn.XLOOKUP($B233,'Histórico'!$B:$B,'Histórico'!$K:$K),"")</f>
        <v>HEADSET-MICROPHONE</v>
      </c>
      <c r="F233" s="19" t="str">
        <f t="array" ref="F233">IFERROR(_xlfn.XLOOKUP($B233,'Histórico'!$B:$B,'Histórico'!$L:$L),"")</f>
        <v>073200G90080062AE</v>
      </c>
      <c r="G233" s="49" t="str">
        <f t="array" ref="G233">IFERROR(_xlfn.XLOOKUP($B233,'Histórico'!$B:$B,'Histórico'!$F:$F),"")</f>
        <v>06/01/2026</v>
      </c>
      <c r="H233" s="19" t="str">
        <f t="array" ref="H233">IFERROR(_xlfn.XLOOKUP($B233,'Histórico'!$B:$B,'Histórico'!$AA:$AA),"")</f>
        <v>PAMALS</v>
      </c>
      <c r="I233" s="19" t="str">
        <f t="array" ref="I233">IFERROR(_xlfn.XLOOKUP($B233,Atual!$B:$B,Atual!$E:$E),"OS concluída")</f>
        <v>REC</v>
      </c>
      <c r="J233" s="19">
        <f t="shared" si="1"/>
        <v>282</v>
      </c>
      <c r="K233" s="19"/>
      <c r="L233" s="19">
        <f t="shared" si="2"/>
        <v>197</v>
      </c>
      <c r="M233" s="19"/>
      <c r="N233" s="49">
        <f t="array" ref="N233">IFERROR(_xlfn.XLOOKUP($B233,EMPRESA_1!A:A,EMPRESA_1!J:J),"")</f>
        <v>46225</v>
      </c>
      <c r="O233" s="50" t="str">
        <f t="array" ref="O233">IFERROR(_xlfn.XLOOKUP(B233,EMPRESA_1!A:A,EMPRESA_1!K:K),"")
</f>
        <v>PAMA-LS</v>
      </c>
      <c r="P233" s="48" t="str">
        <f t="array" ref="P233">IFERROR(_xlfn.XLOOKUP(B233,EMPRESA_1!A:A,EMPRESA_1!L:L),"")</f>
        <v>623/FAB/26</v>
      </c>
      <c r="Q233" s="49">
        <f t="array" ref="Q233">IFERROR(_xlfn.XLOOKUP(B233,EMPRESA_1!A:A,EMPRESA_1!J:J),"")</f>
        <v>46225</v>
      </c>
      <c r="R233" s="19" t="str">
        <f t="array" ref="R233">IFERROR(_xlfn.XLOOKUP(B233,EMPRESA_1!A:A,EMPRESA_1!M:M),"")</f>
        <v/>
      </c>
      <c r="S233" s="51"/>
      <c r="T233" s="51" t="str">
        <f t="array" ref="T233">IFERROR(_xlfn.XLOOKUP($F233,'Acerto virtual'!$E:$E,'Acerto virtual'!F:F),"")</f>
        <v/>
      </c>
      <c r="U233" s="51" t="str">
        <f t="array" ref="U233">IFERROR(_xlfn.XLOOKUP($F233,'Acerto virtual'!$E:$E,'Acerto virtual'!G:G),"")</f>
        <v/>
      </c>
      <c r="V233" s="51" t="str">
        <f t="array" ref="V233">IFERROR(_xlfn.XLOOKUP($F233,'Acerto virtual'!$E:$E,'Acerto virtual'!H:H),"")</f>
        <v/>
      </c>
      <c r="W233" s="51" t="str">
        <f t="array" ref="W233">IFERROR(_xlfn.XLOOKUP($F233,'Acerto virtual'!$E:$E,'Acerto virtual'!I:I),"")</f>
        <v/>
      </c>
      <c r="X233" s="51" t="str">
        <f t="array" ref="X233">IFERROR(_xlfn.XLOOKUP($F233,'Acerto virtual'!$E:$E,'Acerto virtual'!J:J),"")</f>
        <v/>
      </c>
      <c r="Y233" s="51" t="str">
        <f t="array" ref="Y233">IFERROR(_xlfn.XLOOKUP($F233,'Acerto virtual'!$E:$E,'Acerto virtual'!K:K),"")</f>
        <v/>
      </c>
      <c r="Z233" s="51" t="str">
        <f t="array" ref="Z233">IFERROR(_xlfn.XLOOKUP($F233,'Acerto virtual'!$E:$E,'Acerto virtual'!L:L),"")</f>
        <v/>
      </c>
      <c r="AA233" s="51" t="str">
        <f t="array" ref="AA233">IFERROR(_xlfn.XLOOKUP($F233,'Acerto virtual'!$E:$E,'Acerto virtual'!M:M),"")</f>
        <v/>
      </c>
      <c r="AB233" s="51" t="str">
        <f t="array" ref="AB233">IFERROR(_xlfn.XLOOKUP($F233,'Acerto virtual'!$E:$E,'Acerto virtual'!N:N),"")</f>
        <v/>
      </c>
      <c r="AC233" s="51" t="str">
        <f t="array" ref="AC233">IFERROR(_xlfn.XLOOKUP($F233,'Acerto virtual'!$E:$E,'Acerto virtual'!O:O),"")</f>
        <v/>
      </c>
      <c r="AD233" s="51" t="str">
        <f t="array" ref="AD233">IFERROR(_xlfn.XLOOKUP($F233,'Acerto virtual'!$E:$E,'Acerto virtual'!P:P),"")</f>
        <v/>
      </c>
      <c r="AE233" s="51" t="str">
        <f t="array" ref="AE233">IFERROR(_xlfn.XLOOKUP($F233,'Acerto virtual'!$E:$E,'Acerto virtual'!Q:Q),"")</f>
        <v/>
      </c>
      <c r="AF233" s="51" t="str">
        <f t="array" ref="AF233">IFERROR(_xlfn.XLOOKUP($F233,'Acerto virtual'!$E:$E,'Acerto virtual'!R:R),"")</f>
        <v/>
      </c>
      <c r="AG233" s="51" t="str">
        <f t="array" ref="AG233">IFERROR(_xlfn.XLOOKUP($F233,'Acerto virtual'!$E:$E,'Acerto virtual'!S:S),"")</f>
        <v/>
      </c>
      <c r="AH233" s="51" t="str">
        <f t="array" ref="AH233">IFERROR(_xlfn.XLOOKUP($F233,'Acerto virtual'!$E:$E,'Acerto virtual'!T:T),"")</f>
        <v/>
      </c>
      <c r="AI233" s="51" t="str">
        <f t="array" ref="AI233">IFERROR(_xlfn.XLOOKUP($F233,'Acerto virtual'!$E:$E,'Acerto virtual'!U:U),"")</f>
        <v/>
      </c>
    </row>
    <row r="234">
      <c r="A234" s="47" t="s">
        <v>788</v>
      </c>
      <c r="B234" s="47" t="s">
        <v>789</v>
      </c>
      <c r="C234" s="48" t="str">
        <f t="array" ref="C234">IFERROR(_xlfn.XLOOKUP($B234,'Histórico'!$B:$B,'Histórico'!$I:$I),"")</f>
        <v>324843-W020</v>
      </c>
      <c r="D234" s="19" t="str">
        <f t="array" ref="D234">IFERROR(_xlfn.XLOOKUP($B234,'Histórico'!$B:$B,'Histórico'!$J:$J),"")</f>
        <v>32108</v>
      </c>
      <c r="E234" s="19" t="str">
        <f t="array" ref="E234">IFERROR(_xlfn.XLOOKUP($B234,'Histórico'!$B:$B,'Histórico'!$K:$K),"")</f>
        <v>HEADSET-MICROPHONE</v>
      </c>
      <c r="F234" s="19" t="str">
        <f t="array" ref="F234">IFERROR(_xlfn.XLOOKUP($B234,'Histórico'!$B:$B,'Histórico'!$L:$L),"")</f>
        <v>073200G02170087AE</v>
      </c>
      <c r="G234" s="49" t="str">
        <f t="array" ref="G234">IFERROR(_xlfn.XLOOKUP($B234,'Histórico'!$B:$B,'Histórico'!$F:$F),"")</f>
        <v>06/01/2026</v>
      </c>
      <c r="H234" s="19" t="str">
        <f t="array" ref="H234">IFERROR(_xlfn.XLOOKUP($B234,'Histórico'!$B:$B,'Histórico'!$AA:$AA),"")</f>
        <v>PAMALS</v>
      </c>
      <c r="I234" s="19" t="str">
        <f t="array" ref="I234">IFERROR(_xlfn.XLOOKUP($B234,Atual!$B:$B,Atual!$E:$E),"OS concluída")</f>
        <v>REC</v>
      </c>
      <c r="J234" s="19">
        <f t="shared" si="1"/>
        <v>282</v>
      </c>
      <c r="K234" s="19"/>
      <c r="L234" s="19">
        <f t="shared" si="2"/>
        <v>35</v>
      </c>
      <c r="M234" s="19"/>
      <c r="N234" s="49">
        <f t="array" ref="N234">IFERROR(_xlfn.XLOOKUP($B234,EMPRESA_1!A:A,EMPRESA_1!J:J),"")</f>
        <v>46063</v>
      </c>
      <c r="O234" s="50" t="str">
        <f t="array" ref="O234">IFERROR(_xlfn.XLOOKUP(B234,EMPRESA_1!A:A,EMPRESA_1!K:K),"")
</f>
        <v>BABE</v>
      </c>
      <c r="P234" s="19" t="str">
        <f t="array" ref="P234">IFERROR(_xlfn.XLOOKUP(B234,EMPRESA_1!A:A,EMPRESA_1!L:L),"")</f>
        <v>195/FAB/26</v>
      </c>
      <c r="Q234" s="49">
        <f t="array" ref="Q234">IFERROR(_xlfn.XLOOKUP(B234,EMPRESA_1!A:A,EMPRESA_1!J:J),"")</f>
        <v>46063</v>
      </c>
      <c r="R234" s="19" t="str">
        <f t="array" ref="R234">IFERROR(_xlfn.XLOOKUP(B234,EMPRESA_1!A:A,EMPRESA_1!M:M),"")</f>
        <v/>
      </c>
      <c r="S234" s="51"/>
      <c r="T234" s="51" t="str">
        <f t="array" ref="T234">IFERROR(_xlfn.XLOOKUP($F234,'Acerto virtual'!$E:$E,'Acerto virtual'!F:F),"")</f>
        <v/>
      </c>
      <c r="U234" s="51" t="str">
        <f t="array" ref="U234">IFERROR(_xlfn.XLOOKUP($F234,'Acerto virtual'!$E:$E,'Acerto virtual'!G:G),"")</f>
        <v/>
      </c>
      <c r="V234" s="51" t="str">
        <f t="array" ref="V234">IFERROR(_xlfn.XLOOKUP($F234,'Acerto virtual'!$E:$E,'Acerto virtual'!H:H),"")</f>
        <v/>
      </c>
      <c r="W234" s="51" t="str">
        <f t="array" ref="W234">IFERROR(_xlfn.XLOOKUP($F234,'Acerto virtual'!$E:$E,'Acerto virtual'!I:I),"")</f>
        <v/>
      </c>
      <c r="X234" s="51" t="str">
        <f t="array" ref="X234">IFERROR(_xlfn.XLOOKUP($F234,'Acerto virtual'!$E:$E,'Acerto virtual'!J:J),"")</f>
        <v/>
      </c>
      <c r="Y234" s="51" t="str">
        <f t="array" ref="Y234">IFERROR(_xlfn.XLOOKUP($F234,'Acerto virtual'!$E:$E,'Acerto virtual'!K:K),"")</f>
        <v/>
      </c>
      <c r="Z234" s="51" t="str">
        <f t="array" ref="Z234">IFERROR(_xlfn.XLOOKUP($F234,'Acerto virtual'!$E:$E,'Acerto virtual'!L:L),"")</f>
        <v/>
      </c>
      <c r="AA234" s="51" t="str">
        <f t="array" ref="AA234">IFERROR(_xlfn.XLOOKUP($F234,'Acerto virtual'!$E:$E,'Acerto virtual'!M:M),"")</f>
        <v/>
      </c>
      <c r="AB234" s="51" t="str">
        <f t="array" ref="AB234">IFERROR(_xlfn.XLOOKUP($F234,'Acerto virtual'!$E:$E,'Acerto virtual'!N:N),"")</f>
        <v/>
      </c>
      <c r="AC234" s="51" t="str">
        <f t="array" ref="AC234">IFERROR(_xlfn.XLOOKUP($F234,'Acerto virtual'!$E:$E,'Acerto virtual'!O:O),"")</f>
        <v/>
      </c>
      <c r="AD234" s="51" t="str">
        <f t="array" ref="AD234">IFERROR(_xlfn.XLOOKUP($F234,'Acerto virtual'!$E:$E,'Acerto virtual'!P:P),"")</f>
        <v/>
      </c>
      <c r="AE234" s="51" t="str">
        <f t="array" ref="AE234">IFERROR(_xlfn.XLOOKUP($F234,'Acerto virtual'!$E:$E,'Acerto virtual'!Q:Q),"")</f>
        <v/>
      </c>
      <c r="AF234" s="51" t="str">
        <f t="array" ref="AF234">IFERROR(_xlfn.XLOOKUP($F234,'Acerto virtual'!$E:$E,'Acerto virtual'!R:R),"")</f>
        <v/>
      </c>
      <c r="AG234" s="51" t="str">
        <f t="array" ref="AG234">IFERROR(_xlfn.XLOOKUP($F234,'Acerto virtual'!$E:$E,'Acerto virtual'!S:S),"")</f>
        <v/>
      </c>
      <c r="AH234" s="51" t="str">
        <f t="array" ref="AH234">IFERROR(_xlfn.XLOOKUP($F234,'Acerto virtual'!$E:$E,'Acerto virtual'!T:T),"")</f>
        <v/>
      </c>
      <c r="AI234" s="51" t="str">
        <f t="array" ref="AI234">IFERROR(_xlfn.XLOOKUP($F234,'Acerto virtual'!$E:$E,'Acerto virtual'!U:U),"")</f>
        <v/>
      </c>
    </row>
    <row r="235" hidden="1">
      <c r="A235" s="47" t="s">
        <v>790</v>
      </c>
      <c r="B235" s="47" t="s">
        <v>791</v>
      </c>
      <c r="C235" s="19" t="str">
        <f t="array" ref="C235">IFERROR(_xlfn.XLOOKUP($B235,'Histórico'!$B:$B,'Histórico'!$I:$I),"")</f>
        <v>324843-W020</v>
      </c>
      <c r="D235" s="19" t="str">
        <f t="array" ref="D235">IFERROR(_xlfn.XLOOKUP($B235,'Histórico'!$B:$B,'Histórico'!$J:$J),"")</f>
        <v>32108</v>
      </c>
      <c r="E235" s="19" t="str">
        <f t="array" ref="E235">IFERROR(_xlfn.XLOOKUP($B235,'Histórico'!$B:$B,'Histórico'!$K:$K),"")</f>
        <v>HEADSET-MICROPHONE</v>
      </c>
      <c r="F235" s="19" t="str">
        <f t="array" ref="F235">IFERROR(_xlfn.XLOOKUP($B235,'Histórico'!$B:$B,'Histórico'!$L:$L),"")</f>
        <v>073200G02170089AE</v>
      </c>
      <c r="G235" s="49" t="str">
        <f t="array" ref="G235">IFERROR(_xlfn.XLOOKUP($B235,'Histórico'!$B:$B,'Histórico'!$F:$F),"")</f>
        <v>06/01/2026</v>
      </c>
      <c r="H235" s="19" t="str">
        <f t="array" ref="H235">IFERROR(_xlfn.XLOOKUP($B235,'Histórico'!$B:$B,'Histórico'!$AA:$AA),"")</f>
        <v>PAMALS</v>
      </c>
      <c r="I235" s="19" t="str">
        <f t="array" ref="I235">IFERROR(_xlfn.XLOOKUP($B235,Atual!$B:$B,Atual!$E:$E),"OS concluída")</f>
        <v>OS concluída</v>
      </c>
      <c r="J235" s="19" t="str">
        <f t="shared" si="1"/>
        <v/>
      </c>
      <c r="K235" s="19"/>
      <c r="L235" s="19" t="str">
        <f t="shared" si="2"/>
        <v/>
      </c>
      <c r="M235" s="19"/>
      <c r="N235" s="49" t="str">
        <f t="shared" ref="N235:N236" si="59">IFERROR(_xlfn.XLOOKUP($B235,Empresa!G:G,Empresa!K:K),"")</f>
        <v/>
      </c>
      <c r="O235" s="49"/>
      <c r="P235" s="19" t="str">
        <f t="shared" ref="P235:P236" si="60">IFERROR(_xlfn.XLOOKUP($F235,'Vee one'!F:F,'Vee one'!O:O),"")</f>
        <v/>
      </c>
      <c r="Q235" s="19" t="str">
        <f t="shared" ref="Q235:Q236" si="61">IFERROR(_xlfn.XLOOKUP($F235,'Vee one'!F:F,'Vee one'!K:K),"")</f>
        <v/>
      </c>
      <c r="R235" s="19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</row>
    <row r="236" hidden="1">
      <c r="A236" s="47" t="s">
        <v>792</v>
      </c>
      <c r="B236" s="47" t="s">
        <v>793</v>
      </c>
      <c r="C236" s="19" t="str">
        <f t="array" ref="C236">IFERROR(_xlfn.XLOOKUP($B236,'Histórico'!$B:$B,'Histórico'!$I:$I),"")</f>
        <v>324843-W020</v>
      </c>
      <c r="D236" s="19" t="str">
        <f t="array" ref="D236">IFERROR(_xlfn.XLOOKUP($B236,'Histórico'!$B:$B,'Histórico'!$J:$J),"")</f>
        <v>32108</v>
      </c>
      <c r="E236" s="19" t="str">
        <f t="array" ref="E236">IFERROR(_xlfn.XLOOKUP($B236,'Histórico'!$B:$B,'Histórico'!$K:$K),"")</f>
        <v>HEADSET-MICROPHONE</v>
      </c>
      <c r="F236" s="19" t="str">
        <f t="array" ref="F236">IFERROR(_xlfn.XLOOKUP($B236,'Histórico'!$B:$B,'Histórico'!$L:$L),"")</f>
        <v>073200G63200008AE</v>
      </c>
      <c r="G236" s="49" t="str">
        <f t="array" ref="G236">IFERROR(_xlfn.XLOOKUP($B236,'Histórico'!$B:$B,'Histórico'!$F:$F),"")</f>
        <v>06/01/2026</v>
      </c>
      <c r="H236" s="19" t="str">
        <f t="array" ref="H236">IFERROR(_xlfn.XLOOKUP($B236,'Histórico'!$B:$B,'Histórico'!$AA:$AA),"")</f>
        <v>PAMALS</v>
      </c>
      <c r="I236" s="19" t="str">
        <f t="array" ref="I236">IFERROR(_xlfn.XLOOKUP($B236,Atual!$B:$B,Atual!$E:$E),"OS concluída")</f>
        <v>OS concluída</v>
      </c>
      <c r="J236" s="19" t="str">
        <f t="shared" si="1"/>
        <v/>
      </c>
      <c r="K236" s="19"/>
      <c r="L236" s="19" t="str">
        <f t="shared" si="2"/>
        <v/>
      </c>
      <c r="M236" s="19"/>
      <c r="N236" s="49" t="str">
        <f t="shared" si="59"/>
        <v/>
      </c>
      <c r="O236" s="49"/>
      <c r="P236" s="19" t="str">
        <f t="shared" si="60"/>
        <v/>
      </c>
      <c r="Q236" s="19" t="str">
        <f t="shared" si="61"/>
        <v/>
      </c>
      <c r="R236" s="19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</row>
    <row r="237">
      <c r="A237" s="47" t="s">
        <v>794</v>
      </c>
      <c r="B237" s="47" t="s">
        <v>795</v>
      </c>
      <c r="C237" s="48" t="str">
        <f t="array" ref="C237">IFERROR(_xlfn.XLOOKUP($B237,'Histórico'!$B:$B,'Histórico'!$I:$I),"")</f>
        <v>324843-W020</v>
      </c>
      <c r="D237" s="19" t="str">
        <f t="array" ref="D237">IFERROR(_xlfn.XLOOKUP($B237,'Histórico'!$B:$B,'Histórico'!$J:$J),"")</f>
        <v>32108</v>
      </c>
      <c r="E237" s="19" t="str">
        <f t="array" ref="E237">IFERROR(_xlfn.XLOOKUP($B237,'Histórico'!$B:$B,'Histórico'!$K:$K),"")</f>
        <v>HEADSET-MICROPHONE</v>
      </c>
      <c r="F237" s="19" t="str">
        <f t="array" ref="F237">IFERROR(_xlfn.XLOOKUP($B237,'Histórico'!$B:$B,'Histórico'!$L:$L),"")</f>
        <v>073200G02170034AE</v>
      </c>
      <c r="G237" s="49" t="str">
        <f t="array" ref="G237">IFERROR(_xlfn.XLOOKUP($B237,'Histórico'!$B:$B,'Histórico'!$F:$F),"")</f>
        <v>06/01/2026</v>
      </c>
      <c r="H237" s="19" t="str">
        <f t="array" ref="H237">IFERROR(_xlfn.XLOOKUP($B237,'Histórico'!$B:$B,'Histórico'!$AA:$AA),"")</f>
        <v>PAMALS</v>
      </c>
      <c r="I237" s="19" t="str">
        <f t="array" ref="I237">IFERROR(_xlfn.XLOOKUP($B237,Atual!$B:$B,Atual!$E:$E),"OS concluída")</f>
        <v>REC</v>
      </c>
      <c r="J237" s="19">
        <f t="shared" si="1"/>
        <v>282</v>
      </c>
      <c r="K237" s="19"/>
      <c r="L237" s="19">
        <f t="shared" si="2"/>
        <v>35</v>
      </c>
      <c r="M237" s="19"/>
      <c r="N237" s="49">
        <f t="array" ref="N237">IFERROR(_xlfn.XLOOKUP($B237,EMPRESA_1!A:A,EMPRESA_1!J:J),"")</f>
        <v>46063</v>
      </c>
      <c r="O237" s="50" t="str">
        <f t="array" ref="O237">IFERROR(_xlfn.XLOOKUP(B237,EMPRESA_1!A:A,EMPRESA_1!K:K),"")
</f>
        <v>BABE</v>
      </c>
      <c r="P237" s="19" t="str">
        <f t="array" ref="P237">IFERROR(_xlfn.XLOOKUP(B237,EMPRESA_1!A:A,EMPRESA_1!L:L),"")</f>
        <v>195/FAB/26</v>
      </c>
      <c r="Q237" s="49">
        <f t="array" ref="Q237">IFERROR(_xlfn.XLOOKUP(B237,EMPRESA_1!A:A,EMPRESA_1!J:J),"")</f>
        <v>46063</v>
      </c>
      <c r="R237" s="19" t="str">
        <f t="array" ref="R237">IFERROR(_xlfn.XLOOKUP(B237,EMPRESA_1!A:A,EMPRESA_1!M:M),"")</f>
        <v/>
      </c>
      <c r="S237" s="51"/>
      <c r="T237" s="51" t="str">
        <f t="array" ref="T237">IFERROR(_xlfn.XLOOKUP($F237,'Acerto virtual'!$E:$E,'Acerto virtual'!F:F),"")</f>
        <v>007/2026</v>
      </c>
      <c r="U237" s="51" t="str">
        <f t="array" ref="U237">IFERROR(_xlfn.XLOOKUP($F237,'Acerto virtual'!$E:$E,'Acerto virtual'!G:G),"")</f>
        <v>19/03</v>
      </c>
      <c r="V237" s="51" t="str">
        <f t="array" ref="V237">IFERROR(_xlfn.XLOOKUP($F237,'Acerto virtual'!$E:$E,'Acerto virtual'!H:H),"")</f>
        <v>23/03</v>
      </c>
      <c r="W237" s="51" t="str">
        <f t="array" ref="W237">IFERROR(_xlfn.XLOOKUP($F237,'Acerto virtual'!$E:$E,'Acerto virtual'!I:I),"")</f>
        <v/>
      </c>
      <c r="X237" s="51" t="str">
        <f t="array" ref="X237">IFERROR(_xlfn.XLOOKUP($F237,'Acerto virtual'!$E:$E,'Acerto virtual'!J:J),"")</f>
        <v/>
      </c>
      <c r="Y237" s="51" t="str">
        <f t="array" ref="Y237">IFERROR(_xlfn.XLOOKUP($F237,'Acerto virtual'!$E:$E,'Acerto virtual'!K:K),"")</f>
        <v/>
      </c>
      <c r="Z237" s="51" t="str">
        <f t="array" ref="Z237">IFERROR(_xlfn.XLOOKUP($F237,'Acerto virtual'!$E:$E,'Acerto virtual'!L:L),"")</f>
        <v/>
      </c>
      <c r="AA237" s="51" t="str">
        <f t="array" ref="AA237">IFERROR(_xlfn.XLOOKUP($F237,'Acerto virtual'!$E:$E,'Acerto virtual'!M:M),"")</f>
        <v/>
      </c>
      <c r="AB237" s="51" t="str">
        <f t="array" ref="AB237">IFERROR(_xlfn.XLOOKUP($F237,'Acerto virtual'!$E:$E,'Acerto virtual'!N:N),"")</f>
        <v/>
      </c>
      <c r="AC237" s="51" t="str">
        <f t="array" ref="AC237">IFERROR(_xlfn.XLOOKUP($F237,'Acerto virtual'!$E:$E,'Acerto virtual'!O:O),"")</f>
        <v/>
      </c>
      <c r="AD237" s="51" t="str">
        <f t="array" ref="AD237">IFERROR(_xlfn.XLOOKUP($F237,'Acerto virtual'!$E:$E,'Acerto virtual'!P:P),"")</f>
        <v/>
      </c>
      <c r="AE237" s="51" t="str">
        <f t="array" ref="AE237">IFERROR(_xlfn.XLOOKUP($F237,'Acerto virtual'!$E:$E,'Acerto virtual'!Q:Q),"")</f>
        <v/>
      </c>
      <c r="AF237" s="51" t="str">
        <f t="array" ref="AF237">IFERROR(_xlfn.XLOOKUP($F237,'Acerto virtual'!$E:$E,'Acerto virtual'!R:R),"")</f>
        <v/>
      </c>
      <c r="AG237" s="51" t="str">
        <f t="array" ref="AG237">IFERROR(_xlfn.XLOOKUP($F237,'Acerto virtual'!$E:$E,'Acerto virtual'!S:S),"")</f>
        <v/>
      </c>
      <c r="AH237" s="51" t="str">
        <f t="array" ref="AH237">IFERROR(_xlfn.XLOOKUP($F237,'Acerto virtual'!$E:$E,'Acerto virtual'!T:T),"")</f>
        <v/>
      </c>
      <c r="AI237" s="51" t="str">
        <f t="array" ref="AI237">IFERROR(_xlfn.XLOOKUP($F237,'Acerto virtual'!$E:$E,'Acerto virtual'!U:U),"")</f>
        <v/>
      </c>
    </row>
    <row r="238">
      <c r="A238" s="47" t="s">
        <v>796</v>
      </c>
      <c r="B238" s="47" t="s">
        <v>797</v>
      </c>
      <c r="C238" s="48" t="str">
        <f t="array" ref="C238">IFERROR(_xlfn.XLOOKUP($B238,'Histórico'!$B:$B,'Histórico'!$I:$I),"")</f>
        <v>324843-W020</v>
      </c>
      <c r="D238" s="19" t="str">
        <f t="array" ref="D238">IFERROR(_xlfn.XLOOKUP($B238,'Histórico'!$B:$B,'Histórico'!$J:$J),"")</f>
        <v>32108</v>
      </c>
      <c r="E238" s="19" t="str">
        <f t="array" ref="E238">IFERROR(_xlfn.XLOOKUP($B238,'Histórico'!$B:$B,'Histórico'!$K:$K),"")</f>
        <v>HEADSET-MICROPHONE</v>
      </c>
      <c r="F238" s="19" t="str">
        <f t="array" ref="F238">IFERROR(_xlfn.XLOOKUP($B238,'Histórico'!$B:$B,'Histórico'!$L:$L),"")</f>
        <v>073200G90080045AE</v>
      </c>
      <c r="G238" s="49" t="str">
        <f t="array" ref="G238">IFERROR(_xlfn.XLOOKUP($B238,'Histórico'!$B:$B,'Histórico'!$F:$F),"")</f>
        <v>06/01/2026</v>
      </c>
      <c r="H238" s="19" t="str">
        <f t="array" ref="H238">IFERROR(_xlfn.XLOOKUP($B238,'Histórico'!$B:$B,'Histórico'!$AA:$AA),"")</f>
        <v>PAMALS</v>
      </c>
      <c r="I238" s="19" t="str">
        <f t="array" ref="I238">IFERROR(_xlfn.XLOOKUP($B238,Atual!$B:$B,Atual!$E:$E),"OS concluída")</f>
        <v>REC</v>
      </c>
      <c r="J238" s="19">
        <f t="shared" si="1"/>
        <v>282</v>
      </c>
      <c r="K238" s="19"/>
      <c r="L238" s="19">
        <f t="shared" si="2"/>
        <v>35</v>
      </c>
      <c r="M238" s="19"/>
      <c r="N238" s="49">
        <f t="array" ref="N238">IFERROR(_xlfn.XLOOKUP($B238,EMPRESA_1!A:A,EMPRESA_1!J:J),"")</f>
        <v>46063</v>
      </c>
      <c r="O238" s="50" t="str">
        <f t="array" ref="O238">IFERROR(_xlfn.XLOOKUP(B238,EMPRESA_1!A:A,EMPRESA_1!K:K),"")
</f>
        <v>BABE</v>
      </c>
      <c r="P238" s="19" t="str">
        <f t="array" ref="P238">IFERROR(_xlfn.XLOOKUP(B238,EMPRESA_1!A:A,EMPRESA_1!L:L),"")</f>
        <v>195/FAB/26</v>
      </c>
      <c r="Q238" s="49">
        <f t="array" ref="Q238">IFERROR(_xlfn.XLOOKUP(B238,EMPRESA_1!A:A,EMPRESA_1!J:J),"")</f>
        <v>46063</v>
      </c>
      <c r="R238" s="19" t="str">
        <f t="array" ref="R238">IFERROR(_xlfn.XLOOKUP(B238,EMPRESA_1!A:A,EMPRESA_1!M:M),"")</f>
        <v/>
      </c>
      <c r="S238" s="51"/>
      <c r="T238" s="51" t="str">
        <f t="array" ref="T238">IFERROR(_xlfn.XLOOKUP($F238,'Acerto virtual'!$E:$E,'Acerto virtual'!F:F),"")</f>
        <v>007/2026</v>
      </c>
      <c r="U238" s="51" t="str">
        <f t="array" ref="U238">IFERROR(_xlfn.XLOOKUP($F238,'Acerto virtual'!$E:$E,'Acerto virtual'!G:G),"")</f>
        <v>19/03</v>
      </c>
      <c r="V238" s="51" t="str">
        <f t="array" ref="V238">IFERROR(_xlfn.XLOOKUP($F238,'Acerto virtual'!$E:$E,'Acerto virtual'!H:H),"")</f>
        <v>23/03</v>
      </c>
      <c r="W238" s="51" t="str">
        <f t="array" ref="W238">IFERROR(_xlfn.XLOOKUP($F238,'Acerto virtual'!$E:$E,'Acerto virtual'!I:I),"")</f>
        <v/>
      </c>
      <c r="X238" s="51" t="str">
        <f t="array" ref="X238">IFERROR(_xlfn.XLOOKUP($F238,'Acerto virtual'!$E:$E,'Acerto virtual'!J:J),"")</f>
        <v/>
      </c>
      <c r="Y238" s="51" t="str">
        <f t="array" ref="Y238">IFERROR(_xlfn.XLOOKUP($F238,'Acerto virtual'!$E:$E,'Acerto virtual'!K:K),"")</f>
        <v/>
      </c>
      <c r="Z238" s="51" t="str">
        <f t="array" ref="Z238">IFERROR(_xlfn.XLOOKUP($F238,'Acerto virtual'!$E:$E,'Acerto virtual'!L:L),"")</f>
        <v/>
      </c>
      <c r="AA238" s="51" t="str">
        <f t="array" ref="AA238">IFERROR(_xlfn.XLOOKUP($F238,'Acerto virtual'!$E:$E,'Acerto virtual'!M:M),"")</f>
        <v/>
      </c>
      <c r="AB238" s="51" t="str">
        <f t="array" ref="AB238">IFERROR(_xlfn.XLOOKUP($F238,'Acerto virtual'!$E:$E,'Acerto virtual'!N:N),"")</f>
        <v/>
      </c>
      <c r="AC238" s="51" t="str">
        <f t="array" ref="AC238">IFERROR(_xlfn.XLOOKUP($F238,'Acerto virtual'!$E:$E,'Acerto virtual'!O:O),"")</f>
        <v/>
      </c>
      <c r="AD238" s="51" t="str">
        <f t="array" ref="AD238">IFERROR(_xlfn.XLOOKUP($F238,'Acerto virtual'!$E:$E,'Acerto virtual'!P:P),"")</f>
        <v/>
      </c>
      <c r="AE238" s="51" t="str">
        <f t="array" ref="AE238">IFERROR(_xlfn.XLOOKUP($F238,'Acerto virtual'!$E:$E,'Acerto virtual'!Q:Q),"")</f>
        <v/>
      </c>
      <c r="AF238" s="51" t="str">
        <f t="array" ref="AF238">IFERROR(_xlfn.XLOOKUP($F238,'Acerto virtual'!$E:$E,'Acerto virtual'!R:R),"")</f>
        <v/>
      </c>
      <c r="AG238" s="51" t="str">
        <f t="array" ref="AG238">IFERROR(_xlfn.XLOOKUP($F238,'Acerto virtual'!$E:$E,'Acerto virtual'!S:S),"")</f>
        <v/>
      </c>
      <c r="AH238" s="51" t="str">
        <f t="array" ref="AH238">IFERROR(_xlfn.XLOOKUP($F238,'Acerto virtual'!$E:$E,'Acerto virtual'!T:T),"")</f>
        <v/>
      </c>
      <c r="AI238" s="51" t="str">
        <f t="array" ref="AI238">IFERROR(_xlfn.XLOOKUP($F238,'Acerto virtual'!$E:$E,'Acerto virtual'!U:U),"")</f>
        <v/>
      </c>
    </row>
    <row r="239">
      <c r="A239" s="47" t="s">
        <v>798</v>
      </c>
      <c r="B239" s="47" t="s">
        <v>799</v>
      </c>
      <c r="C239" s="48" t="str">
        <f t="array" ref="C239">IFERROR(_xlfn.XLOOKUP($B239,'Histórico'!$B:$B,'Histórico'!$I:$I),"")</f>
        <v>9910586-4</v>
      </c>
      <c r="D239" s="19" t="str">
        <f t="array" ref="D239">IFERROR(_xlfn.XLOOKUP($B239,'Histórico'!$B:$B,'Histórico'!$J:$J),"")</f>
        <v>7EK50</v>
      </c>
      <c r="E239" s="19" t="str">
        <f t="array" ref="E239">IFERROR(_xlfn.XLOOKUP($B239,'Histórico'!$B:$B,'Histórico'!$K:$K),"")</f>
        <v>FLAP ACTUATOR AND MOTOR ASSEMBLY</v>
      </c>
      <c r="F239" s="19" t="str">
        <f t="array" ref="F239">IFERROR(_xlfn.XLOOKUP($B239,'Histórico'!$B:$B,'Histórico'!$L:$L),"")</f>
        <v>2165</v>
      </c>
      <c r="G239" s="49" t="str">
        <f t="array" ref="G239">IFERROR(_xlfn.XLOOKUP($B239,'Histórico'!$B:$B,'Histórico'!$F:$F),"")</f>
        <v>06/01/2026</v>
      </c>
      <c r="H239" s="19" t="str">
        <f t="array" ref="H239">IFERROR(_xlfn.XLOOKUP($B239,'Histórico'!$B:$B,'Histórico'!$AA:$AA),"")</f>
        <v>7 ETA</v>
      </c>
      <c r="I239" s="19" t="str">
        <f t="array" ref="I239">IFERROR(_xlfn.XLOOKUP($B239,Atual!$B:$B,Atual!$E:$E),"OS concluída")</f>
        <v>REC</v>
      </c>
      <c r="J239" s="19">
        <f t="shared" si="1"/>
        <v>282</v>
      </c>
      <c r="K239" s="19"/>
      <c r="L239" s="19">
        <f t="shared" si="2"/>
        <v>86</v>
      </c>
      <c r="M239" s="19"/>
      <c r="N239" s="49">
        <f t="array" ref="N239">IFERROR(_xlfn.XLOOKUP($B239,EMPRESA_1!A:A,EMPRESA_1!J:J),"")</f>
        <v>46114</v>
      </c>
      <c r="O239" s="50" t="str">
        <f t="array" ref="O239">IFERROR(_xlfn.XLOOKUP(B239,EMPRESA_1!A:A,EMPRESA_1!K:K),"")
</f>
        <v>BAMN</v>
      </c>
      <c r="P239" s="19" t="str">
        <f t="array" ref="P239">IFERROR(_xlfn.XLOOKUP(B239,EMPRESA_1!A:A,EMPRESA_1!L:L),"")</f>
        <v>269/FAB/26</v>
      </c>
      <c r="Q239" s="49">
        <f t="array" ref="Q239">IFERROR(_xlfn.XLOOKUP(B239,EMPRESA_1!A:A,EMPRESA_1!J:J),"")</f>
        <v>46114</v>
      </c>
      <c r="R239" s="19" t="str">
        <f t="array" ref="R239">IFERROR(_xlfn.XLOOKUP(B239,EMPRESA_1!A:A,EMPRESA_1!M:M),"")</f>
        <v/>
      </c>
      <c r="S239" s="51"/>
      <c r="T239" s="51" t="str">
        <f t="array" ref="T239">IFERROR(_xlfn.XLOOKUP($F239,'Acerto virtual'!$E:$E,'Acerto virtual'!F:F),"")</f>
        <v/>
      </c>
      <c r="U239" s="51" t="str">
        <f t="array" ref="U239">IFERROR(_xlfn.XLOOKUP($F239,'Acerto virtual'!$E:$E,'Acerto virtual'!G:G),"")</f>
        <v/>
      </c>
      <c r="V239" s="51" t="str">
        <f t="array" ref="V239">IFERROR(_xlfn.XLOOKUP($F239,'Acerto virtual'!$E:$E,'Acerto virtual'!H:H),"")</f>
        <v/>
      </c>
      <c r="W239" s="51" t="str">
        <f t="array" ref="W239">IFERROR(_xlfn.XLOOKUP($F239,'Acerto virtual'!$E:$E,'Acerto virtual'!I:I),"")</f>
        <v/>
      </c>
      <c r="X239" s="51" t="str">
        <f t="array" ref="X239">IFERROR(_xlfn.XLOOKUP($F239,'Acerto virtual'!$E:$E,'Acerto virtual'!J:J),"")</f>
        <v/>
      </c>
      <c r="Y239" s="51" t="str">
        <f t="array" ref="Y239">IFERROR(_xlfn.XLOOKUP($F239,'Acerto virtual'!$E:$E,'Acerto virtual'!K:K),"")</f>
        <v/>
      </c>
      <c r="Z239" s="51" t="str">
        <f t="array" ref="Z239">IFERROR(_xlfn.XLOOKUP($F239,'Acerto virtual'!$E:$E,'Acerto virtual'!L:L),"")</f>
        <v/>
      </c>
      <c r="AA239" s="51" t="str">
        <f t="array" ref="AA239">IFERROR(_xlfn.XLOOKUP($F239,'Acerto virtual'!$E:$E,'Acerto virtual'!M:M),"")</f>
        <v/>
      </c>
      <c r="AB239" s="51" t="str">
        <f t="array" ref="AB239">IFERROR(_xlfn.XLOOKUP($F239,'Acerto virtual'!$E:$E,'Acerto virtual'!N:N),"")</f>
        <v/>
      </c>
      <c r="AC239" s="51" t="str">
        <f t="array" ref="AC239">IFERROR(_xlfn.XLOOKUP($F239,'Acerto virtual'!$E:$E,'Acerto virtual'!O:O),"")</f>
        <v/>
      </c>
      <c r="AD239" s="51" t="str">
        <f t="array" ref="AD239">IFERROR(_xlfn.XLOOKUP($F239,'Acerto virtual'!$E:$E,'Acerto virtual'!P:P),"")</f>
        <v/>
      </c>
      <c r="AE239" s="51" t="str">
        <f t="array" ref="AE239">IFERROR(_xlfn.XLOOKUP($F239,'Acerto virtual'!$E:$E,'Acerto virtual'!Q:Q),"")</f>
        <v/>
      </c>
      <c r="AF239" s="51" t="str">
        <f t="array" ref="AF239">IFERROR(_xlfn.XLOOKUP($F239,'Acerto virtual'!$E:$E,'Acerto virtual'!R:R),"")</f>
        <v/>
      </c>
      <c r="AG239" s="51" t="str">
        <f t="array" ref="AG239">IFERROR(_xlfn.XLOOKUP($F239,'Acerto virtual'!$E:$E,'Acerto virtual'!S:S),"")</f>
        <v/>
      </c>
      <c r="AH239" s="51" t="str">
        <f t="array" ref="AH239">IFERROR(_xlfn.XLOOKUP($F239,'Acerto virtual'!$E:$E,'Acerto virtual'!T:T),"")</f>
        <v/>
      </c>
      <c r="AI239" s="51" t="str">
        <f t="array" ref="AI239">IFERROR(_xlfn.XLOOKUP($F239,'Acerto virtual'!$E:$E,'Acerto virtual'!U:U),"")</f>
        <v/>
      </c>
    </row>
    <row r="240" hidden="1">
      <c r="A240" s="47" t="s">
        <v>800</v>
      </c>
      <c r="B240" s="47" t="s">
        <v>801</v>
      </c>
      <c r="C240" s="48" t="str">
        <f t="array" ref="C240">IFERROR(_xlfn.XLOOKUP($B240,'Histórico'!$B:$B,'Histórico'!$I:$I),"")</f>
        <v>9910586-4</v>
      </c>
      <c r="D240" s="19" t="str">
        <f t="array" ref="D240">IFERROR(_xlfn.XLOOKUP($B240,'Histórico'!$B:$B,'Histórico'!$J:$J),"")</f>
        <v>7EK50</v>
      </c>
      <c r="E240" s="19" t="str">
        <f t="array" ref="E240">IFERROR(_xlfn.XLOOKUP($B240,'Histórico'!$B:$B,'Histórico'!$K:$K),"")</f>
        <v>FLAP ACTUATOR AND MOTOR ASSEMBLY</v>
      </c>
      <c r="F240" s="19" t="str">
        <f t="array" ref="F240">IFERROR(_xlfn.XLOOKUP($B240,'Histórico'!$B:$B,'Histórico'!$L:$L),"")</f>
        <v>1270</v>
      </c>
      <c r="G240" s="49" t="str">
        <f t="array" ref="G240">IFERROR(_xlfn.XLOOKUP($B240,'Histórico'!$B:$B,'Histórico'!$F:$F),"")</f>
        <v>06/01/2026</v>
      </c>
      <c r="H240" s="19" t="str">
        <f t="array" ref="H240">IFERROR(_xlfn.XLOOKUP($B240,'Histórico'!$B:$B,'Histórico'!$AA:$AA),"")</f>
        <v>BAPV</v>
      </c>
      <c r="I240" s="19" t="str">
        <f t="array" ref="I240">IFERROR(_xlfn.XLOOKUP($B240,Atual!$B:$B,Atual!$E:$E),"OS concluída")</f>
        <v>OS concluída</v>
      </c>
      <c r="J240" s="19" t="str">
        <f t="shared" si="1"/>
        <v/>
      </c>
      <c r="K240" s="19"/>
      <c r="L240" s="19">
        <f t="shared" si="2"/>
        <v>182</v>
      </c>
      <c r="M240" s="19"/>
      <c r="N240" s="49">
        <f t="array" ref="N240">IFERROR(_xlfn.XLOOKUP($B240,EMPRESA_1!A:A,EMPRESA_1!J:J),"")</f>
        <v>46210</v>
      </c>
      <c r="O240" s="50" t="str">
        <f t="array" ref="O240">IFERROR(_xlfn.XLOOKUP(B240,EMPRESA_1!A:A,EMPRESA_1!K:K),"")
</f>
        <v>BABR</v>
      </c>
      <c r="P240" s="48" t="str">
        <f t="array" ref="P240">IFERROR(_xlfn.XLOOKUP(B240,EMPRESA_1!A:A,EMPRESA_1!L:L),"")</f>
        <v>551/FAB/26</v>
      </c>
      <c r="Q240" s="49">
        <f t="array" ref="Q240">IFERROR(_xlfn.XLOOKUP(B240,EMPRESA_1!A:A,EMPRESA_1!J:J),"")</f>
        <v>46210</v>
      </c>
      <c r="R240" s="19" t="str">
        <f t="array" ref="R240">IFERROR(_xlfn.XLOOKUP(B240,EMPRESA_1!A:A,EMPRESA_1!M:M),"")</f>
        <v/>
      </c>
      <c r="S240" s="51"/>
      <c r="T240" s="51" t="str">
        <f t="array" ref="T240">IFERROR(_xlfn.XLOOKUP($F240,'Acerto virtual'!$E:$E,'Acerto virtual'!F:F),"")</f>
        <v>027/2026</v>
      </c>
      <c r="U240" s="51" t="str">
        <f t="array" ref="U240">IFERROR(_xlfn.XLOOKUP($F240,'Acerto virtual'!$E:$E,'Acerto virtual'!G:G),"")</f>
        <v>20/06</v>
      </c>
      <c r="V240" s="51" t="str">
        <f t="array" ref="V240">IFERROR(_xlfn.XLOOKUP($F240,'Acerto virtual'!$E:$E,'Acerto virtual'!H:H),"")</f>
        <v>07/08</v>
      </c>
      <c r="W240" s="51" t="str">
        <f t="array" ref="W240">IFERROR(_xlfn.XLOOKUP($F240,'Acerto virtual'!$E:$E,'Acerto virtual'!I:I),"")</f>
        <v/>
      </c>
      <c r="X240" s="51" t="str">
        <f t="array" ref="X240">IFERROR(_xlfn.XLOOKUP($F240,'Acerto virtual'!$E:$E,'Acerto virtual'!J:J),"")</f>
        <v>07/08</v>
      </c>
      <c r="Y240" s="51" t="str">
        <f t="array" ref="Y240">IFERROR(_xlfn.XLOOKUP($F240,'Acerto virtual'!$E:$E,'Acerto virtual'!K:K),"")</f>
        <v>12/08</v>
      </c>
      <c r="Z240" s="51" t="str">
        <f t="array" ref="Z240">IFERROR(_xlfn.XLOOKUP($F240,'Acerto virtual'!$E:$E,'Acerto virtual'!L:L),"")</f>
        <v>12/08</v>
      </c>
      <c r="AA240" s="51" t="str">
        <f t="array" ref="AA240">IFERROR(_xlfn.XLOOKUP($F240,'Acerto virtual'!$E:$E,'Acerto virtual'!M:M),"")</f>
        <v>12/08</v>
      </c>
      <c r="AB240" s="51" t="str">
        <f t="array" ref="AB240">IFERROR(_xlfn.XLOOKUP($F240,'Acerto virtual'!$E:$E,'Acerto virtual'!N:N),"")</f>
        <v>12/08</v>
      </c>
      <c r="AC240" s="51" t="str">
        <f t="array" ref="AC240">IFERROR(_xlfn.XLOOKUP($F240,'Acerto virtual'!$E:$E,'Acerto virtual'!O:O),"")</f>
        <v>12/08</v>
      </c>
      <c r="AD240" s="51" t="str">
        <f t="array" ref="AD240">IFERROR(_xlfn.XLOOKUP($F240,'Acerto virtual'!$E:$E,'Acerto virtual'!P:P),"")</f>
        <v>12/08</v>
      </c>
      <c r="AE240" s="51" t="str">
        <f t="array" ref="AE240">IFERROR(_xlfn.XLOOKUP($F240,'Acerto virtual'!$E:$E,'Acerto virtual'!Q:Q),"")</f>
        <v>12/08</v>
      </c>
      <c r="AF240" s="51" t="str">
        <f t="array" ref="AF240">IFERROR(_xlfn.XLOOKUP($F240,'Acerto virtual'!$E:$E,'Acerto virtual'!R:R),"")</f>
        <v>12/08</v>
      </c>
      <c r="AG240" s="51" t="str">
        <f t="array" ref="AG240">IFERROR(_xlfn.XLOOKUP($F240,'Acerto virtual'!$E:$E,'Acerto virtual'!S:S),"")</f>
        <v>12/08, 01/09</v>
      </c>
      <c r="AH240" s="51" t="str">
        <f t="array" ref="AH240">IFERROR(_xlfn.XLOOKUP($F240,'Acerto virtual'!$E:$E,'Acerto virtual'!T:T),"")</f>
        <v/>
      </c>
      <c r="AI240" s="51" t="str">
        <f t="array" ref="AI240">IFERROR(_xlfn.XLOOKUP($F240,'Acerto virtual'!$E:$E,'Acerto virtual'!U:U),"")</f>
        <v>RECEBIMENTO PENDENTE - ENTRADA EM ABERTO - GODOY 05/10/2026</v>
      </c>
    </row>
    <row r="241" hidden="1">
      <c r="A241" s="47" t="s">
        <v>802</v>
      </c>
      <c r="B241" s="47" t="s">
        <v>803</v>
      </c>
      <c r="C241" s="19" t="str">
        <f t="array" ref="C241">IFERROR(_xlfn.XLOOKUP($B241,'Histórico'!$B:$B,'Histórico'!$I:$I),"")</f>
        <v>3244897-4</v>
      </c>
      <c r="D241" s="19" t="str">
        <f t="array" ref="D241">IFERROR(_xlfn.XLOOKUP($B241,'Histórico'!$B:$B,'Histórico'!$J:$J),"")</f>
        <v>07213</v>
      </c>
      <c r="E241" s="19" t="str">
        <f t="array" ref="E241">IFERROR(_xlfn.XLOOKUP($B241,'Histórico'!$B:$B,'Histórico'!$K:$K),"")</f>
        <v>FUEL CONTROL UNIT</v>
      </c>
      <c r="F241" s="19" t="str">
        <f t="array" ref="F241">IFERROR(_xlfn.XLOOKUP($B241,'Histórico'!$B:$B,'Histórico'!$L:$L),"")</f>
        <v>B10274</v>
      </c>
      <c r="G241" s="49" t="str">
        <f t="array" ref="G241">IFERROR(_xlfn.XLOOKUP($B241,'Histórico'!$B:$B,'Histórico'!$F:$F),"")</f>
        <v>06/01/2026</v>
      </c>
      <c r="H241" s="19" t="str">
        <f t="array" ref="H241">IFERROR(_xlfn.XLOOKUP($B241,'Histórico'!$B:$B,'Histórico'!$AA:$AA),"")</f>
        <v>PAMALS</v>
      </c>
      <c r="I241" s="19" t="str">
        <f t="array" ref="I241">IFERROR(_xlfn.XLOOKUP($B241,Atual!$B:$B,Atual!$E:$E),"OS concluída")</f>
        <v>OS concluída</v>
      </c>
      <c r="J241" s="19" t="str">
        <f t="shared" si="1"/>
        <v/>
      </c>
      <c r="K241" s="19"/>
      <c r="L241" s="19" t="str">
        <f t="shared" si="2"/>
        <v/>
      </c>
      <c r="M241" s="19"/>
      <c r="N241" s="49" t="str">
        <f t="shared" ref="N241:N244" si="62">IFERROR(_xlfn.XLOOKUP($B241,Empresa!G:G,Empresa!K:K),"")</f>
        <v/>
      </c>
      <c r="O241" s="49"/>
      <c r="P241" s="19" t="str">
        <f t="array" ref="P241">IFERROR(_xlfn.XLOOKUP($F241,'Vee one'!F:F,'Vee one'!O:O),"")</f>
        <v/>
      </c>
      <c r="Q241" s="19" t="str">
        <f t="array" ref="Q241">IFERROR(_xlfn.XLOOKUP($F241,'Vee one'!F:F,'Vee one'!K:K),"")</f>
        <v/>
      </c>
      <c r="R241" s="19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</row>
    <row r="242">
      <c r="A242" s="47" t="s">
        <v>804</v>
      </c>
      <c r="B242" s="47" t="s">
        <v>805</v>
      </c>
      <c r="C242" s="48" t="str">
        <f t="array" ref="C242">IFERROR(_xlfn.XLOOKUP($B242,'Histórico'!$B:$B,'Histórico'!$I:$I),"")</f>
        <v>3122678-04</v>
      </c>
      <c r="D242" s="19" t="str">
        <f t="array" ref="D242">IFERROR(_xlfn.XLOOKUP($B242,'Histórico'!$B:$B,'Histórico'!$J:$J),"")</f>
        <v>07213</v>
      </c>
      <c r="E242" s="19" t="str">
        <f t="array" ref="E242">IFERROR(_xlfn.XLOOKUP($B242,'Histórico'!$B:$B,'Histórico'!$K:$K),"")</f>
        <v>FUEL CONTROL UNIT</v>
      </c>
      <c r="F242" s="52" t="str">
        <f t="array" ref="F242">IFERROR(_xlfn.XLOOKUP($B242,'Histórico'!$B:$B,'Histórico'!$L:$L),"")</f>
        <v>F66933</v>
      </c>
      <c r="G242" s="49" t="str">
        <f t="array" ref="G242">IFERROR(_xlfn.XLOOKUP($B242,'Histórico'!$B:$B,'Histórico'!$F:$F),"")</f>
        <v>14/01/2026</v>
      </c>
      <c r="H242" s="19" t="str">
        <f t="array" ref="H242">IFERROR(_xlfn.XLOOKUP($B242,'Histórico'!$B:$B,'Histórico'!$AA:$AA),"")</f>
        <v>PAMASP</v>
      </c>
      <c r="I242" s="19" t="str">
        <f t="array" ref="I242">IFERROR(_xlfn.XLOOKUP($B242,Atual!$B:$B,Atual!$E:$E),"OS concluída")</f>
        <v>REC</v>
      </c>
      <c r="J242" s="19">
        <f t="shared" si="1"/>
        <v>274</v>
      </c>
      <c r="K242" s="19"/>
      <c r="L242" s="19" t="str">
        <f t="shared" si="2"/>
        <v/>
      </c>
      <c r="M242" s="19"/>
      <c r="N242" s="49" t="str">
        <f t="shared" si="62"/>
        <v/>
      </c>
      <c r="O242" s="50" t="str">
        <f t="array" ref="O242">IFERROR(_xlfn.XLOOKUP(B242,EMPRESA_1!A:A,EMPRESA_1!K:K),"")
</f>
        <v>BANT</v>
      </c>
      <c r="P242" s="19" t="str">
        <f t="array" ref="P242">IFERROR(_xlfn.XLOOKUP(B242,EMPRESA_1!A:A,EMPRESA_1!L:L),"")</f>
        <v>063/FAB/26</v>
      </c>
      <c r="Q242" s="49">
        <f t="array" ref="Q242">IFERROR(_xlfn.XLOOKUP(B242,EMPRESA_1!A:A,EMPRESA_1!J:J),"")</f>
        <v>46052</v>
      </c>
      <c r="R242" s="19" t="str">
        <f t="array" ref="R242">IFERROR(_xlfn.XLOOKUP(B242,EMPRESA_1!A:A,EMPRESA_1!M:M),"")</f>
        <v/>
      </c>
      <c r="S242" s="51"/>
      <c r="T242" s="51" t="str">
        <f t="array" ref="T242">IFERROR(_xlfn.XLOOKUP($F242,'Acerto virtual'!$E:$E,'Acerto virtual'!F:F),"")</f>
        <v/>
      </c>
      <c r="U242" s="51" t="str">
        <f t="array" ref="U242">IFERROR(_xlfn.XLOOKUP($F242,'Acerto virtual'!$E:$E,'Acerto virtual'!G:G),"")</f>
        <v/>
      </c>
      <c r="V242" s="51" t="str">
        <f t="array" ref="V242">IFERROR(_xlfn.XLOOKUP($F242,'Acerto virtual'!$E:$E,'Acerto virtual'!H:H),"")</f>
        <v/>
      </c>
      <c r="W242" s="51" t="str">
        <f t="array" ref="W242">IFERROR(_xlfn.XLOOKUP($F242,'Acerto virtual'!$E:$E,'Acerto virtual'!I:I),"")</f>
        <v/>
      </c>
      <c r="X242" s="51" t="str">
        <f t="array" ref="X242">IFERROR(_xlfn.XLOOKUP($F242,'Acerto virtual'!$E:$E,'Acerto virtual'!J:J),"")</f>
        <v/>
      </c>
      <c r="Y242" s="51" t="str">
        <f t="array" ref="Y242">IFERROR(_xlfn.XLOOKUP($F242,'Acerto virtual'!$E:$E,'Acerto virtual'!K:K),"")</f>
        <v/>
      </c>
      <c r="Z242" s="51" t="str">
        <f t="array" ref="Z242">IFERROR(_xlfn.XLOOKUP($F242,'Acerto virtual'!$E:$E,'Acerto virtual'!L:L),"")</f>
        <v/>
      </c>
      <c r="AA242" s="51" t="str">
        <f t="array" ref="AA242">IFERROR(_xlfn.XLOOKUP($F242,'Acerto virtual'!$E:$E,'Acerto virtual'!M:M),"")</f>
        <v/>
      </c>
      <c r="AB242" s="51" t="str">
        <f t="array" ref="AB242">IFERROR(_xlfn.XLOOKUP($F242,'Acerto virtual'!$E:$E,'Acerto virtual'!N:N),"")</f>
        <v/>
      </c>
      <c r="AC242" s="51" t="str">
        <f t="array" ref="AC242">IFERROR(_xlfn.XLOOKUP($F242,'Acerto virtual'!$E:$E,'Acerto virtual'!O:O),"")</f>
        <v/>
      </c>
      <c r="AD242" s="51" t="str">
        <f t="array" ref="AD242">IFERROR(_xlfn.XLOOKUP($F242,'Acerto virtual'!$E:$E,'Acerto virtual'!P:P),"")</f>
        <v/>
      </c>
      <c r="AE242" s="51" t="str">
        <f t="array" ref="AE242">IFERROR(_xlfn.XLOOKUP($F242,'Acerto virtual'!$E:$E,'Acerto virtual'!Q:Q),"")</f>
        <v/>
      </c>
      <c r="AF242" s="51" t="str">
        <f t="array" ref="AF242">IFERROR(_xlfn.XLOOKUP($F242,'Acerto virtual'!$E:$E,'Acerto virtual'!R:R),"")</f>
        <v/>
      </c>
      <c r="AG242" s="51" t="str">
        <f t="array" ref="AG242">IFERROR(_xlfn.XLOOKUP($F242,'Acerto virtual'!$E:$E,'Acerto virtual'!S:S),"")</f>
        <v/>
      </c>
      <c r="AH242" s="51" t="str">
        <f t="array" ref="AH242">IFERROR(_xlfn.XLOOKUP($F242,'Acerto virtual'!$E:$E,'Acerto virtual'!T:T),"")</f>
        <v/>
      </c>
      <c r="AI242" s="51" t="str">
        <f t="array" ref="AI242">IFERROR(_xlfn.XLOOKUP($F242,'Acerto virtual'!$E:$E,'Acerto virtual'!U:U),"")</f>
        <v/>
      </c>
    </row>
    <row r="243" hidden="1">
      <c r="A243" s="47" t="s">
        <v>806</v>
      </c>
      <c r="B243" s="47" t="s">
        <v>807</v>
      </c>
      <c r="C243" s="19" t="str">
        <f t="array" ref="C243">IFERROR(_xlfn.XLOOKUP($B243,'Histórico'!$B:$B,'Histórico'!$I:$I),"")</f>
        <v>3244897-4</v>
      </c>
      <c r="D243" s="19" t="str">
        <f t="array" ref="D243">IFERROR(_xlfn.XLOOKUP($B243,'Histórico'!$B:$B,'Histórico'!$J:$J),"")</f>
        <v>07213</v>
      </c>
      <c r="E243" s="19" t="str">
        <f t="array" ref="E243">IFERROR(_xlfn.XLOOKUP($B243,'Histórico'!$B:$B,'Histórico'!$K:$K),"")</f>
        <v>FUEL CONTROL UNIT</v>
      </c>
      <c r="F243" s="19" t="str">
        <f t="array" ref="F243">IFERROR(_xlfn.XLOOKUP($B243,'Histórico'!$B:$B,'Histórico'!$L:$L),"")</f>
        <v>C66477</v>
      </c>
      <c r="G243" s="49" t="str">
        <f t="array" ref="G243">IFERROR(_xlfn.XLOOKUP($B243,'Histórico'!$B:$B,'Histórico'!$F:$F),"")</f>
        <v>14/01/2026</v>
      </c>
      <c r="H243" s="19" t="str">
        <f t="array" ref="H243">IFERROR(_xlfn.XLOOKUP($B243,'Histórico'!$B:$B,'Histórico'!$AA:$AA),"")</f>
        <v>PAMASP</v>
      </c>
      <c r="I243" s="19" t="str">
        <f t="array" ref="I243">IFERROR(_xlfn.XLOOKUP($B243,Atual!$B:$B,Atual!$E:$E),"OS concluída")</f>
        <v>OS concluída</v>
      </c>
      <c r="J243" s="19" t="str">
        <f t="shared" si="1"/>
        <v/>
      </c>
      <c r="K243" s="19"/>
      <c r="L243" s="19" t="str">
        <f t="shared" si="2"/>
        <v/>
      </c>
      <c r="M243" s="19"/>
      <c r="N243" s="49" t="str">
        <f t="shared" si="62"/>
        <v/>
      </c>
      <c r="O243" s="49"/>
      <c r="P243" s="19" t="str">
        <f t="shared" ref="P243:P244" si="63">IFERROR(_xlfn.XLOOKUP($F243,'Vee one'!F:F,'Vee one'!O:O),"")</f>
        <v/>
      </c>
      <c r="Q243" s="19" t="str">
        <f t="shared" ref="Q243:Q244" si="64">IFERROR(_xlfn.XLOOKUP($F243,'Vee one'!F:F,'Vee one'!K:K),"")</f>
        <v/>
      </c>
      <c r="R243" s="19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</row>
    <row r="244" hidden="1">
      <c r="A244" s="47" t="s">
        <v>808</v>
      </c>
      <c r="B244" s="47" t="s">
        <v>809</v>
      </c>
      <c r="C244" s="19" t="str">
        <f t="array" ref="C244">IFERROR(_xlfn.XLOOKUP($B244,'Histórico'!$B:$B,'Histórico'!$I:$I),"")</f>
        <v>3244809-7</v>
      </c>
      <c r="D244" s="19" t="str">
        <f t="array" ref="D244">IFERROR(_xlfn.XLOOKUP($B244,'Histórico'!$B:$B,'Histórico'!$J:$J),"")</f>
        <v>07213</v>
      </c>
      <c r="E244" s="19" t="str">
        <f t="array" ref="E244">IFERROR(_xlfn.XLOOKUP($B244,'Histórico'!$B:$B,'Histórico'!$K:$K),"")</f>
        <v>FUEL CONTROL,MAIN,TURBINE ENGINE</v>
      </c>
      <c r="F244" s="19" t="str">
        <f t="array" ref="F244">IFERROR(_xlfn.XLOOKUP($B244,'Histórico'!$B:$B,'Histórico'!$L:$L),"")</f>
        <v>A76103</v>
      </c>
      <c r="G244" s="49" t="str">
        <f t="array" ref="G244">IFERROR(_xlfn.XLOOKUP($B244,'Histórico'!$B:$B,'Histórico'!$F:$F),"")</f>
        <v>14/01/2026</v>
      </c>
      <c r="H244" s="19" t="str">
        <f t="array" ref="H244">IFERROR(_xlfn.XLOOKUP($B244,'Histórico'!$B:$B,'Histórico'!$AA:$AA),"")</f>
        <v>PAMASP</v>
      </c>
      <c r="I244" s="19" t="str">
        <f t="array" ref="I244">IFERROR(_xlfn.XLOOKUP($B244,Atual!$B:$B,Atual!$E:$E),"OS concluída")</f>
        <v>OS concluída</v>
      </c>
      <c r="J244" s="19" t="str">
        <f t="shared" si="1"/>
        <v/>
      </c>
      <c r="K244" s="19"/>
      <c r="L244" s="19" t="str">
        <f t="shared" si="2"/>
        <v/>
      </c>
      <c r="M244" s="19"/>
      <c r="N244" s="49" t="str">
        <f t="shared" si="62"/>
        <v/>
      </c>
      <c r="O244" s="49"/>
      <c r="P244" s="19" t="str">
        <f t="shared" si="63"/>
        <v/>
      </c>
      <c r="Q244" s="19" t="str">
        <f t="shared" si="64"/>
        <v/>
      </c>
      <c r="R244" s="19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</row>
    <row r="245">
      <c r="A245" s="47" t="s">
        <v>810</v>
      </c>
      <c r="B245" s="47" t="s">
        <v>811</v>
      </c>
      <c r="C245" s="48" t="str">
        <f t="array" ref="C245">IFERROR(_xlfn.XLOOKUP($B245,'Histórico'!$B:$B,'Histórico'!$I:$I),"")</f>
        <v>3244809-1</v>
      </c>
      <c r="D245" s="19" t="str">
        <f t="array" ref="D245">IFERROR(_xlfn.XLOOKUP($B245,'Histórico'!$B:$B,'Histórico'!$J:$J),"")</f>
        <v>07213</v>
      </c>
      <c r="E245" s="19" t="str">
        <f t="array" ref="E245">IFERROR(_xlfn.XLOOKUP($B245,'Histórico'!$B:$B,'Histórico'!$K:$K),"")</f>
        <v>FUEL CONTROL,MAIN,TURBINE ENGINE</v>
      </c>
      <c r="F245" s="19" t="str">
        <f t="array" ref="F245">IFERROR(_xlfn.XLOOKUP($B245,'Histórico'!$B:$B,'Histórico'!$L:$L),"")</f>
        <v>B10380</v>
      </c>
      <c r="G245" s="49" t="str">
        <f t="array" ref="G245">IFERROR(_xlfn.XLOOKUP($B245,'Histórico'!$B:$B,'Histórico'!$F:$F),"")</f>
        <v>14/01/2026</v>
      </c>
      <c r="H245" s="19" t="str">
        <f t="array" ref="H245">IFERROR(_xlfn.XLOOKUP($B245,'Histórico'!$B:$B,'Histórico'!$AA:$AA),"")</f>
        <v>PAMASP</v>
      </c>
      <c r="I245" s="19" t="str">
        <f t="array" ref="I245">IFERROR(_xlfn.XLOOKUP($B245,Atual!$B:$B,Atual!$E:$E),"OS concluída")</f>
        <v>REC</v>
      </c>
      <c r="J245" s="19">
        <f t="shared" si="1"/>
        <v>274</v>
      </c>
      <c r="K245" s="19"/>
      <c r="L245" s="19" t="str">
        <f t="shared" si="2"/>
        <v>NÃO APLICÁVEL</v>
      </c>
      <c r="M245" s="19"/>
      <c r="N245" s="49" t="str">
        <f t="array" ref="N245">IFERROR(_xlfn.XLOOKUP($B245,EMPRESA_1!A:A,EMPRESA_1!J:J),"")</f>
        <v>EM QUARENTENA</v>
      </c>
      <c r="O245" s="50" t="str">
        <f t="array" ref="O245">IFERROR(_xlfn.XLOOKUP(B245,EMPRESA_1!A:A,EMPRESA_1!K:K),"")
</f>
        <v>LEAP</v>
      </c>
      <c r="P245" s="48" t="str">
        <f t="array" ref="P245">IFERROR(_xlfn.XLOOKUP(B245,EMPRESA_1!A:A,EMPRESA_1!L:L),"")</f>
        <v/>
      </c>
      <c r="Q245" s="49" t="str">
        <f t="array" ref="Q245">IFERROR(_xlfn.XLOOKUP(B245,EMPRESA_1!A:A,EMPRESA_1!J:J),"")</f>
        <v>EM QUARENTENA</v>
      </c>
      <c r="R245" s="19" t="str">
        <f t="array" ref="R245">IFERROR(_xlfn.XLOOKUP(B245,EMPRESA_1!A:A,EMPRESA_1!M:M),"")</f>
        <v/>
      </c>
      <c r="S245" s="51"/>
      <c r="T245" s="51" t="str">
        <f t="array" ref="T245">IFERROR(_xlfn.XLOOKUP($F245,'Acerto virtual'!$E:$E,'Acerto virtual'!F:F),"")</f>
        <v/>
      </c>
      <c r="U245" s="51" t="str">
        <f t="array" ref="U245">IFERROR(_xlfn.XLOOKUP($F245,'Acerto virtual'!$E:$E,'Acerto virtual'!G:G),"")</f>
        <v/>
      </c>
      <c r="V245" s="51" t="str">
        <f t="array" ref="V245">IFERROR(_xlfn.XLOOKUP($F245,'Acerto virtual'!$E:$E,'Acerto virtual'!H:H),"")</f>
        <v/>
      </c>
      <c r="W245" s="51" t="str">
        <f t="array" ref="W245">IFERROR(_xlfn.XLOOKUP($F245,'Acerto virtual'!$E:$E,'Acerto virtual'!I:I),"")</f>
        <v/>
      </c>
      <c r="X245" s="51" t="str">
        <f t="array" ref="X245">IFERROR(_xlfn.XLOOKUP($F245,'Acerto virtual'!$E:$E,'Acerto virtual'!J:J),"")</f>
        <v/>
      </c>
      <c r="Y245" s="51" t="str">
        <f t="array" ref="Y245">IFERROR(_xlfn.XLOOKUP($F245,'Acerto virtual'!$E:$E,'Acerto virtual'!K:K),"")</f>
        <v/>
      </c>
      <c r="Z245" s="51" t="str">
        <f t="array" ref="Z245">IFERROR(_xlfn.XLOOKUP($F245,'Acerto virtual'!$E:$E,'Acerto virtual'!L:L),"")</f>
        <v/>
      </c>
      <c r="AA245" s="51" t="str">
        <f t="array" ref="AA245">IFERROR(_xlfn.XLOOKUP($F245,'Acerto virtual'!$E:$E,'Acerto virtual'!M:M),"")</f>
        <v/>
      </c>
      <c r="AB245" s="51" t="str">
        <f t="array" ref="AB245">IFERROR(_xlfn.XLOOKUP($F245,'Acerto virtual'!$E:$E,'Acerto virtual'!N:N),"")</f>
        <v/>
      </c>
      <c r="AC245" s="51" t="str">
        <f t="array" ref="AC245">IFERROR(_xlfn.XLOOKUP($F245,'Acerto virtual'!$E:$E,'Acerto virtual'!O:O),"")</f>
        <v/>
      </c>
      <c r="AD245" s="51" t="str">
        <f t="array" ref="AD245">IFERROR(_xlfn.XLOOKUP($F245,'Acerto virtual'!$E:$E,'Acerto virtual'!P:P),"")</f>
        <v/>
      </c>
      <c r="AE245" s="51" t="str">
        <f t="array" ref="AE245">IFERROR(_xlfn.XLOOKUP($F245,'Acerto virtual'!$E:$E,'Acerto virtual'!Q:Q),"")</f>
        <v/>
      </c>
      <c r="AF245" s="51" t="str">
        <f t="array" ref="AF245">IFERROR(_xlfn.XLOOKUP($F245,'Acerto virtual'!$E:$E,'Acerto virtual'!R:R),"")</f>
        <v/>
      </c>
      <c r="AG245" s="51" t="str">
        <f t="array" ref="AG245">IFERROR(_xlfn.XLOOKUP($F245,'Acerto virtual'!$E:$E,'Acerto virtual'!S:S),"")</f>
        <v/>
      </c>
      <c r="AH245" s="51" t="str">
        <f t="array" ref="AH245">IFERROR(_xlfn.XLOOKUP($F245,'Acerto virtual'!$E:$E,'Acerto virtual'!T:T),"")</f>
        <v/>
      </c>
      <c r="AI245" s="51" t="str">
        <f t="array" ref="AI245">IFERROR(_xlfn.XLOOKUP($F245,'Acerto virtual'!$E:$E,'Acerto virtual'!U:U),"")</f>
        <v/>
      </c>
    </row>
    <row r="246" hidden="1">
      <c r="A246" s="47" t="s">
        <v>812</v>
      </c>
      <c r="B246" s="47" t="s">
        <v>813</v>
      </c>
      <c r="C246" s="19" t="str">
        <f t="array" ref="C246">IFERROR(_xlfn.XLOOKUP($B246,'Histórico'!$B:$B,'Histórico'!$I:$I),"")</f>
        <v>C145-350</v>
      </c>
      <c r="D246" s="19" t="str">
        <f t="array" ref="D246">IFERROR(_xlfn.XLOOKUP($B246,'Histórico'!$B:$B,'Histórico'!$J:$J),"")</f>
        <v>54071</v>
      </c>
      <c r="E246" s="19" t="str">
        <f t="array" ref="E246">IFERROR(_xlfn.XLOOKUP($B246,'Histórico'!$B:$B,'Histórico'!$K:$K),"")</f>
        <v>MOTOR,DIRECT CURRENT</v>
      </c>
      <c r="F246" s="19" t="str">
        <f t="array" ref="F246">IFERROR(_xlfn.XLOOKUP($B246,'Histórico'!$B:$B,'Histórico'!$L:$L),"")</f>
        <v>6949</v>
      </c>
      <c r="G246" s="49" t="str">
        <f t="array" ref="G246">IFERROR(_xlfn.XLOOKUP($B246,'Histórico'!$B:$B,'Histórico'!$F:$F),"")</f>
        <v>26/01/2026</v>
      </c>
      <c r="H246" s="19" t="str">
        <f t="array" ref="H246">IFERROR(_xlfn.XLOOKUP($B246,'Histórico'!$B:$B,'Histórico'!$AA:$AA),"")</f>
        <v>PAMALS</v>
      </c>
      <c r="I246" s="19" t="str">
        <f t="array" ref="I246">IFERROR(_xlfn.XLOOKUP($B246,Atual!$B:$B,Atual!$E:$E),"OS concluída")</f>
        <v>OS concluída</v>
      </c>
      <c r="J246" s="19" t="str">
        <f t="shared" si="1"/>
        <v/>
      </c>
      <c r="K246" s="19"/>
      <c r="L246" s="19" t="str">
        <f t="shared" si="2"/>
        <v/>
      </c>
      <c r="M246" s="19"/>
      <c r="N246" s="49" t="str">
        <f t="array" ref="N246">IFERROR(_xlfn.XLOOKUP($B246,Empresa!G:G,Empresa!K:K),"")</f>
        <v/>
      </c>
      <c r="O246" s="49"/>
      <c r="P246" s="19" t="str">
        <f t="array" ref="P246">IFERROR(_xlfn.XLOOKUP($F246,'Vee one'!F:F,'Vee one'!O:O),"")</f>
        <v/>
      </c>
      <c r="Q246" s="19" t="str">
        <f t="array" ref="Q246">IFERROR(_xlfn.XLOOKUP($F246,'Vee one'!F:F,'Vee one'!K:K),"")</f>
        <v/>
      </c>
      <c r="R246" s="19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</row>
    <row r="247">
      <c r="A247" s="47" t="s">
        <v>814</v>
      </c>
      <c r="B247" s="47" t="s">
        <v>815</v>
      </c>
      <c r="C247" s="48" t="str">
        <f t="array" ref="C247">IFERROR(_xlfn.XLOOKUP($B247,'Histórico'!$B:$B,'Histórico'!$I:$I),"")</f>
        <v>064-1054-30</v>
      </c>
      <c r="D247" s="19" t="str">
        <f t="array" ref="D247">IFERROR(_xlfn.XLOOKUP($B247,'Histórico'!$B:$B,'Histórico'!$J:$J),"")</f>
        <v>22373</v>
      </c>
      <c r="E247" s="19" t="str">
        <f t="array" ref="E247">IFERROR(_xlfn.XLOOKUP($B247,'Histórico'!$B:$B,'Histórico'!$K:$K),"")</f>
        <v>RECEIVER-TRANSMITTER SUBASSEMBLY</v>
      </c>
      <c r="F247" s="19" t="str">
        <f t="array" ref="F247">IFERROR(_xlfn.XLOOKUP($B247,'Histórico'!$B:$B,'Histórico'!$L:$L),"")</f>
        <v>24277</v>
      </c>
      <c r="G247" s="49" t="str">
        <f t="array" ref="G247">IFERROR(_xlfn.XLOOKUP($B247,'Histórico'!$B:$B,'Histórico'!$F:$F),"")</f>
        <v>26/01/2026</v>
      </c>
      <c r="H247" s="19" t="str">
        <f t="array" ref="H247">IFERROR(_xlfn.XLOOKUP($B247,'Histórico'!$B:$B,'Histórico'!$AA:$AA),"")</f>
        <v>EPCAR</v>
      </c>
      <c r="I247" s="19" t="str">
        <f t="array" ref="I247">IFERROR(_xlfn.XLOOKUP($B247,Atual!$B:$B,Atual!$E:$E),"OS concluída")</f>
        <v>REC</v>
      </c>
      <c r="J247" s="19">
        <f t="shared" si="1"/>
        <v>262</v>
      </c>
      <c r="K247" s="19"/>
      <c r="L247" s="19">
        <f t="shared" si="2"/>
        <v>15</v>
      </c>
      <c r="M247" s="19"/>
      <c r="N247" s="49">
        <f t="array" ref="N247">IFERROR(_xlfn.XLOOKUP($B247,EMPRESA_1!A:A,EMPRESA_1!J:J),"")</f>
        <v>46063</v>
      </c>
      <c r="O247" s="50" t="str">
        <f t="array" ref="O247">IFERROR(_xlfn.XLOOKUP(B247,EMPRESA_1!A:A,EMPRESA_1!K:K),"")
</f>
        <v>V1 PAMA-LS</v>
      </c>
      <c r="P247" s="48" t="str">
        <f t="array" ref="P247">IFERROR(_xlfn.XLOOKUP(B247,EMPRESA_1!A:A,EMPRESA_1!L:L),"")</f>
        <v/>
      </c>
      <c r="Q247" s="49">
        <f t="array" ref="Q247">IFERROR(_xlfn.XLOOKUP(B247,EMPRESA_1!A:A,EMPRESA_1!J:J),"")</f>
        <v>46063</v>
      </c>
      <c r="R247" s="19" t="str">
        <f t="array" ref="R247">IFERROR(_xlfn.XLOOKUP(B247,EMPRESA_1!A:A,EMPRESA_1!M:M),"")</f>
        <v/>
      </c>
      <c r="S247" s="51"/>
      <c r="T247" s="51" t="str">
        <f t="array" ref="T247">IFERROR(_xlfn.XLOOKUP($F247,'Acerto virtual'!$E:$E,'Acerto virtual'!F:F),"")</f>
        <v/>
      </c>
      <c r="U247" s="51" t="str">
        <f t="array" ref="U247">IFERROR(_xlfn.XLOOKUP($F247,'Acerto virtual'!$E:$E,'Acerto virtual'!G:G),"")</f>
        <v/>
      </c>
      <c r="V247" s="51" t="str">
        <f t="array" ref="V247">IFERROR(_xlfn.XLOOKUP($F247,'Acerto virtual'!$E:$E,'Acerto virtual'!H:H),"")</f>
        <v/>
      </c>
      <c r="W247" s="51" t="str">
        <f t="array" ref="W247">IFERROR(_xlfn.XLOOKUP($F247,'Acerto virtual'!$E:$E,'Acerto virtual'!I:I),"")</f>
        <v/>
      </c>
      <c r="X247" s="51" t="str">
        <f t="array" ref="X247">IFERROR(_xlfn.XLOOKUP($F247,'Acerto virtual'!$E:$E,'Acerto virtual'!J:J),"")</f>
        <v/>
      </c>
      <c r="Y247" s="51" t="str">
        <f t="array" ref="Y247">IFERROR(_xlfn.XLOOKUP($F247,'Acerto virtual'!$E:$E,'Acerto virtual'!K:K),"")</f>
        <v/>
      </c>
      <c r="Z247" s="51" t="str">
        <f t="array" ref="Z247">IFERROR(_xlfn.XLOOKUP($F247,'Acerto virtual'!$E:$E,'Acerto virtual'!L:L),"")</f>
        <v/>
      </c>
      <c r="AA247" s="51" t="str">
        <f t="array" ref="AA247">IFERROR(_xlfn.XLOOKUP($F247,'Acerto virtual'!$E:$E,'Acerto virtual'!M:M),"")</f>
        <v/>
      </c>
      <c r="AB247" s="51" t="str">
        <f t="array" ref="AB247">IFERROR(_xlfn.XLOOKUP($F247,'Acerto virtual'!$E:$E,'Acerto virtual'!N:N),"")</f>
        <v/>
      </c>
      <c r="AC247" s="51" t="str">
        <f t="array" ref="AC247">IFERROR(_xlfn.XLOOKUP($F247,'Acerto virtual'!$E:$E,'Acerto virtual'!O:O),"")</f>
        <v/>
      </c>
      <c r="AD247" s="51" t="str">
        <f t="array" ref="AD247">IFERROR(_xlfn.XLOOKUP($F247,'Acerto virtual'!$E:$E,'Acerto virtual'!P:P),"")</f>
        <v/>
      </c>
      <c r="AE247" s="51" t="str">
        <f t="array" ref="AE247">IFERROR(_xlfn.XLOOKUP($F247,'Acerto virtual'!$E:$E,'Acerto virtual'!Q:Q),"")</f>
        <v/>
      </c>
      <c r="AF247" s="51" t="str">
        <f t="array" ref="AF247">IFERROR(_xlfn.XLOOKUP($F247,'Acerto virtual'!$E:$E,'Acerto virtual'!R:R),"")</f>
        <v/>
      </c>
      <c r="AG247" s="51" t="str">
        <f t="array" ref="AG247">IFERROR(_xlfn.XLOOKUP($F247,'Acerto virtual'!$E:$E,'Acerto virtual'!S:S),"")</f>
        <v/>
      </c>
      <c r="AH247" s="51" t="str">
        <f t="array" ref="AH247">IFERROR(_xlfn.XLOOKUP($F247,'Acerto virtual'!$E:$E,'Acerto virtual'!T:T),"")</f>
        <v/>
      </c>
      <c r="AI247" s="51" t="str">
        <f t="array" ref="AI247">IFERROR(_xlfn.XLOOKUP($F247,'Acerto virtual'!$E:$E,'Acerto virtual'!U:U),"")</f>
        <v/>
      </c>
    </row>
    <row r="248">
      <c r="A248" s="47" t="s">
        <v>816</v>
      </c>
      <c r="B248" s="47" t="s">
        <v>817</v>
      </c>
      <c r="C248" s="48" t="str">
        <f t="array" ref="C248">IFERROR(_xlfn.XLOOKUP($B248,'Histórico'!$B:$B,'Histórico'!$I:$I),"")</f>
        <v>064-1054-30</v>
      </c>
      <c r="D248" s="19" t="str">
        <f t="array" ref="D248">IFERROR(_xlfn.XLOOKUP($B248,'Histórico'!$B:$B,'Histórico'!$J:$J),"")</f>
        <v>22373</v>
      </c>
      <c r="E248" s="19" t="str">
        <f t="array" ref="E248">IFERROR(_xlfn.XLOOKUP($B248,'Histórico'!$B:$B,'Histórico'!$K:$K),"")</f>
        <v>RECEIVER-TRANSMITTER SUBASSEMBLY</v>
      </c>
      <c r="F248" s="19" t="str">
        <f t="array" ref="F248">IFERROR(_xlfn.XLOOKUP($B248,'Histórico'!$B:$B,'Histórico'!$L:$L),"")</f>
        <v>22102</v>
      </c>
      <c r="G248" s="49" t="str">
        <f t="array" ref="G248">IFERROR(_xlfn.XLOOKUP($B248,'Histórico'!$B:$B,'Histórico'!$F:$F),"")</f>
        <v>26/01/2026</v>
      </c>
      <c r="H248" s="19" t="str">
        <f t="array" ref="H248">IFERROR(_xlfn.XLOOKUP($B248,'Histórico'!$B:$B,'Histórico'!$AA:$AA),"")</f>
        <v>PAMALS</v>
      </c>
      <c r="I248" s="19" t="str">
        <f t="array" ref="I248">IFERROR(_xlfn.XLOOKUP($B248,Atual!$B:$B,Atual!$E:$E),"OS concluída")</f>
        <v>REC</v>
      </c>
      <c r="J248" s="19">
        <f t="shared" si="1"/>
        <v>262</v>
      </c>
      <c r="K248" s="19"/>
      <c r="L248" s="19">
        <f t="shared" si="2"/>
        <v>15</v>
      </c>
      <c r="M248" s="19"/>
      <c r="N248" s="49">
        <f t="array" ref="N248">IFERROR(_xlfn.XLOOKUP($B248,EMPRESA_1!A:A,EMPRESA_1!J:J),"")</f>
        <v>46063</v>
      </c>
      <c r="O248" s="50" t="str">
        <f t="array" ref="O248">IFERROR(_xlfn.XLOOKUP(B248,EMPRESA_1!A:A,EMPRESA_1!K:K),"")
</f>
        <v>BABR</v>
      </c>
      <c r="P248" s="48" t="str">
        <f t="array" ref="P248">IFERROR(_xlfn.XLOOKUP(B248,EMPRESA_1!A:A,EMPRESA_1!L:L),"")</f>
        <v>688/FAB/26</v>
      </c>
      <c r="Q248" s="49">
        <f t="array" ref="Q248">IFERROR(_xlfn.XLOOKUP(B248,EMPRESA_1!A:A,EMPRESA_1!J:J),"")</f>
        <v>46063</v>
      </c>
      <c r="R248" s="19" t="str">
        <f t="array" ref="R248">IFERROR(_xlfn.XLOOKUP(B248,EMPRESA_1!A:A,EMPRESA_1!M:M),"")</f>
        <v/>
      </c>
      <c r="S248" s="51"/>
      <c r="T248" s="51" t="str">
        <f t="array" ref="T248">IFERROR(_xlfn.XLOOKUP($F248,'Acerto virtual'!$E:$E,'Acerto virtual'!F:F),"")</f>
        <v/>
      </c>
      <c r="U248" s="51" t="str">
        <f t="array" ref="U248">IFERROR(_xlfn.XLOOKUP($F248,'Acerto virtual'!$E:$E,'Acerto virtual'!G:G),"")</f>
        <v/>
      </c>
      <c r="V248" s="51" t="str">
        <f t="array" ref="V248">IFERROR(_xlfn.XLOOKUP($F248,'Acerto virtual'!$E:$E,'Acerto virtual'!H:H),"")</f>
        <v/>
      </c>
      <c r="W248" s="51" t="str">
        <f t="array" ref="W248">IFERROR(_xlfn.XLOOKUP($F248,'Acerto virtual'!$E:$E,'Acerto virtual'!I:I),"")</f>
        <v/>
      </c>
      <c r="X248" s="51" t="str">
        <f t="array" ref="X248">IFERROR(_xlfn.XLOOKUP($F248,'Acerto virtual'!$E:$E,'Acerto virtual'!J:J),"")</f>
        <v/>
      </c>
      <c r="Y248" s="51" t="str">
        <f t="array" ref="Y248">IFERROR(_xlfn.XLOOKUP($F248,'Acerto virtual'!$E:$E,'Acerto virtual'!K:K),"")</f>
        <v/>
      </c>
      <c r="Z248" s="51" t="str">
        <f t="array" ref="Z248">IFERROR(_xlfn.XLOOKUP($F248,'Acerto virtual'!$E:$E,'Acerto virtual'!L:L),"")</f>
        <v/>
      </c>
      <c r="AA248" s="51" t="str">
        <f t="array" ref="AA248">IFERROR(_xlfn.XLOOKUP($F248,'Acerto virtual'!$E:$E,'Acerto virtual'!M:M),"")</f>
        <v/>
      </c>
      <c r="AB248" s="51" t="str">
        <f t="array" ref="AB248">IFERROR(_xlfn.XLOOKUP($F248,'Acerto virtual'!$E:$E,'Acerto virtual'!N:N),"")</f>
        <v/>
      </c>
      <c r="AC248" s="51" t="str">
        <f t="array" ref="AC248">IFERROR(_xlfn.XLOOKUP($F248,'Acerto virtual'!$E:$E,'Acerto virtual'!O:O),"")</f>
        <v/>
      </c>
      <c r="AD248" s="51" t="str">
        <f t="array" ref="AD248">IFERROR(_xlfn.XLOOKUP($F248,'Acerto virtual'!$E:$E,'Acerto virtual'!P:P),"")</f>
        <v/>
      </c>
      <c r="AE248" s="51" t="str">
        <f t="array" ref="AE248">IFERROR(_xlfn.XLOOKUP($F248,'Acerto virtual'!$E:$E,'Acerto virtual'!Q:Q),"")</f>
        <v/>
      </c>
      <c r="AF248" s="51" t="str">
        <f t="array" ref="AF248">IFERROR(_xlfn.XLOOKUP($F248,'Acerto virtual'!$E:$E,'Acerto virtual'!R:R),"")</f>
        <v/>
      </c>
      <c r="AG248" s="51" t="str">
        <f t="array" ref="AG248">IFERROR(_xlfn.XLOOKUP($F248,'Acerto virtual'!$E:$E,'Acerto virtual'!S:S),"")</f>
        <v/>
      </c>
      <c r="AH248" s="51" t="str">
        <f t="array" ref="AH248">IFERROR(_xlfn.XLOOKUP($F248,'Acerto virtual'!$E:$E,'Acerto virtual'!T:T),"")</f>
        <v/>
      </c>
      <c r="AI248" s="51" t="str">
        <f t="array" ref="AI248">IFERROR(_xlfn.XLOOKUP($F248,'Acerto virtual'!$E:$E,'Acerto virtual'!U:U),"")</f>
        <v/>
      </c>
    </row>
    <row r="249" hidden="1">
      <c r="A249" s="47" t="s">
        <v>818</v>
      </c>
      <c r="B249" s="47" t="s">
        <v>819</v>
      </c>
      <c r="C249" s="48" t="str">
        <f t="array" ref="C249">IFERROR(_xlfn.XLOOKUP($B249,'Histórico'!$B:$B,'Histórico'!$I:$I),"")</f>
        <v>3034792</v>
      </c>
      <c r="D249" s="19" t="str">
        <f t="array" ref="D249">IFERROR(_xlfn.XLOOKUP($B249,'Histórico'!$B:$B,'Histórico'!$J:$J),"")</f>
        <v>00198</v>
      </c>
      <c r="E249" s="19" t="str">
        <f t="array" ref="E249">IFERROR(_xlfn.XLOOKUP($B249,'Histórico'!$B:$B,'Histórico'!$K:$K),"")</f>
        <v>BOMBA DE COMBUSTÍVEL</v>
      </c>
      <c r="F249" s="19" t="str">
        <f t="array" ref="F249">IFERROR(_xlfn.XLOOKUP($B249,'Histórico'!$B:$B,'Histórico'!$L:$L),"")</f>
        <v>002798</v>
      </c>
      <c r="G249" s="49" t="str">
        <f t="array" ref="G249">IFERROR(_xlfn.XLOOKUP($B249,'Histórico'!$B:$B,'Histórico'!$F:$F),"")</f>
        <v>28/01/2026</v>
      </c>
      <c r="H249" s="19" t="str">
        <f t="array" ref="H249">IFERROR(_xlfn.XLOOKUP($B249,'Histórico'!$B:$B,'Histórico'!$AA:$AA),"")</f>
        <v>BAPV</v>
      </c>
      <c r="I249" s="19" t="str">
        <f t="array" ref="I249">IFERROR(_xlfn.XLOOKUP($B249,Atual!$B:$B,Atual!$E:$E),"OS concluída")</f>
        <v>OS concluída</v>
      </c>
      <c r="J249" s="19" t="str">
        <f t="shared" si="1"/>
        <v/>
      </c>
      <c r="K249" s="19"/>
      <c r="L249" s="19">
        <f t="shared" si="2"/>
        <v>141</v>
      </c>
      <c r="M249" s="19"/>
      <c r="N249" s="49">
        <f t="array" ref="N249">IFERROR(_xlfn.XLOOKUP($B249,EMPRESA_1!A:A,EMPRESA_1!J:J),"")</f>
        <v>46191</v>
      </c>
      <c r="O249" s="50" t="str">
        <f t="array" ref="O249">IFERROR(_xlfn.XLOOKUP(B249,EMPRESA_1!A:A,EMPRESA_1!K:K),"")
</f>
        <v>BABR</v>
      </c>
      <c r="P249" s="19" t="str">
        <f t="array" ref="P249">IFERROR(_xlfn.XLOOKUP(B249,EMPRESA_1!A:A,EMPRESA_1!L:L),"")</f>
        <v>485/FAB/26</v>
      </c>
      <c r="Q249" s="49">
        <f t="array" ref="Q249">IFERROR(_xlfn.XLOOKUP(B249,EMPRESA_1!A:A,EMPRESA_1!J:J),"")</f>
        <v>46191</v>
      </c>
      <c r="R249" s="19" t="str">
        <f t="array" ref="R249">IFERROR(_xlfn.XLOOKUP(B249,EMPRESA_1!A:A,EMPRESA_1!M:M),"")</f>
        <v/>
      </c>
      <c r="S249" s="51"/>
      <c r="T249" s="51" t="str">
        <f t="array" ref="T249">IFERROR(_xlfn.XLOOKUP($F249,'Acerto virtual'!$E:$E,'Acerto virtual'!F:F),"")</f>
        <v/>
      </c>
      <c r="U249" s="51" t="str">
        <f t="array" ref="U249">IFERROR(_xlfn.XLOOKUP($F249,'Acerto virtual'!$E:$E,'Acerto virtual'!G:G),"")</f>
        <v/>
      </c>
      <c r="V249" s="51" t="str">
        <f t="array" ref="V249">IFERROR(_xlfn.XLOOKUP($F249,'Acerto virtual'!$E:$E,'Acerto virtual'!H:H),"")</f>
        <v/>
      </c>
      <c r="W249" s="51" t="str">
        <f t="array" ref="W249">IFERROR(_xlfn.XLOOKUP($F249,'Acerto virtual'!$E:$E,'Acerto virtual'!I:I),"")</f>
        <v/>
      </c>
      <c r="X249" s="51" t="str">
        <f t="array" ref="X249">IFERROR(_xlfn.XLOOKUP($F249,'Acerto virtual'!$E:$E,'Acerto virtual'!J:J),"")</f>
        <v/>
      </c>
      <c r="Y249" s="51" t="str">
        <f t="array" ref="Y249">IFERROR(_xlfn.XLOOKUP($F249,'Acerto virtual'!$E:$E,'Acerto virtual'!K:K),"")</f>
        <v/>
      </c>
      <c r="Z249" s="51" t="str">
        <f t="array" ref="Z249">IFERROR(_xlfn.XLOOKUP($F249,'Acerto virtual'!$E:$E,'Acerto virtual'!L:L),"")</f>
        <v/>
      </c>
      <c r="AA249" s="51" t="str">
        <f t="array" ref="AA249">IFERROR(_xlfn.XLOOKUP($F249,'Acerto virtual'!$E:$E,'Acerto virtual'!M:M),"")</f>
        <v/>
      </c>
      <c r="AB249" s="51" t="str">
        <f t="array" ref="AB249">IFERROR(_xlfn.XLOOKUP($F249,'Acerto virtual'!$E:$E,'Acerto virtual'!N:N),"")</f>
        <v/>
      </c>
      <c r="AC249" s="51" t="str">
        <f t="array" ref="AC249">IFERROR(_xlfn.XLOOKUP($F249,'Acerto virtual'!$E:$E,'Acerto virtual'!O:O),"")</f>
        <v/>
      </c>
      <c r="AD249" s="51" t="str">
        <f t="array" ref="AD249">IFERROR(_xlfn.XLOOKUP($F249,'Acerto virtual'!$E:$E,'Acerto virtual'!P:P),"")</f>
        <v/>
      </c>
      <c r="AE249" s="51" t="str">
        <f t="array" ref="AE249">IFERROR(_xlfn.XLOOKUP($F249,'Acerto virtual'!$E:$E,'Acerto virtual'!Q:Q),"")</f>
        <v/>
      </c>
      <c r="AF249" s="51" t="str">
        <f t="array" ref="AF249">IFERROR(_xlfn.XLOOKUP($F249,'Acerto virtual'!$E:$E,'Acerto virtual'!R:R),"")</f>
        <v/>
      </c>
      <c r="AG249" s="51" t="str">
        <f t="array" ref="AG249">IFERROR(_xlfn.XLOOKUP($F249,'Acerto virtual'!$E:$E,'Acerto virtual'!S:S),"")</f>
        <v/>
      </c>
      <c r="AH249" s="51" t="str">
        <f t="array" ref="AH249">IFERROR(_xlfn.XLOOKUP($F249,'Acerto virtual'!$E:$E,'Acerto virtual'!T:T),"")</f>
        <v/>
      </c>
      <c r="AI249" s="51" t="str">
        <f t="array" ref="AI249">IFERROR(_xlfn.XLOOKUP($F249,'Acerto virtual'!$E:$E,'Acerto virtual'!U:U),"")</f>
        <v/>
      </c>
    </row>
    <row r="250" hidden="1">
      <c r="A250" s="47" t="s">
        <v>820</v>
      </c>
      <c r="B250" s="47" t="s">
        <v>821</v>
      </c>
      <c r="C250" s="19" t="str">
        <f t="array" ref="C250">IFERROR(_xlfn.XLOOKUP($B250,'Histórico'!$B:$B,'Histórico'!$I:$I),"")</f>
        <v>3034792</v>
      </c>
      <c r="D250" s="19" t="str">
        <f t="array" ref="D250">IFERROR(_xlfn.XLOOKUP($B250,'Histórico'!$B:$B,'Histórico'!$J:$J),"")</f>
        <v>00198</v>
      </c>
      <c r="E250" s="19" t="str">
        <f t="array" ref="E250">IFERROR(_xlfn.XLOOKUP($B250,'Histórico'!$B:$B,'Histórico'!$K:$K),"")</f>
        <v>BOMBA DE COMBUSTÍVEL</v>
      </c>
      <c r="F250" s="19" t="str">
        <f t="array" ref="F250">IFERROR(_xlfn.XLOOKUP($B250,'Histórico'!$B:$B,'Histórico'!$L:$L),"")</f>
        <v>004106</v>
      </c>
      <c r="G250" s="49" t="str">
        <f t="array" ref="G250">IFERROR(_xlfn.XLOOKUP($B250,'Histórico'!$B:$B,'Histórico'!$F:$F),"")</f>
        <v>28/01/2026</v>
      </c>
      <c r="H250" s="19" t="str">
        <f t="array" ref="H250">IFERROR(_xlfn.XLOOKUP($B250,'Histórico'!$B:$B,'Histórico'!$AA:$AA),"")</f>
        <v>BACG</v>
      </c>
      <c r="I250" s="19" t="str">
        <f t="array" ref="I250">IFERROR(_xlfn.XLOOKUP($B250,Atual!$B:$B,Atual!$E:$E),"OS concluída")</f>
        <v>OS concluída</v>
      </c>
      <c r="J250" s="19" t="str">
        <f t="shared" si="1"/>
        <v/>
      </c>
      <c r="K250" s="19"/>
      <c r="L250" s="19" t="str">
        <f t="shared" si="2"/>
        <v/>
      </c>
      <c r="M250" s="19"/>
      <c r="N250" s="49" t="str">
        <f t="shared" ref="N250:N251" si="65">IFERROR(_xlfn.XLOOKUP($B250,Empresa!G:G,Empresa!K:K),"")</f>
        <v/>
      </c>
      <c r="O250" s="49"/>
      <c r="P250" s="19" t="str">
        <f t="shared" ref="P250:P251" si="66">IFERROR(_xlfn.XLOOKUP($F250,'Vee one'!F:F,'Vee one'!O:O),"")</f>
        <v/>
      </c>
      <c r="Q250" s="19" t="str">
        <f t="shared" ref="Q250:Q251" si="67">IFERROR(_xlfn.XLOOKUP($F250,'Vee one'!F:F,'Vee one'!K:K),"")</f>
        <v/>
      </c>
      <c r="R250" s="19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</row>
    <row r="251" hidden="1">
      <c r="A251" s="47" t="s">
        <v>822</v>
      </c>
      <c r="B251" s="47" t="s">
        <v>823</v>
      </c>
      <c r="C251" s="19" t="str">
        <f t="array" ref="C251">IFERROR(_xlfn.XLOOKUP($B251,'Histórico'!$B:$B,'Histórico'!$I:$I),"")</f>
        <v>162-11800</v>
      </c>
      <c r="D251" s="19" t="str">
        <f t="array" ref="D251">IFERROR(_xlfn.XLOOKUP($B251,'Histórico'!$B:$B,'Histórico'!$J:$J),"")</f>
        <v>33269</v>
      </c>
      <c r="E251" s="19" t="str">
        <f t="array" ref="E251">IFERROR(_xlfn.XLOOKUP($B251,'Histórico'!$B:$B,'Histórico'!$K:$K),"")</f>
        <v>WHEEL HALF ASSY-OUTER</v>
      </c>
      <c r="F251" s="19" t="str">
        <f t="array" ref="F251">IFERROR(_xlfn.XLOOKUP($B251,'Histórico'!$B:$B,'Histórico'!$L:$L),"")</f>
        <v>968</v>
      </c>
      <c r="G251" s="49" t="str">
        <f t="array" ref="G251">IFERROR(_xlfn.XLOOKUP($B251,'Histórico'!$B:$B,'Histórico'!$F:$F),"")</f>
        <v>28/01/2026</v>
      </c>
      <c r="H251" s="19" t="str">
        <f t="array" ref="H251">IFERROR(_xlfn.XLOOKUP($B251,'Histórico'!$B:$B,'Histórico'!$AA:$AA),"")</f>
        <v>PAMALS</v>
      </c>
      <c r="I251" s="19" t="str">
        <f t="array" ref="I251">IFERROR(_xlfn.XLOOKUP($B251,Atual!$B:$B,Atual!$E:$E),"OS concluída")</f>
        <v>OS concluída</v>
      </c>
      <c r="J251" s="19" t="str">
        <f t="shared" si="1"/>
        <v/>
      </c>
      <c r="K251" s="19"/>
      <c r="L251" s="19" t="str">
        <f t="shared" si="2"/>
        <v/>
      </c>
      <c r="M251" s="19"/>
      <c r="N251" s="49" t="str">
        <f t="shared" si="65"/>
        <v/>
      </c>
      <c r="O251" s="49"/>
      <c r="P251" s="19" t="str">
        <f t="shared" si="66"/>
        <v/>
      </c>
      <c r="Q251" s="19" t="str">
        <f t="shared" si="67"/>
        <v/>
      </c>
      <c r="R251" s="19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</row>
    <row r="252">
      <c r="A252" s="47" t="s">
        <v>824</v>
      </c>
      <c r="B252" s="47" t="s">
        <v>825</v>
      </c>
      <c r="C252" s="48" t="str">
        <f t="array" ref="C252">IFERROR(_xlfn.XLOOKUP($B252,'Histórico'!$B:$B,'Histórico'!$I:$I),"")</f>
        <v>030-18200</v>
      </c>
      <c r="D252" s="19" t="str">
        <f t="array" ref="D252">IFERROR(_xlfn.XLOOKUP($B252,'Histórico'!$B:$B,'Histórico'!$J:$J),"")</f>
        <v>33269</v>
      </c>
      <c r="E252" s="19" t="str">
        <f t="array" ref="E252">IFERROR(_xlfn.XLOOKUP($B252,'Histórico'!$B:$B,'Histórico'!$K:$K),"")</f>
        <v>MAIN WHEEL BRAKE</v>
      </c>
      <c r="F252" s="19" t="str">
        <f t="array" ref="F252">IFERROR(_xlfn.XLOOKUP($B252,'Histórico'!$B:$B,'Histórico'!$L:$L),"")</f>
        <v>2L094</v>
      </c>
      <c r="G252" s="49" t="str">
        <f t="array" ref="G252">IFERROR(_xlfn.XLOOKUP($B252,'Histórico'!$B:$B,'Histórico'!$F:$F),"")</f>
        <v>28/01/2026</v>
      </c>
      <c r="H252" s="19" t="str">
        <f t="array" ref="H252">IFERROR(_xlfn.XLOOKUP($B252,'Histórico'!$B:$B,'Histórico'!$AA:$AA),"")</f>
        <v>BACO</v>
      </c>
      <c r="I252" s="19" t="str">
        <f t="array" ref="I252">IFERROR(_xlfn.XLOOKUP($B252,Atual!$B:$B,Atual!$E:$E),"OS concluída")</f>
        <v>REC</v>
      </c>
      <c r="J252" s="19">
        <f t="shared" si="1"/>
        <v>260</v>
      </c>
      <c r="K252" s="19"/>
      <c r="L252" s="19" t="str">
        <f t="shared" si="2"/>
        <v>NÃO APLICÁVEL</v>
      </c>
      <c r="M252" s="19"/>
      <c r="N252" s="49" t="str">
        <f t="array" ref="N252">IFERROR(_xlfn.XLOOKUP($B252,EMPRESA_1!A:A,EMPRESA_1!J:J),"")</f>
        <v>REPARADO</v>
      </c>
      <c r="O252" s="50" t="str">
        <f t="array" ref="O252">IFERROR(_xlfn.XLOOKUP(B252,EMPRESA_1!A:A,EMPRESA_1!K:K),"")
</f>
        <v>VEE ONE</v>
      </c>
      <c r="P252" s="48" t="str">
        <f t="array" ref="P252">IFERROR(_xlfn.XLOOKUP(B252,EMPRESA_1!A:A,EMPRESA_1!L:L),"")</f>
        <v/>
      </c>
      <c r="Q252" s="49" t="str">
        <f t="array" ref="Q252">IFERROR(_xlfn.XLOOKUP(B252,EMPRESA_1!A:A,EMPRESA_1!J:J),"")</f>
        <v>REPARADO</v>
      </c>
      <c r="R252" s="19" t="str">
        <f t="array" ref="R252">IFERROR(_xlfn.XLOOKUP(B252,EMPRESA_1!A:A,EMPRESA_1!M:M),"")</f>
        <v/>
      </c>
      <c r="S252" s="51"/>
      <c r="T252" s="51" t="str">
        <f t="array" ref="T252">IFERROR(_xlfn.XLOOKUP($F252,'Acerto virtual'!$E:$E,'Acerto virtual'!F:F),"")</f>
        <v/>
      </c>
      <c r="U252" s="51" t="str">
        <f t="array" ref="U252">IFERROR(_xlfn.XLOOKUP($F252,'Acerto virtual'!$E:$E,'Acerto virtual'!G:G),"")</f>
        <v/>
      </c>
      <c r="V252" s="51" t="str">
        <f t="array" ref="V252">IFERROR(_xlfn.XLOOKUP($F252,'Acerto virtual'!$E:$E,'Acerto virtual'!H:H),"")</f>
        <v/>
      </c>
      <c r="W252" s="51" t="str">
        <f t="array" ref="W252">IFERROR(_xlfn.XLOOKUP($F252,'Acerto virtual'!$E:$E,'Acerto virtual'!I:I),"")</f>
        <v/>
      </c>
      <c r="X252" s="51" t="str">
        <f t="array" ref="X252">IFERROR(_xlfn.XLOOKUP($F252,'Acerto virtual'!$E:$E,'Acerto virtual'!J:J),"")</f>
        <v/>
      </c>
      <c r="Y252" s="51" t="str">
        <f t="array" ref="Y252">IFERROR(_xlfn.XLOOKUP($F252,'Acerto virtual'!$E:$E,'Acerto virtual'!K:K),"")</f>
        <v/>
      </c>
      <c r="Z252" s="51" t="str">
        <f t="array" ref="Z252">IFERROR(_xlfn.XLOOKUP($F252,'Acerto virtual'!$E:$E,'Acerto virtual'!L:L),"")</f>
        <v/>
      </c>
      <c r="AA252" s="51" t="str">
        <f t="array" ref="AA252">IFERROR(_xlfn.XLOOKUP($F252,'Acerto virtual'!$E:$E,'Acerto virtual'!M:M),"")</f>
        <v/>
      </c>
      <c r="AB252" s="51" t="str">
        <f t="array" ref="AB252">IFERROR(_xlfn.XLOOKUP($F252,'Acerto virtual'!$E:$E,'Acerto virtual'!N:N),"")</f>
        <v/>
      </c>
      <c r="AC252" s="51" t="str">
        <f t="array" ref="AC252">IFERROR(_xlfn.XLOOKUP($F252,'Acerto virtual'!$E:$E,'Acerto virtual'!O:O),"")</f>
        <v/>
      </c>
      <c r="AD252" s="51" t="str">
        <f t="array" ref="AD252">IFERROR(_xlfn.XLOOKUP($F252,'Acerto virtual'!$E:$E,'Acerto virtual'!P:P),"")</f>
        <v/>
      </c>
      <c r="AE252" s="51" t="str">
        <f t="array" ref="AE252">IFERROR(_xlfn.XLOOKUP($F252,'Acerto virtual'!$E:$E,'Acerto virtual'!Q:Q),"")</f>
        <v/>
      </c>
      <c r="AF252" s="51" t="str">
        <f t="array" ref="AF252">IFERROR(_xlfn.XLOOKUP($F252,'Acerto virtual'!$E:$E,'Acerto virtual'!R:R),"")</f>
        <v/>
      </c>
      <c r="AG252" s="51" t="str">
        <f t="array" ref="AG252">IFERROR(_xlfn.XLOOKUP($F252,'Acerto virtual'!$E:$E,'Acerto virtual'!S:S),"")</f>
        <v/>
      </c>
      <c r="AH252" s="51" t="str">
        <f t="array" ref="AH252">IFERROR(_xlfn.XLOOKUP($F252,'Acerto virtual'!$E:$E,'Acerto virtual'!T:T),"")</f>
        <v/>
      </c>
      <c r="AI252" s="51" t="str">
        <f t="array" ref="AI252">IFERROR(_xlfn.XLOOKUP($F252,'Acerto virtual'!$E:$E,'Acerto virtual'!U:U),"")</f>
        <v/>
      </c>
    </row>
    <row r="253" hidden="1">
      <c r="A253" s="47" t="s">
        <v>826</v>
      </c>
      <c r="B253" s="47" t="s">
        <v>827</v>
      </c>
      <c r="C253" s="48" t="str">
        <f t="array" ref="C253">IFERROR(_xlfn.XLOOKUP($B253,'Histórico'!$B:$B,'Histórico'!$I:$I),"")</f>
        <v>3034792</v>
      </c>
      <c r="D253" s="19" t="str">
        <f t="array" ref="D253">IFERROR(_xlfn.XLOOKUP($B253,'Histórico'!$B:$B,'Histórico'!$J:$J),"")</f>
        <v>00198</v>
      </c>
      <c r="E253" s="19" t="str">
        <f t="array" ref="E253">IFERROR(_xlfn.XLOOKUP($B253,'Histórico'!$B:$B,'Histórico'!$K:$K),"")</f>
        <v>BOMBA DE COMBUSTÍVEL</v>
      </c>
      <c r="F253" s="19" t="str">
        <f t="array" ref="F253">IFERROR(_xlfn.XLOOKUP($B253,'Histórico'!$B:$B,'Histórico'!$L:$L),"")</f>
        <v>003665</v>
      </c>
      <c r="G253" s="49" t="str">
        <f t="array" ref="G253">IFERROR(_xlfn.XLOOKUP($B253,'Histórico'!$B:$B,'Histórico'!$F:$F),"")</f>
        <v>10/02/2026</v>
      </c>
      <c r="H253" s="19" t="str">
        <f t="array" ref="H253">IFERROR(_xlfn.XLOOKUP($B253,'Histórico'!$B:$B,'Histórico'!$AA:$AA),"")</f>
        <v>PAMASP</v>
      </c>
      <c r="I253" s="19" t="str">
        <f t="array" ref="I253">IFERROR(_xlfn.XLOOKUP($B253,Atual!$B:$B,Atual!$E:$E),"OS concluída")</f>
        <v>OS concluída</v>
      </c>
      <c r="J253" s="19" t="str">
        <f t="shared" si="1"/>
        <v/>
      </c>
      <c r="K253" s="19"/>
      <c r="L253" s="19" t="str">
        <f t="shared" si="2"/>
        <v>NÃO APLICÁVEL</v>
      </c>
      <c r="M253" s="19"/>
      <c r="N253" s="49" t="str">
        <f t="array" ref="N253">IFERROR(_xlfn.XLOOKUP($B253,EMPRESA_1!A:A,EMPRESA_1!J:J),"")</f>
        <v>REPARADO</v>
      </c>
      <c r="O253" s="50" t="str">
        <f t="array" ref="O253">IFERROR(_xlfn.XLOOKUP(B253,EMPRESA_1!A:A,EMPRESA_1!K:K),"")
</f>
        <v>V1 PAMA-LS</v>
      </c>
      <c r="P253" s="48" t="str">
        <f t="array" ref="P253">IFERROR(_xlfn.XLOOKUP(B253,EMPRESA_1!A:A,EMPRESA_1!L:L),"")</f>
        <v/>
      </c>
      <c r="Q253" s="49" t="str">
        <f t="array" ref="Q253">IFERROR(_xlfn.XLOOKUP(B253,EMPRESA_1!A:A,EMPRESA_1!J:J),"")</f>
        <v>REPARADO</v>
      </c>
      <c r="R253" s="19" t="str">
        <f t="array" ref="R253">IFERROR(_xlfn.XLOOKUP(B253,EMPRESA_1!A:A,EMPRESA_1!M:M),"")</f>
        <v/>
      </c>
      <c r="S253" s="51"/>
      <c r="T253" s="51" t="str">
        <f t="array" ref="T253">IFERROR(_xlfn.XLOOKUP($F253,'Acerto virtual'!$E:$E,'Acerto virtual'!F:F),"")</f>
        <v>019/2026</v>
      </c>
      <c r="U253" s="51" t="str">
        <f t="array" ref="U253">IFERROR(_xlfn.XLOOKUP($F253,'Acerto virtual'!$E:$E,'Acerto virtual'!G:G),"")</f>
        <v>25/06</v>
      </c>
      <c r="V253" s="51" t="str">
        <f t="array" ref="V253">IFERROR(_xlfn.XLOOKUP($F253,'Acerto virtual'!$E:$E,'Acerto virtual'!H:H),"")</f>
        <v>07/08</v>
      </c>
      <c r="W253" s="51" t="str">
        <f t="array" ref="W253">IFERROR(_xlfn.XLOOKUP($F253,'Acerto virtual'!$E:$E,'Acerto virtual'!I:I),"")</f>
        <v/>
      </c>
      <c r="X253" s="51" t="str">
        <f t="array" ref="X253">IFERROR(_xlfn.XLOOKUP($F253,'Acerto virtual'!$E:$E,'Acerto virtual'!J:J),"")</f>
        <v>10/08</v>
      </c>
      <c r="Y253" s="51" t="str">
        <f t="array" ref="Y253">IFERROR(_xlfn.XLOOKUP($F253,'Acerto virtual'!$E:$E,'Acerto virtual'!K:K),"")</f>
        <v>10/08</v>
      </c>
      <c r="Z253" s="51" t="str">
        <f t="array" ref="Z253">IFERROR(_xlfn.XLOOKUP($F253,'Acerto virtual'!$E:$E,'Acerto virtual'!L:L),"")</f>
        <v>10/08, 01/09</v>
      </c>
      <c r="AA253" s="51" t="str">
        <f t="array" ref="AA253">IFERROR(_xlfn.XLOOKUP($F253,'Acerto virtual'!$E:$E,'Acerto virtual'!M:M),"")</f>
        <v>01/09</v>
      </c>
      <c r="AB253" s="51" t="str">
        <f t="array" ref="AB253">IFERROR(_xlfn.XLOOKUP($F253,'Acerto virtual'!$E:$E,'Acerto virtual'!N:N),"")</f>
        <v>01/09</v>
      </c>
      <c r="AC253" s="51" t="str">
        <f t="array" ref="AC253">IFERROR(_xlfn.XLOOKUP($F253,'Acerto virtual'!$E:$E,'Acerto virtual'!O:O),"")</f>
        <v>01/09</v>
      </c>
      <c r="AD253" s="51" t="str">
        <f t="array" ref="AD253">IFERROR(_xlfn.XLOOKUP($F253,'Acerto virtual'!$E:$E,'Acerto virtual'!P:P),"")</f>
        <v>01/09</v>
      </c>
      <c r="AE253" s="51" t="str">
        <f t="array" ref="AE253">IFERROR(_xlfn.XLOOKUP($F253,'Acerto virtual'!$E:$E,'Acerto virtual'!Q:Q),"")</f>
        <v>01/09</v>
      </c>
      <c r="AF253" s="51" t="str">
        <f t="array" ref="AF253">IFERROR(_xlfn.XLOOKUP($F253,'Acerto virtual'!$E:$E,'Acerto virtual'!R:R),"")</f>
        <v>01/09</v>
      </c>
      <c r="AG253" s="51" t="str">
        <f t="array" ref="AG253">IFERROR(_xlfn.XLOOKUP($F253,'Acerto virtual'!$E:$E,'Acerto virtual'!S:S),"")</f>
        <v>01/09</v>
      </c>
      <c r="AH253" s="51" t="str">
        <f t="array" ref="AH253">IFERROR(_xlfn.XLOOKUP($F253,'Acerto virtual'!$E:$E,'Acerto virtual'!T:T),"")</f>
        <v>04/09</v>
      </c>
      <c r="AI253" s="51" t="str">
        <f t="array" ref="AI253">IFERROR(_xlfn.XLOOKUP($F253,'Acerto virtual'!$E:$E,'Acerto virtual'!U:U),"")</f>
        <v>RECEBIDO POR 2S CIPRIANO</v>
      </c>
    </row>
    <row r="254" hidden="1">
      <c r="A254" s="47" t="s">
        <v>828</v>
      </c>
      <c r="B254" s="47" t="s">
        <v>829</v>
      </c>
      <c r="C254" s="19" t="str">
        <f t="array" ref="C254">IFERROR(_xlfn.XLOOKUP($B254,'Histórico'!$B:$B,'Histórico'!$I:$I),"")</f>
        <v>3034792</v>
      </c>
      <c r="D254" s="19" t="str">
        <f t="array" ref="D254">IFERROR(_xlfn.XLOOKUP($B254,'Histórico'!$B:$B,'Histórico'!$J:$J),"")</f>
        <v>00198</v>
      </c>
      <c r="E254" s="19" t="str">
        <f t="array" ref="E254">IFERROR(_xlfn.XLOOKUP($B254,'Histórico'!$B:$B,'Histórico'!$K:$K),"")</f>
        <v>BOMBA DE COMBUSTÍVEL</v>
      </c>
      <c r="F254" s="19" t="str">
        <f t="array" ref="F254">IFERROR(_xlfn.XLOOKUP($B254,'Histórico'!$B:$B,'Histórico'!$L:$L),"")</f>
        <v>004201</v>
      </c>
      <c r="G254" s="49" t="str">
        <f t="array" ref="G254">IFERROR(_xlfn.XLOOKUP($B254,'Histórico'!$B:$B,'Histórico'!$F:$F),"")</f>
        <v>10/02/2026</v>
      </c>
      <c r="H254" s="19" t="str">
        <f t="array" ref="H254">IFERROR(_xlfn.XLOOKUP($B254,'Histórico'!$B:$B,'Histórico'!$AA:$AA),"")</f>
        <v>BABR</v>
      </c>
      <c r="I254" s="19" t="str">
        <f t="array" ref="I254">IFERROR(_xlfn.XLOOKUP($B254,Atual!$B:$B,Atual!$E:$E),"OS concluída")</f>
        <v>OS concluída</v>
      </c>
      <c r="J254" s="19" t="str">
        <f t="shared" si="1"/>
        <v/>
      </c>
      <c r="K254" s="19"/>
      <c r="L254" s="19" t="str">
        <f t="shared" si="2"/>
        <v/>
      </c>
      <c r="M254" s="19"/>
      <c r="N254" s="49" t="str">
        <f t="shared" ref="N254:N255" si="68">IFERROR(_xlfn.XLOOKUP($B254,Empresa!G:G,Empresa!K:K),"")</f>
        <v/>
      </c>
      <c r="O254" s="49"/>
      <c r="P254" s="19" t="str">
        <f t="shared" ref="P254:P255" si="69">IFERROR(_xlfn.XLOOKUP($F254,'Vee one'!F:F,'Vee one'!O:O),"")</f>
        <v/>
      </c>
      <c r="Q254" s="19" t="str">
        <f t="shared" ref="Q254:Q255" si="70">IFERROR(_xlfn.XLOOKUP($F254,'Vee one'!F:F,'Vee one'!K:K),"")</f>
        <v/>
      </c>
      <c r="R254" s="19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</row>
    <row r="255" hidden="1">
      <c r="A255" s="47" t="s">
        <v>830</v>
      </c>
      <c r="B255" s="47" t="s">
        <v>831</v>
      </c>
      <c r="C255" s="19" t="str">
        <f t="array" ref="C255">IFERROR(_xlfn.XLOOKUP($B255,'Histórico'!$B:$B,'Histórico'!$I:$I),"")</f>
        <v>3034792</v>
      </c>
      <c r="D255" s="19" t="str">
        <f t="array" ref="D255">IFERROR(_xlfn.XLOOKUP($B255,'Histórico'!$B:$B,'Histórico'!$J:$J),"")</f>
        <v>00198</v>
      </c>
      <c r="E255" s="19" t="str">
        <f t="array" ref="E255">IFERROR(_xlfn.XLOOKUP($B255,'Histórico'!$B:$B,'Histórico'!$K:$K),"")</f>
        <v>BOMBA DE COMBUSTÍVEL</v>
      </c>
      <c r="F255" s="19" t="str">
        <f t="array" ref="F255">IFERROR(_xlfn.XLOOKUP($B255,'Histórico'!$B:$B,'Histórico'!$L:$L),"")</f>
        <v>004207</v>
      </c>
      <c r="G255" s="49" t="str">
        <f t="array" ref="G255">IFERROR(_xlfn.XLOOKUP($B255,'Histórico'!$B:$B,'Histórico'!$F:$F),"")</f>
        <v>10/02/2026</v>
      </c>
      <c r="H255" s="19" t="str">
        <f t="array" ref="H255">IFERROR(_xlfn.XLOOKUP($B255,'Histórico'!$B:$B,'Histórico'!$AA:$AA),"")</f>
        <v>BABR</v>
      </c>
      <c r="I255" s="19" t="str">
        <f t="array" ref="I255">IFERROR(_xlfn.XLOOKUP($B255,Atual!$B:$B,Atual!$E:$E),"OS concluída")</f>
        <v>OS concluída</v>
      </c>
      <c r="J255" s="19" t="str">
        <f t="shared" si="1"/>
        <v/>
      </c>
      <c r="K255" s="19"/>
      <c r="L255" s="19" t="str">
        <f t="shared" si="2"/>
        <v/>
      </c>
      <c r="M255" s="19"/>
      <c r="N255" s="49" t="str">
        <f t="shared" si="68"/>
        <v/>
      </c>
      <c r="O255" s="49"/>
      <c r="P255" s="19" t="str">
        <f t="shared" si="69"/>
        <v/>
      </c>
      <c r="Q255" s="19" t="str">
        <f t="shared" si="70"/>
        <v/>
      </c>
      <c r="R255" s="19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</row>
    <row r="256">
      <c r="A256" s="47" t="s">
        <v>832</v>
      </c>
      <c r="B256" s="47" t="s">
        <v>833</v>
      </c>
      <c r="C256" s="48" t="str">
        <f t="array" ref="C256">IFERROR(_xlfn.XLOOKUP($B256,'Histórico'!$B:$B,'Histórico'!$I:$I),"")</f>
        <v>TFF2905-13</v>
      </c>
      <c r="D256" s="19" t="str">
        <f t="array" ref="D256">IFERROR(_xlfn.XLOOKUP($B256,'Histórico'!$B:$B,'Histórico'!$J:$J),"")</f>
        <v>13068</v>
      </c>
      <c r="E256" s="19" t="str">
        <f t="array" ref="E256">IFERROR(_xlfn.XLOOKUP($B256,'Histórico'!$B:$B,'Histórico'!$K:$K),"")</f>
        <v>FUEL FLOW TRANSDUCER</v>
      </c>
      <c r="F256" s="19" t="str">
        <f t="array" ref="F256">IFERROR(_xlfn.XLOOKUP($B256,'Histórico'!$B:$B,'Histórico'!$L:$L),"")</f>
        <v>1656</v>
      </c>
      <c r="G256" s="49" t="str">
        <f t="array" ref="G256">IFERROR(_xlfn.XLOOKUP($B256,'Histórico'!$B:$B,'Histórico'!$F:$F),"")</f>
        <v>10/02/2026</v>
      </c>
      <c r="H256" s="19" t="str">
        <f t="array" ref="H256">IFERROR(_xlfn.XLOOKUP($B256,'Histórico'!$B:$B,'Histórico'!$AA:$AA),"")</f>
        <v>ALA 8</v>
      </c>
      <c r="I256" s="19" t="str">
        <f t="array" ref="I256">IFERROR(_xlfn.XLOOKUP($B256,Atual!$B:$B,Atual!$E:$E),"OS concluída")</f>
        <v>REC</v>
      </c>
      <c r="J256" s="19">
        <f t="shared" si="1"/>
        <v>247</v>
      </c>
      <c r="K256" s="19"/>
      <c r="L256" s="19">
        <f t="shared" si="2"/>
        <v>162</v>
      </c>
      <c r="M256" s="19"/>
      <c r="N256" s="49">
        <f t="array" ref="N256">IFERROR(_xlfn.XLOOKUP($B256,EMPRESA_1!A:A,EMPRESA_1!J:J),"")</f>
        <v>46225</v>
      </c>
      <c r="O256" s="50" t="str">
        <f t="array" ref="O256">IFERROR(_xlfn.XLOOKUP(B256,EMPRESA_1!A:A,EMPRESA_1!K:K),"")
</f>
        <v>PAMA-LS</v>
      </c>
      <c r="P256" s="48" t="str">
        <f t="array" ref="P256">IFERROR(_xlfn.XLOOKUP(B256,EMPRESA_1!A:A,EMPRESA_1!L:L),"")</f>
        <v>623/FAB/26</v>
      </c>
      <c r="Q256" s="49">
        <f t="array" ref="Q256">IFERROR(_xlfn.XLOOKUP(B256,EMPRESA_1!A:A,EMPRESA_1!J:J),"")</f>
        <v>46225</v>
      </c>
      <c r="R256" s="19" t="str">
        <f t="array" ref="R256">IFERROR(_xlfn.XLOOKUP(B256,EMPRESA_1!A:A,EMPRESA_1!M:M),"")</f>
        <v/>
      </c>
      <c r="S256" s="51"/>
      <c r="T256" s="51" t="str">
        <f t="array" ref="T256">IFERROR(_xlfn.XLOOKUP($F256,'Acerto virtual'!$E:$E,'Acerto virtual'!F:F),"")</f>
        <v/>
      </c>
      <c r="U256" s="51" t="str">
        <f t="array" ref="U256">IFERROR(_xlfn.XLOOKUP($F256,'Acerto virtual'!$E:$E,'Acerto virtual'!G:G),"")</f>
        <v/>
      </c>
      <c r="V256" s="51" t="str">
        <f t="array" ref="V256">IFERROR(_xlfn.XLOOKUP($F256,'Acerto virtual'!$E:$E,'Acerto virtual'!H:H),"")</f>
        <v/>
      </c>
      <c r="W256" s="51" t="str">
        <f t="array" ref="W256">IFERROR(_xlfn.XLOOKUP($F256,'Acerto virtual'!$E:$E,'Acerto virtual'!I:I),"")</f>
        <v/>
      </c>
      <c r="X256" s="51" t="str">
        <f t="array" ref="X256">IFERROR(_xlfn.XLOOKUP($F256,'Acerto virtual'!$E:$E,'Acerto virtual'!J:J),"")</f>
        <v/>
      </c>
      <c r="Y256" s="51" t="str">
        <f t="array" ref="Y256">IFERROR(_xlfn.XLOOKUP($F256,'Acerto virtual'!$E:$E,'Acerto virtual'!K:K),"")</f>
        <v/>
      </c>
      <c r="Z256" s="51" t="str">
        <f t="array" ref="Z256">IFERROR(_xlfn.XLOOKUP($F256,'Acerto virtual'!$E:$E,'Acerto virtual'!L:L),"")</f>
        <v/>
      </c>
      <c r="AA256" s="51" t="str">
        <f t="array" ref="AA256">IFERROR(_xlfn.XLOOKUP($F256,'Acerto virtual'!$E:$E,'Acerto virtual'!M:M),"")</f>
        <v/>
      </c>
      <c r="AB256" s="51" t="str">
        <f t="array" ref="AB256">IFERROR(_xlfn.XLOOKUP($F256,'Acerto virtual'!$E:$E,'Acerto virtual'!N:N),"")</f>
        <v/>
      </c>
      <c r="AC256" s="51" t="str">
        <f t="array" ref="AC256">IFERROR(_xlfn.XLOOKUP($F256,'Acerto virtual'!$E:$E,'Acerto virtual'!O:O),"")</f>
        <v/>
      </c>
      <c r="AD256" s="51" t="str">
        <f t="array" ref="AD256">IFERROR(_xlfn.XLOOKUP($F256,'Acerto virtual'!$E:$E,'Acerto virtual'!P:P),"")</f>
        <v/>
      </c>
      <c r="AE256" s="51" t="str">
        <f t="array" ref="AE256">IFERROR(_xlfn.XLOOKUP($F256,'Acerto virtual'!$E:$E,'Acerto virtual'!Q:Q),"")</f>
        <v/>
      </c>
      <c r="AF256" s="51" t="str">
        <f t="array" ref="AF256">IFERROR(_xlfn.XLOOKUP($F256,'Acerto virtual'!$E:$E,'Acerto virtual'!R:R),"")</f>
        <v/>
      </c>
      <c r="AG256" s="51" t="str">
        <f t="array" ref="AG256">IFERROR(_xlfn.XLOOKUP($F256,'Acerto virtual'!$E:$E,'Acerto virtual'!S:S),"")</f>
        <v/>
      </c>
      <c r="AH256" s="51" t="str">
        <f t="array" ref="AH256">IFERROR(_xlfn.XLOOKUP($F256,'Acerto virtual'!$E:$E,'Acerto virtual'!T:T),"")</f>
        <v/>
      </c>
      <c r="AI256" s="51" t="str">
        <f t="array" ref="AI256">IFERROR(_xlfn.XLOOKUP($F256,'Acerto virtual'!$E:$E,'Acerto virtual'!U:U),"")</f>
        <v/>
      </c>
    </row>
    <row r="257">
      <c r="A257" s="47" t="s">
        <v>834</v>
      </c>
      <c r="B257" s="47" t="s">
        <v>835</v>
      </c>
      <c r="C257" s="48" t="str">
        <f t="array" ref="C257">IFERROR(_xlfn.XLOOKUP($B257,'Histórico'!$B:$B,'Histórico'!$I:$I),"")</f>
        <v>C661065-0240RX</v>
      </c>
      <c r="D257" s="19" t="str">
        <f t="array" ref="D257">IFERROR(_xlfn.XLOOKUP($B257,'Histórico'!$B:$B,'Histórico'!$J:$J),"")</f>
        <v>7EK50</v>
      </c>
      <c r="E257" s="19" t="str">
        <f t="array" ref="E257">IFERROR(_xlfn.XLOOKUP($B257,'Histórico'!$B:$B,'Histórico'!$K:$K),"")</f>
        <v>INDICATOR, AIRSPEED</v>
      </c>
      <c r="F257" s="19" t="str">
        <f t="array" ref="F257">IFERROR(_xlfn.XLOOKUP($B257,'Histórico'!$B:$B,'Histórico'!$L:$L),"")</f>
        <v>T49314</v>
      </c>
      <c r="G257" s="49" t="str">
        <f t="array" ref="G257">IFERROR(_xlfn.XLOOKUP($B257,'Histórico'!$B:$B,'Histórico'!$F:$F),"")</f>
        <v>10/02/2026</v>
      </c>
      <c r="H257" s="19" t="str">
        <f t="array" ref="H257">IFERROR(_xlfn.XLOOKUP($B257,'Histórico'!$B:$B,'Histórico'!$AA:$AA),"")</f>
        <v>BACG</v>
      </c>
      <c r="I257" s="19" t="str">
        <f t="array" ref="I257">IFERROR(_xlfn.XLOOKUP($B257,Atual!$B:$B,Atual!$E:$E),"OS concluída")</f>
        <v>REC</v>
      </c>
      <c r="J257" s="19">
        <f t="shared" si="1"/>
        <v>247</v>
      </c>
      <c r="K257" s="19"/>
      <c r="L257" s="19" t="str">
        <f t="shared" si="2"/>
        <v>NÃO APLICÁVEL</v>
      </c>
      <c r="M257" s="19"/>
      <c r="N257" s="49" t="str">
        <f t="array" ref="N257">IFERROR(_xlfn.XLOOKUP($B257,EMPRESA_1!A:A,EMPRESA_1!J:J),"")</f>
        <v>EM REPARO</v>
      </c>
      <c r="O257" s="50" t="str">
        <f t="array" ref="O257">IFERROR(_xlfn.XLOOKUP(B257,EMPRESA_1!A:A,EMPRESA_1!K:K),"")
</f>
        <v>WILLIAM</v>
      </c>
      <c r="P257" s="48" t="str">
        <f t="array" ref="P257">IFERROR(_xlfn.XLOOKUP(B257,EMPRESA_1!A:A,EMPRESA_1!L:L),"")</f>
        <v/>
      </c>
      <c r="Q257" s="49" t="str">
        <f t="array" ref="Q257">IFERROR(_xlfn.XLOOKUP(B257,EMPRESA_1!A:A,EMPRESA_1!J:J),"")</f>
        <v>EM REPARO</v>
      </c>
      <c r="R257" s="19" t="str">
        <f t="array" ref="R257">IFERROR(_xlfn.XLOOKUP(B257,EMPRESA_1!A:A,EMPRESA_1!M:M),"")</f>
        <v/>
      </c>
      <c r="S257" s="51"/>
      <c r="T257" s="51" t="str">
        <f t="array" ref="T257">IFERROR(_xlfn.XLOOKUP($F257,'Acerto virtual'!$E:$E,'Acerto virtual'!F:F),"")</f>
        <v/>
      </c>
      <c r="U257" s="51" t="str">
        <f t="array" ref="U257">IFERROR(_xlfn.XLOOKUP($F257,'Acerto virtual'!$E:$E,'Acerto virtual'!G:G),"")</f>
        <v/>
      </c>
      <c r="V257" s="51" t="str">
        <f t="array" ref="V257">IFERROR(_xlfn.XLOOKUP($F257,'Acerto virtual'!$E:$E,'Acerto virtual'!H:H),"")</f>
        <v/>
      </c>
      <c r="W257" s="51" t="str">
        <f t="array" ref="W257">IFERROR(_xlfn.XLOOKUP($F257,'Acerto virtual'!$E:$E,'Acerto virtual'!I:I),"")</f>
        <v/>
      </c>
      <c r="X257" s="51" t="str">
        <f t="array" ref="X257">IFERROR(_xlfn.XLOOKUP($F257,'Acerto virtual'!$E:$E,'Acerto virtual'!J:J),"")</f>
        <v/>
      </c>
      <c r="Y257" s="51" t="str">
        <f t="array" ref="Y257">IFERROR(_xlfn.XLOOKUP($F257,'Acerto virtual'!$E:$E,'Acerto virtual'!K:K),"")</f>
        <v/>
      </c>
      <c r="Z257" s="51" t="str">
        <f t="array" ref="Z257">IFERROR(_xlfn.XLOOKUP($F257,'Acerto virtual'!$E:$E,'Acerto virtual'!L:L),"")</f>
        <v/>
      </c>
      <c r="AA257" s="51" t="str">
        <f t="array" ref="AA257">IFERROR(_xlfn.XLOOKUP($F257,'Acerto virtual'!$E:$E,'Acerto virtual'!M:M),"")</f>
        <v/>
      </c>
      <c r="AB257" s="51" t="str">
        <f t="array" ref="AB257">IFERROR(_xlfn.XLOOKUP($F257,'Acerto virtual'!$E:$E,'Acerto virtual'!N:N),"")</f>
        <v/>
      </c>
      <c r="AC257" s="51" t="str">
        <f t="array" ref="AC257">IFERROR(_xlfn.XLOOKUP($F257,'Acerto virtual'!$E:$E,'Acerto virtual'!O:O),"")</f>
        <v/>
      </c>
      <c r="AD257" s="51" t="str">
        <f t="array" ref="AD257">IFERROR(_xlfn.XLOOKUP($F257,'Acerto virtual'!$E:$E,'Acerto virtual'!P:P),"")</f>
        <v/>
      </c>
      <c r="AE257" s="51" t="str">
        <f t="array" ref="AE257">IFERROR(_xlfn.XLOOKUP($F257,'Acerto virtual'!$E:$E,'Acerto virtual'!Q:Q),"")</f>
        <v/>
      </c>
      <c r="AF257" s="51" t="str">
        <f t="array" ref="AF257">IFERROR(_xlfn.XLOOKUP($F257,'Acerto virtual'!$E:$E,'Acerto virtual'!R:R),"")</f>
        <v/>
      </c>
      <c r="AG257" s="51" t="str">
        <f t="array" ref="AG257">IFERROR(_xlfn.XLOOKUP($F257,'Acerto virtual'!$E:$E,'Acerto virtual'!S:S),"")</f>
        <v/>
      </c>
      <c r="AH257" s="51" t="str">
        <f t="array" ref="AH257">IFERROR(_xlfn.XLOOKUP($F257,'Acerto virtual'!$E:$E,'Acerto virtual'!T:T),"")</f>
        <v/>
      </c>
      <c r="AI257" s="51" t="str">
        <f t="array" ref="AI257">IFERROR(_xlfn.XLOOKUP($F257,'Acerto virtual'!$E:$E,'Acerto virtual'!U:U),"")</f>
        <v/>
      </c>
    </row>
    <row r="258" hidden="1">
      <c r="A258" s="47" t="s">
        <v>836</v>
      </c>
      <c r="B258" s="47" t="s">
        <v>837</v>
      </c>
      <c r="C258" s="48" t="str">
        <f t="array" ref="C258">IFERROR(_xlfn.XLOOKUP($B258,'Histórico'!$B:$B,'Histórico'!$I:$I),"")</f>
        <v>C661065-0240</v>
      </c>
      <c r="D258" s="19" t="str">
        <f t="array" ref="D258">IFERROR(_xlfn.XLOOKUP($B258,'Histórico'!$B:$B,'Histórico'!$J:$J),"")</f>
        <v>7EK50</v>
      </c>
      <c r="E258" s="19" t="str">
        <f t="array" ref="E258">IFERROR(_xlfn.XLOOKUP($B258,'Histórico'!$B:$B,'Histórico'!$K:$K),"")</f>
        <v>AIRSPEED INDICATOR</v>
      </c>
      <c r="F258" s="19" t="str">
        <f t="array" ref="F258">IFERROR(_xlfn.XLOOKUP($B258,'Histórico'!$B:$B,'Histórico'!$L:$L),"")</f>
        <v>T49816</v>
      </c>
      <c r="G258" s="49" t="str">
        <f t="array" ref="G258">IFERROR(_xlfn.XLOOKUP($B258,'Histórico'!$B:$B,'Histórico'!$F:$F),"")</f>
        <v>10/02/2026</v>
      </c>
      <c r="H258" s="19" t="str">
        <f t="array" ref="H258">IFERROR(_xlfn.XLOOKUP($B258,'Histórico'!$B:$B,'Histórico'!$AA:$AA),"")</f>
        <v>BABE</v>
      </c>
      <c r="I258" s="19" t="str">
        <f t="array" ref="I258">IFERROR(_xlfn.XLOOKUP($B258,Atual!$B:$B,Atual!$E:$E),"OS concluída")</f>
        <v>OS concluída</v>
      </c>
      <c r="J258" s="19" t="str">
        <f t="shared" si="1"/>
        <v/>
      </c>
      <c r="K258" s="19"/>
      <c r="L258" s="19">
        <f t="shared" si="2"/>
        <v>72</v>
      </c>
      <c r="M258" s="19"/>
      <c r="N258" s="49">
        <f t="array" ref="N258">IFERROR(_xlfn.XLOOKUP($B258,EMPRESA_1!A:A,EMPRESA_1!J:J),"")</f>
        <v>46135</v>
      </c>
      <c r="O258" s="50" t="str">
        <f t="array" ref="O258">IFERROR(_xlfn.XLOOKUP(B258,EMPRESA_1!A:A,EMPRESA_1!K:K),"")
</f>
        <v>PAMA-LS</v>
      </c>
      <c r="P258" s="48" t="str">
        <f t="array" ref="P258">IFERROR(_xlfn.XLOOKUP(B258,EMPRESA_1!A:A,EMPRESA_1!L:L),"")</f>
        <v>682/FAB/26</v>
      </c>
      <c r="Q258" s="49">
        <f t="array" ref="Q258">IFERROR(_xlfn.XLOOKUP(B258,EMPRESA_1!A:A,EMPRESA_1!J:J),"")</f>
        <v>46135</v>
      </c>
      <c r="R258" s="19" t="str">
        <f t="array" ref="R258">IFERROR(_xlfn.XLOOKUP(B258,EMPRESA_1!A:A,EMPRESA_1!M:M),"")</f>
        <v/>
      </c>
      <c r="S258" s="51"/>
      <c r="T258" s="51" t="str">
        <f t="array" ref="T258">IFERROR(_xlfn.XLOOKUP($F258,'Acerto virtual'!$E:$E,'Acerto virtual'!F:F),"")</f>
        <v/>
      </c>
      <c r="U258" s="51" t="str">
        <f t="array" ref="U258">IFERROR(_xlfn.XLOOKUP($F258,'Acerto virtual'!$E:$E,'Acerto virtual'!G:G),"")</f>
        <v/>
      </c>
      <c r="V258" s="51" t="str">
        <f t="array" ref="V258">IFERROR(_xlfn.XLOOKUP($F258,'Acerto virtual'!$E:$E,'Acerto virtual'!H:H),"")</f>
        <v/>
      </c>
      <c r="W258" s="51" t="str">
        <f t="array" ref="W258">IFERROR(_xlfn.XLOOKUP($F258,'Acerto virtual'!$E:$E,'Acerto virtual'!I:I),"")</f>
        <v/>
      </c>
      <c r="X258" s="51" t="str">
        <f t="array" ref="X258">IFERROR(_xlfn.XLOOKUP($F258,'Acerto virtual'!$E:$E,'Acerto virtual'!J:J),"")</f>
        <v/>
      </c>
      <c r="Y258" s="51" t="str">
        <f t="array" ref="Y258">IFERROR(_xlfn.XLOOKUP($F258,'Acerto virtual'!$E:$E,'Acerto virtual'!K:K),"")</f>
        <v/>
      </c>
      <c r="Z258" s="51" t="str">
        <f t="array" ref="Z258">IFERROR(_xlfn.XLOOKUP($F258,'Acerto virtual'!$E:$E,'Acerto virtual'!L:L),"")</f>
        <v/>
      </c>
      <c r="AA258" s="51" t="str">
        <f t="array" ref="AA258">IFERROR(_xlfn.XLOOKUP($F258,'Acerto virtual'!$E:$E,'Acerto virtual'!M:M),"")</f>
        <v/>
      </c>
      <c r="AB258" s="51" t="str">
        <f t="array" ref="AB258">IFERROR(_xlfn.XLOOKUP($F258,'Acerto virtual'!$E:$E,'Acerto virtual'!N:N),"")</f>
        <v/>
      </c>
      <c r="AC258" s="51" t="str">
        <f t="array" ref="AC258">IFERROR(_xlfn.XLOOKUP($F258,'Acerto virtual'!$E:$E,'Acerto virtual'!O:O),"")</f>
        <v/>
      </c>
      <c r="AD258" s="51" t="str">
        <f t="array" ref="AD258">IFERROR(_xlfn.XLOOKUP($F258,'Acerto virtual'!$E:$E,'Acerto virtual'!P:P),"")</f>
        <v/>
      </c>
      <c r="AE258" s="51" t="str">
        <f t="array" ref="AE258">IFERROR(_xlfn.XLOOKUP($F258,'Acerto virtual'!$E:$E,'Acerto virtual'!Q:Q),"")</f>
        <v/>
      </c>
      <c r="AF258" s="51" t="str">
        <f t="array" ref="AF258">IFERROR(_xlfn.XLOOKUP($F258,'Acerto virtual'!$E:$E,'Acerto virtual'!R:R),"")</f>
        <v/>
      </c>
      <c r="AG258" s="51" t="str">
        <f t="array" ref="AG258">IFERROR(_xlfn.XLOOKUP($F258,'Acerto virtual'!$E:$E,'Acerto virtual'!S:S),"")</f>
        <v/>
      </c>
      <c r="AH258" s="51" t="str">
        <f t="array" ref="AH258">IFERROR(_xlfn.XLOOKUP($F258,'Acerto virtual'!$E:$E,'Acerto virtual'!T:T),"")</f>
        <v/>
      </c>
      <c r="AI258" s="51" t="str">
        <f t="array" ref="AI258">IFERROR(_xlfn.XLOOKUP($F258,'Acerto virtual'!$E:$E,'Acerto virtual'!U:U),"")</f>
        <v/>
      </c>
    </row>
    <row r="259">
      <c r="A259" s="47" t="s">
        <v>838</v>
      </c>
      <c r="B259" s="47" t="s">
        <v>839</v>
      </c>
      <c r="C259" s="48" t="str">
        <f t="array" ref="C259">IFERROR(_xlfn.XLOOKUP($B259,'Histórico'!$B:$B,'Histórico'!$I:$I),"")</f>
        <v>011-00831-00</v>
      </c>
      <c r="D259" s="19" t="str">
        <f t="array" ref="D259">IFERROR(_xlfn.XLOOKUP($B259,'Histórico'!$B:$B,'Histórico'!$J:$J),"")</f>
        <v>0TRC3</v>
      </c>
      <c r="E259" s="19" t="str">
        <f t="array" ref="E259">IFERROR(_xlfn.XLOOKUP($B259,'Histórico'!$B:$B,'Histórico'!$K:$K),"")</f>
        <v>ENGINE INTERFA,SPEC</v>
      </c>
      <c r="F259" s="19" t="str">
        <f t="array" ref="F259">IFERROR(_xlfn.XLOOKUP($B259,'Histórico'!$B:$B,'Histórico'!$L:$L),"")</f>
        <v>46710866</v>
      </c>
      <c r="G259" s="49" t="str">
        <f t="array" ref="G259">IFERROR(_xlfn.XLOOKUP($B259,'Histórico'!$B:$B,'Histórico'!$F:$F),"")</f>
        <v>10/02/2026</v>
      </c>
      <c r="H259" s="19" t="str">
        <f t="array" ref="H259">IFERROR(_xlfn.XLOOKUP($B259,'Histórico'!$B:$B,'Histórico'!$AA:$AA),"")</f>
        <v>BAPV</v>
      </c>
      <c r="I259" s="19" t="str">
        <f t="array" ref="I259">IFERROR(_xlfn.XLOOKUP($B259,Atual!$B:$B,Atual!$E:$E),"OS concluída")</f>
        <v>REC</v>
      </c>
      <c r="J259" s="19">
        <f t="shared" si="1"/>
        <v>247</v>
      </c>
      <c r="K259" s="19"/>
      <c r="L259" s="19">
        <f t="shared" si="2"/>
        <v>23</v>
      </c>
      <c r="M259" s="19"/>
      <c r="N259" s="49">
        <f t="array" ref="N259">IFERROR(_xlfn.XLOOKUP($B259,EMPRESA_1!A:A,EMPRESA_1!J:J),"")</f>
        <v>46086</v>
      </c>
      <c r="O259" s="50" t="str">
        <f t="array" ref="O259">IFERROR(_xlfn.XLOOKUP(B259,EMPRESA_1!A:A,EMPRESA_1!K:K),"")
</f>
        <v>VEE ONE</v>
      </c>
      <c r="P259" s="48" t="str">
        <f t="array" ref="P259">IFERROR(_xlfn.XLOOKUP(B259,EMPRESA_1!A:A,EMPRESA_1!L:L),"")</f>
        <v/>
      </c>
      <c r="Q259" s="49">
        <f t="array" ref="Q259">IFERROR(_xlfn.XLOOKUP(B259,EMPRESA_1!A:A,EMPRESA_1!J:J),"")</f>
        <v>46086</v>
      </c>
      <c r="R259" s="19">
        <f t="array" ref="R259">IFERROR(_xlfn.XLOOKUP(B259,EMPRESA_1!A:A,EMPRESA_1!M:M),"")</f>
        <v>46714369</v>
      </c>
      <c r="S259" s="51"/>
      <c r="T259" s="51" t="str">
        <f t="array" ref="T259">IFERROR(_xlfn.XLOOKUP($F259,'Acerto virtual'!$E:$E,'Acerto virtual'!F:F),"")</f>
        <v/>
      </c>
      <c r="U259" s="51" t="str">
        <f t="array" ref="U259">IFERROR(_xlfn.XLOOKUP($F259,'Acerto virtual'!$E:$E,'Acerto virtual'!G:G),"")</f>
        <v/>
      </c>
      <c r="V259" s="51" t="str">
        <f t="array" ref="V259">IFERROR(_xlfn.XLOOKUP($F259,'Acerto virtual'!$E:$E,'Acerto virtual'!H:H),"")</f>
        <v/>
      </c>
      <c r="W259" s="51" t="str">
        <f t="array" ref="W259">IFERROR(_xlfn.XLOOKUP($F259,'Acerto virtual'!$E:$E,'Acerto virtual'!I:I),"")</f>
        <v/>
      </c>
      <c r="X259" s="51" t="str">
        <f t="array" ref="X259">IFERROR(_xlfn.XLOOKUP($F259,'Acerto virtual'!$E:$E,'Acerto virtual'!J:J),"")</f>
        <v/>
      </c>
      <c r="Y259" s="51" t="str">
        <f t="array" ref="Y259">IFERROR(_xlfn.XLOOKUP($F259,'Acerto virtual'!$E:$E,'Acerto virtual'!K:K),"")</f>
        <v/>
      </c>
      <c r="Z259" s="51" t="str">
        <f t="array" ref="Z259">IFERROR(_xlfn.XLOOKUP($F259,'Acerto virtual'!$E:$E,'Acerto virtual'!L:L),"")</f>
        <v/>
      </c>
      <c r="AA259" s="51" t="str">
        <f t="array" ref="AA259">IFERROR(_xlfn.XLOOKUP($F259,'Acerto virtual'!$E:$E,'Acerto virtual'!M:M),"")</f>
        <v/>
      </c>
      <c r="AB259" s="51" t="str">
        <f t="array" ref="AB259">IFERROR(_xlfn.XLOOKUP($F259,'Acerto virtual'!$E:$E,'Acerto virtual'!N:N),"")</f>
        <v/>
      </c>
      <c r="AC259" s="51" t="str">
        <f t="array" ref="AC259">IFERROR(_xlfn.XLOOKUP($F259,'Acerto virtual'!$E:$E,'Acerto virtual'!O:O),"")</f>
        <v/>
      </c>
      <c r="AD259" s="51" t="str">
        <f t="array" ref="AD259">IFERROR(_xlfn.XLOOKUP($F259,'Acerto virtual'!$E:$E,'Acerto virtual'!P:P),"")</f>
        <v/>
      </c>
      <c r="AE259" s="51" t="str">
        <f t="array" ref="AE259">IFERROR(_xlfn.XLOOKUP($F259,'Acerto virtual'!$E:$E,'Acerto virtual'!Q:Q),"")</f>
        <v/>
      </c>
      <c r="AF259" s="51" t="str">
        <f t="array" ref="AF259">IFERROR(_xlfn.XLOOKUP($F259,'Acerto virtual'!$E:$E,'Acerto virtual'!R:R),"")</f>
        <v/>
      </c>
      <c r="AG259" s="51" t="str">
        <f t="array" ref="AG259">IFERROR(_xlfn.XLOOKUP($F259,'Acerto virtual'!$E:$E,'Acerto virtual'!S:S),"")</f>
        <v/>
      </c>
      <c r="AH259" s="51" t="str">
        <f t="array" ref="AH259">IFERROR(_xlfn.XLOOKUP($F259,'Acerto virtual'!$E:$E,'Acerto virtual'!T:T),"")</f>
        <v/>
      </c>
      <c r="AI259" s="51" t="str">
        <f t="array" ref="AI259">IFERROR(_xlfn.XLOOKUP($F259,'Acerto virtual'!$E:$E,'Acerto virtual'!U:U),"")</f>
        <v/>
      </c>
    </row>
    <row r="260" hidden="1">
      <c r="A260" s="47" t="s">
        <v>840</v>
      </c>
      <c r="B260" s="47" t="s">
        <v>841</v>
      </c>
      <c r="C260" s="19" t="str">
        <f t="array" ref="C260">IFERROR(_xlfn.XLOOKUP($B260,'Histórico'!$B:$B,'Histórico'!$I:$I),"")</f>
        <v>011-00882-10</v>
      </c>
      <c r="D260" s="19" t="str">
        <f t="array" ref="D260">IFERROR(_xlfn.XLOOKUP($B260,'Histórico'!$B:$B,'Histórico'!$J:$J),"")</f>
        <v>0TRC3</v>
      </c>
      <c r="E260" s="19" t="str">
        <f t="array" ref="E260">IFERROR(_xlfn.XLOOKUP($B260,'Histórico'!$B:$B,'Histórico'!$K:$K),"")</f>
        <v>COMPUTER,AIR DATA</v>
      </c>
      <c r="F260" s="19" t="str">
        <f t="array" ref="F260">IFERROR(_xlfn.XLOOKUP($B260,'Histórico'!$B:$B,'Histórico'!$L:$L),"")</f>
        <v>20624851</v>
      </c>
      <c r="G260" s="49" t="str">
        <f t="array" ref="G260">IFERROR(_xlfn.XLOOKUP($B260,'Histórico'!$B:$B,'Histórico'!$F:$F),"")</f>
        <v>10/02/2026</v>
      </c>
      <c r="H260" s="19" t="str">
        <f t="array" ref="H260">IFERROR(_xlfn.XLOOKUP($B260,'Histórico'!$B:$B,'Histórico'!$AA:$AA),"")</f>
        <v>BAMN</v>
      </c>
      <c r="I260" s="19" t="str">
        <f t="array" ref="I260">IFERROR(_xlfn.XLOOKUP($B260,Atual!$B:$B,Atual!$E:$E),"OS concluída")</f>
        <v>OS concluída</v>
      </c>
      <c r="J260" s="19" t="str">
        <f t="shared" si="1"/>
        <v/>
      </c>
      <c r="K260" s="19"/>
      <c r="L260" s="19" t="str">
        <f t="shared" si="2"/>
        <v/>
      </c>
      <c r="M260" s="19"/>
      <c r="N260" s="49" t="str">
        <f t="shared" ref="N260:N261" si="71">IFERROR(_xlfn.XLOOKUP($B260,Empresa!G:G,Empresa!K:K),"")</f>
        <v/>
      </c>
      <c r="O260" s="49"/>
      <c r="P260" s="19" t="str">
        <f t="shared" ref="P260:P261" si="72">IFERROR(_xlfn.XLOOKUP($F260,'Vee one'!F:F,'Vee one'!O:O),"")</f>
        <v/>
      </c>
      <c r="Q260" s="19" t="str">
        <f t="shared" ref="Q260:Q261" si="73">IFERROR(_xlfn.XLOOKUP($F260,'Vee one'!F:F,'Vee one'!K:K),"")</f>
        <v/>
      </c>
      <c r="R260" s="19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</row>
    <row r="261" hidden="1">
      <c r="A261" s="47" t="s">
        <v>842</v>
      </c>
      <c r="B261" s="47" t="s">
        <v>843</v>
      </c>
      <c r="C261" s="19" t="str">
        <f t="array" ref="C261">IFERROR(_xlfn.XLOOKUP($B261,'Histórico'!$B:$B,'Histórico'!$I:$I),"")</f>
        <v>011-00882-10</v>
      </c>
      <c r="D261" s="19" t="str">
        <f t="array" ref="D261">IFERROR(_xlfn.XLOOKUP($B261,'Histórico'!$B:$B,'Histórico'!$J:$J),"")</f>
        <v>0TRC3</v>
      </c>
      <c r="E261" s="19" t="str">
        <f t="array" ref="E261">IFERROR(_xlfn.XLOOKUP($B261,'Histórico'!$B:$B,'Histórico'!$K:$K),"")</f>
        <v>COMPUTER,AIR DATA</v>
      </c>
      <c r="F261" s="19" t="str">
        <f t="array" ref="F261">IFERROR(_xlfn.XLOOKUP($B261,'Histórico'!$B:$B,'Histórico'!$L:$L),"")</f>
        <v>20625310</v>
      </c>
      <c r="G261" s="49" t="str">
        <f t="array" ref="G261">IFERROR(_xlfn.XLOOKUP($B261,'Histórico'!$B:$B,'Histórico'!$F:$F),"")</f>
        <v>10/02/2026</v>
      </c>
      <c r="H261" s="19" t="str">
        <f t="array" ref="H261">IFERROR(_xlfn.XLOOKUP($B261,'Histórico'!$B:$B,'Histórico'!$AA:$AA),"")</f>
        <v>BAMN</v>
      </c>
      <c r="I261" s="19" t="str">
        <f t="array" ref="I261">IFERROR(_xlfn.XLOOKUP($B261,Atual!$B:$B,Atual!$E:$E),"OS concluída")</f>
        <v>OS concluída</v>
      </c>
      <c r="J261" s="19" t="str">
        <f t="shared" si="1"/>
        <v/>
      </c>
      <c r="K261" s="19"/>
      <c r="L261" s="19" t="str">
        <f t="shared" si="2"/>
        <v/>
      </c>
      <c r="M261" s="19"/>
      <c r="N261" s="49" t="str">
        <f t="shared" si="71"/>
        <v/>
      </c>
      <c r="O261" s="49"/>
      <c r="P261" s="19" t="str">
        <f t="shared" si="72"/>
        <v/>
      </c>
      <c r="Q261" s="19" t="str">
        <f t="shared" si="73"/>
        <v/>
      </c>
      <c r="R261" s="19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</row>
    <row r="262" hidden="1">
      <c r="A262" s="47" t="s">
        <v>844</v>
      </c>
      <c r="B262" s="47" t="s">
        <v>845</v>
      </c>
      <c r="C262" s="48" t="str">
        <f t="array" ref="C262">IFERROR(_xlfn.XLOOKUP($B262,'Histórico'!$B:$B,'Histórico'!$I:$I),"")</f>
        <v>064-1054-30</v>
      </c>
      <c r="D262" s="19" t="str">
        <f t="array" ref="D262">IFERROR(_xlfn.XLOOKUP($B262,'Histórico'!$B:$B,'Histórico'!$J:$J),"")</f>
        <v>22373</v>
      </c>
      <c r="E262" s="19" t="str">
        <f t="array" ref="E262">IFERROR(_xlfn.XLOOKUP($B262,'Histórico'!$B:$B,'Histórico'!$K:$K),"")</f>
        <v>RECEIVER-TRANSMITTER SUBASSEMBLY</v>
      </c>
      <c r="F262" s="19" t="str">
        <f t="array" ref="F262">IFERROR(_xlfn.XLOOKUP($B262,'Histórico'!$B:$B,'Histórico'!$L:$L),"")</f>
        <v>2926</v>
      </c>
      <c r="G262" s="49" t="str">
        <f t="array" ref="G262">IFERROR(_xlfn.XLOOKUP($B262,'Histórico'!$B:$B,'Histórico'!$F:$F),"")</f>
        <v>10/02/2026</v>
      </c>
      <c r="H262" s="19" t="str">
        <f t="array" ref="H262">IFERROR(_xlfn.XLOOKUP($B262,'Histórico'!$B:$B,'Histórico'!$AA:$AA),"")</f>
        <v>PAMASP</v>
      </c>
      <c r="I262" s="19" t="str">
        <f t="array" ref="I262">IFERROR(_xlfn.XLOOKUP($B262,Atual!$B:$B,Atual!$E:$E),"OS concluída")</f>
        <v>OS concluída</v>
      </c>
      <c r="J262" s="19" t="str">
        <f t="shared" si="1"/>
        <v/>
      </c>
      <c r="K262" s="19"/>
      <c r="L262" s="19">
        <f t="shared" si="2"/>
        <v>72</v>
      </c>
      <c r="M262" s="19"/>
      <c r="N262" s="49">
        <f t="array" ref="N262">IFERROR(_xlfn.XLOOKUP($B262,EMPRESA_1!A:A,EMPRESA_1!J:J),"")</f>
        <v>46135</v>
      </c>
      <c r="O262" s="50" t="str">
        <f t="array" ref="O262">IFERROR(_xlfn.XLOOKUP(B262,EMPRESA_1!A:A,EMPRESA_1!K:K),"")
</f>
        <v>PAMA-LS</v>
      </c>
      <c r="P262" s="48" t="str">
        <f t="array" ref="P262">IFERROR(_xlfn.XLOOKUP(B262,EMPRESA_1!A:A,EMPRESA_1!L:L),"")</f>
        <v>682/FAB/26</v>
      </c>
      <c r="Q262" s="49">
        <f t="array" ref="Q262">IFERROR(_xlfn.XLOOKUP(B262,EMPRESA_1!A:A,EMPRESA_1!J:J),"")</f>
        <v>46135</v>
      </c>
      <c r="R262" s="19" t="str">
        <f t="array" ref="R262">IFERROR(_xlfn.XLOOKUP(B262,EMPRESA_1!A:A,EMPRESA_1!M:M),"")</f>
        <v/>
      </c>
      <c r="S262" s="51"/>
      <c r="T262" s="51" t="str">
        <f t="array" ref="T262">IFERROR(_xlfn.XLOOKUP($F262,'Acerto virtual'!$E:$E,'Acerto virtual'!F:F),"")</f>
        <v/>
      </c>
      <c r="U262" s="51" t="str">
        <f t="array" ref="U262">IFERROR(_xlfn.XLOOKUP($F262,'Acerto virtual'!$E:$E,'Acerto virtual'!G:G),"")</f>
        <v/>
      </c>
      <c r="V262" s="51" t="str">
        <f t="array" ref="V262">IFERROR(_xlfn.XLOOKUP($F262,'Acerto virtual'!$E:$E,'Acerto virtual'!H:H),"")</f>
        <v/>
      </c>
      <c r="W262" s="51" t="str">
        <f t="array" ref="W262">IFERROR(_xlfn.XLOOKUP($F262,'Acerto virtual'!$E:$E,'Acerto virtual'!I:I),"")</f>
        <v/>
      </c>
      <c r="X262" s="51" t="str">
        <f t="array" ref="X262">IFERROR(_xlfn.XLOOKUP($F262,'Acerto virtual'!$E:$E,'Acerto virtual'!J:J),"")</f>
        <v/>
      </c>
      <c r="Y262" s="51" t="str">
        <f t="array" ref="Y262">IFERROR(_xlfn.XLOOKUP($F262,'Acerto virtual'!$E:$E,'Acerto virtual'!K:K),"")</f>
        <v/>
      </c>
      <c r="Z262" s="51" t="str">
        <f t="array" ref="Z262">IFERROR(_xlfn.XLOOKUP($F262,'Acerto virtual'!$E:$E,'Acerto virtual'!L:L),"")</f>
        <v/>
      </c>
      <c r="AA262" s="51" t="str">
        <f t="array" ref="AA262">IFERROR(_xlfn.XLOOKUP($F262,'Acerto virtual'!$E:$E,'Acerto virtual'!M:M),"")</f>
        <v/>
      </c>
      <c r="AB262" s="51" t="str">
        <f t="array" ref="AB262">IFERROR(_xlfn.XLOOKUP($F262,'Acerto virtual'!$E:$E,'Acerto virtual'!N:N),"")</f>
        <v/>
      </c>
      <c r="AC262" s="51" t="str">
        <f t="array" ref="AC262">IFERROR(_xlfn.XLOOKUP($F262,'Acerto virtual'!$E:$E,'Acerto virtual'!O:O),"")</f>
        <v/>
      </c>
      <c r="AD262" s="51" t="str">
        <f t="array" ref="AD262">IFERROR(_xlfn.XLOOKUP($F262,'Acerto virtual'!$E:$E,'Acerto virtual'!P:P),"")</f>
        <v/>
      </c>
      <c r="AE262" s="51" t="str">
        <f t="array" ref="AE262">IFERROR(_xlfn.XLOOKUP($F262,'Acerto virtual'!$E:$E,'Acerto virtual'!Q:Q),"")</f>
        <v/>
      </c>
      <c r="AF262" s="51" t="str">
        <f t="array" ref="AF262">IFERROR(_xlfn.XLOOKUP($F262,'Acerto virtual'!$E:$E,'Acerto virtual'!R:R),"")</f>
        <v/>
      </c>
      <c r="AG262" s="51" t="str">
        <f t="array" ref="AG262">IFERROR(_xlfn.XLOOKUP($F262,'Acerto virtual'!$E:$E,'Acerto virtual'!S:S),"")</f>
        <v/>
      </c>
      <c r="AH262" s="51" t="str">
        <f t="array" ref="AH262">IFERROR(_xlfn.XLOOKUP($F262,'Acerto virtual'!$E:$E,'Acerto virtual'!T:T),"")</f>
        <v/>
      </c>
      <c r="AI262" s="51" t="str">
        <f t="array" ref="AI262">IFERROR(_xlfn.XLOOKUP($F262,'Acerto virtual'!$E:$E,'Acerto virtual'!U:U),"")</f>
        <v/>
      </c>
    </row>
    <row r="263" hidden="1">
      <c r="A263" s="47" t="s">
        <v>846</v>
      </c>
      <c r="B263" s="47" t="s">
        <v>847</v>
      </c>
      <c r="C263" s="48" t="str">
        <f t="array" ref="C263">IFERROR(_xlfn.XLOOKUP($B263,'Histórico'!$B:$B,'Histórico'!$I:$I),"")</f>
        <v>066-01141-0101</v>
      </c>
      <c r="D263" s="19" t="str">
        <f t="array" ref="D263">IFERROR(_xlfn.XLOOKUP($B263,'Histórico'!$B:$B,'Histórico'!$J:$J),"")</f>
        <v>22373</v>
      </c>
      <c r="E263" s="19" t="str">
        <f t="array" ref="E263">IFERROR(_xlfn.XLOOKUP($B263,'Histórico'!$B:$B,'Histórico'!$K:$K),"")</f>
        <v>RECEIVER,RADIO</v>
      </c>
      <c r="F263" s="19" t="str">
        <f t="array" ref="F263">IFERROR(_xlfn.XLOOKUP($B263,'Histórico'!$B:$B,'Histórico'!$L:$L),"")</f>
        <v>12023</v>
      </c>
      <c r="G263" s="49" t="str">
        <f t="array" ref="G263">IFERROR(_xlfn.XLOOKUP($B263,'Histórico'!$B:$B,'Histórico'!$F:$F),"")</f>
        <v>10/02/2026</v>
      </c>
      <c r="H263" s="19" t="str">
        <f t="array" ref="H263">IFERROR(_xlfn.XLOOKUP($B263,'Histórico'!$B:$B,'Histórico'!$AA:$AA),"")</f>
        <v>BANT</v>
      </c>
      <c r="I263" s="19" t="str">
        <f t="array" ref="I263">IFERROR(_xlfn.XLOOKUP($B263,Atual!$B:$B,Atual!$E:$E),"OS concluída")</f>
        <v>OS concluída</v>
      </c>
      <c r="J263" s="19" t="str">
        <f t="shared" si="1"/>
        <v/>
      </c>
      <c r="K263" s="19"/>
      <c r="L263" s="19">
        <f t="shared" si="2"/>
        <v>84</v>
      </c>
      <c r="M263" s="19"/>
      <c r="N263" s="49">
        <f t="array" ref="N263">IFERROR(_xlfn.XLOOKUP($B263,EMPRESA_1!A:A,EMPRESA_1!J:J),"")</f>
        <v>46147</v>
      </c>
      <c r="O263" s="50" t="str">
        <f t="array" ref="O263">IFERROR(_xlfn.XLOOKUP(B263,EMPRESA_1!A:A,EMPRESA_1!K:K),"")
</f>
        <v>PAMA-LS</v>
      </c>
      <c r="P263" s="48" t="str">
        <f t="array" ref="P263">IFERROR(_xlfn.XLOOKUP(B263,EMPRESA_1!A:A,EMPRESA_1!L:L),"")</f>
        <v>682/FAB/26</v>
      </c>
      <c r="Q263" s="49">
        <f t="array" ref="Q263">IFERROR(_xlfn.XLOOKUP(B263,EMPRESA_1!A:A,EMPRESA_1!J:J),"")</f>
        <v>46147</v>
      </c>
      <c r="R263" s="19" t="str">
        <f t="array" ref="R263">IFERROR(_xlfn.XLOOKUP(B263,EMPRESA_1!A:A,EMPRESA_1!M:M),"")</f>
        <v/>
      </c>
      <c r="S263" s="51"/>
      <c r="T263" s="51" t="str">
        <f t="array" ref="T263">IFERROR(_xlfn.XLOOKUP($F263,'Acerto virtual'!$E:$E,'Acerto virtual'!F:F),"")</f>
        <v/>
      </c>
      <c r="U263" s="51" t="str">
        <f t="array" ref="U263">IFERROR(_xlfn.XLOOKUP($F263,'Acerto virtual'!$E:$E,'Acerto virtual'!G:G),"")</f>
        <v/>
      </c>
      <c r="V263" s="51" t="str">
        <f t="array" ref="V263">IFERROR(_xlfn.XLOOKUP($F263,'Acerto virtual'!$E:$E,'Acerto virtual'!H:H),"")</f>
        <v/>
      </c>
      <c r="W263" s="51" t="str">
        <f t="array" ref="W263">IFERROR(_xlfn.XLOOKUP($F263,'Acerto virtual'!$E:$E,'Acerto virtual'!I:I),"")</f>
        <v/>
      </c>
      <c r="X263" s="51" t="str">
        <f t="array" ref="X263">IFERROR(_xlfn.XLOOKUP($F263,'Acerto virtual'!$E:$E,'Acerto virtual'!J:J),"")</f>
        <v/>
      </c>
      <c r="Y263" s="51" t="str">
        <f t="array" ref="Y263">IFERROR(_xlfn.XLOOKUP($F263,'Acerto virtual'!$E:$E,'Acerto virtual'!K:K),"")</f>
        <v/>
      </c>
      <c r="Z263" s="51" t="str">
        <f t="array" ref="Z263">IFERROR(_xlfn.XLOOKUP($F263,'Acerto virtual'!$E:$E,'Acerto virtual'!L:L),"")</f>
        <v/>
      </c>
      <c r="AA263" s="51" t="str">
        <f t="array" ref="AA263">IFERROR(_xlfn.XLOOKUP($F263,'Acerto virtual'!$E:$E,'Acerto virtual'!M:M),"")</f>
        <v/>
      </c>
      <c r="AB263" s="51" t="str">
        <f t="array" ref="AB263">IFERROR(_xlfn.XLOOKUP($F263,'Acerto virtual'!$E:$E,'Acerto virtual'!N:N),"")</f>
        <v/>
      </c>
      <c r="AC263" s="51" t="str">
        <f t="array" ref="AC263">IFERROR(_xlfn.XLOOKUP($F263,'Acerto virtual'!$E:$E,'Acerto virtual'!O:O),"")</f>
        <v/>
      </c>
      <c r="AD263" s="51" t="str">
        <f t="array" ref="AD263">IFERROR(_xlfn.XLOOKUP($F263,'Acerto virtual'!$E:$E,'Acerto virtual'!P:P),"")</f>
        <v/>
      </c>
      <c r="AE263" s="51" t="str">
        <f t="array" ref="AE263">IFERROR(_xlfn.XLOOKUP($F263,'Acerto virtual'!$E:$E,'Acerto virtual'!Q:Q),"")</f>
        <v/>
      </c>
      <c r="AF263" s="51" t="str">
        <f t="array" ref="AF263">IFERROR(_xlfn.XLOOKUP($F263,'Acerto virtual'!$E:$E,'Acerto virtual'!R:R),"")</f>
        <v/>
      </c>
      <c r="AG263" s="51" t="str">
        <f t="array" ref="AG263">IFERROR(_xlfn.XLOOKUP($F263,'Acerto virtual'!$E:$E,'Acerto virtual'!S:S),"")</f>
        <v/>
      </c>
      <c r="AH263" s="51" t="str">
        <f t="array" ref="AH263">IFERROR(_xlfn.XLOOKUP($F263,'Acerto virtual'!$E:$E,'Acerto virtual'!T:T),"")</f>
        <v/>
      </c>
      <c r="AI263" s="51" t="str">
        <f t="array" ref="AI263">IFERROR(_xlfn.XLOOKUP($F263,'Acerto virtual'!$E:$E,'Acerto virtual'!U:U),"")</f>
        <v/>
      </c>
    </row>
    <row r="264">
      <c r="A264" s="47" t="s">
        <v>848</v>
      </c>
      <c r="B264" s="47" t="s">
        <v>849</v>
      </c>
      <c r="C264" s="48" t="str">
        <f t="array" ref="C264">IFERROR(_xlfn.XLOOKUP($B264,'Histórico'!$B:$B,'Histórico'!$I:$I),"")</f>
        <v>065-0065-01</v>
      </c>
      <c r="D264" s="19" t="str">
        <f t="array" ref="D264">IFERROR(_xlfn.XLOOKUP($B264,'Histórico'!$B:$B,'Histórico'!$J:$J),"")</f>
        <v>22373</v>
      </c>
      <c r="E264" s="19" t="str">
        <f t="array" ref="E264">IFERROR(_xlfn.XLOOKUP($B264,'Histórico'!$B:$B,'Histórico'!$K:$K),"")</f>
        <v>SELECTOR ALT</v>
      </c>
      <c r="F264" s="19" t="str">
        <f t="array" ref="F264">IFERROR(_xlfn.XLOOKUP($B264,'Histórico'!$B:$B,'Histórico'!$L:$L),"")</f>
        <v>KAS297B-A23223</v>
      </c>
      <c r="G264" s="49" t="str">
        <f t="array" ref="G264">IFERROR(_xlfn.XLOOKUP($B264,'Histórico'!$B:$B,'Histórico'!$F:$F),"")</f>
        <v>10/02/2026</v>
      </c>
      <c r="H264" s="19" t="str">
        <f t="array" ref="H264">IFERROR(_xlfn.XLOOKUP($B264,'Histórico'!$B:$B,'Histórico'!$AA:$AA),"")</f>
        <v>BANT</v>
      </c>
      <c r="I264" s="19" t="str">
        <f t="array" ref="I264">IFERROR(_xlfn.XLOOKUP($B264,Atual!$B:$B,Atual!$E:$E),"OS concluída")</f>
        <v>REC</v>
      </c>
      <c r="J264" s="19">
        <f t="shared" si="1"/>
        <v>247</v>
      </c>
      <c r="K264" s="19"/>
      <c r="L264" s="19">
        <f t="shared" si="2"/>
        <v>162</v>
      </c>
      <c r="M264" s="19"/>
      <c r="N264" s="49">
        <f t="array" ref="N264">IFERROR(_xlfn.XLOOKUP($B264,EMPRESA_1!A:A,EMPRESA_1!J:J),"")</f>
        <v>46225</v>
      </c>
      <c r="O264" s="50" t="str">
        <f t="array" ref="O264">IFERROR(_xlfn.XLOOKUP(B264,EMPRESA_1!A:A,EMPRESA_1!K:K),"")
</f>
        <v>PAMA-LS</v>
      </c>
      <c r="P264" s="48" t="str">
        <f t="array" ref="P264">IFERROR(_xlfn.XLOOKUP(B264,EMPRESA_1!A:A,EMPRESA_1!L:L),"")</f>
        <v>599/FAB/26</v>
      </c>
      <c r="Q264" s="49">
        <f t="array" ref="Q264">IFERROR(_xlfn.XLOOKUP(B264,EMPRESA_1!A:A,EMPRESA_1!J:J),"")</f>
        <v>46225</v>
      </c>
      <c r="R264" s="19" t="str">
        <f t="array" ref="R264">IFERROR(_xlfn.XLOOKUP(B264,EMPRESA_1!A:A,EMPRESA_1!M:M),"")</f>
        <v/>
      </c>
      <c r="S264" s="51"/>
      <c r="T264" s="51" t="str">
        <f t="array" ref="T264">IFERROR(_xlfn.XLOOKUP($F264,'Acerto virtual'!$E:$E,'Acerto virtual'!F:F),"")</f>
        <v/>
      </c>
      <c r="U264" s="51" t="str">
        <f t="array" ref="U264">IFERROR(_xlfn.XLOOKUP($F264,'Acerto virtual'!$E:$E,'Acerto virtual'!G:G),"")</f>
        <v/>
      </c>
      <c r="V264" s="51" t="str">
        <f t="array" ref="V264">IFERROR(_xlfn.XLOOKUP($F264,'Acerto virtual'!$E:$E,'Acerto virtual'!H:H),"")</f>
        <v/>
      </c>
      <c r="W264" s="51" t="str">
        <f t="array" ref="W264">IFERROR(_xlfn.XLOOKUP($F264,'Acerto virtual'!$E:$E,'Acerto virtual'!I:I),"")</f>
        <v/>
      </c>
      <c r="X264" s="51" t="str">
        <f t="array" ref="X264">IFERROR(_xlfn.XLOOKUP($F264,'Acerto virtual'!$E:$E,'Acerto virtual'!J:J),"")</f>
        <v/>
      </c>
      <c r="Y264" s="51" t="str">
        <f t="array" ref="Y264">IFERROR(_xlfn.XLOOKUP($F264,'Acerto virtual'!$E:$E,'Acerto virtual'!K:K),"")</f>
        <v/>
      </c>
      <c r="Z264" s="51" t="str">
        <f t="array" ref="Z264">IFERROR(_xlfn.XLOOKUP($F264,'Acerto virtual'!$E:$E,'Acerto virtual'!L:L),"")</f>
        <v/>
      </c>
      <c r="AA264" s="51" t="str">
        <f t="array" ref="AA264">IFERROR(_xlfn.XLOOKUP($F264,'Acerto virtual'!$E:$E,'Acerto virtual'!M:M),"")</f>
        <v/>
      </c>
      <c r="AB264" s="51" t="str">
        <f t="array" ref="AB264">IFERROR(_xlfn.XLOOKUP($F264,'Acerto virtual'!$E:$E,'Acerto virtual'!N:N),"")</f>
        <v/>
      </c>
      <c r="AC264" s="51" t="str">
        <f t="array" ref="AC264">IFERROR(_xlfn.XLOOKUP($F264,'Acerto virtual'!$E:$E,'Acerto virtual'!O:O),"")</f>
        <v/>
      </c>
      <c r="AD264" s="51" t="str">
        <f t="array" ref="AD264">IFERROR(_xlfn.XLOOKUP($F264,'Acerto virtual'!$E:$E,'Acerto virtual'!P:P),"")</f>
        <v/>
      </c>
      <c r="AE264" s="51" t="str">
        <f t="array" ref="AE264">IFERROR(_xlfn.XLOOKUP($F264,'Acerto virtual'!$E:$E,'Acerto virtual'!Q:Q),"")</f>
        <v/>
      </c>
      <c r="AF264" s="51" t="str">
        <f t="array" ref="AF264">IFERROR(_xlfn.XLOOKUP($F264,'Acerto virtual'!$E:$E,'Acerto virtual'!R:R),"")</f>
        <v/>
      </c>
      <c r="AG264" s="51" t="str">
        <f t="array" ref="AG264">IFERROR(_xlfn.XLOOKUP($F264,'Acerto virtual'!$E:$E,'Acerto virtual'!S:S),"")</f>
        <v/>
      </c>
      <c r="AH264" s="51" t="str">
        <f t="array" ref="AH264">IFERROR(_xlfn.XLOOKUP($F264,'Acerto virtual'!$E:$E,'Acerto virtual'!T:T),"")</f>
        <v/>
      </c>
      <c r="AI264" s="51" t="str">
        <f t="array" ref="AI264">IFERROR(_xlfn.XLOOKUP($F264,'Acerto virtual'!$E:$E,'Acerto virtual'!U:U),"")</f>
        <v/>
      </c>
    </row>
    <row r="265" hidden="1">
      <c r="A265" s="47" t="s">
        <v>850</v>
      </c>
      <c r="B265" s="47" t="s">
        <v>851</v>
      </c>
      <c r="C265" s="48" t="str">
        <f t="array" ref="C265">IFERROR(_xlfn.XLOOKUP($B265,'Histórico'!$B:$B,'Histórico'!$I:$I),"")</f>
        <v>065-0061-36</v>
      </c>
      <c r="D265" s="19" t="str">
        <f t="array" ref="D265">IFERROR(_xlfn.XLOOKUP($B265,'Histórico'!$B:$B,'Histórico'!$J:$J),"")</f>
        <v>22373</v>
      </c>
      <c r="E265" s="19" t="str">
        <f t="array" ref="E265">IFERROR(_xlfn.XLOOKUP($B265,'Histórico'!$B:$B,'Histórico'!$K:$K),"")</f>
        <v>ACTUATOR TRIM (KS272A)</v>
      </c>
      <c r="F265" s="19" t="str">
        <f t="array" ref="F265">IFERROR(_xlfn.XLOOKUP($B265,'Histórico'!$B:$B,'Histórico'!$L:$L),"")</f>
        <v>42966</v>
      </c>
      <c r="G265" s="49" t="str">
        <f t="array" ref="G265">IFERROR(_xlfn.XLOOKUP($B265,'Histórico'!$B:$B,'Histórico'!$F:$F),"")</f>
        <v>10/02/2026</v>
      </c>
      <c r="H265" s="19" t="str">
        <f t="array" ref="H265">IFERROR(_xlfn.XLOOKUP($B265,'Histórico'!$B:$B,'Histórico'!$AA:$AA),"")</f>
        <v>PAMASP</v>
      </c>
      <c r="I265" s="19" t="str">
        <f t="array" ref="I265">IFERROR(_xlfn.XLOOKUP($B265,Atual!$B:$B,Atual!$E:$E),"OS concluída")</f>
        <v>OS concluída</v>
      </c>
      <c r="J265" s="19" t="str">
        <f t="shared" si="1"/>
        <v/>
      </c>
      <c r="K265" s="19"/>
      <c r="L265" s="19">
        <f t="shared" si="2"/>
        <v>50</v>
      </c>
      <c r="M265" s="19"/>
      <c r="N265" s="49">
        <f t="array" ref="N265">IFERROR(_xlfn.XLOOKUP($B265,EMPRESA_1!A:A,EMPRESA_1!J:J),"")</f>
        <v>46113</v>
      </c>
      <c r="O265" s="50" t="str">
        <f t="array" ref="O265">IFERROR(_xlfn.XLOOKUP(B265,EMPRESA_1!A:A,EMPRESA_1!K:K),"")
</f>
        <v>BABR</v>
      </c>
      <c r="P265" s="19" t="str">
        <f t="array" ref="P265">IFERROR(_xlfn.XLOOKUP(B265,EMPRESA_1!A:A,EMPRESA_1!L:L),"")</f>
        <v>261/FAB/26</v>
      </c>
      <c r="Q265" s="49">
        <f t="array" ref="Q265">IFERROR(_xlfn.XLOOKUP(B265,EMPRESA_1!A:A,EMPRESA_1!J:J),"")</f>
        <v>46113</v>
      </c>
      <c r="R265" s="19" t="str">
        <f t="array" ref="R265">IFERROR(_xlfn.XLOOKUP(B265,EMPRESA_1!A:A,EMPRESA_1!M:M),"")</f>
        <v/>
      </c>
      <c r="S265" s="51"/>
      <c r="T265" s="51" t="str">
        <f t="array" ref="T265">IFERROR(_xlfn.XLOOKUP($F265,'Acerto virtual'!$E:$E,'Acerto virtual'!F:F),"")</f>
        <v>015/2026</v>
      </c>
      <c r="U265" s="51" t="str">
        <f t="array" ref="U265">IFERROR(_xlfn.XLOOKUP($F265,'Acerto virtual'!$E:$E,'Acerto virtual'!G:G),"")</f>
        <v>22/04</v>
      </c>
      <c r="V265" s="51" t="str">
        <f t="array" ref="V265">IFERROR(_xlfn.XLOOKUP($F265,'Acerto virtual'!$E:$E,'Acerto virtual'!H:H),"")</f>
        <v>04/05</v>
      </c>
      <c r="W265" s="51" t="str">
        <f t="array" ref="W265">IFERROR(_xlfn.XLOOKUP($F265,'Acerto virtual'!$E:$E,'Acerto virtual'!I:I),"")</f>
        <v/>
      </c>
      <c r="X265" s="51" t="str">
        <f t="array" ref="X265">IFERROR(_xlfn.XLOOKUP($F265,'Acerto virtual'!$E:$E,'Acerto virtual'!J:J),"")</f>
        <v>21/05</v>
      </c>
      <c r="Y265" s="51" t="str">
        <f t="array" ref="Y265">IFERROR(_xlfn.XLOOKUP($F265,'Acerto virtual'!$E:$E,'Acerto virtual'!K:K),"")</f>
        <v>06/08</v>
      </c>
      <c r="Z265" s="51" t="str">
        <f t="array" ref="Z265">IFERROR(_xlfn.XLOOKUP($F265,'Acerto virtual'!$E:$E,'Acerto virtual'!L:L),"")</f>
        <v>06/08</v>
      </c>
      <c r="AA265" s="51" t="str">
        <f t="array" ref="AA265">IFERROR(_xlfn.XLOOKUP($F265,'Acerto virtual'!$E:$E,'Acerto virtual'!M:M),"")</f>
        <v>07/08</v>
      </c>
      <c r="AB265" s="51" t="str">
        <f t="array" ref="AB265">IFERROR(_xlfn.XLOOKUP($F265,'Acerto virtual'!$E:$E,'Acerto virtual'!N:N),"")</f>
        <v>07/08</v>
      </c>
      <c r="AC265" s="51" t="str">
        <f t="array" ref="AC265">IFERROR(_xlfn.XLOOKUP($F265,'Acerto virtual'!$E:$E,'Acerto virtual'!O:O),"")</f>
        <v>07/08</v>
      </c>
      <c r="AD265" s="51" t="str">
        <f t="array" ref="AD265">IFERROR(_xlfn.XLOOKUP($F265,'Acerto virtual'!$E:$E,'Acerto virtual'!P:P),"")</f>
        <v>12/08</v>
      </c>
      <c r="AE265" s="51" t="str">
        <f t="array" ref="AE265">IFERROR(_xlfn.XLOOKUP($F265,'Acerto virtual'!$E:$E,'Acerto virtual'!Q:Q),"")</f>
        <v>12/08</v>
      </c>
      <c r="AF265" s="51" t="str">
        <f t="array" ref="AF265">IFERROR(_xlfn.XLOOKUP($F265,'Acerto virtual'!$E:$E,'Acerto virtual'!R:R),"")</f>
        <v>12/08, 01/09</v>
      </c>
      <c r="AG265" s="51" t="str">
        <f t="array" ref="AG265">IFERROR(_xlfn.XLOOKUP($F265,'Acerto virtual'!$E:$E,'Acerto virtual'!S:S),"")</f>
        <v>01/09</v>
      </c>
      <c r="AH265" s="51" t="str">
        <f t="array" ref="AH265">IFERROR(_xlfn.XLOOKUP($F265,'Acerto virtual'!$E:$E,'Acerto virtual'!T:T),"")</f>
        <v>09/09</v>
      </c>
      <c r="AI265" s="51" t="str">
        <f t="array" ref="AI265">IFERROR(_xlfn.XLOOKUP($F265,'Acerto virtual'!$E:$E,'Acerto virtual'!U:U),"")</f>
        <v>RECEBIDO POR 3S KESIA</v>
      </c>
    </row>
    <row r="266" hidden="1">
      <c r="A266" s="47" t="s">
        <v>852</v>
      </c>
      <c r="B266" s="47" t="s">
        <v>853</v>
      </c>
      <c r="C266" s="19" t="str">
        <f t="array" ref="C266">IFERROR(_xlfn.XLOOKUP($B266,'Histórico'!$B:$B,'Histórico'!$I:$I),"")</f>
        <v>065-0061-36</v>
      </c>
      <c r="D266" s="19" t="str">
        <f t="array" ref="D266">IFERROR(_xlfn.XLOOKUP($B266,'Histórico'!$B:$B,'Histórico'!$J:$J),"")</f>
        <v>22373</v>
      </c>
      <c r="E266" s="19" t="str">
        <f t="array" ref="E266">IFERROR(_xlfn.XLOOKUP($B266,'Histórico'!$B:$B,'Histórico'!$K:$K),"")</f>
        <v>ACTUATOR TRIM (KS272A)</v>
      </c>
      <c r="F266" s="19" t="str">
        <f t="array" ref="F266">IFERROR(_xlfn.XLOOKUP($B266,'Histórico'!$B:$B,'Histórico'!$L:$L),"")</f>
        <v>48741</v>
      </c>
      <c r="G266" s="49" t="str">
        <f t="array" ref="G266">IFERROR(_xlfn.XLOOKUP($B266,'Histórico'!$B:$B,'Histórico'!$F:$F),"")</f>
        <v>10/02/2026</v>
      </c>
      <c r="H266" s="19" t="str">
        <f t="array" ref="H266">IFERROR(_xlfn.XLOOKUP($B266,'Histórico'!$B:$B,'Histórico'!$AA:$AA),"")</f>
        <v>ALA 10</v>
      </c>
      <c r="I266" s="19" t="str">
        <f t="array" ref="I266">IFERROR(_xlfn.XLOOKUP($B266,Atual!$B:$B,Atual!$E:$E),"OS concluída")</f>
        <v>OS concluída</v>
      </c>
      <c r="J266" s="19" t="str">
        <f t="shared" si="1"/>
        <v/>
      </c>
      <c r="K266" s="19"/>
      <c r="L266" s="19" t="str">
        <f t="shared" si="2"/>
        <v/>
      </c>
      <c r="M266" s="19"/>
      <c r="N266" s="49" t="str">
        <f t="array" ref="N266">IFERROR(_xlfn.XLOOKUP($B266,Empresa!G:G,Empresa!K:K),"")</f>
        <v/>
      </c>
      <c r="O266" s="49"/>
      <c r="P266" s="19" t="str">
        <f t="array" ref="P266">IFERROR(_xlfn.XLOOKUP($F266,'Vee one'!F:F,'Vee one'!O:O),"")</f>
        <v/>
      </c>
      <c r="Q266" s="19" t="str">
        <f t="array" ref="Q266">IFERROR(_xlfn.XLOOKUP($F266,'Vee one'!F:F,'Vee one'!K:K),"")</f>
        <v/>
      </c>
      <c r="R266" s="19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</row>
    <row r="267" hidden="1">
      <c r="A267" s="47" t="s">
        <v>854</v>
      </c>
      <c r="B267" s="47" t="s">
        <v>855</v>
      </c>
      <c r="C267" s="48" t="str">
        <f t="array" ref="C267">IFERROR(_xlfn.XLOOKUP($B267,'Histórico'!$B:$B,'Histórico'!$I:$I),"")</f>
        <v>065-0065-01</v>
      </c>
      <c r="D267" s="19" t="str">
        <f t="array" ref="D267">IFERROR(_xlfn.XLOOKUP($B267,'Histórico'!$B:$B,'Histórico'!$J:$J),"")</f>
        <v>22373</v>
      </c>
      <c r="E267" s="19" t="str">
        <f t="array" ref="E267">IFERROR(_xlfn.XLOOKUP($B267,'Histórico'!$B:$B,'Histórico'!$K:$K),"")</f>
        <v>SELECTOR ALT</v>
      </c>
      <c r="F267" s="19" t="str">
        <f t="array" ref="F267">IFERROR(_xlfn.XLOOKUP($B267,'Histórico'!$B:$B,'Histórico'!$L:$L),"")</f>
        <v>21940</v>
      </c>
      <c r="G267" s="49" t="str">
        <f t="array" ref="G267">IFERROR(_xlfn.XLOOKUP($B267,'Histórico'!$B:$B,'Histórico'!$F:$F),"")</f>
        <v>10/02/2026</v>
      </c>
      <c r="H267" s="19" t="str">
        <f t="array" ref="H267">IFERROR(_xlfn.XLOOKUP($B267,'Histórico'!$B:$B,'Histórico'!$AA:$AA),"")</f>
        <v>BANT</v>
      </c>
      <c r="I267" s="19" t="str">
        <f t="array" ref="I267">IFERROR(_xlfn.XLOOKUP($B267,Atual!$B:$B,Atual!$E:$E),"OS concluída")</f>
        <v>OS concluída</v>
      </c>
      <c r="J267" s="19" t="str">
        <f t="shared" si="1"/>
        <v/>
      </c>
      <c r="K267" s="19"/>
      <c r="L267" s="19">
        <f t="shared" si="2"/>
        <v>162</v>
      </c>
      <c r="M267" s="19"/>
      <c r="N267" s="49">
        <f t="array" ref="N267">IFERROR(_xlfn.XLOOKUP($B267,EMPRESA_1!A:A,EMPRESA_1!J:J),"")</f>
        <v>46225</v>
      </c>
      <c r="O267" s="50" t="str">
        <f t="array" ref="O267">IFERROR(_xlfn.XLOOKUP(B267,EMPRESA_1!A:A,EMPRESA_1!K:K),"")
</f>
        <v>PAMA-LS</v>
      </c>
      <c r="P267" s="48" t="str">
        <f t="array" ref="P267">IFERROR(_xlfn.XLOOKUP(B267,EMPRESA_1!A:A,EMPRESA_1!L:L),"")</f>
        <v>682/FAB/26</v>
      </c>
      <c r="Q267" s="49">
        <f t="array" ref="Q267">IFERROR(_xlfn.XLOOKUP(B267,EMPRESA_1!A:A,EMPRESA_1!J:J),"")</f>
        <v>46225</v>
      </c>
      <c r="R267" s="19" t="str">
        <f t="array" ref="R267">IFERROR(_xlfn.XLOOKUP(B267,EMPRESA_1!A:A,EMPRESA_1!M:M),"")</f>
        <v/>
      </c>
      <c r="S267" s="51"/>
      <c r="T267" s="51" t="str">
        <f t="array" ref="T267">IFERROR(_xlfn.XLOOKUP($F267,'Acerto virtual'!$E:$E,'Acerto virtual'!F:F),"")</f>
        <v/>
      </c>
      <c r="U267" s="51" t="str">
        <f t="array" ref="U267">IFERROR(_xlfn.XLOOKUP($F267,'Acerto virtual'!$E:$E,'Acerto virtual'!G:G),"")</f>
        <v/>
      </c>
      <c r="V267" s="51" t="str">
        <f t="array" ref="V267">IFERROR(_xlfn.XLOOKUP($F267,'Acerto virtual'!$E:$E,'Acerto virtual'!H:H),"")</f>
        <v/>
      </c>
      <c r="W267" s="51" t="str">
        <f t="array" ref="W267">IFERROR(_xlfn.XLOOKUP($F267,'Acerto virtual'!$E:$E,'Acerto virtual'!I:I),"")</f>
        <v/>
      </c>
      <c r="X267" s="51" t="str">
        <f t="array" ref="X267">IFERROR(_xlfn.XLOOKUP($F267,'Acerto virtual'!$E:$E,'Acerto virtual'!J:J),"")</f>
        <v/>
      </c>
      <c r="Y267" s="51" t="str">
        <f t="array" ref="Y267">IFERROR(_xlfn.XLOOKUP($F267,'Acerto virtual'!$E:$E,'Acerto virtual'!K:K),"")</f>
        <v/>
      </c>
      <c r="Z267" s="51" t="str">
        <f t="array" ref="Z267">IFERROR(_xlfn.XLOOKUP($F267,'Acerto virtual'!$E:$E,'Acerto virtual'!L:L),"")</f>
        <v/>
      </c>
      <c r="AA267" s="51" t="str">
        <f t="array" ref="AA267">IFERROR(_xlfn.XLOOKUP($F267,'Acerto virtual'!$E:$E,'Acerto virtual'!M:M),"")</f>
        <v/>
      </c>
      <c r="AB267" s="51" t="str">
        <f t="array" ref="AB267">IFERROR(_xlfn.XLOOKUP($F267,'Acerto virtual'!$E:$E,'Acerto virtual'!N:N),"")</f>
        <v/>
      </c>
      <c r="AC267" s="51" t="str">
        <f t="array" ref="AC267">IFERROR(_xlfn.XLOOKUP($F267,'Acerto virtual'!$E:$E,'Acerto virtual'!O:O),"")</f>
        <v/>
      </c>
      <c r="AD267" s="51" t="str">
        <f t="array" ref="AD267">IFERROR(_xlfn.XLOOKUP($F267,'Acerto virtual'!$E:$E,'Acerto virtual'!P:P),"")</f>
        <v/>
      </c>
      <c r="AE267" s="51" t="str">
        <f t="array" ref="AE267">IFERROR(_xlfn.XLOOKUP($F267,'Acerto virtual'!$E:$E,'Acerto virtual'!Q:Q),"")</f>
        <v/>
      </c>
      <c r="AF267" s="51" t="str">
        <f t="array" ref="AF267">IFERROR(_xlfn.XLOOKUP($F267,'Acerto virtual'!$E:$E,'Acerto virtual'!R:R),"")</f>
        <v/>
      </c>
      <c r="AG267" s="51" t="str">
        <f t="array" ref="AG267">IFERROR(_xlfn.XLOOKUP($F267,'Acerto virtual'!$E:$E,'Acerto virtual'!S:S),"")</f>
        <v/>
      </c>
      <c r="AH267" s="51" t="str">
        <f t="array" ref="AH267">IFERROR(_xlfn.XLOOKUP($F267,'Acerto virtual'!$E:$E,'Acerto virtual'!T:T),"")</f>
        <v/>
      </c>
      <c r="AI267" s="51" t="str">
        <f t="array" ref="AI267">IFERROR(_xlfn.XLOOKUP($F267,'Acerto virtual'!$E:$E,'Acerto virtual'!U:U),"")</f>
        <v/>
      </c>
    </row>
    <row r="268">
      <c r="A268" s="47" t="s">
        <v>856</v>
      </c>
      <c r="B268" s="47" t="s">
        <v>857</v>
      </c>
      <c r="C268" s="48" t="str">
        <f t="array" ref="C268">IFERROR(_xlfn.XLOOKUP($B268,'Histórico'!$B:$B,'Histórico'!$I:$I),"")</f>
        <v>066-3084-02</v>
      </c>
      <c r="D268" s="19" t="str">
        <f t="array" ref="D268">IFERROR(_xlfn.XLOOKUP($B268,'Histórico'!$B:$B,'Histórico'!$J:$J),"")</f>
        <v>22373</v>
      </c>
      <c r="E268" s="19" t="str">
        <f t="array" ref="E268">IFERROR(_xlfn.XLOOKUP($B268,'Histórico'!$B:$B,'Histórico'!$K:$K),"")</f>
        <v>COLOR RADAR INDICATOR</v>
      </c>
      <c r="F268" s="19" t="str">
        <f t="array" ref="F268">IFERROR(_xlfn.XLOOKUP($B268,'Histórico'!$B:$B,'Histórico'!$L:$L),"")</f>
        <v>22950</v>
      </c>
      <c r="G268" s="49" t="str">
        <f t="array" ref="G268">IFERROR(_xlfn.XLOOKUP($B268,'Histórico'!$B:$B,'Histórico'!$F:$F),"")</f>
        <v>10/02/2026</v>
      </c>
      <c r="H268" s="19" t="str">
        <f t="array" ref="H268">IFERROR(_xlfn.XLOOKUP($B268,'Histórico'!$B:$B,'Histórico'!$AA:$AA),"")</f>
        <v>BABV</v>
      </c>
      <c r="I268" s="19" t="str">
        <f t="array" ref="I268">IFERROR(_xlfn.XLOOKUP($B268,Atual!$B:$B,Atual!$E:$E),"OS concluída")</f>
        <v>REC</v>
      </c>
      <c r="J268" s="19">
        <f t="shared" si="1"/>
        <v>247</v>
      </c>
      <c r="K268" s="19"/>
      <c r="L268" s="19">
        <f t="shared" si="2"/>
        <v>162</v>
      </c>
      <c r="M268" s="19"/>
      <c r="N268" s="49">
        <f t="array" ref="N268">IFERROR(_xlfn.XLOOKUP($B268,EMPRESA_1!A:A,EMPRESA_1!J:J),"")</f>
        <v>46225</v>
      </c>
      <c r="O268" s="50" t="str">
        <f t="array" ref="O268">IFERROR(_xlfn.XLOOKUP(B268,EMPRESA_1!A:A,EMPRESA_1!K:K),"")
</f>
        <v>PAMA-LS</v>
      </c>
      <c r="P268" s="48" t="str">
        <f t="array" ref="P268">IFERROR(_xlfn.XLOOKUP(B268,EMPRESA_1!A:A,EMPRESA_1!L:L),"")</f>
        <v>623/FAB/26</v>
      </c>
      <c r="Q268" s="49">
        <f t="array" ref="Q268">IFERROR(_xlfn.XLOOKUP(B268,EMPRESA_1!A:A,EMPRESA_1!J:J),"")</f>
        <v>46225</v>
      </c>
      <c r="R268" s="19" t="str">
        <f t="array" ref="R268">IFERROR(_xlfn.XLOOKUP(B268,EMPRESA_1!A:A,EMPRESA_1!M:M),"")</f>
        <v/>
      </c>
      <c r="S268" s="51"/>
      <c r="T268" s="51" t="str">
        <f t="array" ref="T268">IFERROR(_xlfn.XLOOKUP($F268,'Acerto virtual'!$E:$E,'Acerto virtual'!F:F),"")</f>
        <v/>
      </c>
      <c r="U268" s="51" t="str">
        <f t="array" ref="U268">IFERROR(_xlfn.XLOOKUP($F268,'Acerto virtual'!$E:$E,'Acerto virtual'!G:G),"")</f>
        <v/>
      </c>
      <c r="V268" s="51" t="str">
        <f t="array" ref="V268">IFERROR(_xlfn.XLOOKUP($F268,'Acerto virtual'!$E:$E,'Acerto virtual'!H:H),"")</f>
        <v/>
      </c>
      <c r="W268" s="51" t="str">
        <f t="array" ref="W268">IFERROR(_xlfn.XLOOKUP($F268,'Acerto virtual'!$E:$E,'Acerto virtual'!I:I),"")</f>
        <v/>
      </c>
      <c r="X268" s="51" t="str">
        <f t="array" ref="X268">IFERROR(_xlfn.XLOOKUP($F268,'Acerto virtual'!$E:$E,'Acerto virtual'!J:J),"")</f>
        <v/>
      </c>
      <c r="Y268" s="51" t="str">
        <f t="array" ref="Y268">IFERROR(_xlfn.XLOOKUP($F268,'Acerto virtual'!$E:$E,'Acerto virtual'!K:K),"")</f>
        <v/>
      </c>
      <c r="Z268" s="51" t="str">
        <f t="array" ref="Z268">IFERROR(_xlfn.XLOOKUP($F268,'Acerto virtual'!$E:$E,'Acerto virtual'!L:L),"")</f>
        <v/>
      </c>
      <c r="AA268" s="51" t="str">
        <f t="array" ref="AA268">IFERROR(_xlfn.XLOOKUP($F268,'Acerto virtual'!$E:$E,'Acerto virtual'!M:M),"")</f>
        <v/>
      </c>
      <c r="AB268" s="51" t="str">
        <f t="array" ref="AB268">IFERROR(_xlfn.XLOOKUP($F268,'Acerto virtual'!$E:$E,'Acerto virtual'!N:N),"")</f>
        <v/>
      </c>
      <c r="AC268" s="51" t="str">
        <f t="array" ref="AC268">IFERROR(_xlfn.XLOOKUP($F268,'Acerto virtual'!$E:$E,'Acerto virtual'!O:O),"")</f>
        <v/>
      </c>
      <c r="AD268" s="51" t="str">
        <f t="array" ref="AD268">IFERROR(_xlfn.XLOOKUP($F268,'Acerto virtual'!$E:$E,'Acerto virtual'!P:P),"")</f>
        <v/>
      </c>
      <c r="AE268" s="51" t="str">
        <f t="array" ref="AE268">IFERROR(_xlfn.XLOOKUP($F268,'Acerto virtual'!$E:$E,'Acerto virtual'!Q:Q),"")</f>
        <v/>
      </c>
      <c r="AF268" s="51" t="str">
        <f t="array" ref="AF268">IFERROR(_xlfn.XLOOKUP($F268,'Acerto virtual'!$E:$E,'Acerto virtual'!R:R),"")</f>
        <v/>
      </c>
      <c r="AG268" s="51" t="str">
        <f t="array" ref="AG268">IFERROR(_xlfn.XLOOKUP($F268,'Acerto virtual'!$E:$E,'Acerto virtual'!S:S),"")</f>
        <v/>
      </c>
      <c r="AH268" s="51" t="str">
        <f t="array" ref="AH268">IFERROR(_xlfn.XLOOKUP($F268,'Acerto virtual'!$E:$E,'Acerto virtual'!T:T),"")</f>
        <v/>
      </c>
      <c r="AI268" s="51" t="str">
        <f t="array" ref="AI268">IFERROR(_xlfn.XLOOKUP($F268,'Acerto virtual'!$E:$E,'Acerto virtual'!U:U),"")</f>
        <v/>
      </c>
    </row>
    <row r="269" hidden="1">
      <c r="A269" s="47" t="s">
        <v>858</v>
      </c>
      <c r="B269" s="47" t="s">
        <v>859</v>
      </c>
      <c r="C269" s="48" t="str">
        <f t="array" ref="C269">IFERROR(_xlfn.XLOOKUP($B269,'Histórico'!$B:$B,'Histórico'!$I:$I),"")</f>
        <v>066-1053-00</v>
      </c>
      <c r="D269" s="19" t="str">
        <f t="array" ref="D269">IFERROR(_xlfn.XLOOKUP($B269,'Histórico'!$B:$B,'Histórico'!$J:$J),"")</f>
        <v>22373</v>
      </c>
      <c r="E269" s="19" t="str">
        <f t="array" ref="E269">IFERROR(_xlfn.XLOOKUP($B269,'Histórico'!$B:$B,'Histórico'!$K:$K),"")</f>
        <v>RECEIVER,RADIO</v>
      </c>
      <c r="F269" s="19" t="str">
        <f t="array" ref="F269">IFERROR(_xlfn.XLOOKUP($B269,'Histórico'!$B:$B,'Histórico'!$L:$L),"")</f>
        <v>7310</v>
      </c>
      <c r="G269" s="49" t="str">
        <f t="array" ref="G269">IFERROR(_xlfn.XLOOKUP($B269,'Histórico'!$B:$B,'Histórico'!$F:$F),"")</f>
        <v>10/02/2026</v>
      </c>
      <c r="H269" s="19" t="str">
        <f t="array" ref="H269">IFERROR(_xlfn.XLOOKUP($B269,'Histórico'!$B:$B,'Histórico'!$AA:$AA),"")</f>
        <v>BASM</v>
      </c>
      <c r="I269" s="19" t="str">
        <f t="array" ref="I269">IFERROR(_xlfn.XLOOKUP($B269,Atual!$B:$B,Atual!$E:$E),"OS concluída")</f>
        <v>OS concluída</v>
      </c>
      <c r="J269" s="19" t="str">
        <f t="shared" si="1"/>
        <v/>
      </c>
      <c r="K269" s="19"/>
      <c r="L269" s="19">
        <f t="shared" si="2"/>
        <v>84</v>
      </c>
      <c r="M269" s="19"/>
      <c r="N269" s="49">
        <f t="array" ref="N269">IFERROR(_xlfn.XLOOKUP($B269,EMPRESA_1!A:A,EMPRESA_1!J:J),"")</f>
        <v>46147</v>
      </c>
      <c r="O269" s="50" t="str">
        <f t="array" ref="O269">IFERROR(_xlfn.XLOOKUP(B269,EMPRESA_1!A:A,EMPRESA_1!K:K),"")
</f>
        <v>PAMA-LS</v>
      </c>
      <c r="P269" s="48" t="str">
        <f t="array" ref="P269">IFERROR(_xlfn.XLOOKUP(B269,EMPRESA_1!A:A,EMPRESA_1!L:L),"")</f>
        <v>682/FAB/26</v>
      </c>
      <c r="Q269" s="49">
        <f t="array" ref="Q269">IFERROR(_xlfn.XLOOKUP(B269,EMPRESA_1!A:A,EMPRESA_1!J:J),"")</f>
        <v>46147</v>
      </c>
      <c r="R269" s="19" t="str">
        <f t="array" ref="R269">IFERROR(_xlfn.XLOOKUP(B269,EMPRESA_1!A:A,EMPRESA_1!M:M),"")</f>
        <v/>
      </c>
      <c r="S269" s="51"/>
      <c r="T269" s="51" t="str">
        <f t="array" ref="T269">IFERROR(_xlfn.XLOOKUP($F269,'Acerto virtual'!$E:$E,'Acerto virtual'!F:F),"")</f>
        <v/>
      </c>
      <c r="U269" s="51" t="str">
        <f t="array" ref="U269">IFERROR(_xlfn.XLOOKUP($F269,'Acerto virtual'!$E:$E,'Acerto virtual'!G:G),"")</f>
        <v/>
      </c>
      <c r="V269" s="51" t="str">
        <f t="array" ref="V269">IFERROR(_xlfn.XLOOKUP($F269,'Acerto virtual'!$E:$E,'Acerto virtual'!H:H),"")</f>
        <v/>
      </c>
      <c r="W269" s="51" t="str">
        <f t="array" ref="W269">IFERROR(_xlfn.XLOOKUP($F269,'Acerto virtual'!$E:$E,'Acerto virtual'!I:I),"")</f>
        <v/>
      </c>
      <c r="X269" s="51" t="str">
        <f t="array" ref="X269">IFERROR(_xlfn.XLOOKUP($F269,'Acerto virtual'!$E:$E,'Acerto virtual'!J:J),"")</f>
        <v/>
      </c>
      <c r="Y269" s="51" t="str">
        <f t="array" ref="Y269">IFERROR(_xlfn.XLOOKUP($F269,'Acerto virtual'!$E:$E,'Acerto virtual'!K:K),"")</f>
        <v/>
      </c>
      <c r="Z269" s="51" t="str">
        <f t="array" ref="Z269">IFERROR(_xlfn.XLOOKUP($F269,'Acerto virtual'!$E:$E,'Acerto virtual'!L:L),"")</f>
        <v/>
      </c>
      <c r="AA269" s="51" t="str">
        <f t="array" ref="AA269">IFERROR(_xlfn.XLOOKUP($F269,'Acerto virtual'!$E:$E,'Acerto virtual'!M:M),"")</f>
        <v/>
      </c>
      <c r="AB269" s="51" t="str">
        <f t="array" ref="AB269">IFERROR(_xlfn.XLOOKUP($F269,'Acerto virtual'!$E:$E,'Acerto virtual'!N:N),"")</f>
        <v/>
      </c>
      <c r="AC269" s="51" t="str">
        <f t="array" ref="AC269">IFERROR(_xlfn.XLOOKUP($F269,'Acerto virtual'!$E:$E,'Acerto virtual'!O:O),"")</f>
        <v/>
      </c>
      <c r="AD269" s="51" t="str">
        <f t="array" ref="AD269">IFERROR(_xlfn.XLOOKUP($F269,'Acerto virtual'!$E:$E,'Acerto virtual'!P:P),"")</f>
        <v/>
      </c>
      <c r="AE269" s="51" t="str">
        <f t="array" ref="AE269">IFERROR(_xlfn.XLOOKUP($F269,'Acerto virtual'!$E:$E,'Acerto virtual'!Q:Q),"")</f>
        <v/>
      </c>
      <c r="AF269" s="51" t="str">
        <f t="array" ref="AF269">IFERROR(_xlfn.XLOOKUP($F269,'Acerto virtual'!$E:$E,'Acerto virtual'!R:R),"")</f>
        <v/>
      </c>
      <c r="AG269" s="51" t="str">
        <f t="array" ref="AG269">IFERROR(_xlfn.XLOOKUP($F269,'Acerto virtual'!$E:$E,'Acerto virtual'!S:S),"")</f>
        <v/>
      </c>
      <c r="AH269" s="51" t="str">
        <f t="array" ref="AH269">IFERROR(_xlfn.XLOOKUP($F269,'Acerto virtual'!$E:$E,'Acerto virtual'!T:T),"")</f>
        <v/>
      </c>
      <c r="AI269" s="51" t="str">
        <f t="array" ref="AI269">IFERROR(_xlfn.XLOOKUP($F269,'Acerto virtual'!$E:$E,'Acerto virtual'!U:U),"")</f>
        <v/>
      </c>
    </row>
    <row r="270">
      <c r="A270" s="47" t="s">
        <v>860</v>
      </c>
      <c r="B270" s="47" t="s">
        <v>861</v>
      </c>
      <c r="C270" s="48" t="str">
        <f t="array" ref="C270">IFERROR(_xlfn.XLOOKUP($B270,'Histórico'!$B:$B,'Histórico'!$I:$I),"")</f>
        <v>066-3054-01</v>
      </c>
      <c r="D270" s="19" t="str">
        <f t="array" ref="D270">IFERROR(_xlfn.XLOOKUP($B270,'Histórico'!$B:$B,'Histórico'!$J:$J),"")</f>
        <v>22373</v>
      </c>
      <c r="E270" s="19" t="str">
        <f t="array" ref="E270">IFERROR(_xlfn.XLOOKUP($B270,'Histórico'!$B:$B,'Histórico'!$K:$K),"")</f>
        <v>INDICATOR RADAR ALTIMETER - TYPE KI250</v>
      </c>
      <c r="F270" s="19" t="str">
        <f t="array" ref="F270">IFERROR(_xlfn.XLOOKUP($B270,'Histórico'!$B:$B,'Histórico'!$L:$L),"")</f>
        <v>11154</v>
      </c>
      <c r="G270" s="49" t="str">
        <f t="array" ref="G270">IFERROR(_xlfn.XLOOKUP($B270,'Histórico'!$B:$B,'Histórico'!$F:$F),"")</f>
        <v>10/02/2026</v>
      </c>
      <c r="H270" s="19" t="str">
        <f t="array" ref="H270">IFERROR(_xlfn.XLOOKUP($B270,'Histórico'!$B:$B,'Histórico'!$AA:$AA),"")</f>
        <v>PAMALS</v>
      </c>
      <c r="I270" s="19" t="str">
        <f t="array" ref="I270">IFERROR(_xlfn.XLOOKUP($B270,Atual!$B:$B,Atual!$E:$E),"OS concluída")</f>
        <v>REC</v>
      </c>
      <c r="J270" s="19">
        <f t="shared" si="1"/>
        <v>247</v>
      </c>
      <c r="K270" s="19"/>
      <c r="L270" s="19" t="str">
        <f t="shared" si="2"/>
        <v>NÃO APLICÁVEL</v>
      </c>
      <c r="M270" s="19"/>
      <c r="N270" s="49" t="str">
        <f t="array" ref="N270">IFERROR(_xlfn.XLOOKUP($B270,EMPRESA_1!A:A,EMPRESA_1!J:J),"")</f>
        <v>EM REPARO</v>
      </c>
      <c r="O270" s="50" t="str">
        <f t="array" ref="O270">IFERROR(_xlfn.XLOOKUP(B270,EMPRESA_1!A:A,EMPRESA_1!K:K),"")
</f>
        <v>WILLIAM</v>
      </c>
      <c r="P270" s="48" t="str">
        <f t="array" ref="P270">IFERROR(_xlfn.XLOOKUP(B270,EMPRESA_1!A:A,EMPRESA_1!L:L),"")</f>
        <v/>
      </c>
      <c r="Q270" s="49" t="str">
        <f t="array" ref="Q270">IFERROR(_xlfn.XLOOKUP(B270,EMPRESA_1!A:A,EMPRESA_1!J:J),"")</f>
        <v>EM REPARO</v>
      </c>
      <c r="R270" s="19" t="str">
        <f t="array" ref="R270">IFERROR(_xlfn.XLOOKUP(B270,EMPRESA_1!A:A,EMPRESA_1!M:M),"")</f>
        <v/>
      </c>
      <c r="S270" s="51"/>
      <c r="T270" s="51" t="str">
        <f t="array" ref="T270">IFERROR(_xlfn.XLOOKUP($F270,'Acerto virtual'!$E:$E,'Acerto virtual'!F:F),"")</f>
        <v/>
      </c>
      <c r="U270" s="51" t="str">
        <f t="array" ref="U270">IFERROR(_xlfn.XLOOKUP($F270,'Acerto virtual'!$E:$E,'Acerto virtual'!G:G),"")</f>
        <v/>
      </c>
      <c r="V270" s="51" t="str">
        <f t="array" ref="V270">IFERROR(_xlfn.XLOOKUP($F270,'Acerto virtual'!$E:$E,'Acerto virtual'!H:H),"")</f>
        <v/>
      </c>
      <c r="W270" s="51" t="str">
        <f t="array" ref="W270">IFERROR(_xlfn.XLOOKUP($F270,'Acerto virtual'!$E:$E,'Acerto virtual'!I:I),"")</f>
        <v/>
      </c>
      <c r="X270" s="51" t="str">
        <f t="array" ref="X270">IFERROR(_xlfn.XLOOKUP($F270,'Acerto virtual'!$E:$E,'Acerto virtual'!J:J),"")</f>
        <v/>
      </c>
      <c r="Y270" s="51" t="str">
        <f t="array" ref="Y270">IFERROR(_xlfn.XLOOKUP($F270,'Acerto virtual'!$E:$E,'Acerto virtual'!K:K),"")</f>
        <v/>
      </c>
      <c r="Z270" s="51" t="str">
        <f t="array" ref="Z270">IFERROR(_xlfn.XLOOKUP($F270,'Acerto virtual'!$E:$E,'Acerto virtual'!L:L),"")</f>
        <v/>
      </c>
      <c r="AA270" s="51" t="str">
        <f t="array" ref="AA270">IFERROR(_xlfn.XLOOKUP($F270,'Acerto virtual'!$E:$E,'Acerto virtual'!M:M),"")</f>
        <v/>
      </c>
      <c r="AB270" s="51" t="str">
        <f t="array" ref="AB270">IFERROR(_xlfn.XLOOKUP($F270,'Acerto virtual'!$E:$E,'Acerto virtual'!N:N),"")</f>
        <v/>
      </c>
      <c r="AC270" s="51" t="str">
        <f t="array" ref="AC270">IFERROR(_xlfn.XLOOKUP($F270,'Acerto virtual'!$E:$E,'Acerto virtual'!O:O),"")</f>
        <v/>
      </c>
      <c r="AD270" s="51" t="str">
        <f t="array" ref="AD270">IFERROR(_xlfn.XLOOKUP($F270,'Acerto virtual'!$E:$E,'Acerto virtual'!P:P),"")</f>
        <v/>
      </c>
      <c r="AE270" s="51" t="str">
        <f t="array" ref="AE270">IFERROR(_xlfn.XLOOKUP($F270,'Acerto virtual'!$E:$E,'Acerto virtual'!Q:Q),"")</f>
        <v/>
      </c>
      <c r="AF270" s="51" t="str">
        <f t="array" ref="AF270">IFERROR(_xlfn.XLOOKUP($F270,'Acerto virtual'!$E:$E,'Acerto virtual'!R:R),"")</f>
        <v/>
      </c>
      <c r="AG270" s="51" t="str">
        <f t="array" ref="AG270">IFERROR(_xlfn.XLOOKUP($F270,'Acerto virtual'!$E:$E,'Acerto virtual'!S:S),"")</f>
        <v/>
      </c>
      <c r="AH270" s="51" t="str">
        <f t="array" ref="AH270">IFERROR(_xlfn.XLOOKUP($F270,'Acerto virtual'!$E:$E,'Acerto virtual'!T:T),"")</f>
        <v/>
      </c>
      <c r="AI270" s="51" t="str">
        <f t="array" ref="AI270">IFERROR(_xlfn.XLOOKUP($F270,'Acerto virtual'!$E:$E,'Acerto virtual'!U:U),"")</f>
        <v/>
      </c>
    </row>
    <row r="271">
      <c r="A271" s="47" t="s">
        <v>862</v>
      </c>
      <c r="B271" s="47" t="s">
        <v>863</v>
      </c>
      <c r="C271" s="48" t="str">
        <f t="array" ref="C271">IFERROR(_xlfn.XLOOKUP($B271,'Histórico'!$B:$B,'Histórico'!$I:$I),"")</f>
        <v>066-1061-03</v>
      </c>
      <c r="D271" s="19" t="str">
        <f t="array" ref="D271">IFERROR(_xlfn.XLOOKUP($B271,'Histórico'!$B:$B,'Histórico'!$J:$J),"")</f>
        <v>22373</v>
      </c>
      <c r="E271" s="19" t="str">
        <f t="array" ref="E271">IFERROR(_xlfn.XLOOKUP($B271,'Histórico'!$B:$B,'Histórico'!$K:$K),"")</f>
        <v>RT RADAR ALTIM (KRA10A)</v>
      </c>
      <c r="F271" s="19" t="str">
        <f t="array" ref="F271">IFERROR(_xlfn.XLOOKUP($B271,'Histórico'!$B:$B,'Histórico'!$L:$L),"")</f>
        <v>17714</v>
      </c>
      <c r="G271" s="49" t="str">
        <f t="array" ref="G271">IFERROR(_xlfn.XLOOKUP($B271,'Histórico'!$B:$B,'Histórico'!$F:$F),"")</f>
        <v>10/02/2026</v>
      </c>
      <c r="H271" s="19" t="str">
        <f t="array" ref="H271">IFERROR(_xlfn.XLOOKUP($B271,'Histórico'!$B:$B,'Histórico'!$AA:$AA),"")</f>
        <v>PAMALS</v>
      </c>
      <c r="I271" s="19" t="str">
        <f t="array" ref="I271">IFERROR(_xlfn.XLOOKUP($B271,Atual!$B:$B,Atual!$E:$E),"OS concluída")</f>
        <v>REC</v>
      </c>
      <c r="J271" s="19">
        <f t="shared" si="1"/>
        <v>247</v>
      </c>
      <c r="K271" s="19"/>
      <c r="L271" s="19" t="str">
        <f t="shared" si="2"/>
        <v>NÃO APLICÁVEL</v>
      </c>
      <c r="M271" s="19"/>
      <c r="N271" s="49" t="str">
        <f t="array" ref="N271">IFERROR(_xlfn.XLOOKUP($B271,EMPRESA_1!A:A,EMPRESA_1!J:J),"")</f>
        <v>PARA REPARO</v>
      </c>
      <c r="O271" s="50" t="str">
        <f t="array" ref="O271">IFERROR(_xlfn.XLOOKUP(B271,EMPRESA_1!A:A,EMPRESA_1!K:K),"")
</f>
        <v>VEE ONE</v>
      </c>
      <c r="P271" s="48" t="str">
        <f t="array" ref="P271">IFERROR(_xlfn.XLOOKUP(B271,EMPRESA_1!A:A,EMPRESA_1!L:L),"")</f>
        <v/>
      </c>
      <c r="Q271" s="49" t="str">
        <f t="array" ref="Q271">IFERROR(_xlfn.XLOOKUP(B271,EMPRESA_1!A:A,EMPRESA_1!J:J),"")</f>
        <v>PARA REPARO</v>
      </c>
      <c r="R271" s="19" t="str">
        <f t="array" ref="R271">IFERROR(_xlfn.XLOOKUP(B271,EMPRESA_1!A:A,EMPRESA_1!M:M),"")</f>
        <v/>
      </c>
      <c r="S271" s="51"/>
      <c r="T271" s="51" t="str">
        <f t="array" ref="T271">IFERROR(_xlfn.XLOOKUP($F271,'Acerto virtual'!$E:$E,'Acerto virtual'!F:F),"")</f>
        <v/>
      </c>
      <c r="U271" s="51" t="str">
        <f t="array" ref="U271">IFERROR(_xlfn.XLOOKUP($F271,'Acerto virtual'!$E:$E,'Acerto virtual'!G:G),"")</f>
        <v/>
      </c>
      <c r="V271" s="51" t="str">
        <f t="array" ref="V271">IFERROR(_xlfn.XLOOKUP($F271,'Acerto virtual'!$E:$E,'Acerto virtual'!H:H),"")</f>
        <v/>
      </c>
      <c r="W271" s="51" t="str">
        <f t="array" ref="W271">IFERROR(_xlfn.XLOOKUP($F271,'Acerto virtual'!$E:$E,'Acerto virtual'!I:I),"")</f>
        <v/>
      </c>
      <c r="X271" s="51" t="str">
        <f t="array" ref="X271">IFERROR(_xlfn.XLOOKUP($F271,'Acerto virtual'!$E:$E,'Acerto virtual'!J:J),"")</f>
        <v/>
      </c>
      <c r="Y271" s="51" t="str">
        <f t="array" ref="Y271">IFERROR(_xlfn.XLOOKUP($F271,'Acerto virtual'!$E:$E,'Acerto virtual'!K:K),"")</f>
        <v/>
      </c>
      <c r="Z271" s="51" t="str">
        <f t="array" ref="Z271">IFERROR(_xlfn.XLOOKUP($F271,'Acerto virtual'!$E:$E,'Acerto virtual'!L:L),"")</f>
        <v/>
      </c>
      <c r="AA271" s="51" t="str">
        <f t="array" ref="AA271">IFERROR(_xlfn.XLOOKUP($F271,'Acerto virtual'!$E:$E,'Acerto virtual'!M:M),"")</f>
        <v/>
      </c>
      <c r="AB271" s="51" t="str">
        <f t="array" ref="AB271">IFERROR(_xlfn.XLOOKUP($F271,'Acerto virtual'!$E:$E,'Acerto virtual'!N:N),"")</f>
        <v/>
      </c>
      <c r="AC271" s="51" t="str">
        <f t="array" ref="AC271">IFERROR(_xlfn.XLOOKUP($F271,'Acerto virtual'!$E:$E,'Acerto virtual'!O:O),"")</f>
        <v/>
      </c>
      <c r="AD271" s="51" t="str">
        <f t="array" ref="AD271">IFERROR(_xlfn.XLOOKUP($F271,'Acerto virtual'!$E:$E,'Acerto virtual'!P:P),"")</f>
        <v/>
      </c>
      <c r="AE271" s="51" t="str">
        <f t="array" ref="AE271">IFERROR(_xlfn.XLOOKUP($F271,'Acerto virtual'!$E:$E,'Acerto virtual'!Q:Q),"")</f>
        <v/>
      </c>
      <c r="AF271" s="51" t="str">
        <f t="array" ref="AF271">IFERROR(_xlfn.XLOOKUP($F271,'Acerto virtual'!$E:$E,'Acerto virtual'!R:R),"")</f>
        <v/>
      </c>
      <c r="AG271" s="51" t="str">
        <f t="array" ref="AG271">IFERROR(_xlfn.XLOOKUP($F271,'Acerto virtual'!$E:$E,'Acerto virtual'!S:S),"")</f>
        <v/>
      </c>
      <c r="AH271" s="51" t="str">
        <f t="array" ref="AH271">IFERROR(_xlfn.XLOOKUP($F271,'Acerto virtual'!$E:$E,'Acerto virtual'!T:T),"")</f>
        <v/>
      </c>
      <c r="AI271" s="51" t="str">
        <f t="array" ref="AI271">IFERROR(_xlfn.XLOOKUP($F271,'Acerto virtual'!$E:$E,'Acerto virtual'!U:U),"")</f>
        <v/>
      </c>
    </row>
    <row r="272">
      <c r="A272" s="47" t="s">
        <v>864</v>
      </c>
      <c r="B272" s="47" t="s">
        <v>865</v>
      </c>
      <c r="C272" s="48" t="str">
        <f t="array" ref="C272">IFERROR(_xlfn.XLOOKUP($B272,'Histórico'!$B:$B,'Histórico'!$I:$I),"")</f>
        <v>1134380-4</v>
      </c>
      <c r="D272" s="19" t="str">
        <f t="array" ref="D272">IFERROR(_xlfn.XLOOKUP($B272,'Histórico'!$B:$B,'Histórico'!$J:$J),"")</f>
        <v>0B9E8</v>
      </c>
      <c r="E272" s="19" t="str">
        <f t="array" ref="E272">IFERROR(_xlfn.XLOOKUP($B272,'Histórico'!$B:$B,'Histórico'!$K:$K),"")</f>
        <v>EVAPORATOR MODULE ASSY-RH</v>
      </c>
      <c r="F272" s="19" t="str">
        <f t="array" ref="F272">IFERROR(_xlfn.XLOOKUP($B272,'Histórico'!$B:$B,'Histórico'!$L:$L),"")</f>
        <v/>
      </c>
      <c r="G272" s="49" t="str">
        <f t="array" ref="G272">IFERROR(_xlfn.XLOOKUP($B272,'Histórico'!$B:$B,'Histórico'!$F:$F),"")</f>
        <v>10/02/2026</v>
      </c>
      <c r="H272" s="19" t="str">
        <f t="array" ref="H272">IFERROR(_xlfn.XLOOKUP($B272,'Histórico'!$B:$B,'Histórico'!$AA:$AA),"")</f>
        <v>BAMN</v>
      </c>
      <c r="I272" s="19" t="str">
        <f t="array" ref="I272">IFERROR(_xlfn.XLOOKUP($B272,Atual!$B:$B,Atual!$E:$E),"OS concluída")</f>
        <v>REC</v>
      </c>
      <c r="J272" s="19">
        <f t="shared" si="1"/>
        <v>247</v>
      </c>
      <c r="K272" s="19"/>
      <c r="L272" s="19" t="str">
        <f t="shared" si="2"/>
        <v>NÃO APLICÁVEL</v>
      </c>
      <c r="M272" s="19"/>
      <c r="N272" s="49" t="str">
        <f t="array" ref="N272">IFERROR(_xlfn.XLOOKUP($B272,EMPRESA_1!A:A,EMPRESA_1!J:J),"")</f>
        <v>CONDENADO</v>
      </c>
      <c r="O272" s="50" t="str">
        <f t="array" ref="O272">IFERROR(_xlfn.XLOOKUP(B272,EMPRESA_1!A:A,EMPRESA_1!K:K),"")
</f>
        <v>VEE ONE</v>
      </c>
      <c r="P272" s="48" t="str">
        <f t="array" ref="P272">IFERROR(_xlfn.XLOOKUP(B272,EMPRESA_1!A:A,EMPRESA_1!L:L),"")</f>
        <v/>
      </c>
      <c r="Q272" s="49" t="str">
        <f t="array" ref="Q272">IFERROR(_xlfn.XLOOKUP(B272,EMPRESA_1!A:A,EMPRESA_1!J:J),"")</f>
        <v>CONDENADO</v>
      </c>
      <c r="R272" s="19" t="str">
        <f t="array" ref="R272">IFERROR(_xlfn.XLOOKUP(B272,EMPRESA_1!A:A,EMPRESA_1!M:M),"")</f>
        <v/>
      </c>
      <c r="S272" s="51"/>
      <c r="T272" s="51" t="str">
        <f t="array" ref="T272">IFERROR(_xlfn.XLOOKUP($F272,'Acerto virtual'!$E:$E,'Acerto virtual'!F:F),"")</f>
        <v/>
      </c>
      <c r="U272" s="51" t="str">
        <f t="array" ref="U272">IFERROR(_xlfn.XLOOKUP($F272,'Acerto virtual'!$E:$E,'Acerto virtual'!G:G),"")</f>
        <v/>
      </c>
      <c r="V272" s="51" t="str">
        <f t="array" ref="V272">IFERROR(_xlfn.XLOOKUP($F272,'Acerto virtual'!$E:$E,'Acerto virtual'!H:H),"")</f>
        <v/>
      </c>
      <c r="W272" s="51" t="str">
        <f t="array" ref="W272">IFERROR(_xlfn.XLOOKUP($F272,'Acerto virtual'!$E:$E,'Acerto virtual'!I:I),"")</f>
        <v/>
      </c>
      <c r="X272" s="51" t="str">
        <f t="array" ref="X272">IFERROR(_xlfn.XLOOKUP($F272,'Acerto virtual'!$E:$E,'Acerto virtual'!J:J),"")</f>
        <v/>
      </c>
      <c r="Y272" s="51" t="str">
        <f t="array" ref="Y272">IFERROR(_xlfn.XLOOKUP($F272,'Acerto virtual'!$E:$E,'Acerto virtual'!K:K),"")</f>
        <v/>
      </c>
      <c r="Z272" s="51" t="str">
        <f t="array" ref="Z272">IFERROR(_xlfn.XLOOKUP($F272,'Acerto virtual'!$E:$E,'Acerto virtual'!L:L),"")</f>
        <v/>
      </c>
      <c r="AA272" s="51" t="str">
        <f t="array" ref="AA272">IFERROR(_xlfn.XLOOKUP($F272,'Acerto virtual'!$E:$E,'Acerto virtual'!M:M),"")</f>
        <v/>
      </c>
      <c r="AB272" s="51" t="str">
        <f t="array" ref="AB272">IFERROR(_xlfn.XLOOKUP($F272,'Acerto virtual'!$E:$E,'Acerto virtual'!N:N),"")</f>
        <v/>
      </c>
      <c r="AC272" s="51" t="str">
        <f t="array" ref="AC272">IFERROR(_xlfn.XLOOKUP($F272,'Acerto virtual'!$E:$E,'Acerto virtual'!O:O),"")</f>
        <v/>
      </c>
      <c r="AD272" s="51" t="str">
        <f t="array" ref="AD272">IFERROR(_xlfn.XLOOKUP($F272,'Acerto virtual'!$E:$E,'Acerto virtual'!P:P),"")</f>
        <v/>
      </c>
      <c r="AE272" s="51" t="str">
        <f t="array" ref="AE272">IFERROR(_xlfn.XLOOKUP($F272,'Acerto virtual'!$E:$E,'Acerto virtual'!Q:Q),"")</f>
        <v/>
      </c>
      <c r="AF272" s="51" t="str">
        <f t="array" ref="AF272">IFERROR(_xlfn.XLOOKUP($F272,'Acerto virtual'!$E:$E,'Acerto virtual'!R:R),"")</f>
        <v/>
      </c>
      <c r="AG272" s="51" t="str">
        <f t="array" ref="AG272">IFERROR(_xlfn.XLOOKUP($F272,'Acerto virtual'!$E:$E,'Acerto virtual'!S:S),"")</f>
        <v/>
      </c>
      <c r="AH272" s="51" t="str">
        <f t="array" ref="AH272">IFERROR(_xlfn.XLOOKUP($F272,'Acerto virtual'!$E:$E,'Acerto virtual'!T:T),"")</f>
        <v/>
      </c>
      <c r="AI272" s="51" t="str">
        <f t="array" ref="AI272">IFERROR(_xlfn.XLOOKUP($F272,'Acerto virtual'!$E:$E,'Acerto virtual'!U:U),"")</f>
        <v/>
      </c>
    </row>
    <row r="273">
      <c r="A273" s="47" t="s">
        <v>866</v>
      </c>
      <c r="B273" s="47" t="s">
        <v>867</v>
      </c>
      <c r="C273" s="48" t="str">
        <f t="array" ref="C273">IFERROR(_xlfn.XLOOKUP($B273,'Histórico'!$B:$B,'Histórico'!$I:$I),"")</f>
        <v>071-1234-00</v>
      </c>
      <c r="D273" s="19" t="str">
        <f t="array" ref="D273">IFERROR(_xlfn.XLOOKUP($B273,'Histórico'!$B:$B,'Histórico'!$J:$J),"")</f>
        <v>22373</v>
      </c>
      <c r="E273" s="19" t="str">
        <f t="array" ref="E273">IFERROR(_xlfn.XLOOKUP($B273,'Histórico'!$B:$B,'Histórico'!$K:$K),"")</f>
        <v>ANTENNA ACCESSORY</v>
      </c>
      <c r="F273" s="19" t="str">
        <f t="array" ref="F273">IFERROR(_xlfn.XLOOKUP($B273,'Histórico'!$B:$B,'Histórico'!$L:$L),"")</f>
        <v>KTA77B-A87365</v>
      </c>
      <c r="G273" s="49" t="str">
        <f t="array" ref="G273">IFERROR(_xlfn.XLOOKUP($B273,'Histórico'!$B:$B,'Histórico'!$F:$F),"")</f>
        <v>10/02/2026</v>
      </c>
      <c r="H273" s="19" t="str">
        <f t="array" ref="H273">IFERROR(_xlfn.XLOOKUP($B273,'Histórico'!$B:$B,'Histórico'!$AA:$AA),"")</f>
        <v>ALA 1</v>
      </c>
      <c r="I273" s="19" t="str">
        <f t="array" ref="I273">IFERROR(_xlfn.XLOOKUP($B273,Atual!$B:$B,Atual!$E:$E),"OS concluída")</f>
        <v>REC</v>
      </c>
      <c r="J273" s="19">
        <f t="shared" si="1"/>
        <v>247</v>
      </c>
      <c r="K273" s="19"/>
      <c r="L273" s="19" t="str">
        <f t="shared" si="2"/>
        <v>NÃO APLICÁVEL</v>
      </c>
      <c r="M273" s="19"/>
      <c r="N273" s="49" t="str">
        <f t="array" ref="N273">IFERROR(_xlfn.XLOOKUP($B273,EMPRESA_1!A:A,EMPRESA_1!J:J),"")</f>
        <v>EM REPARO</v>
      </c>
      <c r="O273" s="50" t="str">
        <f t="array" ref="O273">IFERROR(_xlfn.XLOOKUP(B273,EMPRESA_1!A:A,EMPRESA_1!K:K),"")
</f>
        <v>WILLIAM</v>
      </c>
      <c r="P273" s="48" t="str">
        <f t="array" ref="P273">IFERROR(_xlfn.XLOOKUP(B273,EMPRESA_1!A:A,EMPRESA_1!L:L),"")</f>
        <v/>
      </c>
      <c r="Q273" s="49" t="str">
        <f t="array" ref="Q273">IFERROR(_xlfn.XLOOKUP(B273,EMPRESA_1!A:A,EMPRESA_1!J:J),"")</f>
        <v>EM REPARO</v>
      </c>
      <c r="R273" s="19" t="str">
        <f t="array" ref="R273">IFERROR(_xlfn.XLOOKUP(B273,EMPRESA_1!A:A,EMPRESA_1!M:M),"")</f>
        <v/>
      </c>
      <c r="S273" s="51"/>
      <c r="T273" s="51" t="str">
        <f t="array" ref="T273">IFERROR(_xlfn.XLOOKUP($F273,'Acerto virtual'!$E:$E,'Acerto virtual'!F:F),"")</f>
        <v/>
      </c>
      <c r="U273" s="51" t="str">
        <f t="array" ref="U273">IFERROR(_xlfn.XLOOKUP($F273,'Acerto virtual'!$E:$E,'Acerto virtual'!G:G),"")</f>
        <v/>
      </c>
      <c r="V273" s="51" t="str">
        <f t="array" ref="V273">IFERROR(_xlfn.XLOOKUP($F273,'Acerto virtual'!$E:$E,'Acerto virtual'!H:H),"")</f>
        <v/>
      </c>
      <c r="W273" s="51" t="str">
        <f t="array" ref="W273">IFERROR(_xlfn.XLOOKUP($F273,'Acerto virtual'!$E:$E,'Acerto virtual'!I:I),"")</f>
        <v/>
      </c>
      <c r="X273" s="51" t="str">
        <f t="array" ref="X273">IFERROR(_xlfn.XLOOKUP($F273,'Acerto virtual'!$E:$E,'Acerto virtual'!J:J),"")</f>
        <v/>
      </c>
      <c r="Y273" s="51" t="str">
        <f t="array" ref="Y273">IFERROR(_xlfn.XLOOKUP($F273,'Acerto virtual'!$E:$E,'Acerto virtual'!K:K),"")</f>
        <v/>
      </c>
      <c r="Z273" s="51" t="str">
        <f t="array" ref="Z273">IFERROR(_xlfn.XLOOKUP($F273,'Acerto virtual'!$E:$E,'Acerto virtual'!L:L),"")</f>
        <v/>
      </c>
      <c r="AA273" s="51" t="str">
        <f t="array" ref="AA273">IFERROR(_xlfn.XLOOKUP($F273,'Acerto virtual'!$E:$E,'Acerto virtual'!M:M),"")</f>
        <v/>
      </c>
      <c r="AB273" s="51" t="str">
        <f t="array" ref="AB273">IFERROR(_xlfn.XLOOKUP($F273,'Acerto virtual'!$E:$E,'Acerto virtual'!N:N),"")</f>
        <v/>
      </c>
      <c r="AC273" s="51" t="str">
        <f t="array" ref="AC273">IFERROR(_xlfn.XLOOKUP($F273,'Acerto virtual'!$E:$E,'Acerto virtual'!O:O),"")</f>
        <v/>
      </c>
      <c r="AD273" s="51" t="str">
        <f t="array" ref="AD273">IFERROR(_xlfn.XLOOKUP($F273,'Acerto virtual'!$E:$E,'Acerto virtual'!P:P),"")</f>
        <v/>
      </c>
      <c r="AE273" s="51" t="str">
        <f t="array" ref="AE273">IFERROR(_xlfn.XLOOKUP($F273,'Acerto virtual'!$E:$E,'Acerto virtual'!Q:Q),"")</f>
        <v/>
      </c>
      <c r="AF273" s="51" t="str">
        <f t="array" ref="AF273">IFERROR(_xlfn.XLOOKUP($F273,'Acerto virtual'!$E:$E,'Acerto virtual'!R:R),"")</f>
        <v/>
      </c>
      <c r="AG273" s="51" t="str">
        <f t="array" ref="AG273">IFERROR(_xlfn.XLOOKUP($F273,'Acerto virtual'!$E:$E,'Acerto virtual'!S:S),"")</f>
        <v/>
      </c>
      <c r="AH273" s="51" t="str">
        <f t="array" ref="AH273">IFERROR(_xlfn.XLOOKUP($F273,'Acerto virtual'!$E:$E,'Acerto virtual'!T:T),"")</f>
        <v/>
      </c>
      <c r="AI273" s="51" t="str">
        <f t="array" ref="AI273">IFERROR(_xlfn.XLOOKUP($F273,'Acerto virtual'!$E:$E,'Acerto virtual'!U:U),"")</f>
        <v/>
      </c>
    </row>
    <row r="274">
      <c r="A274" s="47" t="s">
        <v>868</v>
      </c>
      <c r="B274" s="47" t="s">
        <v>869</v>
      </c>
      <c r="C274" s="48" t="str">
        <f t="array" ref="C274">IFERROR(_xlfn.XLOOKUP($B274,'Histórico'!$B:$B,'Histórico'!$I:$I),"")</f>
        <v>066-4010-12</v>
      </c>
      <c r="D274" s="19" t="str">
        <f t="array" ref="D274">IFERROR(_xlfn.XLOOKUP($B274,'Histórico'!$B:$B,'Histórico'!$J:$J),"")</f>
        <v>22373</v>
      </c>
      <c r="E274" s="19" t="str">
        <f t="array" ref="E274">IFERROR(_xlfn.XLOOKUP($B274,'Histórico'!$B:$B,'Histórico'!$K:$K),"")</f>
        <v>RECEIVER VOR/LOC (KNS81)</v>
      </c>
      <c r="F274" s="19" t="str">
        <f t="array" ref="F274">IFERROR(_xlfn.XLOOKUP($B274,'Histórico'!$B:$B,'Histórico'!$L:$L),"")</f>
        <v>8306</v>
      </c>
      <c r="G274" s="49" t="str">
        <f t="array" ref="G274">IFERROR(_xlfn.XLOOKUP($B274,'Histórico'!$B:$B,'Histórico'!$F:$F),"")</f>
        <v>10/02/2026</v>
      </c>
      <c r="H274" s="19" t="str">
        <f t="array" ref="H274">IFERROR(_xlfn.XLOOKUP($B274,'Histórico'!$B:$B,'Histórico'!$AA:$AA),"")</f>
        <v>ALA 10</v>
      </c>
      <c r="I274" s="19" t="str">
        <f t="array" ref="I274">IFERROR(_xlfn.XLOOKUP($B274,Atual!$B:$B,Atual!$E:$E),"OS concluída")</f>
        <v>REC</v>
      </c>
      <c r="J274" s="19">
        <f t="shared" si="1"/>
        <v>247</v>
      </c>
      <c r="K274" s="19"/>
      <c r="L274" s="19" t="str">
        <f t="shared" si="2"/>
        <v>NÃO APLICÁVEL</v>
      </c>
      <c r="M274" s="19"/>
      <c r="N274" s="49" t="str">
        <f t="array" ref="N274">IFERROR(_xlfn.XLOOKUP($B274,EMPRESA_1!A:A,EMPRESA_1!J:J),"")</f>
        <v>EM REPARO</v>
      </c>
      <c r="O274" s="50" t="str">
        <f t="array" ref="O274">IFERROR(_xlfn.XLOOKUP(B274,EMPRESA_1!A:A,EMPRESA_1!K:K),"")
</f>
        <v>WILLIAM</v>
      </c>
      <c r="P274" s="48" t="str">
        <f t="array" ref="P274">IFERROR(_xlfn.XLOOKUP(B274,EMPRESA_1!A:A,EMPRESA_1!L:L),"")</f>
        <v/>
      </c>
      <c r="Q274" s="49" t="str">
        <f t="array" ref="Q274">IFERROR(_xlfn.XLOOKUP(B274,EMPRESA_1!A:A,EMPRESA_1!J:J),"")</f>
        <v>EM REPARO</v>
      </c>
      <c r="R274" s="19" t="str">
        <f t="array" ref="R274">IFERROR(_xlfn.XLOOKUP(B274,EMPRESA_1!A:A,EMPRESA_1!M:M),"")</f>
        <v/>
      </c>
      <c r="S274" s="51"/>
      <c r="T274" s="51" t="str">
        <f t="array" ref="T274">IFERROR(_xlfn.XLOOKUP($F274,'Acerto virtual'!$E:$E,'Acerto virtual'!F:F),"")</f>
        <v/>
      </c>
      <c r="U274" s="51" t="str">
        <f t="array" ref="U274">IFERROR(_xlfn.XLOOKUP($F274,'Acerto virtual'!$E:$E,'Acerto virtual'!G:G),"")</f>
        <v/>
      </c>
      <c r="V274" s="51" t="str">
        <f t="array" ref="V274">IFERROR(_xlfn.XLOOKUP($F274,'Acerto virtual'!$E:$E,'Acerto virtual'!H:H),"")</f>
        <v/>
      </c>
      <c r="W274" s="51" t="str">
        <f t="array" ref="W274">IFERROR(_xlfn.XLOOKUP($F274,'Acerto virtual'!$E:$E,'Acerto virtual'!I:I),"")</f>
        <v/>
      </c>
      <c r="X274" s="51" t="str">
        <f t="array" ref="X274">IFERROR(_xlfn.XLOOKUP($F274,'Acerto virtual'!$E:$E,'Acerto virtual'!J:J),"")</f>
        <v/>
      </c>
      <c r="Y274" s="51" t="str">
        <f t="array" ref="Y274">IFERROR(_xlfn.XLOOKUP($F274,'Acerto virtual'!$E:$E,'Acerto virtual'!K:K),"")</f>
        <v/>
      </c>
      <c r="Z274" s="51" t="str">
        <f t="array" ref="Z274">IFERROR(_xlfn.XLOOKUP($F274,'Acerto virtual'!$E:$E,'Acerto virtual'!L:L),"")</f>
        <v/>
      </c>
      <c r="AA274" s="51" t="str">
        <f t="array" ref="AA274">IFERROR(_xlfn.XLOOKUP($F274,'Acerto virtual'!$E:$E,'Acerto virtual'!M:M),"")</f>
        <v/>
      </c>
      <c r="AB274" s="51" t="str">
        <f t="array" ref="AB274">IFERROR(_xlfn.XLOOKUP($F274,'Acerto virtual'!$E:$E,'Acerto virtual'!N:N),"")</f>
        <v/>
      </c>
      <c r="AC274" s="51" t="str">
        <f t="array" ref="AC274">IFERROR(_xlfn.XLOOKUP($F274,'Acerto virtual'!$E:$E,'Acerto virtual'!O:O),"")</f>
        <v/>
      </c>
      <c r="AD274" s="51" t="str">
        <f t="array" ref="AD274">IFERROR(_xlfn.XLOOKUP($F274,'Acerto virtual'!$E:$E,'Acerto virtual'!P:P),"")</f>
        <v/>
      </c>
      <c r="AE274" s="51" t="str">
        <f t="array" ref="AE274">IFERROR(_xlfn.XLOOKUP($F274,'Acerto virtual'!$E:$E,'Acerto virtual'!Q:Q),"")</f>
        <v/>
      </c>
      <c r="AF274" s="51" t="str">
        <f t="array" ref="AF274">IFERROR(_xlfn.XLOOKUP($F274,'Acerto virtual'!$E:$E,'Acerto virtual'!R:R),"")</f>
        <v/>
      </c>
      <c r="AG274" s="51" t="str">
        <f t="array" ref="AG274">IFERROR(_xlfn.XLOOKUP($F274,'Acerto virtual'!$E:$E,'Acerto virtual'!S:S),"")</f>
        <v/>
      </c>
      <c r="AH274" s="51" t="str">
        <f t="array" ref="AH274">IFERROR(_xlfn.XLOOKUP($F274,'Acerto virtual'!$E:$E,'Acerto virtual'!T:T),"")</f>
        <v/>
      </c>
      <c r="AI274" s="51" t="str">
        <f t="array" ref="AI274">IFERROR(_xlfn.XLOOKUP($F274,'Acerto virtual'!$E:$E,'Acerto virtual'!U:U),"")</f>
        <v/>
      </c>
    </row>
    <row r="275" hidden="1">
      <c r="A275" s="47" t="s">
        <v>870</v>
      </c>
      <c r="B275" s="47" t="s">
        <v>871</v>
      </c>
      <c r="C275" s="48" t="str">
        <f t="array" ref="C275">IFERROR(_xlfn.XLOOKUP($B275,'Histórico'!$B:$B,'Histórico'!$I:$I),"")</f>
        <v>1H75-21</v>
      </c>
      <c r="D275" s="19" t="str">
        <f t="array" ref="D275">IFERROR(_xlfn.XLOOKUP($B275,'Histórico'!$B:$B,'Histórico'!$J:$J),"")</f>
        <v>7EK50</v>
      </c>
      <c r="E275" s="19" t="str">
        <f t="array" ref="E275">IFERROR(_xlfn.XLOOKUP($B275,'Histórico'!$B:$B,'Histórico'!$K:$K),"")</f>
        <v>PRESSURE REGULATOR</v>
      </c>
      <c r="F275" s="19" t="str">
        <f t="array" ref="F275">IFERROR(_xlfn.XLOOKUP($B275,'Histórico'!$B:$B,'Histórico'!$L:$L),"")</f>
        <v>5BE34</v>
      </c>
      <c r="G275" s="49" t="str">
        <f t="array" ref="G275">IFERROR(_xlfn.XLOOKUP($B275,'Histórico'!$B:$B,'Histórico'!$F:$F),"")</f>
        <v>10/02/2026</v>
      </c>
      <c r="H275" s="19" t="str">
        <f t="array" ref="H275">IFERROR(_xlfn.XLOOKUP($B275,'Histórico'!$B:$B,'Histórico'!$AA:$AA),"")</f>
        <v>BAMN</v>
      </c>
      <c r="I275" s="19" t="str">
        <f t="array" ref="I275">IFERROR(_xlfn.XLOOKUP($B275,Atual!$B:$B,Atual!$E:$E),"OS concluída")</f>
        <v>OS concluída</v>
      </c>
      <c r="J275" s="19" t="str">
        <f t="shared" si="1"/>
        <v/>
      </c>
      <c r="K275" s="19"/>
      <c r="L275" s="19">
        <f t="shared" si="2"/>
        <v>122</v>
      </c>
      <c r="M275" s="19"/>
      <c r="N275" s="49">
        <f t="array" ref="N275">IFERROR(_xlfn.XLOOKUP($B275,EMPRESA_1!A:A,EMPRESA_1!J:J),"")</f>
        <v>46185</v>
      </c>
      <c r="O275" s="50" t="str">
        <f t="array" ref="O275">IFERROR(_xlfn.XLOOKUP(B275,EMPRESA_1!A:A,EMPRESA_1!K:K),"")
</f>
        <v>BAMN</v>
      </c>
      <c r="P275" s="19" t="str">
        <f t="array" ref="P275">IFERROR(_xlfn.XLOOKUP(B275,EMPRESA_1!A:A,EMPRESA_1!L:L),"")</f>
        <v>498/FAB/26</v>
      </c>
      <c r="Q275" s="49">
        <f t="array" ref="Q275">IFERROR(_xlfn.XLOOKUP(B275,EMPRESA_1!A:A,EMPRESA_1!J:J),"")</f>
        <v>46185</v>
      </c>
      <c r="R275" s="19" t="str">
        <f t="array" ref="R275">IFERROR(_xlfn.XLOOKUP(B275,EMPRESA_1!A:A,EMPRESA_1!M:M),"")</f>
        <v>2AY7</v>
      </c>
      <c r="S275" s="51"/>
      <c r="T275" s="51" t="str">
        <f t="array" ref="T275">IFERROR(_xlfn.XLOOKUP($F275,'Acerto virtual'!$E:$E,'Acerto virtual'!F:F),"")</f>
        <v/>
      </c>
      <c r="U275" s="51" t="str">
        <f t="array" ref="U275">IFERROR(_xlfn.XLOOKUP($F275,'Acerto virtual'!$E:$E,'Acerto virtual'!G:G),"")</f>
        <v/>
      </c>
      <c r="V275" s="51" t="str">
        <f t="array" ref="V275">IFERROR(_xlfn.XLOOKUP($F275,'Acerto virtual'!$E:$E,'Acerto virtual'!H:H),"")</f>
        <v/>
      </c>
      <c r="W275" s="51" t="str">
        <f t="array" ref="W275">IFERROR(_xlfn.XLOOKUP($F275,'Acerto virtual'!$E:$E,'Acerto virtual'!I:I),"")</f>
        <v/>
      </c>
      <c r="X275" s="51" t="str">
        <f t="array" ref="X275">IFERROR(_xlfn.XLOOKUP($F275,'Acerto virtual'!$E:$E,'Acerto virtual'!J:J),"")</f>
        <v/>
      </c>
      <c r="Y275" s="51" t="str">
        <f t="array" ref="Y275">IFERROR(_xlfn.XLOOKUP($F275,'Acerto virtual'!$E:$E,'Acerto virtual'!K:K),"")</f>
        <v/>
      </c>
      <c r="Z275" s="51" t="str">
        <f t="array" ref="Z275">IFERROR(_xlfn.XLOOKUP($F275,'Acerto virtual'!$E:$E,'Acerto virtual'!L:L),"")</f>
        <v/>
      </c>
      <c r="AA275" s="51" t="str">
        <f t="array" ref="AA275">IFERROR(_xlfn.XLOOKUP($F275,'Acerto virtual'!$E:$E,'Acerto virtual'!M:M),"")</f>
        <v/>
      </c>
      <c r="AB275" s="51" t="str">
        <f t="array" ref="AB275">IFERROR(_xlfn.XLOOKUP($F275,'Acerto virtual'!$E:$E,'Acerto virtual'!N:N),"")</f>
        <v/>
      </c>
      <c r="AC275" s="51" t="str">
        <f t="array" ref="AC275">IFERROR(_xlfn.XLOOKUP($F275,'Acerto virtual'!$E:$E,'Acerto virtual'!O:O),"")</f>
        <v/>
      </c>
      <c r="AD275" s="51" t="str">
        <f t="array" ref="AD275">IFERROR(_xlfn.XLOOKUP($F275,'Acerto virtual'!$E:$E,'Acerto virtual'!P:P),"")</f>
        <v/>
      </c>
      <c r="AE275" s="51" t="str">
        <f t="array" ref="AE275">IFERROR(_xlfn.XLOOKUP($F275,'Acerto virtual'!$E:$E,'Acerto virtual'!Q:Q),"")</f>
        <v/>
      </c>
      <c r="AF275" s="51" t="str">
        <f t="array" ref="AF275">IFERROR(_xlfn.XLOOKUP($F275,'Acerto virtual'!$E:$E,'Acerto virtual'!R:R),"")</f>
        <v/>
      </c>
      <c r="AG275" s="51" t="str">
        <f t="array" ref="AG275">IFERROR(_xlfn.XLOOKUP($F275,'Acerto virtual'!$E:$E,'Acerto virtual'!S:S),"")</f>
        <v/>
      </c>
      <c r="AH275" s="51" t="str">
        <f t="array" ref="AH275">IFERROR(_xlfn.XLOOKUP($F275,'Acerto virtual'!$E:$E,'Acerto virtual'!T:T),"")</f>
        <v/>
      </c>
      <c r="AI275" s="51" t="str">
        <f t="array" ref="AI275">IFERROR(_xlfn.XLOOKUP($F275,'Acerto virtual'!$E:$E,'Acerto virtual'!U:U),"")</f>
        <v/>
      </c>
    </row>
    <row r="276" hidden="1">
      <c r="A276" s="47" t="s">
        <v>872</v>
      </c>
      <c r="B276" s="47" t="s">
        <v>873</v>
      </c>
      <c r="C276" s="19" t="str">
        <f t="array" ref="C276">IFERROR(_xlfn.XLOOKUP($B276,'Histórico'!$B:$B,'Histórico'!$I:$I),"")</f>
        <v>2682001-1</v>
      </c>
      <c r="D276" s="19" t="str">
        <f t="array" ref="D276">IFERROR(_xlfn.XLOOKUP($B276,'Histórico'!$B:$B,'Histórico'!$J:$J),"")</f>
        <v>7EK50</v>
      </c>
      <c r="E276" s="19" t="str">
        <f t="array" ref="E276">IFERROR(_xlfn.XLOOKUP($B276,'Histórico'!$B:$B,'Histórico'!$K:$K),"")</f>
        <v>BRAKE CYL MAST</v>
      </c>
      <c r="F276" s="19" t="str">
        <f t="array" ref="F276">IFERROR(_xlfn.XLOOKUP($B276,'Histórico'!$B:$B,'Histórico'!$L:$L),"")</f>
        <v>S4H004</v>
      </c>
      <c r="G276" s="49" t="str">
        <f t="array" ref="G276">IFERROR(_xlfn.XLOOKUP($B276,'Histórico'!$B:$B,'Histórico'!$F:$F),"")</f>
        <v>10/02/2026</v>
      </c>
      <c r="H276" s="19" t="str">
        <f t="array" ref="H276">IFERROR(_xlfn.XLOOKUP($B276,'Histórico'!$B:$B,'Histórico'!$AA:$AA),"")</f>
        <v>BABE</v>
      </c>
      <c r="I276" s="19" t="str">
        <f t="array" ref="I276">IFERROR(_xlfn.XLOOKUP($B276,Atual!$B:$B,Atual!$E:$E),"OS concluída")</f>
        <v>OS concluída</v>
      </c>
      <c r="J276" s="19" t="str">
        <f t="shared" si="1"/>
        <v/>
      </c>
      <c r="K276" s="19"/>
      <c r="L276" s="19" t="str">
        <f t="shared" si="2"/>
        <v/>
      </c>
      <c r="M276" s="19"/>
      <c r="N276" s="49" t="str">
        <f t="array" ref="N276">IFERROR(_xlfn.XLOOKUP($B276,Empresa!G:G,Empresa!K:K),"")</f>
        <v/>
      </c>
      <c r="O276" s="49"/>
      <c r="P276" s="19" t="str">
        <f t="array" ref="P276">IFERROR(_xlfn.XLOOKUP($F276,'Vee one'!F:F,'Vee one'!O:O),"")</f>
        <v/>
      </c>
      <c r="Q276" s="19" t="str">
        <f t="array" ref="Q276">IFERROR(_xlfn.XLOOKUP($F276,'Vee one'!F:F,'Vee one'!K:K),"")</f>
        <v/>
      </c>
      <c r="R276" s="19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</row>
    <row r="277" hidden="1">
      <c r="A277" s="47" t="s">
        <v>874</v>
      </c>
      <c r="B277" s="47" t="s">
        <v>875</v>
      </c>
      <c r="C277" s="48" t="str">
        <f t="array" ref="C277">IFERROR(_xlfn.XLOOKUP($B277,'Histórico'!$B:$B,'Histórico'!$I:$I),"")</f>
        <v>2670104-2</v>
      </c>
      <c r="D277" s="19" t="str">
        <f t="array" ref="D277">IFERROR(_xlfn.XLOOKUP($B277,'Histórico'!$B:$B,'Histórico'!$J:$J),"")</f>
        <v>7EK50</v>
      </c>
      <c r="E277" s="19" t="str">
        <f t="array" ref="E277">IFERROR(_xlfn.XLOOKUP($B277,'Histórico'!$B:$B,'Histórico'!$K:$K),"")</f>
        <v>ANNUNCIATOR PANEL</v>
      </c>
      <c r="F277" s="19" t="str">
        <f t="array" ref="F277">IFERROR(_xlfn.XLOOKUP($B277,'Histórico'!$B:$B,'Histórico'!$L:$L),"")</f>
        <v>0919</v>
      </c>
      <c r="G277" s="49" t="str">
        <f t="array" ref="G277">IFERROR(_xlfn.XLOOKUP($B277,'Histórico'!$B:$B,'Histórico'!$F:$F),"")</f>
        <v>10/02/2026</v>
      </c>
      <c r="H277" s="19" t="str">
        <f t="array" ref="H277">IFERROR(_xlfn.XLOOKUP($B277,'Histórico'!$B:$B,'Histórico'!$AA:$AA),"")</f>
        <v>PAMALS</v>
      </c>
      <c r="I277" s="19" t="str">
        <f t="array" ref="I277">IFERROR(_xlfn.XLOOKUP($B277,Atual!$B:$B,Atual!$E:$E),"OS concluída")</f>
        <v>OS concluída</v>
      </c>
      <c r="J277" s="19" t="str">
        <f t="shared" si="1"/>
        <v/>
      </c>
      <c r="K277" s="19"/>
      <c r="L277" s="19">
        <f t="shared" si="2"/>
        <v>169</v>
      </c>
      <c r="M277" s="19"/>
      <c r="N277" s="49">
        <f t="array" ref="N277">IFERROR(_xlfn.XLOOKUP($B277,EMPRESA_1!A:A,EMPRESA_1!J:J),"")</f>
        <v>46232</v>
      </c>
      <c r="O277" s="50" t="str">
        <f t="array" ref="O277">IFERROR(_xlfn.XLOOKUP(B277,EMPRESA_1!A:A,EMPRESA_1!K:K),"")
</f>
        <v/>
      </c>
      <c r="P277" s="48" t="str">
        <f t="array" ref="P277">IFERROR(_xlfn.XLOOKUP(B277,EMPRESA_1!A:A,EMPRESA_1!L:L),"")</f>
        <v>598/FAB/26</v>
      </c>
      <c r="Q277" s="49">
        <f t="array" ref="Q277">IFERROR(_xlfn.XLOOKUP(B277,EMPRESA_1!A:A,EMPRESA_1!J:J),"")</f>
        <v>46232</v>
      </c>
      <c r="R277" s="19" t="str">
        <f t="array" ref="R277">IFERROR(_xlfn.XLOOKUP(B277,EMPRESA_1!A:A,EMPRESA_1!M:M),"")</f>
        <v/>
      </c>
      <c r="S277" s="51"/>
      <c r="T277" s="51" t="str">
        <f t="array" ref="T277">IFERROR(_xlfn.XLOOKUP($F277,'Acerto virtual'!$E:$E,'Acerto virtual'!F:F),"")</f>
        <v/>
      </c>
      <c r="U277" s="51" t="str">
        <f t="array" ref="U277">IFERROR(_xlfn.XLOOKUP($F277,'Acerto virtual'!$E:$E,'Acerto virtual'!G:G),"")</f>
        <v/>
      </c>
      <c r="V277" s="51" t="str">
        <f t="array" ref="V277">IFERROR(_xlfn.XLOOKUP($F277,'Acerto virtual'!$E:$E,'Acerto virtual'!H:H),"")</f>
        <v/>
      </c>
      <c r="W277" s="51" t="str">
        <f t="array" ref="W277">IFERROR(_xlfn.XLOOKUP($F277,'Acerto virtual'!$E:$E,'Acerto virtual'!I:I),"")</f>
        <v/>
      </c>
      <c r="X277" s="51" t="str">
        <f t="array" ref="X277">IFERROR(_xlfn.XLOOKUP($F277,'Acerto virtual'!$E:$E,'Acerto virtual'!J:J),"")</f>
        <v/>
      </c>
      <c r="Y277" s="51" t="str">
        <f t="array" ref="Y277">IFERROR(_xlfn.XLOOKUP($F277,'Acerto virtual'!$E:$E,'Acerto virtual'!K:K),"")</f>
        <v/>
      </c>
      <c r="Z277" s="51" t="str">
        <f t="array" ref="Z277">IFERROR(_xlfn.XLOOKUP($F277,'Acerto virtual'!$E:$E,'Acerto virtual'!L:L),"")</f>
        <v/>
      </c>
      <c r="AA277" s="51" t="str">
        <f t="array" ref="AA277">IFERROR(_xlfn.XLOOKUP($F277,'Acerto virtual'!$E:$E,'Acerto virtual'!M:M),"")</f>
        <v/>
      </c>
      <c r="AB277" s="51" t="str">
        <f t="array" ref="AB277">IFERROR(_xlfn.XLOOKUP($F277,'Acerto virtual'!$E:$E,'Acerto virtual'!N:N),"")</f>
        <v/>
      </c>
      <c r="AC277" s="51" t="str">
        <f t="array" ref="AC277">IFERROR(_xlfn.XLOOKUP($F277,'Acerto virtual'!$E:$E,'Acerto virtual'!O:O),"")</f>
        <v/>
      </c>
      <c r="AD277" s="51" t="str">
        <f t="array" ref="AD277">IFERROR(_xlfn.XLOOKUP($F277,'Acerto virtual'!$E:$E,'Acerto virtual'!P:P),"")</f>
        <v/>
      </c>
      <c r="AE277" s="51" t="str">
        <f t="array" ref="AE277">IFERROR(_xlfn.XLOOKUP($F277,'Acerto virtual'!$E:$E,'Acerto virtual'!Q:Q),"")</f>
        <v/>
      </c>
      <c r="AF277" s="51" t="str">
        <f t="array" ref="AF277">IFERROR(_xlfn.XLOOKUP($F277,'Acerto virtual'!$E:$E,'Acerto virtual'!R:R),"")</f>
        <v/>
      </c>
      <c r="AG277" s="51" t="str">
        <f t="array" ref="AG277">IFERROR(_xlfn.XLOOKUP($F277,'Acerto virtual'!$E:$E,'Acerto virtual'!S:S),"")</f>
        <v/>
      </c>
      <c r="AH277" s="51" t="str">
        <f t="array" ref="AH277">IFERROR(_xlfn.XLOOKUP($F277,'Acerto virtual'!$E:$E,'Acerto virtual'!T:T),"")</f>
        <v/>
      </c>
      <c r="AI277" s="51" t="str">
        <f t="array" ref="AI277">IFERROR(_xlfn.XLOOKUP($F277,'Acerto virtual'!$E:$E,'Acerto virtual'!U:U),"")</f>
        <v/>
      </c>
    </row>
    <row r="278" hidden="1">
      <c r="A278" s="47" t="s">
        <v>876</v>
      </c>
      <c r="B278" s="47" t="s">
        <v>877</v>
      </c>
      <c r="C278" s="19" t="str">
        <f t="array" ref="C278">IFERROR(_xlfn.XLOOKUP($B278,'Histórico'!$B:$B,'Histórico'!$I:$I),"")</f>
        <v>2643100-201</v>
      </c>
      <c r="D278" s="19" t="str">
        <f t="array" ref="D278">IFERROR(_xlfn.XLOOKUP($B278,'Histórico'!$B:$B,'Histórico'!$J:$J),"")</f>
        <v>7EK50</v>
      </c>
      <c r="E278" s="19" t="str">
        <f t="array" ref="E278">IFERROR(_xlfn.XLOOKUP($B278,'Histórico'!$B:$B,'Histórico'!$K:$K),"")</f>
        <v>NOSE GEAR STRUT ASSY - TALL FORK</v>
      </c>
      <c r="F278" s="19" t="str">
        <f t="array" ref="F278">IFERROR(_xlfn.XLOOKUP($B278,'Histórico'!$B:$B,'Histórico'!$L:$L),"")</f>
        <v>B4H-015</v>
      </c>
      <c r="G278" s="49" t="str">
        <f t="array" ref="G278">IFERROR(_xlfn.XLOOKUP($B278,'Histórico'!$B:$B,'Histórico'!$F:$F),"")</f>
        <v>10/02/2026</v>
      </c>
      <c r="H278" s="19" t="str">
        <f t="array" ref="H278">IFERROR(_xlfn.XLOOKUP($B278,'Histórico'!$B:$B,'Histórico'!$AA:$AA),"")</f>
        <v>BABR</v>
      </c>
      <c r="I278" s="19" t="str">
        <f t="array" ref="I278">IFERROR(_xlfn.XLOOKUP($B278,Atual!$B:$B,Atual!$E:$E),"OS concluída")</f>
        <v>OS concluída</v>
      </c>
      <c r="J278" s="19" t="str">
        <f t="shared" si="1"/>
        <v/>
      </c>
      <c r="K278" s="19"/>
      <c r="L278" s="19" t="str">
        <f t="shared" si="2"/>
        <v/>
      </c>
      <c r="M278" s="19"/>
      <c r="N278" s="49" t="str">
        <f t="array" ref="N278">IFERROR(_xlfn.XLOOKUP($B278,Empresa!G:G,Empresa!K:K),"")</f>
        <v/>
      </c>
      <c r="O278" s="49"/>
      <c r="P278" s="19" t="str">
        <f t="array" ref="P278">IFERROR(_xlfn.XLOOKUP($F278,'Vee one'!F:F,'Vee one'!O:O),"")</f>
        <v/>
      </c>
      <c r="Q278" s="19" t="str">
        <f t="array" ref="Q278">IFERROR(_xlfn.XLOOKUP($F278,'Vee one'!F:F,'Vee one'!K:K),"")</f>
        <v/>
      </c>
      <c r="R278" s="19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</row>
    <row r="279">
      <c r="A279" s="47" t="s">
        <v>878</v>
      </c>
      <c r="B279" s="47" t="s">
        <v>879</v>
      </c>
      <c r="C279" s="48" t="str">
        <f t="array" ref="C279">IFERROR(_xlfn.XLOOKUP($B279,'Histórico'!$B:$B,'Histórico'!$I:$I),"")</f>
        <v>2643100-201</v>
      </c>
      <c r="D279" s="19" t="str">
        <f t="array" ref="D279">IFERROR(_xlfn.XLOOKUP($B279,'Histórico'!$B:$B,'Histórico'!$J:$J),"")</f>
        <v>7EK50</v>
      </c>
      <c r="E279" s="19" t="str">
        <f t="array" ref="E279">IFERROR(_xlfn.XLOOKUP($B279,'Histórico'!$B:$B,'Histórico'!$K:$K),"")</f>
        <v>NOSE GEAR STRUT ASSY - TALL FORK</v>
      </c>
      <c r="F279" s="19" t="str">
        <f t="array" ref="F279">IFERROR(_xlfn.XLOOKUP($B279,'Histórico'!$B:$B,'Histórico'!$L:$L),"")</f>
        <v>B4H-011</v>
      </c>
      <c r="G279" s="49" t="str">
        <f t="array" ref="G279">IFERROR(_xlfn.XLOOKUP($B279,'Histórico'!$B:$B,'Histórico'!$F:$F),"")</f>
        <v>10/02/2026</v>
      </c>
      <c r="H279" s="19" t="str">
        <f t="array" ref="H279">IFERROR(_xlfn.XLOOKUP($B279,'Histórico'!$B:$B,'Histórico'!$AA:$AA),"")</f>
        <v>BANT</v>
      </c>
      <c r="I279" s="19" t="str">
        <f t="array" ref="I279">IFERROR(_xlfn.XLOOKUP($B279,Atual!$B:$B,Atual!$E:$E),"OS concluída")</f>
        <v>REC</v>
      </c>
      <c r="J279" s="19">
        <f t="shared" si="1"/>
        <v>247</v>
      </c>
      <c r="K279" s="19"/>
      <c r="L279" s="19" t="str">
        <f t="shared" si="2"/>
        <v>NÃO APLICÁVEL</v>
      </c>
      <c r="M279" s="19"/>
      <c r="N279" s="49" t="str">
        <f t="array" ref="N279">IFERROR(_xlfn.XLOOKUP($B279,EMPRESA_1!A:A,EMPRESA_1!J:J),"")</f>
        <v>EM REPARO</v>
      </c>
      <c r="O279" s="50" t="str">
        <f t="array" ref="O279">IFERROR(_xlfn.XLOOKUP(B279,EMPRESA_1!A:A,EMPRESA_1!K:K),"")
</f>
        <v>AV AERONAUTICA</v>
      </c>
      <c r="P279" s="48" t="str">
        <f t="array" ref="P279">IFERROR(_xlfn.XLOOKUP(B279,EMPRESA_1!A:A,EMPRESA_1!L:L),"")</f>
        <v/>
      </c>
      <c r="Q279" s="49" t="str">
        <f t="array" ref="Q279">IFERROR(_xlfn.XLOOKUP(B279,EMPRESA_1!A:A,EMPRESA_1!J:J),"")</f>
        <v>EM REPARO</v>
      </c>
      <c r="R279" s="19" t="str">
        <f t="array" ref="R279">IFERROR(_xlfn.XLOOKUP(B279,EMPRESA_1!A:A,EMPRESA_1!M:M),"")</f>
        <v/>
      </c>
      <c r="S279" s="51"/>
      <c r="T279" s="51" t="str">
        <f t="array" ref="T279">IFERROR(_xlfn.XLOOKUP($F279,'Acerto virtual'!$E:$E,'Acerto virtual'!F:F),"")</f>
        <v/>
      </c>
      <c r="U279" s="51" t="str">
        <f t="array" ref="U279">IFERROR(_xlfn.XLOOKUP($F279,'Acerto virtual'!$E:$E,'Acerto virtual'!G:G),"")</f>
        <v/>
      </c>
      <c r="V279" s="51" t="str">
        <f t="array" ref="V279">IFERROR(_xlfn.XLOOKUP($F279,'Acerto virtual'!$E:$E,'Acerto virtual'!H:H),"")</f>
        <v/>
      </c>
      <c r="W279" s="51" t="str">
        <f t="array" ref="W279">IFERROR(_xlfn.XLOOKUP($F279,'Acerto virtual'!$E:$E,'Acerto virtual'!I:I),"")</f>
        <v/>
      </c>
      <c r="X279" s="51" t="str">
        <f t="array" ref="X279">IFERROR(_xlfn.XLOOKUP($F279,'Acerto virtual'!$E:$E,'Acerto virtual'!J:J),"")</f>
        <v/>
      </c>
      <c r="Y279" s="51" t="str">
        <f t="array" ref="Y279">IFERROR(_xlfn.XLOOKUP($F279,'Acerto virtual'!$E:$E,'Acerto virtual'!K:K),"")</f>
        <v/>
      </c>
      <c r="Z279" s="51" t="str">
        <f t="array" ref="Z279">IFERROR(_xlfn.XLOOKUP($F279,'Acerto virtual'!$E:$E,'Acerto virtual'!L:L),"")</f>
        <v/>
      </c>
      <c r="AA279" s="51" t="str">
        <f t="array" ref="AA279">IFERROR(_xlfn.XLOOKUP($F279,'Acerto virtual'!$E:$E,'Acerto virtual'!M:M),"")</f>
        <v/>
      </c>
      <c r="AB279" s="51" t="str">
        <f t="array" ref="AB279">IFERROR(_xlfn.XLOOKUP($F279,'Acerto virtual'!$E:$E,'Acerto virtual'!N:N),"")</f>
        <v/>
      </c>
      <c r="AC279" s="51" t="str">
        <f t="array" ref="AC279">IFERROR(_xlfn.XLOOKUP($F279,'Acerto virtual'!$E:$E,'Acerto virtual'!O:O),"")</f>
        <v/>
      </c>
      <c r="AD279" s="51" t="str">
        <f t="array" ref="AD279">IFERROR(_xlfn.XLOOKUP($F279,'Acerto virtual'!$E:$E,'Acerto virtual'!P:P),"")</f>
        <v/>
      </c>
      <c r="AE279" s="51" t="str">
        <f t="array" ref="AE279">IFERROR(_xlfn.XLOOKUP($F279,'Acerto virtual'!$E:$E,'Acerto virtual'!Q:Q),"")</f>
        <v/>
      </c>
      <c r="AF279" s="51" t="str">
        <f t="array" ref="AF279">IFERROR(_xlfn.XLOOKUP($F279,'Acerto virtual'!$E:$E,'Acerto virtual'!R:R),"")</f>
        <v/>
      </c>
      <c r="AG279" s="51" t="str">
        <f t="array" ref="AG279">IFERROR(_xlfn.XLOOKUP($F279,'Acerto virtual'!$E:$E,'Acerto virtual'!S:S),"")</f>
        <v/>
      </c>
      <c r="AH279" s="51" t="str">
        <f t="array" ref="AH279">IFERROR(_xlfn.XLOOKUP($F279,'Acerto virtual'!$E:$E,'Acerto virtual'!T:T),"")</f>
        <v/>
      </c>
      <c r="AI279" s="51" t="str">
        <f t="array" ref="AI279">IFERROR(_xlfn.XLOOKUP($F279,'Acerto virtual'!$E:$E,'Acerto virtual'!U:U),"")</f>
        <v/>
      </c>
    </row>
    <row r="280">
      <c r="A280" s="47" t="s">
        <v>880</v>
      </c>
      <c r="B280" s="47" t="s">
        <v>881</v>
      </c>
      <c r="C280" s="48" t="str">
        <f t="array" ref="C280">IFERROR(_xlfn.XLOOKUP($B280,'Histórico'!$B:$B,'Histórico'!$I:$I),"")</f>
        <v>8210-002-01</v>
      </c>
      <c r="D280" s="19" t="str">
        <f t="array" ref="D280">IFERROR(_xlfn.XLOOKUP($B280,'Histórico'!$B:$B,'Histórico'!$J:$J),"")</f>
        <v>66503</v>
      </c>
      <c r="E280" s="19" t="str">
        <f t="array" ref="E280">IFERROR(_xlfn.XLOOKUP($B280,'Histórico'!$B:$B,'Histórico'!$K:$K),"")</f>
        <v>GOVERNOR PROPELLER</v>
      </c>
      <c r="F280" s="19" t="str">
        <f t="array" ref="F280">IFERROR(_xlfn.XLOOKUP($B280,'Histórico'!$B:$B,'Histórico'!$L:$L),"")</f>
        <v>20675473</v>
      </c>
      <c r="G280" s="49" t="str">
        <f t="array" ref="G280">IFERROR(_xlfn.XLOOKUP($B280,'Histórico'!$B:$B,'Histórico'!$F:$F),"")</f>
        <v>10/02/2026</v>
      </c>
      <c r="H280" s="19" t="str">
        <f t="array" ref="H280">IFERROR(_xlfn.XLOOKUP($B280,'Histórico'!$B:$B,'Histórico'!$AA:$AA),"")</f>
        <v>PAMASP</v>
      </c>
      <c r="I280" s="19" t="str">
        <f t="array" ref="I280">IFERROR(_xlfn.XLOOKUP($B280,Atual!$B:$B,Atual!$E:$E),"OS concluída")</f>
        <v>REC</v>
      </c>
      <c r="J280" s="19">
        <f t="shared" si="1"/>
        <v>247</v>
      </c>
      <c r="K280" s="19"/>
      <c r="L280" s="19" t="str">
        <f t="shared" si="2"/>
        <v>NÃO APLICÁVEL</v>
      </c>
      <c r="M280" s="19"/>
      <c r="N280" s="49" t="str">
        <f t="array" ref="N280">IFERROR(_xlfn.XLOOKUP($B280,EMPRESA_1!A:A,EMPRESA_1!J:J),"")</f>
        <v>REPARADO</v>
      </c>
      <c r="O280" s="50" t="str">
        <f t="array" ref="O280">IFERROR(_xlfn.XLOOKUP(B280,EMPRESA_1!A:A,EMPRESA_1!K:K),"")
</f>
        <v>VEE ONE</v>
      </c>
      <c r="P280" s="48" t="str">
        <f t="array" ref="P280">IFERROR(_xlfn.XLOOKUP(B280,EMPRESA_1!A:A,EMPRESA_1!L:L),"")</f>
        <v/>
      </c>
      <c r="Q280" s="49" t="str">
        <f t="array" ref="Q280">IFERROR(_xlfn.XLOOKUP(B280,EMPRESA_1!A:A,EMPRESA_1!J:J),"")</f>
        <v>REPARADO</v>
      </c>
      <c r="R280" s="19" t="str">
        <f t="array" ref="R280">IFERROR(_xlfn.XLOOKUP(B280,EMPRESA_1!A:A,EMPRESA_1!M:M),"")</f>
        <v/>
      </c>
      <c r="S280" s="51"/>
      <c r="T280" s="51" t="str">
        <f t="array" ref="T280">IFERROR(_xlfn.XLOOKUP($F280,'Acerto virtual'!$E:$E,'Acerto virtual'!F:F),"")</f>
        <v/>
      </c>
      <c r="U280" s="51" t="str">
        <f t="array" ref="U280">IFERROR(_xlfn.XLOOKUP($F280,'Acerto virtual'!$E:$E,'Acerto virtual'!G:G),"")</f>
        <v/>
      </c>
      <c r="V280" s="51" t="str">
        <f t="array" ref="V280">IFERROR(_xlfn.XLOOKUP($F280,'Acerto virtual'!$E:$E,'Acerto virtual'!H:H),"")</f>
        <v/>
      </c>
      <c r="W280" s="51" t="str">
        <f t="array" ref="W280">IFERROR(_xlfn.XLOOKUP($F280,'Acerto virtual'!$E:$E,'Acerto virtual'!I:I),"")</f>
        <v/>
      </c>
      <c r="X280" s="51" t="str">
        <f t="array" ref="X280">IFERROR(_xlfn.XLOOKUP($F280,'Acerto virtual'!$E:$E,'Acerto virtual'!J:J),"")</f>
        <v/>
      </c>
      <c r="Y280" s="51" t="str">
        <f t="array" ref="Y280">IFERROR(_xlfn.XLOOKUP($F280,'Acerto virtual'!$E:$E,'Acerto virtual'!K:K),"")</f>
        <v/>
      </c>
      <c r="Z280" s="51" t="str">
        <f t="array" ref="Z280">IFERROR(_xlfn.XLOOKUP($F280,'Acerto virtual'!$E:$E,'Acerto virtual'!L:L),"")</f>
        <v/>
      </c>
      <c r="AA280" s="51" t="str">
        <f t="array" ref="AA280">IFERROR(_xlfn.XLOOKUP($F280,'Acerto virtual'!$E:$E,'Acerto virtual'!M:M),"")</f>
        <v/>
      </c>
      <c r="AB280" s="51" t="str">
        <f t="array" ref="AB280">IFERROR(_xlfn.XLOOKUP($F280,'Acerto virtual'!$E:$E,'Acerto virtual'!N:N),"")</f>
        <v/>
      </c>
      <c r="AC280" s="51" t="str">
        <f t="array" ref="AC280">IFERROR(_xlfn.XLOOKUP($F280,'Acerto virtual'!$E:$E,'Acerto virtual'!O:O),"")</f>
        <v/>
      </c>
      <c r="AD280" s="51" t="str">
        <f t="array" ref="AD280">IFERROR(_xlfn.XLOOKUP($F280,'Acerto virtual'!$E:$E,'Acerto virtual'!P:P),"")</f>
        <v/>
      </c>
      <c r="AE280" s="51" t="str">
        <f t="array" ref="AE280">IFERROR(_xlfn.XLOOKUP($F280,'Acerto virtual'!$E:$E,'Acerto virtual'!Q:Q),"")</f>
        <v/>
      </c>
      <c r="AF280" s="51" t="str">
        <f t="array" ref="AF280">IFERROR(_xlfn.XLOOKUP($F280,'Acerto virtual'!$E:$E,'Acerto virtual'!R:R),"")</f>
        <v/>
      </c>
      <c r="AG280" s="51" t="str">
        <f t="array" ref="AG280">IFERROR(_xlfn.XLOOKUP($F280,'Acerto virtual'!$E:$E,'Acerto virtual'!S:S),"")</f>
        <v/>
      </c>
      <c r="AH280" s="51" t="str">
        <f t="array" ref="AH280">IFERROR(_xlfn.XLOOKUP($F280,'Acerto virtual'!$E:$E,'Acerto virtual'!T:T),"")</f>
        <v/>
      </c>
      <c r="AI280" s="51" t="str">
        <f t="array" ref="AI280">IFERROR(_xlfn.XLOOKUP($F280,'Acerto virtual'!$E:$E,'Acerto virtual'!U:U),"")</f>
        <v/>
      </c>
    </row>
    <row r="281">
      <c r="A281" s="47" t="s">
        <v>882</v>
      </c>
      <c r="B281" s="47" t="s">
        <v>883</v>
      </c>
      <c r="C281" s="48" t="str">
        <f t="array" ref="C281">IFERROR(_xlfn.XLOOKUP($B281,'Histórico'!$B:$B,'Histórico'!$I:$I),"")</f>
        <v>S3828-1</v>
      </c>
      <c r="D281" s="19" t="str">
        <f t="array" ref="D281">IFERROR(_xlfn.XLOOKUP($B281,'Histórico'!$B:$B,'Histórico'!$J:$J),"")</f>
        <v>16455</v>
      </c>
      <c r="E281" s="19" t="str">
        <f t="array" ref="E281">IFERROR(_xlfn.XLOOKUP($B281,'Histórico'!$B:$B,'Histórico'!$K:$K),"")</f>
        <v>ALTIMETER</v>
      </c>
      <c r="F281" s="19" t="str">
        <f t="array" ref="F281">IFERROR(_xlfn.XLOOKUP($B281,'Histórico'!$B:$B,'Histórico'!$L:$L),"")</f>
        <v>470055</v>
      </c>
      <c r="G281" s="49" t="str">
        <f t="array" ref="G281">IFERROR(_xlfn.XLOOKUP($B281,'Histórico'!$B:$B,'Histórico'!$F:$F),"")</f>
        <v>24/02/2026</v>
      </c>
      <c r="H281" s="19" t="str">
        <f t="array" ref="H281">IFERROR(_xlfn.XLOOKUP($B281,'Histórico'!$B:$B,'Histórico'!$AA:$AA),"")</f>
        <v>BAMN</v>
      </c>
      <c r="I281" s="19" t="str">
        <f t="array" ref="I281">IFERROR(_xlfn.XLOOKUP($B281,Atual!$B:$B,Atual!$E:$E),"OS concluída")</f>
        <v>REC</v>
      </c>
      <c r="J281" s="19">
        <f t="shared" si="1"/>
        <v>233</v>
      </c>
      <c r="K281" s="19"/>
      <c r="L281" s="19">
        <f t="shared" si="2"/>
        <v>148</v>
      </c>
      <c r="M281" s="19"/>
      <c r="N281" s="49">
        <f t="array" ref="N281">IFERROR(_xlfn.XLOOKUP($B281,EMPRESA_1!A:A,EMPRESA_1!J:J),"")</f>
        <v>46225</v>
      </c>
      <c r="O281" s="50" t="str">
        <f t="array" ref="O281">IFERROR(_xlfn.XLOOKUP(B281,EMPRESA_1!A:A,EMPRESA_1!K:K),"")
</f>
        <v>PAMA-LS</v>
      </c>
      <c r="P281" s="48" t="str">
        <f t="array" ref="P281">IFERROR(_xlfn.XLOOKUP(B281,EMPRESA_1!A:A,EMPRESA_1!L:L),"")</f>
        <v>623/FAB/26</v>
      </c>
      <c r="Q281" s="49">
        <f t="array" ref="Q281">IFERROR(_xlfn.XLOOKUP(B281,EMPRESA_1!A:A,EMPRESA_1!J:J),"")</f>
        <v>46225</v>
      </c>
      <c r="R281" s="19" t="str">
        <f t="array" ref="R281">IFERROR(_xlfn.XLOOKUP(B281,EMPRESA_1!A:A,EMPRESA_1!M:M),"")</f>
        <v/>
      </c>
      <c r="S281" s="51"/>
      <c r="T281" s="51" t="str">
        <f t="array" ref="T281">IFERROR(_xlfn.XLOOKUP($F281,'Acerto virtual'!$E:$E,'Acerto virtual'!F:F),"")</f>
        <v/>
      </c>
      <c r="U281" s="51" t="str">
        <f t="array" ref="U281">IFERROR(_xlfn.XLOOKUP($F281,'Acerto virtual'!$E:$E,'Acerto virtual'!G:G),"")</f>
        <v/>
      </c>
      <c r="V281" s="51" t="str">
        <f t="array" ref="V281">IFERROR(_xlfn.XLOOKUP($F281,'Acerto virtual'!$E:$E,'Acerto virtual'!H:H),"")</f>
        <v/>
      </c>
      <c r="W281" s="51" t="str">
        <f t="array" ref="W281">IFERROR(_xlfn.XLOOKUP($F281,'Acerto virtual'!$E:$E,'Acerto virtual'!I:I),"")</f>
        <v/>
      </c>
      <c r="X281" s="51" t="str">
        <f t="array" ref="X281">IFERROR(_xlfn.XLOOKUP($F281,'Acerto virtual'!$E:$E,'Acerto virtual'!J:J),"")</f>
        <v/>
      </c>
      <c r="Y281" s="51" t="str">
        <f t="array" ref="Y281">IFERROR(_xlfn.XLOOKUP($F281,'Acerto virtual'!$E:$E,'Acerto virtual'!K:K),"")</f>
        <v/>
      </c>
      <c r="Z281" s="51" t="str">
        <f t="array" ref="Z281">IFERROR(_xlfn.XLOOKUP($F281,'Acerto virtual'!$E:$E,'Acerto virtual'!L:L),"")</f>
        <v/>
      </c>
      <c r="AA281" s="51" t="str">
        <f t="array" ref="AA281">IFERROR(_xlfn.XLOOKUP($F281,'Acerto virtual'!$E:$E,'Acerto virtual'!M:M),"")</f>
        <v/>
      </c>
      <c r="AB281" s="51" t="str">
        <f t="array" ref="AB281">IFERROR(_xlfn.XLOOKUP($F281,'Acerto virtual'!$E:$E,'Acerto virtual'!N:N),"")</f>
        <v/>
      </c>
      <c r="AC281" s="51" t="str">
        <f t="array" ref="AC281">IFERROR(_xlfn.XLOOKUP($F281,'Acerto virtual'!$E:$E,'Acerto virtual'!O:O),"")</f>
        <v/>
      </c>
      <c r="AD281" s="51" t="str">
        <f t="array" ref="AD281">IFERROR(_xlfn.XLOOKUP($F281,'Acerto virtual'!$E:$E,'Acerto virtual'!P:P),"")</f>
        <v/>
      </c>
      <c r="AE281" s="51" t="str">
        <f t="array" ref="AE281">IFERROR(_xlfn.XLOOKUP($F281,'Acerto virtual'!$E:$E,'Acerto virtual'!Q:Q),"")</f>
        <v/>
      </c>
      <c r="AF281" s="51" t="str">
        <f t="array" ref="AF281">IFERROR(_xlfn.XLOOKUP($F281,'Acerto virtual'!$E:$E,'Acerto virtual'!R:R),"")</f>
        <v/>
      </c>
      <c r="AG281" s="51" t="str">
        <f t="array" ref="AG281">IFERROR(_xlfn.XLOOKUP($F281,'Acerto virtual'!$E:$E,'Acerto virtual'!S:S),"")</f>
        <v/>
      </c>
      <c r="AH281" s="51" t="str">
        <f t="array" ref="AH281">IFERROR(_xlfn.XLOOKUP($F281,'Acerto virtual'!$E:$E,'Acerto virtual'!T:T),"")</f>
        <v/>
      </c>
      <c r="AI281" s="51" t="str">
        <f t="array" ref="AI281">IFERROR(_xlfn.XLOOKUP($F281,'Acerto virtual'!$E:$E,'Acerto virtual'!U:U),"")</f>
        <v/>
      </c>
    </row>
    <row r="282">
      <c r="A282" s="47" t="s">
        <v>884</v>
      </c>
      <c r="B282" s="47" t="s">
        <v>885</v>
      </c>
      <c r="C282" s="48" t="str">
        <f t="array" ref="C282">IFERROR(_xlfn.XLOOKUP($B282,'Histórico'!$B:$B,'Histórico'!$I:$I),"")</f>
        <v>S3828-1</v>
      </c>
      <c r="D282" s="19" t="str">
        <f t="array" ref="D282">IFERROR(_xlfn.XLOOKUP($B282,'Histórico'!$B:$B,'Histórico'!$J:$J),"")</f>
        <v>16455</v>
      </c>
      <c r="E282" s="19" t="str">
        <f t="array" ref="E282">IFERROR(_xlfn.XLOOKUP($B282,'Histórico'!$B:$B,'Histórico'!$K:$K),"")</f>
        <v>ALTIMETER</v>
      </c>
      <c r="F282" s="19" t="str">
        <f t="array" ref="F282">IFERROR(_xlfn.XLOOKUP($B282,'Histórico'!$B:$B,'Histórico'!$L:$L),"")</f>
        <v>471591</v>
      </c>
      <c r="G282" s="49" t="str">
        <f t="array" ref="G282">IFERROR(_xlfn.XLOOKUP($B282,'Histórico'!$B:$B,'Histórico'!$F:$F),"")</f>
        <v>24/02/2026</v>
      </c>
      <c r="H282" s="19" t="str">
        <f t="array" ref="H282">IFERROR(_xlfn.XLOOKUP($B282,'Histórico'!$B:$B,'Histórico'!$AA:$AA),"")</f>
        <v>BABE</v>
      </c>
      <c r="I282" s="19" t="str">
        <f t="array" ref="I282">IFERROR(_xlfn.XLOOKUP($B282,Atual!$B:$B,Atual!$E:$E),"OS concluída")</f>
        <v>REC</v>
      </c>
      <c r="J282" s="19">
        <f t="shared" si="1"/>
        <v>233</v>
      </c>
      <c r="K282" s="19"/>
      <c r="L282" s="19" t="str">
        <f t="shared" si="2"/>
        <v>NÃO APLICÁVEL</v>
      </c>
      <c r="M282" s="19"/>
      <c r="N282" s="49" t="str">
        <f t="array" ref="N282">IFERROR(_xlfn.XLOOKUP($B282,EMPRESA_1!A:A,EMPRESA_1!J:J),"")</f>
        <v>REPARADO</v>
      </c>
      <c r="O282" s="50" t="str">
        <f t="array" ref="O282">IFERROR(_xlfn.XLOOKUP(B282,EMPRESA_1!A:A,EMPRESA_1!K:K),"")
</f>
        <v>V1 PAMA-LS</v>
      </c>
      <c r="P282" s="48" t="str">
        <f t="array" ref="P282">IFERROR(_xlfn.XLOOKUP(B282,EMPRESA_1!A:A,EMPRESA_1!L:L),"")</f>
        <v/>
      </c>
      <c r="Q282" s="49" t="str">
        <f t="array" ref="Q282">IFERROR(_xlfn.XLOOKUP(B282,EMPRESA_1!A:A,EMPRESA_1!J:J),"")</f>
        <v>REPARADO</v>
      </c>
      <c r="R282" s="19" t="str">
        <f t="array" ref="R282">IFERROR(_xlfn.XLOOKUP(B282,EMPRESA_1!A:A,EMPRESA_1!M:M),"")</f>
        <v/>
      </c>
      <c r="S282" s="51"/>
      <c r="T282" s="51" t="str">
        <f t="array" ref="T282">IFERROR(_xlfn.XLOOKUP($F282,'Acerto virtual'!$E:$E,'Acerto virtual'!F:F),"")</f>
        <v>006/2026</v>
      </c>
      <c r="U282" s="51" t="str">
        <f t="array" ref="U282">IFERROR(_xlfn.XLOOKUP($F282,'Acerto virtual'!$E:$E,'Acerto virtual'!G:G),"")</f>
        <v>04/03</v>
      </c>
      <c r="V282" s="51" t="str">
        <f t="array" ref="V282">IFERROR(_xlfn.XLOOKUP($F282,'Acerto virtual'!$E:$E,'Acerto virtual'!H:H),"")</f>
        <v>04/03</v>
      </c>
      <c r="W282" s="51" t="str">
        <f t="array" ref="W282">IFERROR(_xlfn.XLOOKUP($F282,'Acerto virtual'!$E:$E,'Acerto virtual'!I:I),"")</f>
        <v>05/03 e 26/03</v>
      </c>
      <c r="X282" s="51" t="str">
        <f t="array" ref="X282">IFERROR(_xlfn.XLOOKUP($F282,'Acerto virtual'!$E:$E,'Acerto virtual'!J:J),"")</f>
        <v/>
      </c>
      <c r="Y282" s="51" t="str">
        <f t="array" ref="Y282">IFERROR(_xlfn.XLOOKUP($F282,'Acerto virtual'!$E:$E,'Acerto virtual'!K:K),"")</f>
        <v/>
      </c>
      <c r="Z282" s="51" t="str">
        <f t="array" ref="Z282">IFERROR(_xlfn.XLOOKUP($F282,'Acerto virtual'!$E:$E,'Acerto virtual'!L:L),"")</f>
        <v/>
      </c>
      <c r="AA282" s="51" t="str">
        <f t="array" ref="AA282">IFERROR(_xlfn.XLOOKUP($F282,'Acerto virtual'!$E:$E,'Acerto virtual'!M:M),"")</f>
        <v/>
      </c>
      <c r="AB282" s="51" t="str">
        <f t="array" ref="AB282">IFERROR(_xlfn.XLOOKUP($F282,'Acerto virtual'!$E:$E,'Acerto virtual'!N:N),"")</f>
        <v/>
      </c>
      <c r="AC282" s="51" t="str">
        <f t="array" ref="AC282">IFERROR(_xlfn.XLOOKUP($F282,'Acerto virtual'!$E:$E,'Acerto virtual'!O:O),"")</f>
        <v/>
      </c>
      <c r="AD282" s="51" t="str">
        <f t="array" ref="AD282">IFERROR(_xlfn.XLOOKUP($F282,'Acerto virtual'!$E:$E,'Acerto virtual'!P:P),"")</f>
        <v/>
      </c>
      <c r="AE282" s="51" t="str">
        <f t="array" ref="AE282">IFERROR(_xlfn.XLOOKUP($F282,'Acerto virtual'!$E:$E,'Acerto virtual'!Q:Q),"")</f>
        <v/>
      </c>
      <c r="AF282" s="51" t="str">
        <f t="array" ref="AF282">IFERROR(_xlfn.XLOOKUP($F282,'Acerto virtual'!$E:$E,'Acerto virtual'!R:R),"")</f>
        <v/>
      </c>
      <c r="AG282" s="51" t="str">
        <f t="array" ref="AG282">IFERROR(_xlfn.XLOOKUP($F282,'Acerto virtual'!$E:$E,'Acerto virtual'!S:S),"")</f>
        <v/>
      </c>
      <c r="AH282" s="51" t="str">
        <f t="array" ref="AH282">IFERROR(_xlfn.XLOOKUP($F282,'Acerto virtual'!$E:$E,'Acerto virtual'!T:T),"")</f>
        <v/>
      </c>
      <c r="AI282" s="51" t="str">
        <f t="array" ref="AI282">IFERROR(_xlfn.XLOOKUP($F282,'Acerto virtual'!$E:$E,'Acerto virtual'!U:U),"")</f>
        <v>Segundo a empresa o PN correto é S3828-1.</v>
      </c>
    </row>
    <row r="283">
      <c r="A283" s="47" t="s">
        <v>886</v>
      </c>
      <c r="B283" s="47" t="s">
        <v>887</v>
      </c>
      <c r="C283" s="48" t="str">
        <f t="array" ref="C283">IFERROR(_xlfn.XLOOKUP($B283,'Histórico'!$B:$B,'Histórico'!$I:$I),"")</f>
        <v>51539-012MRX</v>
      </c>
      <c r="D283" s="19" t="str">
        <f t="array" ref="D283">IFERROR(_xlfn.XLOOKUP($B283,'Histórico'!$B:$B,'Histórico'!$J:$J),"")</f>
        <v>7EK50</v>
      </c>
      <c r="E283" s="19" t="str">
        <f t="array" ref="E283">IFERROR(_xlfn.XLOOKUP($B283,'Histórico'!$B:$B,'Histórico'!$K:$K),"")</f>
        <v>CONTROL UNIT ASSY-GENERATOR</v>
      </c>
      <c r="F283" s="19" t="str">
        <f t="array" ref="F283">IFERROR(_xlfn.XLOOKUP($B283,'Histórico'!$B:$B,'Histórico'!$L:$L),"")</f>
        <v>8868</v>
      </c>
      <c r="G283" s="49" t="str">
        <f t="array" ref="G283">IFERROR(_xlfn.XLOOKUP($B283,'Histórico'!$B:$B,'Histórico'!$F:$F),"")</f>
        <v>04/03/2026</v>
      </c>
      <c r="H283" s="19" t="str">
        <f t="array" ref="H283">IFERROR(_xlfn.XLOOKUP($B283,'Histórico'!$B:$B,'Histórico'!$AA:$AA),"")</f>
        <v>BABE</v>
      </c>
      <c r="I283" s="19" t="str">
        <f t="array" ref="I283">IFERROR(_xlfn.XLOOKUP($B283,Atual!$B:$B,Atual!$E:$E),"OS concluída")</f>
        <v>REC</v>
      </c>
      <c r="J283" s="19">
        <f t="shared" si="1"/>
        <v>225</v>
      </c>
      <c r="K283" s="19"/>
      <c r="L283" s="19" t="str">
        <f t="shared" si="2"/>
        <v>NÃO APLICÁVEL</v>
      </c>
      <c r="M283" s="19"/>
      <c r="N283" s="49" t="str">
        <f t="array" ref="N283">IFERROR(_xlfn.XLOOKUP($B283,EMPRESA_1!A:A,EMPRESA_1!J:J),"")</f>
        <v>EM REPARO</v>
      </c>
      <c r="O283" s="50" t="str">
        <f t="array" ref="O283">IFERROR(_xlfn.XLOOKUP(B283,EMPRESA_1!A:A,EMPRESA_1!K:K),"")
</f>
        <v>VEE ONE</v>
      </c>
      <c r="P283" s="48" t="str">
        <f t="array" ref="P283">IFERROR(_xlfn.XLOOKUP(B283,EMPRESA_1!A:A,EMPRESA_1!L:L),"")</f>
        <v/>
      </c>
      <c r="Q283" s="49" t="str">
        <f t="array" ref="Q283">IFERROR(_xlfn.XLOOKUP(B283,EMPRESA_1!A:A,EMPRESA_1!J:J),"")</f>
        <v>EM REPARO</v>
      </c>
      <c r="R283" s="19" t="str">
        <f t="array" ref="R283">IFERROR(_xlfn.XLOOKUP(B283,EMPRESA_1!A:A,EMPRESA_1!M:M),"")</f>
        <v/>
      </c>
      <c r="S283" s="51"/>
      <c r="T283" s="51" t="str">
        <f t="array" ref="T283">IFERROR(_xlfn.XLOOKUP($F283,'Acerto virtual'!$E:$E,'Acerto virtual'!F:F),"")</f>
        <v/>
      </c>
      <c r="U283" s="51" t="str">
        <f t="array" ref="U283">IFERROR(_xlfn.XLOOKUP($F283,'Acerto virtual'!$E:$E,'Acerto virtual'!G:G),"")</f>
        <v/>
      </c>
      <c r="V283" s="51" t="str">
        <f t="array" ref="V283">IFERROR(_xlfn.XLOOKUP($F283,'Acerto virtual'!$E:$E,'Acerto virtual'!H:H),"")</f>
        <v/>
      </c>
      <c r="W283" s="51" t="str">
        <f t="array" ref="W283">IFERROR(_xlfn.XLOOKUP($F283,'Acerto virtual'!$E:$E,'Acerto virtual'!I:I),"")</f>
        <v/>
      </c>
      <c r="X283" s="51" t="str">
        <f t="array" ref="X283">IFERROR(_xlfn.XLOOKUP($F283,'Acerto virtual'!$E:$E,'Acerto virtual'!J:J),"")</f>
        <v/>
      </c>
      <c r="Y283" s="51" t="str">
        <f t="array" ref="Y283">IFERROR(_xlfn.XLOOKUP($F283,'Acerto virtual'!$E:$E,'Acerto virtual'!K:K),"")</f>
        <v/>
      </c>
      <c r="Z283" s="51" t="str">
        <f t="array" ref="Z283">IFERROR(_xlfn.XLOOKUP($F283,'Acerto virtual'!$E:$E,'Acerto virtual'!L:L),"")</f>
        <v/>
      </c>
      <c r="AA283" s="51" t="str">
        <f t="array" ref="AA283">IFERROR(_xlfn.XLOOKUP($F283,'Acerto virtual'!$E:$E,'Acerto virtual'!M:M),"")</f>
        <v/>
      </c>
      <c r="AB283" s="51" t="str">
        <f t="array" ref="AB283">IFERROR(_xlfn.XLOOKUP($F283,'Acerto virtual'!$E:$E,'Acerto virtual'!N:N),"")</f>
        <v/>
      </c>
      <c r="AC283" s="51" t="str">
        <f t="array" ref="AC283">IFERROR(_xlfn.XLOOKUP($F283,'Acerto virtual'!$E:$E,'Acerto virtual'!O:O),"")</f>
        <v/>
      </c>
      <c r="AD283" s="51" t="str">
        <f t="array" ref="AD283">IFERROR(_xlfn.XLOOKUP($F283,'Acerto virtual'!$E:$E,'Acerto virtual'!P:P),"")</f>
        <v/>
      </c>
      <c r="AE283" s="51" t="str">
        <f t="array" ref="AE283">IFERROR(_xlfn.XLOOKUP($F283,'Acerto virtual'!$E:$E,'Acerto virtual'!Q:Q),"")</f>
        <v/>
      </c>
      <c r="AF283" s="51" t="str">
        <f t="array" ref="AF283">IFERROR(_xlfn.XLOOKUP($F283,'Acerto virtual'!$E:$E,'Acerto virtual'!R:R),"")</f>
        <v/>
      </c>
      <c r="AG283" s="51" t="str">
        <f t="array" ref="AG283">IFERROR(_xlfn.XLOOKUP($F283,'Acerto virtual'!$E:$E,'Acerto virtual'!S:S),"")</f>
        <v/>
      </c>
      <c r="AH283" s="51" t="str">
        <f t="array" ref="AH283">IFERROR(_xlfn.XLOOKUP($F283,'Acerto virtual'!$E:$E,'Acerto virtual'!T:T),"")</f>
        <v/>
      </c>
      <c r="AI283" s="51" t="str">
        <f t="array" ref="AI283">IFERROR(_xlfn.XLOOKUP($F283,'Acerto virtual'!$E:$E,'Acerto virtual'!U:U),"")</f>
        <v/>
      </c>
    </row>
    <row r="284">
      <c r="A284" s="47" t="s">
        <v>888</v>
      </c>
      <c r="B284" s="47" t="s">
        <v>889</v>
      </c>
      <c r="C284" s="48" t="str">
        <f t="array" ref="C284">IFERROR(_xlfn.XLOOKUP($B284,'Histórico'!$B:$B,'Histórico'!$I:$I),"")</f>
        <v>51539-012MRX</v>
      </c>
      <c r="D284" s="19" t="str">
        <f t="array" ref="D284">IFERROR(_xlfn.XLOOKUP($B284,'Histórico'!$B:$B,'Histórico'!$J:$J),"")</f>
        <v>7EK50</v>
      </c>
      <c r="E284" s="19" t="str">
        <f t="array" ref="E284">IFERROR(_xlfn.XLOOKUP($B284,'Histórico'!$B:$B,'Histórico'!$K:$K),"")</f>
        <v>CONTROL UNIT ASSY-GENERATOR</v>
      </c>
      <c r="F284" s="19" t="str">
        <f t="array" ref="F284">IFERROR(_xlfn.XLOOKUP($B284,'Histórico'!$B:$B,'Histórico'!$L:$L),"")</f>
        <v>4965</v>
      </c>
      <c r="G284" s="49" t="str">
        <f t="array" ref="G284">IFERROR(_xlfn.XLOOKUP($B284,'Histórico'!$B:$B,'Histórico'!$F:$F),"")</f>
        <v>04/03/2026</v>
      </c>
      <c r="H284" s="19" t="str">
        <f t="array" ref="H284">IFERROR(_xlfn.XLOOKUP($B284,'Histórico'!$B:$B,'Histórico'!$AA:$AA),"")</f>
        <v>BABE</v>
      </c>
      <c r="I284" s="19" t="str">
        <f t="array" ref="I284">IFERROR(_xlfn.XLOOKUP($B284,Atual!$B:$B,Atual!$E:$E),"OS concluída")</f>
        <v>REC</v>
      </c>
      <c r="J284" s="19">
        <f t="shared" si="1"/>
        <v>225</v>
      </c>
      <c r="K284" s="19"/>
      <c r="L284" s="19" t="str">
        <f t="shared" si="2"/>
        <v>NÃO APLICÁVEL</v>
      </c>
      <c r="M284" s="19"/>
      <c r="N284" s="49" t="str">
        <f t="array" ref="N284">IFERROR(_xlfn.XLOOKUP($B284,EMPRESA_1!A:A,EMPRESA_1!J:J),"")</f>
        <v>EM REPARO</v>
      </c>
      <c r="O284" s="50" t="str">
        <f t="array" ref="O284">IFERROR(_xlfn.XLOOKUP(B284,EMPRESA_1!A:A,EMPRESA_1!K:K),"")
</f>
        <v>VEE ONE</v>
      </c>
      <c r="P284" s="48" t="str">
        <f t="array" ref="P284">IFERROR(_xlfn.XLOOKUP(B284,EMPRESA_1!A:A,EMPRESA_1!L:L),"")</f>
        <v/>
      </c>
      <c r="Q284" s="49" t="str">
        <f t="array" ref="Q284">IFERROR(_xlfn.XLOOKUP(B284,EMPRESA_1!A:A,EMPRESA_1!J:J),"")</f>
        <v>EM REPARO</v>
      </c>
      <c r="R284" s="19" t="str">
        <f t="array" ref="R284">IFERROR(_xlfn.XLOOKUP(B284,EMPRESA_1!A:A,EMPRESA_1!M:M),"")</f>
        <v>P1224</v>
      </c>
      <c r="S284" s="51"/>
      <c r="T284" s="51" t="str">
        <f t="array" ref="T284">IFERROR(_xlfn.XLOOKUP($F284,'Acerto virtual'!$E:$E,'Acerto virtual'!F:F),"")</f>
        <v/>
      </c>
      <c r="U284" s="51" t="str">
        <f t="array" ref="U284">IFERROR(_xlfn.XLOOKUP($F284,'Acerto virtual'!$E:$E,'Acerto virtual'!G:G),"")</f>
        <v/>
      </c>
      <c r="V284" s="51" t="str">
        <f t="array" ref="V284">IFERROR(_xlfn.XLOOKUP($F284,'Acerto virtual'!$E:$E,'Acerto virtual'!H:H),"")</f>
        <v/>
      </c>
      <c r="W284" s="51" t="str">
        <f t="array" ref="W284">IFERROR(_xlfn.XLOOKUP($F284,'Acerto virtual'!$E:$E,'Acerto virtual'!I:I),"")</f>
        <v/>
      </c>
      <c r="X284" s="51" t="str">
        <f t="array" ref="X284">IFERROR(_xlfn.XLOOKUP($F284,'Acerto virtual'!$E:$E,'Acerto virtual'!J:J),"")</f>
        <v/>
      </c>
      <c r="Y284" s="51" t="str">
        <f t="array" ref="Y284">IFERROR(_xlfn.XLOOKUP($F284,'Acerto virtual'!$E:$E,'Acerto virtual'!K:K),"")</f>
        <v/>
      </c>
      <c r="Z284" s="51" t="str">
        <f t="array" ref="Z284">IFERROR(_xlfn.XLOOKUP($F284,'Acerto virtual'!$E:$E,'Acerto virtual'!L:L),"")</f>
        <v/>
      </c>
      <c r="AA284" s="51" t="str">
        <f t="array" ref="AA284">IFERROR(_xlfn.XLOOKUP($F284,'Acerto virtual'!$E:$E,'Acerto virtual'!M:M),"")</f>
        <v/>
      </c>
      <c r="AB284" s="51" t="str">
        <f t="array" ref="AB284">IFERROR(_xlfn.XLOOKUP($F284,'Acerto virtual'!$E:$E,'Acerto virtual'!N:N),"")</f>
        <v/>
      </c>
      <c r="AC284" s="51" t="str">
        <f t="array" ref="AC284">IFERROR(_xlfn.XLOOKUP($F284,'Acerto virtual'!$E:$E,'Acerto virtual'!O:O),"")</f>
        <v/>
      </c>
      <c r="AD284" s="51" t="str">
        <f t="array" ref="AD284">IFERROR(_xlfn.XLOOKUP($F284,'Acerto virtual'!$E:$E,'Acerto virtual'!P:P),"")</f>
        <v/>
      </c>
      <c r="AE284" s="51" t="str">
        <f t="array" ref="AE284">IFERROR(_xlfn.XLOOKUP($F284,'Acerto virtual'!$E:$E,'Acerto virtual'!Q:Q),"")</f>
        <v/>
      </c>
      <c r="AF284" s="51" t="str">
        <f t="array" ref="AF284">IFERROR(_xlfn.XLOOKUP($F284,'Acerto virtual'!$E:$E,'Acerto virtual'!R:R),"")</f>
        <v/>
      </c>
      <c r="AG284" s="51" t="str">
        <f t="array" ref="AG284">IFERROR(_xlfn.XLOOKUP($F284,'Acerto virtual'!$E:$E,'Acerto virtual'!S:S),"")</f>
        <v/>
      </c>
      <c r="AH284" s="51" t="str">
        <f t="array" ref="AH284">IFERROR(_xlfn.XLOOKUP($F284,'Acerto virtual'!$E:$E,'Acerto virtual'!T:T),"")</f>
        <v/>
      </c>
      <c r="AI284" s="51" t="str">
        <f t="array" ref="AI284">IFERROR(_xlfn.XLOOKUP($F284,'Acerto virtual'!$E:$E,'Acerto virtual'!U:U),"")</f>
        <v/>
      </c>
    </row>
    <row r="285">
      <c r="A285" s="47" t="s">
        <v>890</v>
      </c>
      <c r="B285" s="47" t="s">
        <v>891</v>
      </c>
      <c r="C285" s="48" t="str">
        <f t="array" ref="C285">IFERROR(_xlfn.XLOOKUP($B285,'Histórico'!$B:$B,'Histórico'!$I:$I),"")</f>
        <v>3034792</v>
      </c>
      <c r="D285" s="19" t="str">
        <f t="array" ref="D285">IFERROR(_xlfn.XLOOKUP($B285,'Histórico'!$B:$B,'Histórico'!$J:$J),"")</f>
        <v>00198</v>
      </c>
      <c r="E285" s="19" t="str">
        <f t="array" ref="E285">IFERROR(_xlfn.XLOOKUP($B285,'Histórico'!$B:$B,'Histórico'!$K:$K),"")</f>
        <v>BOMBA DE COMBUSTÍVEL</v>
      </c>
      <c r="F285" s="19" t="str">
        <f t="array" ref="F285">IFERROR(_xlfn.XLOOKUP($B285,'Histórico'!$B:$B,'Histórico'!$L:$L),"")</f>
        <v>000745</v>
      </c>
      <c r="G285" s="49" t="str">
        <f t="array" ref="G285">IFERROR(_xlfn.XLOOKUP($B285,'Histórico'!$B:$B,'Histórico'!$F:$F),"")</f>
        <v>09/03/2026</v>
      </c>
      <c r="H285" s="19" t="str">
        <f t="array" ref="H285">IFERROR(_xlfn.XLOOKUP($B285,'Histórico'!$B:$B,'Histórico'!$AA:$AA),"")</f>
        <v>PAMALS</v>
      </c>
      <c r="I285" s="19" t="str">
        <f t="array" ref="I285">IFERROR(_xlfn.XLOOKUP($B285,Atual!$B:$B,Atual!$E:$E),"OS concluída")</f>
        <v>REC</v>
      </c>
      <c r="J285" s="19">
        <f t="shared" si="1"/>
        <v>220</v>
      </c>
      <c r="K285" s="19"/>
      <c r="L285" s="19" t="str">
        <f t="shared" si="2"/>
        <v>NÃO APLICÁVEL</v>
      </c>
      <c r="M285" s="19"/>
      <c r="N285" s="49" t="str">
        <f t="array" ref="N285">IFERROR(_xlfn.XLOOKUP($B285,EMPRESA_1!A:A,EMPRESA_1!J:J),"")</f>
        <v>EM REPARO</v>
      </c>
      <c r="O285" s="50" t="str">
        <f t="array" ref="O285">IFERROR(_xlfn.XLOOKUP(B285,EMPRESA_1!A:A,EMPRESA_1!K:K),"")
</f>
        <v>VEE ONE</v>
      </c>
      <c r="P285" s="48" t="str">
        <f t="array" ref="P285">IFERROR(_xlfn.XLOOKUP(B285,EMPRESA_1!A:A,EMPRESA_1!L:L),"")</f>
        <v/>
      </c>
      <c r="Q285" s="49" t="str">
        <f t="array" ref="Q285">IFERROR(_xlfn.XLOOKUP(B285,EMPRESA_1!A:A,EMPRESA_1!J:J),"")</f>
        <v>EM REPARO</v>
      </c>
      <c r="R285" s="19" t="str">
        <f t="array" ref="R285">IFERROR(_xlfn.XLOOKUP(B285,EMPRESA_1!A:A,EMPRESA_1!M:M),"")</f>
        <v/>
      </c>
      <c r="S285" s="51"/>
      <c r="T285" s="51" t="str">
        <f t="array" ref="T285">IFERROR(_xlfn.XLOOKUP($F285,'Acerto virtual'!$E:$E,'Acerto virtual'!F:F),"")</f>
        <v/>
      </c>
      <c r="U285" s="51" t="str">
        <f t="array" ref="U285">IFERROR(_xlfn.XLOOKUP($F285,'Acerto virtual'!$E:$E,'Acerto virtual'!G:G),"")</f>
        <v/>
      </c>
      <c r="V285" s="51" t="str">
        <f t="array" ref="V285">IFERROR(_xlfn.XLOOKUP($F285,'Acerto virtual'!$E:$E,'Acerto virtual'!H:H),"")</f>
        <v/>
      </c>
      <c r="W285" s="51" t="str">
        <f t="array" ref="W285">IFERROR(_xlfn.XLOOKUP($F285,'Acerto virtual'!$E:$E,'Acerto virtual'!I:I),"")</f>
        <v/>
      </c>
      <c r="X285" s="51" t="str">
        <f t="array" ref="X285">IFERROR(_xlfn.XLOOKUP($F285,'Acerto virtual'!$E:$E,'Acerto virtual'!J:J),"")</f>
        <v/>
      </c>
      <c r="Y285" s="51" t="str">
        <f t="array" ref="Y285">IFERROR(_xlfn.XLOOKUP($F285,'Acerto virtual'!$E:$E,'Acerto virtual'!K:K),"")</f>
        <v/>
      </c>
      <c r="Z285" s="51" t="str">
        <f t="array" ref="Z285">IFERROR(_xlfn.XLOOKUP($F285,'Acerto virtual'!$E:$E,'Acerto virtual'!L:L),"")</f>
        <v/>
      </c>
      <c r="AA285" s="51" t="str">
        <f t="array" ref="AA285">IFERROR(_xlfn.XLOOKUP($F285,'Acerto virtual'!$E:$E,'Acerto virtual'!M:M),"")</f>
        <v/>
      </c>
      <c r="AB285" s="51" t="str">
        <f t="array" ref="AB285">IFERROR(_xlfn.XLOOKUP($F285,'Acerto virtual'!$E:$E,'Acerto virtual'!N:N),"")</f>
        <v/>
      </c>
      <c r="AC285" s="51" t="str">
        <f t="array" ref="AC285">IFERROR(_xlfn.XLOOKUP($F285,'Acerto virtual'!$E:$E,'Acerto virtual'!O:O),"")</f>
        <v/>
      </c>
      <c r="AD285" s="51" t="str">
        <f t="array" ref="AD285">IFERROR(_xlfn.XLOOKUP($F285,'Acerto virtual'!$E:$E,'Acerto virtual'!P:P),"")</f>
        <v/>
      </c>
      <c r="AE285" s="51" t="str">
        <f t="array" ref="AE285">IFERROR(_xlfn.XLOOKUP($F285,'Acerto virtual'!$E:$E,'Acerto virtual'!Q:Q),"")</f>
        <v/>
      </c>
      <c r="AF285" s="51" t="str">
        <f t="array" ref="AF285">IFERROR(_xlfn.XLOOKUP($F285,'Acerto virtual'!$E:$E,'Acerto virtual'!R:R),"")</f>
        <v/>
      </c>
      <c r="AG285" s="51" t="str">
        <f t="array" ref="AG285">IFERROR(_xlfn.XLOOKUP($F285,'Acerto virtual'!$E:$E,'Acerto virtual'!S:S),"")</f>
        <v/>
      </c>
      <c r="AH285" s="51" t="str">
        <f t="array" ref="AH285">IFERROR(_xlfn.XLOOKUP($F285,'Acerto virtual'!$E:$E,'Acerto virtual'!T:T),"")</f>
        <v/>
      </c>
      <c r="AI285" s="51" t="str">
        <f t="array" ref="AI285">IFERROR(_xlfn.XLOOKUP($F285,'Acerto virtual'!$E:$E,'Acerto virtual'!U:U),"")</f>
        <v/>
      </c>
    </row>
    <row r="286" hidden="1">
      <c r="A286" s="47" t="s">
        <v>892</v>
      </c>
      <c r="B286" s="47" t="s">
        <v>893</v>
      </c>
      <c r="C286" s="19" t="str">
        <f t="array" ref="C286">IFERROR(_xlfn.XLOOKUP($B286,'Histórico'!$B:$B,'Histórico'!$I:$I),"")</f>
        <v>200SGL119Q-2</v>
      </c>
      <c r="D286" s="19">
        <f t="array" ref="D286">IFERROR(_xlfn.XLOOKUP($B286,'Histórico'!$B:$B,'Histórico'!$J:$J),"")</f>
        <v>95270</v>
      </c>
      <c r="E286" s="19" t="str">
        <f t="array" ref="E286">IFERROR(_xlfn.XLOOKUP($B286,'Histórico'!$B:$B,'Histórico'!$K:$K),"")</f>
        <v>STARTER GENERATOR</v>
      </c>
      <c r="F286" s="19" t="str">
        <f t="array" ref="F286">IFERROR(_xlfn.XLOOKUP($B286,'Histórico'!$B:$B,'Histórico'!$L:$L),"")</f>
        <v>8459XL2</v>
      </c>
      <c r="G286" s="49">
        <f t="array" ref="G286">IFERROR(_xlfn.XLOOKUP($B286,'Histórico'!$B:$B,'Histórico'!$F:$F),"")</f>
        <v>46100</v>
      </c>
      <c r="H286" s="19" t="str">
        <f t="array" ref="H286">IFERROR(_xlfn.XLOOKUP($B286,'Histórico'!$B:$B,'Histórico'!$AA:$AA),"")</f>
        <v>BAMN</v>
      </c>
      <c r="I286" s="19" t="str">
        <f t="array" ref="I286">IFERROR(_xlfn.XLOOKUP($B286,Atual!$B:$B,Atual!$E:$E),"OS concluída")</f>
        <v>OS concluída</v>
      </c>
      <c r="J286" s="19" t="str">
        <f t="shared" si="1"/>
        <v/>
      </c>
      <c r="K286" s="19"/>
      <c r="L286" s="19" t="str">
        <f t="shared" si="2"/>
        <v/>
      </c>
      <c r="M286" s="19"/>
      <c r="N286" s="49" t="str">
        <f t="shared" ref="N286:N290" si="74">IFERROR(_xlfn.XLOOKUP($B286,Empresa!G:G,Empresa!K:K),"")</f>
        <v/>
      </c>
      <c r="O286" s="49"/>
      <c r="P286" s="19" t="str">
        <f t="shared" ref="P286:P290" si="75">IFERROR(_xlfn.XLOOKUP($F286,'Vee one'!F:F,'Vee one'!O:O),"")</f>
        <v/>
      </c>
      <c r="Q286" s="19" t="str">
        <f t="shared" ref="Q286:Q290" si="76">IFERROR(_xlfn.XLOOKUP($F286,'Vee one'!F:F,'Vee one'!K:K),"")</f>
        <v/>
      </c>
      <c r="R286" s="19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</row>
    <row r="287" hidden="1">
      <c r="A287" s="47" t="s">
        <v>894</v>
      </c>
      <c r="B287" s="47" t="s">
        <v>895</v>
      </c>
      <c r="C287" s="19" t="str">
        <f t="array" ref="C287">IFERROR(_xlfn.XLOOKUP($B287,'Histórico'!$B:$B,'Histórico'!$I:$I),"")</f>
        <v>200SGL119Q-2</v>
      </c>
      <c r="D287" s="19">
        <f t="array" ref="D287">IFERROR(_xlfn.XLOOKUP($B287,'Histórico'!$B:$B,'Histórico'!$J:$J),"")</f>
        <v>95270</v>
      </c>
      <c r="E287" s="19" t="str">
        <f t="array" ref="E287">IFERROR(_xlfn.XLOOKUP($B287,'Histórico'!$B:$B,'Histórico'!$K:$K),"")</f>
        <v>STARTER GENERATOR</v>
      </c>
      <c r="F287" s="19" t="str">
        <f t="array" ref="F287">IFERROR(_xlfn.XLOOKUP($B287,'Histórico'!$B:$B,'Histórico'!$L:$L),"")</f>
        <v>S00062XL</v>
      </c>
      <c r="G287" s="49">
        <f t="array" ref="G287">IFERROR(_xlfn.XLOOKUP($B287,'Histórico'!$B:$B,'Histórico'!$F:$F),"")</f>
        <v>46100</v>
      </c>
      <c r="H287" s="19" t="str">
        <f t="array" ref="H287">IFERROR(_xlfn.XLOOKUP($B287,'Histórico'!$B:$B,'Histórico'!$AA:$AA),"")</f>
        <v>BAMN</v>
      </c>
      <c r="I287" s="19" t="str">
        <f t="array" ref="I287">IFERROR(_xlfn.XLOOKUP($B287,Atual!$B:$B,Atual!$E:$E),"OS concluída")</f>
        <v>OS concluída</v>
      </c>
      <c r="J287" s="19" t="str">
        <f t="shared" si="1"/>
        <v/>
      </c>
      <c r="K287" s="19"/>
      <c r="L287" s="19" t="str">
        <f t="shared" si="2"/>
        <v/>
      </c>
      <c r="M287" s="19"/>
      <c r="N287" s="49" t="str">
        <f t="shared" si="74"/>
        <v/>
      </c>
      <c r="O287" s="49"/>
      <c r="P287" s="19" t="str">
        <f t="shared" si="75"/>
        <v/>
      </c>
      <c r="Q287" s="19" t="str">
        <f t="shared" si="76"/>
        <v/>
      </c>
      <c r="R287" s="19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</row>
    <row r="288" hidden="1">
      <c r="A288" s="47" t="s">
        <v>896</v>
      </c>
      <c r="B288" s="47" t="s">
        <v>897</v>
      </c>
      <c r="C288" s="19" t="str">
        <f t="array" ref="C288">IFERROR(_xlfn.XLOOKUP($B288,'Histórico'!$B:$B,'Histórico'!$I:$I),"")</f>
        <v>324843-W020</v>
      </c>
      <c r="D288" s="19">
        <f t="array" ref="D288">IFERROR(_xlfn.XLOOKUP($B288,'Histórico'!$B:$B,'Histórico'!$J:$J),"")</f>
        <v>32108</v>
      </c>
      <c r="E288" s="19" t="str">
        <f t="array" ref="E288">IFERROR(_xlfn.XLOOKUP($B288,'Histórico'!$B:$B,'Histórico'!$K:$K),"")</f>
        <v>HEADSET-MICROPHONE</v>
      </c>
      <c r="F288" s="19" t="str">
        <f t="array" ref="F288">IFERROR(_xlfn.XLOOKUP($B288,'Histórico'!$B:$B,'Histórico'!$L:$L),"")</f>
        <v>073200G02170082AE</v>
      </c>
      <c r="G288" s="49">
        <f t="array" ref="G288">IFERROR(_xlfn.XLOOKUP($B288,'Histórico'!$B:$B,'Histórico'!$F:$F),"")</f>
        <v>46100</v>
      </c>
      <c r="H288" s="19" t="str">
        <f t="array" ref="H288">IFERROR(_xlfn.XLOOKUP($B288,'Histórico'!$B:$B,'Histórico'!$AA:$AA),"")</f>
        <v>BABE</v>
      </c>
      <c r="I288" s="19" t="str">
        <f t="array" ref="I288">IFERROR(_xlfn.XLOOKUP($B288,Atual!$B:$B,Atual!$E:$E),"OS concluída")</f>
        <v>OS concluída</v>
      </c>
      <c r="J288" s="19" t="str">
        <f t="shared" si="1"/>
        <v/>
      </c>
      <c r="K288" s="19"/>
      <c r="L288" s="19" t="str">
        <f t="shared" si="2"/>
        <v/>
      </c>
      <c r="M288" s="19"/>
      <c r="N288" s="49" t="str">
        <f t="shared" si="74"/>
        <v/>
      </c>
      <c r="O288" s="49"/>
      <c r="P288" s="19" t="str">
        <f t="shared" si="75"/>
        <v/>
      </c>
      <c r="Q288" s="19" t="str">
        <f t="shared" si="76"/>
        <v/>
      </c>
      <c r="R288" s="19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</row>
    <row r="289" hidden="1">
      <c r="A289" s="47" t="s">
        <v>898</v>
      </c>
      <c r="B289" s="47" t="s">
        <v>899</v>
      </c>
      <c r="C289" s="19" t="str">
        <f t="array" ref="C289">IFERROR(_xlfn.XLOOKUP($B289,'Histórico'!$B:$B,'Histórico'!$I:$I),"")</f>
        <v>324843-W020</v>
      </c>
      <c r="D289" s="19">
        <f t="array" ref="D289">IFERROR(_xlfn.XLOOKUP($B289,'Histórico'!$B:$B,'Histórico'!$J:$J),"")</f>
        <v>32108</v>
      </c>
      <c r="E289" s="19" t="str">
        <f t="array" ref="E289">IFERROR(_xlfn.XLOOKUP($B289,'Histórico'!$B:$B,'Histórico'!$K:$K),"")</f>
        <v>HEADSET-MICROPHONE</v>
      </c>
      <c r="F289" s="19" t="str">
        <f t="array" ref="F289">IFERROR(_xlfn.XLOOKUP($B289,'Histórico'!$B:$B,'Histórico'!$L:$L),"")</f>
        <v>073200G91260061AE</v>
      </c>
      <c r="G289" s="49">
        <f t="array" ref="G289">IFERROR(_xlfn.XLOOKUP($B289,'Histórico'!$B:$B,'Histórico'!$F:$F),"")</f>
        <v>46100</v>
      </c>
      <c r="H289" s="19" t="str">
        <f t="array" ref="H289">IFERROR(_xlfn.XLOOKUP($B289,'Histórico'!$B:$B,'Histórico'!$AA:$AA),"")</f>
        <v>BANT</v>
      </c>
      <c r="I289" s="19" t="str">
        <f t="array" ref="I289">IFERROR(_xlfn.XLOOKUP($B289,Atual!$B:$B,Atual!$E:$E),"OS concluída")</f>
        <v>OS concluída</v>
      </c>
      <c r="J289" s="19" t="str">
        <f t="shared" si="1"/>
        <v/>
      </c>
      <c r="K289" s="19"/>
      <c r="L289" s="19" t="str">
        <f t="shared" si="2"/>
        <v/>
      </c>
      <c r="M289" s="19"/>
      <c r="N289" s="49" t="str">
        <f t="shared" si="74"/>
        <v/>
      </c>
      <c r="O289" s="49"/>
      <c r="P289" s="19" t="str">
        <f t="shared" si="75"/>
        <v/>
      </c>
      <c r="Q289" s="19" t="str">
        <f t="shared" si="76"/>
        <v/>
      </c>
      <c r="R289" s="19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</row>
    <row r="290" hidden="1">
      <c r="A290" s="47" t="s">
        <v>900</v>
      </c>
      <c r="B290" s="47" t="s">
        <v>901</v>
      </c>
      <c r="C290" s="19" t="str">
        <f t="array" ref="C290">IFERROR(_xlfn.XLOOKUP($B290,'Histórico'!$B:$B,'Histórico'!$I:$I),"")</f>
        <v>066-1055-00</v>
      </c>
      <c r="D290" s="19">
        <f t="array" ref="D290">IFERROR(_xlfn.XLOOKUP($B290,'Histórico'!$B:$B,'Histórico'!$J:$J),"")</f>
        <v>22373</v>
      </c>
      <c r="E290" s="19" t="str">
        <f t="array" ref="E290">IFERROR(_xlfn.XLOOKUP($B290,'Histórico'!$B:$B,'Histórico'!$K:$K),"")</f>
        <v>AUDIO CONTROL PANEL</v>
      </c>
      <c r="F290" s="19" t="str">
        <f t="array" ref="F290">IFERROR(_xlfn.XLOOKUP($B290,'Histórico'!$B:$B,'Histórico'!$L:$L),"")</f>
        <v>35971</v>
      </c>
      <c r="G290" s="49">
        <f t="array" ref="G290">IFERROR(_xlfn.XLOOKUP($B290,'Histórico'!$B:$B,'Histórico'!$F:$F),"")</f>
        <v>46107</v>
      </c>
      <c r="H290" s="19" t="str">
        <f t="array" ref="H290">IFERROR(_xlfn.XLOOKUP($B290,'Histórico'!$B:$B,'Histórico'!$AA:$AA),"")</f>
        <v>ALA 5</v>
      </c>
      <c r="I290" s="19" t="str">
        <f t="array" ref="I290">IFERROR(_xlfn.XLOOKUP($B290,Atual!$B:$B,Atual!$E:$E),"OS concluída")</f>
        <v>OS concluída</v>
      </c>
      <c r="J290" s="19" t="str">
        <f t="shared" si="1"/>
        <v/>
      </c>
      <c r="K290" s="19"/>
      <c r="L290" s="19" t="str">
        <f t="shared" si="2"/>
        <v/>
      </c>
      <c r="M290" s="19"/>
      <c r="N290" s="49" t="str">
        <f t="shared" si="74"/>
        <v/>
      </c>
      <c r="O290" s="49"/>
      <c r="P290" s="19" t="str">
        <f t="shared" si="75"/>
        <v/>
      </c>
      <c r="Q290" s="19" t="str">
        <f t="shared" si="76"/>
        <v/>
      </c>
      <c r="R290" s="19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</row>
    <row r="291" hidden="1">
      <c r="A291" s="47" t="s">
        <v>902</v>
      </c>
      <c r="B291" s="47" t="s">
        <v>903</v>
      </c>
      <c r="C291" s="48" t="str">
        <f t="array" ref="C291">IFERROR(_xlfn.XLOOKUP($B291,'Histórico'!$B:$B,'Histórico'!$I:$I),"")</f>
        <v>066-1055-00</v>
      </c>
      <c r="D291" s="19">
        <f t="array" ref="D291">IFERROR(_xlfn.XLOOKUP($B291,'Histórico'!$B:$B,'Histórico'!$J:$J),"")</f>
        <v>22373</v>
      </c>
      <c r="E291" s="19" t="str">
        <f t="array" ref="E291">IFERROR(_xlfn.XLOOKUP($B291,'Histórico'!$B:$B,'Histórico'!$K:$K),"")</f>
        <v>AUDIO CONTROL PANEL</v>
      </c>
      <c r="F291" s="19" t="str">
        <f t="array" ref="F291">IFERROR(_xlfn.XLOOKUP($B291,'Histórico'!$B:$B,'Histórico'!$L:$L),"")</f>
        <v>107178</v>
      </c>
      <c r="G291" s="49">
        <f t="array" ref="G291">IFERROR(_xlfn.XLOOKUP($B291,'Histórico'!$B:$B,'Histórico'!$F:$F),"")</f>
        <v>46107</v>
      </c>
      <c r="H291" s="19" t="str">
        <f t="array" ref="H291">IFERROR(_xlfn.XLOOKUP($B291,'Histórico'!$B:$B,'Histórico'!$AA:$AA),"")</f>
        <v>ALA 9</v>
      </c>
      <c r="I291" s="19" t="str">
        <f t="array" ref="I291">IFERROR(_xlfn.XLOOKUP($B291,Atual!$B:$B,Atual!$E:$E),"OS concluída")</f>
        <v>OS concluída</v>
      </c>
      <c r="J291" s="19" t="str">
        <f t="shared" si="1"/>
        <v/>
      </c>
      <c r="K291" s="19"/>
      <c r="L291" s="19">
        <f t="shared" si="2"/>
        <v>28</v>
      </c>
      <c r="M291" s="19"/>
      <c r="N291" s="49">
        <f t="array" ref="N291">IFERROR(_xlfn.XLOOKUP($B291,EMPRESA_1!A:A,EMPRESA_1!J:J),"")</f>
        <v>46135</v>
      </c>
      <c r="O291" s="50" t="str">
        <f t="array" ref="O291">IFERROR(_xlfn.XLOOKUP(B291,EMPRESA_1!A:A,EMPRESA_1!K:K),"")
</f>
        <v>WILLIAM</v>
      </c>
      <c r="P291" s="48" t="str">
        <f t="array" ref="P291">IFERROR(_xlfn.XLOOKUP(B291,EMPRESA_1!A:A,EMPRESA_1!L:L),"")</f>
        <v>682/FAB/26</v>
      </c>
      <c r="Q291" s="49">
        <f t="array" ref="Q291">IFERROR(_xlfn.XLOOKUP(B291,EMPRESA_1!A:A,EMPRESA_1!J:J),"")</f>
        <v>46135</v>
      </c>
      <c r="R291" s="19" t="str">
        <f t="array" ref="R291">IFERROR(_xlfn.XLOOKUP(B291,EMPRESA_1!A:A,EMPRESA_1!M:M),"")</f>
        <v/>
      </c>
      <c r="S291" s="51"/>
      <c r="T291" s="51" t="str">
        <f t="array" ref="T291">IFERROR(_xlfn.XLOOKUP($F291,'Acerto virtual'!$E:$E,'Acerto virtual'!F:F),"")</f>
        <v/>
      </c>
      <c r="U291" s="51" t="str">
        <f t="array" ref="U291">IFERROR(_xlfn.XLOOKUP($F291,'Acerto virtual'!$E:$E,'Acerto virtual'!G:G),"")</f>
        <v/>
      </c>
      <c r="V291" s="51" t="str">
        <f t="array" ref="V291">IFERROR(_xlfn.XLOOKUP($F291,'Acerto virtual'!$E:$E,'Acerto virtual'!H:H),"")</f>
        <v/>
      </c>
      <c r="W291" s="51" t="str">
        <f t="array" ref="W291">IFERROR(_xlfn.XLOOKUP($F291,'Acerto virtual'!$E:$E,'Acerto virtual'!I:I),"")</f>
        <v/>
      </c>
      <c r="X291" s="51" t="str">
        <f t="array" ref="X291">IFERROR(_xlfn.XLOOKUP($F291,'Acerto virtual'!$E:$E,'Acerto virtual'!J:J),"")</f>
        <v/>
      </c>
      <c r="Y291" s="51" t="str">
        <f t="array" ref="Y291">IFERROR(_xlfn.XLOOKUP($F291,'Acerto virtual'!$E:$E,'Acerto virtual'!K:K),"")</f>
        <v/>
      </c>
      <c r="Z291" s="51" t="str">
        <f t="array" ref="Z291">IFERROR(_xlfn.XLOOKUP($F291,'Acerto virtual'!$E:$E,'Acerto virtual'!L:L),"")</f>
        <v/>
      </c>
      <c r="AA291" s="51" t="str">
        <f t="array" ref="AA291">IFERROR(_xlfn.XLOOKUP($F291,'Acerto virtual'!$E:$E,'Acerto virtual'!M:M),"")</f>
        <v/>
      </c>
      <c r="AB291" s="51" t="str">
        <f t="array" ref="AB291">IFERROR(_xlfn.XLOOKUP($F291,'Acerto virtual'!$E:$E,'Acerto virtual'!N:N),"")</f>
        <v/>
      </c>
      <c r="AC291" s="51" t="str">
        <f t="array" ref="AC291">IFERROR(_xlfn.XLOOKUP($F291,'Acerto virtual'!$E:$E,'Acerto virtual'!O:O),"")</f>
        <v/>
      </c>
      <c r="AD291" s="51" t="str">
        <f t="array" ref="AD291">IFERROR(_xlfn.XLOOKUP($F291,'Acerto virtual'!$E:$E,'Acerto virtual'!P:P),"")</f>
        <v/>
      </c>
      <c r="AE291" s="51" t="str">
        <f t="array" ref="AE291">IFERROR(_xlfn.XLOOKUP($F291,'Acerto virtual'!$E:$E,'Acerto virtual'!Q:Q),"")</f>
        <v/>
      </c>
      <c r="AF291" s="51" t="str">
        <f t="array" ref="AF291">IFERROR(_xlfn.XLOOKUP($F291,'Acerto virtual'!$E:$E,'Acerto virtual'!R:R),"")</f>
        <v/>
      </c>
      <c r="AG291" s="51" t="str">
        <f t="array" ref="AG291">IFERROR(_xlfn.XLOOKUP($F291,'Acerto virtual'!$E:$E,'Acerto virtual'!S:S),"")</f>
        <v/>
      </c>
      <c r="AH291" s="51" t="str">
        <f t="array" ref="AH291">IFERROR(_xlfn.XLOOKUP($F291,'Acerto virtual'!$E:$E,'Acerto virtual'!T:T),"")</f>
        <v/>
      </c>
      <c r="AI291" s="51" t="str">
        <f t="array" ref="AI291">IFERROR(_xlfn.XLOOKUP($F291,'Acerto virtual'!$E:$E,'Acerto virtual'!U:U),"")</f>
        <v/>
      </c>
    </row>
    <row r="292" hidden="1">
      <c r="A292" s="47" t="s">
        <v>904</v>
      </c>
      <c r="B292" s="47" t="s">
        <v>905</v>
      </c>
      <c r="C292" s="19" t="str">
        <f t="array" ref="C292">IFERROR(_xlfn.XLOOKUP($B292,'Histórico'!$B:$B,'Histórico'!$I:$I),"")</f>
        <v>066-1055-00</v>
      </c>
      <c r="D292" s="19">
        <f t="array" ref="D292">IFERROR(_xlfn.XLOOKUP($B292,'Histórico'!$B:$B,'Histórico'!$J:$J),"")</f>
        <v>22373</v>
      </c>
      <c r="E292" s="19" t="str">
        <f t="array" ref="E292">IFERROR(_xlfn.XLOOKUP($B292,'Histórico'!$B:$B,'Histórico'!$K:$K),"")</f>
        <v>AUDIO CONTROL PANEL</v>
      </c>
      <c r="F292" s="19" t="str">
        <f t="array" ref="F292">IFERROR(_xlfn.XLOOKUP($B292,'Histórico'!$B:$B,'Histórico'!$L:$L),"")</f>
        <v>108773</v>
      </c>
      <c r="G292" s="49">
        <f t="array" ref="G292">IFERROR(_xlfn.XLOOKUP($B292,'Histórico'!$B:$B,'Histórico'!$F:$F),"")</f>
        <v>46107</v>
      </c>
      <c r="H292" s="19" t="str">
        <f t="array" ref="H292">IFERROR(_xlfn.XLOOKUP($B292,'Histórico'!$B:$B,'Histórico'!$AA:$AA),"")</f>
        <v>CLA</v>
      </c>
      <c r="I292" s="19" t="str">
        <f t="array" ref="I292">IFERROR(_xlfn.XLOOKUP($B292,Atual!$B:$B,Atual!$E:$E),"OS concluída")</f>
        <v>OS concluída</v>
      </c>
      <c r="J292" s="19" t="str">
        <f t="shared" si="1"/>
        <v/>
      </c>
      <c r="K292" s="19"/>
      <c r="L292" s="19" t="str">
        <f t="shared" si="2"/>
        <v/>
      </c>
      <c r="M292" s="19"/>
      <c r="N292" s="49" t="str">
        <f t="array" ref="N292">IFERROR(_xlfn.XLOOKUP($B292,Empresa!G:G,Empresa!K:K),"")</f>
        <v/>
      </c>
      <c r="O292" s="49"/>
      <c r="P292" s="19" t="str">
        <f t="array" ref="P292">IFERROR(_xlfn.XLOOKUP($F292,'Vee one'!F:F,'Vee one'!O:O),"")</f>
        <v/>
      </c>
      <c r="Q292" s="19" t="str">
        <f t="array" ref="Q292">IFERROR(_xlfn.XLOOKUP($F292,'Vee one'!F:F,'Vee one'!K:K),"")</f>
        <v/>
      </c>
      <c r="R292" s="19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</row>
    <row r="293" hidden="1">
      <c r="A293" s="47" t="s">
        <v>906</v>
      </c>
      <c r="B293" s="47" t="s">
        <v>907</v>
      </c>
      <c r="C293" s="48" t="str">
        <f t="array" ref="C293">IFERROR(_xlfn.XLOOKUP($B293,'Histórico'!$B:$B,'Histórico'!$I:$I),"")</f>
        <v>51539-012M</v>
      </c>
      <c r="D293" s="19" t="str">
        <f t="array" ref="D293">IFERROR(_xlfn.XLOOKUP($B293,'Histórico'!$B:$B,'Histórico'!$J:$J),"")</f>
        <v>7EK50</v>
      </c>
      <c r="E293" s="19" t="str">
        <f t="array" ref="E293">IFERROR(_xlfn.XLOOKUP($B293,'Histórico'!$B:$B,'Histórico'!$K:$K),"")</f>
        <v>CONTROL UNIT ASSY-GENERATOR</v>
      </c>
      <c r="F293" s="19" t="str">
        <f t="array" ref="F293">IFERROR(_xlfn.XLOOKUP($B293,'Histórico'!$B:$B,'Histórico'!$L:$L),"")</f>
        <v>7086</v>
      </c>
      <c r="G293" s="49">
        <f t="array" ref="G293">IFERROR(_xlfn.XLOOKUP($B293,'Histórico'!$B:$B,'Histórico'!$F:$F),"")</f>
        <v>46107</v>
      </c>
      <c r="H293" s="19" t="str">
        <f t="array" ref="H293">IFERROR(_xlfn.XLOOKUP($B293,'Histórico'!$B:$B,'Histórico'!$AA:$AA),"")</f>
        <v>BANT</v>
      </c>
      <c r="I293" s="19" t="str">
        <f t="array" ref="I293">IFERROR(_xlfn.XLOOKUP($B293,Atual!$B:$B,Atual!$E:$E),"OS concluída")</f>
        <v>OS concluída</v>
      </c>
      <c r="J293" s="19" t="str">
        <f t="shared" si="1"/>
        <v/>
      </c>
      <c r="K293" s="19"/>
      <c r="L293" s="19">
        <f t="shared" si="2"/>
        <v>20</v>
      </c>
      <c r="M293" s="19"/>
      <c r="N293" s="49">
        <f t="array" ref="N293">IFERROR(_xlfn.XLOOKUP($B293,EMPRESA_1!A:A,EMPRESA_1!J:J),"")</f>
        <v>46127</v>
      </c>
      <c r="O293" s="50" t="str">
        <f t="array" ref="O293">IFERROR(_xlfn.XLOOKUP(B293,EMPRESA_1!A:A,EMPRESA_1!K:K),"")
</f>
        <v>PAMA-LS</v>
      </c>
      <c r="P293" s="48" t="str">
        <f t="array" ref="P293">IFERROR(_xlfn.XLOOKUP(B293,EMPRESA_1!A:A,EMPRESA_1!L:L),"")</f>
        <v>682/FAB/26</v>
      </c>
      <c r="Q293" s="49">
        <f t="array" ref="Q293">IFERROR(_xlfn.XLOOKUP(B293,EMPRESA_1!A:A,EMPRESA_1!J:J),"")</f>
        <v>46127</v>
      </c>
      <c r="R293" s="19" t="str">
        <f t="array" ref="R293">IFERROR(_xlfn.XLOOKUP(B293,EMPRESA_1!A:A,EMPRESA_1!M:M),"")</f>
        <v/>
      </c>
      <c r="S293" s="51"/>
      <c r="T293" s="51" t="str">
        <f t="array" ref="T293">IFERROR(_xlfn.XLOOKUP($F293,'Acerto virtual'!$E:$E,'Acerto virtual'!F:F),"")</f>
        <v/>
      </c>
      <c r="U293" s="51" t="str">
        <f t="array" ref="U293">IFERROR(_xlfn.XLOOKUP($F293,'Acerto virtual'!$E:$E,'Acerto virtual'!G:G),"")</f>
        <v/>
      </c>
      <c r="V293" s="51" t="str">
        <f t="array" ref="V293">IFERROR(_xlfn.XLOOKUP($F293,'Acerto virtual'!$E:$E,'Acerto virtual'!H:H),"")</f>
        <v/>
      </c>
      <c r="W293" s="51" t="str">
        <f t="array" ref="W293">IFERROR(_xlfn.XLOOKUP($F293,'Acerto virtual'!$E:$E,'Acerto virtual'!I:I),"")</f>
        <v/>
      </c>
      <c r="X293" s="51" t="str">
        <f t="array" ref="X293">IFERROR(_xlfn.XLOOKUP($F293,'Acerto virtual'!$E:$E,'Acerto virtual'!J:J),"")</f>
        <v/>
      </c>
      <c r="Y293" s="51" t="str">
        <f t="array" ref="Y293">IFERROR(_xlfn.XLOOKUP($F293,'Acerto virtual'!$E:$E,'Acerto virtual'!K:K),"")</f>
        <v/>
      </c>
      <c r="Z293" s="51" t="str">
        <f t="array" ref="Z293">IFERROR(_xlfn.XLOOKUP($F293,'Acerto virtual'!$E:$E,'Acerto virtual'!L:L),"")</f>
        <v/>
      </c>
      <c r="AA293" s="51" t="str">
        <f t="array" ref="AA293">IFERROR(_xlfn.XLOOKUP($F293,'Acerto virtual'!$E:$E,'Acerto virtual'!M:M),"")</f>
        <v/>
      </c>
      <c r="AB293" s="51" t="str">
        <f t="array" ref="AB293">IFERROR(_xlfn.XLOOKUP($F293,'Acerto virtual'!$E:$E,'Acerto virtual'!N:N),"")</f>
        <v/>
      </c>
      <c r="AC293" s="51" t="str">
        <f t="array" ref="AC293">IFERROR(_xlfn.XLOOKUP($F293,'Acerto virtual'!$E:$E,'Acerto virtual'!O:O),"")</f>
        <v/>
      </c>
      <c r="AD293" s="51" t="str">
        <f t="array" ref="AD293">IFERROR(_xlfn.XLOOKUP($F293,'Acerto virtual'!$E:$E,'Acerto virtual'!P:P),"")</f>
        <v/>
      </c>
      <c r="AE293" s="51" t="str">
        <f t="array" ref="AE293">IFERROR(_xlfn.XLOOKUP($F293,'Acerto virtual'!$E:$E,'Acerto virtual'!Q:Q),"")</f>
        <v/>
      </c>
      <c r="AF293" s="51" t="str">
        <f t="array" ref="AF293">IFERROR(_xlfn.XLOOKUP($F293,'Acerto virtual'!$E:$E,'Acerto virtual'!R:R),"")</f>
        <v/>
      </c>
      <c r="AG293" s="51" t="str">
        <f t="array" ref="AG293">IFERROR(_xlfn.XLOOKUP($F293,'Acerto virtual'!$E:$E,'Acerto virtual'!S:S),"")</f>
        <v/>
      </c>
      <c r="AH293" s="51" t="str">
        <f t="array" ref="AH293">IFERROR(_xlfn.XLOOKUP($F293,'Acerto virtual'!$E:$E,'Acerto virtual'!T:T),"")</f>
        <v/>
      </c>
      <c r="AI293" s="51" t="str">
        <f t="array" ref="AI293">IFERROR(_xlfn.XLOOKUP($F293,'Acerto virtual'!$E:$E,'Acerto virtual'!U:U),"")</f>
        <v/>
      </c>
    </row>
    <row r="294">
      <c r="A294" s="47" t="s">
        <v>908</v>
      </c>
      <c r="B294" s="47" t="s">
        <v>909</v>
      </c>
      <c r="C294" s="48" t="str">
        <f t="array" ref="C294">IFERROR(_xlfn.XLOOKUP($B294,'Histórico'!$B:$B,'Histórico'!$I:$I),"")</f>
        <v>51539-012N</v>
      </c>
      <c r="D294" s="19">
        <f t="array" ref="D294">IFERROR(_xlfn.XLOOKUP($B294,'Histórico'!$B:$B,'Histórico'!$J:$J),"")</f>
        <v>71379</v>
      </c>
      <c r="E294" s="19" t="str">
        <f t="array" ref="E294">IFERROR(_xlfn.XLOOKUP($B294,'Histórico'!$B:$B,'Histórico'!$K:$K),"")</f>
        <v>CONTROL UNIT ASSY-GENERATOR</v>
      </c>
      <c r="F294" s="19" t="str">
        <f t="array" ref="F294">IFERROR(_xlfn.XLOOKUP($B294,'Histórico'!$B:$B,'Histórico'!$L:$L),"")</f>
        <v>99743</v>
      </c>
      <c r="G294" s="49">
        <f t="array" ref="G294">IFERROR(_xlfn.XLOOKUP($B294,'Histórico'!$B:$B,'Histórico'!$F:$F),"")</f>
        <v>46107</v>
      </c>
      <c r="H294" s="19" t="str">
        <f t="array" ref="H294">IFERROR(_xlfn.XLOOKUP($B294,'Histórico'!$B:$B,'Histórico'!$AA:$AA),"")</f>
        <v>BANT</v>
      </c>
      <c r="I294" s="19" t="str">
        <f t="array" ref="I294">IFERROR(_xlfn.XLOOKUP($B294,Atual!$B:$B,Atual!$E:$E),"OS concluída")</f>
        <v>REC</v>
      </c>
      <c r="J294" s="19">
        <f t="shared" si="1"/>
        <v>203</v>
      </c>
      <c r="K294" s="19"/>
      <c r="L294" s="19">
        <f t="shared" si="2"/>
        <v>20</v>
      </c>
      <c r="M294" s="19"/>
      <c r="N294" s="49">
        <f t="array" ref="N294">IFERROR(_xlfn.XLOOKUP($B294,EMPRESA_1!A:A,EMPRESA_1!J:J),"")</f>
        <v>46127</v>
      </c>
      <c r="O294" s="50" t="str">
        <f t="array" ref="O294">IFERROR(_xlfn.XLOOKUP(B294,EMPRESA_1!A:A,EMPRESA_1!K:K),"")
</f>
        <v>PAMA-LS</v>
      </c>
      <c r="P294" s="48" t="str">
        <f t="array" ref="P294">IFERROR(_xlfn.XLOOKUP(B294,EMPRESA_1!A:A,EMPRESA_1!L:L),"")</f>
        <v>680/FAB/26</v>
      </c>
      <c r="Q294" s="49">
        <f t="array" ref="Q294">IFERROR(_xlfn.XLOOKUP(B294,EMPRESA_1!A:A,EMPRESA_1!J:J),"")</f>
        <v>46127</v>
      </c>
      <c r="R294" s="19" t="str">
        <f t="array" ref="R294">IFERROR(_xlfn.XLOOKUP(B294,EMPRESA_1!A:A,EMPRESA_1!M:M),"")</f>
        <v/>
      </c>
      <c r="S294" s="51"/>
      <c r="T294" s="51" t="str">
        <f t="array" ref="T294">IFERROR(_xlfn.XLOOKUP($F294,'Acerto virtual'!$E:$E,'Acerto virtual'!F:F),"")</f>
        <v/>
      </c>
      <c r="U294" s="51" t="str">
        <f t="array" ref="U294">IFERROR(_xlfn.XLOOKUP($F294,'Acerto virtual'!$E:$E,'Acerto virtual'!G:G),"")</f>
        <v/>
      </c>
      <c r="V294" s="51" t="str">
        <f t="array" ref="V294">IFERROR(_xlfn.XLOOKUP($F294,'Acerto virtual'!$E:$E,'Acerto virtual'!H:H),"")</f>
        <v/>
      </c>
      <c r="W294" s="51" t="str">
        <f t="array" ref="W294">IFERROR(_xlfn.XLOOKUP($F294,'Acerto virtual'!$E:$E,'Acerto virtual'!I:I),"")</f>
        <v/>
      </c>
      <c r="X294" s="51" t="str">
        <f t="array" ref="X294">IFERROR(_xlfn.XLOOKUP($F294,'Acerto virtual'!$E:$E,'Acerto virtual'!J:J),"")</f>
        <v/>
      </c>
      <c r="Y294" s="51" t="str">
        <f t="array" ref="Y294">IFERROR(_xlfn.XLOOKUP($F294,'Acerto virtual'!$E:$E,'Acerto virtual'!K:K),"")</f>
        <v/>
      </c>
      <c r="Z294" s="51" t="str">
        <f t="array" ref="Z294">IFERROR(_xlfn.XLOOKUP($F294,'Acerto virtual'!$E:$E,'Acerto virtual'!L:L),"")</f>
        <v/>
      </c>
      <c r="AA294" s="51" t="str">
        <f t="array" ref="AA294">IFERROR(_xlfn.XLOOKUP($F294,'Acerto virtual'!$E:$E,'Acerto virtual'!M:M),"")</f>
        <v/>
      </c>
      <c r="AB294" s="51" t="str">
        <f t="array" ref="AB294">IFERROR(_xlfn.XLOOKUP($F294,'Acerto virtual'!$E:$E,'Acerto virtual'!N:N),"")</f>
        <v/>
      </c>
      <c r="AC294" s="51" t="str">
        <f t="array" ref="AC294">IFERROR(_xlfn.XLOOKUP($F294,'Acerto virtual'!$E:$E,'Acerto virtual'!O:O),"")</f>
        <v/>
      </c>
      <c r="AD294" s="51" t="str">
        <f t="array" ref="AD294">IFERROR(_xlfn.XLOOKUP($F294,'Acerto virtual'!$E:$E,'Acerto virtual'!P:P),"")</f>
        <v/>
      </c>
      <c r="AE294" s="51" t="str">
        <f t="array" ref="AE294">IFERROR(_xlfn.XLOOKUP($F294,'Acerto virtual'!$E:$E,'Acerto virtual'!Q:Q),"")</f>
        <v/>
      </c>
      <c r="AF294" s="51" t="str">
        <f t="array" ref="AF294">IFERROR(_xlfn.XLOOKUP($F294,'Acerto virtual'!$E:$E,'Acerto virtual'!R:R),"")</f>
        <v/>
      </c>
      <c r="AG294" s="51" t="str">
        <f t="array" ref="AG294">IFERROR(_xlfn.XLOOKUP($F294,'Acerto virtual'!$E:$E,'Acerto virtual'!S:S),"")</f>
        <v/>
      </c>
      <c r="AH294" s="51" t="str">
        <f t="array" ref="AH294">IFERROR(_xlfn.XLOOKUP($F294,'Acerto virtual'!$E:$E,'Acerto virtual'!T:T),"")</f>
        <v/>
      </c>
      <c r="AI294" s="51" t="str">
        <f t="array" ref="AI294">IFERROR(_xlfn.XLOOKUP($F294,'Acerto virtual'!$E:$E,'Acerto virtual'!U:U),"")</f>
        <v/>
      </c>
    </row>
    <row r="295">
      <c r="A295" s="47" t="s">
        <v>910</v>
      </c>
      <c r="B295" s="47" t="s">
        <v>911</v>
      </c>
      <c r="C295" s="48" t="str">
        <f t="array" ref="C295">IFERROR(_xlfn.XLOOKUP($B295,'Histórico'!$B:$B,'Histórico'!$I:$I),"")</f>
        <v>065-0061-36</v>
      </c>
      <c r="D295" s="19">
        <f t="array" ref="D295">IFERROR(_xlfn.XLOOKUP($B295,'Histórico'!$B:$B,'Histórico'!$J:$J),"")</f>
        <v>22373</v>
      </c>
      <c r="E295" s="19" t="str">
        <f t="array" ref="E295">IFERROR(_xlfn.XLOOKUP($B295,'Histórico'!$B:$B,'Histórico'!$K:$K),"")</f>
        <v>ACTUATOR TRIM (KS272A)</v>
      </c>
      <c r="F295" s="19" t="str">
        <f t="array" ref="F295">IFERROR(_xlfn.XLOOKUP($B295,'Histórico'!$B:$B,'Histórico'!$L:$L),"")</f>
        <v>KS272A-49392</v>
      </c>
      <c r="G295" s="49">
        <f t="array" ref="G295">IFERROR(_xlfn.XLOOKUP($B295,'Histórico'!$B:$B,'Histórico'!$F:$F),"")</f>
        <v>46112</v>
      </c>
      <c r="H295" s="19" t="str">
        <f t="array" ref="H295">IFERROR(_xlfn.XLOOKUP($B295,'Histórico'!$B:$B,'Histórico'!$AA:$AA),"")</f>
        <v>ALA 9</v>
      </c>
      <c r="I295" s="19" t="str">
        <f t="array" ref="I295">IFERROR(_xlfn.XLOOKUP($B295,Atual!$B:$B,Atual!$E:$E),"OS concluída")</f>
        <v>REC</v>
      </c>
      <c r="J295" s="19">
        <f t="shared" si="1"/>
        <v>198</v>
      </c>
      <c r="K295" s="19"/>
      <c r="L295" s="19" t="str">
        <f t="shared" si="2"/>
        <v>NÃO APLICÁVEL</v>
      </c>
      <c r="M295" s="19"/>
      <c r="N295" s="49" t="str">
        <f t="array" ref="N295">IFERROR(_xlfn.XLOOKUP($B295,EMPRESA_1!A:A,EMPRESA_1!J:J),"")</f>
        <v>EM REPARO</v>
      </c>
      <c r="O295" s="50" t="str">
        <f t="array" ref="O295">IFERROR(_xlfn.XLOOKUP(B295,EMPRESA_1!A:A,EMPRESA_1!K:K),"")
</f>
        <v>WILLIAM</v>
      </c>
      <c r="P295" s="48" t="str">
        <f t="array" ref="P295">IFERROR(_xlfn.XLOOKUP(B295,EMPRESA_1!A:A,EMPRESA_1!L:L),"")</f>
        <v/>
      </c>
      <c r="Q295" s="49" t="str">
        <f t="array" ref="Q295">IFERROR(_xlfn.XLOOKUP(B295,EMPRESA_1!A:A,EMPRESA_1!J:J),"")</f>
        <v>EM REPARO</v>
      </c>
      <c r="R295" s="19" t="str">
        <f t="array" ref="R295">IFERROR(_xlfn.XLOOKUP(B295,EMPRESA_1!A:A,EMPRESA_1!M:M),"")</f>
        <v/>
      </c>
      <c r="S295" s="51"/>
      <c r="T295" s="51" t="str">
        <f t="array" ref="T295">IFERROR(_xlfn.XLOOKUP($F295,'Acerto virtual'!$E:$E,'Acerto virtual'!F:F),"")</f>
        <v/>
      </c>
      <c r="U295" s="51" t="str">
        <f t="array" ref="U295">IFERROR(_xlfn.XLOOKUP($F295,'Acerto virtual'!$E:$E,'Acerto virtual'!G:G),"")</f>
        <v/>
      </c>
      <c r="V295" s="51" t="str">
        <f t="array" ref="V295">IFERROR(_xlfn.XLOOKUP($F295,'Acerto virtual'!$E:$E,'Acerto virtual'!H:H),"")</f>
        <v/>
      </c>
      <c r="W295" s="51" t="str">
        <f t="array" ref="W295">IFERROR(_xlfn.XLOOKUP($F295,'Acerto virtual'!$E:$E,'Acerto virtual'!I:I),"")</f>
        <v/>
      </c>
      <c r="X295" s="51" t="str">
        <f t="array" ref="X295">IFERROR(_xlfn.XLOOKUP($F295,'Acerto virtual'!$E:$E,'Acerto virtual'!J:J),"")</f>
        <v/>
      </c>
      <c r="Y295" s="51" t="str">
        <f t="array" ref="Y295">IFERROR(_xlfn.XLOOKUP($F295,'Acerto virtual'!$E:$E,'Acerto virtual'!K:K),"")</f>
        <v/>
      </c>
      <c r="Z295" s="51" t="str">
        <f t="array" ref="Z295">IFERROR(_xlfn.XLOOKUP($F295,'Acerto virtual'!$E:$E,'Acerto virtual'!L:L),"")</f>
        <v/>
      </c>
      <c r="AA295" s="51" t="str">
        <f t="array" ref="AA295">IFERROR(_xlfn.XLOOKUP($F295,'Acerto virtual'!$E:$E,'Acerto virtual'!M:M),"")</f>
        <v/>
      </c>
      <c r="AB295" s="51" t="str">
        <f t="array" ref="AB295">IFERROR(_xlfn.XLOOKUP($F295,'Acerto virtual'!$E:$E,'Acerto virtual'!N:N),"")</f>
        <v/>
      </c>
      <c r="AC295" s="51" t="str">
        <f t="array" ref="AC295">IFERROR(_xlfn.XLOOKUP($F295,'Acerto virtual'!$E:$E,'Acerto virtual'!O:O),"")</f>
        <v/>
      </c>
      <c r="AD295" s="51" t="str">
        <f t="array" ref="AD295">IFERROR(_xlfn.XLOOKUP($F295,'Acerto virtual'!$E:$E,'Acerto virtual'!P:P),"")</f>
        <v/>
      </c>
      <c r="AE295" s="51" t="str">
        <f t="array" ref="AE295">IFERROR(_xlfn.XLOOKUP($F295,'Acerto virtual'!$E:$E,'Acerto virtual'!Q:Q),"")</f>
        <v/>
      </c>
      <c r="AF295" s="51" t="str">
        <f t="array" ref="AF295">IFERROR(_xlfn.XLOOKUP($F295,'Acerto virtual'!$E:$E,'Acerto virtual'!R:R),"")</f>
        <v/>
      </c>
      <c r="AG295" s="51" t="str">
        <f t="array" ref="AG295">IFERROR(_xlfn.XLOOKUP($F295,'Acerto virtual'!$E:$E,'Acerto virtual'!S:S),"")</f>
        <v/>
      </c>
      <c r="AH295" s="51" t="str">
        <f t="array" ref="AH295">IFERROR(_xlfn.XLOOKUP($F295,'Acerto virtual'!$E:$E,'Acerto virtual'!T:T),"")</f>
        <v/>
      </c>
      <c r="AI295" s="51" t="str">
        <f t="array" ref="AI295">IFERROR(_xlfn.XLOOKUP($F295,'Acerto virtual'!$E:$E,'Acerto virtual'!U:U),"")</f>
        <v/>
      </c>
    </row>
    <row r="296">
      <c r="A296" s="47" t="s">
        <v>912</v>
      </c>
      <c r="B296" s="47" t="s">
        <v>913</v>
      </c>
      <c r="C296" s="48" t="str">
        <f t="array" ref="C296">IFERROR(_xlfn.XLOOKUP($B296,'Histórico'!$B:$B,'Histórico'!$I:$I),"")</f>
        <v>C352</v>
      </c>
      <c r="D296" s="19">
        <f t="array" ref="D296">IFERROR(_xlfn.XLOOKUP($B296,'Histórico'!$B:$B,'Histórico'!$J:$J),"")</f>
        <v>81205</v>
      </c>
      <c r="E296" s="19" t="str">
        <f t="array" ref="E296">IFERROR(_xlfn.XLOOKUP($B296,'Histórico'!$B:$B,'Histórico'!$K:$K),"")</f>
        <v>PORTABLE HALON FIRE EXTINGUISHERS</v>
      </c>
      <c r="F296" s="19" t="str">
        <f t="array" ref="F296">IFERROR(_xlfn.XLOOKUP($B296,'Histórico'!$B:$B,'Histórico'!$L:$L),"")</f>
        <v>B-10811222</v>
      </c>
      <c r="G296" s="49">
        <f t="array" ref="G296">IFERROR(_xlfn.XLOOKUP($B296,'Histórico'!$B:$B,'Histórico'!$F:$F),"")</f>
        <v>46125</v>
      </c>
      <c r="H296" s="19" t="str">
        <f t="array" ref="H296">IFERROR(_xlfn.XLOOKUP($B296,'Histórico'!$B:$B,'Histórico'!$AA:$AA),"")</f>
        <v>ALA 5</v>
      </c>
      <c r="I296" s="19" t="str">
        <f t="array" ref="I296">IFERROR(_xlfn.XLOOKUP($B296,Atual!$B:$B,Atual!$E:$E),"OS concluída")</f>
        <v>REC</v>
      </c>
      <c r="J296" s="19">
        <f t="shared" si="1"/>
        <v>185</v>
      </c>
      <c r="K296" s="19"/>
      <c r="L296" s="19" t="str">
        <f t="shared" si="2"/>
        <v>NÃO APLICÁVEL</v>
      </c>
      <c r="M296" s="19"/>
      <c r="N296" s="49" t="str">
        <f t="array" ref="N296">IFERROR(_xlfn.XLOOKUP($B296,EMPRESA_1!A:A,EMPRESA_1!J:J),"")</f>
        <v>EM REPARO</v>
      </c>
      <c r="O296" s="50" t="str">
        <f t="array" ref="O296">IFERROR(_xlfn.XLOOKUP(B296,EMPRESA_1!A:A,EMPRESA_1!K:K),"")
</f>
        <v>AV AERONAUTICA</v>
      </c>
      <c r="P296" s="48" t="str">
        <f t="array" ref="P296">IFERROR(_xlfn.XLOOKUP(B296,EMPRESA_1!A:A,EMPRESA_1!L:L),"")</f>
        <v/>
      </c>
      <c r="Q296" s="49" t="str">
        <f t="array" ref="Q296">IFERROR(_xlfn.XLOOKUP(B296,EMPRESA_1!A:A,EMPRESA_1!J:J),"")</f>
        <v>EM REPARO</v>
      </c>
      <c r="R296" s="19" t="str">
        <f t="array" ref="R296">IFERROR(_xlfn.XLOOKUP(B296,EMPRESA_1!A:A,EMPRESA_1!M:M),"")</f>
        <v/>
      </c>
      <c r="S296" s="51"/>
      <c r="T296" s="51" t="str">
        <f t="array" ref="T296">IFERROR(_xlfn.XLOOKUP($F296,'Acerto virtual'!$E:$E,'Acerto virtual'!F:F),"")</f>
        <v/>
      </c>
      <c r="U296" s="51" t="str">
        <f t="array" ref="U296">IFERROR(_xlfn.XLOOKUP($F296,'Acerto virtual'!$E:$E,'Acerto virtual'!G:G),"")</f>
        <v/>
      </c>
      <c r="V296" s="51" t="str">
        <f t="array" ref="V296">IFERROR(_xlfn.XLOOKUP($F296,'Acerto virtual'!$E:$E,'Acerto virtual'!H:H),"")</f>
        <v/>
      </c>
      <c r="W296" s="51" t="str">
        <f t="array" ref="W296">IFERROR(_xlfn.XLOOKUP($F296,'Acerto virtual'!$E:$E,'Acerto virtual'!I:I),"")</f>
        <v/>
      </c>
      <c r="X296" s="51" t="str">
        <f t="array" ref="X296">IFERROR(_xlfn.XLOOKUP($F296,'Acerto virtual'!$E:$E,'Acerto virtual'!J:J),"")</f>
        <v/>
      </c>
      <c r="Y296" s="51" t="str">
        <f t="array" ref="Y296">IFERROR(_xlfn.XLOOKUP($F296,'Acerto virtual'!$E:$E,'Acerto virtual'!K:K),"")</f>
        <v/>
      </c>
      <c r="Z296" s="51" t="str">
        <f t="array" ref="Z296">IFERROR(_xlfn.XLOOKUP($F296,'Acerto virtual'!$E:$E,'Acerto virtual'!L:L),"")</f>
        <v/>
      </c>
      <c r="AA296" s="51" t="str">
        <f t="array" ref="AA296">IFERROR(_xlfn.XLOOKUP($F296,'Acerto virtual'!$E:$E,'Acerto virtual'!M:M),"")</f>
        <v/>
      </c>
      <c r="AB296" s="51" t="str">
        <f t="array" ref="AB296">IFERROR(_xlfn.XLOOKUP($F296,'Acerto virtual'!$E:$E,'Acerto virtual'!N:N),"")</f>
        <v/>
      </c>
      <c r="AC296" s="51" t="str">
        <f t="array" ref="AC296">IFERROR(_xlfn.XLOOKUP($F296,'Acerto virtual'!$E:$E,'Acerto virtual'!O:O),"")</f>
        <v/>
      </c>
      <c r="AD296" s="51" t="str">
        <f t="array" ref="AD296">IFERROR(_xlfn.XLOOKUP($F296,'Acerto virtual'!$E:$E,'Acerto virtual'!P:P),"")</f>
        <v/>
      </c>
      <c r="AE296" s="51" t="str">
        <f t="array" ref="AE296">IFERROR(_xlfn.XLOOKUP($F296,'Acerto virtual'!$E:$E,'Acerto virtual'!Q:Q),"")</f>
        <v/>
      </c>
      <c r="AF296" s="51" t="str">
        <f t="array" ref="AF296">IFERROR(_xlfn.XLOOKUP($F296,'Acerto virtual'!$E:$E,'Acerto virtual'!R:R),"")</f>
        <v/>
      </c>
      <c r="AG296" s="51" t="str">
        <f t="array" ref="AG296">IFERROR(_xlfn.XLOOKUP($F296,'Acerto virtual'!$E:$E,'Acerto virtual'!S:S),"")</f>
        <v/>
      </c>
      <c r="AH296" s="51" t="str">
        <f t="array" ref="AH296">IFERROR(_xlfn.XLOOKUP($F296,'Acerto virtual'!$E:$E,'Acerto virtual'!T:T),"")</f>
        <v/>
      </c>
      <c r="AI296" s="51" t="str">
        <f t="array" ref="AI296">IFERROR(_xlfn.XLOOKUP($F296,'Acerto virtual'!$E:$E,'Acerto virtual'!U:U),"")</f>
        <v/>
      </c>
    </row>
    <row r="297">
      <c r="A297" s="47" t="s">
        <v>914</v>
      </c>
      <c r="B297" s="47" t="s">
        <v>915</v>
      </c>
      <c r="C297" s="48" t="str">
        <f t="array" ref="C297">IFERROR(_xlfn.XLOOKUP($B297,'Histórico'!$B:$B,'Histórico'!$I:$I),"")</f>
        <v>C352TS</v>
      </c>
      <c r="D297" s="19">
        <f t="array" ref="D297">IFERROR(_xlfn.XLOOKUP($B297,'Histórico'!$B:$B,'Histórico'!$J:$J),"")</f>
        <v>54905</v>
      </c>
      <c r="E297" s="19" t="str">
        <f t="array" ref="E297">IFERROR(_xlfn.XLOOKUP($B297,'Histórico'!$B:$B,'Histórico'!$K:$K),"")</f>
        <v>EXTINGUISHER,FIRE</v>
      </c>
      <c r="F297" s="19" t="str">
        <f t="array" ref="F297">IFERROR(_xlfn.XLOOKUP($B297,'Histórico'!$B:$B,'Histórico'!$L:$L),"")</f>
        <v>B10811221</v>
      </c>
      <c r="G297" s="49">
        <f t="array" ref="G297">IFERROR(_xlfn.XLOOKUP($B297,'Histórico'!$B:$B,'Histórico'!$F:$F),"")</f>
        <v>46125</v>
      </c>
      <c r="H297" s="19" t="str">
        <f t="array" ref="H297">IFERROR(_xlfn.XLOOKUP($B297,'Histórico'!$B:$B,'Histórico'!$AA:$AA),"")</f>
        <v>BANT</v>
      </c>
      <c r="I297" s="19" t="str">
        <f t="array" ref="I297">IFERROR(_xlfn.XLOOKUP($B297,Atual!$B:$B,Atual!$E:$E),"OS concluída")</f>
        <v>REC</v>
      </c>
      <c r="J297" s="19">
        <f t="shared" si="1"/>
        <v>185</v>
      </c>
      <c r="K297" s="19"/>
      <c r="L297" s="19" t="str">
        <f t="shared" si="2"/>
        <v/>
      </c>
      <c r="M297" s="19"/>
      <c r="N297" s="49" t="str">
        <f t="array" ref="N297">IFERROR(_xlfn.XLOOKUP($B297,EMPRESA_1!A:A,EMPRESA_1!J:J),"")</f>
        <v/>
      </c>
      <c r="O297" s="50" t="str">
        <f t="array" ref="O297">IFERROR(_xlfn.XLOOKUP(B297,EMPRESA_1!A:A,EMPRESA_1!K:K),"")
</f>
        <v>AV AERONÁUTICA</v>
      </c>
      <c r="P297" s="19" t="str">
        <f t="array" ref="P297">IFERROR(_xlfn.XLOOKUP(B297,EMPRESA_1!A:A,EMPRESA_1!L:L),"")</f>
        <v/>
      </c>
      <c r="Q297" s="49" t="str">
        <f t="array" ref="Q297">IFERROR(_xlfn.XLOOKUP(B297,EMPRESA_1!A:A,EMPRESA_1!J:J),"")</f>
        <v/>
      </c>
      <c r="R297" s="19" t="str">
        <f t="array" ref="R297">IFERROR(_xlfn.XLOOKUP(B297,EMPRESA_1!A:A,EMPRESA_1!M:M),"")</f>
        <v/>
      </c>
      <c r="S297" s="51"/>
      <c r="T297" s="51" t="str">
        <f t="array" ref="T297">IFERROR(_xlfn.XLOOKUP($F297,'Acerto virtual'!$E:$E,'Acerto virtual'!F:F),"")</f>
        <v/>
      </c>
      <c r="U297" s="51" t="str">
        <f t="array" ref="U297">IFERROR(_xlfn.XLOOKUP($F297,'Acerto virtual'!$E:$E,'Acerto virtual'!G:G),"")</f>
        <v/>
      </c>
      <c r="V297" s="51" t="str">
        <f t="array" ref="V297">IFERROR(_xlfn.XLOOKUP($F297,'Acerto virtual'!$E:$E,'Acerto virtual'!H:H),"")</f>
        <v/>
      </c>
      <c r="W297" s="51" t="str">
        <f t="array" ref="W297">IFERROR(_xlfn.XLOOKUP($F297,'Acerto virtual'!$E:$E,'Acerto virtual'!I:I),"")</f>
        <v/>
      </c>
      <c r="X297" s="51" t="str">
        <f t="array" ref="X297">IFERROR(_xlfn.XLOOKUP($F297,'Acerto virtual'!$E:$E,'Acerto virtual'!J:J),"")</f>
        <v/>
      </c>
      <c r="Y297" s="51" t="str">
        <f t="array" ref="Y297">IFERROR(_xlfn.XLOOKUP($F297,'Acerto virtual'!$E:$E,'Acerto virtual'!K:K),"")</f>
        <v/>
      </c>
      <c r="Z297" s="51" t="str">
        <f t="array" ref="Z297">IFERROR(_xlfn.XLOOKUP($F297,'Acerto virtual'!$E:$E,'Acerto virtual'!L:L),"")</f>
        <v/>
      </c>
      <c r="AA297" s="51" t="str">
        <f t="array" ref="AA297">IFERROR(_xlfn.XLOOKUP($F297,'Acerto virtual'!$E:$E,'Acerto virtual'!M:M),"")</f>
        <v/>
      </c>
      <c r="AB297" s="51" t="str">
        <f t="array" ref="AB297">IFERROR(_xlfn.XLOOKUP($F297,'Acerto virtual'!$E:$E,'Acerto virtual'!N:N),"")</f>
        <v/>
      </c>
      <c r="AC297" s="51" t="str">
        <f t="array" ref="AC297">IFERROR(_xlfn.XLOOKUP($F297,'Acerto virtual'!$E:$E,'Acerto virtual'!O:O),"")</f>
        <v/>
      </c>
      <c r="AD297" s="51" t="str">
        <f t="array" ref="AD297">IFERROR(_xlfn.XLOOKUP($F297,'Acerto virtual'!$E:$E,'Acerto virtual'!P:P),"")</f>
        <v/>
      </c>
      <c r="AE297" s="51" t="str">
        <f t="array" ref="AE297">IFERROR(_xlfn.XLOOKUP($F297,'Acerto virtual'!$E:$E,'Acerto virtual'!Q:Q),"")</f>
        <v/>
      </c>
      <c r="AF297" s="51" t="str">
        <f t="array" ref="AF297">IFERROR(_xlfn.XLOOKUP($F297,'Acerto virtual'!$E:$E,'Acerto virtual'!R:R),"")</f>
        <v/>
      </c>
      <c r="AG297" s="51" t="str">
        <f t="array" ref="AG297">IFERROR(_xlfn.XLOOKUP($F297,'Acerto virtual'!$E:$E,'Acerto virtual'!S:S),"")</f>
        <v/>
      </c>
      <c r="AH297" s="51" t="str">
        <f t="array" ref="AH297">IFERROR(_xlfn.XLOOKUP($F297,'Acerto virtual'!$E:$E,'Acerto virtual'!T:T),"")</f>
        <v/>
      </c>
      <c r="AI297" s="51" t="str">
        <f t="array" ref="AI297">IFERROR(_xlfn.XLOOKUP($F297,'Acerto virtual'!$E:$E,'Acerto virtual'!U:U),"")</f>
        <v/>
      </c>
    </row>
    <row r="298" hidden="1">
      <c r="A298" s="47" t="s">
        <v>916</v>
      </c>
      <c r="B298" s="47" t="s">
        <v>917</v>
      </c>
      <c r="C298" s="48" t="str">
        <f t="array" ref="C298">IFERROR(_xlfn.XLOOKUP($B298,'Histórico'!$B:$B,'Histórico'!$I:$I),"")</f>
        <v>C352TS</v>
      </c>
      <c r="D298" s="19">
        <f t="array" ref="D298">IFERROR(_xlfn.XLOOKUP($B298,'Histórico'!$B:$B,'Histórico'!$J:$J),"")</f>
        <v>54905</v>
      </c>
      <c r="E298" s="19" t="str">
        <f t="array" ref="E298">IFERROR(_xlfn.XLOOKUP($B298,'Histórico'!$B:$B,'Histórico'!$K:$K),"")</f>
        <v>EXTINGUISHER,FIRE</v>
      </c>
      <c r="F298" s="19" t="str">
        <f t="array" ref="F298">IFERROR(_xlfn.XLOOKUP($B298,'Histórico'!$B:$B,'Histórico'!$L:$L),"")</f>
        <v>B10811220</v>
      </c>
      <c r="G298" s="49">
        <f t="array" ref="G298">IFERROR(_xlfn.XLOOKUP($B298,'Histórico'!$B:$B,'Histórico'!$F:$F),"")</f>
        <v>46125</v>
      </c>
      <c r="H298" s="19" t="str">
        <f t="array" ref="H298">IFERROR(_xlfn.XLOOKUP($B298,'Histórico'!$B:$B,'Histórico'!$AA:$AA),"")</f>
        <v>BANT</v>
      </c>
      <c r="I298" s="19" t="str">
        <f t="array" ref="I298">IFERROR(_xlfn.XLOOKUP($B298,Atual!$B:$B,Atual!$E:$E),"OS concluída")</f>
        <v>OS concluída</v>
      </c>
      <c r="J298" s="19" t="str">
        <f t="shared" si="1"/>
        <v/>
      </c>
      <c r="K298" s="19"/>
      <c r="L298" s="19" t="str">
        <f t="shared" si="2"/>
        <v/>
      </c>
      <c r="M298" s="19"/>
      <c r="N298" s="49" t="str">
        <f t="array" ref="N298">IFERROR(_xlfn.XLOOKUP($B298,EMPRESA_1!A:A,EMPRESA_1!J:J),"")</f>
        <v/>
      </c>
      <c r="O298" s="50" t="str">
        <f t="array" ref="O298">IFERROR(_xlfn.XLOOKUP(B298,EMPRESA_1!A:A,EMPRESA_1!K:K),"")
</f>
        <v>AV AERONÁUTICA</v>
      </c>
      <c r="P298" s="19" t="str">
        <f t="array" ref="P298">IFERROR(_xlfn.XLOOKUP(B298,EMPRESA_1!A:A,EMPRESA_1!L:L),"")</f>
        <v/>
      </c>
      <c r="Q298" s="49" t="str">
        <f t="array" ref="Q298">IFERROR(_xlfn.XLOOKUP(B298,EMPRESA_1!A:A,EMPRESA_1!J:J),"")</f>
        <v/>
      </c>
      <c r="R298" s="19" t="str">
        <f t="array" ref="R298">IFERROR(_xlfn.XLOOKUP(B298,EMPRESA_1!A:A,EMPRESA_1!M:M),"")</f>
        <v/>
      </c>
      <c r="S298" s="51"/>
      <c r="T298" s="51" t="str">
        <f t="array" ref="T298">IFERROR(_xlfn.XLOOKUP($F298,'Acerto virtual'!$E:$E,'Acerto virtual'!F:F),"")</f>
        <v/>
      </c>
      <c r="U298" s="51" t="str">
        <f t="array" ref="U298">IFERROR(_xlfn.XLOOKUP($F298,'Acerto virtual'!$E:$E,'Acerto virtual'!G:G),"")</f>
        <v/>
      </c>
      <c r="V298" s="51" t="str">
        <f t="array" ref="V298">IFERROR(_xlfn.XLOOKUP($F298,'Acerto virtual'!$E:$E,'Acerto virtual'!H:H),"")</f>
        <v/>
      </c>
      <c r="W298" s="51" t="str">
        <f t="array" ref="W298">IFERROR(_xlfn.XLOOKUP($F298,'Acerto virtual'!$E:$E,'Acerto virtual'!I:I),"")</f>
        <v/>
      </c>
      <c r="X298" s="51" t="str">
        <f t="array" ref="X298">IFERROR(_xlfn.XLOOKUP($F298,'Acerto virtual'!$E:$E,'Acerto virtual'!J:J),"")</f>
        <v/>
      </c>
      <c r="Y298" s="51" t="str">
        <f t="array" ref="Y298">IFERROR(_xlfn.XLOOKUP($F298,'Acerto virtual'!$E:$E,'Acerto virtual'!K:K),"")</f>
        <v/>
      </c>
      <c r="Z298" s="51" t="str">
        <f t="array" ref="Z298">IFERROR(_xlfn.XLOOKUP($F298,'Acerto virtual'!$E:$E,'Acerto virtual'!L:L),"")</f>
        <v/>
      </c>
      <c r="AA298" s="51" t="str">
        <f t="array" ref="AA298">IFERROR(_xlfn.XLOOKUP($F298,'Acerto virtual'!$E:$E,'Acerto virtual'!M:M),"")</f>
        <v/>
      </c>
      <c r="AB298" s="51" t="str">
        <f t="array" ref="AB298">IFERROR(_xlfn.XLOOKUP($F298,'Acerto virtual'!$E:$E,'Acerto virtual'!N:N),"")</f>
        <v/>
      </c>
      <c r="AC298" s="51" t="str">
        <f t="array" ref="AC298">IFERROR(_xlfn.XLOOKUP($F298,'Acerto virtual'!$E:$E,'Acerto virtual'!O:O),"")</f>
        <v/>
      </c>
      <c r="AD298" s="51" t="str">
        <f t="array" ref="AD298">IFERROR(_xlfn.XLOOKUP($F298,'Acerto virtual'!$E:$E,'Acerto virtual'!P:P),"")</f>
        <v/>
      </c>
      <c r="AE298" s="51" t="str">
        <f t="array" ref="AE298">IFERROR(_xlfn.XLOOKUP($F298,'Acerto virtual'!$E:$E,'Acerto virtual'!Q:Q),"")</f>
        <v/>
      </c>
      <c r="AF298" s="51" t="str">
        <f t="array" ref="AF298">IFERROR(_xlfn.XLOOKUP($F298,'Acerto virtual'!$E:$E,'Acerto virtual'!R:R),"")</f>
        <v/>
      </c>
      <c r="AG298" s="51" t="str">
        <f t="array" ref="AG298">IFERROR(_xlfn.XLOOKUP($F298,'Acerto virtual'!$E:$E,'Acerto virtual'!S:S),"")</f>
        <v/>
      </c>
      <c r="AH298" s="51" t="str">
        <f t="array" ref="AH298">IFERROR(_xlfn.XLOOKUP($F298,'Acerto virtual'!$E:$E,'Acerto virtual'!T:T),"")</f>
        <v/>
      </c>
      <c r="AI298" s="51" t="str">
        <f t="array" ref="AI298">IFERROR(_xlfn.XLOOKUP($F298,'Acerto virtual'!$E:$E,'Acerto virtual'!U:U),"")</f>
        <v/>
      </c>
    </row>
    <row r="299" hidden="1">
      <c r="A299" s="47" t="s">
        <v>918</v>
      </c>
      <c r="B299" s="47" t="s">
        <v>919</v>
      </c>
      <c r="C299" s="48" t="str">
        <f t="array" ref="C299">IFERROR(_xlfn.XLOOKUP($B299,'Histórico'!$B:$B,'Histórico'!$I:$I),"")</f>
        <v>C352TS</v>
      </c>
      <c r="D299" s="19">
        <f t="array" ref="D299">IFERROR(_xlfn.XLOOKUP($B299,'Histórico'!$B:$B,'Histórico'!$J:$J),"")</f>
        <v>54905</v>
      </c>
      <c r="E299" s="19" t="str">
        <f t="array" ref="E299">IFERROR(_xlfn.XLOOKUP($B299,'Histórico'!$B:$B,'Histórico'!$K:$K),"")</f>
        <v>EXTINGUISHER,FIRE</v>
      </c>
      <c r="F299" s="19" t="str">
        <f t="array" ref="F299">IFERROR(_xlfn.XLOOKUP($B299,'Histórico'!$B:$B,'Histórico'!$L:$L),"")</f>
        <v>B10811724</v>
      </c>
      <c r="G299" s="49">
        <f t="array" ref="G299">IFERROR(_xlfn.XLOOKUP($B299,'Histórico'!$B:$B,'Histórico'!$F:$F),"")</f>
        <v>46125</v>
      </c>
      <c r="H299" s="19" t="str">
        <f t="array" ref="H299">IFERROR(_xlfn.XLOOKUP($B299,'Histórico'!$B:$B,'Histórico'!$AA:$AA),"")</f>
        <v>PAMALS</v>
      </c>
      <c r="I299" s="19" t="str">
        <f t="array" ref="I299">IFERROR(_xlfn.XLOOKUP($B299,Atual!$B:$B,Atual!$E:$E),"OS concluída")</f>
        <v>OS concluída</v>
      </c>
      <c r="J299" s="19" t="str">
        <f t="shared" si="1"/>
        <v/>
      </c>
      <c r="K299" s="19"/>
      <c r="L299" s="19" t="str">
        <f t="shared" si="2"/>
        <v/>
      </c>
      <c r="M299" s="19"/>
      <c r="N299" s="49" t="str">
        <f t="array" ref="N299">IFERROR(_xlfn.XLOOKUP($B299,EMPRESA_1!A:A,EMPRESA_1!J:J),"")</f>
        <v/>
      </c>
      <c r="O299" s="50" t="str">
        <f t="array" ref="O299">IFERROR(_xlfn.XLOOKUP(B299,EMPRESA_1!A:A,EMPRESA_1!K:K),"")
</f>
        <v>AV AERONÁUTICA</v>
      </c>
      <c r="P299" s="19" t="str">
        <f t="array" ref="P299">IFERROR(_xlfn.XLOOKUP(B299,EMPRESA_1!A:A,EMPRESA_1!L:L),"")</f>
        <v/>
      </c>
      <c r="Q299" s="49" t="str">
        <f t="array" ref="Q299">IFERROR(_xlfn.XLOOKUP(B299,EMPRESA_1!A:A,EMPRESA_1!J:J),"")</f>
        <v/>
      </c>
      <c r="R299" s="19" t="str">
        <f t="array" ref="R299">IFERROR(_xlfn.XLOOKUP(B299,EMPRESA_1!A:A,EMPRESA_1!M:M),"")</f>
        <v/>
      </c>
      <c r="S299" s="51"/>
      <c r="T299" s="51" t="str">
        <f t="array" ref="T299">IFERROR(_xlfn.XLOOKUP($F299,'Acerto virtual'!$E:$E,'Acerto virtual'!F:F),"")</f>
        <v/>
      </c>
      <c r="U299" s="51" t="str">
        <f t="array" ref="U299">IFERROR(_xlfn.XLOOKUP($F299,'Acerto virtual'!$E:$E,'Acerto virtual'!G:G),"")</f>
        <v/>
      </c>
      <c r="V299" s="51" t="str">
        <f t="array" ref="V299">IFERROR(_xlfn.XLOOKUP($F299,'Acerto virtual'!$E:$E,'Acerto virtual'!H:H),"")</f>
        <v/>
      </c>
      <c r="W299" s="51" t="str">
        <f t="array" ref="W299">IFERROR(_xlfn.XLOOKUP($F299,'Acerto virtual'!$E:$E,'Acerto virtual'!I:I),"")</f>
        <v/>
      </c>
      <c r="X299" s="51" t="str">
        <f t="array" ref="X299">IFERROR(_xlfn.XLOOKUP($F299,'Acerto virtual'!$E:$E,'Acerto virtual'!J:J),"")</f>
        <v/>
      </c>
      <c r="Y299" s="51" t="str">
        <f t="array" ref="Y299">IFERROR(_xlfn.XLOOKUP($F299,'Acerto virtual'!$E:$E,'Acerto virtual'!K:K),"")</f>
        <v/>
      </c>
      <c r="Z299" s="51" t="str">
        <f t="array" ref="Z299">IFERROR(_xlfn.XLOOKUP($F299,'Acerto virtual'!$E:$E,'Acerto virtual'!L:L),"")</f>
        <v/>
      </c>
      <c r="AA299" s="51" t="str">
        <f t="array" ref="AA299">IFERROR(_xlfn.XLOOKUP($F299,'Acerto virtual'!$E:$E,'Acerto virtual'!M:M),"")</f>
        <v/>
      </c>
      <c r="AB299" s="51" t="str">
        <f t="array" ref="AB299">IFERROR(_xlfn.XLOOKUP($F299,'Acerto virtual'!$E:$E,'Acerto virtual'!N:N),"")</f>
        <v/>
      </c>
      <c r="AC299" s="51" t="str">
        <f t="array" ref="AC299">IFERROR(_xlfn.XLOOKUP($F299,'Acerto virtual'!$E:$E,'Acerto virtual'!O:O),"")</f>
        <v/>
      </c>
      <c r="AD299" s="51" t="str">
        <f t="array" ref="AD299">IFERROR(_xlfn.XLOOKUP($F299,'Acerto virtual'!$E:$E,'Acerto virtual'!P:P),"")</f>
        <v/>
      </c>
      <c r="AE299" s="51" t="str">
        <f t="array" ref="AE299">IFERROR(_xlfn.XLOOKUP($F299,'Acerto virtual'!$E:$E,'Acerto virtual'!Q:Q),"")</f>
        <v/>
      </c>
      <c r="AF299" s="51" t="str">
        <f t="array" ref="AF299">IFERROR(_xlfn.XLOOKUP($F299,'Acerto virtual'!$E:$E,'Acerto virtual'!R:R),"")</f>
        <v/>
      </c>
      <c r="AG299" s="51" t="str">
        <f t="array" ref="AG299">IFERROR(_xlfn.XLOOKUP($F299,'Acerto virtual'!$E:$E,'Acerto virtual'!S:S),"")</f>
        <v/>
      </c>
      <c r="AH299" s="51" t="str">
        <f t="array" ref="AH299">IFERROR(_xlfn.XLOOKUP($F299,'Acerto virtual'!$E:$E,'Acerto virtual'!T:T),"")</f>
        <v/>
      </c>
      <c r="AI299" s="51" t="str">
        <f t="array" ref="AI299">IFERROR(_xlfn.XLOOKUP($F299,'Acerto virtual'!$E:$E,'Acerto virtual'!U:U),"")</f>
        <v/>
      </c>
    </row>
    <row r="300" hidden="1">
      <c r="A300" s="47" t="s">
        <v>920</v>
      </c>
      <c r="B300" s="47" t="s">
        <v>921</v>
      </c>
      <c r="C300" s="48" t="str">
        <f t="array" ref="C300">IFERROR(_xlfn.XLOOKUP($B300,'Histórico'!$B:$B,'Histórico'!$I:$I),"")</f>
        <v>011-00883-20</v>
      </c>
      <c r="D300" s="19" t="str">
        <f t="array" ref="D300">IFERROR(_xlfn.XLOOKUP($B300,'Histórico'!$B:$B,'Histórico'!$J:$J),"")</f>
        <v>0TRC3</v>
      </c>
      <c r="E300" s="19" t="str">
        <f t="array" ref="E300">IFERROR(_xlfn.XLOOKUP($B300,'Histórico'!$B:$B,'Histórico'!$K:$K),"")</f>
        <v>RADAR GWX 68 WEATHER</v>
      </c>
      <c r="F300" s="19" t="str">
        <f t="array" ref="F300">IFERROR(_xlfn.XLOOKUP($B300,'Histórico'!$B:$B,'Histórico'!$L:$L),"")</f>
        <v>47203152</v>
      </c>
      <c r="G300" s="49">
        <f t="array" ref="G300">IFERROR(_xlfn.XLOOKUP($B300,'Histórico'!$B:$B,'Histórico'!$F:$F),"")</f>
        <v>46125</v>
      </c>
      <c r="H300" s="19" t="str">
        <f t="array" ref="H300">IFERROR(_xlfn.XLOOKUP($B300,'Histórico'!$B:$B,'Histórico'!$AA:$AA),"")</f>
        <v>BAMN</v>
      </c>
      <c r="I300" s="19" t="str">
        <f t="array" ref="I300">IFERROR(_xlfn.XLOOKUP($B300,Atual!$B:$B,Atual!$E:$E),"OS concluída")</f>
        <v>OS concluída</v>
      </c>
      <c r="J300" s="19" t="str">
        <f t="shared" si="1"/>
        <v/>
      </c>
      <c r="K300" s="19"/>
      <c r="L300" s="19" t="str">
        <f t="shared" si="2"/>
        <v/>
      </c>
      <c r="M300" s="19"/>
      <c r="N300" s="49" t="str">
        <f t="array" ref="N300">IFERROR(_xlfn.XLOOKUP($B300,Empresa!G:G,Empresa!K:K),"")</f>
        <v/>
      </c>
      <c r="O300" s="50" t="str">
        <f t="array" ref="O300">IFERROR(_xlfn.XLOOKUP(B300,EMPRESA_1!A:A,EMPRESA_1!K:K),"")
</f>
        <v>V1 PAMA-LS</v>
      </c>
      <c r="P300" s="48" t="str">
        <f t="array" ref="P300">IFERROR(_xlfn.XLOOKUP(B300,EMPRESA_1!A:A,EMPRESA_1!L:L),"")</f>
        <v/>
      </c>
      <c r="Q300" s="49">
        <f t="array" ref="Q300">IFERROR(_xlfn.XLOOKUP(B300,EMPRESA_1!A:A,EMPRESA_1!J:J),"")</f>
        <v>46183</v>
      </c>
      <c r="R300" s="19">
        <f t="array" ref="R300">IFERROR(_xlfn.XLOOKUP(B300,EMPRESA_1!A:A,EMPRESA_1!M:M),"")</f>
        <v>47203246</v>
      </c>
      <c r="S300" s="51"/>
      <c r="T300" s="51" t="str">
        <f t="array" ref="T300">IFERROR(_xlfn.XLOOKUP($F300,'Acerto virtual'!$E:$E,'Acerto virtual'!F:F),"")</f>
        <v/>
      </c>
      <c r="U300" s="51" t="str">
        <f t="array" ref="U300">IFERROR(_xlfn.XLOOKUP($F300,'Acerto virtual'!$E:$E,'Acerto virtual'!G:G),"")</f>
        <v/>
      </c>
      <c r="V300" s="51" t="str">
        <f t="array" ref="V300">IFERROR(_xlfn.XLOOKUP($F300,'Acerto virtual'!$E:$E,'Acerto virtual'!H:H),"")</f>
        <v/>
      </c>
      <c r="W300" s="51" t="str">
        <f t="array" ref="W300">IFERROR(_xlfn.XLOOKUP($F300,'Acerto virtual'!$E:$E,'Acerto virtual'!I:I),"")</f>
        <v/>
      </c>
      <c r="X300" s="51" t="str">
        <f t="array" ref="X300">IFERROR(_xlfn.XLOOKUP($F300,'Acerto virtual'!$E:$E,'Acerto virtual'!J:J),"")</f>
        <v/>
      </c>
      <c r="Y300" s="51" t="str">
        <f t="array" ref="Y300">IFERROR(_xlfn.XLOOKUP($F300,'Acerto virtual'!$E:$E,'Acerto virtual'!K:K),"")</f>
        <v/>
      </c>
      <c r="Z300" s="51" t="str">
        <f t="array" ref="Z300">IFERROR(_xlfn.XLOOKUP($F300,'Acerto virtual'!$E:$E,'Acerto virtual'!L:L),"")</f>
        <v/>
      </c>
      <c r="AA300" s="51" t="str">
        <f t="array" ref="AA300">IFERROR(_xlfn.XLOOKUP($F300,'Acerto virtual'!$E:$E,'Acerto virtual'!M:M),"")</f>
        <v/>
      </c>
      <c r="AB300" s="51" t="str">
        <f t="array" ref="AB300">IFERROR(_xlfn.XLOOKUP($F300,'Acerto virtual'!$E:$E,'Acerto virtual'!N:N),"")</f>
        <v/>
      </c>
      <c r="AC300" s="51" t="str">
        <f t="array" ref="AC300">IFERROR(_xlfn.XLOOKUP($F300,'Acerto virtual'!$E:$E,'Acerto virtual'!O:O),"")</f>
        <v/>
      </c>
      <c r="AD300" s="51" t="str">
        <f t="array" ref="AD300">IFERROR(_xlfn.XLOOKUP($F300,'Acerto virtual'!$E:$E,'Acerto virtual'!P:P),"")</f>
        <v/>
      </c>
      <c r="AE300" s="51" t="str">
        <f t="array" ref="AE300">IFERROR(_xlfn.XLOOKUP($F300,'Acerto virtual'!$E:$E,'Acerto virtual'!Q:Q),"")</f>
        <v/>
      </c>
      <c r="AF300" s="51" t="str">
        <f t="array" ref="AF300">IFERROR(_xlfn.XLOOKUP($F300,'Acerto virtual'!$E:$E,'Acerto virtual'!R:R),"")</f>
        <v/>
      </c>
      <c r="AG300" s="51" t="str">
        <f t="array" ref="AG300">IFERROR(_xlfn.XLOOKUP($F300,'Acerto virtual'!$E:$E,'Acerto virtual'!S:S),"")</f>
        <v/>
      </c>
      <c r="AH300" s="51" t="str">
        <f t="array" ref="AH300">IFERROR(_xlfn.XLOOKUP($F300,'Acerto virtual'!$E:$E,'Acerto virtual'!T:T),"")</f>
        <v/>
      </c>
      <c r="AI300" s="51" t="str">
        <f t="array" ref="AI300">IFERROR(_xlfn.XLOOKUP($F300,'Acerto virtual'!$E:$E,'Acerto virtual'!U:U),"")</f>
        <v/>
      </c>
    </row>
    <row r="301">
      <c r="A301" s="47" t="s">
        <v>922</v>
      </c>
      <c r="B301" s="47" t="s">
        <v>923</v>
      </c>
      <c r="C301" s="48" t="str">
        <f t="array" ref="C301">IFERROR(_xlfn.XLOOKUP($B301,'Histórico'!$B:$B,'Histórico'!$I:$I),"")</f>
        <v>011-00883-20</v>
      </c>
      <c r="D301" s="19" t="str">
        <f t="array" ref="D301">IFERROR(_xlfn.XLOOKUP($B301,'Histórico'!$B:$B,'Histórico'!$J:$J),"")</f>
        <v>0TRC3</v>
      </c>
      <c r="E301" s="19" t="str">
        <f t="array" ref="E301">IFERROR(_xlfn.XLOOKUP($B301,'Histórico'!$B:$B,'Histórico'!$K:$K),"")</f>
        <v>RADAR GWX 68 WEATHER</v>
      </c>
      <c r="F301" s="19" t="str">
        <f t="array" ref="F301">IFERROR(_xlfn.XLOOKUP($B301,'Histórico'!$B:$B,'Histórico'!$L:$L),"")</f>
        <v>47202512</v>
      </c>
      <c r="G301" s="49">
        <f t="array" ref="G301">IFERROR(_xlfn.XLOOKUP($B301,'Histórico'!$B:$B,'Histórico'!$F:$F),"")</f>
        <v>46125</v>
      </c>
      <c r="H301" s="19" t="str">
        <f t="array" ref="H301">IFERROR(_xlfn.XLOOKUP($B301,'Histórico'!$B:$B,'Histórico'!$AA:$AA),"")</f>
        <v>BAMN</v>
      </c>
      <c r="I301" s="19" t="str">
        <f t="array" ref="I301">IFERROR(_xlfn.XLOOKUP($B301,Atual!$B:$B,Atual!$E:$E),"OS concluída")</f>
        <v>REC</v>
      </c>
      <c r="J301" s="19">
        <f t="shared" si="1"/>
        <v>185</v>
      </c>
      <c r="K301" s="19"/>
      <c r="L301" s="19">
        <f t="shared" si="2"/>
        <v>58</v>
      </c>
      <c r="M301" s="19"/>
      <c r="N301" s="49">
        <f t="array" ref="N301">IFERROR(_xlfn.XLOOKUP($B301,EMPRESA_1!A:A,EMPRESA_1!J:J),"")</f>
        <v>46183</v>
      </c>
      <c r="O301" s="50" t="str">
        <f t="array" ref="O301">IFERROR(_xlfn.XLOOKUP(B301,EMPRESA_1!A:A,EMPRESA_1!K:K),"")
</f>
        <v>V1 PAMA-LS</v>
      </c>
      <c r="P301" s="48" t="str">
        <f t="array" ref="P301">IFERROR(_xlfn.XLOOKUP(B301,EMPRESA_1!A:A,EMPRESA_1!L:L),"")</f>
        <v/>
      </c>
      <c r="Q301" s="49">
        <f t="array" ref="Q301">IFERROR(_xlfn.XLOOKUP(B301,EMPRESA_1!A:A,EMPRESA_1!J:J),"")</f>
        <v>46183</v>
      </c>
      <c r="R301" s="19" t="str">
        <f t="array" ref="R301">IFERROR(_xlfn.XLOOKUP(B301,EMPRESA_1!A:A,EMPRESA_1!M:M),"")</f>
        <v/>
      </c>
      <c r="S301" s="51"/>
      <c r="T301" s="51" t="str">
        <f t="array" ref="T301">IFERROR(_xlfn.XLOOKUP($F301,'Acerto virtual'!$E:$E,'Acerto virtual'!F:F),"")</f>
        <v/>
      </c>
      <c r="U301" s="51" t="str">
        <f t="array" ref="U301">IFERROR(_xlfn.XLOOKUP($F301,'Acerto virtual'!$E:$E,'Acerto virtual'!G:G),"")</f>
        <v/>
      </c>
      <c r="V301" s="51" t="str">
        <f t="array" ref="V301">IFERROR(_xlfn.XLOOKUP($F301,'Acerto virtual'!$E:$E,'Acerto virtual'!H:H),"")</f>
        <v/>
      </c>
      <c r="W301" s="51" t="str">
        <f t="array" ref="W301">IFERROR(_xlfn.XLOOKUP($F301,'Acerto virtual'!$E:$E,'Acerto virtual'!I:I),"")</f>
        <v/>
      </c>
      <c r="X301" s="51" t="str">
        <f t="array" ref="X301">IFERROR(_xlfn.XLOOKUP($F301,'Acerto virtual'!$E:$E,'Acerto virtual'!J:J),"")</f>
        <v/>
      </c>
      <c r="Y301" s="51" t="str">
        <f t="array" ref="Y301">IFERROR(_xlfn.XLOOKUP($F301,'Acerto virtual'!$E:$E,'Acerto virtual'!K:K),"")</f>
        <v/>
      </c>
      <c r="Z301" s="51" t="str">
        <f t="array" ref="Z301">IFERROR(_xlfn.XLOOKUP($F301,'Acerto virtual'!$E:$E,'Acerto virtual'!L:L),"")</f>
        <v/>
      </c>
      <c r="AA301" s="51" t="str">
        <f t="array" ref="AA301">IFERROR(_xlfn.XLOOKUP($F301,'Acerto virtual'!$E:$E,'Acerto virtual'!M:M),"")</f>
        <v/>
      </c>
      <c r="AB301" s="51" t="str">
        <f t="array" ref="AB301">IFERROR(_xlfn.XLOOKUP($F301,'Acerto virtual'!$E:$E,'Acerto virtual'!N:N),"")</f>
        <v/>
      </c>
      <c r="AC301" s="51" t="str">
        <f t="array" ref="AC301">IFERROR(_xlfn.XLOOKUP($F301,'Acerto virtual'!$E:$E,'Acerto virtual'!O:O),"")</f>
        <v/>
      </c>
      <c r="AD301" s="51" t="str">
        <f t="array" ref="AD301">IFERROR(_xlfn.XLOOKUP($F301,'Acerto virtual'!$E:$E,'Acerto virtual'!P:P),"")</f>
        <v/>
      </c>
      <c r="AE301" s="51" t="str">
        <f t="array" ref="AE301">IFERROR(_xlfn.XLOOKUP($F301,'Acerto virtual'!$E:$E,'Acerto virtual'!Q:Q),"")</f>
        <v/>
      </c>
      <c r="AF301" s="51" t="str">
        <f t="array" ref="AF301">IFERROR(_xlfn.XLOOKUP($F301,'Acerto virtual'!$E:$E,'Acerto virtual'!R:R),"")</f>
        <v/>
      </c>
      <c r="AG301" s="51" t="str">
        <f t="array" ref="AG301">IFERROR(_xlfn.XLOOKUP($F301,'Acerto virtual'!$E:$E,'Acerto virtual'!S:S),"")</f>
        <v/>
      </c>
      <c r="AH301" s="51" t="str">
        <f t="array" ref="AH301">IFERROR(_xlfn.XLOOKUP($F301,'Acerto virtual'!$E:$E,'Acerto virtual'!T:T),"")</f>
        <v/>
      </c>
      <c r="AI301" s="51" t="str">
        <f t="array" ref="AI301">IFERROR(_xlfn.XLOOKUP($F301,'Acerto virtual'!$E:$E,'Acerto virtual'!U:U),"")</f>
        <v/>
      </c>
    </row>
    <row r="302" hidden="1">
      <c r="A302" s="47" t="s">
        <v>924</v>
      </c>
      <c r="B302" s="47" t="s">
        <v>925</v>
      </c>
      <c r="C302" s="48" t="str">
        <f t="array" ref="C302">IFERROR(_xlfn.XLOOKUP($B302,'Histórico'!$B:$B,'Histórico'!$I:$I),"")</f>
        <v>011-01020-10</v>
      </c>
      <c r="D302" s="19" t="str">
        <f t="array" ref="D302">IFERROR(_xlfn.XLOOKUP($B302,'Histórico'!$B:$B,'Histórico'!$J:$J),"")</f>
        <v>0TRC3</v>
      </c>
      <c r="E302" s="19" t="str">
        <f t="array" ref="E302">IFERROR(_xlfn.XLOOKUP($B302,'Histórico'!$B:$B,'Histórico'!$K:$K),"")</f>
        <v>AFCS MODE CONTROLLER GMC 710</v>
      </c>
      <c r="F302" s="19" t="str">
        <f t="array" ref="F302">IFERROR(_xlfn.XLOOKUP($B302,'Histórico'!$B:$B,'Histórico'!$L:$L),"")</f>
        <v>22005580</v>
      </c>
      <c r="G302" s="49">
        <f t="array" ref="G302">IFERROR(_xlfn.XLOOKUP($B302,'Histórico'!$B:$B,'Histórico'!$F:$F),"")</f>
        <v>46125</v>
      </c>
      <c r="H302" s="19" t="str">
        <f t="array" ref="H302">IFERROR(_xlfn.XLOOKUP($B302,'Histórico'!$B:$B,'Histórico'!$AA:$AA),"")</f>
        <v>BAMN</v>
      </c>
      <c r="I302" s="19" t="str">
        <f t="array" ref="I302">IFERROR(_xlfn.XLOOKUP($B302,Atual!$B:$B,Atual!$E:$E),"OS concluída")</f>
        <v>OS concluída</v>
      </c>
      <c r="J302" s="19" t="str">
        <f t="shared" si="1"/>
        <v/>
      </c>
      <c r="K302" s="19"/>
      <c r="L302" s="19">
        <f t="shared" si="2"/>
        <v>100</v>
      </c>
      <c r="M302" s="19"/>
      <c r="N302" s="49">
        <f t="array" ref="N302">IFERROR(_xlfn.XLOOKUP($B302,EMPRESA_1!A:A,EMPRESA_1!J:J),"")</f>
        <v>46225</v>
      </c>
      <c r="O302" s="50" t="str">
        <f t="array" ref="O302">IFERROR(_xlfn.XLOOKUP(B302,EMPRESA_1!A:A,EMPRESA_1!K:K),"")
</f>
        <v>PAMA-LS</v>
      </c>
      <c r="P302" s="48" t="str">
        <f t="array" ref="P302">IFERROR(_xlfn.XLOOKUP(B302,EMPRESA_1!A:A,EMPRESA_1!L:L),"")</f>
        <v>682/FAB/26</v>
      </c>
      <c r="Q302" s="49">
        <f t="array" ref="Q302">IFERROR(_xlfn.XLOOKUP(B302,EMPRESA_1!A:A,EMPRESA_1!J:J),"")</f>
        <v>46225</v>
      </c>
      <c r="R302" s="19" t="str">
        <f t="array" ref="R302">IFERROR(_xlfn.XLOOKUP(B302,EMPRESA_1!A:A,EMPRESA_1!M:M),"")</f>
        <v/>
      </c>
      <c r="S302" s="51"/>
      <c r="T302" s="51" t="str">
        <f t="array" ref="T302">IFERROR(_xlfn.XLOOKUP($F302,'Acerto virtual'!$E:$E,'Acerto virtual'!F:F),"")</f>
        <v/>
      </c>
      <c r="U302" s="51" t="str">
        <f t="array" ref="U302">IFERROR(_xlfn.XLOOKUP($F302,'Acerto virtual'!$E:$E,'Acerto virtual'!G:G),"")</f>
        <v/>
      </c>
      <c r="V302" s="51" t="str">
        <f t="array" ref="V302">IFERROR(_xlfn.XLOOKUP($F302,'Acerto virtual'!$E:$E,'Acerto virtual'!H:H),"")</f>
        <v/>
      </c>
      <c r="W302" s="51" t="str">
        <f t="array" ref="W302">IFERROR(_xlfn.XLOOKUP($F302,'Acerto virtual'!$E:$E,'Acerto virtual'!I:I),"")</f>
        <v/>
      </c>
      <c r="X302" s="51" t="str">
        <f t="array" ref="X302">IFERROR(_xlfn.XLOOKUP($F302,'Acerto virtual'!$E:$E,'Acerto virtual'!J:J),"")</f>
        <v/>
      </c>
      <c r="Y302" s="51" t="str">
        <f t="array" ref="Y302">IFERROR(_xlfn.XLOOKUP($F302,'Acerto virtual'!$E:$E,'Acerto virtual'!K:K),"")</f>
        <v/>
      </c>
      <c r="Z302" s="51" t="str">
        <f t="array" ref="Z302">IFERROR(_xlfn.XLOOKUP($F302,'Acerto virtual'!$E:$E,'Acerto virtual'!L:L),"")</f>
        <v/>
      </c>
      <c r="AA302" s="51" t="str">
        <f t="array" ref="AA302">IFERROR(_xlfn.XLOOKUP($F302,'Acerto virtual'!$E:$E,'Acerto virtual'!M:M),"")</f>
        <v/>
      </c>
      <c r="AB302" s="51" t="str">
        <f t="array" ref="AB302">IFERROR(_xlfn.XLOOKUP($F302,'Acerto virtual'!$E:$E,'Acerto virtual'!N:N),"")</f>
        <v/>
      </c>
      <c r="AC302" s="51" t="str">
        <f t="array" ref="AC302">IFERROR(_xlfn.XLOOKUP($F302,'Acerto virtual'!$E:$E,'Acerto virtual'!O:O),"")</f>
        <v/>
      </c>
      <c r="AD302" s="51" t="str">
        <f t="array" ref="AD302">IFERROR(_xlfn.XLOOKUP($F302,'Acerto virtual'!$E:$E,'Acerto virtual'!P:P),"")</f>
        <v/>
      </c>
      <c r="AE302" s="51" t="str">
        <f t="array" ref="AE302">IFERROR(_xlfn.XLOOKUP($F302,'Acerto virtual'!$E:$E,'Acerto virtual'!Q:Q),"")</f>
        <v/>
      </c>
      <c r="AF302" s="51" t="str">
        <f t="array" ref="AF302">IFERROR(_xlfn.XLOOKUP($F302,'Acerto virtual'!$E:$E,'Acerto virtual'!R:R),"")</f>
        <v/>
      </c>
      <c r="AG302" s="51" t="str">
        <f t="array" ref="AG302">IFERROR(_xlfn.XLOOKUP($F302,'Acerto virtual'!$E:$E,'Acerto virtual'!S:S),"")</f>
        <v/>
      </c>
      <c r="AH302" s="51" t="str">
        <f t="array" ref="AH302">IFERROR(_xlfn.XLOOKUP($F302,'Acerto virtual'!$E:$E,'Acerto virtual'!T:T),"")</f>
        <v/>
      </c>
      <c r="AI302" s="51" t="str">
        <f t="array" ref="AI302">IFERROR(_xlfn.XLOOKUP($F302,'Acerto virtual'!$E:$E,'Acerto virtual'!U:U),"")</f>
        <v/>
      </c>
    </row>
    <row r="303" hidden="1">
      <c r="A303" s="47" t="s">
        <v>926</v>
      </c>
      <c r="B303" s="47" t="s">
        <v>927</v>
      </c>
      <c r="C303" s="48" t="str">
        <f t="array" ref="C303">IFERROR(_xlfn.XLOOKUP($B303,'Histórico'!$B:$B,'Histórico'!$I:$I),"")</f>
        <v>011-01020-10</v>
      </c>
      <c r="D303" s="19" t="str">
        <f t="array" ref="D303">IFERROR(_xlfn.XLOOKUP($B303,'Histórico'!$B:$B,'Histórico'!$J:$J),"")</f>
        <v>0TRC3</v>
      </c>
      <c r="E303" s="19" t="str">
        <f t="array" ref="E303">IFERROR(_xlfn.XLOOKUP($B303,'Histórico'!$B:$B,'Histórico'!$K:$K),"")</f>
        <v>AFCS MODE CONTROLLER GMC 710</v>
      </c>
      <c r="F303" s="19" t="str">
        <f t="array" ref="F303">IFERROR(_xlfn.XLOOKUP($B303,'Histórico'!$B:$B,'Histórico'!$L:$L),"")</f>
        <v>22005955</v>
      </c>
      <c r="G303" s="49">
        <f t="array" ref="G303">IFERROR(_xlfn.XLOOKUP($B303,'Histórico'!$B:$B,'Histórico'!$F:$F),"")</f>
        <v>46125</v>
      </c>
      <c r="H303" s="19" t="str">
        <f t="array" ref="H303">IFERROR(_xlfn.XLOOKUP($B303,'Histórico'!$B:$B,'Histórico'!$AA:$AA),"")</f>
        <v>BAMN</v>
      </c>
      <c r="I303" s="19" t="str">
        <f t="array" ref="I303">IFERROR(_xlfn.XLOOKUP($B303,Atual!$B:$B,Atual!$E:$E),"OS concluída")</f>
        <v>OS concluída</v>
      </c>
      <c r="J303" s="19" t="str">
        <f t="shared" si="1"/>
        <v/>
      </c>
      <c r="K303" s="19"/>
      <c r="L303" s="19">
        <f t="shared" si="2"/>
        <v>86</v>
      </c>
      <c r="M303" s="19"/>
      <c r="N303" s="49">
        <f t="array" ref="N303">IFERROR(_xlfn.XLOOKUP($B303,EMPRESA_1!A:A,EMPRESA_1!J:J),"")</f>
        <v>46211</v>
      </c>
      <c r="O303" s="50" t="str">
        <f t="array" ref="O303">IFERROR(_xlfn.XLOOKUP(B303,EMPRESA_1!A:A,EMPRESA_1!K:K),"")
</f>
        <v>PAMA-LS</v>
      </c>
      <c r="P303" s="48" t="str">
        <f t="array" ref="P303">IFERROR(_xlfn.XLOOKUP(B303,EMPRESA_1!A:A,EMPRESA_1!L:L),"")</f>
        <v>682/FAB/26</v>
      </c>
      <c r="Q303" s="49">
        <f t="array" ref="Q303">IFERROR(_xlfn.XLOOKUP(B303,EMPRESA_1!A:A,EMPRESA_1!J:J),"")</f>
        <v>46211</v>
      </c>
      <c r="R303" s="19" t="str">
        <f t="array" ref="R303">IFERROR(_xlfn.XLOOKUP(B303,EMPRESA_1!A:A,EMPRESA_1!M:M),"")</f>
        <v/>
      </c>
      <c r="S303" s="51"/>
      <c r="T303" s="51" t="str">
        <f t="array" ref="T303">IFERROR(_xlfn.XLOOKUP($F303,'Acerto virtual'!$E:$E,'Acerto virtual'!F:F),"")</f>
        <v/>
      </c>
      <c r="U303" s="51" t="str">
        <f t="array" ref="U303">IFERROR(_xlfn.XLOOKUP($F303,'Acerto virtual'!$E:$E,'Acerto virtual'!G:G),"")</f>
        <v/>
      </c>
      <c r="V303" s="51" t="str">
        <f t="array" ref="V303">IFERROR(_xlfn.XLOOKUP($F303,'Acerto virtual'!$E:$E,'Acerto virtual'!H:H),"")</f>
        <v/>
      </c>
      <c r="W303" s="51" t="str">
        <f t="array" ref="W303">IFERROR(_xlfn.XLOOKUP($F303,'Acerto virtual'!$E:$E,'Acerto virtual'!I:I),"")</f>
        <v/>
      </c>
      <c r="X303" s="51" t="str">
        <f t="array" ref="X303">IFERROR(_xlfn.XLOOKUP($F303,'Acerto virtual'!$E:$E,'Acerto virtual'!J:J),"")</f>
        <v/>
      </c>
      <c r="Y303" s="51" t="str">
        <f t="array" ref="Y303">IFERROR(_xlfn.XLOOKUP($F303,'Acerto virtual'!$E:$E,'Acerto virtual'!K:K),"")</f>
        <v/>
      </c>
      <c r="Z303" s="51" t="str">
        <f t="array" ref="Z303">IFERROR(_xlfn.XLOOKUP($F303,'Acerto virtual'!$E:$E,'Acerto virtual'!L:L),"")</f>
        <v/>
      </c>
      <c r="AA303" s="51" t="str">
        <f t="array" ref="AA303">IFERROR(_xlfn.XLOOKUP($F303,'Acerto virtual'!$E:$E,'Acerto virtual'!M:M),"")</f>
        <v/>
      </c>
      <c r="AB303" s="51" t="str">
        <f t="array" ref="AB303">IFERROR(_xlfn.XLOOKUP($F303,'Acerto virtual'!$E:$E,'Acerto virtual'!N:N),"")</f>
        <v/>
      </c>
      <c r="AC303" s="51" t="str">
        <f t="array" ref="AC303">IFERROR(_xlfn.XLOOKUP($F303,'Acerto virtual'!$E:$E,'Acerto virtual'!O:O),"")</f>
        <v/>
      </c>
      <c r="AD303" s="51" t="str">
        <f t="array" ref="AD303">IFERROR(_xlfn.XLOOKUP($F303,'Acerto virtual'!$E:$E,'Acerto virtual'!P:P),"")</f>
        <v/>
      </c>
      <c r="AE303" s="51" t="str">
        <f t="array" ref="AE303">IFERROR(_xlfn.XLOOKUP($F303,'Acerto virtual'!$E:$E,'Acerto virtual'!Q:Q),"")</f>
        <v/>
      </c>
      <c r="AF303" s="51" t="str">
        <f t="array" ref="AF303">IFERROR(_xlfn.XLOOKUP($F303,'Acerto virtual'!$E:$E,'Acerto virtual'!R:R),"")</f>
        <v/>
      </c>
      <c r="AG303" s="51" t="str">
        <f t="array" ref="AG303">IFERROR(_xlfn.XLOOKUP($F303,'Acerto virtual'!$E:$E,'Acerto virtual'!S:S),"")</f>
        <v/>
      </c>
      <c r="AH303" s="51" t="str">
        <f t="array" ref="AH303">IFERROR(_xlfn.XLOOKUP($F303,'Acerto virtual'!$E:$E,'Acerto virtual'!T:T),"")</f>
        <v/>
      </c>
      <c r="AI303" s="51" t="str">
        <f t="array" ref="AI303">IFERROR(_xlfn.XLOOKUP($F303,'Acerto virtual'!$E:$E,'Acerto virtual'!U:U),"")</f>
        <v/>
      </c>
    </row>
    <row r="304" hidden="1">
      <c r="A304" s="47" t="s">
        <v>928</v>
      </c>
      <c r="B304" s="47" t="s">
        <v>929</v>
      </c>
      <c r="C304" s="48" t="str">
        <f t="array" ref="C304">IFERROR(_xlfn.XLOOKUP($B304,'Histórico'!$B:$B,'Histórico'!$I:$I),"")</f>
        <v>011-01020-10</v>
      </c>
      <c r="D304" s="19" t="str">
        <f t="array" ref="D304">IFERROR(_xlfn.XLOOKUP($B304,'Histórico'!$B:$B,'Histórico'!$J:$J),"")</f>
        <v>0TRC3</v>
      </c>
      <c r="E304" s="19" t="str">
        <f t="array" ref="E304">IFERROR(_xlfn.XLOOKUP($B304,'Histórico'!$B:$B,'Histórico'!$K:$K),"")</f>
        <v>AFCS MODE CONTROLLER GMC 710</v>
      </c>
      <c r="F304" s="19" t="str">
        <f t="array" ref="F304">IFERROR(_xlfn.XLOOKUP($B304,'Histórico'!$B:$B,'Histórico'!$L:$L),"")</f>
        <v>22005661</v>
      </c>
      <c r="G304" s="49">
        <f t="array" ref="G304">IFERROR(_xlfn.XLOOKUP($B304,'Histórico'!$B:$B,'Histórico'!$F:$F),"")</f>
        <v>46125</v>
      </c>
      <c r="H304" s="19" t="str">
        <f t="array" ref="H304">IFERROR(_xlfn.XLOOKUP($B304,'Histórico'!$B:$B,'Histórico'!$AA:$AA),"")</f>
        <v>BAMN</v>
      </c>
      <c r="I304" s="19" t="str">
        <f t="array" ref="I304">IFERROR(_xlfn.XLOOKUP($B304,Atual!$B:$B,Atual!$E:$E),"OS concluída")</f>
        <v>OS concluída</v>
      </c>
      <c r="J304" s="19" t="str">
        <f t="shared" si="1"/>
        <v/>
      </c>
      <c r="K304" s="19"/>
      <c r="L304" s="19">
        <f t="shared" si="2"/>
        <v>102</v>
      </c>
      <c r="M304" s="19"/>
      <c r="N304" s="49">
        <f t="array" ref="N304">IFERROR(_xlfn.XLOOKUP($B304,EMPRESA_1!A:A,EMPRESA_1!J:J),"")</f>
        <v>46227</v>
      </c>
      <c r="O304" s="50" t="str">
        <f t="array" ref="O304">IFERROR(_xlfn.XLOOKUP(B304,EMPRESA_1!A:A,EMPRESA_1!K:K),"")
</f>
        <v>PAMA-LS</v>
      </c>
      <c r="P304" s="48" t="str">
        <f t="array" ref="P304">IFERROR(_xlfn.XLOOKUP(B304,EMPRESA_1!A:A,EMPRESA_1!L:L),"")</f>
        <v>682/FAB/26</v>
      </c>
      <c r="Q304" s="49">
        <f t="array" ref="Q304">IFERROR(_xlfn.XLOOKUP(B304,EMPRESA_1!A:A,EMPRESA_1!J:J),"")</f>
        <v>46227</v>
      </c>
      <c r="R304" s="19" t="str">
        <f t="array" ref="R304">IFERROR(_xlfn.XLOOKUP(B304,EMPRESA_1!A:A,EMPRESA_1!M:M),"")</f>
        <v/>
      </c>
      <c r="S304" s="51"/>
      <c r="T304" s="51" t="str">
        <f t="array" ref="T304">IFERROR(_xlfn.XLOOKUP($F304,'Acerto virtual'!$E:$E,'Acerto virtual'!F:F),"")</f>
        <v/>
      </c>
      <c r="U304" s="51" t="str">
        <f t="array" ref="U304">IFERROR(_xlfn.XLOOKUP($F304,'Acerto virtual'!$E:$E,'Acerto virtual'!G:G),"")</f>
        <v/>
      </c>
      <c r="V304" s="51" t="str">
        <f t="array" ref="V304">IFERROR(_xlfn.XLOOKUP($F304,'Acerto virtual'!$E:$E,'Acerto virtual'!H:H),"")</f>
        <v/>
      </c>
      <c r="W304" s="51" t="str">
        <f t="array" ref="W304">IFERROR(_xlfn.XLOOKUP($F304,'Acerto virtual'!$E:$E,'Acerto virtual'!I:I),"")</f>
        <v/>
      </c>
      <c r="X304" s="51" t="str">
        <f t="array" ref="X304">IFERROR(_xlfn.XLOOKUP($F304,'Acerto virtual'!$E:$E,'Acerto virtual'!J:J),"")</f>
        <v/>
      </c>
      <c r="Y304" s="51" t="str">
        <f t="array" ref="Y304">IFERROR(_xlfn.XLOOKUP($F304,'Acerto virtual'!$E:$E,'Acerto virtual'!K:K),"")</f>
        <v/>
      </c>
      <c r="Z304" s="51" t="str">
        <f t="array" ref="Z304">IFERROR(_xlfn.XLOOKUP($F304,'Acerto virtual'!$E:$E,'Acerto virtual'!L:L),"")</f>
        <v/>
      </c>
      <c r="AA304" s="51" t="str">
        <f t="array" ref="AA304">IFERROR(_xlfn.XLOOKUP($F304,'Acerto virtual'!$E:$E,'Acerto virtual'!M:M),"")</f>
        <v/>
      </c>
      <c r="AB304" s="51" t="str">
        <f t="array" ref="AB304">IFERROR(_xlfn.XLOOKUP($F304,'Acerto virtual'!$E:$E,'Acerto virtual'!N:N),"")</f>
        <v/>
      </c>
      <c r="AC304" s="51" t="str">
        <f t="array" ref="AC304">IFERROR(_xlfn.XLOOKUP($F304,'Acerto virtual'!$E:$E,'Acerto virtual'!O:O),"")</f>
        <v/>
      </c>
      <c r="AD304" s="51" t="str">
        <f t="array" ref="AD304">IFERROR(_xlfn.XLOOKUP($F304,'Acerto virtual'!$E:$E,'Acerto virtual'!P:P),"")</f>
        <v/>
      </c>
      <c r="AE304" s="51" t="str">
        <f t="array" ref="AE304">IFERROR(_xlfn.XLOOKUP($F304,'Acerto virtual'!$E:$E,'Acerto virtual'!Q:Q),"")</f>
        <v/>
      </c>
      <c r="AF304" s="51" t="str">
        <f t="array" ref="AF304">IFERROR(_xlfn.XLOOKUP($F304,'Acerto virtual'!$E:$E,'Acerto virtual'!R:R),"")</f>
        <v/>
      </c>
      <c r="AG304" s="51" t="str">
        <f t="array" ref="AG304">IFERROR(_xlfn.XLOOKUP($F304,'Acerto virtual'!$E:$E,'Acerto virtual'!S:S),"")</f>
        <v/>
      </c>
      <c r="AH304" s="51" t="str">
        <f t="array" ref="AH304">IFERROR(_xlfn.XLOOKUP($F304,'Acerto virtual'!$E:$E,'Acerto virtual'!T:T),"")</f>
        <v/>
      </c>
      <c r="AI304" s="51" t="str">
        <f t="array" ref="AI304">IFERROR(_xlfn.XLOOKUP($F304,'Acerto virtual'!$E:$E,'Acerto virtual'!U:U),"")</f>
        <v/>
      </c>
    </row>
    <row r="305">
      <c r="A305" s="47" t="s">
        <v>930</v>
      </c>
      <c r="B305" s="47" t="s">
        <v>931</v>
      </c>
      <c r="C305" s="48" t="str">
        <f t="array" ref="C305">IFERROR(_xlfn.XLOOKUP($B305,'Histórico'!$B:$B,'Histórico'!$I:$I),"")</f>
        <v>066-1070-01</v>
      </c>
      <c r="D305" s="19">
        <f t="array" ref="D305">IFERROR(_xlfn.XLOOKUP($B305,'Histórico'!$B:$B,'Histórico'!$J:$J),"")</f>
        <v>22373</v>
      </c>
      <c r="E305" s="19" t="str">
        <f t="array" ref="E305">IFERROR(_xlfn.XLOOKUP($B305,'Histórico'!$B:$B,'Histórico'!$K:$K),"")</f>
        <v>TRANSCEIVER DME (KN63)</v>
      </c>
      <c r="F305" s="19" t="str">
        <f t="array" ref="F305">IFERROR(_xlfn.XLOOKUP($B305,'Histórico'!$B:$B,'Histórico'!$L:$L),"")</f>
        <v>32207</v>
      </c>
      <c r="G305" s="49">
        <f t="array" ref="G305">IFERROR(_xlfn.XLOOKUP($B305,'Histórico'!$B:$B,'Histórico'!$F:$F),"")</f>
        <v>46125</v>
      </c>
      <c r="H305" s="19" t="str">
        <f t="array" ref="H305">IFERROR(_xlfn.XLOOKUP($B305,'Histórico'!$B:$B,'Histórico'!$AA:$AA),"")</f>
        <v>BABE</v>
      </c>
      <c r="I305" s="19" t="str">
        <f t="array" ref="I305">IFERROR(_xlfn.XLOOKUP($B305,Atual!$B:$B,Atual!$E:$E),"OS concluída")</f>
        <v>REC</v>
      </c>
      <c r="J305" s="19">
        <f t="shared" si="1"/>
        <v>185</v>
      </c>
      <c r="K305" s="19"/>
      <c r="L305" s="19" t="str">
        <f t="shared" si="2"/>
        <v>NÃO APLICÁVEL</v>
      </c>
      <c r="M305" s="19"/>
      <c r="N305" s="49" t="str">
        <f t="array" ref="N305">IFERROR(_xlfn.XLOOKUP($B305,EMPRESA_1!A:A,EMPRESA_1!J:J),"")</f>
        <v>EM REPARO</v>
      </c>
      <c r="O305" s="50" t="str">
        <f t="array" ref="O305">IFERROR(_xlfn.XLOOKUP(B305,EMPRESA_1!A:A,EMPRESA_1!K:K),"")
</f>
        <v>WILLIAM</v>
      </c>
      <c r="P305" s="48" t="str">
        <f t="array" ref="P305">IFERROR(_xlfn.XLOOKUP(B305,EMPRESA_1!A:A,EMPRESA_1!L:L),"")</f>
        <v/>
      </c>
      <c r="Q305" s="49" t="str">
        <f t="array" ref="Q305">IFERROR(_xlfn.XLOOKUP(B305,EMPRESA_1!A:A,EMPRESA_1!J:J),"")</f>
        <v>EM REPARO</v>
      </c>
      <c r="R305" s="19" t="str">
        <f t="array" ref="R305">IFERROR(_xlfn.XLOOKUP(B305,EMPRESA_1!A:A,EMPRESA_1!M:M),"")</f>
        <v/>
      </c>
      <c r="S305" s="51"/>
      <c r="T305" s="51" t="str">
        <f t="array" ref="T305">IFERROR(_xlfn.XLOOKUP($F305,'Acerto virtual'!$E:$E,'Acerto virtual'!F:F),"")</f>
        <v/>
      </c>
      <c r="U305" s="51" t="str">
        <f t="array" ref="U305">IFERROR(_xlfn.XLOOKUP($F305,'Acerto virtual'!$E:$E,'Acerto virtual'!G:G),"")</f>
        <v/>
      </c>
      <c r="V305" s="51" t="str">
        <f t="array" ref="V305">IFERROR(_xlfn.XLOOKUP($F305,'Acerto virtual'!$E:$E,'Acerto virtual'!H:H),"")</f>
        <v/>
      </c>
      <c r="W305" s="51" t="str">
        <f t="array" ref="W305">IFERROR(_xlfn.XLOOKUP($F305,'Acerto virtual'!$E:$E,'Acerto virtual'!I:I),"")</f>
        <v/>
      </c>
      <c r="X305" s="51" t="str">
        <f t="array" ref="X305">IFERROR(_xlfn.XLOOKUP($F305,'Acerto virtual'!$E:$E,'Acerto virtual'!J:J),"")</f>
        <v/>
      </c>
      <c r="Y305" s="51" t="str">
        <f t="array" ref="Y305">IFERROR(_xlfn.XLOOKUP($F305,'Acerto virtual'!$E:$E,'Acerto virtual'!K:K),"")</f>
        <v/>
      </c>
      <c r="Z305" s="51" t="str">
        <f t="array" ref="Z305">IFERROR(_xlfn.XLOOKUP($F305,'Acerto virtual'!$E:$E,'Acerto virtual'!L:L),"")</f>
        <v/>
      </c>
      <c r="AA305" s="51" t="str">
        <f t="array" ref="AA305">IFERROR(_xlfn.XLOOKUP($F305,'Acerto virtual'!$E:$E,'Acerto virtual'!M:M),"")</f>
        <v/>
      </c>
      <c r="AB305" s="51" t="str">
        <f t="array" ref="AB305">IFERROR(_xlfn.XLOOKUP($F305,'Acerto virtual'!$E:$E,'Acerto virtual'!N:N),"")</f>
        <v/>
      </c>
      <c r="AC305" s="51" t="str">
        <f t="array" ref="AC305">IFERROR(_xlfn.XLOOKUP($F305,'Acerto virtual'!$E:$E,'Acerto virtual'!O:O),"")</f>
        <v/>
      </c>
      <c r="AD305" s="51" t="str">
        <f t="array" ref="AD305">IFERROR(_xlfn.XLOOKUP($F305,'Acerto virtual'!$E:$E,'Acerto virtual'!P:P),"")</f>
        <v/>
      </c>
      <c r="AE305" s="51" t="str">
        <f t="array" ref="AE305">IFERROR(_xlfn.XLOOKUP($F305,'Acerto virtual'!$E:$E,'Acerto virtual'!Q:Q),"")</f>
        <v/>
      </c>
      <c r="AF305" s="51" t="str">
        <f t="array" ref="AF305">IFERROR(_xlfn.XLOOKUP($F305,'Acerto virtual'!$E:$E,'Acerto virtual'!R:R),"")</f>
        <v/>
      </c>
      <c r="AG305" s="51" t="str">
        <f t="array" ref="AG305">IFERROR(_xlfn.XLOOKUP($F305,'Acerto virtual'!$E:$E,'Acerto virtual'!S:S),"")</f>
        <v/>
      </c>
      <c r="AH305" s="51" t="str">
        <f t="array" ref="AH305">IFERROR(_xlfn.XLOOKUP($F305,'Acerto virtual'!$E:$E,'Acerto virtual'!T:T),"")</f>
        <v/>
      </c>
      <c r="AI305" s="51" t="str">
        <f t="array" ref="AI305">IFERROR(_xlfn.XLOOKUP($F305,'Acerto virtual'!$E:$E,'Acerto virtual'!U:U),"")</f>
        <v/>
      </c>
    </row>
    <row r="306">
      <c r="A306" s="47" t="s">
        <v>932</v>
      </c>
      <c r="B306" s="47" t="s">
        <v>933</v>
      </c>
      <c r="C306" s="48" t="str">
        <f t="array" ref="C306">IFERROR(_xlfn.XLOOKUP($B306,'Histórico'!$B:$B,'Histórico'!$I:$I),"")</f>
        <v>064-1019-05</v>
      </c>
      <c r="D306" s="19">
        <f t="array" ref="D306">IFERROR(_xlfn.XLOOKUP($B306,'Histórico'!$B:$B,'Histórico'!$J:$J),"")</f>
        <v>22373</v>
      </c>
      <c r="E306" s="19" t="str">
        <f t="array" ref="E306">IFERROR(_xlfn.XLOOKUP($B306,'Histórico'!$B:$B,'Histórico'!$K:$K),"")</f>
        <v>VHF TRANSCEIVE KY196</v>
      </c>
      <c r="F306" s="19" t="str">
        <f t="array" ref="F306">IFERROR(_xlfn.XLOOKUP($B306,'Histórico'!$B:$B,'Histórico'!$L:$L),"")</f>
        <v>18156</v>
      </c>
      <c r="G306" s="49">
        <f t="array" ref="G306">IFERROR(_xlfn.XLOOKUP($B306,'Histórico'!$B:$B,'Histórico'!$F:$F),"")</f>
        <v>46125</v>
      </c>
      <c r="H306" s="19" t="str">
        <f t="array" ref="H306">IFERROR(_xlfn.XLOOKUP($B306,'Histórico'!$B:$B,'Histórico'!$AA:$AA),"")</f>
        <v>EEAR</v>
      </c>
      <c r="I306" s="19" t="str">
        <f t="array" ref="I306">IFERROR(_xlfn.XLOOKUP($B306,Atual!$B:$B,Atual!$E:$E),"OS concluída")</f>
        <v>REC</v>
      </c>
      <c r="J306" s="19">
        <f t="shared" si="1"/>
        <v>185</v>
      </c>
      <c r="K306" s="19"/>
      <c r="L306" s="19" t="str">
        <f t="shared" si="2"/>
        <v>NÃO APLICÁVEL</v>
      </c>
      <c r="M306" s="19"/>
      <c r="N306" s="49" t="str">
        <f t="array" ref="N306">IFERROR(_xlfn.XLOOKUP($B306,EMPRESA_1!A:A,EMPRESA_1!J:J),"")</f>
        <v>EM REPARO</v>
      </c>
      <c r="O306" s="50" t="str">
        <f t="array" ref="O306">IFERROR(_xlfn.XLOOKUP(B306,EMPRESA_1!A:A,EMPRESA_1!K:K),"")
</f>
        <v>VEE ONE</v>
      </c>
      <c r="P306" s="48" t="str">
        <f t="array" ref="P306">IFERROR(_xlfn.XLOOKUP(B306,EMPRESA_1!A:A,EMPRESA_1!L:L),"")</f>
        <v/>
      </c>
      <c r="Q306" s="49" t="str">
        <f t="array" ref="Q306">IFERROR(_xlfn.XLOOKUP(B306,EMPRESA_1!A:A,EMPRESA_1!J:J),"")</f>
        <v>EM REPARO</v>
      </c>
      <c r="R306" s="19" t="str">
        <f t="array" ref="R306">IFERROR(_xlfn.XLOOKUP(B306,EMPRESA_1!A:A,EMPRESA_1!M:M),"")</f>
        <v/>
      </c>
      <c r="S306" s="51"/>
      <c r="T306" s="51" t="str">
        <f t="array" ref="T306">IFERROR(_xlfn.XLOOKUP($F306,'Acerto virtual'!$E:$E,'Acerto virtual'!F:F),"")</f>
        <v/>
      </c>
      <c r="U306" s="51" t="str">
        <f t="array" ref="U306">IFERROR(_xlfn.XLOOKUP($F306,'Acerto virtual'!$E:$E,'Acerto virtual'!G:G),"")</f>
        <v/>
      </c>
      <c r="V306" s="51" t="str">
        <f t="array" ref="V306">IFERROR(_xlfn.XLOOKUP($F306,'Acerto virtual'!$E:$E,'Acerto virtual'!H:H),"")</f>
        <v/>
      </c>
      <c r="W306" s="51" t="str">
        <f t="array" ref="W306">IFERROR(_xlfn.XLOOKUP($F306,'Acerto virtual'!$E:$E,'Acerto virtual'!I:I),"")</f>
        <v/>
      </c>
      <c r="X306" s="51" t="str">
        <f t="array" ref="X306">IFERROR(_xlfn.XLOOKUP($F306,'Acerto virtual'!$E:$E,'Acerto virtual'!J:J),"")</f>
        <v/>
      </c>
      <c r="Y306" s="51" t="str">
        <f t="array" ref="Y306">IFERROR(_xlfn.XLOOKUP($F306,'Acerto virtual'!$E:$E,'Acerto virtual'!K:K),"")</f>
        <v/>
      </c>
      <c r="Z306" s="51" t="str">
        <f t="array" ref="Z306">IFERROR(_xlfn.XLOOKUP($F306,'Acerto virtual'!$E:$E,'Acerto virtual'!L:L),"")</f>
        <v/>
      </c>
      <c r="AA306" s="51" t="str">
        <f t="array" ref="AA306">IFERROR(_xlfn.XLOOKUP($F306,'Acerto virtual'!$E:$E,'Acerto virtual'!M:M),"")</f>
        <v/>
      </c>
      <c r="AB306" s="51" t="str">
        <f t="array" ref="AB306">IFERROR(_xlfn.XLOOKUP($F306,'Acerto virtual'!$E:$E,'Acerto virtual'!N:N),"")</f>
        <v/>
      </c>
      <c r="AC306" s="51" t="str">
        <f t="array" ref="AC306">IFERROR(_xlfn.XLOOKUP($F306,'Acerto virtual'!$E:$E,'Acerto virtual'!O:O),"")</f>
        <v/>
      </c>
      <c r="AD306" s="51" t="str">
        <f t="array" ref="AD306">IFERROR(_xlfn.XLOOKUP($F306,'Acerto virtual'!$E:$E,'Acerto virtual'!P:P),"")</f>
        <v/>
      </c>
      <c r="AE306" s="51" t="str">
        <f t="array" ref="AE306">IFERROR(_xlfn.XLOOKUP($F306,'Acerto virtual'!$E:$E,'Acerto virtual'!Q:Q),"")</f>
        <v/>
      </c>
      <c r="AF306" s="51" t="str">
        <f t="array" ref="AF306">IFERROR(_xlfn.XLOOKUP($F306,'Acerto virtual'!$E:$E,'Acerto virtual'!R:R),"")</f>
        <v/>
      </c>
      <c r="AG306" s="51" t="str">
        <f t="array" ref="AG306">IFERROR(_xlfn.XLOOKUP($F306,'Acerto virtual'!$E:$E,'Acerto virtual'!S:S),"")</f>
        <v/>
      </c>
      <c r="AH306" s="51" t="str">
        <f t="array" ref="AH306">IFERROR(_xlfn.XLOOKUP($F306,'Acerto virtual'!$E:$E,'Acerto virtual'!T:T),"")</f>
        <v/>
      </c>
      <c r="AI306" s="51" t="str">
        <f t="array" ref="AI306">IFERROR(_xlfn.XLOOKUP($F306,'Acerto virtual'!$E:$E,'Acerto virtual'!U:U),"")</f>
        <v/>
      </c>
    </row>
    <row r="307">
      <c r="A307" s="47" t="s">
        <v>934</v>
      </c>
      <c r="B307" s="47" t="s">
        <v>935</v>
      </c>
      <c r="C307" s="48" t="str">
        <f t="array" ref="C307">IFERROR(_xlfn.XLOOKUP($B307,'Histórico'!$B:$B,'Histórico'!$I:$I),"")</f>
        <v>066-1072-00</v>
      </c>
      <c r="D307" s="19">
        <f t="array" ref="D307">IFERROR(_xlfn.XLOOKUP($B307,'Histórico'!$B:$B,'Histórico'!$J:$J),"")</f>
        <v>22373</v>
      </c>
      <c r="E307" s="19" t="str">
        <f t="array" ref="E307">IFERROR(_xlfn.XLOOKUP($B307,'Histórico'!$B:$B,'Histórico'!$K:$K),"")</f>
        <v>RECEIVER ADF (KING KR87)</v>
      </c>
      <c r="F307" s="19" t="str">
        <f t="array" ref="F307">IFERROR(_xlfn.XLOOKUP($B307,'Histórico'!$B:$B,'Histórico'!$L:$L),"")</f>
        <v>37971</v>
      </c>
      <c r="G307" s="49">
        <f t="array" ref="G307">IFERROR(_xlfn.XLOOKUP($B307,'Histórico'!$B:$B,'Histórico'!$F:$F),"")</f>
        <v>46125</v>
      </c>
      <c r="H307" s="19" t="str">
        <f t="array" ref="H307">IFERROR(_xlfn.XLOOKUP($B307,'Histórico'!$B:$B,'Histórico'!$AA:$AA),"")</f>
        <v>ALA 7</v>
      </c>
      <c r="I307" s="19" t="str">
        <f t="array" ref="I307">IFERROR(_xlfn.XLOOKUP($B307,Atual!$B:$B,Atual!$E:$E),"OS concluída")</f>
        <v>REC</v>
      </c>
      <c r="J307" s="19">
        <f t="shared" si="1"/>
        <v>185</v>
      </c>
      <c r="K307" s="19"/>
      <c r="L307" s="19" t="str">
        <f t="shared" si="2"/>
        <v>NÃO APLICÁVEL</v>
      </c>
      <c r="M307" s="19"/>
      <c r="N307" s="49" t="str">
        <f t="array" ref="N307">IFERROR(_xlfn.XLOOKUP($B307,EMPRESA_1!A:A,EMPRESA_1!J:J),"")</f>
        <v>EM REPARO</v>
      </c>
      <c r="O307" s="50" t="str">
        <f t="array" ref="O307">IFERROR(_xlfn.XLOOKUP(B307,EMPRESA_1!A:A,EMPRESA_1!K:K),"")
</f>
        <v>WILLIAM</v>
      </c>
      <c r="P307" s="48" t="str">
        <f t="array" ref="P307">IFERROR(_xlfn.XLOOKUP(B307,EMPRESA_1!A:A,EMPRESA_1!L:L),"")</f>
        <v/>
      </c>
      <c r="Q307" s="49" t="str">
        <f t="array" ref="Q307">IFERROR(_xlfn.XLOOKUP(B307,EMPRESA_1!A:A,EMPRESA_1!J:J),"")</f>
        <v>EM REPARO</v>
      </c>
      <c r="R307" s="19" t="str">
        <f t="array" ref="R307">IFERROR(_xlfn.XLOOKUP(B307,EMPRESA_1!A:A,EMPRESA_1!M:M),"")</f>
        <v/>
      </c>
      <c r="S307" s="51"/>
      <c r="T307" s="51" t="str">
        <f t="array" ref="T307">IFERROR(_xlfn.XLOOKUP($F307,'Acerto virtual'!$E:$E,'Acerto virtual'!F:F),"")</f>
        <v/>
      </c>
      <c r="U307" s="51" t="str">
        <f t="array" ref="U307">IFERROR(_xlfn.XLOOKUP($F307,'Acerto virtual'!$E:$E,'Acerto virtual'!G:G),"")</f>
        <v/>
      </c>
      <c r="V307" s="51" t="str">
        <f t="array" ref="V307">IFERROR(_xlfn.XLOOKUP($F307,'Acerto virtual'!$E:$E,'Acerto virtual'!H:H),"")</f>
        <v/>
      </c>
      <c r="W307" s="51" t="str">
        <f t="array" ref="W307">IFERROR(_xlfn.XLOOKUP($F307,'Acerto virtual'!$E:$E,'Acerto virtual'!I:I),"")</f>
        <v/>
      </c>
      <c r="X307" s="51" t="str">
        <f t="array" ref="X307">IFERROR(_xlfn.XLOOKUP($F307,'Acerto virtual'!$E:$E,'Acerto virtual'!J:J),"")</f>
        <v/>
      </c>
      <c r="Y307" s="51" t="str">
        <f t="array" ref="Y307">IFERROR(_xlfn.XLOOKUP($F307,'Acerto virtual'!$E:$E,'Acerto virtual'!K:K),"")</f>
        <v/>
      </c>
      <c r="Z307" s="51" t="str">
        <f t="array" ref="Z307">IFERROR(_xlfn.XLOOKUP($F307,'Acerto virtual'!$E:$E,'Acerto virtual'!L:L),"")</f>
        <v/>
      </c>
      <c r="AA307" s="51" t="str">
        <f t="array" ref="AA307">IFERROR(_xlfn.XLOOKUP($F307,'Acerto virtual'!$E:$E,'Acerto virtual'!M:M),"")</f>
        <v/>
      </c>
      <c r="AB307" s="51" t="str">
        <f t="array" ref="AB307">IFERROR(_xlfn.XLOOKUP($F307,'Acerto virtual'!$E:$E,'Acerto virtual'!N:N),"")</f>
        <v/>
      </c>
      <c r="AC307" s="51" t="str">
        <f t="array" ref="AC307">IFERROR(_xlfn.XLOOKUP($F307,'Acerto virtual'!$E:$E,'Acerto virtual'!O:O),"")</f>
        <v/>
      </c>
      <c r="AD307" s="51" t="str">
        <f t="array" ref="AD307">IFERROR(_xlfn.XLOOKUP($F307,'Acerto virtual'!$E:$E,'Acerto virtual'!P:P),"")</f>
        <v/>
      </c>
      <c r="AE307" s="51" t="str">
        <f t="array" ref="AE307">IFERROR(_xlfn.XLOOKUP($F307,'Acerto virtual'!$E:$E,'Acerto virtual'!Q:Q),"")</f>
        <v/>
      </c>
      <c r="AF307" s="51" t="str">
        <f t="array" ref="AF307">IFERROR(_xlfn.XLOOKUP($F307,'Acerto virtual'!$E:$E,'Acerto virtual'!R:R),"")</f>
        <v/>
      </c>
      <c r="AG307" s="51" t="str">
        <f t="array" ref="AG307">IFERROR(_xlfn.XLOOKUP($F307,'Acerto virtual'!$E:$E,'Acerto virtual'!S:S),"")</f>
        <v/>
      </c>
      <c r="AH307" s="51" t="str">
        <f t="array" ref="AH307">IFERROR(_xlfn.XLOOKUP($F307,'Acerto virtual'!$E:$E,'Acerto virtual'!T:T),"")</f>
        <v/>
      </c>
      <c r="AI307" s="51" t="str">
        <f t="array" ref="AI307">IFERROR(_xlfn.XLOOKUP($F307,'Acerto virtual'!$E:$E,'Acerto virtual'!U:U),"")</f>
        <v/>
      </c>
    </row>
    <row r="308">
      <c r="A308" s="47" t="s">
        <v>936</v>
      </c>
      <c r="B308" s="47" t="s">
        <v>937</v>
      </c>
      <c r="C308" s="48" t="str">
        <f t="array" ref="C308">IFERROR(_xlfn.XLOOKUP($B308,'Histórico'!$B:$B,'Histórico'!$I:$I),"")</f>
        <v>066-3046-07</v>
      </c>
      <c r="D308" s="19">
        <f t="array" ref="D308">IFERROR(_xlfn.XLOOKUP($B308,'Histórico'!$B:$B,'Histórico'!$J:$J),"")</f>
        <v>22373</v>
      </c>
      <c r="E308" s="19" t="str">
        <f t="array" ref="E308">IFERROR(_xlfn.XLOOKUP($B308,'Histórico'!$B:$B,'Histórico'!$K:$K),"")</f>
        <v>CONTROL,INDICATOR</v>
      </c>
      <c r="F308" s="52" t="str">
        <f t="array" ref="F308">IFERROR(_xlfn.XLOOKUP($B308,'Histórico'!$B:$B,'Histórico'!$L:$L),"")</f>
        <v>84317</v>
      </c>
      <c r="G308" s="49">
        <f t="array" ref="G308">IFERROR(_xlfn.XLOOKUP($B308,'Histórico'!$B:$B,'Histórico'!$F:$F),"")</f>
        <v>46125</v>
      </c>
      <c r="H308" s="19" t="str">
        <f t="array" ref="H308">IFERROR(_xlfn.XLOOKUP($B308,'Histórico'!$B:$B,'Histórico'!$AA:$AA),"")</f>
        <v>BABR</v>
      </c>
      <c r="I308" s="19" t="str">
        <f t="array" ref="I308">IFERROR(_xlfn.XLOOKUP($B308,Atual!$B:$B,Atual!$E:$E),"OS concluída")</f>
        <v>REC</v>
      </c>
      <c r="J308" s="19">
        <f t="shared" si="1"/>
        <v>185</v>
      </c>
      <c r="K308" s="19"/>
      <c r="L308" s="19">
        <f t="shared" si="2"/>
        <v>35</v>
      </c>
      <c r="M308" s="19"/>
      <c r="N308" s="49">
        <f t="array" ref="N308">IFERROR(_xlfn.XLOOKUP($B308,EMPRESA_1!A:A,EMPRESA_1!J:J),"")</f>
        <v>46160</v>
      </c>
      <c r="O308" s="50" t="str">
        <f t="array" ref="O308">IFERROR(_xlfn.XLOOKUP(B308,EMPRESA_1!A:A,EMPRESA_1!K:K),"")
</f>
        <v>BANT</v>
      </c>
      <c r="P308" s="19" t="str">
        <f t="array" ref="P308">IFERROR(_xlfn.XLOOKUP(B308,EMPRESA_1!A:A,EMPRESA_1!L:L),"")</f>
        <v>392/FAB/26</v>
      </c>
      <c r="Q308" s="49">
        <f t="array" ref="Q308">IFERROR(_xlfn.XLOOKUP(B308,EMPRESA_1!A:A,EMPRESA_1!J:J),"")</f>
        <v>46160</v>
      </c>
      <c r="R308" s="19" t="str">
        <f t="array" ref="R308">IFERROR(_xlfn.XLOOKUP(B308,EMPRESA_1!A:A,EMPRESA_1!M:M),"")</f>
        <v/>
      </c>
      <c r="S308" s="51"/>
      <c r="T308" s="51" t="str">
        <f t="array" ref="T308">IFERROR(_xlfn.XLOOKUP($F308,'Acerto virtual'!$E:$E,'Acerto virtual'!F:F),"")</f>
        <v/>
      </c>
      <c r="U308" s="51" t="str">
        <f t="array" ref="U308">IFERROR(_xlfn.XLOOKUP($F308,'Acerto virtual'!$E:$E,'Acerto virtual'!G:G),"")</f>
        <v/>
      </c>
      <c r="V308" s="51" t="str">
        <f t="array" ref="V308">IFERROR(_xlfn.XLOOKUP($F308,'Acerto virtual'!$E:$E,'Acerto virtual'!H:H),"")</f>
        <v/>
      </c>
      <c r="W308" s="51" t="str">
        <f t="array" ref="W308">IFERROR(_xlfn.XLOOKUP($F308,'Acerto virtual'!$E:$E,'Acerto virtual'!I:I),"")</f>
        <v/>
      </c>
      <c r="X308" s="51" t="str">
        <f t="array" ref="X308">IFERROR(_xlfn.XLOOKUP($F308,'Acerto virtual'!$E:$E,'Acerto virtual'!J:J),"")</f>
        <v/>
      </c>
      <c r="Y308" s="51" t="str">
        <f t="array" ref="Y308">IFERROR(_xlfn.XLOOKUP($F308,'Acerto virtual'!$E:$E,'Acerto virtual'!K:K),"")</f>
        <v/>
      </c>
      <c r="Z308" s="51" t="str">
        <f t="array" ref="Z308">IFERROR(_xlfn.XLOOKUP($F308,'Acerto virtual'!$E:$E,'Acerto virtual'!L:L),"")</f>
        <v/>
      </c>
      <c r="AA308" s="51" t="str">
        <f t="array" ref="AA308">IFERROR(_xlfn.XLOOKUP($F308,'Acerto virtual'!$E:$E,'Acerto virtual'!M:M),"")</f>
        <v/>
      </c>
      <c r="AB308" s="51" t="str">
        <f t="array" ref="AB308">IFERROR(_xlfn.XLOOKUP($F308,'Acerto virtual'!$E:$E,'Acerto virtual'!N:N),"")</f>
        <v/>
      </c>
      <c r="AC308" s="51" t="str">
        <f t="array" ref="AC308">IFERROR(_xlfn.XLOOKUP($F308,'Acerto virtual'!$E:$E,'Acerto virtual'!O:O),"")</f>
        <v/>
      </c>
      <c r="AD308" s="51" t="str">
        <f t="array" ref="AD308">IFERROR(_xlfn.XLOOKUP($F308,'Acerto virtual'!$E:$E,'Acerto virtual'!P:P),"")</f>
        <v/>
      </c>
      <c r="AE308" s="51" t="str">
        <f t="array" ref="AE308">IFERROR(_xlfn.XLOOKUP($F308,'Acerto virtual'!$E:$E,'Acerto virtual'!Q:Q),"")</f>
        <v/>
      </c>
      <c r="AF308" s="51" t="str">
        <f t="array" ref="AF308">IFERROR(_xlfn.XLOOKUP($F308,'Acerto virtual'!$E:$E,'Acerto virtual'!R:R),"")</f>
        <v/>
      </c>
      <c r="AG308" s="51" t="str">
        <f t="array" ref="AG308">IFERROR(_xlfn.XLOOKUP($F308,'Acerto virtual'!$E:$E,'Acerto virtual'!S:S),"")</f>
        <v/>
      </c>
      <c r="AH308" s="51" t="str">
        <f t="array" ref="AH308">IFERROR(_xlfn.XLOOKUP($F308,'Acerto virtual'!$E:$E,'Acerto virtual'!T:T),"")</f>
        <v/>
      </c>
      <c r="AI308" s="51" t="str">
        <f t="array" ref="AI308">IFERROR(_xlfn.XLOOKUP($F308,'Acerto virtual'!$E:$E,'Acerto virtual'!U:U),"")</f>
        <v/>
      </c>
    </row>
    <row r="309">
      <c r="A309" s="47" t="s">
        <v>938</v>
      </c>
      <c r="B309" s="47" t="s">
        <v>939</v>
      </c>
      <c r="C309" s="48" t="str">
        <f t="array" ref="C309">IFERROR(_xlfn.XLOOKUP($B309,'Histórico'!$B:$B,'Histórico'!$I:$I),"")</f>
        <v>066-3046-07</v>
      </c>
      <c r="D309" s="19">
        <f t="array" ref="D309">IFERROR(_xlfn.XLOOKUP($B309,'Histórico'!$B:$B,'Histórico'!$J:$J),"")</f>
        <v>22373</v>
      </c>
      <c r="E309" s="19" t="str">
        <f t="array" ref="E309">IFERROR(_xlfn.XLOOKUP($B309,'Histórico'!$B:$B,'Histórico'!$K:$K),"")</f>
        <v>CONTROL,INDICATOR</v>
      </c>
      <c r="F309" s="52" t="str">
        <f t="array" ref="F309">IFERROR(_xlfn.XLOOKUP($B309,'Histórico'!$B:$B,'Histórico'!$L:$L),"")</f>
        <v>83773</v>
      </c>
      <c r="G309" s="49">
        <f t="array" ref="G309">IFERROR(_xlfn.XLOOKUP($B309,'Histórico'!$B:$B,'Histórico'!$F:$F),"")</f>
        <v>46125</v>
      </c>
      <c r="H309" s="19" t="str">
        <f t="array" ref="H309">IFERROR(_xlfn.XLOOKUP($B309,'Histórico'!$B:$B,'Histórico'!$AA:$AA),"")</f>
        <v>BABR</v>
      </c>
      <c r="I309" s="19" t="str">
        <f t="array" ref="I309">IFERROR(_xlfn.XLOOKUP($B309,Atual!$B:$B,Atual!$E:$E),"OS concluída")</f>
        <v>REC</v>
      </c>
      <c r="J309" s="19">
        <f t="shared" si="1"/>
        <v>185</v>
      </c>
      <c r="K309" s="19"/>
      <c r="L309" s="19">
        <f t="shared" si="2"/>
        <v>31</v>
      </c>
      <c r="M309" s="19"/>
      <c r="N309" s="49">
        <f t="array" ref="N309">IFERROR(_xlfn.XLOOKUP($B309,EMPRESA_1!A:A,EMPRESA_1!J:J),"")</f>
        <v>46156</v>
      </c>
      <c r="O309" s="50" t="str">
        <f t="array" ref="O309">IFERROR(_xlfn.XLOOKUP(B309,EMPRESA_1!A:A,EMPRESA_1!K:K),"")
</f>
        <v>BANT</v>
      </c>
      <c r="P309" s="19" t="str">
        <f t="array" ref="P309">IFERROR(_xlfn.XLOOKUP(B309,EMPRESA_1!A:A,EMPRESA_1!L:L),"")</f>
        <v>379/FAB/26</v>
      </c>
      <c r="Q309" s="49">
        <f t="array" ref="Q309">IFERROR(_xlfn.XLOOKUP(B309,EMPRESA_1!A:A,EMPRESA_1!J:J),"")</f>
        <v>46156</v>
      </c>
      <c r="R309" s="19" t="str">
        <f t="array" ref="R309">IFERROR(_xlfn.XLOOKUP(B309,EMPRESA_1!A:A,EMPRESA_1!M:M),"")</f>
        <v/>
      </c>
      <c r="S309" s="51"/>
      <c r="T309" s="51" t="str">
        <f t="array" ref="T309">IFERROR(_xlfn.XLOOKUP($F309,'Acerto virtual'!$E:$E,'Acerto virtual'!F:F),"")</f>
        <v/>
      </c>
      <c r="U309" s="51" t="str">
        <f t="array" ref="U309">IFERROR(_xlfn.XLOOKUP($F309,'Acerto virtual'!$E:$E,'Acerto virtual'!G:G),"")</f>
        <v/>
      </c>
      <c r="V309" s="51" t="str">
        <f t="array" ref="V309">IFERROR(_xlfn.XLOOKUP($F309,'Acerto virtual'!$E:$E,'Acerto virtual'!H:H),"")</f>
        <v/>
      </c>
      <c r="W309" s="51" t="str">
        <f t="array" ref="W309">IFERROR(_xlfn.XLOOKUP($F309,'Acerto virtual'!$E:$E,'Acerto virtual'!I:I),"")</f>
        <v/>
      </c>
      <c r="X309" s="51" t="str">
        <f t="array" ref="X309">IFERROR(_xlfn.XLOOKUP($F309,'Acerto virtual'!$E:$E,'Acerto virtual'!J:J),"")</f>
        <v/>
      </c>
      <c r="Y309" s="51" t="str">
        <f t="array" ref="Y309">IFERROR(_xlfn.XLOOKUP($F309,'Acerto virtual'!$E:$E,'Acerto virtual'!K:K),"")</f>
        <v/>
      </c>
      <c r="Z309" s="51" t="str">
        <f t="array" ref="Z309">IFERROR(_xlfn.XLOOKUP($F309,'Acerto virtual'!$E:$E,'Acerto virtual'!L:L),"")</f>
        <v/>
      </c>
      <c r="AA309" s="51" t="str">
        <f t="array" ref="AA309">IFERROR(_xlfn.XLOOKUP($F309,'Acerto virtual'!$E:$E,'Acerto virtual'!M:M),"")</f>
        <v/>
      </c>
      <c r="AB309" s="51" t="str">
        <f t="array" ref="AB309">IFERROR(_xlfn.XLOOKUP($F309,'Acerto virtual'!$E:$E,'Acerto virtual'!N:N),"")</f>
        <v/>
      </c>
      <c r="AC309" s="51" t="str">
        <f t="array" ref="AC309">IFERROR(_xlfn.XLOOKUP($F309,'Acerto virtual'!$E:$E,'Acerto virtual'!O:O),"")</f>
        <v/>
      </c>
      <c r="AD309" s="51" t="str">
        <f t="array" ref="AD309">IFERROR(_xlfn.XLOOKUP($F309,'Acerto virtual'!$E:$E,'Acerto virtual'!P:P),"")</f>
        <v/>
      </c>
      <c r="AE309" s="51" t="str">
        <f t="array" ref="AE309">IFERROR(_xlfn.XLOOKUP($F309,'Acerto virtual'!$E:$E,'Acerto virtual'!Q:Q),"")</f>
        <v/>
      </c>
      <c r="AF309" s="51" t="str">
        <f t="array" ref="AF309">IFERROR(_xlfn.XLOOKUP($F309,'Acerto virtual'!$E:$E,'Acerto virtual'!R:R),"")</f>
        <v/>
      </c>
      <c r="AG309" s="51" t="str">
        <f t="array" ref="AG309">IFERROR(_xlfn.XLOOKUP($F309,'Acerto virtual'!$E:$E,'Acerto virtual'!S:S),"")</f>
        <v/>
      </c>
      <c r="AH309" s="51" t="str">
        <f t="array" ref="AH309">IFERROR(_xlfn.XLOOKUP($F309,'Acerto virtual'!$E:$E,'Acerto virtual'!T:T),"")</f>
        <v/>
      </c>
      <c r="AI309" s="51" t="str">
        <f t="array" ref="AI309">IFERROR(_xlfn.XLOOKUP($F309,'Acerto virtual'!$E:$E,'Acerto virtual'!U:U),"")</f>
        <v/>
      </c>
    </row>
    <row r="310" hidden="1">
      <c r="A310" s="47" t="s">
        <v>940</v>
      </c>
      <c r="B310" s="47" t="s">
        <v>941</v>
      </c>
      <c r="C310" s="48" t="str">
        <f t="array" ref="C310">IFERROR(_xlfn.XLOOKUP($B310,'Histórico'!$B:$B,'Histórico'!$I:$I),"")</f>
        <v>066-3046-07</v>
      </c>
      <c r="D310" s="19">
        <f t="array" ref="D310">IFERROR(_xlfn.XLOOKUP($B310,'Histórico'!$B:$B,'Histórico'!$J:$J),"")</f>
        <v>22373</v>
      </c>
      <c r="E310" s="19" t="str">
        <f t="array" ref="E310">IFERROR(_xlfn.XLOOKUP($B310,'Histórico'!$B:$B,'Histórico'!$K:$K),"")</f>
        <v>CONTROL,INDICATOR</v>
      </c>
      <c r="F310" s="19" t="str">
        <f t="array" ref="F310">IFERROR(_xlfn.XLOOKUP($B310,'Histórico'!$B:$B,'Histórico'!$L:$L),"")</f>
        <v>83740</v>
      </c>
      <c r="G310" s="49">
        <f t="array" ref="G310">IFERROR(_xlfn.XLOOKUP($B310,'Histórico'!$B:$B,'Histórico'!$F:$F),"")</f>
        <v>46125</v>
      </c>
      <c r="H310" s="19" t="str">
        <f t="array" ref="H310">IFERROR(_xlfn.XLOOKUP($B310,'Histórico'!$B:$B,'Histórico'!$AA:$AA),"")</f>
        <v>EEAR</v>
      </c>
      <c r="I310" s="19" t="str">
        <f t="array" ref="I310">IFERROR(_xlfn.XLOOKUP($B310,Atual!$B:$B,Atual!$E:$E),"OS concluída")</f>
        <v>OS concluída</v>
      </c>
      <c r="J310" s="19" t="str">
        <f t="shared" si="1"/>
        <v/>
      </c>
      <c r="K310" s="19"/>
      <c r="L310" s="19">
        <f t="shared" si="2"/>
        <v>84</v>
      </c>
      <c r="M310" s="19"/>
      <c r="N310" s="49">
        <f t="array" ref="N310">IFERROR(_xlfn.XLOOKUP($B310,EMPRESA_1!A:A,EMPRESA_1!J:J),"")</f>
        <v>46209</v>
      </c>
      <c r="O310" s="50" t="str">
        <f t="array" ref="O310">IFERROR(_xlfn.XLOOKUP(B310,EMPRESA_1!A:A,EMPRESA_1!K:K),"")
</f>
        <v>BABR</v>
      </c>
      <c r="P310" s="48" t="str">
        <f t="array" ref="P310">IFERROR(_xlfn.XLOOKUP(B310,EMPRESA_1!A:A,EMPRESA_1!L:L),"")</f>
        <v>548/FAB/26</v>
      </c>
      <c r="Q310" s="49">
        <f t="array" ref="Q310">IFERROR(_xlfn.XLOOKUP(B310,EMPRESA_1!A:A,EMPRESA_1!J:J),"")</f>
        <v>46209</v>
      </c>
      <c r="R310" s="19" t="str">
        <f t="array" ref="R310">IFERROR(_xlfn.XLOOKUP(B310,EMPRESA_1!A:A,EMPRESA_1!M:M),"")</f>
        <v/>
      </c>
      <c r="S310" s="51"/>
      <c r="T310" s="51" t="str">
        <f t="array" ref="T310">IFERROR(_xlfn.XLOOKUP($F310,'Acerto virtual'!$E:$E,'Acerto virtual'!F:F),"")</f>
        <v>026/2026</v>
      </c>
      <c r="U310" s="51" t="str">
        <f t="array" ref="U310">IFERROR(_xlfn.XLOOKUP($F310,'Acerto virtual'!$E:$E,'Acerto virtual'!G:G),"")</f>
        <v>20/07</v>
      </c>
      <c r="V310" s="51" t="str">
        <f t="array" ref="V310">IFERROR(_xlfn.XLOOKUP($F310,'Acerto virtual'!$E:$E,'Acerto virtual'!H:H),"")</f>
        <v>07/08</v>
      </c>
      <c r="W310" s="51" t="str">
        <f t="array" ref="W310">IFERROR(_xlfn.XLOOKUP($F310,'Acerto virtual'!$E:$E,'Acerto virtual'!I:I),"")</f>
        <v/>
      </c>
      <c r="X310" s="51" t="str">
        <f t="array" ref="X310">IFERROR(_xlfn.XLOOKUP($F310,'Acerto virtual'!$E:$E,'Acerto virtual'!J:J),"")</f>
        <v>10/08</v>
      </c>
      <c r="Y310" s="51" t="str">
        <f t="array" ref="Y310">IFERROR(_xlfn.XLOOKUP($F310,'Acerto virtual'!$E:$E,'Acerto virtual'!K:K),"")</f>
        <v>10/08</v>
      </c>
      <c r="Z310" s="51" t="str">
        <f t="array" ref="Z310">IFERROR(_xlfn.XLOOKUP($F310,'Acerto virtual'!$E:$E,'Acerto virtual'!L:L),"")</f>
        <v>10/08</v>
      </c>
      <c r="AA310" s="51" t="str">
        <f t="array" ref="AA310">IFERROR(_xlfn.XLOOKUP($F310,'Acerto virtual'!$E:$E,'Acerto virtual'!M:M),"")</f>
        <v>10/08</v>
      </c>
      <c r="AB310" s="51" t="str">
        <f t="array" ref="AB310">IFERROR(_xlfn.XLOOKUP($F310,'Acerto virtual'!$E:$E,'Acerto virtual'!N:N),"")</f>
        <v>10/08</v>
      </c>
      <c r="AC310" s="51" t="str">
        <f t="array" ref="AC310">IFERROR(_xlfn.XLOOKUP($F310,'Acerto virtual'!$E:$E,'Acerto virtual'!O:O),"")</f>
        <v>10/08</v>
      </c>
      <c r="AD310" s="51" t="str">
        <f t="array" ref="AD310">IFERROR(_xlfn.XLOOKUP($F310,'Acerto virtual'!$E:$E,'Acerto virtual'!P:P),"")</f>
        <v>10/08</v>
      </c>
      <c r="AE310" s="51" t="str">
        <f t="array" ref="AE310">IFERROR(_xlfn.XLOOKUP($F310,'Acerto virtual'!$E:$E,'Acerto virtual'!Q:Q),"")</f>
        <v>10/08</v>
      </c>
      <c r="AF310" s="51" t="str">
        <f t="array" ref="AF310">IFERROR(_xlfn.XLOOKUP($F310,'Acerto virtual'!$E:$E,'Acerto virtual'!R:R),"")</f>
        <v>10/08</v>
      </c>
      <c r="AG310" s="51" t="str">
        <f t="array" ref="AG310">IFERROR(_xlfn.XLOOKUP($F310,'Acerto virtual'!$E:$E,'Acerto virtual'!S:S),"")</f>
        <v>10/08, 01/09</v>
      </c>
      <c r="AH310" s="51" t="str">
        <f t="array" ref="AH310">IFERROR(_xlfn.XLOOKUP($F310,'Acerto virtual'!$E:$E,'Acerto virtual'!T:T),"")</f>
        <v>09/09</v>
      </c>
      <c r="AI310" s="51" t="str">
        <f t="array" ref="AI310">IFERROR(_xlfn.XLOOKUP($F310,'Acerto virtual'!$E:$E,'Acerto virtual'!U:U),"")</f>
        <v>RECEBIDO POR 3S KESIA</v>
      </c>
    </row>
    <row r="311">
      <c r="A311" s="47" t="s">
        <v>942</v>
      </c>
      <c r="B311" s="47" t="s">
        <v>943</v>
      </c>
      <c r="C311" s="48" t="str">
        <f t="array" ref="C311">IFERROR(_xlfn.XLOOKUP($B311,'Histórico'!$B:$B,'Histórico'!$I:$I),"")</f>
        <v>066-3046-07</v>
      </c>
      <c r="D311" s="19">
        <f t="array" ref="D311">IFERROR(_xlfn.XLOOKUP($B311,'Histórico'!$B:$B,'Histórico'!$J:$J),"")</f>
        <v>22373</v>
      </c>
      <c r="E311" s="19" t="str">
        <f t="array" ref="E311">IFERROR(_xlfn.XLOOKUP($B311,'Histórico'!$B:$B,'Histórico'!$K:$K),"")</f>
        <v>CONTROL,INDICATOR</v>
      </c>
      <c r="F311" s="19" t="str">
        <f t="array" ref="F311">IFERROR(_xlfn.XLOOKUP($B311,'Histórico'!$B:$B,'Histórico'!$L:$L),"")</f>
        <v>84326</v>
      </c>
      <c r="G311" s="49">
        <f t="array" ref="G311">IFERROR(_xlfn.XLOOKUP($B311,'Histórico'!$B:$B,'Histórico'!$F:$F),"")</f>
        <v>46125</v>
      </c>
      <c r="H311" s="19" t="str">
        <f t="array" ref="H311">IFERROR(_xlfn.XLOOKUP($B311,'Histórico'!$B:$B,'Histórico'!$AA:$AA),"")</f>
        <v>EEAR</v>
      </c>
      <c r="I311" s="19" t="str">
        <f t="array" ref="I311">IFERROR(_xlfn.XLOOKUP($B311,Atual!$B:$B,Atual!$E:$E),"OS concluída")</f>
        <v>REC</v>
      </c>
      <c r="J311" s="19">
        <f t="shared" si="1"/>
        <v>185</v>
      </c>
      <c r="K311" s="19"/>
      <c r="L311" s="19" t="str">
        <f t="shared" si="2"/>
        <v>NÃO APLICÁVEL</v>
      </c>
      <c r="M311" s="19"/>
      <c r="N311" s="49" t="str">
        <f t="array" ref="N311">IFERROR(_xlfn.XLOOKUP($B311,EMPRESA_1!A:A,EMPRESA_1!J:J),"")</f>
        <v>EM REPARO</v>
      </c>
      <c r="O311" s="50" t="str">
        <f t="array" ref="O311">IFERROR(_xlfn.XLOOKUP(B311,EMPRESA_1!A:A,EMPRESA_1!K:K),"")
</f>
        <v>LEAP</v>
      </c>
      <c r="P311" s="48" t="str">
        <f t="array" ref="P311">IFERROR(_xlfn.XLOOKUP(B311,EMPRESA_1!A:A,EMPRESA_1!L:L),"")</f>
        <v/>
      </c>
      <c r="Q311" s="49" t="str">
        <f t="array" ref="Q311">IFERROR(_xlfn.XLOOKUP(B311,EMPRESA_1!A:A,EMPRESA_1!J:J),"")</f>
        <v>EM REPARO</v>
      </c>
      <c r="R311" s="19" t="str">
        <f t="array" ref="R311">IFERROR(_xlfn.XLOOKUP(B311,EMPRESA_1!A:A,EMPRESA_1!M:M),"")</f>
        <v/>
      </c>
      <c r="S311" s="51"/>
      <c r="T311" s="51" t="str">
        <f t="array" ref="T311">IFERROR(_xlfn.XLOOKUP($F311,'Acerto virtual'!$E:$E,'Acerto virtual'!F:F),"")</f>
        <v/>
      </c>
      <c r="U311" s="51" t="str">
        <f t="array" ref="U311">IFERROR(_xlfn.XLOOKUP($F311,'Acerto virtual'!$E:$E,'Acerto virtual'!G:G),"")</f>
        <v/>
      </c>
      <c r="V311" s="51" t="str">
        <f t="array" ref="V311">IFERROR(_xlfn.XLOOKUP($F311,'Acerto virtual'!$E:$E,'Acerto virtual'!H:H),"")</f>
        <v/>
      </c>
      <c r="W311" s="51" t="str">
        <f t="array" ref="W311">IFERROR(_xlfn.XLOOKUP($F311,'Acerto virtual'!$E:$E,'Acerto virtual'!I:I),"")</f>
        <v/>
      </c>
      <c r="X311" s="51" t="str">
        <f t="array" ref="X311">IFERROR(_xlfn.XLOOKUP($F311,'Acerto virtual'!$E:$E,'Acerto virtual'!J:J),"")</f>
        <v/>
      </c>
      <c r="Y311" s="51" t="str">
        <f t="array" ref="Y311">IFERROR(_xlfn.XLOOKUP($F311,'Acerto virtual'!$E:$E,'Acerto virtual'!K:K),"")</f>
        <v/>
      </c>
      <c r="Z311" s="51" t="str">
        <f t="array" ref="Z311">IFERROR(_xlfn.XLOOKUP($F311,'Acerto virtual'!$E:$E,'Acerto virtual'!L:L),"")</f>
        <v/>
      </c>
      <c r="AA311" s="51" t="str">
        <f t="array" ref="AA311">IFERROR(_xlfn.XLOOKUP($F311,'Acerto virtual'!$E:$E,'Acerto virtual'!M:M),"")</f>
        <v/>
      </c>
      <c r="AB311" s="51" t="str">
        <f t="array" ref="AB311">IFERROR(_xlfn.XLOOKUP($F311,'Acerto virtual'!$E:$E,'Acerto virtual'!N:N),"")</f>
        <v/>
      </c>
      <c r="AC311" s="51" t="str">
        <f t="array" ref="AC311">IFERROR(_xlfn.XLOOKUP($F311,'Acerto virtual'!$E:$E,'Acerto virtual'!O:O),"")</f>
        <v/>
      </c>
      <c r="AD311" s="51" t="str">
        <f t="array" ref="AD311">IFERROR(_xlfn.XLOOKUP($F311,'Acerto virtual'!$E:$E,'Acerto virtual'!P:P),"")</f>
        <v/>
      </c>
      <c r="AE311" s="51" t="str">
        <f t="array" ref="AE311">IFERROR(_xlfn.XLOOKUP($F311,'Acerto virtual'!$E:$E,'Acerto virtual'!Q:Q),"")</f>
        <v/>
      </c>
      <c r="AF311" s="51" t="str">
        <f t="array" ref="AF311">IFERROR(_xlfn.XLOOKUP($F311,'Acerto virtual'!$E:$E,'Acerto virtual'!R:R),"")</f>
        <v/>
      </c>
      <c r="AG311" s="51" t="str">
        <f t="array" ref="AG311">IFERROR(_xlfn.XLOOKUP($F311,'Acerto virtual'!$E:$E,'Acerto virtual'!S:S),"")</f>
        <v/>
      </c>
      <c r="AH311" s="51" t="str">
        <f t="array" ref="AH311">IFERROR(_xlfn.XLOOKUP($F311,'Acerto virtual'!$E:$E,'Acerto virtual'!T:T),"")</f>
        <v/>
      </c>
      <c r="AI311" s="51" t="str">
        <f t="array" ref="AI311">IFERROR(_xlfn.XLOOKUP($F311,'Acerto virtual'!$E:$E,'Acerto virtual'!U:U),"")</f>
        <v/>
      </c>
    </row>
    <row r="312" hidden="1">
      <c r="A312" s="47" t="s">
        <v>944</v>
      </c>
      <c r="B312" s="47" t="s">
        <v>945</v>
      </c>
      <c r="C312" s="48" t="str">
        <f t="array" ref="C312">IFERROR(_xlfn.XLOOKUP($B312,'Histórico'!$B:$B,'Histórico'!$I:$I),"")</f>
        <v>066-3060-00</v>
      </c>
      <c r="D312" s="19">
        <f t="array" ref="D312">IFERROR(_xlfn.XLOOKUP($B312,'Histórico'!$B:$B,'Histórico'!$J:$J),"")</f>
        <v>22373</v>
      </c>
      <c r="E312" s="19" t="str">
        <f t="array" ref="E312">IFERROR(_xlfn.XLOOKUP($B312,'Histórico'!$B:$B,'Histórico'!$K:$K),"")</f>
        <v>IND RMI KNI582</v>
      </c>
      <c r="F312" s="19" t="str">
        <f t="array" ref="F312">IFERROR(_xlfn.XLOOKUP($B312,'Histórico'!$B:$B,'Histórico'!$L:$L),"")</f>
        <v>6708</v>
      </c>
      <c r="G312" s="49">
        <f t="array" ref="G312">IFERROR(_xlfn.XLOOKUP($B312,'Histórico'!$B:$B,'Histórico'!$F:$F),"")</f>
        <v>46125</v>
      </c>
      <c r="H312" s="19" t="str">
        <f t="array" ref="H312">IFERROR(_xlfn.XLOOKUP($B312,'Histórico'!$B:$B,'Histórico'!$AA:$AA),"")</f>
        <v>BANT</v>
      </c>
      <c r="I312" s="19" t="str">
        <f t="array" ref="I312">IFERROR(_xlfn.XLOOKUP($B312,Atual!$B:$B,Atual!$E:$E),"OS concluída")</f>
        <v>OS concluída</v>
      </c>
      <c r="J312" s="19" t="str">
        <f t="shared" si="1"/>
        <v/>
      </c>
      <c r="K312" s="19"/>
      <c r="L312" s="19">
        <f t="shared" si="2"/>
        <v>107</v>
      </c>
      <c r="M312" s="19"/>
      <c r="N312" s="49">
        <f t="array" ref="N312">IFERROR(_xlfn.XLOOKUP($B312,EMPRESA_1!A:A,EMPRESA_1!J:J),"")</f>
        <v>46232</v>
      </c>
      <c r="O312" s="50" t="str">
        <f t="array" ref="O312">IFERROR(_xlfn.XLOOKUP(B312,EMPRESA_1!A:A,EMPRESA_1!K:K),"")
</f>
        <v/>
      </c>
      <c r="P312" s="48" t="str">
        <f t="array" ref="P312">IFERROR(_xlfn.XLOOKUP(B312,EMPRESA_1!A:A,EMPRESA_1!L:L),"")</f>
        <v>598/FAB/26</v>
      </c>
      <c r="Q312" s="49">
        <f t="array" ref="Q312">IFERROR(_xlfn.XLOOKUP(B312,EMPRESA_1!A:A,EMPRESA_1!J:J),"")</f>
        <v>46232</v>
      </c>
      <c r="R312" s="19" t="str">
        <f t="array" ref="R312">IFERROR(_xlfn.XLOOKUP(B312,EMPRESA_1!A:A,EMPRESA_1!M:M),"")</f>
        <v/>
      </c>
      <c r="S312" s="51"/>
      <c r="T312" s="51" t="str">
        <f t="array" ref="T312">IFERROR(_xlfn.XLOOKUP($F312,'Acerto virtual'!$E:$E,'Acerto virtual'!F:F),"")</f>
        <v/>
      </c>
      <c r="U312" s="51" t="str">
        <f t="array" ref="U312">IFERROR(_xlfn.XLOOKUP($F312,'Acerto virtual'!$E:$E,'Acerto virtual'!G:G),"")</f>
        <v/>
      </c>
      <c r="V312" s="51" t="str">
        <f t="array" ref="V312">IFERROR(_xlfn.XLOOKUP($F312,'Acerto virtual'!$E:$E,'Acerto virtual'!H:H),"")</f>
        <v/>
      </c>
      <c r="W312" s="51" t="str">
        <f t="array" ref="W312">IFERROR(_xlfn.XLOOKUP($F312,'Acerto virtual'!$E:$E,'Acerto virtual'!I:I),"")</f>
        <v/>
      </c>
      <c r="X312" s="51" t="str">
        <f t="array" ref="X312">IFERROR(_xlfn.XLOOKUP($F312,'Acerto virtual'!$E:$E,'Acerto virtual'!J:J),"")</f>
        <v/>
      </c>
      <c r="Y312" s="51" t="str">
        <f t="array" ref="Y312">IFERROR(_xlfn.XLOOKUP($F312,'Acerto virtual'!$E:$E,'Acerto virtual'!K:K),"")</f>
        <v/>
      </c>
      <c r="Z312" s="51" t="str">
        <f t="array" ref="Z312">IFERROR(_xlfn.XLOOKUP($F312,'Acerto virtual'!$E:$E,'Acerto virtual'!L:L),"")</f>
        <v/>
      </c>
      <c r="AA312" s="51" t="str">
        <f t="array" ref="AA312">IFERROR(_xlfn.XLOOKUP($F312,'Acerto virtual'!$E:$E,'Acerto virtual'!M:M),"")</f>
        <v/>
      </c>
      <c r="AB312" s="51" t="str">
        <f t="array" ref="AB312">IFERROR(_xlfn.XLOOKUP($F312,'Acerto virtual'!$E:$E,'Acerto virtual'!N:N),"")</f>
        <v/>
      </c>
      <c r="AC312" s="51" t="str">
        <f t="array" ref="AC312">IFERROR(_xlfn.XLOOKUP($F312,'Acerto virtual'!$E:$E,'Acerto virtual'!O:O),"")</f>
        <v/>
      </c>
      <c r="AD312" s="51" t="str">
        <f t="array" ref="AD312">IFERROR(_xlfn.XLOOKUP($F312,'Acerto virtual'!$E:$E,'Acerto virtual'!P:P),"")</f>
        <v/>
      </c>
      <c r="AE312" s="51" t="str">
        <f t="array" ref="AE312">IFERROR(_xlfn.XLOOKUP($F312,'Acerto virtual'!$E:$E,'Acerto virtual'!Q:Q),"")</f>
        <v/>
      </c>
      <c r="AF312" s="51" t="str">
        <f t="array" ref="AF312">IFERROR(_xlfn.XLOOKUP($F312,'Acerto virtual'!$E:$E,'Acerto virtual'!R:R),"")</f>
        <v/>
      </c>
      <c r="AG312" s="51" t="str">
        <f t="array" ref="AG312">IFERROR(_xlfn.XLOOKUP($F312,'Acerto virtual'!$E:$E,'Acerto virtual'!S:S),"")</f>
        <v/>
      </c>
      <c r="AH312" s="51" t="str">
        <f t="array" ref="AH312">IFERROR(_xlfn.XLOOKUP($F312,'Acerto virtual'!$E:$E,'Acerto virtual'!T:T),"")</f>
        <v/>
      </c>
      <c r="AI312" s="51" t="str">
        <f t="array" ref="AI312">IFERROR(_xlfn.XLOOKUP($F312,'Acerto virtual'!$E:$E,'Acerto virtual'!U:U),"")</f>
        <v/>
      </c>
    </row>
    <row r="313" hidden="1">
      <c r="A313" s="47" t="s">
        <v>946</v>
      </c>
      <c r="B313" s="47" t="s">
        <v>947</v>
      </c>
      <c r="C313" s="48" t="str">
        <f t="array" ref="C313">IFERROR(_xlfn.XLOOKUP($B313,'Histórico'!$B:$B,'Histórico'!$I:$I),"")</f>
        <v>161-11700</v>
      </c>
      <c r="D313" s="19">
        <f t="array" ref="D313">IFERROR(_xlfn.XLOOKUP($B313,'Histórico'!$B:$B,'Histórico'!$J:$J),"")</f>
        <v>71513</v>
      </c>
      <c r="E313" s="19" t="str">
        <f t="array" ref="E313">IFERROR(_xlfn.XLOOKUP($B313,'Histórico'!$B:$B,'Histórico'!$K:$K),"")</f>
        <v>INNER WHEEL HALF ASSY</v>
      </c>
      <c r="F313" s="19" t="str">
        <f t="array" ref="F313">IFERROR(_xlfn.XLOOKUP($B313,'Histórico'!$B:$B,'Histórico'!$L:$L),"")</f>
        <v>LSEAM3269</v>
      </c>
      <c r="G313" s="49">
        <f t="array" ref="G313">IFERROR(_xlfn.XLOOKUP($B313,'Histórico'!$B:$B,'Histórico'!$F:$F),"")</f>
        <v>46125</v>
      </c>
      <c r="H313" s="19" t="str">
        <f t="array" ref="H313">IFERROR(_xlfn.XLOOKUP($B313,'Histórico'!$B:$B,'Histórico'!$AA:$AA),"")</f>
        <v>BANT</v>
      </c>
      <c r="I313" s="19" t="str">
        <f t="array" ref="I313">IFERROR(_xlfn.XLOOKUP($B313,Atual!$B:$B,Atual!$E:$E),"OS concluída")</f>
        <v>OS concluída</v>
      </c>
      <c r="J313" s="19" t="str">
        <f t="shared" si="1"/>
        <v/>
      </c>
      <c r="K313" s="19"/>
      <c r="L313" s="19">
        <f t="shared" si="2"/>
        <v>107</v>
      </c>
      <c r="M313" s="19"/>
      <c r="N313" s="49">
        <f t="array" ref="N313">IFERROR(_xlfn.XLOOKUP($B313,EMPRESA_1!A:A,EMPRESA_1!J:J),"")</f>
        <v>46232</v>
      </c>
      <c r="O313" s="50" t="str">
        <f t="array" ref="O313">IFERROR(_xlfn.XLOOKUP(B313,EMPRESA_1!A:A,EMPRESA_1!K:K),"")
</f>
        <v>PAMA-LS</v>
      </c>
      <c r="P313" s="48" t="str">
        <f t="array" ref="P313">IFERROR(_xlfn.XLOOKUP(B313,EMPRESA_1!A:A,EMPRESA_1!L:L),"")</f>
        <v>598/FAB/26</v>
      </c>
      <c r="Q313" s="49">
        <f t="array" ref="Q313">IFERROR(_xlfn.XLOOKUP(B313,EMPRESA_1!A:A,EMPRESA_1!J:J),"")</f>
        <v>46232</v>
      </c>
      <c r="R313" s="19" t="str">
        <f t="array" ref="R313">IFERROR(_xlfn.XLOOKUP(B313,EMPRESA_1!A:A,EMPRESA_1!M:M),"")</f>
        <v/>
      </c>
      <c r="S313" s="51"/>
      <c r="T313" s="51" t="str">
        <f t="array" ref="T313">IFERROR(_xlfn.XLOOKUP($F313,'Acerto virtual'!$E:$E,'Acerto virtual'!F:F),"")</f>
        <v/>
      </c>
      <c r="U313" s="51" t="str">
        <f t="array" ref="U313">IFERROR(_xlfn.XLOOKUP($F313,'Acerto virtual'!$E:$E,'Acerto virtual'!G:G),"")</f>
        <v/>
      </c>
      <c r="V313" s="51" t="str">
        <f t="array" ref="V313">IFERROR(_xlfn.XLOOKUP($F313,'Acerto virtual'!$E:$E,'Acerto virtual'!H:H),"")</f>
        <v/>
      </c>
      <c r="W313" s="51" t="str">
        <f t="array" ref="W313">IFERROR(_xlfn.XLOOKUP($F313,'Acerto virtual'!$E:$E,'Acerto virtual'!I:I),"")</f>
        <v/>
      </c>
      <c r="X313" s="51" t="str">
        <f t="array" ref="X313">IFERROR(_xlfn.XLOOKUP($F313,'Acerto virtual'!$E:$E,'Acerto virtual'!J:J),"")</f>
        <v/>
      </c>
      <c r="Y313" s="51" t="str">
        <f t="array" ref="Y313">IFERROR(_xlfn.XLOOKUP($F313,'Acerto virtual'!$E:$E,'Acerto virtual'!K:K),"")</f>
        <v/>
      </c>
      <c r="Z313" s="51" t="str">
        <f t="array" ref="Z313">IFERROR(_xlfn.XLOOKUP($F313,'Acerto virtual'!$E:$E,'Acerto virtual'!L:L),"")</f>
        <v/>
      </c>
      <c r="AA313" s="51" t="str">
        <f t="array" ref="AA313">IFERROR(_xlfn.XLOOKUP($F313,'Acerto virtual'!$E:$E,'Acerto virtual'!M:M),"")</f>
        <v/>
      </c>
      <c r="AB313" s="51" t="str">
        <f t="array" ref="AB313">IFERROR(_xlfn.XLOOKUP($F313,'Acerto virtual'!$E:$E,'Acerto virtual'!N:N),"")</f>
        <v/>
      </c>
      <c r="AC313" s="51" t="str">
        <f t="array" ref="AC313">IFERROR(_xlfn.XLOOKUP($F313,'Acerto virtual'!$E:$E,'Acerto virtual'!O:O),"")</f>
        <v/>
      </c>
      <c r="AD313" s="51" t="str">
        <f t="array" ref="AD313">IFERROR(_xlfn.XLOOKUP($F313,'Acerto virtual'!$E:$E,'Acerto virtual'!P:P),"")</f>
        <v/>
      </c>
      <c r="AE313" s="51" t="str">
        <f t="array" ref="AE313">IFERROR(_xlfn.XLOOKUP($F313,'Acerto virtual'!$E:$E,'Acerto virtual'!Q:Q),"")</f>
        <v/>
      </c>
      <c r="AF313" s="51" t="str">
        <f t="array" ref="AF313">IFERROR(_xlfn.XLOOKUP($F313,'Acerto virtual'!$E:$E,'Acerto virtual'!R:R),"")</f>
        <v/>
      </c>
      <c r="AG313" s="51" t="str">
        <f t="array" ref="AG313">IFERROR(_xlfn.XLOOKUP($F313,'Acerto virtual'!$E:$E,'Acerto virtual'!S:S),"")</f>
        <v/>
      </c>
      <c r="AH313" s="51" t="str">
        <f t="array" ref="AH313">IFERROR(_xlfn.XLOOKUP($F313,'Acerto virtual'!$E:$E,'Acerto virtual'!T:T),"")</f>
        <v/>
      </c>
      <c r="AI313" s="51" t="str">
        <f t="array" ref="AI313">IFERROR(_xlfn.XLOOKUP($F313,'Acerto virtual'!$E:$E,'Acerto virtual'!U:U),"")</f>
        <v/>
      </c>
    </row>
    <row r="314">
      <c r="A314" s="47" t="s">
        <v>948</v>
      </c>
      <c r="B314" s="47" t="s">
        <v>949</v>
      </c>
      <c r="C314" s="48" t="str">
        <f t="array" ref="C314">IFERROR(_xlfn.XLOOKUP($B314,'Histórico'!$B:$B,'Histórico'!$I:$I),"")</f>
        <v>066-3060-00</v>
      </c>
      <c r="D314" s="19">
        <f t="array" ref="D314">IFERROR(_xlfn.XLOOKUP($B314,'Histórico'!$B:$B,'Histórico'!$J:$J),"")</f>
        <v>22373</v>
      </c>
      <c r="E314" s="19" t="str">
        <f t="array" ref="E314">IFERROR(_xlfn.XLOOKUP($B314,'Histórico'!$B:$B,'Histórico'!$K:$K),"")</f>
        <v>IND RMI KNI582</v>
      </c>
      <c r="F314" s="19" t="str">
        <f t="array" ref="F314">IFERROR(_xlfn.XLOOKUP($B314,'Histórico'!$B:$B,'Histórico'!$L:$L),"")</f>
        <v>9727</v>
      </c>
      <c r="G314" s="49">
        <f t="array" ref="G314">IFERROR(_xlfn.XLOOKUP($B314,'Histórico'!$B:$B,'Histórico'!$F:$F),"")</f>
        <v>46125</v>
      </c>
      <c r="H314" s="19" t="str">
        <f t="array" ref="H314">IFERROR(_xlfn.XLOOKUP($B314,'Histórico'!$B:$B,'Histórico'!$AA:$AA),"")</f>
        <v>BANT</v>
      </c>
      <c r="I314" s="19" t="str">
        <f t="array" ref="I314">IFERROR(_xlfn.XLOOKUP($B314,Atual!$B:$B,Atual!$E:$E),"OS concluída")</f>
        <v>REC</v>
      </c>
      <c r="J314" s="19">
        <f t="shared" si="1"/>
        <v>185</v>
      </c>
      <c r="K314" s="19"/>
      <c r="L314" s="19" t="str">
        <f t="shared" si="2"/>
        <v>NÃO APLICÁVEL</v>
      </c>
      <c r="M314" s="19"/>
      <c r="N314" s="49" t="str">
        <f t="array" ref="N314">IFERROR(_xlfn.XLOOKUP($B314,EMPRESA_1!A:A,EMPRESA_1!J:J),"")</f>
        <v>EM REPARO</v>
      </c>
      <c r="O314" s="50" t="str">
        <f t="array" ref="O314">IFERROR(_xlfn.XLOOKUP(B314,EMPRESA_1!A:A,EMPRESA_1!K:K),"")
</f>
        <v>LEAP</v>
      </c>
      <c r="P314" s="48" t="str">
        <f t="array" ref="P314">IFERROR(_xlfn.XLOOKUP(B314,EMPRESA_1!A:A,EMPRESA_1!L:L),"")</f>
        <v/>
      </c>
      <c r="Q314" s="49" t="str">
        <f t="array" ref="Q314">IFERROR(_xlfn.XLOOKUP(B314,EMPRESA_1!A:A,EMPRESA_1!J:J),"")</f>
        <v>EM REPARO</v>
      </c>
      <c r="R314" s="19" t="str">
        <f t="array" ref="R314">IFERROR(_xlfn.XLOOKUP(B314,EMPRESA_1!A:A,EMPRESA_1!M:M),"")</f>
        <v/>
      </c>
      <c r="S314" s="51"/>
      <c r="T314" s="51" t="str">
        <f t="array" ref="T314">IFERROR(_xlfn.XLOOKUP($F314,'Acerto virtual'!$E:$E,'Acerto virtual'!F:F),"")</f>
        <v/>
      </c>
      <c r="U314" s="51" t="str">
        <f t="array" ref="U314">IFERROR(_xlfn.XLOOKUP($F314,'Acerto virtual'!$E:$E,'Acerto virtual'!G:G),"")</f>
        <v/>
      </c>
      <c r="V314" s="51" t="str">
        <f t="array" ref="V314">IFERROR(_xlfn.XLOOKUP($F314,'Acerto virtual'!$E:$E,'Acerto virtual'!H:H),"")</f>
        <v/>
      </c>
      <c r="W314" s="51" t="str">
        <f t="array" ref="W314">IFERROR(_xlfn.XLOOKUP($F314,'Acerto virtual'!$E:$E,'Acerto virtual'!I:I),"")</f>
        <v/>
      </c>
      <c r="X314" s="51" t="str">
        <f t="array" ref="X314">IFERROR(_xlfn.XLOOKUP($F314,'Acerto virtual'!$E:$E,'Acerto virtual'!J:J),"")</f>
        <v/>
      </c>
      <c r="Y314" s="51" t="str">
        <f t="array" ref="Y314">IFERROR(_xlfn.XLOOKUP($F314,'Acerto virtual'!$E:$E,'Acerto virtual'!K:K),"")</f>
        <v/>
      </c>
      <c r="Z314" s="51" t="str">
        <f t="array" ref="Z314">IFERROR(_xlfn.XLOOKUP($F314,'Acerto virtual'!$E:$E,'Acerto virtual'!L:L),"")</f>
        <v/>
      </c>
      <c r="AA314" s="51" t="str">
        <f t="array" ref="AA314">IFERROR(_xlfn.XLOOKUP($F314,'Acerto virtual'!$E:$E,'Acerto virtual'!M:M),"")</f>
        <v/>
      </c>
      <c r="AB314" s="51" t="str">
        <f t="array" ref="AB314">IFERROR(_xlfn.XLOOKUP($F314,'Acerto virtual'!$E:$E,'Acerto virtual'!N:N),"")</f>
        <v/>
      </c>
      <c r="AC314" s="51" t="str">
        <f t="array" ref="AC314">IFERROR(_xlfn.XLOOKUP($F314,'Acerto virtual'!$E:$E,'Acerto virtual'!O:O),"")</f>
        <v/>
      </c>
      <c r="AD314" s="51" t="str">
        <f t="array" ref="AD314">IFERROR(_xlfn.XLOOKUP($F314,'Acerto virtual'!$E:$E,'Acerto virtual'!P:P),"")</f>
        <v/>
      </c>
      <c r="AE314" s="51" t="str">
        <f t="array" ref="AE314">IFERROR(_xlfn.XLOOKUP($F314,'Acerto virtual'!$E:$E,'Acerto virtual'!Q:Q),"")</f>
        <v/>
      </c>
      <c r="AF314" s="51" t="str">
        <f t="array" ref="AF314">IFERROR(_xlfn.XLOOKUP($F314,'Acerto virtual'!$E:$E,'Acerto virtual'!R:R),"")</f>
        <v/>
      </c>
      <c r="AG314" s="51" t="str">
        <f t="array" ref="AG314">IFERROR(_xlfn.XLOOKUP($F314,'Acerto virtual'!$E:$E,'Acerto virtual'!S:S),"")</f>
        <v/>
      </c>
      <c r="AH314" s="51" t="str">
        <f t="array" ref="AH314">IFERROR(_xlfn.XLOOKUP($F314,'Acerto virtual'!$E:$E,'Acerto virtual'!T:T),"")</f>
        <v/>
      </c>
      <c r="AI314" s="51" t="str">
        <f t="array" ref="AI314">IFERROR(_xlfn.XLOOKUP($F314,'Acerto virtual'!$E:$E,'Acerto virtual'!U:U),"")</f>
        <v/>
      </c>
    </row>
    <row r="315" hidden="1">
      <c r="A315" s="47" t="s">
        <v>950</v>
      </c>
      <c r="B315" s="47" t="s">
        <v>951</v>
      </c>
      <c r="C315" s="48" t="str">
        <f t="array" ref="C315">IFERROR(_xlfn.XLOOKUP($B315,'Histórico'!$B:$B,'Histórico'!$I:$I),"")</f>
        <v>162-10700</v>
      </c>
      <c r="D315" s="19">
        <f t="array" ref="D315">IFERROR(_xlfn.XLOOKUP($B315,'Histórico'!$B:$B,'Histórico'!$J:$J),"")</f>
        <v>71513</v>
      </c>
      <c r="E315" s="19" t="str">
        <f t="array" ref="E315">IFERROR(_xlfn.XLOOKUP($B315,'Histórico'!$B:$B,'Histórico'!$K:$K),"")</f>
        <v>OUTER WHEEL HALF ASSY</v>
      </c>
      <c r="F315" s="19" t="str">
        <f t="array" ref="F315">IFERROR(_xlfn.XLOOKUP($B315,'Histórico'!$B:$B,'Histórico'!$L:$L),"")</f>
        <v>LSEAM3168</v>
      </c>
      <c r="G315" s="49">
        <f t="array" ref="G315">IFERROR(_xlfn.XLOOKUP($B315,'Histórico'!$B:$B,'Histórico'!$F:$F),"")</f>
        <v>46125</v>
      </c>
      <c r="H315" s="19" t="str">
        <f t="array" ref="H315">IFERROR(_xlfn.XLOOKUP($B315,'Histórico'!$B:$B,'Histórico'!$AA:$AA),"")</f>
        <v>BANT</v>
      </c>
      <c r="I315" s="19" t="str">
        <f t="array" ref="I315">IFERROR(_xlfn.XLOOKUP($B315,Atual!$B:$B,Atual!$E:$E),"OS concluída")</f>
        <v>OS concluída</v>
      </c>
      <c r="J315" s="19" t="str">
        <f t="shared" si="1"/>
        <v/>
      </c>
      <c r="K315" s="19"/>
      <c r="L315" s="19">
        <f t="shared" si="2"/>
        <v>107</v>
      </c>
      <c r="M315" s="19"/>
      <c r="N315" s="49">
        <f t="array" ref="N315">IFERROR(_xlfn.XLOOKUP($B315,EMPRESA_1!A:A,EMPRESA_1!J:J),"")</f>
        <v>46232</v>
      </c>
      <c r="O315" s="50" t="str">
        <f t="array" ref="O315">IFERROR(_xlfn.XLOOKUP(B315,EMPRESA_1!A:A,EMPRESA_1!K:K),"")
</f>
        <v>PAMA-LS</v>
      </c>
      <c r="P315" s="48" t="str">
        <f t="array" ref="P315">IFERROR(_xlfn.XLOOKUP(B315,EMPRESA_1!A:A,EMPRESA_1!L:L),"")</f>
        <v>598/FAB/26</v>
      </c>
      <c r="Q315" s="49">
        <f t="array" ref="Q315">IFERROR(_xlfn.XLOOKUP(B315,EMPRESA_1!A:A,EMPRESA_1!J:J),"")</f>
        <v>46232</v>
      </c>
      <c r="R315" s="19" t="str">
        <f t="array" ref="R315">IFERROR(_xlfn.XLOOKUP(B315,EMPRESA_1!A:A,EMPRESA_1!M:M),"")</f>
        <v/>
      </c>
      <c r="S315" s="51"/>
      <c r="T315" s="51" t="str">
        <f t="array" ref="T315">IFERROR(_xlfn.XLOOKUP($F315,'Acerto virtual'!$E:$E,'Acerto virtual'!F:F),"")</f>
        <v/>
      </c>
      <c r="U315" s="51" t="str">
        <f t="array" ref="U315">IFERROR(_xlfn.XLOOKUP($F315,'Acerto virtual'!$E:$E,'Acerto virtual'!G:G),"")</f>
        <v/>
      </c>
      <c r="V315" s="51" t="str">
        <f t="array" ref="V315">IFERROR(_xlfn.XLOOKUP($F315,'Acerto virtual'!$E:$E,'Acerto virtual'!H:H),"")</f>
        <v/>
      </c>
      <c r="W315" s="51" t="str">
        <f t="array" ref="W315">IFERROR(_xlfn.XLOOKUP($F315,'Acerto virtual'!$E:$E,'Acerto virtual'!I:I),"")</f>
        <v/>
      </c>
      <c r="X315" s="51" t="str">
        <f t="array" ref="X315">IFERROR(_xlfn.XLOOKUP($F315,'Acerto virtual'!$E:$E,'Acerto virtual'!J:J),"")</f>
        <v/>
      </c>
      <c r="Y315" s="51" t="str">
        <f t="array" ref="Y315">IFERROR(_xlfn.XLOOKUP($F315,'Acerto virtual'!$E:$E,'Acerto virtual'!K:K),"")</f>
        <v/>
      </c>
      <c r="Z315" s="51" t="str">
        <f t="array" ref="Z315">IFERROR(_xlfn.XLOOKUP($F315,'Acerto virtual'!$E:$E,'Acerto virtual'!L:L),"")</f>
        <v/>
      </c>
      <c r="AA315" s="51" t="str">
        <f t="array" ref="AA315">IFERROR(_xlfn.XLOOKUP($F315,'Acerto virtual'!$E:$E,'Acerto virtual'!M:M),"")</f>
        <v/>
      </c>
      <c r="AB315" s="51" t="str">
        <f t="array" ref="AB315">IFERROR(_xlfn.XLOOKUP($F315,'Acerto virtual'!$E:$E,'Acerto virtual'!N:N),"")</f>
        <v/>
      </c>
      <c r="AC315" s="51" t="str">
        <f t="array" ref="AC315">IFERROR(_xlfn.XLOOKUP($F315,'Acerto virtual'!$E:$E,'Acerto virtual'!O:O),"")</f>
        <v/>
      </c>
      <c r="AD315" s="51" t="str">
        <f t="array" ref="AD315">IFERROR(_xlfn.XLOOKUP($F315,'Acerto virtual'!$E:$E,'Acerto virtual'!P:P),"")</f>
        <v/>
      </c>
      <c r="AE315" s="51" t="str">
        <f t="array" ref="AE315">IFERROR(_xlfn.XLOOKUP($F315,'Acerto virtual'!$E:$E,'Acerto virtual'!Q:Q),"")</f>
        <v/>
      </c>
      <c r="AF315" s="51" t="str">
        <f t="array" ref="AF315">IFERROR(_xlfn.XLOOKUP($F315,'Acerto virtual'!$E:$E,'Acerto virtual'!R:R),"")</f>
        <v/>
      </c>
      <c r="AG315" s="51" t="str">
        <f t="array" ref="AG315">IFERROR(_xlfn.XLOOKUP($F315,'Acerto virtual'!$E:$E,'Acerto virtual'!S:S),"")</f>
        <v/>
      </c>
      <c r="AH315" s="51" t="str">
        <f t="array" ref="AH315">IFERROR(_xlfn.XLOOKUP($F315,'Acerto virtual'!$E:$E,'Acerto virtual'!T:T),"")</f>
        <v/>
      </c>
      <c r="AI315" s="51" t="str">
        <f t="array" ref="AI315">IFERROR(_xlfn.XLOOKUP($F315,'Acerto virtual'!$E:$E,'Acerto virtual'!U:U),"")</f>
        <v/>
      </c>
    </row>
    <row r="316" hidden="1">
      <c r="A316" s="47" t="s">
        <v>952</v>
      </c>
      <c r="B316" s="47" t="s">
        <v>953</v>
      </c>
      <c r="C316" s="19" t="str">
        <f t="array" ref="C316">IFERROR(_xlfn.XLOOKUP($B316,'Histórico'!$B:$B,'Histórico'!$I:$I),"")</f>
        <v>161-12800</v>
      </c>
      <c r="D316" s="19">
        <f t="array" ref="D316">IFERROR(_xlfn.XLOOKUP($B316,'Histórico'!$B:$B,'Histórico'!$J:$J),"")</f>
        <v>71513</v>
      </c>
      <c r="E316" s="19" t="str">
        <f t="array" ref="E316">IFERROR(_xlfn.XLOOKUP($B316,'Histórico'!$B:$B,'Histórico'!$K:$K),"")</f>
        <v>WHEEL HALF ASSY-INNER</v>
      </c>
      <c r="F316" s="19" t="str">
        <f t="array" ref="F316">IFERROR(_xlfn.XLOOKUP($B316,'Histórico'!$B:$B,'Histórico'!$L:$L),"")</f>
        <v>31</v>
      </c>
      <c r="G316" s="49">
        <f t="array" ref="G316">IFERROR(_xlfn.XLOOKUP($B316,'Histórico'!$B:$B,'Histórico'!$F:$F),"")</f>
        <v>46125</v>
      </c>
      <c r="H316" s="19" t="str">
        <f t="array" ref="H316">IFERROR(_xlfn.XLOOKUP($B316,'Histórico'!$B:$B,'Histórico'!$AA:$AA),"")</f>
        <v>BANT</v>
      </c>
      <c r="I316" s="19" t="str">
        <f t="array" ref="I316">IFERROR(_xlfn.XLOOKUP($B316,Atual!$B:$B,Atual!$E:$E),"OS concluída")</f>
        <v>OS concluída</v>
      </c>
      <c r="J316" s="19" t="str">
        <f t="shared" si="1"/>
        <v/>
      </c>
      <c r="K316" s="19"/>
      <c r="L316" s="19" t="str">
        <f t="shared" si="2"/>
        <v/>
      </c>
      <c r="M316" s="19"/>
      <c r="N316" s="49" t="str">
        <f t="array" ref="N316">IFERROR(_xlfn.XLOOKUP($B316,Empresa!G:G,Empresa!K:K),"")</f>
        <v/>
      </c>
      <c r="O316" s="50" t="str">
        <f t="array" ref="O316">IFERROR(_xlfn.XLOOKUP(B316,EMPRESA_1!A:A,EMPRESA_1!K:K),"")
</f>
        <v>VEE ONE</v>
      </c>
      <c r="P316" s="19" t="str">
        <f t="array" ref="P316">IFERROR(_xlfn.XLOOKUP(B316,EMPRESA_1!A:A,EMPRESA_1!L:L),"")</f>
        <v/>
      </c>
      <c r="Q316" s="49" t="str">
        <f t="array" ref="Q316">IFERROR(_xlfn.XLOOKUP(B316,EMPRESA_1!A:A,EMPRESA_1!J:J),"")</f>
        <v>REPARADO</v>
      </c>
      <c r="R316" s="19" t="str">
        <f t="array" ref="R316">IFERROR(_xlfn.XLOOKUP(B316,EMPRESA_1!A:A,EMPRESA_1!M:M),"")</f>
        <v/>
      </c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</row>
    <row r="317" hidden="1">
      <c r="A317" s="47" t="s">
        <v>954</v>
      </c>
      <c r="B317" s="47" t="s">
        <v>955</v>
      </c>
      <c r="C317" s="48" t="str">
        <f t="array" ref="C317">IFERROR(_xlfn.XLOOKUP($B317,'Histórico'!$B:$B,'Histórico'!$I:$I),"")</f>
        <v>161-12800</v>
      </c>
      <c r="D317" s="19">
        <f t="array" ref="D317">IFERROR(_xlfn.XLOOKUP($B317,'Histórico'!$B:$B,'Histórico'!$J:$J),"")</f>
        <v>71513</v>
      </c>
      <c r="E317" s="19" t="str">
        <f t="array" ref="E317">IFERROR(_xlfn.XLOOKUP($B317,'Histórico'!$B:$B,'Histórico'!$K:$K),"")</f>
        <v>WHEEL HALF ASSY-INNER</v>
      </c>
      <c r="F317" s="19" t="str">
        <f t="array" ref="F317">IFERROR(_xlfn.XLOOKUP($B317,'Histórico'!$B:$B,'Histórico'!$L:$L),"")</f>
        <v>965</v>
      </c>
      <c r="G317" s="49">
        <f t="array" ref="G317">IFERROR(_xlfn.XLOOKUP($B317,'Histórico'!$B:$B,'Histórico'!$F:$F),"")</f>
        <v>46125</v>
      </c>
      <c r="H317" s="19" t="str">
        <f t="array" ref="H317">IFERROR(_xlfn.XLOOKUP($B317,'Histórico'!$B:$B,'Histórico'!$AA:$AA),"")</f>
        <v>BANT</v>
      </c>
      <c r="I317" s="19" t="str">
        <f t="array" ref="I317">IFERROR(_xlfn.XLOOKUP($B317,Atual!$B:$B,Atual!$E:$E),"OS concluída")</f>
        <v>OS concluída</v>
      </c>
      <c r="J317" s="19" t="str">
        <f t="shared" si="1"/>
        <v/>
      </c>
      <c r="K317" s="19"/>
      <c r="L317" s="19">
        <f t="shared" si="2"/>
        <v>107</v>
      </c>
      <c r="M317" s="19"/>
      <c r="N317" s="49">
        <f t="array" ref="N317">IFERROR(_xlfn.XLOOKUP($B317,EMPRESA_1!A:A,EMPRESA_1!J:J),"")</f>
        <v>46232</v>
      </c>
      <c r="O317" s="50" t="str">
        <f t="array" ref="O317">IFERROR(_xlfn.XLOOKUP(B317,EMPRESA_1!A:A,EMPRESA_1!K:K),"")
</f>
        <v/>
      </c>
      <c r="P317" s="48" t="str">
        <f t="array" ref="P317">IFERROR(_xlfn.XLOOKUP(B317,EMPRESA_1!A:A,EMPRESA_1!L:L),"")</f>
        <v>598/FAB/26</v>
      </c>
      <c r="Q317" s="49">
        <f t="array" ref="Q317">IFERROR(_xlfn.XLOOKUP(B317,EMPRESA_1!A:A,EMPRESA_1!J:J),"")</f>
        <v>46232</v>
      </c>
      <c r="R317" s="19" t="str">
        <f t="array" ref="R317">IFERROR(_xlfn.XLOOKUP(B317,EMPRESA_1!A:A,EMPRESA_1!M:M),"")</f>
        <v/>
      </c>
      <c r="S317" s="51"/>
      <c r="T317" s="51" t="str">
        <f t="array" ref="T317">IFERROR(_xlfn.XLOOKUP($F317,'Acerto virtual'!$E:$E,'Acerto virtual'!F:F),"")</f>
        <v/>
      </c>
      <c r="U317" s="51" t="str">
        <f t="array" ref="U317">IFERROR(_xlfn.XLOOKUP($F317,'Acerto virtual'!$E:$E,'Acerto virtual'!G:G),"")</f>
        <v/>
      </c>
      <c r="V317" s="51" t="str">
        <f t="array" ref="V317">IFERROR(_xlfn.XLOOKUP($F317,'Acerto virtual'!$E:$E,'Acerto virtual'!H:H),"")</f>
        <v/>
      </c>
      <c r="W317" s="51" t="str">
        <f t="array" ref="W317">IFERROR(_xlfn.XLOOKUP($F317,'Acerto virtual'!$E:$E,'Acerto virtual'!I:I),"")</f>
        <v/>
      </c>
      <c r="X317" s="51" t="str">
        <f t="array" ref="X317">IFERROR(_xlfn.XLOOKUP($F317,'Acerto virtual'!$E:$E,'Acerto virtual'!J:J),"")</f>
        <v/>
      </c>
      <c r="Y317" s="51" t="str">
        <f t="array" ref="Y317">IFERROR(_xlfn.XLOOKUP($F317,'Acerto virtual'!$E:$E,'Acerto virtual'!K:K),"")</f>
        <v/>
      </c>
      <c r="Z317" s="51" t="str">
        <f t="array" ref="Z317">IFERROR(_xlfn.XLOOKUP($F317,'Acerto virtual'!$E:$E,'Acerto virtual'!L:L),"")</f>
        <v/>
      </c>
      <c r="AA317" s="51" t="str">
        <f t="array" ref="AA317">IFERROR(_xlfn.XLOOKUP($F317,'Acerto virtual'!$E:$E,'Acerto virtual'!M:M),"")</f>
        <v/>
      </c>
      <c r="AB317" s="51" t="str">
        <f t="array" ref="AB317">IFERROR(_xlfn.XLOOKUP($F317,'Acerto virtual'!$E:$E,'Acerto virtual'!N:N),"")</f>
        <v/>
      </c>
      <c r="AC317" s="51" t="str">
        <f t="array" ref="AC317">IFERROR(_xlfn.XLOOKUP($F317,'Acerto virtual'!$E:$E,'Acerto virtual'!O:O),"")</f>
        <v/>
      </c>
      <c r="AD317" s="51" t="str">
        <f t="array" ref="AD317">IFERROR(_xlfn.XLOOKUP($F317,'Acerto virtual'!$E:$E,'Acerto virtual'!P:P),"")</f>
        <v/>
      </c>
      <c r="AE317" s="51" t="str">
        <f t="array" ref="AE317">IFERROR(_xlfn.XLOOKUP($F317,'Acerto virtual'!$E:$E,'Acerto virtual'!Q:Q),"")</f>
        <v/>
      </c>
      <c r="AF317" s="51" t="str">
        <f t="array" ref="AF317">IFERROR(_xlfn.XLOOKUP($F317,'Acerto virtual'!$E:$E,'Acerto virtual'!R:R),"")</f>
        <v/>
      </c>
      <c r="AG317" s="51" t="str">
        <f t="array" ref="AG317">IFERROR(_xlfn.XLOOKUP($F317,'Acerto virtual'!$E:$E,'Acerto virtual'!S:S),"")</f>
        <v/>
      </c>
      <c r="AH317" s="51" t="str">
        <f t="array" ref="AH317">IFERROR(_xlfn.XLOOKUP($F317,'Acerto virtual'!$E:$E,'Acerto virtual'!T:T),"")</f>
        <v/>
      </c>
      <c r="AI317" s="51" t="str">
        <f t="array" ref="AI317">IFERROR(_xlfn.XLOOKUP($F317,'Acerto virtual'!$E:$E,'Acerto virtual'!U:U),"")</f>
        <v/>
      </c>
    </row>
    <row r="318" hidden="1">
      <c r="A318" s="47" t="s">
        <v>956</v>
      </c>
      <c r="B318" s="47" t="s">
        <v>957</v>
      </c>
      <c r="C318" s="48" t="str">
        <f t="array" ref="C318">IFERROR(_xlfn.XLOOKUP($B318,'Histórico'!$B:$B,'Histórico'!$I:$I),"")</f>
        <v>162-11800</v>
      </c>
      <c r="D318" s="19">
        <f t="array" ref="D318">IFERROR(_xlfn.XLOOKUP($B318,'Histórico'!$B:$B,'Histórico'!$J:$J),"")</f>
        <v>33269</v>
      </c>
      <c r="E318" s="19" t="str">
        <f t="array" ref="E318">IFERROR(_xlfn.XLOOKUP($B318,'Histórico'!$B:$B,'Histórico'!$K:$K),"")</f>
        <v>WHEEL HALF ASSY-OUTER</v>
      </c>
      <c r="F318" s="19" t="str">
        <f t="array" ref="F318">IFERROR(_xlfn.XLOOKUP($B318,'Histórico'!$B:$B,'Histórico'!$L:$L),"")</f>
        <v>2007</v>
      </c>
      <c r="G318" s="49">
        <f t="array" ref="G318">IFERROR(_xlfn.XLOOKUP($B318,'Histórico'!$B:$B,'Histórico'!$F:$F),"")</f>
        <v>46125</v>
      </c>
      <c r="H318" s="19" t="str">
        <f t="array" ref="H318">IFERROR(_xlfn.XLOOKUP($B318,'Histórico'!$B:$B,'Histórico'!$AA:$AA),"")</f>
        <v>EPCAR</v>
      </c>
      <c r="I318" s="19" t="str">
        <f t="array" ref="I318">IFERROR(_xlfn.XLOOKUP($B318,Atual!$B:$B,Atual!$E:$E),"OS concluída")</f>
        <v>OS concluída</v>
      </c>
      <c r="J318" s="19" t="str">
        <f t="shared" si="1"/>
        <v/>
      </c>
      <c r="K318" s="19"/>
      <c r="L318" s="19">
        <f t="shared" si="2"/>
        <v>107</v>
      </c>
      <c r="M318" s="19"/>
      <c r="N318" s="49">
        <f t="array" ref="N318">IFERROR(_xlfn.XLOOKUP($B318,EMPRESA_1!A:A,EMPRESA_1!J:J),"")</f>
        <v>46232</v>
      </c>
      <c r="O318" s="50" t="str">
        <f t="array" ref="O318">IFERROR(_xlfn.XLOOKUP(B318,EMPRESA_1!A:A,EMPRESA_1!K:K),"")
</f>
        <v/>
      </c>
      <c r="P318" s="48" t="str">
        <f t="array" ref="P318">IFERROR(_xlfn.XLOOKUP(B318,EMPRESA_1!A:A,EMPRESA_1!L:L),"")</f>
        <v>598/FAB/26</v>
      </c>
      <c r="Q318" s="49">
        <f t="array" ref="Q318">IFERROR(_xlfn.XLOOKUP(B318,EMPRESA_1!A:A,EMPRESA_1!J:J),"")</f>
        <v>46232</v>
      </c>
      <c r="R318" s="19" t="str">
        <f t="array" ref="R318">IFERROR(_xlfn.XLOOKUP(B318,EMPRESA_1!A:A,EMPRESA_1!M:M),"")</f>
        <v/>
      </c>
      <c r="S318" s="51"/>
      <c r="T318" s="51" t="str">
        <f t="array" ref="T318">IFERROR(_xlfn.XLOOKUP($F318,'Acerto virtual'!$E:$E,'Acerto virtual'!F:F),"")</f>
        <v/>
      </c>
      <c r="U318" s="51" t="str">
        <f t="array" ref="U318">IFERROR(_xlfn.XLOOKUP($F318,'Acerto virtual'!$E:$E,'Acerto virtual'!G:G),"")</f>
        <v/>
      </c>
      <c r="V318" s="51" t="str">
        <f t="array" ref="V318">IFERROR(_xlfn.XLOOKUP($F318,'Acerto virtual'!$E:$E,'Acerto virtual'!H:H),"")</f>
        <v/>
      </c>
      <c r="W318" s="51" t="str">
        <f t="array" ref="W318">IFERROR(_xlfn.XLOOKUP($F318,'Acerto virtual'!$E:$E,'Acerto virtual'!I:I),"")</f>
        <v/>
      </c>
      <c r="X318" s="51" t="str">
        <f t="array" ref="X318">IFERROR(_xlfn.XLOOKUP($F318,'Acerto virtual'!$E:$E,'Acerto virtual'!J:J),"")</f>
        <v/>
      </c>
      <c r="Y318" s="51" t="str">
        <f t="array" ref="Y318">IFERROR(_xlfn.XLOOKUP($F318,'Acerto virtual'!$E:$E,'Acerto virtual'!K:K),"")</f>
        <v/>
      </c>
      <c r="Z318" s="51" t="str">
        <f t="array" ref="Z318">IFERROR(_xlfn.XLOOKUP($F318,'Acerto virtual'!$E:$E,'Acerto virtual'!L:L),"")</f>
        <v/>
      </c>
      <c r="AA318" s="51" t="str">
        <f t="array" ref="AA318">IFERROR(_xlfn.XLOOKUP($F318,'Acerto virtual'!$E:$E,'Acerto virtual'!M:M),"")</f>
        <v/>
      </c>
      <c r="AB318" s="51" t="str">
        <f t="array" ref="AB318">IFERROR(_xlfn.XLOOKUP($F318,'Acerto virtual'!$E:$E,'Acerto virtual'!N:N),"")</f>
        <v/>
      </c>
      <c r="AC318" s="51" t="str">
        <f t="array" ref="AC318">IFERROR(_xlfn.XLOOKUP($F318,'Acerto virtual'!$E:$E,'Acerto virtual'!O:O),"")</f>
        <v/>
      </c>
      <c r="AD318" s="51" t="str">
        <f t="array" ref="AD318">IFERROR(_xlfn.XLOOKUP($F318,'Acerto virtual'!$E:$E,'Acerto virtual'!P:P),"")</f>
        <v/>
      </c>
      <c r="AE318" s="51" t="str">
        <f t="array" ref="AE318">IFERROR(_xlfn.XLOOKUP($F318,'Acerto virtual'!$E:$E,'Acerto virtual'!Q:Q),"")</f>
        <v/>
      </c>
      <c r="AF318" s="51" t="str">
        <f t="array" ref="AF318">IFERROR(_xlfn.XLOOKUP($F318,'Acerto virtual'!$E:$E,'Acerto virtual'!R:R),"")</f>
        <v/>
      </c>
      <c r="AG318" s="51" t="str">
        <f t="array" ref="AG318">IFERROR(_xlfn.XLOOKUP($F318,'Acerto virtual'!$E:$E,'Acerto virtual'!S:S),"")</f>
        <v/>
      </c>
      <c r="AH318" s="51" t="str">
        <f t="array" ref="AH318">IFERROR(_xlfn.XLOOKUP($F318,'Acerto virtual'!$E:$E,'Acerto virtual'!T:T),"")</f>
        <v/>
      </c>
      <c r="AI318" s="51" t="str">
        <f t="array" ref="AI318">IFERROR(_xlfn.XLOOKUP($F318,'Acerto virtual'!$E:$E,'Acerto virtual'!U:U),"")</f>
        <v/>
      </c>
    </row>
    <row r="319" hidden="1">
      <c r="A319" s="47" t="s">
        <v>958</v>
      </c>
      <c r="B319" s="47" t="s">
        <v>959</v>
      </c>
      <c r="C319" s="48" t="str">
        <f t="array" ref="C319">IFERROR(_xlfn.XLOOKUP($B319,'Histórico'!$B:$B,'Histórico'!$I:$I),"")</f>
        <v>162-11800</v>
      </c>
      <c r="D319" s="19">
        <f t="array" ref="D319">IFERROR(_xlfn.XLOOKUP($B319,'Histórico'!$B:$B,'Histórico'!$J:$J),"")</f>
        <v>33269</v>
      </c>
      <c r="E319" s="19" t="str">
        <f t="array" ref="E319">IFERROR(_xlfn.XLOOKUP($B319,'Histórico'!$B:$B,'Histórico'!$K:$K),"")</f>
        <v>WHEEL HALF ASSY-OUTER</v>
      </c>
      <c r="F319" s="19" t="str">
        <f t="array" ref="F319">IFERROR(_xlfn.XLOOKUP($B319,'Histórico'!$B:$B,'Histórico'!$L:$L),"")</f>
        <v>688</v>
      </c>
      <c r="G319" s="49">
        <f t="array" ref="G319">IFERROR(_xlfn.XLOOKUP($B319,'Histórico'!$B:$B,'Histórico'!$F:$F),"")</f>
        <v>46125</v>
      </c>
      <c r="H319" s="19" t="str">
        <f t="array" ref="H319">IFERROR(_xlfn.XLOOKUP($B319,'Histórico'!$B:$B,'Histórico'!$AA:$AA),"")</f>
        <v>BANT</v>
      </c>
      <c r="I319" s="19" t="str">
        <f t="array" ref="I319">IFERROR(_xlfn.XLOOKUP($B319,Atual!$B:$B,Atual!$E:$E),"OS concluída")</f>
        <v>OS concluída</v>
      </c>
      <c r="J319" s="19" t="str">
        <f t="shared" si="1"/>
        <v/>
      </c>
      <c r="K319" s="19"/>
      <c r="L319" s="19" t="str">
        <f t="shared" si="2"/>
        <v>NÃO APLICÁVEL</v>
      </c>
      <c r="M319" s="19"/>
      <c r="N319" s="49" t="str">
        <f t="array" ref="N319">IFERROR(_xlfn.XLOOKUP($B319,EMPRESA_1!A:A,EMPRESA_1!J:J),"")</f>
        <v>REPARADO</v>
      </c>
      <c r="O319" s="50" t="str">
        <f t="array" ref="O319">IFERROR(_xlfn.XLOOKUP(B319,EMPRESA_1!A:A,EMPRESA_1!K:K),"")
</f>
        <v>VEE ONE</v>
      </c>
      <c r="P319" s="48" t="str">
        <f t="array" ref="P319">IFERROR(_xlfn.XLOOKUP(B319,EMPRESA_1!A:A,EMPRESA_1!L:L),"")</f>
        <v/>
      </c>
      <c r="Q319" s="49" t="str">
        <f t="array" ref="Q319">IFERROR(_xlfn.XLOOKUP(B319,EMPRESA_1!A:A,EMPRESA_1!J:J),"")</f>
        <v>REPARADO</v>
      </c>
      <c r="R319" s="19" t="str">
        <f t="array" ref="R319">IFERROR(_xlfn.XLOOKUP(B319,EMPRESA_1!A:A,EMPRESA_1!M:M),"")</f>
        <v/>
      </c>
      <c r="S319" s="51"/>
      <c r="T319" s="51" t="str">
        <f t="array" ref="T319">IFERROR(_xlfn.XLOOKUP($F319,'Acerto virtual'!$E:$E,'Acerto virtual'!F:F),"")</f>
        <v>023/2026</v>
      </c>
      <c r="U319" s="51" t="str">
        <f t="array" ref="U319">IFERROR(_xlfn.XLOOKUP($F319,'Acerto virtual'!$E:$E,'Acerto virtual'!G:G),"")</f>
        <v>31/08</v>
      </c>
      <c r="V319" s="51" t="str">
        <f t="array" ref="V319">IFERROR(_xlfn.XLOOKUP($F319,'Acerto virtual'!$E:$E,'Acerto virtual'!H:H),"")</f>
        <v>18/08</v>
      </c>
      <c r="W319" s="51" t="str">
        <f t="array" ref="W319">IFERROR(_xlfn.XLOOKUP($F319,'Acerto virtual'!$E:$E,'Acerto virtual'!I:I),"")</f>
        <v/>
      </c>
      <c r="X319" s="51" t="str">
        <f t="array" ref="X319">IFERROR(_xlfn.XLOOKUP($F319,'Acerto virtual'!$E:$E,'Acerto virtual'!J:J),"")</f>
        <v>28/09</v>
      </c>
      <c r="Y319" s="51" t="str">
        <f t="array" ref="Y319">IFERROR(_xlfn.XLOOKUP($F319,'Acerto virtual'!$E:$E,'Acerto virtual'!K:K),"")</f>
        <v>28/09</v>
      </c>
      <c r="Z319" s="51" t="str">
        <f t="array" ref="Z319">IFERROR(_xlfn.XLOOKUP($F319,'Acerto virtual'!$E:$E,'Acerto virtual'!L:L),"")</f>
        <v>28/09</v>
      </c>
      <c r="AA319" s="51" t="str">
        <f t="array" ref="AA319">IFERROR(_xlfn.XLOOKUP($F319,'Acerto virtual'!$E:$E,'Acerto virtual'!M:M),"")</f>
        <v>28/09</v>
      </c>
      <c r="AB319" s="51" t="str">
        <f t="array" ref="AB319">IFERROR(_xlfn.XLOOKUP($F319,'Acerto virtual'!$E:$E,'Acerto virtual'!N:N),"")</f>
        <v>28/09</v>
      </c>
      <c r="AC319" s="51" t="str">
        <f t="array" ref="AC319">IFERROR(_xlfn.XLOOKUP($F319,'Acerto virtual'!$E:$E,'Acerto virtual'!O:O),"")</f>
        <v>28/09</v>
      </c>
      <c r="AD319" s="51" t="str">
        <f t="array" ref="AD319">IFERROR(_xlfn.XLOOKUP($F319,'Acerto virtual'!$E:$E,'Acerto virtual'!P:P),"")</f>
        <v>28/09</v>
      </c>
      <c r="AE319" s="51" t="str">
        <f t="array" ref="AE319">IFERROR(_xlfn.XLOOKUP($F319,'Acerto virtual'!$E:$E,'Acerto virtual'!Q:Q),"")</f>
        <v>28/09</v>
      </c>
      <c r="AF319" s="51" t="str">
        <f t="array" ref="AF319">IFERROR(_xlfn.XLOOKUP($F319,'Acerto virtual'!$E:$E,'Acerto virtual'!R:R),"")</f>
        <v>29/09</v>
      </c>
      <c r="AG319" s="51" t="str">
        <f t="array" ref="AG319">IFERROR(_xlfn.XLOOKUP($F319,'Acerto virtual'!$E:$E,'Acerto virtual'!S:S),"")</f>
        <v>29/09</v>
      </c>
      <c r="AH319" s="51" t="str">
        <f t="array" ref="AH319">IFERROR(_xlfn.XLOOKUP($F319,'Acerto virtual'!$E:$E,'Acerto virtual'!T:T),"")</f>
        <v/>
      </c>
      <c r="AI319" s="51" t="str">
        <f t="array" ref="AI319">IFERROR(_xlfn.XLOOKUP($F319,'Acerto virtual'!$E:$E,'Acerto virtual'!U:U),"")</f>
        <v>RECEBIMENTO PENDENTE - ENTRADA EM ABERTO - GODOY 05/10/2026</v>
      </c>
    </row>
    <row r="320" hidden="1">
      <c r="A320" s="47" t="s">
        <v>960</v>
      </c>
      <c r="B320" s="47" t="s">
        <v>961</v>
      </c>
      <c r="C320" s="48" t="str">
        <f t="array" ref="C320">IFERROR(_xlfn.XLOOKUP($B320,'Histórico'!$B:$B,'Histórico'!$I:$I),"")</f>
        <v>162-11800</v>
      </c>
      <c r="D320" s="19">
        <f t="array" ref="D320">IFERROR(_xlfn.XLOOKUP($B320,'Histórico'!$B:$B,'Histórico'!$J:$J),"")</f>
        <v>33269</v>
      </c>
      <c r="E320" s="19" t="str">
        <f t="array" ref="E320">IFERROR(_xlfn.XLOOKUP($B320,'Histórico'!$B:$B,'Histórico'!$K:$K),"")</f>
        <v>WHEEL HALF ASSY-OUTER</v>
      </c>
      <c r="F320" s="19" t="str">
        <f t="array" ref="F320">IFERROR(_xlfn.XLOOKUP($B320,'Histórico'!$B:$B,'Histórico'!$L:$L),"")</f>
        <v>B4H-038</v>
      </c>
      <c r="G320" s="49">
        <f t="array" ref="G320">IFERROR(_xlfn.XLOOKUP($B320,'Histórico'!$B:$B,'Histórico'!$F:$F),"")</f>
        <v>46125</v>
      </c>
      <c r="H320" s="19" t="str">
        <f t="array" ref="H320">IFERROR(_xlfn.XLOOKUP($B320,'Histórico'!$B:$B,'Histórico'!$AA:$AA),"")</f>
        <v>BANT</v>
      </c>
      <c r="I320" s="19" t="str">
        <f t="array" ref="I320">IFERROR(_xlfn.XLOOKUP($B320,Atual!$B:$B,Atual!$E:$E),"OS concluída")</f>
        <v>OS concluída</v>
      </c>
      <c r="J320" s="19" t="str">
        <f t="shared" si="1"/>
        <v/>
      </c>
      <c r="K320" s="19"/>
      <c r="L320" s="19" t="str">
        <f t="shared" si="2"/>
        <v>NÃO APLICÁVEL</v>
      </c>
      <c r="M320" s="19"/>
      <c r="N320" s="49" t="str">
        <f t="array" ref="N320">IFERROR(_xlfn.XLOOKUP($B320,EMPRESA_1!A:A,EMPRESA_1!J:J),"")</f>
        <v>REPARADO</v>
      </c>
      <c r="O320" s="50" t="str">
        <f t="array" ref="O320">IFERROR(_xlfn.XLOOKUP(B320,EMPRESA_1!A:A,EMPRESA_1!K:K),"")
</f>
        <v>VEE ONE</v>
      </c>
      <c r="P320" s="48" t="str">
        <f t="array" ref="P320">IFERROR(_xlfn.XLOOKUP(B320,EMPRESA_1!A:A,EMPRESA_1!L:L),"")</f>
        <v/>
      </c>
      <c r="Q320" s="49" t="str">
        <f t="array" ref="Q320">IFERROR(_xlfn.XLOOKUP(B320,EMPRESA_1!A:A,EMPRESA_1!J:J),"")</f>
        <v>REPARADO</v>
      </c>
      <c r="R320" s="19" t="str">
        <f t="array" ref="R320">IFERROR(_xlfn.XLOOKUP(B320,EMPRESA_1!A:A,EMPRESA_1!M:M),"")</f>
        <v/>
      </c>
      <c r="S320" s="51"/>
      <c r="T320" s="51" t="str">
        <f t="array" ref="T320">IFERROR(_xlfn.XLOOKUP($F320,'Acerto virtual'!$E:$E,'Acerto virtual'!F:F),"")</f>
        <v/>
      </c>
      <c r="U320" s="51" t="str">
        <f t="array" ref="U320">IFERROR(_xlfn.XLOOKUP($F320,'Acerto virtual'!$E:$E,'Acerto virtual'!G:G),"")</f>
        <v/>
      </c>
      <c r="V320" s="51" t="str">
        <f t="array" ref="V320">IFERROR(_xlfn.XLOOKUP($F320,'Acerto virtual'!$E:$E,'Acerto virtual'!H:H),"")</f>
        <v/>
      </c>
      <c r="W320" s="51" t="str">
        <f t="array" ref="W320">IFERROR(_xlfn.XLOOKUP($F320,'Acerto virtual'!$E:$E,'Acerto virtual'!I:I),"")</f>
        <v/>
      </c>
      <c r="X320" s="51" t="str">
        <f t="array" ref="X320">IFERROR(_xlfn.XLOOKUP($F320,'Acerto virtual'!$E:$E,'Acerto virtual'!J:J),"")</f>
        <v/>
      </c>
      <c r="Y320" s="51" t="str">
        <f t="array" ref="Y320">IFERROR(_xlfn.XLOOKUP($F320,'Acerto virtual'!$E:$E,'Acerto virtual'!K:K),"")</f>
        <v/>
      </c>
      <c r="Z320" s="51" t="str">
        <f t="array" ref="Z320">IFERROR(_xlfn.XLOOKUP($F320,'Acerto virtual'!$E:$E,'Acerto virtual'!L:L),"")</f>
        <v/>
      </c>
      <c r="AA320" s="51" t="str">
        <f t="array" ref="AA320">IFERROR(_xlfn.XLOOKUP($F320,'Acerto virtual'!$E:$E,'Acerto virtual'!M:M),"")</f>
        <v/>
      </c>
      <c r="AB320" s="51" t="str">
        <f t="array" ref="AB320">IFERROR(_xlfn.XLOOKUP($F320,'Acerto virtual'!$E:$E,'Acerto virtual'!N:N),"")</f>
        <v/>
      </c>
      <c r="AC320" s="51" t="str">
        <f t="array" ref="AC320">IFERROR(_xlfn.XLOOKUP($F320,'Acerto virtual'!$E:$E,'Acerto virtual'!O:O),"")</f>
        <v/>
      </c>
      <c r="AD320" s="51" t="str">
        <f t="array" ref="AD320">IFERROR(_xlfn.XLOOKUP($F320,'Acerto virtual'!$E:$E,'Acerto virtual'!P:P),"")</f>
        <v/>
      </c>
      <c r="AE320" s="51" t="str">
        <f t="array" ref="AE320">IFERROR(_xlfn.XLOOKUP($F320,'Acerto virtual'!$E:$E,'Acerto virtual'!Q:Q),"")</f>
        <v/>
      </c>
      <c r="AF320" s="51" t="str">
        <f t="array" ref="AF320">IFERROR(_xlfn.XLOOKUP($F320,'Acerto virtual'!$E:$E,'Acerto virtual'!R:R),"")</f>
        <v/>
      </c>
      <c r="AG320" s="51" t="str">
        <f t="array" ref="AG320">IFERROR(_xlfn.XLOOKUP($F320,'Acerto virtual'!$E:$E,'Acerto virtual'!S:S),"")</f>
        <v/>
      </c>
      <c r="AH320" s="51" t="str">
        <f t="array" ref="AH320">IFERROR(_xlfn.XLOOKUP($F320,'Acerto virtual'!$E:$E,'Acerto virtual'!T:T),"")</f>
        <v/>
      </c>
      <c r="AI320" s="51" t="str">
        <f t="array" ref="AI320">IFERROR(_xlfn.XLOOKUP($F320,'Acerto virtual'!$E:$E,'Acerto virtual'!U:U),"")</f>
        <v/>
      </c>
    </row>
    <row r="321" hidden="1">
      <c r="A321" s="47" t="s">
        <v>962</v>
      </c>
      <c r="B321" s="47" t="s">
        <v>963</v>
      </c>
      <c r="C321" s="19" t="str">
        <f t="array" ref="C321">IFERROR(_xlfn.XLOOKUP($B321,'Histórico'!$B:$B,'Histórico'!$I:$I),"")</f>
        <v>200SGL119Q</v>
      </c>
      <c r="D321" s="19">
        <f t="array" ref="D321">IFERROR(_xlfn.XLOOKUP($B321,'Histórico'!$B:$B,'Histórico'!$J:$J),"")</f>
        <v>95270</v>
      </c>
      <c r="E321" s="19" t="str">
        <f t="array" ref="E321">IFERROR(_xlfn.XLOOKUP($B321,'Histórico'!$B:$B,'Histórico'!$K:$K),"")</f>
        <v>STARTER GENERATOR</v>
      </c>
      <c r="F321" s="19" t="str">
        <f t="array" ref="F321">IFERROR(_xlfn.XLOOKUP($B321,'Histórico'!$B:$B,'Histórico'!$L:$L),"")</f>
        <v>1938-XL</v>
      </c>
      <c r="G321" s="49">
        <f t="array" ref="G321">IFERROR(_xlfn.XLOOKUP($B321,'Histórico'!$B:$B,'Histórico'!$F:$F),"")</f>
        <v>46125</v>
      </c>
      <c r="H321" s="19" t="str">
        <f t="array" ref="H321">IFERROR(_xlfn.XLOOKUP($B321,'Histórico'!$B:$B,'Histórico'!$AA:$AA),"")</f>
        <v>PAMASP</v>
      </c>
      <c r="I321" s="19" t="str">
        <f t="array" ref="I321">IFERROR(_xlfn.XLOOKUP($B321,Atual!$B:$B,Atual!$E:$E),"OS concluída")</f>
        <v>OS concluída</v>
      </c>
      <c r="J321" s="19" t="str">
        <f t="shared" si="1"/>
        <v/>
      </c>
      <c r="K321" s="19"/>
      <c r="L321" s="19" t="str">
        <f t="shared" si="2"/>
        <v/>
      </c>
      <c r="M321" s="19"/>
      <c r="N321" s="49" t="str">
        <f t="shared" ref="N321:N322" si="77">IFERROR(_xlfn.XLOOKUP($B321,Empresa!G:G,Empresa!K:K),"")</f>
        <v/>
      </c>
      <c r="O321" s="49"/>
      <c r="P321" s="19" t="str">
        <f t="array" ref="P321">IFERROR(_xlfn.XLOOKUP($F321,'Vee one'!F:F,'Vee one'!O:O),"")</f>
        <v/>
      </c>
      <c r="Q321" s="19" t="str">
        <f t="array" ref="Q321">IFERROR(_xlfn.XLOOKUP($F321,'Vee one'!F:F,'Vee one'!K:K),"")</f>
        <v/>
      </c>
      <c r="R321" s="19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</row>
    <row r="322" hidden="1">
      <c r="A322" s="47" t="s">
        <v>964</v>
      </c>
      <c r="B322" s="47" t="s">
        <v>965</v>
      </c>
      <c r="C322" s="19" t="str">
        <f t="array" ref="C322">IFERROR(_xlfn.XLOOKUP($B322,'Histórico'!$B:$B,'Histórico'!$I:$I),"")</f>
        <v>200SGL119Q</v>
      </c>
      <c r="D322" s="19">
        <f t="array" ref="D322">IFERROR(_xlfn.XLOOKUP($B322,'Histórico'!$B:$B,'Histórico'!$J:$J),"")</f>
        <v>95270</v>
      </c>
      <c r="E322" s="19" t="str">
        <f t="array" ref="E322">IFERROR(_xlfn.XLOOKUP($B322,'Histórico'!$B:$B,'Histórico'!$K:$K),"")</f>
        <v>STARTER GENERATOR</v>
      </c>
      <c r="F322" s="19" t="str">
        <f t="array" ref="F322">IFERROR(_xlfn.XLOOKUP($B322,'Histórico'!$B:$B,'Histórico'!$L:$L),"")</f>
        <v>3711XL</v>
      </c>
      <c r="G322" s="49">
        <f t="array" ref="G322">IFERROR(_xlfn.XLOOKUP($B322,'Histórico'!$B:$B,'Histórico'!$F:$F),"")</f>
        <v>46125</v>
      </c>
      <c r="H322" s="19" t="str">
        <f t="array" ref="H322">IFERROR(_xlfn.XLOOKUP($B322,'Histórico'!$B:$B,'Histórico'!$AA:$AA),"")</f>
        <v>PAMASP</v>
      </c>
      <c r="I322" s="19" t="str">
        <f t="array" ref="I322">IFERROR(_xlfn.XLOOKUP($B322,Atual!$B:$B,Atual!$E:$E),"OS concluída")</f>
        <v>OS concluída</v>
      </c>
      <c r="J322" s="19" t="str">
        <f t="shared" si="1"/>
        <v/>
      </c>
      <c r="K322" s="19"/>
      <c r="L322" s="19" t="str">
        <f t="shared" si="2"/>
        <v/>
      </c>
      <c r="M322" s="19"/>
      <c r="N322" s="49" t="str">
        <f t="shared" si="77"/>
        <v/>
      </c>
      <c r="O322" s="50" t="str">
        <f t="array" ref="O322">IFERROR(_xlfn.XLOOKUP(B322,EMPRESA_1!A:A,EMPRESA_1!K:K),"")
</f>
        <v>PAMA-LS</v>
      </c>
      <c r="P322" s="19" t="str">
        <f t="array" ref="P322">IFERROR(_xlfn.XLOOKUP(B322,EMPRESA_1!A:A,EMPRESA_1!L:L),"")</f>
        <v>438/FAB/26</v>
      </c>
      <c r="Q322" s="49">
        <f t="array" ref="Q322">IFERROR(_xlfn.XLOOKUP(B322,EMPRESA_1!A:A,EMPRESA_1!J:J),"")</f>
        <v>46175</v>
      </c>
      <c r="R322" s="19" t="str">
        <f t="array" ref="R322">IFERROR(_xlfn.XLOOKUP(B322,EMPRESA_1!A:A,EMPRESA_1!M:M),"")</f>
        <v/>
      </c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</row>
    <row r="323">
      <c r="A323" s="47" t="s">
        <v>966</v>
      </c>
      <c r="B323" s="47" t="s">
        <v>967</v>
      </c>
      <c r="C323" s="48" t="str">
        <f t="array" ref="C323">IFERROR(_xlfn.XLOOKUP($B323,'Histórico'!$B:$B,'Histórico'!$I:$I),"")</f>
        <v>200SGL119Q</v>
      </c>
      <c r="D323" s="19">
        <f t="array" ref="D323">IFERROR(_xlfn.XLOOKUP($B323,'Histórico'!$B:$B,'Histórico'!$J:$J),"")</f>
        <v>95270</v>
      </c>
      <c r="E323" s="19" t="str">
        <f t="array" ref="E323">IFERROR(_xlfn.XLOOKUP($B323,'Histórico'!$B:$B,'Histórico'!$K:$K),"")</f>
        <v>STARTER GENERATOR</v>
      </c>
      <c r="F323" s="19" t="str">
        <f t="array" ref="F323">IFERROR(_xlfn.XLOOKUP($B323,'Histórico'!$B:$B,'Histórico'!$L:$L),"")</f>
        <v>1391</v>
      </c>
      <c r="G323" s="49">
        <f t="array" ref="G323">IFERROR(_xlfn.XLOOKUP($B323,'Histórico'!$B:$B,'Histórico'!$F:$F),"")</f>
        <v>46125</v>
      </c>
      <c r="H323" s="19" t="str">
        <f t="array" ref="H323">IFERROR(_xlfn.XLOOKUP($B323,'Histórico'!$B:$B,'Histórico'!$AA:$AA),"")</f>
        <v>PAMALS</v>
      </c>
      <c r="I323" s="19" t="str">
        <f t="array" ref="I323">IFERROR(_xlfn.XLOOKUP($B323,Atual!$B:$B,Atual!$E:$E),"OS concluída")</f>
        <v>REC</v>
      </c>
      <c r="J323" s="19">
        <f t="shared" si="1"/>
        <v>185</v>
      </c>
      <c r="K323" s="19"/>
      <c r="L323" s="19" t="str">
        <f t="shared" si="2"/>
        <v>NÃO APLICÁVEL</v>
      </c>
      <c r="M323" s="19"/>
      <c r="N323" s="49" t="str">
        <f t="array" ref="N323">IFERROR(_xlfn.XLOOKUP($B323,EMPRESA_1!A:A,EMPRESA_1!J:J),"")</f>
        <v>EM REPARO</v>
      </c>
      <c r="O323" s="50" t="str">
        <f t="array" ref="O323">IFERROR(_xlfn.XLOOKUP(B323,EMPRESA_1!A:A,EMPRESA_1!K:K),"")
</f>
        <v>AV AERONAUTICA</v>
      </c>
      <c r="P323" s="48" t="str">
        <f t="array" ref="P323">IFERROR(_xlfn.XLOOKUP(B323,EMPRESA_1!A:A,EMPRESA_1!L:L),"")</f>
        <v/>
      </c>
      <c r="Q323" s="49" t="str">
        <f t="array" ref="Q323">IFERROR(_xlfn.XLOOKUP(B323,EMPRESA_1!A:A,EMPRESA_1!J:J),"")</f>
        <v>EM REPARO</v>
      </c>
      <c r="R323" s="19" t="str">
        <f t="array" ref="R323">IFERROR(_xlfn.XLOOKUP(B323,EMPRESA_1!A:A,EMPRESA_1!M:M),"")</f>
        <v/>
      </c>
      <c r="S323" s="51"/>
      <c r="T323" s="51" t="str">
        <f t="array" ref="T323">IFERROR(_xlfn.XLOOKUP($F323,'Acerto virtual'!$E:$E,'Acerto virtual'!F:F),"")</f>
        <v/>
      </c>
      <c r="U323" s="51" t="str">
        <f t="array" ref="U323">IFERROR(_xlfn.XLOOKUP($F323,'Acerto virtual'!$E:$E,'Acerto virtual'!G:G),"")</f>
        <v/>
      </c>
      <c r="V323" s="51" t="str">
        <f t="array" ref="V323">IFERROR(_xlfn.XLOOKUP($F323,'Acerto virtual'!$E:$E,'Acerto virtual'!H:H),"")</f>
        <v/>
      </c>
      <c r="W323" s="51" t="str">
        <f t="array" ref="W323">IFERROR(_xlfn.XLOOKUP($F323,'Acerto virtual'!$E:$E,'Acerto virtual'!I:I),"")</f>
        <v/>
      </c>
      <c r="X323" s="51" t="str">
        <f t="array" ref="X323">IFERROR(_xlfn.XLOOKUP($F323,'Acerto virtual'!$E:$E,'Acerto virtual'!J:J),"")</f>
        <v/>
      </c>
      <c r="Y323" s="51" t="str">
        <f t="array" ref="Y323">IFERROR(_xlfn.XLOOKUP($F323,'Acerto virtual'!$E:$E,'Acerto virtual'!K:K),"")</f>
        <v/>
      </c>
      <c r="Z323" s="51" t="str">
        <f t="array" ref="Z323">IFERROR(_xlfn.XLOOKUP($F323,'Acerto virtual'!$E:$E,'Acerto virtual'!L:L),"")</f>
        <v/>
      </c>
      <c r="AA323" s="51" t="str">
        <f t="array" ref="AA323">IFERROR(_xlfn.XLOOKUP($F323,'Acerto virtual'!$E:$E,'Acerto virtual'!M:M),"")</f>
        <v/>
      </c>
      <c r="AB323" s="51" t="str">
        <f t="array" ref="AB323">IFERROR(_xlfn.XLOOKUP($F323,'Acerto virtual'!$E:$E,'Acerto virtual'!N:N),"")</f>
        <v/>
      </c>
      <c r="AC323" s="51" t="str">
        <f t="array" ref="AC323">IFERROR(_xlfn.XLOOKUP($F323,'Acerto virtual'!$E:$E,'Acerto virtual'!O:O),"")</f>
        <v/>
      </c>
      <c r="AD323" s="51" t="str">
        <f t="array" ref="AD323">IFERROR(_xlfn.XLOOKUP($F323,'Acerto virtual'!$E:$E,'Acerto virtual'!P:P),"")</f>
        <v/>
      </c>
      <c r="AE323" s="51" t="str">
        <f t="array" ref="AE323">IFERROR(_xlfn.XLOOKUP($F323,'Acerto virtual'!$E:$E,'Acerto virtual'!Q:Q),"")</f>
        <v/>
      </c>
      <c r="AF323" s="51" t="str">
        <f t="array" ref="AF323">IFERROR(_xlfn.XLOOKUP($F323,'Acerto virtual'!$E:$E,'Acerto virtual'!R:R),"")</f>
        <v/>
      </c>
      <c r="AG323" s="51" t="str">
        <f t="array" ref="AG323">IFERROR(_xlfn.XLOOKUP($F323,'Acerto virtual'!$E:$E,'Acerto virtual'!S:S),"")</f>
        <v/>
      </c>
      <c r="AH323" s="51" t="str">
        <f t="array" ref="AH323">IFERROR(_xlfn.XLOOKUP($F323,'Acerto virtual'!$E:$E,'Acerto virtual'!T:T),"")</f>
        <v/>
      </c>
      <c r="AI323" s="51" t="str">
        <f t="array" ref="AI323">IFERROR(_xlfn.XLOOKUP($F323,'Acerto virtual'!$E:$E,'Acerto virtual'!U:U),"")</f>
        <v/>
      </c>
    </row>
    <row r="324">
      <c r="A324" s="47" t="s">
        <v>968</v>
      </c>
      <c r="B324" s="47" t="s">
        <v>969</v>
      </c>
      <c r="C324" s="48" t="str">
        <f t="array" ref="C324">IFERROR(_xlfn.XLOOKUP($B324,'Histórico'!$B:$B,'Histórico'!$I:$I),"")</f>
        <v>2606015-2</v>
      </c>
      <c r="D324" s="19" t="str">
        <f t="array" ref="D324">IFERROR(_xlfn.XLOOKUP($B324,'Histórico'!$B:$B,'Histórico'!$J:$J),"")</f>
        <v>08AF1</v>
      </c>
      <c r="E324" s="19" t="str">
        <f t="array" ref="E324">IFERROR(_xlfn.XLOOKUP($B324,'Histórico'!$B:$B,'Histórico'!$K:$K),"")</f>
        <v>IND OIL TEMP/P</v>
      </c>
      <c r="F324" s="19" t="str">
        <f t="array" ref="F324">IFERROR(_xlfn.XLOOKUP($B324,'Histórico'!$B:$B,'Histórico'!$L:$L),"")</f>
        <v>120315</v>
      </c>
      <c r="G324" s="49">
        <f t="array" ref="G324">IFERROR(_xlfn.XLOOKUP($B324,'Histórico'!$B:$B,'Histórico'!$F:$F),"")</f>
        <v>46125</v>
      </c>
      <c r="H324" s="19" t="str">
        <f t="array" ref="H324">IFERROR(_xlfn.XLOOKUP($B324,'Histórico'!$B:$B,'Histórico'!$AA:$AA),"")</f>
        <v>PAMALS</v>
      </c>
      <c r="I324" s="19" t="str">
        <f t="array" ref="I324">IFERROR(_xlfn.XLOOKUP($B324,Atual!$B:$B,Atual!$E:$E),"OS concluída")</f>
        <v>REC</v>
      </c>
      <c r="J324" s="19">
        <f t="shared" si="1"/>
        <v>185</v>
      </c>
      <c r="K324" s="19"/>
      <c r="L324" s="19" t="str">
        <f t="shared" si="2"/>
        <v>NÃO APLICÁVEL</v>
      </c>
      <c r="M324" s="19"/>
      <c r="N324" s="49" t="str">
        <f t="array" ref="N324">IFERROR(_xlfn.XLOOKUP($B324,EMPRESA_1!A:A,EMPRESA_1!J:J),"")</f>
        <v>EM REPARO</v>
      </c>
      <c r="O324" s="50" t="str">
        <f t="array" ref="O324">IFERROR(_xlfn.XLOOKUP(B324,EMPRESA_1!A:A,EMPRESA_1!K:K),"")
</f>
        <v>VEE ONE</v>
      </c>
      <c r="P324" s="48" t="str">
        <f t="array" ref="P324">IFERROR(_xlfn.XLOOKUP(B324,EMPRESA_1!A:A,EMPRESA_1!L:L),"")</f>
        <v/>
      </c>
      <c r="Q324" s="49" t="str">
        <f t="array" ref="Q324">IFERROR(_xlfn.XLOOKUP(B324,EMPRESA_1!A:A,EMPRESA_1!J:J),"")</f>
        <v>EM REPARO</v>
      </c>
      <c r="R324" s="19" t="str">
        <f t="array" ref="R324">IFERROR(_xlfn.XLOOKUP(B324,EMPRESA_1!A:A,EMPRESA_1!M:M),"")</f>
        <v/>
      </c>
      <c r="S324" s="51"/>
      <c r="T324" s="51" t="str">
        <f t="array" ref="T324">IFERROR(_xlfn.XLOOKUP($F324,'Acerto virtual'!$E:$E,'Acerto virtual'!F:F),"")</f>
        <v/>
      </c>
      <c r="U324" s="51" t="str">
        <f t="array" ref="U324">IFERROR(_xlfn.XLOOKUP($F324,'Acerto virtual'!$E:$E,'Acerto virtual'!G:G),"")</f>
        <v/>
      </c>
      <c r="V324" s="51" t="str">
        <f t="array" ref="V324">IFERROR(_xlfn.XLOOKUP($F324,'Acerto virtual'!$E:$E,'Acerto virtual'!H:H),"")</f>
        <v/>
      </c>
      <c r="W324" s="51" t="str">
        <f t="array" ref="W324">IFERROR(_xlfn.XLOOKUP($F324,'Acerto virtual'!$E:$E,'Acerto virtual'!I:I),"")</f>
        <v/>
      </c>
      <c r="X324" s="51" t="str">
        <f t="array" ref="X324">IFERROR(_xlfn.XLOOKUP($F324,'Acerto virtual'!$E:$E,'Acerto virtual'!J:J),"")</f>
        <v/>
      </c>
      <c r="Y324" s="51" t="str">
        <f t="array" ref="Y324">IFERROR(_xlfn.XLOOKUP($F324,'Acerto virtual'!$E:$E,'Acerto virtual'!K:K),"")</f>
        <v/>
      </c>
      <c r="Z324" s="51" t="str">
        <f t="array" ref="Z324">IFERROR(_xlfn.XLOOKUP($F324,'Acerto virtual'!$E:$E,'Acerto virtual'!L:L),"")</f>
        <v/>
      </c>
      <c r="AA324" s="51" t="str">
        <f t="array" ref="AA324">IFERROR(_xlfn.XLOOKUP($F324,'Acerto virtual'!$E:$E,'Acerto virtual'!M:M),"")</f>
        <v/>
      </c>
      <c r="AB324" s="51" t="str">
        <f t="array" ref="AB324">IFERROR(_xlfn.XLOOKUP($F324,'Acerto virtual'!$E:$E,'Acerto virtual'!N:N),"")</f>
        <v/>
      </c>
      <c r="AC324" s="51" t="str">
        <f t="array" ref="AC324">IFERROR(_xlfn.XLOOKUP($F324,'Acerto virtual'!$E:$E,'Acerto virtual'!O:O),"")</f>
        <v/>
      </c>
      <c r="AD324" s="51" t="str">
        <f t="array" ref="AD324">IFERROR(_xlfn.XLOOKUP($F324,'Acerto virtual'!$E:$E,'Acerto virtual'!P:P),"")</f>
        <v/>
      </c>
      <c r="AE324" s="51" t="str">
        <f t="array" ref="AE324">IFERROR(_xlfn.XLOOKUP($F324,'Acerto virtual'!$E:$E,'Acerto virtual'!Q:Q),"")</f>
        <v/>
      </c>
      <c r="AF324" s="51" t="str">
        <f t="array" ref="AF324">IFERROR(_xlfn.XLOOKUP($F324,'Acerto virtual'!$E:$E,'Acerto virtual'!R:R),"")</f>
        <v/>
      </c>
      <c r="AG324" s="51" t="str">
        <f t="array" ref="AG324">IFERROR(_xlfn.XLOOKUP($F324,'Acerto virtual'!$E:$E,'Acerto virtual'!S:S),"")</f>
        <v/>
      </c>
      <c r="AH324" s="51" t="str">
        <f t="array" ref="AH324">IFERROR(_xlfn.XLOOKUP($F324,'Acerto virtual'!$E:$E,'Acerto virtual'!T:T),"")</f>
        <v/>
      </c>
      <c r="AI324" s="51" t="str">
        <f t="array" ref="AI324">IFERROR(_xlfn.XLOOKUP($F324,'Acerto virtual'!$E:$E,'Acerto virtual'!U:U),"")</f>
        <v/>
      </c>
    </row>
    <row r="325">
      <c r="A325" s="47" t="s">
        <v>970</v>
      </c>
      <c r="B325" s="47" t="s">
        <v>971</v>
      </c>
      <c r="C325" s="48" t="str">
        <f t="array" ref="C325">IFERROR(_xlfn.XLOOKUP($B325,'Histórico'!$B:$B,'Histórico'!$I:$I),"")</f>
        <v>2641011-5</v>
      </c>
      <c r="D325" s="19" t="str">
        <f t="array" ref="D325">IFERROR(_xlfn.XLOOKUP($B325,'Histórico'!$B:$B,'Histórico'!$J:$J),"")</f>
        <v>7EK50</v>
      </c>
      <c r="E325" s="19" t="str">
        <f t="array" ref="E325">IFERROR(_xlfn.XLOOKUP($B325,'Histórico'!$B:$B,'Histórico'!$K:$K),"")</f>
        <v>AXLE-MAIN GEAR</v>
      </c>
      <c r="F325" s="52" t="str">
        <f t="array" ref="F325">IFERROR(_xlfn.XLOOKUP($B325,'Histórico'!$B:$B,'Histórico'!$L:$L),"")</f>
        <v>1588-5</v>
      </c>
      <c r="G325" s="49">
        <f t="array" ref="G325">IFERROR(_xlfn.XLOOKUP($B325,'Histórico'!$B:$B,'Histórico'!$F:$F),"")</f>
        <v>46125</v>
      </c>
      <c r="H325" s="19" t="str">
        <f t="array" ref="H325">IFERROR(_xlfn.XLOOKUP($B325,'Histórico'!$B:$B,'Histórico'!$AA:$AA),"")</f>
        <v>BAMN</v>
      </c>
      <c r="I325" s="19" t="str">
        <f t="array" ref="I325">IFERROR(_xlfn.XLOOKUP($B325,Atual!$B:$B,Atual!$E:$E),"OS concluída")</f>
        <v>REC</v>
      </c>
      <c r="J325" s="19">
        <f t="shared" si="1"/>
        <v>185</v>
      </c>
      <c r="K325" s="19"/>
      <c r="L325" s="19">
        <f t="shared" si="2"/>
        <v>57</v>
      </c>
      <c r="M325" s="19"/>
      <c r="N325" s="49">
        <f t="array" ref="N325">IFERROR(_xlfn.XLOOKUP($B325,EMPRESA_1!A:A,EMPRESA_1!J:J),"")</f>
        <v>46182</v>
      </c>
      <c r="O325" s="50" t="str">
        <f t="array" ref="O325">IFERROR(_xlfn.XLOOKUP(B325,EMPRESA_1!A:A,EMPRESA_1!K:K),"")
</f>
        <v>BANT</v>
      </c>
      <c r="P325" s="19" t="str">
        <f t="array" ref="P325">IFERROR(_xlfn.XLOOKUP(B325,EMPRESA_1!A:A,EMPRESA_1!L:L),"")</f>
        <v>461/FAB/26</v>
      </c>
      <c r="Q325" s="49">
        <f t="array" ref="Q325">IFERROR(_xlfn.XLOOKUP(B325,EMPRESA_1!A:A,EMPRESA_1!J:J),"")</f>
        <v>46182</v>
      </c>
      <c r="R325" s="19" t="str">
        <f t="array" ref="R325">IFERROR(_xlfn.XLOOKUP(B325,EMPRESA_1!A:A,EMPRESA_1!M:M),"")</f>
        <v/>
      </c>
      <c r="S325" s="51"/>
      <c r="T325" s="51" t="str">
        <f t="array" ref="T325">IFERROR(_xlfn.XLOOKUP($F325,'Acerto virtual'!$E:$E,'Acerto virtual'!F:F),"")</f>
        <v/>
      </c>
      <c r="U325" s="51" t="str">
        <f t="array" ref="U325">IFERROR(_xlfn.XLOOKUP($F325,'Acerto virtual'!$E:$E,'Acerto virtual'!G:G),"")</f>
        <v/>
      </c>
      <c r="V325" s="51" t="str">
        <f t="array" ref="V325">IFERROR(_xlfn.XLOOKUP($F325,'Acerto virtual'!$E:$E,'Acerto virtual'!H:H),"")</f>
        <v/>
      </c>
      <c r="W325" s="51" t="str">
        <f t="array" ref="W325">IFERROR(_xlfn.XLOOKUP($F325,'Acerto virtual'!$E:$E,'Acerto virtual'!I:I),"")</f>
        <v/>
      </c>
      <c r="X325" s="51" t="str">
        <f t="array" ref="X325">IFERROR(_xlfn.XLOOKUP($F325,'Acerto virtual'!$E:$E,'Acerto virtual'!J:J),"")</f>
        <v/>
      </c>
      <c r="Y325" s="51" t="str">
        <f t="array" ref="Y325">IFERROR(_xlfn.XLOOKUP($F325,'Acerto virtual'!$E:$E,'Acerto virtual'!K:K),"")</f>
        <v/>
      </c>
      <c r="Z325" s="51" t="str">
        <f t="array" ref="Z325">IFERROR(_xlfn.XLOOKUP($F325,'Acerto virtual'!$E:$E,'Acerto virtual'!L:L),"")</f>
        <v/>
      </c>
      <c r="AA325" s="51" t="str">
        <f t="array" ref="AA325">IFERROR(_xlfn.XLOOKUP($F325,'Acerto virtual'!$E:$E,'Acerto virtual'!M:M),"")</f>
        <v/>
      </c>
      <c r="AB325" s="51" t="str">
        <f t="array" ref="AB325">IFERROR(_xlfn.XLOOKUP($F325,'Acerto virtual'!$E:$E,'Acerto virtual'!N:N),"")</f>
        <v/>
      </c>
      <c r="AC325" s="51" t="str">
        <f t="array" ref="AC325">IFERROR(_xlfn.XLOOKUP($F325,'Acerto virtual'!$E:$E,'Acerto virtual'!O:O),"")</f>
        <v/>
      </c>
      <c r="AD325" s="51" t="str">
        <f t="array" ref="AD325">IFERROR(_xlfn.XLOOKUP($F325,'Acerto virtual'!$E:$E,'Acerto virtual'!P:P),"")</f>
        <v/>
      </c>
      <c r="AE325" s="51" t="str">
        <f t="array" ref="AE325">IFERROR(_xlfn.XLOOKUP($F325,'Acerto virtual'!$E:$E,'Acerto virtual'!Q:Q),"")</f>
        <v/>
      </c>
      <c r="AF325" s="51" t="str">
        <f t="array" ref="AF325">IFERROR(_xlfn.XLOOKUP($F325,'Acerto virtual'!$E:$E,'Acerto virtual'!R:R),"")</f>
        <v/>
      </c>
      <c r="AG325" s="51" t="str">
        <f t="array" ref="AG325">IFERROR(_xlfn.XLOOKUP($F325,'Acerto virtual'!$E:$E,'Acerto virtual'!S:S),"")</f>
        <v/>
      </c>
      <c r="AH325" s="51" t="str">
        <f t="array" ref="AH325">IFERROR(_xlfn.XLOOKUP($F325,'Acerto virtual'!$E:$E,'Acerto virtual'!T:T),"")</f>
        <v/>
      </c>
      <c r="AI325" s="51" t="str">
        <f t="array" ref="AI325">IFERROR(_xlfn.XLOOKUP($F325,'Acerto virtual'!$E:$E,'Acerto virtual'!U:U),"")</f>
        <v/>
      </c>
    </row>
    <row r="326" hidden="1">
      <c r="A326" s="47" t="s">
        <v>972</v>
      </c>
      <c r="B326" s="47" t="s">
        <v>973</v>
      </c>
      <c r="C326" s="48" t="str">
        <f t="array" ref="C326">IFERROR(_xlfn.XLOOKUP($B326,'Histórico'!$B:$B,'Histórico'!$I:$I),"")</f>
        <v>2641011-5</v>
      </c>
      <c r="D326" s="19" t="str">
        <f t="array" ref="D326">IFERROR(_xlfn.XLOOKUP($B326,'Histórico'!$B:$B,'Histórico'!$J:$J),"")</f>
        <v>7EK50</v>
      </c>
      <c r="E326" s="19" t="str">
        <f t="array" ref="E326">IFERROR(_xlfn.XLOOKUP($B326,'Histórico'!$B:$B,'Histórico'!$K:$K),"")</f>
        <v>AXLE-MAIN GEAR</v>
      </c>
      <c r="F326" s="19" t="str">
        <f t="array" ref="F326">IFERROR(_xlfn.XLOOKUP($B326,'Histórico'!$B:$B,'Histórico'!$L:$L),"")</f>
        <v>535933</v>
      </c>
      <c r="G326" s="49">
        <f t="array" ref="G326">IFERROR(_xlfn.XLOOKUP($B326,'Histórico'!$B:$B,'Histórico'!$F:$F),"")</f>
        <v>46125</v>
      </c>
      <c r="H326" s="19" t="str">
        <f t="array" ref="H326">IFERROR(_xlfn.XLOOKUP($B326,'Histórico'!$B:$B,'Histórico'!$AA:$AA),"")</f>
        <v>BABV</v>
      </c>
      <c r="I326" s="19" t="str">
        <f t="array" ref="I326">IFERROR(_xlfn.XLOOKUP($B326,Atual!$B:$B,Atual!$E:$E),"OS concluída")</f>
        <v>OS concluída</v>
      </c>
      <c r="J326" s="19" t="str">
        <f t="shared" si="1"/>
        <v/>
      </c>
      <c r="K326" s="19"/>
      <c r="L326" s="19" t="str">
        <f t="shared" si="2"/>
        <v>NÃO APLICÁVEL</v>
      </c>
      <c r="M326" s="19"/>
      <c r="N326" s="49" t="str">
        <f t="array" ref="N326">IFERROR(_xlfn.XLOOKUP($B326,EMPRESA_1!A:A,EMPRESA_1!J:J),"")</f>
        <v>REPARADO</v>
      </c>
      <c r="O326" s="50" t="str">
        <f t="array" ref="O326">IFERROR(_xlfn.XLOOKUP(B326,EMPRESA_1!A:A,EMPRESA_1!K:K),"")
</f>
        <v>VEE ONE</v>
      </c>
      <c r="P326" s="48" t="str">
        <f t="array" ref="P326">IFERROR(_xlfn.XLOOKUP(B326,EMPRESA_1!A:A,EMPRESA_1!L:L),"")</f>
        <v/>
      </c>
      <c r="Q326" s="49" t="str">
        <f t="array" ref="Q326">IFERROR(_xlfn.XLOOKUP(B326,EMPRESA_1!A:A,EMPRESA_1!J:J),"")</f>
        <v>REPARADO</v>
      </c>
      <c r="R326" s="19" t="str">
        <f t="array" ref="R326">IFERROR(_xlfn.XLOOKUP(B326,EMPRESA_1!A:A,EMPRESA_1!M:M),"")</f>
        <v/>
      </c>
      <c r="S326" s="51"/>
      <c r="T326" s="51" t="str">
        <f t="array" ref="T326">IFERROR(_xlfn.XLOOKUP($F326,'Acerto virtual'!$E:$E,'Acerto virtual'!F:F),"")</f>
        <v/>
      </c>
      <c r="U326" s="51" t="str">
        <f t="array" ref="U326">IFERROR(_xlfn.XLOOKUP($F326,'Acerto virtual'!$E:$E,'Acerto virtual'!G:G),"")</f>
        <v/>
      </c>
      <c r="V326" s="51" t="str">
        <f t="array" ref="V326">IFERROR(_xlfn.XLOOKUP($F326,'Acerto virtual'!$E:$E,'Acerto virtual'!H:H),"")</f>
        <v/>
      </c>
      <c r="W326" s="51" t="str">
        <f t="array" ref="W326">IFERROR(_xlfn.XLOOKUP($F326,'Acerto virtual'!$E:$E,'Acerto virtual'!I:I),"")</f>
        <v/>
      </c>
      <c r="X326" s="51" t="str">
        <f t="array" ref="X326">IFERROR(_xlfn.XLOOKUP($F326,'Acerto virtual'!$E:$E,'Acerto virtual'!J:J),"")</f>
        <v/>
      </c>
      <c r="Y326" s="51" t="str">
        <f t="array" ref="Y326">IFERROR(_xlfn.XLOOKUP($F326,'Acerto virtual'!$E:$E,'Acerto virtual'!K:K),"")</f>
        <v/>
      </c>
      <c r="Z326" s="51" t="str">
        <f t="array" ref="Z326">IFERROR(_xlfn.XLOOKUP($F326,'Acerto virtual'!$E:$E,'Acerto virtual'!L:L),"")</f>
        <v/>
      </c>
      <c r="AA326" s="51" t="str">
        <f t="array" ref="AA326">IFERROR(_xlfn.XLOOKUP($F326,'Acerto virtual'!$E:$E,'Acerto virtual'!M:M),"")</f>
        <v/>
      </c>
      <c r="AB326" s="51" t="str">
        <f t="array" ref="AB326">IFERROR(_xlfn.XLOOKUP($F326,'Acerto virtual'!$E:$E,'Acerto virtual'!N:N),"")</f>
        <v/>
      </c>
      <c r="AC326" s="51" t="str">
        <f t="array" ref="AC326">IFERROR(_xlfn.XLOOKUP($F326,'Acerto virtual'!$E:$E,'Acerto virtual'!O:O),"")</f>
        <v/>
      </c>
      <c r="AD326" s="51" t="str">
        <f t="array" ref="AD326">IFERROR(_xlfn.XLOOKUP($F326,'Acerto virtual'!$E:$E,'Acerto virtual'!P:P),"")</f>
        <v/>
      </c>
      <c r="AE326" s="51" t="str">
        <f t="array" ref="AE326">IFERROR(_xlfn.XLOOKUP($F326,'Acerto virtual'!$E:$E,'Acerto virtual'!Q:Q),"")</f>
        <v/>
      </c>
      <c r="AF326" s="51" t="str">
        <f t="array" ref="AF326">IFERROR(_xlfn.XLOOKUP($F326,'Acerto virtual'!$E:$E,'Acerto virtual'!R:R),"")</f>
        <v/>
      </c>
      <c r="AG326" s="51" t="str">
        <f t="array" ref="AG326">IFERROR(_xlfn.XLOOKUP($F326,'Acerto virtual'!$E:$E,'Acerto virtual'!S:S),"")</f>
        <v/>
      </c>
      <c r="AH326" s="51" t="str">
        <f t="array" ref="AH326">IFERROR(_xlfn.XLOOKUP($F326,'Acerto virtual'!$E:$E,'Acerto virtual'!T:T),"")</f>
        <v/>
      </c>
      <c r="AI326" s="51" t="str">
        <f t="array" ref="AI326">IFERROR(_xlfn.XLOOKUP($F326,'Acerto virtual'!$E:$E,'Acerto virtual'!U:U),"")</f>
        <v/>
      </c>
    </row>
    <row r="327" hidden="1">
      <c r="A327" s="47" t="s">
        <v>974</v>
      </c>
      <c r="B327" s="47" t="s">
        <v>975</v>
      </c>
      <c r="C327" s="48" t="str">
        <f t="array" ref="C327">IFERROR(_xlfn.XLOOKUP($B327,'Histórico'!$B:$B,'Histórico'!$I:$I),"")</f>
        <v>2641011-5</v>
      </c>
      <c r="D327" s="19" t="str">
        <f t="array" ref="D327">IFERROR(_xlfn.XLOOKUP($B327,'Histórico'!$B:$B,'Histórico'!$J:$J),"")</f>
        <v>7EK50</v>
      </c>
      <c r="E327" s="19" t="str">
        <f t="array" ref="E327">IFERROR(_xlfn.XLOOKUP($B327,'Histórico'!$B:$B,'Histórico'!$K:$K),"")</f>
        <v>AXLE-MAIN GEAR</v>
      </c>
      <c r="F327" s="19" t="str">
        <f t="array" ref="F327">IFERROR(_xlfn.XLOOKUP($B327,'Histórico'!$B:$B,'Histórico'!$L:$L),"")</f>
        <v>289029</v>
      </c>
      <c r="G327" s="49">
        <f t="array" ref="G327">IFERROR(_xlfn.XLOOKUP($B327,'Histórico'!$B:$B,'Histórico'!$F:$F),"")</f>
        <v>46125</v>
      </c>
      <c r="H327" s="19" t="str">
        <f t="array" ref="H327">IFERROR(_xlfn.XLOOKUP($B327,'Histórico'!$B:$B,'Histórico'!$AA:$AA),"")</f>
        <v>BANT</v>
      </c>
      <c r="I327" s="19" t="str">
        <f t="array" ref="I327">IFERROR(_xlfn.XLOOKUP($B327,Atual!$B:$B,Atual!$E:$E),"OS concluída")</f>
        <v>OS concluída</v>
      </c>
      <c r="J327" s="19" t="str">
        <f t="shared" si="1"/>
        <v/>
      </c>
      <c r="K327" s="19"/>
      <c r="L327" s="19" t="str">
        <f t="shared" si="2"/>
        <v>NÃO APLICÁVEL</v>
      </c>
      <c r="M327" s="19"/>
      <c r="N327" s="49" t="str">
        <f t="array" ref="N327">IFERROR(_xlfn.XLOOKUP($B327,EMPRESA_1!A:A,EMPRESA_1!J:J),"")</f>
        <v>REPARADO</v>
      </c>
      <c r="O327" s="50" t="str">
        <f t="array" ref="O327">IFERROR(_xlfn.XLOOKUP(B327,EMPRESA_1!A:A,EMPRESA_1!K:K),"")
</f>
        <v>VEE ONE</v>
      </c>
      <c r="P327" s="48" t="str">
        <f t="array" ref="P327">IFERROR(_xlfn.XLOOKUP(B327,EMPRESA_1!A:A,EMPRESA_1!L:L),"")</f>
        <v/>
      </c>
      <c r="Q327" s="49" t="str">
        <f t="array" ref="Q327">IFERROR(_xlfn.XLOOKUP(B327,EMPRESA_1!A:A,EMPRESA_1!J:J),"")</f>
        <v>REPARADO</v>
      </c>
      <c r="R327" s="19" t="str">
        <f t="array" ref="R327">IFERROR(_xlfn.XLOOKUP(B327,EMPRESA_1!A:A,EMPRESA_1!M:M),"")</f>
        <v/>
      </c>
      <c r="S327" s="51"/>
      <c r="T327" s="51" t="str">
        <f t="array" ref="T327">IFERROR(_xlfn.XLOOKUP($F327,'Acerto virtual'!$E:$E,'Acerto virtual'!F:F),"")</f>
        <v/>
      </c>
      <c r="U327" s="51" t="str">
        <f t="array" ref="U327">IFERROR(_xlfn.XLOOKUP($F327,'Acerto virtual'!$E:$E,'Acerto virtual'!G:G),"")</f>
        <v/>
      </c>
      <c r="V327" s="51" t="str">
        <f t="array" ref="V327">IFERROR(_xlfn.XLOOKUP($F327,'Acerto virtual'!$E:$E,'Acerto virtual'!H:H),"")</f>
        <v/>
      </c>
      <c r="W327" s="51" t="str">
        <f t="array" ref="W327">IFERROR(_xlfn.XLOOKUP($F327,'Acerto virtual'!$E:$E,'Acerto virtual'!I:I),"")</f>
        <v/>
      </c>
      <c r="X327" s="51" t="str">
        <f t="array" ref="X327">IFERROR(_xlfn.XLOOKUP($F327,'Acerto virtual'!$E:$E,'Acerto virtual'!J:J),"")</f>
        <v/>
      </c>
      <c r="Y327" s="51" t="str">
        <f t="array" ref="Y327">IFERROR(_xlfn.XLOOKUP($F327,'Acerto virtual'!$E:$E,'Acerto virtual'!K:K),"")</f>
        <v/>
      </c>
      <c r="Z327" s="51" t="str">
        <f t="array" ref="Z327">IFERROR(_xlfn.XLOOKUP($F327,'Acerto virtual'!$E:$E,'Acerto virtual'!L:L),"")</f>
        <v/>
      </c>
      <c r="AA327" s="51" t="str">
        <f t="array" ref="AA327">IFERROR(_xlfn.XLOOKUP($F327,'Acerto virtual'!$E:$E,'Acerto virtual'!M:M),"")</f>
        <v/>
      </c>
      <c r="AB327" s="51" t="str">
        <f t="array" ref="AB327">IFERROR(_xlfn.XLOOKUP($F327,'Acerto virtual'!$E:$E,'Acerto virtual'!N:N),"")</f>
        <v/>
      </c>
      <c r="AC327" s="51" t="str">
        <f t="array" ref="AC327">IFERROR(_xlfn.XLOOKUP($F327,'Acerto virtual'!$E:$E,'Acerto virtual'!O:O),"")</f>
        <v/>
      </c>
      <c r="AD327" s="51" t="str">
        <f t="array" ref="AD327">IFERROR(_xlfn.XLOOKUP($F327,'Acerto virtual'!$E:$E,'Acerto virtual'!P:P),"")</f>
        <v/>
      </c>
      <c r="AE327" s="51" t="str">
        <f t="array" ref="AE327">IFERROR(_xlfn.XLOOKUP($F327,'Acerto virtual'!$E:$E,'Acerto virtual'!Q:Q),"")</f>
        <v/>
      </c>
      <c r="AF327" s="51" t="str">
        <f t="array" ref="AF327">IFERROR(_xlfn.XLOOKUP($F327,'Acerto virtual'!$E:$E,'Acerto virtual'!R:R),"")</f>
        <v/>
      </c>
      <c r="AG327" s="51" t="str">
        <f t="array" ref="AG327">IFERROR(_xlfn.XLOOKUP($F327,'Acerto virtual'!$E:$E,'Acerto virtual'!S:S),"")</f>
        <v/>
      </c>
      <c r="AH327" s="51" t="str">
        <f t="array" ref="AH327">IFERROR(_xlfn.XLOOKUP($F327,'Acerto virtual'!$E:$E,'Acerto virtual'!T:T),"")</f>
        <v/>
      </c>
      <c r="AI327" s="51" t="str">
        <f t="array" ref="AI327">IFERROR(_xlfn.XLOOKUP($F327,'Acerto virtual'!$E:$E,'Acerto virtual'!U:U),"")</f>
        <v/>
      </c>
    </row>
    <row r="328">
      <c r="A328" s="47" t="s">
        <v>976</v>
      </c>
      <c r="B328" s="47" t="s">
        <v>977</v>
      </c>
      <c r="C328" s="48" t="str">
        <f t="array" ref="C328">IFERROR(_xlfn.XLOOKUP($B328,'Histórico'!$B:$B,'Histórico'!$I:$I),"")</f>
        <v>2641011-5</v>
      </c>
      <c r="D328" s="19" t="str">
        <f t="array" ref="D328">IFERROR(_xlfn.XLOOKUP($B328,'Histórico'!$B:$B,'Histórico'!$J:$J),"")</f>
        <v>7EK50</v>
      </c>
      <c r="E328" s="19" t="str">
        <f t="array" ref="E328">IFERROR(_xlfn.XLOOKUP($B328,'Histórico'!$B:$B,'Histórico'!$K:$K),"")</f>
        <v>AXLE-MAIN GEAR</v>
      </c>
      <c r="F328" s="52" t="str">
        <f t="array" ref="F328">IFERROR(_xlfn.XLOOKUP($B328,'Histórico'!$B:$B,'Histórico'!$L:$L),"")</f>
        <v>3454</v>
      </c>
      <c r="G328" s="49">
        <f t="array" ref="G328">IFERROR(_xlfn.XLOOKUP($B328,'Histórico'!$B:$B,'Histórico'!$F:$F),"")</f>
        <v>46125</v>
      </c>
      <c r="H328" s="19" t="str">
        <f t="array" ref="H328">IFERROR(_xlfn.XLOOKUP($B328,'Histórico'!$B:$B,'Histórico'!$AA:$AA),"")</f>
        <v>BAPV</v>
      </c>
      <c r="I328" s="19" t="str">
        <f t="array" ref="I328">IFERROR(_xlfn.XLOOKUP($B328,Atual!$B:$B,Atual!$E:$E),"OS concluída")</f>
        <v>REC</v>
      </c>
      <c r="J328" s="19">
        <f t="shared" si="1"/>
        <v>185</v>
      </c>
      <c r="K328" s="19"/>
      <c r="L328" s="19">
        <f t="shared" si="2"/>
        <v>57</v>
      </c>
      <c r="M328" s="19"/>
      <c r="N328" s="49">
        <f t="array" ref="N328">IFERROR(_xlfn.XLOOKUP($B328,EMPRESA_1!A:A,EMPRESA_1!J:J),"")</f>
        <v>46182</v>
      </c>
      <c r="O328" s="50" t="str">
        <f t="array" ref="O328">IFERROR(_xlfn.XLOOKUP(B328,EMPRESA_1!A:A,EMPRESA_1!K:K),"")
</f>
        <v>BANT</v>
      </c>
      <c r="P328" s="19" t="str">
        <f t="array" ref="P328">IFERROR(_xlfn.XLOOKUP(B328,EMPRESA_1!A:A,EMPRESA_1!L:L),"")</f>
        <v>461/FAB/26</v>
      </c>
      <c r="Q328" s="49">
        <f t="array" ref="Q328">IFERROR(_xlfn.XLOOKUP(B328,EMPRESA_1!A:A,EMPRESA_1!J:J),"")</f>
        <v>46182</v>
      </c>
      <c r="R328" s="19" t="str">
        <f t="array" ref="R328">IFERROR(_xlfn.XLOOKUP(B328,EMPRESA_1!A:A,EMPRESA_1!M:M),"")</f>
        <v/>
      </c>
      <c r="S328" s="51"/>
      <c r="T328" s="51" t="str">
        <f t="array" ref="T328">IFERROR(_xlfn.XLOOKUP($F328,'Acerto virtual'!$E:$E,'Acerto virtual'!F:F),"")</f>
        <v/>
      </c>
      <c r="U328" s="51" t="str">
        <f t="array" ref="U328">IFERROR(_xlfn.XLOOKUP($F328,'Acerto virtual'!$E:$E,'Acerto virtual'!G:G),"")</f>
        <v/>
      </c>
      <c r="V328" s="51" t="str">
        <f t="array" ref="V328">IFERROR(_xlfn.XLOOKUP($F328,'Acerto virtual'!$E:$E,'Acerto virtual'!H:H),"")</f>
        <v/>
      </c>
      <c r="W328" s="51" t="str">
        <f t="array" ref="W328">IFERROR(_xlfn.XLOOKUP($F328,'Acerto virtual'!$E:$E,'Acerto virtual'!I:I),"")</f>
        <v/>
      </c>
      <c r="X328" s="51" t="str">
        <f t="array" ref="X328">IFERROR(_xlfn.XLOOKUP($F328,'Acerto virtual'!$E:$E,'Acerto virtual'!J:J),"")</f>
        <v/>
      </c>
      <c r="Y328" s="51" t="str">
        <f t="array" ref="Y328">IFERROR(_xlfn.XLOOKUP($F328,'Acerto virtual'!$E:$E,'Acerto virtual'!K:K),"")</f>
        <v/>
      </c>
      <c r="Z328" s="51" t="str">
        <f t="array" ref="Z328">IFERROR(_xlfn.XLOOKUP($F328,'Acerto virtual'!$E:$E,'Acerto virtual'!L:L),"")</f>
        <v/>
      </c>
      <c r="AA328" s="51" t="str">
        <f t="array" ref="AA328">IFERROR(_xlfn.XLOOKUP($F328,'Acerto virtual'!$E:$E,'Acerto virtual'!M:M),"")</f>
        <v/>
      </c>
      <c r="AB328" s="51" t="str">
        <f t="array" ref="AB328">IFERROR(_xlfn.XLOOKUP($F328,'Acerto virtual'!$E:$E,'Acerto virtual'!N:N),"")</f>
        <v/>
      </c>
      <c r="AC328" s="51" t="str">
        <f t="array" ref="AC328">IFERROR(_xlfn.XLOOKUP($F328,'Acerto virtual'!$E:$E,'Acerto virtual'!O:O),"")</f>
        <v/>
      </c>
      <c r="AD328" s="51" t="str">
        <f t="array" ref="AD328">IFERROR(_xlfn.XLOOKUP($F328,'Acerto virtual'!$E:$E,'Acerto virtual'!P:P),"")</f>
        <v/>
      </c>
      <c r="AE328" s="51" t="str">
        <f t="array" ref="AE328">IFERROR(_xlfn.XLOOKUP($F328,'Acerto virtual'!$E:$E,'Acerto virtual'!Q:Q),"")</f>
        <v/>
      </c>
      <c r="AF328" s="51" t="str">
        <f t="array" ref="AF328">IFERROR(_xlfn.XLOOKUP($F328,'Acerto virtual'!$E:$E,'Acerto virtual'!R:R),"")</f>
        <v/>
      </c>
      <c r="AG328" s="51" t="str">
        <f t="array" ref="AG328">IFERROR(_xlfn.XLOOKUP($F328,'Acerto virtual'!$E:$E,'Acerto virtual'!S:S),"")</f>
        <v/>
      </c>
      <c r="AH328" s="51" t="str">
        <f t="array" ref="AH328">IFERROR(_xlfn.XLOOKUP($F328,'Acerto virtual'!$E:$E,'Acerto virtual'!T:T),"")</f>
        <v/>
      </c>
      <c r="AI328" s="51" t="str">
        <f t="array" ref="AI328">IFERROR(_xlfn.XLOOKUP($F328,'Acerto virtual'!$E:$E,'Acerto virtual'!U:U),"")</f>
        <v/>
      </c>
    </row>
    <row r="329" hidden="1">
      <c r="A329" s="47" t="s">
        <v>978</v>
      </c>
      <c r="B329" s="47" t="s">
        <v>979</v>
      </c>
      <c r="C329" s="48" t="str">
        <f t="array" ref="C329">IFERROR(_xlfn.XLOOKUP($B329,'Histórico'!$B:$B,'Histórico'!$I:$I),"")</f>
        <v>2641011-5</v>
      </c>
      <c r="D329" s="19" t="str">
        <f t="array" ref="D329">IFERROR(_xlfn.XLOOKUP($B329,'Histórico'!$B:$B,'Histórico'!$J:$J),"")</f>
        <v>7EK50</v>
      </c>
      <c r="E329" s="19" t="str">
        <f t="array" ref="E329">IFERROR(_xlfn.XLOOKUP($B329,'Histórico'!$B:$B,'Histórico'!$K:$K),"")</f>
        <v>AXLE-MAIN GEAR</v>
      </c>
      <c r="F329" s="19" t="str">
        <f t="array" ref="F329">IFERROR(_xlfn.XLOOKUP($B329,'Histórico'!$B:$B,'Histórico'!$L:$L),"")</f>
        <v>3493</v>
      </c>
      <c r="G329" s="49">
        <f t="array" ref="G329">IFERROR(_xlfn.XLOOKUP($B329,'Histórico'!$B:$B,'Histórico'!$F:$F),"")</f>
        <v>46125</v>
      </c>
      <c r="H329" s="19" t="str">
        <f t="array" ref="H329">IFERROR(_xlfn.XLOOKUP($B329,'Histórico'!$B:$B,'Histórico'!$AA:$AA),"")</f>
        <v>BAPV</v>
      </c>
      <c r="I329" s="19" t="str">
        <f t="array" ref="I329">IFERROR(_xlfn.XLOOKUP($B329,Atual!$B:$B,Atual!$E:$E),"OS concluída")</f>
        <v>OS concluída</v>
      </c>
      <c r="J329" s="19" t="str">
        <f t="shared" si="1"/>
        <v/>
      </c>
      <c r="K329" s="19"/>
      <c r="L329" s="19">
        <f t="shared" si="2"/>
        <v>107</v>
      </c>
      <c r="M329" s="19"/>
      <c r="N329" s="49">
        <f t="array" ref="N329">IFERROR(_xlfn.XLOOKUP($B329,EMPRESA_1!A:A,EMPRESA_1!J:J),"")</f>
        <v>46232</v>
      </c>
      <c r="O329" s="50" t="str">
        <f t="array" ref="O329">IFERROR(_xlfn.XLOOKUP(B329,EMPRESA_1!A:A,EMPRESA_1!K:K),"")
</f>
        <v/>
      </c>
      <c r="P329" s="48" t="str">
        <f t="array" ref="P329">IFERROR(_xlfn.XLOOKUP(B329,EMPRESA_1!A:A,EMPRESA_1!L:L),"")</f>
        <v>598/FAB/26</v>
      </c>
      <c r="Q329" s="49">
        <f t="array" ref="Q329">IFERROR(_xlfn.XLOOKUP(B329,EMPRESA_1!A:A,EMPRESA_1!J:J),"")</f>
        <v>46232</v>
      </c>
      <c r="R329" s="19" t="str">
        <f t="array" ref="R329">IFERROR(_xlfn.XLOOKUP(B329,EMPRESA_1!A:A,EMPRESA_1!M:M),"")</f>
        <v/>
      </c>
      <c r="S329" s="51"/>
      <c r="T329" s="51" t="str">
        <f t="array" ref="T329">IFERROR(_xlfn.XLOOKUP($F329,'Acerto virtual'!$E:$E,'Acerto virtual'!F:F),"")</f>
        <v/>
      </c>
      <c r="U329" s="51" t="str">
        <f t="array" ref="U329">IFERROR(_xlfn.XLOOKUP($F329,'Acerto virtual'!$E:$E,'Acerto virtual'!G:G),"")</f>
        <v/>
      </c>
      <c r="V329" s="51" t="str">
        <f t="array" ref="V329">IFERROR(_xlfn.XLOOKUP($F329,'Acerto virtual'!$E:$E,'Acerto virtual'!H:H),"")</f>
        <v/>
      </c>
      <c r="W329" s="51" t="str">
        <f t="array" ref="W329">IFERROR(_xlfn.XLOOKUP($F329,'Acerto virtual'!$E:$E,'Acerto virtual'!I:I),"")</f>
        <v/>
      </c>
      <c r="X329" s="51" t="str">
        <f t="array" ref="X329">IFERROR(_xlfn.XLOOKUP($F329,'Acerto virtual'!$E:$E,'Acerto virtual'!J:J),"")</f>
        <v/>
      </c>
      <c r="Y329" s="51" t="str">
        <f t="array" ref="Y329">IFERROR(_xlfn.XLOOKUP($F329,'Acerto virtual'!$E:$E,'Acerto virtual'!K:K),"")</f>
        <v/>
      </c>
      <c r="Z329" s="51" t="str">
        <f t="array" ref="Z329">IFERROR(_xlfn.XLOOKUP($F329,'Acerto virtual'!$E:$E,'Acerto virtual'!L:L),"")</f>
        <v/>
      </c>
      <c r="AA329" s="51" t="str">
        <f t="array" ref="AA329">IFERROR(_xlfn.XLOOKUP($F329,'Acerto virtual'!$E:$E,'Acerto virtual'!M:M),"")</f>
        <v/>
      </c>
      <c r="AB329" s="51" t="str">
        <f t="array" ref="AB329">IFERROR(_xlfn.XLOOKUP($F329,'Acerto virtual'!$E:$E,'Acerto virtual'!N:N),"")</f>
        <v/>
      </c>
      <c r="AC329" s="51" t="str">
        <f t="array" ref="AC329">IFERROR(_xlfn.XLOOKUP($F329,'Acerto virtual'!$E:$E,'Acerto virtual'!O:O),"")</f>
        <v/>
      </c>
      <c r="AD329" s="51" t="str">
        <f t="array" ref="AD329">IFERROR(_xlfn.XLOOKUP($F329,'Acerto virtual'!$E:$E,'Acerto virtual'!P:P),"")</f>
        <v/>
      </c>
      <c r="AE329" s="51" t="str">
        <f t="array" ref="AE329">IFERROR(_xlfn.XLOOKUP($F329,'Acerto virtual'!$E:$E,'Acerto virtual'!Q:Q),"")</f>
        <v/>
      </c>
      <c r="AF329" s="51" t="str">
        <f t="array" ref="AF329">IFERROR(_xlfn.XLOOKUP($F329,'Acerto virtual'!$E:$E,'Acerto virtual'!R:R),"")</f>
        <v/>
      </c>
      <c r="AG329" s="51" t="str">
        <f t="array" ref="AG329">IFERROR(_xlfn.XLOOKUP($F329,'Acerto virtual'!$E:$E,'Acerto virtual'!S:S),"")</f>
        <v/>
      </c>
      <c r="AH329" s="51" t="str">
        <f t="array" ref="AH329">IFERROR(_xlfn.XLOOKUP($F329,'Acerto virtual'!$E:$E,'Acerto virtual'!T:T),"")</f>
        <v/>
      </c>
      <c r="AI329" s="51" t="str">
        <f t="array" ref="AI329">IFERROR(_xlfn.XLOOKUP($F329,'Acerto virtual'!$E:$E,'Acerto virtual'!U:U),"")</f>
        <v/>
      </c>
    </row>
    <row r="330">
      <c r="A330" s="47" t="s">
        <v>980</v>
      </c>
      <c r="B330" s="47" t="s">
        <v>981</v>
      </c>
      <c r="C330" s="48" t="str">
        <f t="array" ref="C330">IFERROR(_xlfn.XLOOKUP($B330,'Histórico'!$B:$B,'Histórico'!$I:$I),"")</f>
        <v>2641011-5</v>
      </c>
      <c r="D330" s="19" t="str">
        <f t="array" ref="D330">IFERROR(_xlfn.XLOOKUP($B330,'Histórico'!$B:$B,'Histórico'!$J:$J),"")</f>
        <v>7EK50</v>
      </c>
      <c r="E330" s="19" t="str">
        <f t="array" ref="E330">IFERROR(_xlfn.XLOOKUP($B330,'Histórico'!$B:$B,'Histórico'!$K:$K),"")</f>
        <v>AXLE-MAIN GEAR</v>
      </c>
      <c r="F330" s="52" t="str">
        <f t="array" ref="F330">IFERROR(_xlfn.XLOOKUP($B330,'Histórico'!$B:$B,'Histórico'!$L:$L),"")</f>
        <v>1588-5</v>
      </c>
      <c r="G330" s="49">
        <f t="array" ref="G330">IFERROR(_xlfn.XLOOKUP($B330,'Histórico'!$B:$B,'Histórico'!$F:$F),"")</f>
        <v>46125</v>
      </c>
      <c r="H330" s="19" t="str">
        <f t="array" ref="H330">IFERROR(_xlfn.XLOOKUP($B330,'Histórico'!$B:$B,'Histórico'!$AA:$AA),"")</f>
        <v>BABR</v>
      </c>
      <c r="I330" s="19" t="str">
        <f t="array" ref="I330">IFERROR(_xlfn.XLOOKUP($B330,Atual!$B:$B,Atual!$E:$E),"OS concluída")</f>
        <v>REC</v>
      </c>
      <c r="J330" s="19">
        <f t="shared" si="1"/>
        <v>185</v>
      </c>
      <c r="K330" s="19"/>
      <c r="L330" s="19">
        <f t="shared" si="2"/>
        <v>57</v>
      </c>
      <c r="M330" s="19"/>
      <c r="N330" s="49">
        <f t="array" ref="N330">IFERROR(_xlfn.XLOOKUP($B330,EMPRESA_1!A:A,EMPRESA_1!J:J),"")</f>
        <v>46182</v>
      </c>
      <c r="O330" s="50" t="str">
        <f t="array" ref="O330">IFERROR(_xlfn.XLOOKUP(B330,EMPRESA_1!A:A,EMPRESA_1!K:K),"")
</f>
        <v>BANT</v>
      </c>
      <c r="P330" s="19" t="str">
        <f t="array" ref="P330">IFERROR(_xlfn.XLOOKUP(B330,EMPRESA_1!A:A,EMPRESA_1!L:L),"")</f>
        <v>461/FAB/26</v>
      </c>
      <c r="Q330" s="49">
        <f t="array" ref="Q330">IFERROR(_xlfn.XLOOKUP(B330,EMPRESA_1!A:A,EMPRESA_1!J:J),"")</f>
        <v>46182</v>
      </c>
      <c r="R330" s="19" t="str">
        <f t="array" ref="R330">IFERROR(_xlfn.XLOOKUP(B330,EMPRESA_1!A:A,EMPRESA_1!M:M),"")</f>
        <v/>
      </c>
      <c r="S330" s="51"/>
      <c r="T330" s="51" t="str">
        <f t="array" ref="T330">IFERROR(_xlfn.XLOOKUP($F330,'Acerto virtual'!$E:$E,'Acerto virtual'!F:F),"")</f>
        <v/>
      </c>
      <c r="U330" s="51" t="str">
        <f t="array" ref="U330">IFERROR(_xlfn.XLOOKUP($F330,'Acerto virtual'!$E:$E,'Acerto virtual'!G:G),"")</f>
        <v/>
      </c>
      <c r="V330" s="51" t="str">
        <f t="array" ref="V330">IFERROR(_xlfn.XLOOKUP($F330,'Acerto virtual'!$E:$E,'Acerto virtual'!H:H),"")</f>
        <v/>
      </c>
      <c r="W330" s="51" t="str">
        <f t="array" ref="W330">IFERROR(_xlfn.XLOOKUP($F330,'Acerto virtual'!$E:$E,'Acerto virtual'!I:I),"")</f>
        <v/>
      </c>
      <c r="X330" s="51" t="str">
        <f t="array" ref="X330">IFERROR(_xlfn.XLOOKUP($F330,'Acerto virtual'!$E:$E,'Acerto virtual'!J:J),"")</f>
        <v/>
      </c>
      <c r="Y330" s="51" t="str">
        <f t="array" ref="Y330">IFERROR(_xlfn.XLOOKUP($F330,'Acerto virtual'!$E:$E,'Acerto virtual'!K:K),"")</f>
        <v/>
      </c>
      <c r="Z330" s="51" t="str">
        <f t="array" ref="Z330">IFERROR(_xlfn.XLOOKUP($F330,'Acerto virtual'!$E:$E,'Acerto virtual'!L:L),"")</f>
        <v/>
      </c>
      <c r="AA330" s="51" t="str">
        <f t="array" ref="AA330">IFERROR(_xlfn.XLOOKUP($F330,'Acerto virtual'!$E:$E,'Acerto virtual'!M:M),"")</f>
        <v/>
      </c>
      <c r="AB330" s="51" t="str">
        <f t="array" ref="AB330">IFERROR(_xlfn.XLOOKUP($F330,'Acerto virtual'!$E:$E,'Acerto virtual'!N:N),"")</f>
        <v/>
      </c>
      <c r="AC330" s="51" t="str">
        <f t="array" ref="AC330">IFERROR(_xlfn.XLOOKUP($F330,'Acerto virtual'!$E:$E,'Acerto virtual'!O:O),"")</f>
        <v/>
      </c>
      <c r="AD330" s="51" t="str">
        <f t="array" ref="AD330">IFERROR(_xlfn.XLOOKUP($F330,'Acerto virtual'!$E:$E,'Acerto virtual'!P:P),"")</f>
        <v/>
      </c>
      <c r="AE330" s="51" t="str">
        <f t="array" ref="AE330">IFERROR(_xlfn.XLOOKUP($F330,'Acerto virtual'!$E:$E,'Acerto virtual'!Q:Q),"")</f>
        <v/>
      </c>
      <c r="AF330" s="51" t="str">
        <f t="array" ref="AF330">IFERROR(_xlfn.XLOOKUP($F330,'Acerto virtual'!$E:$E,'Acerto virtual'!R:R),"")</f>
        <v/>
      </c>
      <c r="AG330" s="51" t="str">
        <f t="array" ref="AG330">IFERROR(_xlfn.XLOOKUP($F330,'Acerto virtual'!$E:$E,'Acerto virtual'!S:S),"")</f>
        <v/>
      </c>
      <c r="AH330" s="51" t="str">
        <f t="array" ref="AH330">IFERROR(_xlfn.XLOOKUP($F330,'Acerto virtual'!$E:$E,'Acerto virtual'!T:T),"")</f>
        <v/>
      </c>
      <c r="AI330" s="51" t="str">
        <f t="array" ref="AI330">IFERROR(_xlfn.XLOOKUP($F330,'Acerto virtual'!$E:$E,'Acerto virtual'!U:U),"")</f>
        <v/>
      </c>
    </row>
    <row r="331">
      <c r="A331" s="47" t="s">
        <v>982</v>
      </c>
      <c r="B331" s="47" t="s">
        <v>983</v>
      </c>
      <c r="C331" s="48" t="str">
        <f t="array" ref="C331">IFERROR(_xlfn.XLOOKUP($B331,'Histórico'!$B:$B,'Histórico'!$I:$I),"")</f>
        <v>2641011-5</v>
      </c>
      <c r="D331" s="19" t="str">
        <f t="array" ref="D331">IFERROR(_xlfn.XLOOKUP($B331,'Histórico'!$B:$B,'Histórico'!$J:$J),"")</f>
        <v>7EK50</v>
      </c>
      <c r="E331" s="19" t="str">
        <f t="array" ref="E331">IFERROR(_xlfn.XLOOKUP($B331,'Histórico'!$B:$B,'Histórico'!$K:$K),"")</f>
        <v>AXLE-MAIN GEAR</v>
      </c>
      <c r="F331" s="52" t="str">
        <f t="array" ref="F331">IFERROR(_xlfn.XLOOKUP($B331,'Histórico'!$B:$B,'Histórico'!$L:$L),"")</f>
        <v>3235</v>
      </c>
      <c r="G331" s="49">
        <f t="array" ref="G331">IFERROR(_xlfn.XLOOKUP($B331,'Histórico'!$B:$B,'Histórico'!$F:$F),"")</f>
        <v>46125</v>
      </c>
      <c r="H331" s="19" t="str">
        <f t="array" ref="H331">IFERROR(_xlfn.XLOOKUP($B331,'Histórico'!$B:$B,'Histórico'!$AA:$AA),"")</f>
        <v>BABR</v>
      </c>
      <c r="I331" s="19" t="str">
        <f t="array" ref="I331">IFERROR(_xlfn.XLOOKUP($B331,Atual!$B:$B,Atual!$E:$E),"OS concluída")</f>
        <v>REC</v>
      </c>
      <c r="J331" s="19">
        <f t="shared" si="1"/>
        <v>185</v>
      </c>
      <c r="K331" s="19"/>
      <c r="L331" s="19">
        <f t="shared" si="2"/>
        <v>57</v>
      </c>
      <c r="M331" s="19"/>
      <c r="N331" s="49">
        <f t="array" ref="N331">IFERROR(_xlfn.XLOOKUP($B331,EMPRESA_1!A:A,EMPRESA_1!J:J),"")</f>
        <v>46182</v>
      </c>
      <c r="O331" s="50" t="str">
        <f t="array" ref="O331">IFERROR(_xlfn.XLOOKUP(B331,EMPRESA_1!A:A,EMPRESA_1!K:K),"")
</f>
        <v>BANT</v>
      </c>
      <c r="P331" s="19" t="str">
        <f t="array" ref="P331">IFERROR(_xlfn.XLOOKUP(B331,EMPRESA_1!A:A,EMPRESA_1!L:L),"")</f>
        <v>461/FAB/26</v>
      </c>
      <c r="Q331" s="49">
        <f t="array" ref="Q331">IFERROR(_xlfn.XLOOKUP(B331,EMPRESA_1!A:A,EMPRESA_1!J:J),"")</f>
        <v>46182</v>
      </c>
      <c r="R331" s="19" t="str">
        <f t="array" ref="R331">IFERROR(_xlfn.XLOOKUP(B331,EMPRESA_1!A:A,EMPRESA_1!M:M),"")</f>
        <v/>
      </c>
      <c r="S331" s="51"/>
      <c r="T331" s="51" t="str">
        <f t="array" ref="T331">IFERROR(_xlfn.XLOOKUP($F331,'Acerto virtual'!$E:$E,'Acerto virtual'!F:F),"")</f>
        <v/>
      </c>
      <c r="U331" s="51" t="str">
        <f t="array" ref="U331">IFERROR(_xlfn.XLOOKUP($F331,'Acerto virtual'!$E:$E,'Acerto virtual'!G:G),"")</f>
        <v/>
      </c>
      <c r="V331" s="51" t="str">
        <f t="array" ref="V331">IFERROR(_xlfn.XLOOKUP($F331,'Acerto virtual'!$E:$E,'Acerto virtual'!H:H),"")</f>
        <v/>
      </c>
      <c r="W331" s="51" t="str">
        <f t="array" ref="W331">IFERROR(_xlfn.XLOOKUP($F331,'Acerto virtual'!$E:$E,'Acerto virtual'!I:I),"")</f>
        <v/>
      </c>
      <c r="X331" s="51" t="str">
        <f t="array" ref="X331">IFERROR(_xlfn.XLOOKUP($F331,'Acerto virtual'!$E:$E,'Acerto virtual'!J:J),"")</f>
        <v/>
      </c>
      <c r="Y331" s="51" t="str">
        <f t="array" ref="Y331">IFERROR(_xlfn.XLOOKUP($F331,'Acerto virtual'!$E:$E,'Acerto virtual'!K:K),"")</f>
        <v/>
      </c>
      <c r="Z331" s="51" t="str">
        <f t="array" ref="Z331">IFERROR(_xlfn.XLOOKUP($F331,'Acerto virtual'!$E:$E,'Acerto virtual'!L:L),"")</f>
        <v/>
      </c>
      <c r="AA331" s="51" t="str">
        <f t="array" ref="AA331">IFERROR(_xlfn.XLOOKUP($F331,'Acerto virtual'!$E:$E,'Acerto virtual'!M:M),"")</f>
        <v/>
      </c>
      <c r="AB331" s="51" t="str">
        <f t="array" ref="AB331">IFERROR(_xlfn.XLOOKUP($F331,'Acerto virtual'!$E:$E,'Acerto virtual'!N:N),"")</f>
        <v/>
      </c>
      <c r="AC331" s="51" t="str">
        <f t="array" ref="AC331">IFERROR(_xlfn.XLOOKUP($F331,'Acerto virtual'!$E:$E,'Acerto virtual'!O:O),"")</f>
        <v/>
      </c>
      <c r="AD331" s="51" t="str">
        <f t="array" ref="AD331">IFERROR(_xlfn.XLOOKUP($F331,'Acerto virtual'!$E:$E,'Acerto virtual'!P:P),"")</f>
        <v/>
      </c>
      <c r="AE331" s="51" t="str">
        <f t="array" ref="AE331">IFERROR(_xlfn.XLOOKUP($F331,'Acerto virtual'!$E:$E,'Acerto virtual'!Q:Q),"")</f>
        <v/>
      </c>
      <c r="AF331" s="51" t="str">
        <f t="array" ref="AF331">IFERROR(_xlfn.XLOOKUP($F331,'Acerto virtual'!$E:$E,'Acerto virtual'!R:R),"")</f>
        <v/>
      </c>
      <c r="AG331" s="51" t="str">
        <f t="array" ref="AG331">IFERROR(_xlfn.XLOOKUP($F331,'Acerto virtual'!$E:$E,'Acerto virtual'!S:S),"")</f>
        <v/>
      </c>
      <c r="AH331" s="51" t="str">
        <f t="array" ref="AH331">IFERROR(_xlfn.XLOOKUP($F331,'Acerto virtual'!$E:$E,'Acerto virtual'!T:T),"")</f>
        <v/>
      </c>
      <c r="AI331" s="51" t="str">
        <f t="array" ref="AI331">IFERROR(_xlfn.XLOOKUP($F331,'Acerto virtual'!$E:$E,'Acerto virtual'!U:U),"")</f>
        <v/>
      </c>
    </row>
    <row r="332">
      <c r="A332" s="47" t="s">
        <v>984</v>
      </c>
      <c r="B332" s="47" t="s">
        <v>985</v>
      </c>
      <c r="C332" s="48" t="str">
        <f t="array" ref="C332">IFERROR(_xlfn.XLOOKUP($B332,'Histórico'!$B:$B,'Histórico'!$I:$I),"")</f>
        <v>2641011-5</v>
      </c>
      <c r="D332" s="19" t="str">
        <f t="array" ref="D332">IFERROR(_xlfn.XLOOKUP($B332,'Histórico'!$B:$B,'Histórico'!$J:$J),"")</f>
        <v>7EK50</v>
      </c>
      <c r="E332" s="19" t="str">
        <f t="array" ref="E332">IFERROR(_xlfn.XLOOKUP($B332,'Histórico'!$B:$B,'Histórico'!$K:$K),"")</f>
        <v>AXLE-MAIN GEAR</v>
      </c>
      <c r="F332" s="52" t="str">
        <f t="array" ref="F332">IFERROR(_xlfn.XLOOKUP($B332,'Histórico'!$B:$B,'Histórico'!$L:$L),"")</f>
        <v>625052</v>
      </c>
      <c r="G332" s="49">
        <f t="array" ref="G332">IFERROR(_xlfn.XLOOKUP($B332,'Histórico'!$B:$B,'Histórico'!$F:$F),"")</f>
        <v>46125</v>
      </c>
      <c r="H332" s="19" t="str">
        <f t="array" ref="H332">IFERROR(_xlfn.XLOOKUP($B332,'Histórico'!$B:$B,'Histórico'!$AA:$AA),"")</f>
        <v>PAMALS</v>
      </c>
      <c r="I332" s="19" t="str">
        <f t="array" ref="I332">IFERROR(_xlfn.XLOOKUP($B332,Atual!$B:$B,Atual!$E:$E),"OS concluída")</f>
        <v>REC</v>
      </c>
      <c r="J332" s="19">
        <f t="shared" si="1"/>
        <v>185</v>
      </c>
      <c r="K332" s="19"/>
      <c r="L332" s="19">
        <f t="shared" si="2"/>
        <v>57</v>
      </c>
      <c r="M332" s="19"/>
      <c r="N332" s="49">
        <f t="array" ref="N332">IFERROR(_xlfn.XLOOKUP($B332,EMPRESA_1!A:A,EMPRESA_1!J:J),"")</f>
        <v>46182</v>
      </c>
      <c r="O332" s="50" t="str">
        <f t="array" ref="O332">IFERROR(_xlfn.XLOOKUP(B332,EMPRESA_1!A:A,EMPRESA_1!K:K),"")
</f>
        <v>BANT</v>
      </c>
      <c r="P332" s="19" t="str">
        <f t="array" ref="P332">IFERROR(_xlfn.XLOOKUP(B332,EMPRESA_1!A:A,EMPRESA_1!L:L),"")</f>
        <v>461/FAB/26</v>
      </c>
      <c r="Q332" s="49">
        <f t="array" ref="Q332">IFERROR(_xlfn.XLOOKUP(B332,EMPRESA_1!A:A,EMPRESA_1!J:J),"")</f>
        <v>46182</v>
      </c>
      <c r="R332" s="19" t="str">
        <f t="array" ref="R332">IFERROR(_xlfn.XLOOKUP(B332,EMPRESA_1!A:A,EMPRESA_1!M:M),"")</f>
        <v/>
      </c>
      <c r="S332" s="51"/>
      <c r="T332" s="51" t="str">
        <f t="array" ref="T332">IFERROR(_xlfn.XLOOKUP($F332,'Acerto virtual'!$E:$E,'Acerto virtual'!F:F),"")</f>
        <v/>
      </c>
      <c r="U332" s="51" t="str">
        <f t="array" ref="U332">IFERROR(_xlfn.XLOOKUP($F332,'Acerto virtual'!$E:$E,'Acerto virtual'!G:G),"")</f>
        <v/>
      </c>
      <c r="V332" s="51" t="str">
        <f t="array" ref="V332">IFERROR(_xlfn.XLOOKUP($F332,'Acerto virtual'!$E:$E,'Acerto virtual'!H:H),"")</f>
        <v/>
      </c>
      <c r="W332" s="51" t="str">
        <f t="array" ref="W332">IFERROR(_xlfn.XLOOKUP($F332,'Acerto virtual'!$E:$E,'Acerto virtual'!I:I),"")</f>
        <v/>
      </c>
      <c r="X332" s="51" t="str">
        <f t="array" ref="X332">IFERROR(_xlfn.XLOOKUP($F332,'Acerto virtual'!$E:$E,'Acerto virtual'!J:J),"")</f>
        <v/>
      </c>
      <c r="Y332" s="51" t="str">
        <f t="array" ref="Y332">IFERROR(_xlfn.XLOOKUP($F332,'Acerto virtual'!$E:$E,'Acerto virtual'!K:K),"")</f>
        <v/>
      </c>
      <c r="Z332" s="51" t="str">
        <f t="array" ref="Z332">IFERROR(_xlfn.XLOOKUP($F332,'Acerto virtual'!$E:$E,'Acerto virtual'!L:L),"")</f>
        <v/>
      </c>
      <c r="AA332" s="51" t="str">
        <f t="array" ref="AA332">IFERROR(_xlfn.XLOOKUP($F332,'Acerto virtual'!$E:$E,'Acerto virtual'!M:M),"")</f>
        <v/>
      </c>
      <c r="AB332" s="51" t="str">
        <f t="array" ref="AB332">IFERROR(_xlfn.XLOOKUP($F332,'Acerto virtual'!$E:$E,'Acerto virtual'!N:N),"")</f>
        <v/>
      </c>
      <c r="AC332" s="51" t="str">
        <f t="array" ref="AC332">IFERROR(_xlfn.XLOOKUP($F332,'Acerto virtual'!$E:$E,'Acerto virtual'!O:O),"")</f>
        <v/>
      </c>
      <c r="AD332" s="51" t="str">
        <f t="array" ref="AD332">IFERROR(_xlfn.XLOOKUP($F332,'Acerto virtual'!$E:$E,'Acerto virtual'!P:P),"")</f>
        <v/>
      </c>
      <c r="AE332" s="51" t="str">
        <f t="array" ref="AE332">IFERROR(_xlfn.XLOOKUP($F332,'Acerto virtual'!$E:$E,'Acerto virtual'!Q:Q),"")</f>
        <v/>
      </c>
      <c r="AF332" s="51" t="str">
        <f t="array" ref="AF332">IFERROR(_xlfn.XLOOKUP($F332,'Acerto virtual'!$E:$E,'Acerto virtual'!R:R),"")</f>
        <v/>
      </c>
      <c r="AG332" s="51" t="str">
        <f t="array" ref="AG332">IFERROR(_xlfn.XLOOKUP($F332,'Acerto virtual'!$E:$E,'Acerto virtual'!S:S),"")</f>
        <v/>
      </c>
      <c r="AH332" s="51" t="str">
        <f t="array" ref="AH332">IFERROR(_xlfn.XLOOKUP($F332,'Acerto virtual'!$E:$E,'Acerto virtual'!T:T),"")</f>
        <v/>
      </c>
      <c r="AI332" s="51" t="str">
        <f t="array" ref="AI332">IFERROR(_xlfn.XLOOKUP($F332,'Acerto virtual'!$E:$E,'Acerto virtual'!U:U),"")</f>
        <v/>
      </c>
    </row>
    <row r="333">
      <c r="A333" s="47" t="s">
        <v>986</v>
      </c>
      <c r="B333" s="47" t="s">
        <v>987</v>
      </c>
      <c r="C333" s="48" t="str">
        <f t="array" ref="C333">IFERROR(_xlfn.XLOOKUP($B333,'Histórico'!$B:$B,'Histórico'!$I:$I),"")</f>
        <v>2641011-5</v>
      </c>
      <c r="D333" s="19" t="str">
        <f t="array" ref="D333">IFERROR(_xlfn.XLOOKUP($B333,'Histórico'!$B:$B,'Histórico'!$J:$J),"")</f>
        <v>7EK50</v>
      </c>
      <c r="E333" s="19" t="str">
        <f t="array" ref="E333">IFERROR(_xlfn.XLOOKUP($B333,'Histórico'!$B:$B,'Histórico'!$K:$K),"")</f>
        <v>AXLE-MAIN GEAR</v>
      </c>
      <c r="F333" s="52" t="str">
        <f t="array" ref="F333">IFERROR(_xlfn.XLOOKUP($B333,'Histórico'!$B:$B,'Histórico'!$L:$L),"")</f>
        <v>614095</v>
      </c>
      <c r="G333" s="49">
        <f t="array" ref="G333">IFERROR(_xlfn.XLOOKUP($B333,'Histórico'!$B:$B,'Histórico'!$F:$F),"")</f>
        <v>46125</v>
      </c>
      <c r="H333" s="19" t="str">
        <f t="array" ref="H333">IFERROR(_xlfn.XLOOKUP($B333,'Histórico'!$B:$B,'Histórico'!$AA:$AA),"")</f>
        <v>PAMALS</v>
      </c>
      <c r="I333" s="19" t="str">
        <f t="array" ref="I333">IFERROR(_xlfn.XLOOKUP($B333,Atual!$B:$B,Atual!$E:$E),"OS concluída")</f>
        <v>REC</v>
      </c>
      <c r="J333" s="19">
        <f t="shared" si="1"/>
        <v>185</v>
      </c>
      <c r="K333" s="19"/>
      <c r="L333" s="19">
        <f t="shared" si="2"/>
        <v>57</v>
      </c>
      <c r="M333" s="19"/>
      <c r="N333" s="49">
        <f t="array" ref="N333">IFERROR(_xlfn.XLOOKUP($B333,EMPRESA_1!A:A,EMPRESA_1!J:J),"")</f>
        <v>46182</v>
      </c>
      <c r="O333" s="50" t="str">
        <f t="array" ref="O333">IFERROR(_xlfn.XLOOKUP(B333,EMPRESA_1!A:A,EMPRESA_1!K:K),"")
</f>
        <v>BANT</v>
      </c>
      <c r="P333" s="19" t="str">
        <f t="array" ref="P333">IFERROR(_xlfn.XLOOKUP(B333,EMPRESA_1!A:A,EMPRESA_1!L:L),"")</f>
        <v>461/FAB/26</v>
      </c>
      <c r="Q333" s="49">
        <f t="array" ref="Q333">IFERROR(_xlfn.XLOOKUP(B333,EMPRESA_1!A:A,EMPRESA_1!J:J),"")</f>
        <v>46182</v>
      </c>
      <c r="R333" s="19" t="str">
        <f t="array" ref="R333">IFERROR(_xlfn.XLOOKUP(B333,EMPRESA_1!A:A,EMPRESA_1!M:M),"")</f>
        <v/>
      </c>
      <c r="S333" s="51"/>
      <c r="T333" s="51" t="str">
        <f t="array" ref="T333">IFERROR(_xlfn.XLOOKUP($F333,'Acerto virtual'!$E:$E,'Acerto virtual'!F:F),"")</f>
        <v/>
      </c>
      <c r="U333" s="51" t="str">
        <f t="array" ref="U333">IFERROR(_xlfn.XLOOKUP($F333,'Acerto virtual'!$E:$E,'Acerto virtual'!G:G),"")</f>
        <v/>
      </c>
      <c r="V333" s="51" t="str">
        <f t="array" ref="V333">IFERROR(_xlfn.XLOOKUP($F333,'Acerto virtual'!$E:$E,'Acerto virtual'!H:H),"")</f>
        <v/>
      </c>
      <c r="W333" s="51" t="str">
        <f t="array" ref="W333">IFERROR(_xlfn.XLOOKUP($F333,'Acerto virtual'!$E:$E,'Acerto virtual'!I:I),"")</f>
        <v/>
      </c>
      <c r="X333" s="51" t="str">
        <f t="array" ref="X333">IFERROR(_xlfn.XLOOKUP($F333,'Acerto virtual'!$E:$E,'Acerto virtual'!J:J),"")</f>
        <v/>
      </c>
      <c r="Y333" s="51" t="str">
        <f t="array" ref="Y333">IFERROR(_xlfn.XLOOKUP($F333,'Acerto virtual'!$E:$E,'Acerto virtual'!K:K),"")</f>
        <v/>
      </c>
      <c r="Z333" s="51" t="str">
        <f t="array" ref="Z333">IFERROR(_xlfn.XLOOKUP($F333,'Acerto virtual'!$E:$E,'Acerto virtual'!L:L),"")</f>
        <v/>
      </c>
      <c r="AA333" s="51" t="str">
        <f t="array" ref="AA333">IFERROR(_xlfn.XLOOKUP($F333,'Acerto virtual'!$E:$E,'Acerto virtual'!M:M),"")</f>
        <v/>
      </c>
      <c r="AB333" s="51" t="str">
        <f t="array" ref="AB333">IFERROR(_xlfn.XLOOKUP($F333,'Acerto virtual'!$E:$E,'Acerto virtual'!N:N),"")</f>
        <v/>
      </c>
      <c r="AC333" s="51" t="str">
        <f t="array" ref="AC333">IFERROR(_xlfn.XLOOKUP($F333,'Acerto virtual'!$E:$E,'Acerto virtual'!O:O),"")</f>
        <v/>
      </c>
      <c r="AD333" s="51" t="str">
        <f t="array" ref="AD333">IFERROR(_xlfn.XLOOKUP($F333,'Acerto virtual'!$E:$E,'Acerto virtual'!P:P),"")</f>
        <v/>
      </c>
      <c r="AE333" s="51" t="str">
        <f t="array" ref="AE333">IFERROR(_xlfn.XLOOKUP($F333,'Acerto virtual'!$E:$E,'Acerto virtual'!Q:Q),"")</f>
        <v/>
      </c>
      <c r="AF333" s="51" t="str">
        <f t="array" ref="AF333">IFERROR(_xlfn.XLOOKUP($F333,'Acerto virtual'!$E:$E,'Acerto virtual'!R:R),"")</f>
        <v/>
      </c>
      <c r="AG333" s="51" t="str">
        <f t="array" ref="AG333">IFERROR(_xlfn.XLOOKUP($F333,'Acerto virtual'!$E:$E,'Acerto virtual'!S:S),"")</f>
        <v/>
      </c>
      <c r="AH333" s="51" t="str">
        <f t="array" ref="AH333">IFERROR(_xlfn.XLOOKUP($F333,'Acerto virtual'!$E:$E,'Acerto virtual'!T:T),"")</f>
        <v/>
      </c>
      <c r="AI333" s="51" t="str">
        <f t="array" ref="AI333">IFERROR(_xlfn.XLOOKUP($F333,'Acerto virtual'!$E:$E,'Acerto virtual'!U:U),"")</f>
        <v/>
      </c>
    </row>
    <row r="334">
      <c r="A334" s="47" t="s">
        <v>988</v>
      </c>
      <c r="B334" s="47" t="s">
        <v>989</v>
      </c>
      <c r="C334" s="48" t="str">
        <f t="array" ref="C334">IFERROR(_xlfn.XLOOKUP($B334,'Histórico'!$B:$B,'Histórico'!$I:$I),"")</f>
        <v>3244809-1A</v>
      </c>
      <c r="D334" s="19">
        <f t="array" ref="D334">IFERROR(_xlfn.XLOOKUP($B334,'Histórico'!$B:$B,'Histórico'!$J:$J),"")</f>
        <v>7213</v>
      </c>
      <c r="E334" s="19" t="str">
        <f t="array" ref="E334">IFERROR(_xlfn.XLOOKUP($B334,'Histórico'!$B:$B,'Histórico'!$K:$K),"")</f>
        <v>F.C.U</v>
      </c>
      <c r="F334" s="19" t="str">
        <f t="array" ref="F334">IFERROR(_xlfn.XLOOKUP($B334,'Histórico'!$B:$B,'Histórico'!$L:$L),"")</f>
        <v>B10274</v>
      </c>
      <c r="G334" s="49">
        <f t="array" ref="G334">IFERROR(_xlfn.XLOOKUP($B334,'Histórico'!$B:$B,'Histórico'!$F:$F),"")</f>
        <v>46125</v>
      </c>
      <c r="H334" s="19" t="str">
        <f t="array" ref="H334">IFERROR(_xlfn.XLOOKUP($B334,'Histórico'!$B:$B,'Histórico'!$AA:$AA),"")</f>
        <v>PAMALS</v>
      </c>
      <c r="I334" s="19" t="str">
        <f t="array" ref="I334">IFERROR(_xlfn.XLOOKUP($B334,Atual!$B:$B,Atual!$E:$E),"OS concluída")</f>
        <v>REC</v>
      </c>
      <c r="J334" s="19">
        <f t="shared" si="1"/>
        <v>185</v>
      </c>
      <c r="K334" s="19"/>
      <c r="L334" s="19" t="str">
        <f t="shared" si="2"/>
        <v>NÃO APLICÁVEL</v>
      </c>
      <c r="M334" s="19"/>
      <c r="N334" s="49" t="str">
        <f t="array" ref="N334">IFERROR(_xlfn.XLOOKUP($B334,EMPRESA_1!A:A,EMPRESA_1!J:J),"")</f>
        <v>EM REPARO</v>
      </c>
      <c r="O334" s="50" t="str">
        <f t="array" ref="O334">IFERROR(_xlfn.XLOOKUP(B334,EMPRESA_1!A:A,EMPRESA_1!K:K),"")
</f>
        <v>LEAP</v>
      </c>
      <c r="P334" s="48" t="str">
        <f t="array" ref="P334">IFERROR(_xlfn.XLOOKUP(B334,EMPRESA_1!A:A,EMPRESA_1!L:L),"")</f>
        <v/>
      </c>
      <c r="Q334" s="49" t="str">
        <f t="array" ref="Q334">IFERROR(_xlfn.XLOOKUP(B334,EMPRESA_1!A:A,EMPRESA_1!J:J),"")</f>
        <v>EM REPARO</v>
      </c>
      <c r="R334" s="19" t="str">
        <f t="array" ref="R334">IFERROR(_xlfn.XLOOKUP(B334,EMPRESA_1!A:A,EMPRESA_1!M:M),"")</f>
        <v/>
      </c>
      <c r="S334" s="51"/>
      <c r="T334" s="51" t="str">
        <f t="array" ref="T334">IFERROR(_xlfn.XLOOKUP($F334,'Acerto virtual'!$E:$E,'Acerto virtual'!F:F),"")</f>
        <v/>
      </c>
      <c r="U334" s="51" t="str">
        <f t="array" ref="U334">IFERROR(_xlfn.XLOOKUP($F334,'Acerto virtual'!$E:$E,'Acerto virtual'!G:G),"")</f>
        <v/>
      </c>
      <c r="V334" s="51" t="str">
        <f t="array" ref="V334">IFERROR(_xlfn.XLOOKUP($F334,'Acerto virtual'!$E:$E,'Acerto virtual'!H:H),"")</f>
        <v/>
      </c>
      <c r="W334" s="51" t="str">
        <f t="array" ref="W334">IFERROR(_xlfn.XLOOKUP($F334,'Acerto virtual'!$E:$E,'Acerto virtual'!I:I),"")</f>
        <v/>
      </c>
      <c r="X334" s="51" t="str">
        <f t="array" ref="X334">IFERROR(_xlfn.XLOOKUP($F334,'Acerto virtual'!$E:$E,'Acerto virtual'!J:J),"")</f>
        <v/>
      </c>
      <c r="Y334" s="51" t="str">
        <f t="array" ref="Y334">IFERROR(_xlfn.XLOOKUP($F334,'Acerto virtual'!$E:$E,'Acerto virtual'!K:K),"")</f>
        <v/>
      </c>
      <c r="Z334" s="51" t="str">
        <f t="array" ref="Z334">IFERROR(_xlfn.XLOOKUP($F334,'Acerto virtual'!$E:$E,'Acerto virtual'!L:L),"")</f>
        <v/>
      </c>
      <c r="AA334" s="51" t="str">
        <f t="array" ref="AA334">IFERROR(_xlfn.XLOOKUP($F334,'Acerto virtual'!$E:$E,'Acerto virtual'!M:M),"")</f>
        <v/>
      </c>
      <c r="AB334" s="51" t="str">
        <f t="array" ref="AB334">IFERROR(_xlfn.XLOOKUP($F334,'Acerto virtual'!$E:$E,'Acerto virtual'!N:N),"")</f>
        <v/>
      </c>
      <c r="AC334" s="51" t="str">
        <f t="array" ref="AC334">IFERROR(_xlfn.XLOOKUP($F334,'Acerto virtual'!$E:$E,'Acerto virtual'!O:O),"")</f>
        <v/>
      </c>
      <c r="AD334" s="51" t="str">
        <f t="array" ref="AD334">IFERROR(_xlfn.XLOOKUP($F334,'Acerto virtual'!$E:$E,'Acerto virtual'!P:P),"")</f>
        <v/>
      </c>
      <c r="AE334" s="51" t="str">
        <f t="array" ref="AE334">IFERROR(_xlfn.XLOOKUP($F334,'Acerto virtual'!$E:$E,'Acerto virtual'!Q:Q),"")</f>
        <v/>
      </c>
      <c r="AF334" s="51" t="str">
        <f t="array" ref="AF334">IFERROR(_xlfn.XLOOKUP($F334,'Acerto virtual'!$E:$E,'Acerto virtual'!R:R),"")</f>
        <v/>
      </c>
      <c r="AG334" s="51" t="str">
        <f t="array" ref="AG334">IFERROR(_xlfn.XLOOKUP($F334,'Acerto virtual'!$E:$E,'Acerto virtual'!S:S),"")</f>
        <v/>
      </c>
      <c r="AH334" s="51" t="str">
        <f t="array" ref="AH334">IFERROR(_xlfn.XLOOKUP($F334,'Acerto virtual'!$E:$E,'Acerto virtual'!T:T),"")</f>
        <v/>
      </c>
      <c r="AI334" s="51" t="str">
        <f t="array" ref="AI334">IFERROR(_xlfn.XLOOKUP($F334,'Acerto virtual'!$E:$E,'Acerto virtual'!U:U),"")</f>
        <v/>
      </c>
    </row>
    <row r="335">
      <c r="A335" s="47" t="s">
        <v>990</v>
      </c>
      <c r="B335" s="47" t="s">
        <v>991</v>
      </c>
      <c r="C335" s="48" t="str">
        <f t="array" ref="C335">IFERROR(_xlfn.XLOOKUP($B335,'Histórico'!$B:$B,'Histórico'!$I:$I),"")</f>
        <v>9910338-4</v>
      </c>
      <c r="D335" s="19">
        <f t="array" ref="D335">IFERROR(_xlfn.XLOOKUP($B335,'Histórico'!$B:$B,'Histórico'!$J:$J),"")</f>
        <v>13068</v>
      </c>
      <c r="E335" s="19" t="str">
        <f t="array" ref="E335">IFERROR(_xlfn.XLOOKUP($B335,'Histórico'!$B:$B,'Histórico'!$K:$K),"")</f>
        <v>FUEL TOTALIZER INDICATOR</v>
      </c>
      <c r="F335" s="19" t="str">
        <f t="array" ref="F335">IFERROR(_xlfn.XLOOKUP($B335,'Histórico'!$B:$B,'Histórico'!$L:$L),"")</f>
        <v>9715-096</v>
      </c>
      <c r="G335" s="49">
        <f t="array" ref="G335">IFERROR(_xlfn.XLOOKUP($B335,'Histórico'!$B:$B,'Histórico'!$F:$F),"")</f>
        <v>46125</v>
      </c>
      <c r="H335" s="19" t="str">
        <f t="array" ref="H335">IFERROR(_xlfn.XLOOKUP($B335,'Histórico'!$B:$B,'Histórico'!$AA:$AA),"")</f>
        <v>PAMALS</v>
      </c>
      <c r="I335" s="19" t="str">
        <f t="array" ref="I335">IFERROR(_xlfn.XLOOKUP($B335,Atual!$B:$B,Atual!$E:$E),"OS concluída")</f>
        <v>REC</v>
      </c>
      <c r="J335" s="19">
        <f t="shared" si="1"/>
        <v>185</v>
      </c>
      <c r="K335" s="19"/>
      <c r="L335" s="19" t="str">
        <f t="shared" si="2"/>
        <v>NÃO APLICÁVEL</v>
      </c>
      <c r="M335" s="19"/>
      <c r="N335" s="49" t="str">
        <f t="array" ref="N335">IFERROR(_xlfn.XLOOKUP($B335,EMPRESA_1!A:A,EMPRESA_1!J:J),"")</f>
        <v>EM REPARO</v>
      </c>
      <c r="O335" s="50" t="str">
        <f t="array" ref="O335">IFERROR(_xlfn.XLOOKUP(B335,EMPRESA_1!A:A,EMPRESA_1!K:K),"")
</f>
        <v>VEE ONE</v>
      </c>
      <c r="P335" s="48" t="str">
        <f t="array" ref="P335">IFERROR(_xlfn.XLOOKUP(B335,EMPRESA_1!A:A,EMPRESA_1!L:L),"")</f>
        <v/>
      </c>
      <c r="Q335" s="49" t="str">
        <f t="array" ref="Q335">IFERROR(_xlfn.XLOOKUP(B335,EMPRESA_1!A:A,EMPRESA_1!J:J),"")</f>
        <v>EM REPARO</v>
      </c>
      <c r="R335" s="19" t="str">
        <f t="array" ref="R335">IFERROR(_xlfn.XLOOKUP(B335,EMPRESA_1!A:A,EMPRESA_1!M:M),"")</f>
        <v/>
      </c>
      <c r="S335" s="51"/>
      <c r="T335" s="51" t="str">
        <f t="array" ref="T335">IFERROR(_xlfn.XLOOKUP($F335,'Acerto virtual'!$E:$E,'Acerto virtual'!F:F),"")</f>
        <v/>
      </c>
      <c r="U335" s="51" t="str">
        <f t="array" ref="U335">IFERROR(_xlfn.XLOOKUP($F335,'Acerto virtual'!$E:$E,'Acerto virtual'!G:G),"")</f>
        <v/>
      </c>
      <c r="V335" s="51" t="str">
        <f t="array" ref="V335">IFERROR(_xlfn.XLOOKUP($F335,'Acerto virtual'!$E:$E,'Acerto virtual'!H:H),"")</f>
        <v/>
      </c>
      <c r="W335" s="51" t="str">
        <f t="array" ref="W335">IFERROR(_xlfn.XLOOKUP($F335,'Acerto virtual'!$E:$E,'Acerto virtual'!I:I),"")</f>
        <v/>
      </c>
      <c r="X335" s="51" t="str">
        <f t="array" ref="X335">IFERROR(_xlfn.XLOOKUP($F335,'Acerto virtual'!$E:$E,'Acerto virtual'!J:J),"")</f>
        <v/>
      </c>
      <c r="Y335" s="51" t="str">
        <f t="array" ref="Y335">IFERROR(_xlfn.XLOOKUP($F335,'Acerto virtual'!$E:$E,'Acerto virtual'!K:K),"")</f>
        <v/>
      </c>
      <c r="Z335" s="51" t="str">
        <f t="array" ref="Z335">IFERROR(_xlfn.XLOOKUP($F335,'Acerto virtual'!$E:$E,'Acerto virtual'!L:L),"")</f>
        <v/>
      </c>
      <c r="AA335" s="51" t="str">
        <f t="array" ref="AA335">IFERROR(_xlfn.XLOOKUP($F335,'Acerto virtual'!$E:$E,'Acerto virtual'!M:M),"")</f>
        <v/>
      </c>
      <c r="AB335" s="51" t="str">
        <f t="array" ref="AB335">IFERROR(_xlfn.XLOOKUP($F335,'Acerto virtual'!$E:$E,'Acerto virtual'!N:N),"")</f>
        <v/>
      </c>
      <c r="AC335" s="51" t="str">
        <f t="array" ref="AC335">IFERROR(_xlfn.XLOOKUP($F335,'Acerto virtual'!$E:$E,'Acerto virtual'!O:O),"")</f>
        <v/>
      </c>
      <c r="AD335" s="51" t="str">
        <f t="array" ref="AD335">IFERROR(_xlfn.XLOOKUP($F335,'Acerto virtual'!$E:$E,'Acerto virtual'!P:P),"")</f>
        <v/>
      </c>
      <c r="AE335" s="51" t="str">
        <f t="array" ref="AE335">IFERROR(_xlfn.XLOOKUP($F335,'Acerto virtual'!$E:$E,'Acerto virtual'!Q:Q),"")</f>
        <v/>
      </c>
      <c r="AF335" s="51" t="str">
        <f t="array" ref="AF335">IFERROR(_xlfn.XLOOKUP($F335,'Acerto virtual'!$E:$E,'Acerto virtual'!R:R),"")</f>
        <v/>
      </c>
      <c r="AG335" s="51" t="str">
        <f t="array" ref="AG335">IFERROR(_xlfn.XLOOKUP($F335,'Acerto virtual'!$E:$E,'Acerto virtual'!S:S),"")</f>
        <v/>
      </c>
      <c r="AH335" s="51" t="str">
        <f t="array" ref="AH335">IFERROR(_xlfn.XLOOKUP($F335,'Acerto virtual'!$E:$E,'Acerto virtual'!T:T),"")</f>
        <v/>
      </c>
      <c r="AI335" s="51" t="str">
        <f t="array" ref="AI335">IFERROR(_xlfn.XLOOKUP($F335,'Acerto virtual'!$E:$E,'Acerto virtual'!U:U),"")</f>
        <v/>
      </c>
    </row>
    <row r="336">
      <c r="A336" s="47" t="s">
        <v>992</v>
      </c>
      <c r="B336" s="47" t="s">
        <v>993</v>
      </c>
      <c r="C336" s="48" t="str">
        <f t="array" ref="C336">IFERROR(_xlfn.XLOOKUP($B336,'Histórico'!$B:$B,'Histórico'!$I:$I),"")</f>
        <v>9910338-6</v>
      </c>
      <c r="D336" s="19">
        <f t="array" ref="D336">IFERROR(_xlfn.XLOOKUP($B336,'Histórico'!$B:$B,'Histórico'!$J:$J),"")</f>
        <v>71379</v>
      </c>
      <c r="E336" s="19" t="str">
        <f t="array" ref="E336">IFERROR(_xlfn.XLOOKUP($B336,'Histórico'!$B:$B,'Histórico'!$K:$K),"")</f>
        <v>TRANSMITTER,RATE OF FLOW</v>
      </c>
      <c r="F336" s="19" t="str">
        <f t="array" ref="F336">IFERROR(_xlfn.XLOOKUP($B336,'Histórico'!$B:$B,'Histórico'!$L:$L),"")</f>
        <v>197</v>
      </c>
      <c r="G336" s="49">
        <f t="array" ref="G336">IFERROR(_xlfn.XLOOKUP($B336,'Histórico'!$B:$B,'Histórico'!$F:$F),"")</f>
        <v>46125</v>
      </c>
      <c r="H336" s="19" t="str">
        <f t="array" ref="H336">IFERROR(_xlfn.XLOOKUP($B336,'Histórico'!$B:$B,'Histórico'!$AA:$AA),"")</f>
        <v>BAMN</v>
      </c>
      <c r="I336" s="19" t="str">
        <f t="array" ref="I336">IFERROR(_xlfn.XLOOKUP($B336,Atual!$B:$B,Atual!$E:$E),"OS concluída")</f>
        <v>REC</v>
      </c>
      <c r="J336" s="19">
        <f t="shared" si="1"/>
        <v>185</v>
      </c>
      <c r="K336" s="19"/>
      <c r="L336" s="19">
        <f t="shared" si="2"/>
        <v>100</v>
      </c>
      <c r="M336" s="19"/>
      <c r="N336" s="49">
        <f t="array" ref="N336">IFERROR(_xlfn.XLOOKUP($B336,EMPRESA_1!A:A,EMPRESA_1!J:J),"")</f>
        <v>46225</v>
      </c>
      <c r="O336" s="50" t="str">
        <f t="array" ref="O336">IFERROR(_xlfn.XLOOKUP(B336,EMPRESA_1!A:A,EMPRESA_1!K:K),"")
</f>
        <v>PAMA-LS</v>
      </c>
      <c r="P336" s="48" t="str">
        <f t="array" ref="P336">IFERROR(_xlfn.XLOOKUP(B336,EMPRESA_1!A:A,EMPRESA_1!L:L),"")</f>
        <v>623/FAB/26</v>
      </c>
      <c r="Q336" s="49">
        <f t="array" ref="Q336">IFERROR(_xlfn.XLOOKUP(B336,EMPRESA_1!A:A,EMPRESA_1!J:J),"")</f>
        <v>46225</v>
      </c>
      <c r="R336" s="19" t="str">
        <f t="array" ref="R336">IFERROR(_xlfn.XLOOKUP(B336,EMPRESA_1!A:A,EMPRESA_1!M:M),"")</f>
        <v/>
      </c>
      <c r="S336" s="51"/>
      <c r="T336" s="51" t="str">
        <f t="array" ref="T336">IFERROR(_xlfn.XLOOKUP($F336,'Acerto virtual'!$E:$E,'Acerto virtual'!F:F),"")</f>
        <v/>
      </c>
      <c r="U336" s="51" t="str">
        <f t="array" ref="U336">IFERROR(_xlfn.XLOOKUP($F336,'Acerto virtual'!$E:$E,'Acerto virtual'!G:G),"")</f>
        <v/>
      </c>
      <c r="V336" s="51" t="str">
        <f t="array" ref="V336">IFERROR(_xlfn.XLOOKUP($F336,'Acerto virtual'!$E:$E,'Acerto virtual'!H:H),"")</f>
        <v/>
      </c>
      <c r="W336" s="51" t="str">
        <f t="array" ref="W336">IFERROR(_xlfn.XLOOKUP($F336,'Acerto virtual'!$E:$E,'Acerto virtual'!I:I),"")</f>
        <v/>
      </c>
      <c r="X336" s="51" t="str">
        <f t="array" ref="X336">IFERROR(_xlfn.XLOOKUP($F336,'Acerto virtual'!$E:$E,'Acerto virtual'!J:J),"")</f>
        <v/>
      </c>
      <c r="Y336" s="51" t="str">
        <f t="array" ref="Y336">IFERROR(_xlfn.XLOOKUP($F336,'Acerto virtual'!$E:$E,'Acerto virtual'!K:K),"")</f>
        <v/>
      </c>
      <c r="Z336" s="51" t="str">
        <f t="array" ref="Z336">IFERROR(_xlfn.XLOOKUP($F336,'Acerto virtual'!$E:$E,'Acerto virtual'!L:L),"")</f>
        <v/>
      </c>
      <c r="AA336" s="51" t="str">
        <f t="array" ref="AA336">IFERROR(_xlfn.XLOOKUP($F336,'Acerto virtual'!$E:$E,'Acerto virtual'!M:M),"")</f>
        <v/>
      </c>
      <c r="AB336" s="51" t="str">
        <f t="array" ref="AB336">IFERROR(_xlfn.XLOOKUP($F336,'Acerto virtual'!$E:$E,'Acerto virtual'!N:N),"")</f>
        <v/>
      </c>
      <c r="AC336" s="51" t="str">
        <f t="array" ref="AC336">IFERROR(_xlfn.XLOOKUP($F336,'Acerto virtual'!$E:$E,'Acerto virtual'!O:O),"")</f>
        <v/>
      </c>
      <c r="AD336" s="51" t="str">
        <f t="array" ref="AD336">IFERROR(_xlfn.XLOOKUP($F336,'Acerto virtual'!$E:$E,'Acerto virtual'!P:P),"")</f>
        <v/>
      </c>
      <c r="AE336" s="51" t="str">
        <f t="array" ref="AE336">IFERROR(_xlfn.XLOOKUP($F336,'Acerto virtual'!$E:$E,'Acerto virtual'!Q:Q),"")</f>
        <v/>
      </c>
      <c r="AF336" s="51" t="str">
        <f t="array" ref="AF336">IFERROR(_xlfn.XLOOKUP($F336,'Acerto virtual'!$E:$E,'Acerto virtual'!R:R),"")</f>
        <v/>
      </c>
      <c r="AG336" s="51" t="str">
        <f t="array" ref="AG336">IFERROR(_xlfn.XLOOKUP($F336,'Acerto virtual'!$E:$E,'Acerto virtual'!S:S),"")</f>
        <v/>
      </c>
      <c r="AH336" s="51" t="str">
        <f t="array" ref="AH336">IFERROR(_xlfn.XLOOKUP($F336,'Acerto virtual'!$E:$E,'Acerto virtual'!T:T),"")</f>
        <v/>
      </c>
      <c r="AI336" s="51" t="str">
        <f t="array" ref="AI336">IFERROR(_xlfn.XLOOKUP($F336,'Acerto virtual'!$E:$E,'Acerto virtual'!U:U),"")</f>
        <v/>
      </c>
    </row>
    <row r="337">
      <c r="A337" s="47" t="s">
        <v>994</v>
      </c>
      <c r="B337" s="47" t="s">
        <v>995</v>
      </c>
      <c r="C337" s="48" t="str">
        <f t="array" ref="C337">IFERROR(_xlfn.XLOOKUP($B337,'Histórico'!$B:$B,'Histórico'!$I:$I),"")</f>
        <v>9910338-6</v>
      </c>
      <c r="D337" s="19">
        <f t="array" ref="D337">IFERROR(_xlfn.XLOOKUP($B337,'Histórico'!$B:$B,'Histórico'!$J:$J),"")</f>
        <v>71379</v>
      </c>
      <c r="E337" s="19" t="str">
        <f t="array" ref="E337">IFERROR(_xlfn.XLOOKUP($B337,'Histórico'!$B:$B,'Histórico'!$K:$K),"")</f>
        <v>TRANSMITTER,RATE OF FLOW</v>
      </c>
      <c r="F337" s="19" t="str">
        <f t="array" ref="F337">IFERROR(_xlfn.XLOOKUP($B337,'Histórico'!$B:$B,'Histórico'!$L:$L),"")</f>
        <v>1378</v>
      </c>
      <c r="G337" s="49">
        <f t="array" ref="G337">IFERROR(_xlfn.XLOOKUP($B337,'Histórico'!$B:$B,'Histórico'!$F:$F),"")</f>
        <v>46125</v>
      </c>
      <c r="H337" s="19" t="str">
        <f t="array" ref="H337">IFERROR(_xlfn.XLOOKUP($B337,'Histórico'!$B:$B,'Histórico'!$AA:$AA),"")</f>
        <v>BANT</v>
      </c>
      <c r="I337" s="19" t="str">
        <f t="array" ref="I337">IFERROR(_xlfn.XLOOKUP($B337,Atual!$B:$B,Atual!$E:$E),"OS concluída")</f>
        <v>REC</v>
      </c>
      <c r="J337" s="19">
        <f t="shared" si="1"/>
        <v>185</v>
      </c>
      <c r="K337" s="19"/>
      <c r="L337" s="19" t="str">
        <f t="shared" si="2"/>
        <v>NÃO APLICÁVEL</v>
      </c>
      <c r="M337" s="19"/>
      <c r="N337" s="49" t="str">
        <f t="array" ref="N337">IFERROR(_xlfn.XLOOKUP($B337,EMPRESA_1!A:A,EMPRESA_1!J:J),"")</f>
        <v>EM REPARO</v>
      </c>
      <c r="O337" s="50" t="str">
        <f t="array" ref="O337">IFERROR(_xlfn.XLOOKUP(B337,EMPRESA_1!A:A,EMPRESA_1!K:K),"")
</f>
        <v>VEE ONE</v>
      </c>
      <c r="P337" s="48" t="str">
        <f t="array" ref="P337">IFERROR(_xlfn.XLOOKUP(B337,EMPRESA_1!A:A,EMPRESA_1!L:L),"")</f>
        <v/>
      </c>
      <c r="Q337" s="49" t="str">
        <f t="array" ref="Q337">IFERROR(_xlfn.XLOOKUP(B337,EMPRESA_1!A:A,EMPRESA_1!J:J),"")</f>
        <v>EM REPARO</v>
      </c>
      <c r="R337" s="19" t="str">
        <f t="array" ref="R337">IFERROR(_xlfn.XLOOKUP(B337,EMPRESA_1!A:A,EMPRESA_1!M:M),"")</f>
        <v/>
      </c>
      <c r="S337" s="51"/>
      <c r="T337" s="51" t="str">
        <f t="array" ref="T337">IFERROR(_xlfn.XLOOKUP($F337,'Acerto virtual'!$E:$E,'Acerto virtual'!F:F),"")</f>
        <v/>
      </c>
      <c r="U337" s="51" t="str">
        <f t="array" ref="U337">IFERROR(_xlfn.XLOOKUP($F337,'Acerto virtual'!$E:$E,'Acerto virtual'!G:G),"")</f>
        <v/>
      </c>
      <c r="V337" s="51" t="str">
        <f t="array" ref="V337">IFERROR(_xlfn.XLOOKUP($F337,'Acerto virtual'!$E:$E,'Acerto virtual'!H:H),"")</f>
        <v/>
      </c>
      <c r="W337" s="51" t="str">
        <f t="array" ref="W337">IFERROR(_xlfn.XLOOKUP($F337,'Acerto virtual'!$E:$E,'Acerto virtual'!I:I),"")</f>
        <v/>
      </c>
      <c r="X337" s="51" t="str">
        <f t="array" ref="X337">IFERROR(_xlfn.XLOOKUP($F337,'Acerto virtual'!$E:$E,'Acerto virtual'!J:J),"")</f>
        <v/>
      </c>
      <c r="Y337" s="51" t="str">
        <f t="array" ref="Y337">IFERROR(_xlfn.XLOOKUP($F337,'Acerto virtual'!$E:$E,'Acerto virtual'!K:K),"")</f>
        <v/>
      </c>
      <c r="Z337" s="51" t="str">
        <f t="array" ref="Z337">IFERROR(_xlfn.XLOOKUP($F337,'Acerto virtual'!$E:$E,'Acerto virtual'!L:L),"")</f>
        <v/>
      </c>
      <c r="AA337" s="51" t="str">
        <f t="array" ref="AA337">IFERROR(_xlfn.XLOOKUP($F337,'Acerto virtual'!$E:$E,'Acerto virtual'!M:M),"")</f>
        <v/>
      </c>
      <c r="AB337" s="51" t="str">
        <f t="array" ref="AB337">IFERROR(_xlfn.XLOOKUP($F337,'Acerto virtual'!$E:$E,'Acerto virtual'!N:N),"")</f>
        <v/>
      </c>
      <c r="AC337" s="51" t="str">
        <f t="array" ref="AC337">IFERROR(_xlfn.XLOOKUP($F337,'Acerto virtual'!$E:$E,'Acerto virtual'!O:O),"")</f>
        <v/>
      </c>
      <c r="AD337" s="51" t="str">
        <f t="array" ref="AD337">IFERROR(_xlfn.XLOOKUP($F337,'Acerto virtual'!$E:$E,'Acerto virtual'!P:P),"")</f>
        <v/>
      </c>
      <c r="AE337" s="51" t="str">
        <f t="array" ref="AE337">IFERROR(_xlfn.XLOOKUP($F337,'Acerto virtual'!$E:$E,'Acerto virtual'!Q:Q),"")</f>
        <v/>
      </c>
      <c r="AF337" s="51" t="str">
        <f t="array" ref="AF337">IFERROR(_xlfn.XLOOKUP($F337,'Acerto virtual'!$E:$E,'Acerto virtual'!R:R),"")</f>
        <v/>
      </c>
      <c r="AG337" s="51" t="str">
        <f t="array" ref="AG337">IFERROR(_xlfn.XLOOKUP($F337,'Acerto virtual'!$E:$E,'Acerto virtual'!S:S),"")</f>
        <v/>
      </c>
      <c r="AH337" s="51" t="str">
        <f t="array" ref="AH337">IFERROR(_xlfn.XLOOKUP($F337,'Acerto virtual'!$E:$E,'Acerto virtual'!T:T),"")</f>
        <v/>
      </c>
      <c r="AI337" s="51" t="str">
        <f t="array" ref="AI337">IFERROR(_xlfn.XLOOKUP($F337,'Acerto virtual'!$E:$E,'Acerto virtual'!U:U),"")</f>
        <v/>
      </c>
    </row>
    <row r="338" hidden="1">
      <c r="A338" s="47" t="s">
        <v>996</v>
      </c>
      <c r="B338" s="47" t="s">
        <v>997</v>
      </c>
      <c r="C338" s="19" t="str">
        <f t="array" ref="C338">IFERROR(_xlfn.XLOOKUP($B338,'Histórico'!$B:$B,'Histórico'!$I:$I),"")</f>
        <v>2682001-1</v>
      </c>
      <c r="D338" s="19" t="str">
        <f t="array" ref="D338">IFERROR(_xlfn.XLOOKUP($B338,'Histórico'!$B:$B,'Histórico'!$J:$J),"")</f>
        <v>7EK50</v>
      </c>
      <c r="E338" s="19" t="str">
        <f t="array" ref="E338">IFERROR(_xlfn.XLOOKUP($B338,'Histórico'!$B:$B,'Histórico'!$K:$K),"")</f>
        <v>BRAKE CYL MAST</v>
      </c>
      <c r="F338" s="19" t="str">
        <f t="array" ref="F338">IFERROR(_xlfn.XLOOKUP($B338,'Histórico'!$B:$B,'Histórico'!$L:$L),"")</f>
        <v>ATE2717</v>
      </c>
      <c r="G338" s="49">
        <f t="array" ref="G338">IFERROR(_xlfn.XLOOKUP($B338,'Histórico'!$B:$B,'Histórico'!$F:$F),"")</f>
        <v>46127</v>
      </c>
      <c r="H338" s="19" t="str">
        <f t="array" ref="H338">IFERROR(_xlfn.XLOOKUP($B338,'Histórico'!$B:$B,'Histórico'!$AA:$AA),"")</f>
        <v>BACO</v>
      </c>
      <c r="I338" s="19" t="str">
        <f t="array" ref="I338">IFERROR(_xlfn.XLOOKUP($B338,Atual!$B:$B,Atual!$E:$E),"OS concluída")</f>
        <v>OS concluída</v>
      </c>
      <c r="J338" s="19" t="str">
        <f t="shared" si="1"/>
        <v/>
      </c>
      <c r="K338" s="19"/>
      <c r="L338" s="19" t="str">
        <f t="shared" si="2"/>
        <v/>
      </c>
      <c r="M338" s="19"/>
      <c r="N338" s="49" t="str">
        <f t="array" ref="N338">IFERROR(_xlfn.XLOOKUP($B338,Empresa!G:G,Empresa!K:K),"")</f>
        <v/>
      </c>
      <c r="O338" s="50" t="str">
        <f t="array" ref="O338">IFERROR(_xlfn.XLOOKUP(B338,EMPRESA_1!A:A,EMPRESA_1!K:K),"")
</f>
        <v>PAMA-LS</v>
      </c>
      <c r="P338" s="19" t="str">
        <f t="array" ref="P338">IFERROR(_xlfn.XLOOKUP(B338,EMPRESA_1!A:A,EMPRESA_1!L:L),"")</f>
        <v>438/FAB/26</v>
      </c>
      <c r="Q338" s="49">
        <f t="array" ref="Q338">IFERROR(_xlfn.XLOOKUP(B338,EMPRESA_1!A:A,EMPRESA_1!J:J),"")</f>
        <v>46175</v>
      </c>
      <c r="R338" s="19" t="str">
        <f t="array" ref="R338">IFERROR(_xlfn.XLOOKUP(B338,EMPRESA_1!A:A,EMPRESA_1!M:M),"")</f>
        <v/>
      </c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</row>
    <row r="339" hidden="1">
      <c r="A339" s="47" t="s">
        <v>998</v>
      </c>
      <c r="B339" s="47" t="s">
        <v>999</v>
      </c>
      <c r="C339" s="48" t="str">
        <f t="array" ref="C339">IFERROR(_xlfn.XLOOKUP($B339,'Histórico'!$B:$B,'Histórico'!$I:$I),"")</f>
        <v>2682001-1</v>
      </c>
      <c r="D339" s="19" t="str">
        <f t="array" ref="D339">IFERROR(_xlfn.XLOOKUP($B339,'Histórico'!$B:$B,'Histórico'!$J:$J),"")</f>
        <v>7EK50</v>
      </c>
      <c r="E339" s="19" t="str">
        <f t="array" ref="E339">IFERROR(_xlfn.XLOOKUP($B339,'Histórico'!$B:$B,'Histórico'!$K:$K),"")</f>
        <v>BRAKE CYL MAST</v>
      </c>
      <c r="F339" s="19" t="str">
        <f t="array" ref="F339">IFERROR(_xlfn.XLOOKUP($B339,'Histórico'!$B:$B,'Histórico'!$L:$L),"")</f>
        <v>LS005</v>
      </c>
      <c r="G339" s="49">
        <f t="array" ref="G339">IFERROR(_xlfn.XLOOKUP($B339,'Histórico'!$B:$B,'Histórico'!$F:$F),"")</f>
        <v>46127</v>
      </c>
      <c r="H339" s="19" t="str">
        <f t="array" ref="H339">IFERROR(_xlfn.XLOOKUP($B339,'Histórico'!$B:$B,'Histórico'!$AA:$AA),"")</f>
        <v>PAMALS</v>
      </c>
      <c r="I339" s="19" t="str">
        <f t="array" ref="I339">IFERROR(_xlfn.XLOOKUP($B339,Atual!$B:$B,Atual!$E:$E),"OS concluída")</f>
        <v>OS concluída</v>
      </c>
      <c r="J339" s="19" t="str">
        <f t="shared" si="1"/>
        <v/>
      </c>
      <c r="K339" s="19"/>
      <c r="L339" s="19">
        <f t="shared" si="2"/>
        <v>28</v>
      </c>
      <c r="M339" s="19"/>
      <c r="N339" s="49">
        <f t="array" ref="N339">IFERROR(_xlfn.XLOOKUP($B339,EMPRESA_1!A:A,EMPRESA_1!J:J),"")</f>
        <v>46155</v>
      </c>
      <c r="O339" s="50" t="str">
        <f t="array" ref="O339">IFERROR(_xlfn.XLOOKUP(B339,EMPRESA_1!A:A,EMPRESA_1!K:K),"")
</f>
        <v>PAMA-LS</v>
      </c>
      <c r="P339" s="48" t="str">
        <f t="array" ref="P339">IFERROR(_xlfn.XLOOKUP(B339,EMPRESA_1!A:A,EMPRESA_1!L:L),"")</f>
        <v>682/FAB/26</v>
      </c>
      <c r="Q339" s="49">
        <f t="array" ref="Q339">IFERROR(_xlfn.XLOOKUP(B339,EMPRESA_1!A:A,EMPRESA_1!J:J),"")</f>
        <v>46155</v>
      </c>
      <c r="R339" s="19" t="str">
        <f t="array" ref="R339">IFERROR(_xlfn.XLOOKUP(B339,EMPRESA_1!A:A,EMPRESA_1!M:M),"")</f>
        <v/>
      </c>
      <c r="S339" s="51"/>
      <c r="T339" s="51" t="str">
        <f t="array" ref="T339">IFERROR(_xlfn.XLOOKUP($F339,'Acerto virtual'!$E:$E,'Acerto virtual'!F:F),"")</f>
        <v/>
      </c>
      <c r="U339" s="51" t="str">
        <f t="array" ref="U339">IFERROR(_xlfn.XLOOKUP($F339,'Acerto virtual'!$E:$E,'Acerto virtual'!G:G),"")</f>
        <v/>
      </c>
      <c r="V339" s="51" t="str">
        <f t="array" ref="V339">IFERROR(_xlfn.XLOOKUP($F339,'Acerto virtual'!$E:$E,'Acerto virtual'!H:H),"")</f>
        <v/>
      </c>
      <c r="W339" s="51" t="str">
        <f t="array" ref="W339">IFERROR(_xlfn.XLOOKUP($F339,'Acerto virtual'!$E:$E,'Acerto virtual'!I:I),"")</f>
        <v/>
      </c>
      <c r="X339" s="51" t="str">
        <f t="array" ref="X339">IFERROR(_xlfn.XLOOKUP($F339,'Acerto virtual'!$E:$E,'Acerto virtual'!J:J),"")</f>
        <v/>
      </c>
      <c r="Y339" s="51" t="str">
        <f t="array" ref="Y339">IFERROR(_xlfn.XLOOKUP($F339,'Acerto virtual'!$E:$E,'Acerto virtual'!K:K),"")</f>
        <v/>
      </c>
      <c r="Z339" s="51" t="str">
        <f t="array" ref="Z339">IFERROR(_xlfn.XLOOKUP($F339,'Acerto virtual'!$E:$E,'Acerto virtual'!L:L),"")</f>
        <v/>
      </c>
      <c r="AA339" s="51" t="str">
        <f t="array" ref="AA339">IFERROR(_xlfn.XLOOKUP($F339,'Acerto virtual'!$E:$E,'Acerto virtual'!M:M),"")</f>
        <v/>
      </c>
      <c r="AB339" s="51" t="str">
        <f t="array" ref="AB339">IFERROR(_xlfn.XLOOKUP($F339,'Acerto virtual'!$E:$E,'Acerto virtual'!N:N),"")</f>
        <v/>
      </c>
      <c r="AC339" s="51" t="str">
        <f t="array" ref="AC339">IFERROR(_xlfn.XLOOKUP($F339,'Acerto virtual'!$E:$E,'Acerto virtual'!O:O),"")</f>
        <v/>
      </c>
      <c r="AD339" s="51" t="str">
        <f t="array" ref="AD339">IFERROR(_xlfn.XLOOKUP($F339,'Acerto virtual'!$E:$E,'Acerto virtual'!P:P),"")</f>
        <v/>
      </c>
      <c r="AE339" s="51" t="str">
        <f t="array" ref="AE339">IFERROR(_xlfn.XLOOKUP($F339,'Acerto virtual'!$E:$E,'Acerto virtual'!Q:Q),"")</f>
        <v/>
      </c>
      <c r="AF339" s="51" t="str">
        <f t="array" ref="AF339">IFERROR(_xlfn.XLOOKUP($F339,'Acerto virtual'!$E:$E,'Acerto virtual'!R:R),"")</f>
        <v/>
      </c>
      <c r="AG339" s="51" t="str">
        <f t="array" ref="AG339">IFERROR(_xlfn.XLOOKUP($F339,'Acerto virtual'!$E:$E,'Acerto virtual'!S:S),"")</f>
        <v/>
      </c>
      <c r="AH339" s="51" t="str">
        <f t="array" ref="AH339">IFERROR(_xlfn.XLOOKUP($F339,'Acerto virtual'!$E:$E,'Acerto virtual'!T:T),"")</f>
        <v/>
      </c>
      <c r="AI339" s="51" t="str">
        <f t="array" ref="AI339">IFERROR(_xlfn.XLOOKUP($F339,'Acerto virtual'!$E:$E,'Acerto virtual'!U:U),"")</f>
        <v/>
      </c>
    </row>
    <row r="340" hidden="1">
      <c r="A340" s="47" t="s">
        <v>1000</v>
      </c>
      <c r="B340" s="47" t="s">
        <v>1001</v>
      </c>
      <c r="C340" s="19" t="str">
        <f t="array" ref="C340">IFERROR(_xlfn.XLOOKUP($B340,'Histórico'!$B:$B,'Histórico'!$I:$I),"")</f>
        <v>2682001-1</v>
      </c>
      <c r="D340" s="19" t="str">
        <f t="array" ref="D340">IFERROR(_xlfn.XLOOKUP($B340,'Histórico'!$B:$B,'Histórico'!$J:$J),"")</f>
        <v>7EK50</v>
      </c>
      <c r="E340" s="19" t="str">
        <f t="array" ref="E340">IFERROR(_xlfn.XLOOKUP($B340,'Histórico'!$B:$B,'Histórico'!$K:$K),"")</f>
        <v>BRAKE CYL MAST</v>
      </c>
      <c r="F340" s="19" t="str">
        <f t="array" ref="F340">IFERROR(_xlfn.XLOOKUP($B340,'Histórico'!$B:$B,'Histórico'!$L:$L),"")</f>
        <v>ATE2714</v>
      </c>
      <c r="G340" s="49">
        <f t="array" ref="G340">IFERROR(_xlfn.XLOOKUP($B340,'Histórico'!$B:$B,'Histórico'!$F:$F),"")</f>
        <v>46127</v>
      </c>
      <c r="H340" s="19" t="str">
        <f t="array" ref="H340">IFERROR(_xlfn.XLOOKUP($B340,'Histórico'!$B:$B,'Histórico'!$AA:$AA),"")</f>
        <v>BANT</v>
      </c>
      <c r="I340" s="19" t="str">
        <f t="array" ref="I340">IFERROR(_xlfn.XLOOKUP($B340,Atual!$B:$B,Atual!$E:$E),"OS concluída")</f>
        <v>OS concluída</v>
      </c>
      <c r="J340" s="19" t="str">
        <f t="shared" si="1"/>
        <v/>
      </c>
      <c r="K340" s="19"/>
      <c r="L340" s="19" t="str">
        <f t="shared" si="2"/>
        <v/>
      </c>
      <c r="M340" s="19"/>
      <c r="N340" s="49" t="str">
        <f t="array" ref="N340">IFERROR(_xlfn.XLOOKUP($B340,Empresa!G:G,Empresa!K:K),"")</f>
        <v/>
      </c>
      <c r="O340" s="50" t="str">
        <f t="array" ref="O340">IFERROR(_xlfn.XLOOKUP(B340,EMPRESA_1!A:A,EMPRESA_1!K:K),"")
</f>
        <v>PAMA-LS</v>
      </c>
      <c r="P340" s="19" t="str">
        <f t="array" ref="P340">IFERROR(_xlfn.XLOOKUP(B340,EMPRESA_1!A:A,EMPRESA_1!L:L),"")</f>
        <v>438/FAB/26</v>
      </c>
      <c r="Q340" s="49">
        <f t="array" ref="Q340">IFERROR(_xlfn.XLOOKUP(B340,EMPRESA_1!A:A,EMPRESA_1!J:J),"")</f>
        <v>46175</v>
      </c>
      <c r="R340" s="19" t="str">
        <f t="array" ref="R340">IFERROR(_xlfn.XLOOKUP(B340,EMPRESA_1!A:A,EMPRESA_1!M:M),"")</f>
        <v/>
      </c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</row>
    <row r="341" hidden="1">
      <c r="A341" s="47" t="s">
        <v>1002</v>
      </c>
      <c r="B341" s="47" t="s">
        <v>1003</v>
      </c>
      <c r="C341" s="48" t="str">
        <f t="array" ref="C341">IFERROR(_xlfn.XLOOKUP($B341,'Histórico'!$B:$B,'Histórico'!$I:$I),"")</f>
        <v>2682001-1</v>
      </c>
      <c r="D341" s="19" t="str">
        <f t="array" ref="D341">IFERROR(_xlfn.XLOOKUP($B341,'Histórico'!$B:$B,'Histórico'!$J:$J),"")</f>
        <v>7EK50</v>
      </c>
      <c r="E341" s="19" t="str">
        <f t="array" ref="E341">IFERROR(_xlfn.XLOOKUP($B341,'Histórico'!$B:$B,'Histórico'!$K:$K),"")</f>
        <v>BRAKE CYL MAST</v>
      </c>
      <c r="F341" s="19" t="str">
        <f t="array" ref="F341">IFERROR(_xlfn.XLOOKUP($B341,'Histórico'!$B:$B,'Histórico'!$L:$L),"")</f>
        <v>ATE2730</v>
      </c>
      <c r="G341" s="49">
        <f t="array" ref="G341">IFERROR(_xlfn.XLOOKUP($B341,'Histórico'!$B:$B,'Histórico'!$F:$F),"")</f>
        <v>46127</v>
      </c>
      <c r="H341" s="19" t="str">
        <f t="array" ref="H341">IFERROR(_xlfn.XLOOKUP($B341,'Histórico'!$B:$B,'Histórico'!$AA:$AA),"")</f>
        <v>BABE</v>
      </c>
      <c r="I341" s="19" t="str">
        <f t="array" ref="I341">IFERROR(_xlfn.XLOOKUP($B341,Atual!$B:$B,Atual!$E:$E),"OS concluída")</f>
        <v>OS concluída</v>
      </c>
      <c r="J341" s="19" t="str">
        <f t="shared" si="1"/>
        <v/>
      </c>
      <c r="K341" s="19"/>
      <c r="L341" s="19">
        <f t="shared" si="2"/>
        <v>12</v>
      </c>
      <c r="M341" s="19"/>
      <c r="N341" s="49">
        <f t="array" ref="N341">IFERROR(_xlfn.XLOOKUP($B341,EMPRESA_1!A:A,EMPRESA_1!J:J),"")</f>
        <v>46139</v>
      </c>
      <c r="O341" s="50" t="str">
        <f t="array" ref="O341">IFERROR(_xlfn.XLOOKUP(B341,EMPRESA_1!A:A,EMPRESA_1!K:K),"")
</f>
        <v>PAMA-LS</v>
      </c>
      <c r="P341" s="48" t="str">
        <f t="array" ref="P341">IFERROR(_xlfn.XLOOKUP(B341,EMPRESA_1!A:A,EMPRESA_1!L:L),"")</f>
        <v>682/FAB/26</v>
      </c>
      <c r="Q341" s="49">
        <f t="array" ref="Q341">IFERROR(_xlfn.XLOOKUP(B341,EMPRESA_1!A:A,EMPRESA_1!J:J),"")</f>
        <v>46139</v>
      </c>
      <c r="R341" s="19" t="str">
        <f t="array" ref="R341">IFERROR(_xlfn.XLOOKUP(B341,EMPRESA_1!A:A,EMPRESA_1!M:M),"")</f>
        <v/>
      </c>
      <c r="S341" s="51"/>
      <c r="T341" s="51" t="str">
        <f t="array" ref="T341">IFERROR(_xlfn.XLOOKUP($F341,'Acerto virtual'!$E:$E,'Acerto virtual'!F:F),"")</f>
        <v/>
      </c>
      <c r="U341" s="51" t="str">
        <f t="array" ref="U341">IFERROR(_xlfn.XLOOKUP($F341,'Acerto virtual'!$E:$E,'Acerto virtual'!G:G),"")</f>
        <v/>
      </c>
      <c r="V341" s="51" t="str">
        <f t="array" ref="V341">IFERROR(_xlfn.XLOOKUP($F341,'Acerto virtual'!$E:$E,'Acerto virtual'!H:H),"")</f>
        <v/>
      </c>
      <c r="W341" s="51" t="str">
        <f t="array" ref="W341">IFERROR(_xlfn.XLOOKUP($F341,'Acerto virtual'!$E:$E,'Acerto virtual'!I:I),"")</f>
        <v/>
      </c>
      <c r="X341" s="51" t="str">
        <f t="array" ref="X341">IFERROR(_xlfn.XLOOKUP($F341,'Acerto virtual'!$E:$E,'Acerto virtual'!J:J),"")</f>
        <v/>
      </c>
      <c r="Y341" s="51" t="str">
        <f t="array" ref="Y341">IFERROR(_xlfn.XLOOKUP($F341,'Acerto virtual'!$E:$E,'Acerto virtual'!K:K),"")</f>
        <v/>
      </c>
      <c r="Z341" s="51" t="str">
        <f t="array" ref="Z341">IFERROR(_xlfn.XLOOKUP($F341,'Acerto virtual'!$E:$E,'Acerto virtual'!L:L),"")</f>
        <v/>
      </c>
      <c r="AA341" s="51" t="str">
        <f t="array" ref="AA341">IFERROR(_xlfn.XLOOKUP($F341,'Acerto virtual'!$E:$E,'Acerto virtual'!M:M),"")</f>
        <v/>
      </c>
      <c r="AB341" s="51" t="str">
        <f t="array" ref="AB341">IFERROR(_xlfn.XLOOKUP($F341,'Acerto virtual'!$E:$E,'Acerto virtual'!N:N),"")</f>
        <v/>
      </c>
      <c r="AC341" s="51" t="str">
        <f t="array" ref="AC341">IFERROR(_xlfn.XLOOKUP($F341,'Acerto virtual'!$E:$E,'Acerto virtual'!O:O),"")</f>
        <v/>
      </c>
      <c r="AD341" s="51" t="str">
        <f t="array" ref="AD341">IFERROR(_xlfn.XLOOKUP($F341,'Acerto virtual'!$E:$E,'Acerto virtual'!P:P),"")</f>
        <v/>
      </c>
      <c r="AE341" s="51" t="str">
        <f t="array" ref="AE341">IFERROR(_xlfn.XLOOKUP($F341,'Acerto virtual'!$E:$E,'Acerto virtual'!Q:Q),"")</f>
        <v/>
      </c>
      <c r="AF341" s="51" t="str">
        <f t="array" ref="AF341">IFERROR(_xlfn.XLOOKUP($F341,'Acerto virtual'!$E:$E,'Acerto virtual'!R:R),"")</f>
        <v/>
      </c>
      <c r="AG341" s="51" t="str">
        <f t="array" ref="AG341">IFERROR(_xlfn.XLOOKUP($F341,'Acerto virtual'!$E:$E,'Acerto virtual'!S:S),"")</f>
        <v/>
      </c>
      <c r="AH341" s="51" t="str">
        <f t="array" ref="AH341">IFERROR(_xlfn.XLOOKUP($F341,'Acerto virtual'!$E:$E,'Acerto virtual'!T:T),"")</f>
        <v/>
      </c>
      <c r="AI341" s="51" t="str">
        <f t="array" ref="AI341">IFERROR(_xlfn.XLOOKUP($F341,'Acerto virtual'!$E:$E,'Acerto virtual'!U:U),"")</f>
        <v/>
      </c>
    </row>
    <row r="342" hidden="1">
      <c r="A342" s="47" t="s">
        <v>1004</v>
      </c>
      <c r="B342" s="47" t="s">
        <v>1005</v>
      </c>
      <c r="C342" s="19" t="str">
        <f t="array" ref="C342">IFERROR(_xlfn.XLOOKUP($B342,'Histórico'!$B:$B,'Histórico'!$I:$I),"")</f>
        <v>453-5060</v>
      </c>
      <c r="D342" s="19">
        <f t="array" ref="D342">IFERROR(_xlfn.XLOOKUP($B342,'Histórico'!$B:$B,'Histórico'!$J:$J),"")</f>
        <v>18560</v>
      </c>
      <c r="E342" s="19" t="str">
        <f t="array" ref="E342">IFERROR(_xlfn.XLOOKUP($B342,'Histórico'!$B:$B,'Histórico'!$K:$K),"")</f>
        <v>ELT C406-N</v>
      </c>
      <c r="F342" s="19" t="str">
        <f t="array" ref="F342">IFERROR(_xlfn.XLOOKUP($B342,'Histórico'!$B:$B,'Histórico'!$L:$L),"")</f>
        <v>6291</v>
      </c>
      <c r="G342" s="49">
        <f t="array" ref="G342">IFERROR(_xlfn.XLOOKUP($B342,'Histórico'!$B:$B,'Histórico'!$F:$F),"")</f>
        <v>46129</v>
      </c>
      <c r="H342" s="19" t="str">
        <f t="array" ref="H342">IFERROR(_xlfn.XLOOKUP($B342,'Histórico'!$B:$B,'Histórico'!$AA:$AA),"")</f>
        <v>BABE</v>
      </c>
      <c r="I342" s="19" t="str">
        <f t="array" ref="I342">IFERROR(_xlfn.XLOOKUP($B342,Atual!$B:$B,Atual!$E:$E),"OS concluída")</f>
        <v>OS concluída</v>
      </c>
      <c r="J342" s="19" t="str">
        <f t="shared" si="1"/>
        <v/>
      </c>
      <c r="K342" s="19"/>
      <c r="L342" s="19" t="str">
        <f t="shared" si="2"/>
        <v/>
      </c>
      <c r="M342" s="19"/>
      <c r="N342" s="49" t="str">
        <f t="array" ref="N342">IFERROR(_xlfn.XLOOKUP($B342,Empresa!G:G,Empresa!K:K),"")</f>
        <v/>
      </c>
      <c r="O342" s="49"/>
      <c r="P342" s="19" t="str">
        <f t="array" ref="P342">IFERROR(_xlfn.XLOOKUP($F342,'Vee one'!F:F,'Vee one'!O:O),"")</f>
        <v/>
      </c>
      <c r="Q342" s="19" t="str">
        <f t="array" ref="Q342">IFERROR(_xlfn.XLOOKUP($F342,'Vee one'!F:F,'Vee one'!K:K),"")</f>
        <v/>
      </c>
      <c r="R342" s="19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</row>
    <row r="343">
      <c r="A343" s="47" t="s">
        <v>1006</v>
      </c>
      <c r="B343" s="53" t="s">
        <v>1007</v>
      </c>
      <c r="C343" s="48" t="str">
        <f t="array" ref="C343">IFERROR(_xlfn.XLOOKUP($B343,'Histórico'!$B:$B,'Histórico'!$I:$I),"")</f>
        <v>D145-00-46-2</v>
      </c>
      <c r="D343" s="19" t="str">
        <f t="array" ref="D343">IFERROR(_xlfn.XLOOKUP($B343,'Histórico'!$B:$B,'Histórico'!$J:$J),"")</f>
        <v>7EK50</v>
      </c>
      <c r="E343" s="19" t="str">
        <f t="array" ref="E343">IFERROR(_xlfn.XLOOKUP($B343,'Histórico'!$B:$B,'Histórico'!$K:$K),"")</f>
        <v>FLAP ACTUATOR ASSY</v>
      </c>
      <c r="F343" s="19" t="str">
        <f t="array" ref="F343">IFERROR(_xlfn.XLOOKUP($B343,'Histórico'!$B:$B,'Histórico'!$L:$L),"")</f>
        <v>1062</v>
      </c>
      <c r="G343" s="49" t="str">
        <f t="array" ref="G343">IFERROR(_xlfn.XLOOKUP($B343,'Histórico'!$B:$B,'Histórico'!$F:$F),"")</f>
        <v>30/04/2026</v>
      </c>
      <c r="H343" s="19" t="str">
        <f t="array" ref="H343">IFERROR(_xlfn.XLOOKUP($B343,'Histórico'!$B:$B,'Histórico'!$AA:$AA),"")</f>
        <v>PAMALS</v>
      </c>
      <c r="I343" s="19" t="str">
        <f t="array" ref="I343">IFERROR(_xlfn.XLOOKUP($B343,Atual!$B:$B,Atual!$E:$E),"OS concluída")</f>
        <v>REC</v>
      </c>
      <c r="J343" s="19">
        <f t="shared" si="1"/>
        <v>168</v>
      </c>
      <c r="K343" s="19"/>
      <c r="L343" s="19">
        <f t="shared" si="2"/>
        <v>98</v>
      </c>
      <c r="M343" s="19"/>
      <c r="N343" s="49">
        <f t="array" ref="N343">IFERROR(_xlfn.XLOOKUP($B343,EMPRESA_1!A:A,EMPRESA_1!J:J),"")</f>
        <v>46240</v>
      </c>
      <c r="O343" s="50" t="str">
        <f t="array" ref="O343">IFERROR(_xlfn.XLOOKUP(B343,EMPRESA_1!A:A,EMPRESA_1!K:K),"")
</f>
        <v/>
      </c>
      <c r="P343" s="48" t="str">
        <f t="array" ref="P343">IFERROR(_xlfn.XLOOKUP(B343,EMPRESA_1!A:A,EMPRESA_1!L:L),"")</f>
        <v>598/FAB/26</v>
      </c>
      <c r="Q343" s="49">
        <f t="array" ref="Q343">IFERROR(_xlfn.XLOOKUP(B343,EMPRESA_1!A:A,EMPRESA_1!J:J),"")</f>
        <v>46240</v>
      </c>
      <c r="R343" s="19" t="str">
        <f t="array" ref="R343">IFERROR(_xlfn.XLOOKUP(B343,EMPRESA_1!A:A,EMPRESA_1!M:M),"")</f>
        <v/>
      </c>
      <c r="S343" s="51"/>
      <c r="T343" s="51" t="str">
        <f t="array" ref="T343">IFERROR(_xlfn.XLOOKUP($F343,'Acerto virtual'!$E:$E,'Acerto virtual'!F:F),"")</f>
        <v/>
      </c>
      <c r="U343" s="51" t="str">
        <f t="array" ref="U343">IFERROR(_xlfn.XLOOKUP($F343,'Acerto virtual'!$E:$E,'Acerto virtual'!G:G),"")</f>
        <v/>
      </c>
      <c r="V343" s="51" t="str">
        <f t="array" ref="V343">IFERROR(_xlfn.XLOOKUP($F343,'Acerto virtual'!$E:$E,'Acerto virtual'!H:H),"")</f>
        <v/>
      </c>
      <c r="W343" s="51" t="str">
        <f t="array" ref="W343">IFERROR(_xlfn.XLOOKUP($F343,'Acerto virtual'!$E:$E,'Acerto virtual'!I:I),"")</f>
        <v/>
      </c>
      <c r="X343" s="51" t="str">
        <f t="array" ref="X343">IFERROR(_xlfn.XLOOKUP($F343,'Acerto virtual'!$E:$E,'Acerto virtual'!J:J),"")</f>
        <v/>
      </c>
      <c r="Y343" s="51" t="str">
        <f t="array" ref="Y343">IFERROR(_xlfn.XLOOKUP($F343,'Acerto virtual'!$E:$E,'Acerto virtual'!K:K),"")</f>
        <v/>
      </c>
      <c r="Z343" s="51" t="str">
        <f t="array" ref="Z343">IFERROR(_xlfn.XLOOKUP($F343,'Acerto virtual'!$E:$E,'Acerto virtual'!L:L),"")</f>
        <v/>
      </c>
      <c r="AA343" s="51" t="str">
        <f t="array" ref="AA343">IFERROR(_xlfn.XLOOKUP($F343,'Acerto virtual'!$E:$E,'Acerto virtual'!M:M),"")</f>
        <v/>
      </c>
      <c r="AB343" s="51" t="str">
        <f t="array" ref="AB343">IFERROR(_xlfn.XLOOKUP($F343,'Acerto virtual'!$E:$E,'Acerto virtual'!N:N),"")</f>
        <v/>
      </c>
      <c r="AC343" s="51" t="str">
        <f t="array" ref="AC343">IFERROR(_xlfn.XLOOKUP($F343,'Acerto virtual'!$E:$E,'Acerto virtual'!O:O),"")</f>
        <v/>
      </c>
      <c r="AD343" s="51" t="str">
        <f t="array" ref="AD343">IFERROR(_xlfn.XLOOKUP($F343,'Acerto virtual'!$E:$E,'Acerto virtual'!P:P),"")</f>
        <v/>
      </c>
      <c r="AE343" s="51" t="str">
        <f t="array" ref="AE343">IFERROR(_xlfn.XLOOKUP($F343,'Acerto virtual'!$E:$E,'Acerto virtual'!Q:Q),"")</f>
        <v/>
      </c>
      <c r="AF343" s="51" t="str">
        <f t="array" ref="AF343">IFERROR(_xlfn.XLOOKUP($F343,'Acerto virtual'!$E:$E,'Acerto virtual'!R:R),"")</f>
        <v/>
      </c>
      <c r="AG343" s="51" t="str">
        <f t="array" ref="AG343">IFERROR(_xlfn.XLOOKUP($F343,'Acerto virtual'!$E:$E,'Acerto virtual'!S:S),"")</f>
        <v/>
      </c>
      <c r="AH343" s="51" t="str">
        <f t="array" ref="AH343">IFERROR(_xlfn.XLOOKUP($F343,'Acerto virtual'!$E:$E,'Acerto virtual'!T:T),"")</f>
        <v/>
      </c>
      <c r="AI343" s="51" t="str">
        <f t="array" ref="AI343">IFERROR(_xlfn.XLOOKUP($F343,'Acerto virtual'!$E:$E,'Acerto virtual'!U:U),"")</f>
        <v/>
      </c>
    </row>
    <row r="344">
      <c r="A344" s="47" t="s">
        <v>1008</v>
      </c>
      <c r="B344" s="53" t="s">
        <v>1009</v>
      </c>
      <c r="C344" s="48" t="str">
        <f t="array" ref="C344">IFERROR(_xlfn.XLOOKUP($B344,'Histórico'!$B:$B,'Histórico'!$I:$I),"")</f>
        <v>D145-00-46-2</v>
      </c>
      <c r="D344" s="19" t="str">
        <f t="array" ref="D344">IFERROR(_xlfn.XLOOKUP($B344,'Histórico'!$B:$B,'Histórico'!$J:$J),"")</f>
        <v>7EK50</v>
      </c>
      <c r="E344" s="19" t="str">
        <f t="array" ref="E344">IFERROR(_xlfn.XLOOKUP($B344,'Histórico'!$B:$B,'Histórico'!$K:$K),"")</f>
        <v>FLAP ACTUATOR ASSY</v>
      </c>
      <c r="F344" s="19" t="str">
        <f t="array" ref="F344">IFERROR(_xlfn.XLOOKUP($B344,'Histórico'!$B:$B,'Histórico'!$L:$L),"")</f>
        <v>8619</v>
      </c>
      <c r="G344" s="49" t="str">
        <f t="array" ref="G344">IFERROR(_xlfn.XLOOKUP($B344,'Histórico'!$B:$B,'Histórico'!$F:$F),"")</f>
        <v>30/04/2026</v>
      </c>
      <c r="H344" s="19" t="str">
        <f t="array" ref="H344">IFERROR(_xlfn.XLOOKUP($B344,'Histórico'!$B:$B,'Histórico'!$AA:$AA),"")</f>
        <v>BAFL</v>
      </c>
      <c r="I344" s="19" t="str">
        <f t="array" ref="I344">IFERROR(_xlfn.XLOOKUP($B344,Atual!$B:$B,Atual!$E:$E),"OS concluída")</f>
        <v>REC</v>
      </c>
      <c r="J344" s="19">
        <f t="shared" si="1"/>
        <v>168</v>
      </c>
      <c r="K344" s="19"/>
      <c r="L344" s="19">
        <f t="shared" si="2"/>
        <v>90</v>
      </c>
      <c r="M344" s="19"/>
      <c r="N344" s="49">
        <f t="array" ref="N344">IFERROR(_xlfn.XLOOKUP($B344,EMPRESA_1!A:A,EMPRESA_1!J:J),"")</f>
        <v>46232</v>
      </c>
      <c r="O344" s="50" t="str">
        <f t="array" ref="O344">IFERROR(_xlfn.XLOOKUP(B344,EMPRESA_1!A:A,EMPRESA_1!K:K),"")
</f>
        <v/>
      </c>
      <c r="P344" s="48" t="str">
        <f t="array" ref="P344">IFERROR(_xlfn.XLOOKUP(B344,EMPRESA_1!A:A,EMPRESA_1!L:L),"")</f>
        <v>598/FAB/26</v>
      </c>
      <c r="Q344" s="49">
        <f t="array" ref="Q344">IFERROR(_xlfn.XLOOKUP(B344,EMPRESA_1!A:A,EMPRESA_1!J:J),"")</f>
        <v>46232</v>
      </c>
      <c r="R344" s="19" t="str">
        <f t="array" ref="R344">IFERROR(_xlfn.XLOOKUP(B344,EMPRESA_1!A:A,EMPRESA_1!M:M),"")</f>
        <v/>
      </c>
      <c r="S344" s="51"/>
      <c r="T344" s="51" t="str">
        <f t="array" ref="T344">IFERROR(_xlfn.XLOOKUP($F344,'Acerto virtual'!$E:$E,'Acerto virtual'!F:F),"")</f>
        <v/>
      </c>
      <c r="U344" s="51" t="str">
        <f t="array" ref="U344">IFERROR(_xlfn.XLOOKUP($F344,'Acerto virtual'!$E:$E,'Acerto virtual'!G:G),"")</f>
        <v/>
      </c>
      <c r="V344" s="51" t="str">
        <f t="array" ref="V344">IFERROR(_xlfn.XLOOKUP($F344,'Acerto virtual'!$E:$E,'Acerto virtual'!H:H),"")</f>
        <v/>
      </c>
      <c r="W344" s="51" t="str">
        <f t="array" ref="W344">IFERROR(_xlfn.XLOOKUP($F344,'Acerto virtual'!$E:$E,'Acerto virtual'!I:I),"")</f>
        <v/>
      </c>
      <c r="X344" s="51" t="str">
        <f t="array" ref="X344">IFERROR(_xlfn.XLOOKUP($F344,'Acerto virtual'!$E:$E,'Acerto virtual'!J:J),"")</f>
        <v/>
      </c>
      <c r="Y344" s="51" t="str">
        <f t="array" ref="Y344">IFERROR(_xlfn.XLOOKUP($F344,'Acerto virtual'!$E:$E,'Acerto virtual'!K:K),"")</f>
        <v/>
      </c>
      <c r="Z344" s="51" t="str">
        <f t="array" ref="Z344">IFERROR(_xlfn.XLOOKUP($F344,'Acerto virtual'!$E:$E,'Acerto virtual'!L:L),"")</f>
        <v/>
      </c>
      <c r="AA344" s="51" t="str">
        <f t="array" ref="AA344">IFERROR(_xlfn.XLOOKUP($F344,'Acerto virtual'!$E:$E,'Acerto virtual'!M:M),"")</f>
        <v/>
      </c>
      <c r="AB344" s="51" t="str">
        <f t="array" ref="AB344">IFERROR(_xlfn.XLOOKUP($F344,'Acerto virtual'!$E:$E,'Acerto virtual'!N:N),"")</f>
        <v/>
      </c>
      <c r="AC344" s="51" t="str">
        <f t="array" ref="AC344">IFERROR(_xlfn.XLOOKUP($F344,'Acerto virtual'!$E:$E,'Acerto virtual'!O:O),"")</f>
        <v/>
      </c>
      <c r="AD344" s="51" t="str">
        <f t="array" ref="AD344">IFERROR(_xlfn.XLOOKUP($F344,'Acerto virtual'!$E:$E,'Acerto virtual'!P:P),"")</f>
        <v/>
      </c>
      <c r="AE344" s="51" t="str">
        <f t="array" ref="AE344">IFERROR(_xlfn.XLOOKUP($F344,'Acerto virtual'!$E:$E,'Acerto virtual'!Q:Q),"")</f>
        <v/>
      </c>
      <c r="AF344" s="51" t="str">
        <f t="array" ref="AF344">IFERROR(_xlfn.XLOOKUP($F344,'Acerto virtual'!$E:$E,'Acerto virtual'!R:R),"")</f>
        <v/>
      </c>
      <c r="AG344" s="51" t="str">
        <f t="array" ref="AG344">IFERROR(_xlfn.XLOOKUP($F344,'Acerto virtual'!$E:$E,'Acerto virtual'!S:S),"")</f>
        <v/>
      </c>
      <c r="AH344" s="51" t="str">
        <f t="array" ref="AH344">IFERROR(_xlfn.XLOOKUP($F344,'Acerto virtual'!$E:$E,'Acerto virtual'!T:T),"")</f>
        <v/>
      </c>
      <c r="AI344" s="51" t="str">
        <f t="array" ref="AI344">IFERROR(_xlfn.XLOOKUP($F344,'Acerto virtual'!$E:$E,'Acerto virtual'!U:U),"")</f>
        <v/>
      </c>
    </row>
    <row r="345">
      <c r="A345" s="47" t="s">
        <v>1010</v>
      </c>
      <c r="B345" s="53" t="s">
        <v>1011</v>
      </c>
      <c r="C345" s="48" t="str">
        <f t="array" ref="C345">IFERROR(_xlfn.XLOOKUP($B345,'Histórico'!$B:$B,'Histórico'!$I:$I),"")</f>
        <v>069-01033-0101</v>
      </c>
      <c r="D345" s="19" t="str">
        <f t="array" ref="D345">IFERROR(_xlfn.XLOOKUP($B345,'Histórico'!$B:$B,'Histórico'!$J:$J),"")</f>
        <v>22373</v>
      </c>
      <c r="E345" s="19" t="str">
        <f t="array" ref="E345">IFERROR(_xlfn.XLOOKUP($B345,'Histórico'!$B:$B,'Histórico'!$K:$K),"")</f>
        <v>RECEIVER-TRANSMITTER,RADIO</v>
      </c>
      <c r="F345" s="19" t="str">
        <f t="array" ref="F345">IFERROR(_xlfn.XLOOKUP($B345,'Histórico'!$B:$B,'Histórico'!$L:$L),"")</f>
        <v>4136</v>
      </c>
      <c r="G345" s="49" t="str">
        <f t="array" ref="G345">IFERROR(_xlfn.XLOOKUP($B345,'Histórico'!$B:$B,'Histórico'!$F:$F),"")</f>
        <v>30/04/2026</v>
      </c>
      <c r="H345" s="19" t="str">
        <f t="array" ref="H345">IFERROR(_xlfn.XLOOKUP($B345,'Histórico'!$B:$B,'Histórico'!$AA:$AA),"")</f>
        <v>PAMALS</v>
      </c>
      <c r="I345" s="19" t="str">
        <f t="array" ref="I345">IFERROR(_xlfn.XLOOKUP($B345,Atual!$B:$B,Atual!$E:$E),"OS concluída")</f>
        <v>REC</v>
      </c>
      <c r="J345" s="19">
        <f t="shared" si="1"/>
        <v>168</v>
      </c>
      <c r="K345" s="19"/>
      <c r="L345" s="19" t="str">
        <f t="shared" si="2"/>
        <v>NÃO APLICÁVEL</v>
      </c>
      <c r="M345" s="19"/>
      <c r="N345" s="49" t="str">
        <f t="array" ref="N345">IFERROR(_xlfn.XLOOKUP($B345,EMPRESA_1!A:A,EMPRESA_1!J:J),"")</f>
        <v>EM REPARO</v>
      </c>
      <c r="O345" s="50" t="str">
        <f t="array" ref="O345">IFERROR(_xlfn.XLOOKUP(B345,EMPRESA_1!A:A,EMPRESA_1!K:K),"")
</f>
        <v>LEAP</v>
      </c>
      <c r="P345" s="48" t="str">
        <f t="array" ref="P345">IFERROR(_xlfn.XLOOKUP(B345,EMPRESA_1!A:A,EMPRESA_1!L:L),"")</f>
        <v/>
      </c>
      <c r="Q345" s="49" t="str">
        <f t="array" ref="Q345">IFERROR(_xlfn.XLOOKUP(B345,EMPRESA_1!A:A,EMPRESA_1!J:J),"")</f>
        <v>EM REPARO</v>
      </c>
      <c r="R345" s="19" t="str">
        <f t="array" ref="R345">IFERROR(_xlfn.XLOOKUP(B345,EMPRESA_1!A:A,EMPRESA_1!M:M),"")</f>
        <v/>
      </c>
      <c r="S345" s="51"/>
      <c r="T345" s="51" t="str">
        <f t="array" ref="T345">IFERROR(_xlfn.XLOOKUP($F345,'Acerto virtual'!$E:$E,'Acerto virtual'!F:F),"")</f>
        <v/>
      </c>
      <c r="U345" s="51" t="str">
        <f t="array" ref="U345">IFERROR(_xlfn.XLOOKUP($F345,'Acerto virtual'!$E:$E,'Acerto virtual'!G:G),"")</f>
        <v/>
      </c>
      <c r="V345" s="51" t="str">
        <f t="array" ref="V345">IFERROR(_xlfn.XLOOKUP($F345,'Acerto virtual'!$E:$E,'Acerto virtual'!H:H),"")</f>
        <v/>
      </c>
      <c r="W345" s="51" t="str">
        <f t="array" ref="W345">IFERROR(_xlfn.XLOOKUP($F345,'Acerto virtual'!$E:$E,'Acerto virtual'!I:I),"")</f>
        <v/>
      </c>
      <c r="X345" s="51" t="str">
        <f t="array" ref="X345">IFERROR(_xlfn.XLOOKUP($F345,'Acerto virtual'!$E:$E,'Acerto virtual'!J:J),"")</f>
        <v/>
      </c>
      <c r="Y345" s="51" t="str">
        <f t="array" ref="Y345">IFERROR(_xlfn.XLOOKUP($F345,'Acerto virtual'!$E:$E,'Acerto virtual'!K:K),"")</f>
        <v/>
      </c>
      <c r="Z345" s="51" t="str">
        <f t="array" ref="Z345">IFERROR(_xlfn.XLOOKUP($F345,'Acerto virtual'!$E:$E,'Acerto virtual'!L:L),"")</f>
        <v/>
      </c>
      <c r="AA345" s="51" t="str">
        <f t="array" ref="AA345">IFERROR(_xlfn.XLOOKUP($F345,'Acerto virtual'!$E:$E,'Acerto virtual'!M:M),"")</f>
        <v/>
      </c>
      <c r="AB345" s="51" t="str">
        <f t="array" ref="AB345">IFERROR(_xlfn.XLOOKUP($F345,'Acerto virtual'!$E:$E,'Acerto virtual'!N:N),"")</f>
        <v/>
      </c>
      <c r="AC345" s="51" t="str">
        <f t="array" ref="AC345">IFERROR(_xlfn.XLOOKUP($F345,'Acerto virtual'!$E:$E,'Acerto virtual'!O:O),"")</f>
        <v/>
      </c>
      <c r="AD345" s="51" t="str">
        <f t="array" ref="AD345">IFERROR(_xlfn.XLOOKUP($F345,'Acerto virtual'!$E:$E,'Acerto virtual'!P:P),"")</f>
        <v/>
      </c>
      <c r="AE345" s="51" t="str">
        <f t="array" ref="AE345">IFERROR(_xlfn.XLOOKUP($F345,'Acerto virtual'!$E:$E,'Acerto virtual'!Q:Q),"")</f>
        <v/>
      </c>
      <c r="AF345" s="51" t="str">
        <f t="array" ref="AF345">IFERROR(_xlfn.XLOOKUP($F345,'Acerto virtual'!$E:$E,'Acerto virtual'!R:R),"")</f>
        <v/>
      </c>
      <c r="AG345" s="51" t="str">
        <f t="array" ref="AG345">IFERROR(_xlfn.XLOOKUP($F345,'Acerto virtual'!$E:$E,'Acerto virtual'!S:S),"")</f>
        <v/>
      </c>
      <c r="AH345" s="51" t="str">
        <f t="array" ref="AH345">IFERROR(_xlfn.XLOOKUP($F345,'Acerto virtual'!$E:$E,'Acerto virtual'!T:T),"")</f>
        <v/>
      </c>
      <c r="AI345" s="51" t="str">
        <f t="array" ref="AI345">IFERROR(_xlfn.XLOOKUP($F345,'Acerto virtual'!$E:$E,'Acerto virtual'!U:U),"")</f>
        <v/>
      </c>
    </row>
    <row r="346" hidden="1">
      <c r="A346" s="47" t="s">
        <v>1012</v>
      </c>
      <c r="B346" s="53" t="s">
        <v>1013</v>
      </c>
      <c r="C346" s="48" t="str">
        <f t="array" ref="C346">IFERROR(_xlfn.XLOOKUP($B346,'Histórico'!$B:$B,'Histórico'!$I:$I),"")</f>
        <v>C661065-0237</v>
      </c>
      <c r="D346" s="19" t="str">
        <f t="array" ref="D346">IFERROR(_xlfn.XLOOKUP($B346,'Histórico'!$B:$B,'Histórico'!$J:$J),"")</f>
        <v>7EK50</v>
      </c>
      <c r="E346" s="19" t="str">
        <f t="array" ref="E346">IFERROR(_xlfn.XLOOKUP($B346,'Histórico'!$B:$B,'Histórico'!$K:$K),"")</f>
        <v>AIRSPEED INDICATOR</v>
      </c>
      <c r="F346" s="19" t="str">
        <f t="array" ref="F346">IFERROR(_xlfn.XLOOKUP($B346,'Histórico'!$B:$B,'Histórico'!$L:$L),"")</f>
        <v>T35158</v>
      </c>
      <c r="G346" s="49" t="str">
        <f t="array" ref="G346">IFERROR(_xlfn.XLOOKUP($B346,'Histórico'!$B:$B,'Histórico'!$F:$F),"")</f>
        <v>30/04/2026</v>
      </c>
      <c r="H346" s="19" t="str">
        <f t="array" ref="H346">IFERROR(_xlfn.XLOOKUP($B346,'Histórico'!$B:$B,'Histórico'!$AA:$AA),"")</f>
        <v>BABR</v>
      </c>
      <c r="I346" s="19" t="str">
        <f t="array" ref="I346">IFERROR(_xlfn.XLOOKUP($B346,Atual!$B:$B,Atual!$E:$E),"OS concluída")</f>
        <v>OS concluída</v>
      </c>
      <c r="J346" s="19" t="str">
        <f t="shared" si="1"/>
        <v/>
      </c>
      <c r="K346" s="19"/>
      <c r="L346" s="19">
        <f t="shared" si="2"/>
        <v>90</v>
      </c>
      <c r="M346" s="19"/>
      <c r="N346" s="49">
        <f t="array" ref="N346">IFERROR(_xlfn.XLOOKUP($B346,EMPRESA_1!A:A,EMPRESA_1!J:J),"")</f>
        <v>46232</v>
      </c>
      <c r="O346" s="50" t="str">
        <f t="array" ref="O346">IFERROR(_xlfn.XLOOKUP(B346,EMPRESA_1!A:A,EMPRESA_1!K:K),"")
</f>
        <v/>
      </c>
      <c r="P346" s="48" t="str">
        <f t="array" ref="P346">IFERROR(_xlfn.XLOOKUP(B346,EMPRESA_1!A:A,EMPRESA_1!L:L),"")</f>
        <v>598/FAB/26</v>
      </c>
      <c r="Q346" s="49">
        <f t="array" ref="Q346">IFERROR(_xlfn.XLOOKUP(B346,EMPRESA_1!A:A,EMPRESA_1!J:J),"")</f>
        <v>46232</v>
      </c>
      <c r="R346" s="19" t="str">
        <f t="array" ref="R346">IFERROR(_xlfn.XLOOKUP(B346,EMPRESA_1!A:A,EMPRESA_1!M:M),"")</f>
        <v/>
      </c>
      <c r="S346" s="51"/>
      <c r="T346" s="51" t="str">
        <f t="array" ref="T346">IFERROR(_xlfn.XLOOKUP($F346,'Acerto virtual'!$E:$E,'Acerto virtual'!F:F),"")</f>
        <v/>
      </c>
      <c r="U346" s="51" t="str">
        <f t="array" ref="U346">IFERROR(_xlfn.XLOOKUP($F346,'Acerto virtual'!$E:$E,'Acerto virtual'!G:G),"")</f>
        <v/>
      </c>
      <c r="V346" s="51" t="str">
        <f t="array" ref="V346">IFERROR(_xlfn.XLOOKUP($F346,'Acerto virtual'!$E:$E,'Acerto virtual'!H:H),"")</f>
        <v/>
      </c>
      <c r="W346" s="51" t="str">
        <f t="array" ref="W346">IFERROR(_xlfn.XLOOKUP($F346,'Acerto virtual'!$E:$E,'Acerto virtual'!I:I),"")</f>
        <v/>
      </c>
      <c r="X346" s="51" t="str">
        <f t="array" ref="X346">IFERROR(_xlfn.XLOOKUP($F346,'Acerto virtual'!$E:$E,'Acerto virtual'!J:J),"")</f>
        <v/>
      </c>
      <c r="Y346" s="51" t="str">
        <f t="array" ref="Y346">IFERROR(_xlfn.XLOOKUP($F346,'Acerto virtual'!$E:$E,'Acerto virtual'!K:K),"")</f>
        <v/>
      </c>
      <c r="Z346" s="51" t="str">
        <f t="array" ref="Z346">IFERROR(_xlfn.XLOOKUP($F346,'Acerto virtual'!$E:$E,'Acerto virtual'!L:L),"")</f>
        <v/>
      </c>
      <c r="AA346" s="51" t="str">
        <f t="array" ref="AA346">IFERROR(_xlfn.XLOOKUP($F346,'Acerto virtual'!$E:$E,'Acerto virtual'!M:M),"")</f>
        <v/>
      </c>
      <c r="AB346" s="51" t="str">
        <f t="array" ref="AB346">IFERROR(_xlfn.XLOOKUP($F346,'Acerto virtual'!$E:$E,'Acerto virtual'!N:N),"")</f>
        <v/>
      </c>
      <c r="AC346" s="51" t="str">
        <f t="array" ref="AC346">IFERROR(_xlfn.XLOOKUP($F346,'Acerto virtual'!$E:$E,'Acerto virtual'!O:O),"")</f>
        <v/>
      </c>
      <c r="AD346" s="51" t="str">
        <f t="array" ref="AD346">IFERROR(_xlfn.XLOOKUP($F346,'Acerto virtual'!$E:$E,'Acerto virtual'!P:P),"")</f>
        <v/>
      </c>
      <c r="AE346" s="51" t="str">
        <f t="array" ref="AE346">IFERROR(_xlfn.XLOOKUP($F346,'Acerto virtual'!$E:$E,'Acerto virtual'!Q:Q),"")</f>
        <v/>
      </c>
      <c r="AF346" s="51" t="str">
        <f t="array" ref="AF346">IFERROR(_xlfn.XLOOKUP($F346,'Acerto virtual'!$E:$E,'Acerto virtual'!R:R),"")</f>
        <v/>
      </c>
      <c r="AG346" s="51" t="str">
        <f t="array" ref="AG346">IFERROR(_xlfn.XLOOKUP($F346,'Acerto virtual'!$E:$E,'Acerto virtual'!S:S),"")</f>
        <v/>
      </c>
      <c r="AH346" s="51" t="str">
        <f t="array" ref="AH346">IFERROR(_xlfn.XLOOKUP($F346,'Acerto virtual'!$E:$E,'Acerto virtual'!T:T),"")</f>
        <v/>
      </c>
      <c r="AI346" s="51" t="str">
        <f t="array" ref="AI346">IFERROR(_xlfn.XLOOKUP($F346,'Acerto virtual'!$E:$E,'Acerto virtual'!U:U),"")</f>
        <v/>
      </c>
    </row>
    <row r="347" hidden="1">
      <c r="A347" s="47" t="s">
        <v>1014</v>
      </c>
      <c r="B347" s="53" t="s">
        <v>1015</v>
      </c>
      <c r="C347" s="48" t="str">
        <f t="array" ref="C347">IFERROR(_xlfn.XLOOKUP($B347,'Histórico'!$B:$B,'Histórico'!$I:$I),"")</f>
        <v>C661065-0237</v>
      </c>
      <c r="D347" s="19" t="str">
        <f t="array" ref="D347">IFERROR(_xlfn.XLOOKUP($B347,'Histórico'!$B:$B,'Histórico'!$J:$J),"")</f>
        <v>7EK50</v>
      </c>
      <c r="E347" s="19" t="str">
        <f t="array" ref="E347">IFERROR(_xlfn.XLOOKUP($B347,'Histórico'!$B:$B,'Histórico'!$K:$K),"")</f>
        <v>AIRSPEED INDICATOR</v>
      </c>
      <c r="F347" s="19" t="str">
        <f t="array" ref="F347">IFERROR(_xlfn.XLOOKUP($B347,'Histórico'!$B:$B,'Histórico'!$L:$L),"")</f>
        <v>T35507</v>
      </c>
      <c r="G347" s="49" t="str">
        <f t="array" ref="G347">IFERROR(_xlfn.XLOOKUP($B347,'Histórico'!$B:$B,'Histórico'!$F:$F),"")</f>
        <v>30/04/2026</v>
      </c>
      <c r="H347" s="19" t="str">
        <f t="array" ref="H347">IFERROR(_xlfn.XLOOKUP($B347,'Histórico'!$B:$B,'Histórico'!$AA:$AA),"")</f>
        <v>PAMASP</v>
      </c>
      <c r="I347" s="19" t="str">
        <f t="array" ref="I347">IFERROR(_xlfn.XLOOKUP($B347,Atual!$B:$B,Atual!$E:$E),"OS concluída")</f>
        <v>OS concluída</v>
      </c>
      <c r="J347" s="19" t="str">
        <f t="shared" si="1"/>
        <v/>
      </c>
      <c r="K347" s="19"/>
      <c r="L347" s="19">
        <f t="shared" si="2"/>
        <v>90</v>
      </c>
      <c r="M347" s="19"/>
      <c r="N347" s="49">
        <f t="array" ref="N347">IFERROR(_xlfn.XLOOKUP($B347,EMPRESA_1!A:A,EMPRESA_1!J:J),"")</f>
        <v>46232</v>
      </c>
      <c r="O347" s="50" t="str">
        <f t="array" ref="O347">IFERROR(_xlfn.XLOOKUP(B347,EMPRESA_1!A:A,EMPRESA_1!K:K),"")
</f>
        <v/>
      </c>
      <c r="P347" s="48" t="str">
        <f t="array" ref="P347">IFERROR(_xlfn.XLOOKUP(B347,EMPRESA_1!A:A,EMPRESA_1!L:L),"")</f>
        <v>598/FAB/26</v>
      </c>
      <c r="Q347" s="49">
        <f t="array" ref="Q347">IFERROR(_xlfn.XLOOKUP(B347,EMPRESA_1!A:A,EMPRESA_1!J:J),"")</f>
        <v>46232</v>
      </c>
      <c r="R347" s="19" t="str">
        <f t="array" ref="R347">IFERROR(_xlfn.XLOOKUP(B347,EMPRESA_1!A:A,EMPRESA_1!M:M),"")</f>
        <v/>
      </c>
      <c r="S347" s="51"/>
      <c r="T347" s="51" t="str">
        <f t="array" ref="T347">IFERROR(_xlfn.XLOOKUP($F347,'Acerto virtual'!$E:$E,'Acerto virtual'!F:F),"")</f>
        <v/>
      </c>
      <c r="U347" s="51" t="str">
        <f t="array" ref="U347">IFERROR(_xlfn.XLOOKUP($F347,'Acerto virtual'!$E:$E,'Acerto virtual'!G:G),"")</f>
        <v/>
      </c>
      <c r="V347" s="51" t="str">
        <f t="array" ref="V347">IFERROR(_xlfn.XLOOKUP($F347,'Acerto virtual'!$E:$E,'Acerto virtual'!H:H),"")</f>
        <v/>
      </c>
      <c r="W347" s="51" t="str">
        <f t="array" ref="W347">IFERROR(_xlfn.XLOOKUP($F347,'Acerto virtual'!$E:$E,'Acerto virtual'!I:I),"")</f>
        <v/>
      </c>
      <c r="X347" s="51" t="str">
        <f t="array" ref="X347">IFERROR(_xlfn.XLOOKUP($F347,'Acerto virtual'!$E:$E,'Acerto virtual'!J:J),"")</f>
        <v/>
      </c>
      <c r="Y347" s="51" t="str">
        <f t="array" ref="Y347">IFERROR(_xlfn.XLOOKUP($F347,'Acerto virtual'!$E:$E,'Acerto virtual'!K:K),"")</f>
        <v/>
      </c>
      <c r="Z347" s="51" t="str">
        <f t="array" ref="Z347">IFERROR(_xlfn.XLOOKUP($F347,'Acerto virtual'!$E:$E,'Acerto virtual'!L:L),"")</f>
        <v/>
      </c>
      <c r="AA347" s="51" t="str">
        <f t="array" ref="AA347">IFERROR(_xlfn.XLOOKUP($F347,'Acerto virtual'!$E:$E,'Acerto virtual'!M:M),"")</f>
        <v/>
      </c>
      <c r="AB347" s="51" t="str">
        <f t="array" ref="AB347">IFERROR(_xlfn.XLOOKUP($F347,'Acerto virtual'!$E:$E,'Acerto virtual'!N:N),"")</f>
        <v/>
      </c>
      <c r="AC347" s="51" t="str">
        <f t="array" ref="AC347">IFERROR(_xlfn.XLOOKUP($F347,'Acerto virtual'!$E:$E,'Acerto virtual'!O:O),"")</f>
        <v/>
      </c>
      <c r="AD347" s="51" t="str">
        <f t="array" ref="AD347">IFERROR(_xlfn.XLOOKUP($F347,'Acerto virtual'!$E:$E,'Acerto virtual'!P:P),"")</f>
        <v/>
      </c>
      <c r="AE347" s="51" t="str">
        <f t="array" ref="AE347">IFERROR(_xlfn.XLOOKUP($F347,'Acerto virtual'!$E:$E,'Acerto virtual'!Q:Q),"")</f>
        <v/>
      </c>
      <c r="AF347" s="51" t="str">
        <f t="array" ref="AF347">IFERROR(_xlfn.XLOOKUP($F347,'Acerto virtual'!$E:$E,'Acerto virtual'!R:R),"")</f>
        <v/>
      </c>
      <c r="AG347" s="51" t="str">
        <f t="array" ref="AG347">IFERROR(_xlfn.XLOOKUP($F347,'Acerto virtual'!$E:$E,'Acerto virtual'!S:S),"")</f>
        <v/>
      </c>
      <c r="AH347" s="51" t="str">
        <f t="array" ref="AH347">IFERROR(_xlfn.XLOOKUP($F347,'Acerto virtual'!$E:$E,'Acerto virtual'!T:T),"")</f>
        <v/>
      </c>
      <c r="AI347" s="51" t="str">
        <f t="array" ref="AI347">IFERROR(_xlfn.XLOOKUP($F347,'Acerto virtual'!$E:$E,'Acerto virtual'!U:U),"")</f>
        <v/>
      </c>
    </row>
    <row r="348">
      <c r="A348" s="47" t="s">
        <v>1016</v>
      </c>
      <c r="B348" s="53" t="s">
        <v>1017</v>
      </c>
      <c r="C348" s="48" t="str">
        <f t="array" ref="C348">IFERROR(_xlfn.XLOOKUP($B348,'Histórico'!$B:$B,'Histórico'!$I:$I),"")</f>
        <v>060-0017-00</v>
      </c>
      <c r="D348" s="19" t="str">
        <f t="array" ref="D348">IFERROR(_xlfn.XLOOKUP($B348,'Histórico'!$B:$B,'Histórico'!$J:$J),"")</f>
        <v>22373</v>
      </c>
      <c r="E348" s="19" t="str">
        <f t="array" ref="E348">IFERROR(_xlfn.XLOOKUP($B348,'Histórico'!$B:$B,'Histórico'!$K:$K),"")</f>
        <v>FLIGHT DIR HOR</v>
      </c>
      <c r="F348" s="19" t="str">
        <f t="array" ref="F348">IFERROR(_xlfn.XLOOKUP($B348,'Histórico'!$B:$B,'Histórico'!$L:$L),"")</f>
        <v>20238</v>
      </c>
      <c r="G348" s="49" t="str">
        <f t="array" ref="G348">IFERROR(_xlfn.XLOOKUP($B348,'Histórico'!$B:$B,'Histórico'!$F:$F),"")</f>
        <v>30/04/2026</v>
      </c>
      <c r="H348" s="19" t="str">
        <f t="array" ref="H348">IFERROR(_xlfn.XLOOKUP($B348,'Histórico'!$B:$B,'Histórico'!$AA:$AA),"")</f>
        <v>EEAR</v>
      </c>
      <c r="I348" s="19" t="str">
        <f t="array" ref="I348">IFERROR(_xlfn.XLOOKUP($B348,Atual!$B:$B,Atual!$E:$E),"OS concluída")</f>
        <v>REC</v>
      </c>
      <c r="J348" s="19">
        <f t="shared" si="1"/>
        <v>168</v>
      </c>
      <c r="K348" s="19"/>
      <c r="L348" s="19" t="str">
        <f t="shared" si="2"/>
        <v>NÃO APLICÁVEL</v>
      </c>
      <c r="M348" s="19"/>
      <c r="N348" s="49" t="str">
        <f t="array" ref="N348">IFERROR(_xlfn.XLOOKUP($B348,EMPRESA_1!A:A,EMPRESA_1!J:J),"")</f>
        <v>EM REPARO</v>
      </c>
      <c r="O348" s="50" t="str">
        <f t="array" ref="O348">IFERROR(_xlfn.XLOOKUP(B348,EMPRESA_1!A:A,EMPRESA_1!K:K),"")
</f>
        <v>LEAP</v>
      </c>
      <c r="P348" s="48" t="str">
        <f t="array" ref="P348">IFERROR(_xlfn.XLOOKUP(B348,EMPRESA_1!A:A,EMPRESA_1!L:L),"")</f>
        <v/>
      </c>
      <c r="Q348" s="49" t="str">
        <f t="array" ref="Q348">IFERROR(_xlfn.XLOOKUP(B348,EMPRESA_1!A:A,EMPRESA_1!J:J),"")</f>
        <v>EM REPARO</v>
      </c>
      <c r="R348" s="19" t="str">
        <f t="array" ref="R348">IFERROR(_xlfn.XLOOKUP(B348,EMPRESA_1!A:A,EMPRESA_1!M:M),"")</f>
        <v/>
      </c>
      <c r="S348" s="51"/>
      <c r="T348" s="51" t="str">
        <f t="array" ref="T348">IFERROR(_xlfn.XLOOKUP($F348,'Acerto virtual'!$E:$E,'Acerto virtual'!F:F),"")</f>
        <v/>
      </c>
      <c r="U348" s="51" t="str">
        <f t="array" ref="U348">IFERROR(_xlfn.XLOOKUP($F348,'Acerto virtual'!$E:$E,'Acerto virtual'!G:G),"")</f>
        <v/>
      </c>
      <c r="V348" s="51" t="str">
        <f t="array" ref="V348">IFERROR(_xlfn.XLOOKUP($F348,'Acerto virtual'!$E:$E,'Acerto virtual'!H:H),"")</f>
        <v/>
      </c>
      <c r="W348" s="51" t="str">
        <f t="array" ref="W348">IFERROR(_xlfn.XLOOKUP($F348,'Acerto virtual'!$E:$E,'Acerto virtual'!I:I),"")</f>
        <v/>
      </c>
      <c r="X348" s="51" t="str">
        <f t="array" ref="X348">IFERROR(_xlfn.XLOOKUP($F348,'Acerto virtual'!$E:$E,'Acerto virtual'!J:J),"")</f>
        <v/>
      </c>
      <c r="Y348" s="51" t="str">
        <f t="array" ref="Y348">IFERROR(_xlfn.XLOOKUP($F348,'Acerto virtual'!$E:$E,'Acerto virtual'!K:K),"")</f>
        <v/>
      </c>
      <c r="Z348" s="51" t="str">
        <f t="array" ref="Z348">IFERROR(_xlfn.XLOOKUP($F348,'Acerto virtual'!$E:$E,'Acerto virtual'!L:L),"")</f>
        <v/>
      </c>
      <c r="AA348" s="51" t="str">
        <f t="array" ref="AA348">IFERROR(_xlfn.XLOOKUP($F348,'Acerto virtual'!$E:$E,'Acerto virtual'!M:M),"")</f>
        <v/>
      </c>
      <c r="AB348" s="51" t="str">
        <f t="array" ref="AB348">IFERROR(_xlfn.XLOOKUP($F348,'Acerto virtual'!$E:$E,'Acerto virtual'!N:N),"")</f>
        <v/>
      </c>
      <c r="AC348" s="51" t="str">
        <f t="array" ref="AC348">IFERROR(_xlfn.XLOOKUP($F348,'Acerto virtual'!$E:$E,'Acerto virtual'!O:O),"")</f>
        <v/>
      </c>
      <c r="AD348" s="51" t="str">
        <f t="array" ref="AD348">IFERROR(_xlfn.XLOOKUP($F348,'Acerto virtual'!$E:$E,'Acerto virtual'!P:P),"")</f>
        <v/>
      </c>
      <c r="AE348" s="51" t="str">
        <f t="array" ref="AE348">IFERROR(_xlfn.XLOOKUP($F348,'Acerto virtual'!$E:$E,'Acerto virtual'!Q:Q),"")</f>
        <v/>
      </c>
      <c r="AF348" s="51" t="str">
        <f t="array" ref="AF348">IFERROR(_xlfn.XLOOKUP($F348,'Acerto virtual'!$E:$E,'Acerto virtual'!R:R),"")</f>
        <v/>
      </c>
      <c r="AG348" s="51" t="str">
        <f t="array" ref="AG348">IFERROR(_xlfn.XLOOKUP($F348,'Acerto virtual'!$E:$E,'Acerto virtual'!S:S),"")</f>
        <v/>
      </c>
      <c r="AH348" s="51" t="str">
        <f t="array" ref="AH348">IFERROR(_xlfn.XLOOKUP($F348,'Acerto virtual'!$E:$E,'Acerto virtual'!T:T),"")</f>
        <v/>
      </c>
      <c r="AI348" s="51" t="str">
        <f t="array" ref="AI348">IFERROR(_xlfn.XLOOKUP($F348,'Acerto virtual'!$E:$E,'Acerto virtual'!U:U),"")</f>
        <v/>
      </c>
    </row>
    <row r="349" hidden="1">
      <c r="A349" s="47" t="s">
        <v>1018</v>
      </c>
      <c r="B349" s="53" t="s">
        <v>1019</v>
      </c>
      <c r="C349" s="48" t="str">
        <f t="array" ref="C349">IFERROR(_xlfn.XLOOKUP($B349,'Histórico'!$B:$B,'Histórico'!$I:$I),"")</f>
        <v>066-1055-00</v>
      </c>
      <c r="D349" s="19" t="str">
        <f t="array" ref="D349">IFERROR(_xlfn.XLOOKUP($B349,'Histórico'!$B:$B,'Histórico'!$J:$J),"")</f>
        <v>22373</v>
      </c>
      <c r="E349" s="19" t="str">
        <f t="array" ref="E349">IFERROR(_xlfn.XLOOKUP($B349,'Histórico'!$B:$B,'Histórico'!$K:$K),"")</f>
        <v>AUDIO CONTROL PANEL</v>
      </c>
      <c r="F349" s="19" t="str">
        <f t="array" ref="F349">IFERROR(_xlfn.XLOOKUP($B349,'Histórico'!$B:$B,'Histórico'!$L:$L),"")</f>
        <v>102549</v>
      </c>
      <c r="G349" s="49" t="str">
        <f t="array" ref="G349">IFERROR(_xlfn.XLOOKUP($B349,'Histórico'!$B:$B,'Histórico'!$F:$F),"")</f>
        <v>30/04/2026</v>
      </c>
      <c r="H349" s="19" t="str">
        <f t="array" ref="H349">IFERROR(_xlfn.XLOOKUP($B349,'Histórico'!$B:$B,'Histórico'!$AA:$AA),"")</f>
        <v>BABE</v>
      </c>
      <c r="I349" s="19" t="str">
        <f t="array" ref="I349">IFERROR(_xlfn.XLOOKUP($B349,Atual!$B:$B,Atual!$E:$E),"OS concluída")</f>
        <v>OS concluída</v>
      </c>
      <c r="J349" s="19" t="str">
        <f t="shared" si="1"/>
        <v/>
      </c>
      <c r="K349" s="19"/>
      <c r="L349" s="19">
        <f t="shared" si="2"/>
        <v>90</v>
      </c>
      <c r="M349" s="19"/>
      <c r="N349" s="49">
        <f t="array" ref="N349">IFERROR(_xlfn.XLOOKUP($B349,EMPRESA_1!A:A,EMPRESA_1!J:J),"")</f>
        <v>46232</v>
      </c>
      <c r="O349" s="50" t="str">
        <f t="array" ref="O349">IFERROR(_xlfn.XLOOKUP(B349,EMPRESA_1!A:A,EMPRESA_1!K:K),"")
</f>
        <v/>
      </c>
      <c r="P349" s="48" t="str">
        <f t="array" ref="P349">IFERROR(_xlfn.XLOOKUP(B349,EMPRESA_1!A:A,EMPRESA_1!L:L),"")</f>
        <v>598/FAB/26</v>
      </c>
      <c r="Q349" s="49">
        <f t="array" ref="Q349">IFERROR(_xlfn.XLOOKUP(B349,EMPRESA_1!A:A,EMPRESA_1!J:J),"")</f>
        <v>46232</v>
      </c>
      <c r="R349" s="19" t="str">
        <f t="array" ref="R349">IFERROR(_xlfn.XLOOKUP(B349,EMPRESA_1!A:A,EMPRESA_1!M:M),"")</f>
        <v/>
      </c>
      <c r="S349" s="51"/>
      <c r="T349" s="51" t="str">
        <f t="array" ref="T349">IFERROR(_xlfn.XLOOKUP($F349,'Acerto virtual'!$E:$E,'Acerto virtual'!F:F),"")</f>
        <v/>
      </c>
      <c r="U349" s="51" t="str">
        <f t="array" ref="U349">IFERROR(_xlfn.XLOOKUP($F349,'Acerto virtual'!$E:$E,'Acerto virtual'!G:G),"")</f>
        <v/>
      </c>
      <c r="V349" s="51" t="str">
        <f t="array" ref="V349">IFERROR(_xlfn.XLOOKUP($F349,'Acerto virtual'!$E:$E,'Acerto virtual'!H:H),"")</f>
        <v/>
      </c>
      <c r="W349" s="51" t="str">
        <f t="array" ref="W349">IFERROR(_xlfn.XLOOKUP($F349,'Acerto virtual'!$E:$E,'Acerto virtual'!I:I),"")</f>
        <v/>
      </c>
      <c r="X349" s="51" t="str">
        <f t="array" ref="X349">IFERROR(_xlfn.XLOOKUP($F349,'Acerto virtual'!$E:$E,'Acerto virtual'!J:J),"")</f>
        <v/>
      </c>
      <c r="Y349" s="51" t="str">
        <f t="array" ref="Y349">IFERROR(_xlfn.XLOOKUP($F349,'Acerto virtual'!$E:$E,'Acerto virtual'!K:K),"")</f>
        <v/>
      </c>
      <c r="Z349" s="51" t="str">
        <f t="array" ref="Z349">IFERROR(_xlfn.XLOOKUP($F349,'Acerto virtual'!$E:$E,'Acerto virtual'!L:L),"")</f>
        <v/>
      </c>
      <c r="AA349" s="51" t="str">
        <f t="array" ref="AA349">IFERROR(_xlfn.XLOOKUP($F349,'Acerto virtual'!$E:$E,'Acerto virtual'!M:M),"")</f>
        <v/>
      </c>
      <c r="AB349" s="51" t="str">
        <f t="array" ref="AB349">IFERROR(_xlfn.XLOOKUP($F349,'Acerto virtual'!$E:$E,'Acerto virtual'!N:N),"")</f>
        <v/>
      </c>
      <c r="AC349" s="51" t="str">
        <f t="array" ref="AC349">IFERROR(_xlfn.XLOOKUP($F349,'Acerto virtual'!$E:$E,'Acerto virtual'!O:O),"")</f>
        <v/>
      </c>
      <c r="AD349" s="51" t="str">
        <f t="array" ref="AD349">IFERROR(_xlfn.XLOOKUP($F349,'Acerto virtual'!$E:$E,'Acerto virtual'!P:P),"")</f>
        <v/>
      </c>
      <c r="AE349" s="51" t="str">
        <f t="array" ref="AE349">IFERROR(_xlfn.XLOOKUP($F349,'Acerto virtual'!$E:$E,'Acerto virtual'!Q:Q),"")</f>
        <v/>
      </c>
      <c r="AF349" s="51" t="str">
        <f t="array" ref="AF349">IFERROR(_xlfn.XLOOKUP($F349,'Acerto virtual'!$E:$E,'Acerto virtual'!R:R),"")</f>
        <v/>
      </c>
      <c r="AG349" s="51" t="str">
        <f t="array" ref="AG349">IFERROR(_xlfn.XLOOKUP($F349,'Acerto virtual'!$E:$E,'Acerto virtual'!S:S),"")</f>
        <v/>
      </c>
      <c r="AH349" s="51" t="str">
        <f t="array" ref="AH349">IFERROR(_xlfn.XLOOKUP($F349,'Acerto virtual'!$E:$E,'Acerto virtual'!T:T),"")</f>
        <v/>
      </c>
      <c r="AI349" s="51" t="str">
        <f t="array" ref="AI349">IFERROR(_xlfn.XLOOKUP($F349,'Acerto virtual'!$E:$E,'Acerto virtual'!U:U),"")</f>
        <v/>
      </c>
    </row>
    <row r="350" hidden="1">
      <c r="A350" s="47" t="s">
        <v>1020</v>
      </c>
      <c r="B350" s="53" t="s">
        <v>1021</v>
      </c>
      <c r="C350" s="48" t="str">
        <f t="array" ref="C350">IFERROR(_xlfn.XLOOKUP($B350,'Histórico'!$B:$B,'Histórico'!$I:$I),"")</f>
        <v>060-0017-00</v>
      </c>
      <c r="D350" s="19" t="str">
        <f t="array" ref="D350">IFERROR(_xlfn.XLOOKUP($B350,'Histórico'!$B:$B,'Histórico'!$J:$J),"")</f>
        <v>22373</v>
      </c>
      <c r="E350" s="19" t="str">
        <f t="array" ref="E350">IFERROR(_xlfn.XLOOKUP($B350,'Histórico'!$B:$B,'Histórico'!$K:$K),"")</f>
        <v>FLIGHT DIR HOR</v>
      </c>
      <c r="F350" s="52" t="str">
        <f t="array" ref="F350">IFERROR(_xlfn.XLOOKUP($B350,'Histórico'!$B:$B,'Histórico'!$L:$L),"")</f>
        <v>16784</v>
      </c>
      <c r="G350" s="49" t="str">
        <f t="array" ref="G350">IFERROR(_xlfn.XLOOKUP($B350,'Histórico'!$B:$B,'Histórico'!$F:$F),"")</f>
        <v>30/04/2026</v>
      </c>
      <c r="H350" s="19" t="str">
        <f t="array" ref="H350">IFERROR(_xlfn.XLOOKUP($B350,'Histórico'!$B:$B,'Histórico'!$AA:$AA),"")</f>
        <v>PAMASP</v>
      </c>
      <c r="I350" s="19" t="str">
        <f t="array" ref="I350">IFERROR(_xlfn.XLOOKUP($B350,Atual!$B:$B,Atual!$E:$E),"OS concluída")</f>
        <v>OS concluída</v>
      </c>
      <c r="J350" s="19" t="str">
        <f t="shared" si="1"/>
        <v/>
      </c>
      <c r="K350" s="19"/>
      <c r="L350" s="19">
        <f t="shared" si="2"/>
        <v>18</v>
      </c>
      <c r="M350" s="19"/>
      <c r="N350" s="49">
        <f t="array" ref="N350">IFERROR(_xlfn.XLOOKUP($B350,EMPRESA_1!A:A,EMPRESA_1!J:J),"")</f>
        <v>46160</v>
      </c>
      <c r="O350" s="50" t="str">
        <f t="array" ref="O350">IFERROR(_xlfn.XLOOKUP(B350,EMPRESA_1!A:A,EMPRESA_1!K:K),"")
</f>
        <v>BANT</v>
      </c>
      <c r="P350" s="19" t="str">
        <f t="array" ref="P350">IFERROR(_xlfn.XLOOKUP(B350,EMPRESA_1!A:A,EMPRESA_1!L:L),"")</f>
        <v>392/FAB/26</v>
      </c>
      <c r="Q350" s="49">
        <f t="array" ref="Q350">IFERROR(_xlfn.XLOOKUP(B350,EMPRESA_1!A:A,EMPRESA_1!J:J),"")</f>
        <v>46160</v>
      </c>
      <c r="R350" s="19" t="str">
        <f t="array" ref="R350">IFERROR(_xlfn.XLOOKUP(B350,EMPRESA_1!A:A,EMPRESA_1!M:M),"")</f>
        <v/>
      </c>
      <c r="S350" s="51"/>
      <c r="T350" s="51" t="str">
        <f t="array" ref="T350">IFERROR(_xlfn.XLOOKUP($F350,'Acerto virtual'!$E:$E,'Acerto virtual'!F:F),"")</f>
        <v>001/2026</v>
      </c>
      <c r="U350" s="51" t="str">
        <f t="array" ref="U350">IFERROR(_xlfn.XLOOKUP($F350,'Acerto virtual'!$E:$E,'Acerto virtual'!G:G),"")</f>
        <v>04/08</v>
      </c>
      <c r="V350" s="51" t="str">
        <f t="array" ref="V350">IFERROR(_xlfn.XLOOKUP($F350,'Acerto virtual'!$E:$E,'Acerto virtual'!H:H),"")</f>
        <v>17/09</v>
      </c>
      <c r="W350" s="51" t="str">
        <f t="array" ref="W350">IFERROR(_xlfn.XLOOKUP($F350,'Acerto virtual'!$E:$E,'Acerto virtual'!I:I),"")</f>
        <v/>
      </c>
      <c r="X350" s="51" t="str">
        <f t="array" ref="X350">IFERROR(_xlfn.XLOOKUP($F350,'Acerto virtual'!$E:$E,'Acerto virtual'!J:J),"")</f>
        <v>28/09</v>
      </c>
      <c r="Y350" s="51" t="str">
        <f t="array" ref="Y350">IFERROR(_xlfn.XLOOKUP($F350,'Acerto virtual'!$E:$E,'Acerto virtual'!K:K),"")</f>
        <v>28/09</v>
      </c>
      <c r="Z350" s="51" t="str">
        <f t="array" ref="Z350">IFERROR(_xlfn.XLOOKUP($F350,'Acerto virtual'!$E:$E,'Acerto virtual'!L:L),"")</f>
        <v>28/09</v>
      </c>
      <c r="AA350" s="51" t="str">
        <f t="array" ref="AA350">IFERROR(_xlfn.XLOOKUP($F350,'Acerto virtual'!$E:$E,'Acerto virtual'!M:M),"")</f>
        <v>28/09</v>
      </c>
      <c r="AB350" s="51" t="str">
        <f t="array" ref="AB350">IFERROR(_xlfn.XLOOKUP($F350,'Acerto virtual'!$E:$E,'Acerto virtual'!N:N),"")</f>
        <v>28/09</v>
      </c>
      <c r="AC350" s="51" t="str">
        <f t="array" ref="AC350">IFERROR(_xlfn.XLOOKUP($F350,'Acerto virtual'!$E:$E,'Acerto virtual'!O:O),"")</f>
        <v>28/09</v>
      </c>
      <c r="AD350" s="51" t="str">
        <f t="array" ref="AD350">IFERROR(_xlfn.XLOOKUP($F350,'Acerto virtual'!$E:$E,'Acerto virtual'!P:P),"")</f>
        <v>28/09</v>
      </c>
      <c r="AE350" s="51" t="str">
        <f t="array" ref="AE350">IFERROR(_xlfn.XLOOKUP($F350,'Acerto virtual'!$E:$E,'Acerto virtual'!Q:Q),"")</f>
        <v>28/09</v>
      </c>
      <c r="AF350" s="51" t="str">
        <f t="array" ref="AF350">IFERROR(_xlfn.XLOOKUP($F350,'Acerto virtual'!$E:$E,'Acerto virtual'!R:R),"")</f>
        <v>28/09</v>
      </c>
      <c r="AG350" s="51" t="str">
        <f t="array" ref="AG350">IFERROR(_xlfn.XLOOKUP($F350,'Acerto virtual'!$E:$E,'Acerto virtual'!S:S),"")</f>
        <v>28/09</v>
      </c>
      <c r="AH350" s="51" t="str">
        <f t="array" ref="AH350">IFERROR(_xlfn.XLOOKUP($F350,'Acerto virtual'!$E:$E,'Acerto virtual'!T:T),"")</f>
        <v/>
      </c>
      <c r="AI350" s="51" t="str">
        <f t="array" ref="AI350">IFERROR(_xlfn.XLOOKUP($F350,'Acerto virtual'!$E:$E,'Acerto virtual'!U:U),"")</f>
        <v>RECEBIMENTO PENDENTE - ENTRADA EM ABERTO - GODOY 05/10/2026</v>
      </c>
    </row>
    <row r="351">
      <c r="A351" s="47" t="s">
        <v>1022</v>
      </c>
      <c r="B351" s="53" t="s">
        <v>1023</v>
      </c>
      <c r="C351" s="48" t="str">
        <f t="array" ref="C351">IFERROR(_xlfn.XLOOKUP($B351,'Histórico'!$B:$B,'Histórico'!$I:$I),"")</f>
        <v>060-0017-00</v>
      </c>
      <c r="D351" s="19" t="str">
        <f t="array" ref="D351">IFERROR(_xlfn.XLOOKUP($B351,'Histórico'!$B:$B,'Histórico'!$J:$J),"")</f>
        <v>22373</v>
      </c>
      <c r="E351" s="19" t="str">
        <f t="array" ref="E351">IFERROR(_xlfn.XLOOKUP($B351,'Histórico'!$B:$B,'Histórico'!$K:$K),"")</f>
        <v>FLIGHT DIR HOR</v>
      </c>
      <c r="F351" s="52" t="str">
        <f t="array" ref="F351">IFERROR(_xlfn.XLOOKUP($B351,'Histórico'!$B:$B,'Histórico'!$L:$L),"")</f>
        <v>16810</v>
      </c>
      <c r="G351" s="49" t="str">
        <f t="array" ref="G351">IFERROR(_xlfn.XLOOKUP($B351,'Histórico'!$B:$B,'Histórico'!$F:$F),"")</f>
        <v>30/04/2026</v>
      </c>
      <c r="H351" s="19" t="str">
        <f t="array" ref="H351">IFERROR(_xlfn.XLOOKUP($B351,'Histórico'!$B:$B,'Histórico'!$AA:$AA),"")</f>
        <v>BANT</v>
      </c>
      <c r="I351" s="19" t="str">
        <f t="array" ref="I351">IFERROR(_xlfn.XLOOKUP($B351,Atual!$B:$B,Atual!$E:$E),"OS concluída")</f>
        <v>REC</v>
      </c>
      <c r="J351" s="19">
        <f t="shared" si="1"/>
        <v>168</v>
      </c>
      <c r="K351" s="19"/>
      <c r="L351" s="19">
        <f t="shared" si="2"/>
        <v>14</v>
      </c>
      <c r="M351" s="19"/>
      <c r="N351" s="49">
        <f t="array" ref="N351">IFERROR(_xlfn.XLOOKUP($B351,EMPRESA_1!A:A,EMPRESA_1!J:J),"")</f>
        <v>46156</v>
      </c>
      <c r="O351" s="50" t="str">
        <f t="array" ref="O351">IFERROR(_xlfn.XLOOKUP(B351,EMPRESA_1!A:A,EMPRESA_1!K:K),"")
</f>
        <v>BANT</v>
      </c>
      <c r="P351" s="19" t="str">
        <f t="array" ref="P351">IFERROR(_xlfn.XLOOKUP(B351,EMPRESA_1!A:A,EMPRESA_1!L:L),"")</f>
        <v>379/FAB/26</v>
      </c>
      <c r="Q351" s="49">
        <f t="array" ref="Q351">IFERROR(_xlfn.XLOOKUP(B351,EMPRESA_1!A:A,EMPRESA_1!J:J),"")</f>
        <v>46156</v>
      </c>
      <c r="R351" s="19" t="str">
        <f t="array" ref="R351">IFERROR(_xlfn.XLOOKUP(B351,EMPRESA_1!A:A,EMPRESA_1!M:M),"")</f>
        <v/>
      </c>
      <c r="S351" s="51"/>
      <c r="T351" s="51" t="str">
        <f t="array" ref="T351">IFERROR(_xlfn.XLOOKUP($F351,'Acerto virtual'!$E:$E,'Acerto virtual'!F:F),"")</f>
        <v/>
      </c>
      <c r="U351" s="51" t="str">
        <f t="array" ref="U351">IFERROR(_xlfn.XLOOKUP($F351,'Acerto virtual'!$E:$E,'Acerto virtual'!G:G),"")</f>
        <v/>
      </c>
      <c r="V351" s="51" t="str">
        <f t="array" ref="V351">IFERROR(_xlfn.XLOOKUP($F351,'Acerto virtual'!$E:$E,'Acerto virtual'!H:H),"")</f>
        <v/>
      </c>
      <c r="W351" s="51" t="str">
        <f t="array" ref="W351">IFERROR(_xlfn.XLOOKUP($F351,'Acerto virtual'!$E:$E,'Acerto virtual'!I:I),"")</f>
        <v/>
      </c>
      <c r="X351" s="51" t="str">
        <f t="array" ref="X351">IFERROR(_xlfn.XLOOKUP($F351,'Acerto virtual'!$E:$E,'Acerto virtual'!J:J),"")</f>
        <v/>
      </c>
      <c r="Y351" s="51" t="str">
        <f t="array" ref="Y351">IFERROR(_xlfn.XLOOKUP($F351,'Acerto virtual'!$E:$E,'Acerto virtual'!K:K),"")</f>
        <v/>
      </c>
      <c r="Z351" s="51" t="str">
        <f t="array" ref="Z351">IFERROR(_xlfn.XLOOKUP($F351,'Acerto virtual'!$E:$E,'Acerto virtual'!L:L),"")</f>
        <v/>
      </c>
      <c r="AA351" s="51" t="str">
        <f t="array" ref="AA351">IFERROR(_xlfn.XLOOKUP($F351,'Acerto virtual'!$E:$E,'Acerto virtual'!M:M),"")</f>
        <v/>
      </c>
      <c r="AB351" s="51" t="str">
        <f t="array" ref="AB351">IFERROR(_xlfn.XLOOKUP($F351,'Acerto virtual'!$E:$E,'Acerto virtual'!N:N),"")</f>
        <v/>
      </c>
      <c r="AC351" s="51" t="str">
        <f t="array" ref="AC351">IFERROR(_xlfn.XLOOKUP($F351,'Acerto virtual'!$E:$E,'Acerto virtual'!O:O),"")</f>
        <v/>
      </c>
      <c r="AD351" s="51" t="str">
        <f t="array" ref="AD351">IFERROR(_xlfn.XLOOKUP($F351,'Acerto virtual'!$E:$E,'Acerto virtual'!P:P),"")</f>
        <v/>
      </c>
      <c r="AE351" s="51" t="str">
        <f t="array" ref="AE351">IFERROR(_xlfn.XLOOKUP($F351,'Acerto virtual'!$E:$E,'Acerto virtual'!Q:Q),"")</f>
        <v/>
      </c>
      <c r="AF351" s="51" t="str">
        <f t="array" ref="AF351">IFERROR(_xlfn.XLOOKUP($F351,'Acerto virtual'!$E:$E,'Acerto virtual'!R:R),"")</f>
        <v/>
      </c>
      <c r="AG351" s="51" t="str">
        <f t="array" ref="AG351">IFERROR(_xlfn.XLOOKUP($F351,'Acerto virtual'!$E:$E,'Acerto virtual'!S:S),"")</f>
        <v/>
      </c>
      <c r="AH351" s="51" t="str">
        <f t="array" ref="AH351">IFERROR(_xlfn.XLOOKUP($F351,'Acerto virtual'!$E:$E,'Acerto virtual'!T:T),"")</f>
        <v/>
      </c>
      <c r="AI351" s="51" t="str">
        <f t="array" ref="AI351">IFERROR(_xlfn.XLOOKUP($F351,'Acerto virtual'!$E:$E,'Acerto virtual'!U:U),"")</f>
        <v/>
      </c>
    </row>
    <row r="352">
      <c r="A352" s="47" t="s">
        <v>1024</v>
      </c>
      <c r="B352" s="53" t="s">
        <v>1025</v>
      </c>
      <c r="C352" s="48" t="str">
        <f t="array" ref="C352">IFERROR(_xlfn.XLOOKUP($B352,'Histórico'!$B:$B,'Histórico'!$I:$I),"")</f>
        <v>066-1055-00</v>
      </c>
      <c r="D352" s="19" t="str">
        <f t="array" ref="D352">IFERROR(_xlfn.XLOOKUP($B352,'Histórico'!$B:$B,'Histórico'!$J:$J),"")</f>
        <v>22373</v>
      </c>
      <c r="E352" s="19" t="str">
        <f t="array" ref="E352">IFERROR(_xlfn.XLOOKUP($B352,'Histórico'!$B:$B,'Histórico'!$K:$K),"")</f>
        <v>AUDIO CONTROL PANEL</v>
      </c>
      <c r="F352" s="19" t="str">
        <f t="array" ref="F352">IFERROR(_xlfn.XLOOKUP($B352,'Histórico'!$B:$B,'Histórico'!$L:$L),"")</f>
        <v>108207</v>
      </c>
      <c r="G352" s="49" t="str">
        <f t="array" ref="G352">IFERROR(_xlfn.XLOOKUP($B352,'Histórico'!$B:$B,'Histórico'!$F:$F),"")</f>
        <v>30/04/2026</v>
      </c>
      <c r="H352" s="19" t="str">
        <f t="array" ref="H352">IFERROR(_xlfn.XLOOKUP($B352,'Histórico'!$B:$B,'Histórico'!$AA:$AA),"")</f>
        <v>PAMALS</v>
      </c>
      <c r="I352" s="19" t="str">
        <f t="array" ref="I352">IFERROR(_xlfn.XLOOKUP($B352,Atual!$B:$B,Atual!$E:$E),"OS concluída")</f>
        <v>REC</v>
      </c>
      <c r="J352" s="19">
        <f t="shared" si="1"/>
        <v>168</v>
      </c>
      <c r="K352" s="19"/>
      <c r="L352" s="19" t="str">
        <f t="shared" si="2"/>
        <v>NÃO APLICÁVEL</v>
      </c>
      <c r="M352" s="19"/>
      <c r="N352" s="49" t="str">
        <f t="array" ref="N352">IFERROR(_xlfn.XLOOKUP($B352,EMPRESA_1!A:A,EMPRESA_1!J:J),"")</f>
        <v>EM REPARO</v>
      </c>
      <c r="O352" s="50" t="str">
        <f t="array" ref="O352">IFERROR(_xlfn.XLOOKUP(B352,EMPRESA_1!A:A,EMPRESA_1!K:K),"")
</f>
        <v>AV AERONAUTICA</v>
      </c>
      <c r="P352" s="48" t="str">
        <f t="array" ref="P352">IFERROR(_xlfn.XLOOKUP(B352,EMPRESA_1!A:A,EMPRESA_1!L:L),"")</f>
        <v/>
      </c>
      <c r="Q352" s="49" t="str">
        <f t="array" ref="Q352">IFERROR(_xlfn.XLOOKUP(B352,EMPRESA_1!A:A,EMPRESA_1!J:J),"")</f>
        <v>EM REPARO</v>
      </c>
      <c r="R352" s="19" t="str">
        <f t="array" ref="R352">IFERROR(_xlfn.XLOOKUP(B352,EMPRESA_1!A:A,EMPRESA_1!M:M),"")</f>
        <v/>
      </c>
      <c r="S352" s="51"/>
      <c r="T352" s="51" t="str">
        <f t="array" ref="T352">IFERROR(_xlfn.XLOOKUP($F352,'Acerto virtual'!$E:$E,'Acerto virtual'!F:F),"")</f>
        <v/>
      </c>
      <c r="U352" s="51" t="str">
        <f t="array" ref="U352">IFERROR(_xlfn.XLOOKUP($F352,'Acerto virtual'!$E:$E,'Acerto virtual'!G:G),"")</f>
        <v/>
      </c>
      <c r="V352" s="51" t="str">
        <f t="array" ref="V352">IFERROR(_xlfn.XLOOKUP($F352,'Acerto virtual'!$E:$E,'Acerto virtual'!H:H),"")</f>
        <v/>
      </c>
      <c r="W352" s="51" t="str">
        <f t="array" ref="W352">IFERROR(_xlfn.XLOOKUP($F352,'Acerto virtual'!$E:$E,'Acerto virtual'!I:I),"")</f>
        <v/>
      </c>
      <c r="X352" s="51" t="str">
        <f t="array" ref="X352">IFERROR(_xlfn.XLOOKUP($F352,'Acerto virtual'!$E:$E,'Acerto virtual'!J:J),"")</f>
        <v/>
      </c>
      <c r="Y352" s="51" t="str">
        <f t="array" ref="Y352">IFERROR(_xlfn.XLOOKUP($F352,'Acerto virtual'!$E:$E,'Acerto virtual'!K:K),"")</f>
        <v/>
      </c>
      <c r="Z352" s="51" t="str">
        <f t="array" ref="Z352">IFERROR(_xlfn.XLOOKUP($F352,'Acerto virtual'!$E:$E,'Acerto virtual'!L:L),"")</f>
        <v/>
      </c>
      <c r="AA352" s="51" t="str">
        <f t="array" ref="AA352">IFERROR(_xlfn.XLOOKUP($F352,'Acerto virtual'!$E:$E,'Acerto virtual'!M:M),"")</f>
        <v/>
      </c>
      <c r="AB352" s="51" t="str">
        <f t="array" ref="AB352">IFERROR(_xlfn.XLOOKUP($F352,'Acerto virtual'!$E:$E,'Acerto virtual'!N:N),"")</f>
        <v/>
      </c>
      <c r="AC352" s="51" t="str">
        <f t="array" ref="AC352">IFERROR(_xlfn.XLOOKUP($F352,'Acerto virtual'!$E:$E,'Acerto virtual'!O:O),"")</f>
        <v/>
      </c>
      <c r="AD352" s="51" t="str">
        <f t="array" ref="AD352">IFERROR(_xlfn.XLOOKUP($F352,'Acerto virtual'!$E:$E,'Acerto virtual'!P:P),"")</f>
        <v/>
      </c>
      <c r="AE352" s="51" t="str">
        <f t="array" ref="AE352">IFERROR(_xlfn.XLOOKUP($F352,'Acerto virtual'!$E:$E,'Acerto virtual'!Q:Q),"")</f>
        <v/>
      </c>
      <c r="AF352" s="51" t="str">
        <f t="array" ref="AF352">IFERROR(_xlfn.XLOOKUP($F352,'Acerto virtual'!$E:$E,'Acerto virtual'!R:R),"")</f>
        <v/>
      </c>
      <c r="AG352" s="51" t="str">
        <f t="array" ref="AG352">IFERROR(_xlfn.XLOOKUP($F352,'Acerto virtual'!$E:$E,'Acerto virtual'!S:S),"")</f>
        <v/>
      </c>
      <c r="AH352" s="51" t="str">
        <f t="array" ref="AH352">IFERROR(_xlfn.XLOOKUP($F352,'Acerto virtual'!$E:$E,'Acerto virtual'!T:T),"")</f>
        <v/>
      </c>
      <c r="AI352" s="51" t="str">
        <f t="array" ref="AI352">IFERROR(_xlfn.XLOOKUP($F352,'Acerto virtual'!$E:$E,'Acerto virtual'!U:U),"")</f>
        <v/>
      </c>
    </row>
    <row r="353">
      <c r="A353" s="47" t="s">
        <v>1026</v>
      </c>
      <c r="B353" s="53" t="s">
        <v>1027</v>
      </c>
      <c r="C353" s="48" t="str">
        <f t="array" ref="C353">IFERROR(_xlfn.XLOOKUP($B353,'Histórico'!$B:$B,'Histórico'!$I:$I),"")</f>
        <v>069-01033-0101</v>
      </c>
      <c r="D353" s="19" t="str">
        <f t="array" ref="D353">IFERROR(_xlfn.XLOOKUP($B353,'Histórico'!$B:$B,'Histórico'!$J:$J),"")</f>
        <v>22373</v>
      </c>
      <c r="E353" s="19" t="str">
        <f t="array" ref="E353">IFERROR(_xlfn.XLOOKUP($B353,'Histórico'!$B:$B,'Histórico'!$K:$K),"")</f>
        <v>RECEIVER-TRANSMITTER,RADIO</v>
      </c>
      <c r="F353" s="19" t="str">
        <f t="array" ref="F353">IFERROR(_xlfn.XLOOKUP($B353,'Histórico'!$B:$B,'Histórico'!$L:$L),"")</f>
        <v>4152</v>
      </c>
      <c r="G353" s="49" t="str">
        <f t="array" ref="G353">IFERROR(_xlfn.XLOOKUP($B353,'Histórico'!$B:$B,'Histórico'!$F:$F),"")</f>
        <v>30/04/2026</v>
      </c>
      <c r="H353" s="19" t="str">
        <f t="array" ref="H353">IFERROR(_xlfn.XLOOKUP($B353,'Histórico'!$B:$B,'Histórico'!$AA:$AA),"")</f>
        <v>PAMALS</v>
      </c>
      <c r="I353" s="19" t="str">
        <f t="array" ref="I353">IFERROR(_xlfn.XLOOKUP($B353,Atual!$B:$B,Atual!$E:$E),"OS concluída")</f>
        <v>REC</v>
      </c>
      <c r="J353" s="19">
        <f t="shared" si="1"/>
        <v>168</v>
      </c>
      <c r="K353" s="19"/>
      <c r="L353" s="19">
        <f t="shared" si="2"/>
        <v>46</v>
      </c>
      <c r="M353" s="19"/>
      <c r="N353" s="49">
        <f t="array" ref="N353">IFERROR(_xlfn.XLOOKUP($B353,EMPRESA_1!A:A,EMPRESA_1!J:J),"")</f>
        <v>46188</v>
      </c>
      <c r="O353" s="50" t="str">
        <f t="array" ref="O353">IFERROR(_xlfn.XLOOKUP(B353,EMPRESA_1!A:A,EMPRESA_1!K:K),"")
</f>
        <v/>
      </c>
      <c r="P353" s="19" t="str">
        <f t="array" ref="P353">IFERROR(_xlfn.XLOOKUP(B353,EMPRESA_1!A:A,EMPRESA_1!L:L),"")</f>
        <v/>
      </c>
      <c r="Q353" s="49">
        <f t="array" ref="Q353">IFERROR(_xlfn.XLOOKUP(B353,EMPRESA_1!A:A,EMPRESA_1!J:J),"")</f>
        <v>46188</v>
      </c>
      <c r="R353" s="19" t="str">
        <f t="array" ref="R353">IFERROR(_xlfn.XLOOKUP(B353,EMPRESA_1!A:A,EMPRESA_1!M:M),"")</f>
        <v/>
      </c>
      <c r="S353" s="51"/>
      <c r="T353" s="51" t="str">
        <f t="array" ref="T353">IFERROR(_xlfn.XLOOKUP($F353,'Acerto virtual'!$E:$E,'Acerto virtual'!F:F),"")</f>
        <v/>
      </c>
      <c r="U353" s="51" t="str">
        <f t="array" ref="U353">IFERROR(_xlfn.XLOOKUP($F353,'Acerto virtual'!$E:$E,'Acerto virtual'!G:G),"")</f>
        <v/>
      </c>
      <c r="V353" s="51" t="str">
        <f t="array" ref="V353">IFERROR(_xlfn.XLOOKUP($F353,'Acerto virtual'!$E:$E,'Acerto virtual'!H:H),"")</f>
        <v/>
      </c>
      <c r="W353" s="51" t="str">
        <f t="array" ref="W353">IFERROR(_xlfn.XLOOKUP($F353,'Acerto virtual'!$E:$E,'Acerto virtual'!I:I),"")</f>
        <v/>
      </c>
      <c r="X353" s="51" t="str">
        <f t="array" ref="X353">IFERROR(_xlfn.XLOOKUP($F353,'Acerto virtual'!$E:$E,'Acerto virtual'!J:J),"")</f>
        <v/>
      </c>
      <c r="Y353" s="51" t="str">
        <f t="array" ref="Y353">IFERROR(_xlfn.XLOOKUP($F353,'Acerto virtual'!$E:$E,'Acerto virtual'!K:K),"")</f>
        <v/>
      </c>
      <c r="Z353" s="51" t="str">
        <f t="array" ref="Z353">IFERROR(_xlfn.XLOOKUP($F353,'Acerto virtual'!$E:$E,'Acerto virtual'!L:L),"")</f>
        <v/>
      </c>
      <c r="AA353" s="51" t="str">
        <f t="array" ref="AA353">IFERROR(_xlfn.XLOOKUP($F353,'Acerto virtual'!$E:$E,'Acerto virtual'!M:M),"")</f>
        <v/>
      </c>
      <c r="AB353" s="51" t="str">
        <f t="array" ref="AB353">IFERROR(_xlfn.XLOOKUP($F353,'Acerto virtual'!$E:$E,'Acerto virtual'!N:N),"")</f>
        <v/>
      </c>
      <c r="AC353" s="51" t="str">
        <f t="array" ref="AC353">IFERROR(_xlfn.XLOOKUP($F353,'Acerto virtual'!$E:$E,'Acerto virtual'!O:O),"")</f>
        <v/>
      </c>
      <c r="AD353" s="51" t="str">
        <f t="array" ref="AD353">IFERROR(_xlfn.XLOOKUP($F353,'Acerto virtual'!$E:$E,'Acerto virtual'!P:P),"")</f>
        <v/>
      </c>
      <c r="AE353" s="51" t="str">
        <f t="array" ref="AE353">IFERROR(_xlfn.XLOOKUP($F353,'Acerto virtual'!$E:$E,'Acerto virtual'!Q:Q),"")</f>
        <v/>
      </c>
      <c r="AF353" s="51" t="str">
        <f t="array" ref="AF353">IFERROR(_xlfn.XLOOKUP($F353,'Acerto virtual'!$E:$E,'Acerto virtual'!R:R),"")</f>
        <v/>
      </c>
      <c r="AG353" s="51" t="str">
        <f t="array" ref="AG353">IFERROR(_xlfn.XLOOKUP($F353,'Acerto virtual'!$E:$E,'Acerto virtual'!S:S),"")</f>
        <v/>
      </c>
      <c r="AH353" s="51" t="str">
        <f t="array" ref="AH353">IFERROR(_xlfn.XLOOKUP($F353,'Acerto virtual'!$E:$E,'Acerto virtual'!T:T),"")</f>
        <v/>
      </c>
      <c r="AI353" s="51" t="str">
        <f t="array" ref="AI353">IFERROR(_xlfn.XLOOKUP($F353,'Acerto virtual'!$E:$E,'Acerto virtual'!U:U),"")</f>
        <v/>
      </c>
    </row>
    <row r="354">
      <c r="A354" s="47" t="s">
        <v>1028</v>
      </c>
      <c r="B354" s="53" t="s">
        <v>1029</v>
      </c>
      <c r="C354" s="48" t="str">
        <f t="array" ref="C354">IFERROR(_xlfn.XLOOKUP($B354,'Histórico'!$B:$B,'Histórico'!$I:$I),"")</f>
        <v>C611008-0101</v>
      </c>
      <c r="D354" s="19" t="str">
        <f t="array" ref="D354">IFERROR(_xlfn.XLOOKUP($B354,'Histórico'!$B:$B,'Histórico'!$J:$J),"")</f>
        <v>7EK50</v>
      </c>
      <c r="E354" s="19" t="str">
        <f t="array" ref="E354">IFERROR(_xlfn.XLOOKUP($B354,'Histórico'!$B:$B,'Histórico'!$K:$K),"")</f>
        <v>ALTERNATOR CONTROL UNIT</v>
      </c>
      <c r="F354" s="19" t="str">
        <f t="array" ref="F354">IFERROR(_xlfn.XLOOKUP($B354,'Histórico'!$B:$B,'Histórico'!$L:$L),"")</f>
        <v>96123</v>
      </c>
      <c r="G354" s="49" t="str">
        <f t="array" ref="G354">IFERROR(_xlfn.XLOOKUP($B354,'Histórico'!$B:$B,'Histórico'!$F:$F),"")</f>
        <v>30/04/2026</v>
      </c>
      <c r="H354" s="19" t="str">
        <f t="array" ref="H354">IFERROR(_xlfn.XLOOKUP($B354,'Histórico'!$B:$B,'Histórico'!$AA:$AA),"")</f>
        <v>PAMALS</v>
      </c>
      <c r="I354" s="19" t="str">
        <f t="array" ref="I354">IFERROR(_xlfn.XLOOKUP($B354,Atual!$B:$B,Atual!$E:$E),"OS concluída")</f>
        <v>REC</v>
      </c>
      <c r="J354" s="19">
        <f t="shared" si="1"/>
        <v>168</v>
      </c>
      <c r="K354" s="19"/>
      <c r="L354" s="19">
        <f t="shared" si="2"/>
        <v>82</v>
      </c>
      <c r="M354" s="19"/>
      <c r="N354" s="49">
        <f t="array" ref="N354">IFERROR(_xlfn.XLOOKUP($B354,EMPRESA_1!A:A,EMPRESA_1!J:J),"")</f>
        <v>46224</v>
      </c>
      <c r="O354" s="50" t="str">
        <f t="array" ref="O354">IFERROR(_xlfn.XLOOKUP(B354,EMPRESA_1!A:A,EMPRESA_1!K:K),"")
</f>
        <v>BANT</v>
      </c>
      <c r="P354" s="48" t="str">
        <f t="array" ref="P354">IFERROR(_xlfn.XLOOKUP(B354,EMPRESA_1!A:A,EMPRESA_1!L:L),"")</f>
        <v>591/FAB/26</v>
      </c>
      <c r="Q354" s="49">
        <f t="array" ref="Q354">IFERROR(_xlfn.XLOOKUP(B354,EMPRESA_1!A:A,EMPRESA_1!J:J),"")</f>
        <v>46224</v>
      </c>
      <c r="R354" s="19" t="str">
        <f t="array" ref="R354">IFERROR(_xlfn.XLOOKUP(B354,EMPRESA_1!A:A,EMPRESA_1!M:M),"")</f>
        <v/>
      </c>
      <c r="S354" s="51"/>
      <c r="T354" s="51" t="str">
        <f t="array" ref="T354">IFERROR(_xlfn.XLOOKUP($F354,'Acerto virtual'!$E:$E,'Acerto virtual'!F:F),"")</f>
        <v/>
      </c>
      <c r="U354" s="51" t="str">
        <f t="array" ref="U354">IFERROR(_xlfn.XLOOKUP($F354,'Acerto virtual'!$E:$E,'Acerto virtual'!G:G),"")</f>
        <v/>
      </c>
      <c r="V354" s="51" t="str">
        <f t="array" ref="V354">IFERROR(_xlfn.XLOOKUP($F354,'Acerto virtual'!$E:$E,'Acerto virtual'!H:H),"")</f>
        <v/>
      </c>
      <c r="W354" s="51" t="str">
        <f t="array" ref="W354">IFERROR(_xlfn.XLOOKUP($F354,'Acerto virtual'!$E:$E,'Acerto virtual'!I:I),"")</f>
        <v/>
      </c>
      <c r="X354" s="51" t="str">
        <f t="array" ref="X354">IFERROR(_xlfn.XLOOKUP($F354,'Acerto virtual'!$E:$E,'Acerto virtual'!J:J),"")</f>
        <v/>
      </c>
      <c r="Y354" s="51" t="str">
        <f t="array" ref="Y354">IFERROR(_xlfn.XLOOKUP($F354,'Acerto virtual'!$E:$E,'Acerto virtual'!K:K),"")</f>
        <v/>
      </c>
      <c r="Z354" s="51" t="str">
        <f t="array" ref="Z354">IFERROR(_xlfn.XLOOKUP($F354,'Acerto virtual'!$E:$E,'Acerto virtual'!L:L),"")</f>
        <v/>
      </c>
      <c r="AA354" s="51" t="str">
        <f t="array" ref="AA354">IFERROR(_xlfn.XLOOKUP($F354,'Acerto virtual'!$E:$E,'Acerto virtual'!M:M),"")</f>
        <v/>
      </c>
      <c r="AB354" s="51" t="str">
        <f t="array" ref="AB354">IFERROR(_xlfn.XLOOKUP($F354,'Acerto virtual'!$E:$E,'Acerto virtual'!N:N),"")</f>
        <v/>
      </c>
      <c r="AC354" s="51" t="str">
        <f t="array" ref="AC354">IFERROR(_xlfn.XLOOKUP($F354,'Acerto virtual'!$E:$E,'Acerto virtual'!O:O),"")</f>
        <v/>
      </c>
      <c r="AD354" s="51" t="str">
        <f t="array" ref="AD354">IFERROR(_xlfn.XLOOKUP($F354,'Acerto virtual'!$E:$E,'Acerto virtual'!P:P),"")</f>
        <v/>
      </c>
      <c r="AE354" s="51" t="str">
        <f t="array" ref="AE354">IFERROR(_xlfn.XLOOKUP($F354,'Acerto virtual'!$E:$E,'Acerto virtual'!Q:Q),"")</f>
        <v/>
      </c>
      <c r="AF354" s="51" t="str">
        <f t="array" ref="AF354">IFERROR(_xlfn.XLOOKUP($F354,'Acerto virtual'!$E:$E,'Acerto virtual'!R:R),"")</f>
        <v/>
      </c>
      <c r="AG354" s="51" t="str">
        <f t="array" ref="AG354">IFERROR(_xlfn.XLOOKUP($F354,'Acerto virtual'!$E:$E,'Acerto virtual'!S:S),"")</f>
        <v/>
      </c>
      <c r="AH354" s="51" t="str">
        <f t="array" ref="AH354">IFERROR(_xlfn.XLOOKUP($F354,'Acerto virtual'!$E:$E,'Acerto virtual'!T:T),"")</f>
        <v/>
      </c>
      <c r="AI354" s="51" t="str">
        <f t="array" ref="AI354">IFERROR(_xlfn.XLOOKUP($F354,'Acerto virtual'!$E:$E,'Acerto virtual'!U:U),"")</f>
        <v/>
      </c>
    </row>
    <row r="355">
      <c r="A355" s="47" t="s">
        <v>1030</v>
      </c>
      <c r="B355" s="53" t="s">
        <v>1031</v>
      </c>
      <c r="C355" s="48" t="str">
        <f t="array" ref="C355">IFERROR(_xlfn.XLOOKUP($B355,'Histórico'!$B:$B,'Histórico'!$I:$I),"")</f>
        <v>C611008-0101</v>
      </c>
      <c r="D355" s="19" t="str">
        <f t="array" ref="D355">IFERROR(_xlfn.XLOOKUP($B355,'Histórico'!$B:$B,'Histórico'!$J:$J),"")</f>
        <v>7EK50</v>
      </c>
      <c r="E355" s="19" t="str">
        <f t="array" ref="E355">IFERROR(_xlfn.XLOOKUP($B355,'Histórico'!$B:$B,'Histórico'!$K:$K),"")</f>
        <v>ALTERNATOR CONTROL UNIT</v>
      </c>
      <c r="F355" s="19" t="str">
        <f t="array" ref="F355">IFERROR(_xlfn.XLOOKUP($B355,'Histórico'!$B:$B,'Histórico'!$L:$L),"")</f>
        <v>4100932</v>
      </c>
      <c r="G355" s="49" t="str">
        <f t="array" ref="G355">IFERROR(_xlfn.XLOOKUP($B355,'Histórico'!$B:$B,'Histórico'!$F:$F),"")</f>
        <v>30/04/2026</v>
      </c>
      <c r="H355" s="19" t="str">
        <f t="array" ref="H355">IFERROR(_xlfn.XLOOKUP($B355,'Histórico'!$B:$B,'Histórico'!$AA:$AA),"")</f>
        <v>PAMALS</v>
      </c>
      <c r="I355" s="19" t="str">
        <f t="array" ref="I355">IFERROR(_xlfn.XLOOKUP($B355,Atual!$B:$B,Atual!$E:$E),"OS concluída")</f>
        <v>REC</v>
      </c>
      <c r="J355" s="19">
        <f t="shared" si="1"/>
        <v>168</v>
      </c>
      <c r="K355" s="19"/>
      <c r="L355" s="19">
        <f t="shared" si="2"/>
        <v>78</v>
      </c>
      <c r="M355" s="19"/>
      <c r="N355" s="49">
        <f t="array" ref="N355">IFERROR(_xlfn.XLOOKUP($B355,EMPRESA_1!A:A,EMPRESA_1!J:J),"")</f>
        <v>46220</v>
      </c>
      <c r="O355" s="50" t="str">
        <f t="array" ref="O355">IFERROR(_xlfn.XLOOKUP(B355,EMPRESA_1!A:A,EMPRESA_1!K:K),"")
</f>
        <v>BANT</v>
      </c>
      <c r="P355" s="48" t="str">
        <f t="array" ref="P355">IFERROR(_xlfn.XLOOKUP(B355,EMPRESA_1!A:A,EMPRESA_1!L:L),"")</f>
        <v>582/FAB/26</v>
      </c>
      <c r="Q355" s="49">
        <f t="array" ref="Q355">IFERROR(_xlfn.XLOOKUP(B355,EMPRESA_1!A:A,EMPRESA_1!J:J),"")</f>
        <v>46220</v>
      </c>
      <c r="R355" s="19" t="str">
        <f t="array" ref="R355">IFERROR(_xlfn.XLOOKUP(B355,EMPRESA_1!A:A,EMPRESA_1!M:M),"")</f>
        <v/>
      </c>
      <c r="S355" s="51"/>
      <c r="T355" s="51" t="str">
        <f t="array" ref="T355">IFERROR(_xlfn.XLOOKUP($F355,'Acerto virtual'!$E:$E,'Acerto virtual'!F:F),"")</f>
        <v/>
      </c>
      <c r="U355" s="51" t="str">
        <f t="array" ref="U355">IFERROR(_xlfn.XLOOKUP($F355,'Acerto virtual'!$E:$E,'Acerto virtual'!G:G),"")</f>
        <v/>
      </c>
      <c r="V355" s="51" t="str">
        <f t="array" ref="V355">IFERROR(_xlfn.XLOOKUP($F355,'Acerto virtual'!$E:$E,'Acerto virtual'!H:H),"")</f>
        <v/>
      </c>
      <c r="W355" s="51" t="str">
        <f t="array" ref="W355">IFERROR(_xlfn.XLOOKUP($F355,'Acerto virtual'!$E:$E,'Acerto virtual'!I:I),"")</f>
        <v/>
      </c>
      <c r="X355" s="51" t="str">
        <f t="array" ref="X355">IFERROR(_xlfn.XLOOKUP($F355,'Acerto virtual'!$E:$E,'Acerto virtual'!J:J),"")</f>
        <v/>
      </c>
      <c r="Y355" s="51" t="str">
        <f t="array" ref="Y355">IFERROR(_xlfn.XLOOKUP($F355,'Acerto virtual'!$E:$E,'Acerto virtual'!K:K),"")</f>
        <v/>
      </c>
      <c r="Z355" s="51" t="str">
        <f t="array" ref="Z355">IFERROR(_xlfn.XLOOKUP($F355,'Acerto virtual'!$E:$E,'Acerto virtual'!L:L),"")</f>
        <v/>
      </c>
      <c r="AA355" s="51" t="str">
        <f t="array" ref="AA355">IFERROR(_xlfn.XLOOKUP($F355,'Acerto virtual'!$E:$E,'Acerto virtual'!M:M),"")</f>
        <v/>
      </c>
      <c r="AB355" s="51" t="str">
        <f t="array" ref="AB355">IFERROR(_xlfn.XLOOKUP($F355,'Acerto virtual'!$E:$E,'Acerto virtual'!N:N),"")</f>
        <v/>
      </c>
      <c r="AC355" s="51" t="str">
        <f t="array" ref="AC355">IFERROR(_xlfn.XLOOKUP($F355,'Acerto virtual'!$E:$E,'Acerto virtual'!O:O),"")</f>
        <v/>
      </c>
      <c r="AD355" s="51" t="str">
        <f t="array" ref="AD355">IFERROR(_xlfn.XLOOKUP($F355,'Acerto virtual'!$E:$E,'Acerto virtual'!P:P),"")</f>
        <v/>
      </c>
      <c r="AE355" s="51" t="str">
        <f t="array" ref="AE355">IFERROR(_xlfn.XLOOKUP($F355,'Acerto virtual'!$E:$E,'Acerto virtual'!Q:Q),"")</f>
        <v/>
      </c>
      <c r="AF355" s="51" t="str">
        <f t="array" ref="AF355">IFERROR(_xlfn.XLOOKUP($F355,'Acerto virtual'!$E:$E,'Acerto virtual'!R:R),"")</f>
        <v/>
      </c>
      <c r="AG355" s="51" t="str">
        <f t="array" ref="AG355">IFERROR(_xlfn.XLOOKUP($F355,'Acerto virtual'!$E:$E,'Acerto virtual'!S:S),"")</f>
        <v/>
      </c>
      <c r="AH355" s="51" t="str">
        <f t="array" ref="AH355">IFERROR(_xlfn.XLOOKUP($F355,'Acerto virtual'!$E:$E,'Acerto virtual'!T:T),"")</f>
        <v/>
      </c>
      <c r="AI355" s="51" t="str">
        <f t="array" ref="AI355">IFERROR(_xlfn.XLOOKUP($F355,'Acerto virtual'!$E:$E,'Acerto virtual'!U:U),"")</f>
        <v/>
      </c>
    </row>
    <row r="356">
      <c r="A356" s="47" t="s">
        <v>1032</v>
      </c>
      <c r="B356" s="53" t="s">
        <v>1033</v>
      </c>
      <c r="C356" s="48" t="str">
        <f t="array" ref="C356">IFERROR(_xlfn.XLOOKUP($B356,'Histórico'!$B:$B,'Histórico'!$I:$I),"")</f>
        <v>C661065-0237</v>
      </c>
      <c r="D356" s="19" t="str">
        <f t="array" ref="D356">IFERROR(_xlfn.XLOOKUP($B356,'Histórico'!$B:$B,'Histórico'!$J:$J),"")</f>
        <v>7EK50</v>
      </c>
      <c r="E356" s="19" t="str">
        <f t="array" ref="E356">IFERROR(_xlfn.XLOOKUP($B356,'Histórico'!$B:$B,'Histórico'!$K:$K),"")</f>
        <v>AIRSPEED INDICATOR</v>
      </c>
      <c r="F356" s="19" t="str">
        <f t="array" ref="F356">IFERROR(_xlfn.XLOOKUP($B356,'Histórico'!$B:$B,'Histórico'!$L:$L),"")</f>
        <v>T36593</v>
      </c>
      <c r="G356" s="49" t="str">
        <f t="array" ref="G356">IFERROR(_xlfn.XLOOKUP($B356,'Histórico'!$B:$B,'Histórico'!$F:$F),"")</f>
        <v>30/04/2026</v>
      </c>
      <c r="H356" s="19" t="str">
        <f t="array" ref="H356">IFERROR(_xlfn.XLOOKUP($B356,'Histórico'!$B:$B,'Histórico'!$AA:$AA),"")</f>
        <v>BANT</v>
      </c>
      <c r="I356" s="19" t="str">
        <f t="array" ref="I356">IFERROR(_xlfn.XLOOKUP($B356,Atual!$B:$B,Atual!$E:$E),"OS concluída")</f>
        <v>REC</v>
      </c>
      <c r="J356" s="19">
        <f t="shared" si="1"/>
        <v>168</v>
      </c>
      <c r="K356" s="19"/>
      <c r="L356" s="19">
        <f t="shared" si="2"/>
        <v>83</v>
      </c>
      <c r="M356" s="19"/>
      <c r="N356" s="49">
        <f t="array" ref="N356">IFERROR(_xlfn.XLOOKUP($B356,EMPRESA_1!A:A,EMPRESA_1!J:J),"")</f>
        <v>46225</v>
      </c>
      <c r="O356" s="50" t="str">
        <f t="array" ref="O356">IFERROR(_xlfn.XLOOKUP(B356,EMPRESA_1!A:A,EMPRESA_1!K:K),"")
</f>
        <v>PAMA-LS</v>
      </c>
      <c r="P356" s="48" t="str">
        <f t="array" ref="P356">IFERROR(_xlfn.XLOOKUP(B356,EMPRESA_1!A:A,EMPRESA_1!L:L),"")</f>
        <v>623/FAB/26</v>
      </c>
      <c r="Q356" s="49">
        <f t="array" ref="Q356">IFERROR(_xlfn.XLOOKUP(B356,EMPRESA_1!A:A,EMPRESA_1!J:J),"")</f>
        <v>46225</v>
      </c>
      <c r="R356" s="19" t="str">
        <f t="array" ref="R356">IFERROR(_xlfn.XLOOKUP(B356,EMPRESA_1!A:A,EMPRESA_1!M:M),"")</f>
        <v/>
      </c>
      <c r="S356" s="51"/>
      <c r="T356" s="51" t="str">
        <f t="array" ref="T356">IFERROR(_xlfn.XLOOKUP($F356,'Acerto virtual'!$E:$E,'Acerto virtual'!F:F),"")</f>
        <v/>
      </c>
      <c r="U356" s="51" t="str">
        <f t="array" ref="U356">IFERROR(_xlfn.XLOOKUP($F356,'Acerto virtual'!$E:$E,'Acerto virtual'!G:G),"")</f>
        <v/>
      </c>
      <c r="V356" s="51" t="str">
        <f t="array" ref="V356">IFERROR(_xlfn.XLOOKUP($F356,'Acerto virtual'!$E:$E,'Acerto virtual'!H:H),"")</f>
        <v/>
      </c>
      <c r="W356" s="51" t="str">
        <f t="array" ref="W356">IFERROR(_xlfn.XLOOKUP($F356,'Acerto virtual'!$E:$E,'Acerto virtual'!I:I),"")</f>
        <v/>
      </c>
      <c r="X356" s="51" t="str">
        <f t="array" ref="X356">IFERROR(_xlfn.XLOOKUP($F356,'Acerto virtual'!$E:$E,'Acerto virtual'!J:J),"")</f>
        <v/>
      </c>
      <c r="Y356" s="51" t="str">
        <f t="array" ref="Y356">IFERROR(_xlfn.XLOOKUP($F356,'Acerto virtual'!$E:$E,'Acerto virtual'!K:K),"")</f>
        <v/>
      </c>
      <c r="Z356" s="51" t="str">
        <f t="array" ref="Z356">IFERROR(_xlfn.XLOOKUP($F356,'Acerto virtual'!$E:$E,'Acerto virtual'!L:L),"")</f>
        <v/>
      </c>
      <c r="AA356" s="51" t="str">
        <f t="array" ref="AA356">IFERROR(_xlfn.XLOOKUP($F356,'Acerto virtual'!$E:$E,'Acerto virtual'!M:M),"")</f>
        <v/>
      </c>
      <c r="AB356" s="51" t="str">
        <f t="array" ref="AB356">IFERROR(_xlfn.XLOOKUP($F356,'Acerto virtual'!$E:$E,'Acerto virtual'!N:N),"")</f>
        <v/>
      </c>
      <c r="AC356" s="51" t="str">
        <f t="array" ref="AC356">IFERROR(_xlfn.XLOOKUP($F356,'Acerto virtual'!$E:$E,'Acerto virtual'!O:O),"")</f>
        <v/>
      </c>
      <c r="AD356" s="51" t="str">
        <f t="array" ref="AD356">IFERROR(_xlfn.XLOOKUP($F356,'Acerto virtual'!$E:$E,'Acerto virtual'!P:P),"")</f>
        <v/>
      </c>
      <c r="AE356" s="51" t="str">
        <f t="array" ref="AE356">IFERROR(_xlfn.XLOOKUP($F356,'Acerto virtual'!$E:$E,'Acerto virtual'!Q:Q),"")</f>
        <v/>
      </c>
      <c r="AF356" s="51" t="str">
        <f t="array" ref="AF356">IFERROR(_xlfn.XLOOKUP($F356,'Acerto virtual'!$E:$E,'Acerto virtual'!R:R),"")</f>
        <v/>
      </c>
      <c r="AG356" s="51" t="str">
        <f t="array" ref="AG356">IFERROR(_xlfn.XLOOKUP($F356,'Acerto virtual'!$E:$E,'Acerto virtual'!S:S),"")</f>
        <v/>
      </c>
      <c r="AH356" s="51" t="str">
        <f t="array" ref="AH356">IFERROR(_xlfn.XLOOKUP($F356,'Acerto virtual'!$E:$E,'Acerto virtual'!T:T),"")</f>
        <v/>
      </c>
      <c r="AI356" s="51" t="str">
        <f t="array" ref="AI356">IFERROR(_xlfn.XLOOKUP($F356,'Acerto virtual'!$E:$E,'Acerto virtual'!U:U),"")</f>
        <v/>
      </c>
    </row>
    <row r="357">
      <c r="A357" s="47" t="s">
        <v>1034</v>
      </c>
      <c r="B357" s="53" t="s">
        <v>1035</v>
      </c>
      <c r="C357" s="48" t="str">
        <f t="array" ref="C357">IFERROR(_xlfn.XLOOKUP($B357,'Histórico'!$B:$B,'Histórico'!$I:$I),"")</f>
        <v>066-1055-00</v>
      </c>
      <c r="D357" s="19" t="str">
        <f t="array" ref="D357">IFERROR(_xlfn.XLOOKUP($B357,'Histórico'!$B:$B,'Histórico'!$J:$J),"")</f>
        <v>22373</v>
      </c>
      <c r="E357" s="19" t="str">
        <f t="array" ref="E357">IFERROR(_xlfn.XLOOKUP($B357,'Histórico'!$B:$B,'Histórico'!$K:$K),"")</f>
        <v>AUDIO CONTROL PANEL</v>
      </c>
      <c r="F357" s="19" t="str">
        <f t="array" ref="F357">IFERROR(_xlfn.XLOOKUP($B357,'Histórico'!$B:$B,'Histórico'!$L:$L),"")</f>
        <v>30316</v>
      </c>
      <c r="G357" s="49" t="str">
        <f t="array" ref="G357">IFERROR(_xlfn.XLOOKUP($B357,'Histórico'!$B:$B,'Histórico'!$F:$F),"")</f>
        <v>30/04/2026</v>
      </c>
      <c r="H357" s="19" t="str">
        <f t="array" ref="H357">IFERROR(_xlfn.XLOOKUP($B357,'Histórico'!$B:$B,'Histórico'!$AA:$AA),"")</f>
        <v>ALA 9</v>
      </c>
      <c r="I357" s="19" t="str">
        <f t="array" ref="I357">IFERROR(_xlfn.XLOOKUP($B357,Atual!$B:$B,Atual!$E:$E),"OS concluída")</f>
        <v>REC</v>
      </c>
      <c r="J357" s="19">
        <f t="shared" si="1"/>
        <v>168</v>
      </c>
      <c r="K357" s="19"/>
      <c r="L357" s="19" t="str">
        <f t="shared" si="2"/>
        <v>NÃO APLICÁVEL</v>
      </c>
      <c r="M357" s="19"/>
      <c r="N357" s="49" t="str">
        <f t="array" ref="N357">IFERROR(_xlfn.XLOOKUP($B357,EMPRESA_1!A:A,EMPRESA_1!J:J),"")</f>
        <v>EM REPARO</v>
      </c>
      <c r="O357" s="50" t="str">
        <f t="array" ref="O357">IFERROR(_xlfn.XLOOKUP(B357,EMPRESA_1!A:A,EMPRESA_1!K:K),"")
</f>
        <v>WILLIAM</v>
      </c>
      <c r="P357" s="48" t="str">
        <f t="array" ref="P357">IFERROR(_xlfn.XLOOKUP(B357,EMPRESA_1!A:A,EMPRESA_1!L:L),"")</f>
        <v/>
      </c>
      <c r="Q357" s="49" t="str">
        <f t="array" ref="Q357">IFERROR(_xlfn.XLOOKUP(B357,EMPRESA_1!A:A,EMPRESA_1!J:J),"")</f>
        <v>EM REPARO</v>
      </c>
      <c r="R357" s="19" t="str">
        <f t="array" ref="R357">IFERROR(_xlfn.XLOOKUP(B357,EMPRESA_1!A:A,EMPRESA_1!M:M),"")</f>
        <v/>
      </c>
      <c r="S357" s="51"/>
      <c r="T357" s="51" t="str">
        <f t="array" ref="T357">IFERROR(_xlfn.XLOOKUP($F357,'Acerto virtual'!$E:$E,'Acerto virtual'!F:F),"")</f>
        <v/>
      </c>
      <c r="U357" s="51" t="str">
        <f t="array" ref="U357">IFERROR(_xlfn.XLOOKUP($F357,'Acerto virtual'!$E:$E,'Acerto virtual'!G:G),"")</f>
        <v/>
      </c>
      <c r="V357" s="51" t="str">
        <f t="array" ref="V357">IFERROR(_xlfn.XLOOKUP($F357,'Acerto virtual'!$E:$E,'Acerto virtual'!H:H),"")</f>
        <v/>
      </c>
      <c r="W357" s="51" t="str">
        <f t="array" ref="W357">IFERROR(_xlfn.XLOOKUP($F357,'Acerto virtual'!$E:$E,'Acerto virtual'!I:I),"")</f>
        <v/>
      </c>
      <c r="X357" s="51" t="str">
        <f t="array" ref="X357">IFERROR(_xlfn.XLOOKUP($F357,'Acerto virtual'!$E:$E,'Acerto virtual'!J:J),"")</f>
        <v/>
      </c>
      <c r="Y357" s="51" t="str">
        <f t="array" ref="Y357">IFERROR(_xlfn.XLOOKUP($F357,'Acerto virtual'!$E:$E,'Acerto virtual'!K:K),"")</f>
        <v/>
      </c>
      <c r="Z357" s="51" t="str">
        <f t="array" ref="Z357">IFERROR(_xlfn.XLOOKUP($F357,'Acerto virtual'!$E:$E,'Acerto virtual'!L:L),"")</f>
        <v/>
      </c>
      <c r="AA357" s="51" t="str">
        <f t="array" ref="AA357">IFERROR(_xlfn.XLOOKUP($F357,'Acerto virtual'!$E:$E,'Acerto virtual'!M:M),"")</f>
        <v/>
      </c>
      <c r="AB357" s="51" t="str">
        <f t="array" ref="AB357">IFERROR(_xlfn.XLOOKUP($F357,'Acerto virtual'!$E:$E,'Acerto virtual'!N:N),"")</f>
        <v/>
      </c>
      <c r="AC357" s="51" t="str">
        <f t="array" ref="AC357">IFERROR(_xlfn.XLOOKUP($F357,'Acerto virtual'!$E:$E,'Acerto virtual'!O:O),"")</f>
        <v/>
      </c>
      <c r="AD357" s="51" t="str">
        <f t="array" ref="AD357">IFERROR(_xlfn.XLOOKUP($F357,'Acerto virtual'!$E:$E,'Acerto virtual'!P:P),"")</f>
        <v/>
      </c>
      <c r="AE357" s="51" t="str">
        <f t="array" ref="AE357">IFERROR(_xlfn.XLOOKUP($F357,'Acerto virtual'!$E:$E,'Acerto virtual'!Q:Q),"")</f>
        <v/>
      </c>
      <c r="AF357" s="51" t="str">
        <f t="array" ref="AF357">IFERROR(_xlfn.XLOOKUP($F357,'Acerto virtual'!$E:$E,'Acerto virtual'!R:R),"")</f>
        <v/>
      </c>
      <c r="AG357" s="51" t="str">
        <f t="array" ref="AG357">IFERROR(_xlfn.XLOOKUP($F357,'Acerto virtual'!$E:$E,'Acerto virtual'!S:S),"")</f>
        <v/>
      </c>
      <c r="AH357" s="51" t="str">
        <f t="array" ref="AH357">IFERROR(_xlfn.XLOOKUP($F357,'Acerto virtual'!$E:$E,'Acerto virtual'!T:T),"")</f>
        <v/>
      </c>
      <c r="AI357" s="51" t="str">
        <f t="array" ref="AI357">IFERROR(_xlfn.XLOOKUP($F357,'Acerto virtual'!$E:$E,'Acerto virtual'!U:U),"")</f>
        <v/>
      </c>
    </row>
    <row r="358">
      <c r="A358" s="47" t="s">
        <v>1036</v>
      </c>
      <c r="B358" s="53" t="s">
        <v>1037</v>
      </c>
      <c r="C358" s="48" t="str">
        <f t="array" ref="C358">IFERROR(_xlfn.XLOOKUP($B358,'Histórico'!$B:$B,'Histórico'!$I:$I),"")</f>
        <v>069-01033-0101</v>
      </c>
      <c r="D358" s="19" t="str">
        <f t="array" ref="D358">IFERROR(_xlfn.XLOOKUP($B358,'Histórico'!$B:$B,'Histórico'!$J:$J),"")</f>
        <v>22373</v>
      </c>
      <c r="E358" s="19" t="str">
        <f t="array" ref="E358">IFERROR(_xlfn.XLOOKUP($B358,'Histórico'!$B:$B,'Histórico'!$K:$K),"")</f>
        <v>RECEIVER-TRANSMITTER,RADIO</v>
      </c>
      <c r="F358" s="52" t="str">
        <f t="array" ref="F358">IFERROR(_xlfn.XLOOKUP($B358,'Histórico'!$B:$B,'Histórico'!$L:$L),"")</f>
        <v>4155</v>
      </c>
      <c r="G358" s="49" t="str">
        <f t="array" ref="G358">IFERROR(_xlfn.XLOOKUP($B358,'Histórico'!$B:$B,'Histórico'!$F:$F),"")</f>
        <v>30/04/2026</v>
      </c>
      <c r="H358" s="19" t="str">
        <f t="array" ref="H358">IFERROR(_xlfn.XLOOKUP($B358,'Histórico'!$B:$B,'Histórico'!$AA:$AA),"")</f>
        <v>PAMALS</v>
      </c>
      <c r="I358" s="19" t="str">
        <f t="array" ref="I358">IFERROR(_xlfn.XLOOKUP($B358,Atual!$B:$B,Atual!$E:$E),"OS concluída")</f>
        <v>REC</v>
      </c>
      <c r="J358" s="19">
        <f t="shared" si="1"/>
        <v>168</v>
      </c>
      <c r="K358" s="19"/>
      <c r="L358" s="19">
        <f t="shared" si="2"/>
        <v>8</v>
      </c>
      <c r="M358" s="19"/>
      <c r="N358" s="49">
        <f t="array" ref="N358">IFERROR(_xlfn.XLOOKUP($B358,EMPRESA_1!A:A,EMPRESA_1!J:J),"")</f>
        <v>46150</v>
      </c>
      <c r="O358" s="50" t="str">
        <f t="array" ref="O358">IFERROR(_xlfn.XLOOKUP(B358,EMPRESA_1!A:A,EMPRESA_1!K:K),"")
</f>
        <v>BANT</v>
      </c>
      <c r="P358" s="19" t="str">
        <f t="array" ref="P358">IFERROR(_xlfn.XLOOKUP(B358,EMPRESA_1!A:A,EMPRESA_1!L:L),"")</f>
        <v>355/FAB/26</v>
      </c>
      <c r="Q358" s="49">
        <f t="array" ref="Q358">IFERROR(_xlfn.XLOOKUP(B358,EMPRESA_1!A:A,EMPRESA_1!J:J),"")</f>
        <v>46150</v>
      </c>
      <c r="R358" s="19" t="str">
        <f t="array" ref="R358">IFERROR(_xlfn.XLOOKUP(B358,EMPRESA_1!A:A,EMPRESA_1!M:M),"")</f>
        <v/>
      </c>
      <c r="S358" s="51"/>
      <c r="T358" s="51" t="str">
        <f t="array" ref="T358">IFERROR(_xlfn.XLOOKUP($F358,'Acerto virtual'!$E:$E,'Acerto virtual'!F:F),"")</f>
        <v/>
      </c>
      <c r="U358" s="51" t="str">
        <f t="array" ref="U358">IFERROR(_xlfn.XLOOKUP($F358,'Acerto virtual'!$E:$E,'Acerto virtual'!G:G),"")</f>
        <v/>
      </c>
      <c r="V358" s="51" t="str">
        <f t="array" ref="V358">IFERROR(_xlfn.XLOOKUP($F358,'Acerto virtual'!$E:$E,'Acerto virtual'!H:H),"")</f>
        <v/>
      </c>
      <c r="W358" s="51" t="str">
        <f t="array" ref="W358">IFERROR(_xlfn.XLOOKUP($F358,'Acerto virtual'!$E:$E,'Acerto virtual'!I:I),"")</f>
        <v/>
      </c>
      <c r="X358" s="51" t="str">
        <f t="array" ref="X358">IFERROR(_xlfn.XLOOKUP($F358,'Acerto virtual'!$E:$E,'Acerto virtual'!J:J),"")</f>
        <v/>
      </c>
      <c r="Y358" s="51" t="str">
        <f t="array" ref="Y358">IFERROR(_xlfn.XLOOKUP($F358,'Acerto virtual'!$E:$E,'Acerto virtual'!K:K),"")</f>
        <v/>
      </c>
      <c r="Z358" s="51" t="str">
        <f t="array" ref="Z358">IFERROR(_xlfn.XLOOKUP($F358,'Acerto virtual'!$E:$E,'Acerto virtual'!L:L),"")</f>
        <v/>
      </c>
      <c r="AA358" s="51" t="str">
        <f t="array" ref="AA358">IFERROR(_xlfn.XLOOKUP($F358,'Acerto virtual'!$E:$E,'Acerto virtual'!M:M),"")</f>
        <v/>
      </c>
      <c r="AB358" s="51" t="str">
        <f t="array" ref="AB358">IFERROR(_xlfn.XLOOKUP($F358,'Acerto virtual'!$E:$E,'Acerto virtual'!N:N),"")</f>
        <v/>
      </c>
      <c r="AC358" s="51" t="str">
        <f t="array" ref="AC358">IFERROR(_xlfn.XLOOKUP($F358,'Acerto virtual'!$E:$E,'Acerto virtual'!O:O),"")</f>
        <v/>
      </c>
      <c r="AD358" s="51" t="str">
        <f t="array" ref="AD358">IFERROR(_xlfn.XLOOKUP($F358,'Acerto virtual'!$E:$E,'Acerto virtual'!P:P),"")</f>
        <v/>
      </c>
      <c r="AE358" s="51" t="str">
        <f t="array" ref="AE358">IFERROR(_xlfn.XLOOKUP($F358,'Acerto virtual'!$E:$E,'Acerto virtual'!Q:Q),"")</f>
        <v/>
      </c>
      <c r="AF358" s="51" t="str">
        <f t="array" ref="AF358">IFERROR(_xlfn.XLOOKUP($F358,'Acerto virtual'!$E:$E,'Acerto virtual'!R:R),"")</f>
        <v/>
      </c>
      <c r="AG358" s="51" t="str">
        <f t="array" ref="AG358">IFERROR(_xlfn.XLOOKUP($F358,'Acerto virtual'!$E:$E,'Acerto virtual'!S:S),"")</f>
        <v/>
      </c>
      <c r="AH358" s="51" t="str">
        <f t="array" ref="AH358">IFERROR(_xlfn.XLOOKUP($F358,'Acerto virtual'!$E:$E,'Acerto virtual'!T:T),"")</f>
        <v/>
      </c>
      <c r="AI358" s="51" t="str">
        <f t="array" ref="AI358">IFERROR(_xlfn.XLOOKUP($F358,'Acerto virtual'!$E:$E,'Acerto virtual'!U:U),"")</f>
        <v/>
      </c>
    </row>
    <row r="359" hidden="1">
      <c r="A359" s="47" t="s">
        <v>1038</v>
      </c>
      <c r="B359" s="53" t="s">
        <v>1039</v>
      </c>
      <c r="C359" s="19" t="str">
        <f t="array" ref="C359">IFERROR(_xlfn.XLOOKUP($B359,'Histórico'!$B:$B,'Histórico'!$I:$I),"")</f>
        <v>060-0017-00</v>
      </c>
      <c r="D359" s="19" t="str">
        <f t="array" ref="D359">IFERROR(_xlfn.XLOOKUP($B359,'Histórico'!$B:$B,'Histórico'!$J:$J),"")</f>
        <v>22373</v>
      </c>
      <c r="E359" s="19" t="str">
        <f t="array" ref="E359">IFERROR(_xlfn.XLOOKUP($B359,'Histórico'!$B:$B,'Histórico'!$K:$K),"")</f>
        <v>FLIGHT DIR HOR</v>
      </c>
      <c r="F359" s="19" t="str">
        <f t="array" ref="F359">IFERROR(_xlfn.XLOOKUP($B359,'Histórico'!$B:$B,'Histórico'!$L:$L),"")</f>
        <v>18685</v>
      </c>
      <c r="G359" s="49" t="str">
        <f t="array" ref="G359">IFERROR(_xlfn.XLOOKUP($B359,'Histórico'!$B:$B,'Histórico'!$F:$F),"")</f>
        <v>30/04/2026</v>
      </c>
      <c r="H359" s="19" t="str">
        <f t="array" ref="H359">IFERROR(_xlfn.XLOOKUP($B359,'Histórico'!$B:$B,'Histórico'!$AA:$AA),"")</f>
        <v>BACG</v>
      </c>
      <c r="I359" s="19" t="str">
        <f t="array" ref="I359">IFERROR(_xlfn.XLOOKUP($B359,Atual!$B:$B,Atual!$E:$E),"OS concluída")</f>
        <v>OS concluída</v>
      </c>
      <c r="J359" s="19" t="str">
        <f t="shared" si="1"/>
        <v/>
      </c>
      <c r="K359" s="19"/>
      <c r="L359" s="19" t="str">
        <f t="shared" si="2"/>
        <v/>
      </c>
      <c r="M359" s="19"/>
      <c r="N359" s="49" t="str">
        <f t="array" ref="N359">IFERROR(_xlfn.XLOOKUP($B359,Empresa!G:G,Empresa!K:K),"")</f>
        <v/>
      </c>
      <c r="O359" s="50" t="str">
        <f t="array" ref="O359">IFERROR(_xlfn.XLOOKUP(B359,EMPRESA_1!A:A,EMPRESA_1!K:K),"")
</f>
        <v>BABR</v>
      </c>
      <c r="P359" s="19" t="str">
        <f t="array" ref="P359">IFERROR(_xlfn.XLOOKUP(B359,EMPRESA_1!A:A,EMPRESA_1!L:L),"")</f>
        <v>447/FAB/26</v>
      </c>
      <c r="Q359" s="49">
        <f t="array" ref="Q359">IFERROR(_xlfn.XLOOKUP(B359,EMPRESA_1!A:A,EMPRESA_1!J:J),"")</f>
        <v>46176</v>
      </c>
      <c r="R359" s="19" t="str">
        <f t="array" ref="R359">IFERROR(_xlfn.XLOOKUP(B359,EMPRESA_1!A:A,EMPRESA_1!M:M),"")</f>
        <v/>
      </c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</row>
    <row r="360">
      <c r="A360" s="47" t="s">
        <v>1040</v>
      </c>
      <c r="B360" s="53" t="s">
        <v>1041</v>
      </c>
      <c r="C360" s="48" t="str">
        <f t="array" ref="C360">IFERROR(_xlfn.XLOOKUP($B360,'Histórico'!$B:$B,'Histórico'!$I:$I),"")</f>
        <v>011-00916-10</v>
      </c>
      <c r="D360" s="19" t="str">
        <f t="array" ref="D360">IFERROR(_xlfn.XLOOKUP($B360,'Histórico'!$B:$B,'Histórico'!$J:$J),"")</f>
        <v>0TRC3</v>
      </c>
      <c r="E360" s="19" t="str">
        <f t="array" ref="E360">IFERROR(_xlfn.XLOOKUP($B360,'Histórico'!$B:$B,'Histórico'!$K:$K),"")</f>
        <v>DISPLAY UNIT,FLIGHT INFORMATION</v>
      </c>
      <c r="F360" s="19" t="str">
        <f t="array" ref="F360">IFERROR(_xlfn.XLOOKUP($B360,'Histórico'!$B:$B,'Histórico'!$L:$L),"")</f>
        <v>86815595</v>
      </c>
      <c r="G360" s="49" t="str">
        <f t="array" ref="G360">IFERROR(_xlfn.XLOOKUP($B360,'Histórico'!$B:$B,'Histórico'!$F:$F),"")</f>
        <v>30/04/2026</v>
      </c>
      <c r="H360" s="19" t="str">
        <f t="array" ref="H360">IFERROR(_xlfn.XLOOKUP($B360,'Histórico'!$B:$B,'Histórico'!$AA:$AA),"")</f>
        <v>BACO</v>
      </c>
      <c r="I360" s="19" t="str">
        <f t="array" ref="I360">IFERROR(_xlfn.XLOOKUP($B360,Atual!$B:$B,Atual!$E:$E),"OS concluída")</f>
        <v>REC</v>
      </c>
      <c r="J360" s="19">
        <f t="shared" si="1"/>
        <v>168</v>
      </c>
      <c r="K360" s="19"/>
      <c r="L360" s="19">
        <f t="shared" si="2"/>
        <v>85</v>
      </c>
      <c r="M360" s="19"/>
      <c r="N360" s="49">
        <f t="array" ref="N360">IFERROR(_xlfn.XLOOKUP($B360,EMPRESA_1!A:A,EMPRESA_1!J:J),"")</f>
        <v>46227</v>
      </c>
      <c r="O360" s="50" t="str">
        <f t="array" ref="O360">IFERROR(_xlfn.XLOOKUP(B360,EMPRESA_1!A:A,EMPRESA_1!K:K),"")
</f>
        <v>WILLIAM</v>
      </c>
      <c r="P360" s="48" t="str">
        <f t="array" ref="P360">IFERROR(_xlfn.XLOOKUP(B360,EMPRESA_1!A:A,EMPRESA_1!L:L),"")</f>
        <v/>
      </c>
      <c r="Q360" s="49">
        <f t="array" ref="Q360">IFERROR(_xlfn.XLOOKUP(B360,EMPRESA_1!A:A,EMPRESA_1!J:J),"")</f>
        <v>46227</v>
      </c>
      <c r="R360" s="19" t="str">
        <f t="array" ref="R360">IFERROR(_xlfn.XLOOKUP(B360,EMPRESA_1!A:A,EMPRESA_1!M:M),"")</f>
        <v/>
      </c>
      <c r="S360" s="51"/>
      <c r="T360" s="51" t="str">
        <f t="array" ref="T360">IFERROR(_xlfn.XLOOKUP($F360,'Acerto virtual'!$E:$E,'Acerto virtual'!F:F),"")</f>
        <v/>
      </c>
      <c r="U360" s="51" t="str">
        <f t="array" ref="U360">IFERROR(_xlfn.XLOOKUP($F360,'Acerto virtual'!$E:$E,'Acerto virtual'!G:G),"")</f>
        <v/>
      </c>
      <c r="V360" s="51" t="str">
        <f t="array" ref="V360">IFERROR(_xlfn.XLOOKUP($F360,'Acerto virtual'!$E:$E,'Acerto virtual'!H:H),"")</f>
        <v/>
      </c>
      <c r="W360" s="51" t="str">
        <f t="array" ref="W360">IFERROR(_xlfn.XLOOKUP($F360,'Acerto virtual'!$E:$E,'Acerto virtual'!I:I),"")</f>
        <v/>
      </c>
      <c r="X360" s="51" t="str">
        <f t="array" ref="X360">IFERROR(_xlfn.XLOOKUP($F360,'Acerto virtual'!$E:$E,'Acerto virtual'!J:J),"")</f>
        <v/>
      </c>
      <c r="Y360" s="51" t="str">
        <f t="array" ref="Y360">IFERROR(_xlfn.XLOOKUP($F360,'Acerto virtual'!$E:$E,'Acerto virtual'!K:K),"")</f>
        <v/>
      </c>
      <c r="Z360" s="51" t="str">
        <f t="array" ref="Z360">IFERROR(_xlfn.XLOOKUP($F360,'Acerto virtual'!$E:$E,'Acerto virtual'!L:L),"")</f>
        <v/>
      </c>
      <c r="AA360" s="51" t="str">
        <f t="array" ref="AA360">IFERROR(_xlfn.XLOOKUP($F360,'Acerto virtual'!$E:$E,'Acerto virtual'!M:M),"")</f>
        <v/>
      </c>
      <c r="AB360" s="51" t="str">
        <f t="array" ref="AB360">IFERROR(_xlfn.XLOOKUP($F360,'Acerto virtual'!$E:$E,'Acerto virtual'!N:N),"")</f>
        <v/>
      </c>
      <c r="AC360" s="51" t="str">
        <f t="array" ref="AC360">IFERROR(_xlfn.XLOOKUP($F360,'Acerto virtual'!$E:$E,'Acerto virtual'!O:O),"")</f>
        <v/>
      </c>
      <c r="AD360" s="51" t="str">
        <f t="array" ref="AD360">IFERROR(_xlfn.XLOOKUP($F360,'Acerto virtual'!$E:$E,'Acerto virtual'!P:P),"")</f>
        <v/>
      </c>
      <c r="AE360" s="51" t="str">
        <f t="array" ref="AE360">IFERROR(_xlfn.XLOOKUP($F360,'Acerto virtual'!$E:$E,'Acerto virtual'!Q:Q),"")</f>
        <v/>
      </c>
      <c r="AF360" s="51" t="str">
        <f t="array" ref="AF360">IFERROR(_xlfn.XLOOKUP($F360,'Acerto virtual'!$E:$E,'Acerto virtual'!R:R),"")</f>
        <v/>
      </c>
      <c r="AG360" s="51" t="str">
        <f t="array" ref="AG360">IFERROR(_xlfn.XLOOKUP($F360,'Acerto virtual'!$E:$E,'Acerto virtual'!S:S),"")</f>
        <v/>
      </c>
      <c r="AH360" s="51" t="str">
        <f t="array" ref="AH360">IFERROR(_xlfn.XLOOKUP($F360,'Acerto virtual'!$E:$E,'Acerto virtual'!T:T),"")</f>
        <v/>
      </c>
      <c r="AI360" s="51" t="str">
        <f t="array" ref="AI360">IFERROR(_xlfn.XLOOKUP($F360,'Acerto virtual'!$E:$E,'Acerto virtual'!U:U),"")</f>
        <v/>
      </c>
    </row>
    <row r="361" hidden="1">
      <c r="A361" s="47" t="s">
        <v>1042</v>
      </c>
      <c r="B361" s="53" t="s">
        <v>1043</v>
      </c>
      <c r="C361" s="48" t="str">
        <f t="array" ref="C361">IFERROR(_xlfn.XLOOKUP($B361,'Histórico'!$B:$B,'Histórico'!$I:$I),"")</f>
        <v>011-00916-10</v>
      </c>
      <c r="D361" s="19" t="str">
        <f t="array" ref="D361">IFERROR(_xlfn.XLOOKUP($B361,'Histórico'!$B:$B,'Histórico'!$J:$J),"")</f>
        <v>0TRC3</v>
      </c>
      <c r="E361" s="19" t="str">
        <f t="array" ref="E361">IFERROR(_xlfn.XLOOKUP($B361,'Histórico'!$B:$B,'Histórico'!$K:$K),"")</f>
        <v>DISPLAY UNIT,FLIGHT INFORMATION</v>
      </c>
      <c r="F361" s="19" t="str">
        <f t="array" ref="F361">IFERROR(_xlfn.XLOOKUP($B361,'Histórico'!$B:$B,'Histórico'!$L:$L),"")</f>
        <v>86816588</v>
      </c>
      <c r="G361" s="49" t="str">
        <f t="array" ref="G361">IFERROR(_xlfn.XLOOKUP($B361,'Histórico'!$B:$B,'Histórico'!$F:$F),"")</f>
        <v>30/04/2026</v>
      </c>
      <c r="H361" s="19" t="str">
        <f t="array" ref="H361">IFERROR(_xlfn.XLOOKUP($B361,'Histórico'!$B:$B,'Histórico'!$AA:$AA),"")</f>
        <v>BACO</v>
      </c>
      <c r="I361" s="19" t="str">
        <f t="array" ref="I361">IFERROR(_xlfn.XLOOKUP($B361,Atual!$B:$B,Atual!$E:$E),"OS concluída")</f>
        <v>OS concluída</v>
      </c>
      <c r="J361" s="19" t="str">
        <f t="shared" si="1"/>
        <v/>
      </c>
      <c r="K361" s="19"/>
      <c r="L361" s="19">
        <f t="shared" si="2"/>
        <v>85</v>
      </c>
      <c r="M361" s="19"/>
      <c r="N361" s="49">
        <f t="array" ref="N361">IFERROR(_xlfn.XLOOKUP($B361,EMPRESA_1!A:A,EMPRESA_1!J:J),"")</f>
        <v>46227</v>
      </c>
      <c r="O361" s="50" t="str">
        <f t="array" ref="O361">IFERROR(_xlfn.XLOOKUP(B361,EMPRESA_1!A:A,EMPRESA_1!K:K),"")
</f>
        <v>BAMN</v>
      </c>
      <c r="P361" s="48" t="str">
        <f t="array" ref="P361">IFERROR(_xlfn.XLOOKUP(B361,EMPRESA_1!A:A,EMPRESA_1!L:L),"")</f>
        <v>645/FAB/26</v>
      </c>
      <c r="Q361" s="49">
        <f t="array" ref="Q361">IFERROR(_xlfn.XLOOKUP(B361,EMPRESA_1!A:A,EMPRESA_1!J:J),"")</f>
        <v>46227</v>
      </c>
      <c r="R361" s="19" t="str">
        <f t="array" ref="R361">IFERROR(_xlfn.XLOOKUP(B361,EMPRESA_1!A:A,EMPRESA_1!M:M),"")</f>
        <v/>
      </c>
      <c r="S361" s="51"/>
      <c r="T361" s="51" t="str">
        <f t="array" ref="T361">IFERROR(_xlfn.XLOOKUP($F361,'Acerto virtual'!$E:$E,'Acerto virtual'!F:F),"")</f>
        <v>089/2026</v>
      </c>
      <c r="U361" s="51" t="str">
        <f t="array" ref="U361">IFERROR(_xlfn.XLOOKUP($F361,'Acerto virtual'!$E:$E,'Acerto virtual'!G:G),"")</f>
        <v>07/08</v>
      </c>
      <c r="V361" s="51" t="str">
        <f t="array" ref="V361">IFERROR(_xlfn.XLOOKUP($F361,'Acerto virtual'!$E:$E,'Acerto virtual'!H:H),"")</f>
        <v>07/08</v>
      </c>
      <c r="W361" s="51" t="str">
        <f t="array" ref="W361">IFERROR(_xlfn.XLOOKUP($F361,'Acerto virtual'!$E:$E,'Acerto virtual'!I:I),"")</f>
        <v/>
      </c>
      <c r="X361" s="51" t="str">
        <f t="array" ref="X361">IFERROR(_xlfn.XLOOKUP($F361,'Acerto virtual'!$E:$E,'Acerto virtual'!J:J),"")</f>
        <v>10/08, 12/08</v>
      </c>
      <c r="Y361" s="51" t="str">
        <f t="array" ref="Y361">IFERROR(_xlfn.XLOOKUP($F361,'Acerto virtual'!$E:$E,'Acerto virtual'!K:K),"")</f>
        <v>17/08</v>
      </c>
      <c r="Z361" s="51" t="str">
        <f t="array" ref="Z361">IFERROR(_xlfn.XLOOKUP($F361,'Acerto virtual'!$E:$E,'Acerto virtual'!L:L),"")</f>
        <v>17/08</v>
      </c>
      <c r="AA361" s="51" t="str">
        <f t="array" ref="AA361">IFERROR(_xlfn.XLOOKUP($F361,'Acerto virtual'!$E:$E,'Acerto virtual'!M:M),"")</f>
        <v>17/08</v>
      </c>
      <c r="AB361" s="51" t="str">
        <f t="array" ref="AB361">IFERROR(_xlfn.XLOOKUP($F361,'Acerto virtual'!$E:$E,'Acerto virtual'!N:N),"")</f>
        <v>17/08</v>
      </c>
      <c r="AC361" s="51" t="str">
        <f t="array" ref="AC361">IFERROR(_xlfn.XLOOKUP($F361,'Acerto virtual'!$E:$E,'Acerto virtual'!O:O),"")</f>
        <v>17/08</v>
      </c>
      <c r="AD361" s="51" t="str">
        <f t="array" ref="AD361">IFERROR(_xlfn.XLOOKUP($F361,'Acerto virtual'!$E:$E,'Acerto virtual'!P:P),"")</f>
        <v>17/08</v>
      </c>
      <c r="AE361" s="51" t="str">
        <f t="array" ref="AE361">IFERROR(_xlfn.XLOOKUP($F361,'Acerto virtual'!$E:$E,'Acerto virtual'!Q:Q),"")</f>
        <v>17/08</v>
      </c>
      <c r="AF361" s="51" t="str">
        <f t="array" ref="AF361">IFERROR(_xlfn.XLOOKUP($F361,'Acerto virtual'!$E:$E,'Acerto virtual'!R:R),"")</f>
        <v>18/08</v>
      </c>
      <c r="AG361" s="51" t="str">
        <f t="array" ref="AG361">IFERROR(_xlfn.XLOOKUP($F361,'Acerto virtual'!$E:$E,'Acerto virtual'!S:S),"")</f>
        <v>18/08</v>
      </c>
      <c r="AH361" s="51" t="str">
        <f t="array" ref="AH361">IFERROR(_xlfn.XLOOKUP($F361,'Acerto virtual'!$E:$E,'Acerto virtual'!T:T),"")</f>
        <v>18/08</v>
      </c>
      <c r="AI361" s="51" t="str">
        <f t="array" ref="AI361">IFERROR(_xlfn.XLOOKUP($F361,'Acerto virtual'!$E:$E,'Acerto virtual'!U:U),"")</f>
        <v>RECEBIDO POR 3S SARA</v>
      </c>
    </row>
    <row r="362" hidden="1">
      <c r="A362" s="47" t="s">
        <v>1044</v>
      </c>
      <c r="B362" s="53" t="s">
        <v>1045</v>
      </c>
      <c r="C362" s="48" t="str">
        <f t="array" ref="C362">IFERROR(_xlfn.XLOOKUP($B362,'Histórico'!$B:$B,'Histórico'!$I:$I),"")</f>
        <v>011-00916-10</v>
      </c>
      <c r="D362" s="19" t="str">
        <f t="array" ref="D362">IFERROR(_xlfn.XLOOKUP($B362,'Histórico'!$B:$B,'Histórico'!$J:$J),"")</f>
        <v>0TRC3</v>
      </c>
      <c r="E362" s="19" t="str">
        <f t="array" ref="E362">IFERROR(_xlfn.XLOOKUP($B362,'Histórico'!$B:$B,'Histórico'!$K:$K),"")</f>
        <v>DISPLAY UNIT,FLIGHT INFORMATION</v>
      </c>
      <c r="F362" s="19" t="str">
        <f t="array" ref="F362">IFERROR(_xlfn.XLOOKUP($B362,'Histórico'!$B:$B,'Histórico'!$L:$L),"")</f>
        <v>86815646</v>
      </c>
      <c r="G362" s="49" t="str">
        <f t="array" ref="G362">IFERROR(_xlfn.XLOOKUP($B362,'Histórico'!$B:$B,'Histórico'!$F:$F),"")</f>
        <v>30/04/2026</v>
      </c>
      <c r="H362" s="19" t="str">
        <f t="array" ref="H362">IFERROR(_xlfn.XLOOKUP($B362,'Histórico'!$B:$B,'Histórico'!$AA:$AA),"")</f>
        <v>BAMN</v>
      </c>
      <c r="I362" s="19" t="str">
        <f t="array" ref="I362">IFERROR(_xlfn.XLOOKUP($B362,Atual!$B:$B,Atual!$E:$E),"OS concluída")</f>
        <v>OS concluída</v>
      </c>
      <c r="J362" s="19" t="str">
        <f t="shared" si="1"/>
        <v/>
      </c>
      <c r="K362" s="19"/>
      <c r="L362" s="19">
        <f t="shared" si="2"/>
        <v>63</v>
      </c>
      <c r="M362" s="19"/>
      <c r="N362" s="49">
        <f t="array" ref="N362">IFERROR(_xlfn.XLOOKUP($B362,EMPRESA_1!A:A,EMPRESA_1!J:J),"")</f>
        <v>46205</v>
      </c>
      <c r="O362" s="50" t="str">
        <f t="array" ref="O362">IFERROR(_xlfn.XLOOKUP(B362,EMPRESA_1!A:A,EMPRESA_1!K:K),"")
</f>
        <v/>
      </c>
      <c r="P362" s="48" t="str">
        <f t="array" ref="P362">IFERROR(_xlfn.XLOOKUP(B362,EMPRESA_1!A:A,EMPRESA_1!L:L),"")</f>
        <v/>
      </c>
      <c r="Q362" s="49">
        <f t="array" ref="Q362">IFERROR(_xlfn.XLOOKUP(B362,EMPRESA_1!A:A,EMPRESA_1!J:J),"")</f>
        <v>46205</v>
      </c>
      <c r="R362" s="19" t="str">
        <f t="array" ref="R362">IFERROR(_xlfn.XLOOKUP(B362,EMPRESA_1!A:A,EMPRESA_1!M:M),"")</f>
        <v/>
      </c>
      <c r="S362" s="51"/>
      <c r="T362" s="51" t="str">
        <f t="array" ref="T362">IFERROR(_xlfn.XLOOKUP($F362,'Acerto virtual'!$E:$E,'Acerto virtual'!F:F),"")</f>
        <v>078/2026</v>
      </c>
      <c r="U362" s="51" t="str">
        <f t="array" ref="U362">IFERROR(_xlfn.XLOOKUP($F362,'Acerto virtual'!$E:$E,'Acerto virtual'!G:G),"")</f>
        <v>07/07</v>
      </c>
      <c r="V362" s="51" t="str">
        <f t="array" ref="V362">IFERROR(_xlfn.XLOOKUP($F362,'Acerto virtual'!$E:$E,'Acerto virtual'!H:H),"")</f>
        <v>14/07</v>
      </c>
      <c r="W362" s="51" t="str">
        <f t="array" ref="W362">IFERROR(_xlfn.XLOOKUP($F362,'Acerto virtual'!$E:$E,'Acerto virtual'!I:I),"")</f>
        <v/>
      </c>
      <c r="X362" s="51" t="str">
        <f t="array" ref="X362">IFERROR(_xlfn.XLOOKUP($F362,'Acerto virtual'!$E:$E,'Acerto virtual'!J:J),"")</f>
        <v>15/07</v>
      </c>
      <c r="Y362" s="51" t="str">
        <f t="array" ref="Y362">IFERROR(_xlfn.XLOOKUP($F362,'Acerto virtual'!$E:$E,'Acerto virtual'!K:K),"")</f>
        <v>15/07</v>
      </c>
      <c r="Z362" s="51" t="str">
        <f t="array" ref="Z362">IFERROR(_xlfn.XLOOKUP($F362,'Acerto virtual'!$E:$E,'Acerto virtual'!L:L),"")</f>
        <v>15/07</v>
      </c>
      <c r="AA362" s="51" t="str">
        <f t="array" ref="AA362">IFERROR(_xlfn.XLOOKUP($F362,'Acerto virtual'!$E:$E,'Acerto virtual'!M:M),"")</f>
        <v>15/07</v>
      </c>
      <c r="AB362" s="51" t="str">
        <f t="array" ref="AB362">IFERROR(_xlfn.XLOOKUP($F362,'Acerto virtual'!$E:$E,'Acerto virtual'!N:N),"")</f>
        <v>15/07</v>
      </c>
      <c r="AC362" s="51" t="str">
        <f t="array" ref="AC362">IFERROR(_xlfn.XLOOKUP($F362,'Acerto virtual'!$E:$E,'Acerto virtual'!O:O),"")</f>
        <v>15/07</v>
      </c>
      <c r="AD362" s="51" t="str">
        <f t="array" ref="AD362">IFERROR(_xlfn.XLOOKUP($F362,'Acerto virtual'!$E:$E,'Acerto virtual'!P:P),"")</f>
        <v>16/07</v>
      </c>
      <c r="AE362" s="51" t="str">
        <f t="array" ref="AE362">IFERROR(_xlfn.XLOOKUP($F362,'Acerto virtual'!$E:$E,'Acerto virtual'!Q:Q),"")</f>
        <v>16/07</v>
      </c>
      <c r="AF362" s="51" t="str">
        <f t="array" ref="AF362">IFERROR(_xlfn.XLOOKUP($F362,'Acerto virtual'!$E:$E,'Acerto virtual'!R:R),"")</f>
        <v>16/07</v>
      </c>
      <c r="AG362" s="51" t="str">
        <f t="array" ref="AG362">IFERROR(_xlfn.XLOOKUP($F362,'Acerto virtual'!$E:$E,'Acerto virtual'!S:S),"")</f>
        <v>16/07</v>
      </c>
      <c r="AH362" s="51" t="str">
        <f t="array" ref="AH362">IFERROR(_xlfn.XLOOKUP($F362,'Acerto virtual'!$E:$E,'Acerto virtual'!T:T),"")</f>
        <v>21/07</v>
      </c>
      <c r="AI362" s="51" t="str">
        <f t="array" ref="AI362">IFERROR(_xlfn.XLOOKUP($F362,'Acerto virtual'!$E:$E,'Acerto virtual'!U:U),"")</f>
        <v/>
      </c>
    </row>
    <row r="363">
      <c r="A363" s="47" t="s">
        <v>1046</v>
      </c>
      <c r="B363" s="53" t="s">
        <v>1047</v>
      </c>
      <c r="C363" s="48" t="str">
        <f t="array" ref="C363">IFERROR(_xlfn.XLOOKUP($B363,'Histórico'!$B:$B,'Histórico'!$I:$I),"")</f>
        <v>C661064-0237</v>
      </c>
      <c r="D363" s="19" t="str">
        <f t="array" ref="D363">IFERROR(_xlfn.XLOOKUP($B363,'Histórico'!$B:$B,'Histórico'!$J:$J),"")</f>
        <v>7EK50</v>
      </c>
      <c r="E363" s="19" t="str">
        <f t="array" ref="E363">IFERROR(_xlfn.XLOOKUP($B363,'Histórico'!$B:$B,'Histórico'!$K:$K),"")</f>
        <v>AIRSPEED INDICATOR</v>
      </c>
      <c r="F363" s="19" t="str">
        <f t="array" ref="F363">IFERROR(_xlfn.XLOOKUP($B363,'Histórico'!$B:$B,'Histórico'!$L:$L),"")</f>
        <v>T23740</v>
      </c>
      <c r="G363" s="49" t="str">
        <f t="array" ref="G363">IFERROR(_xlfn.XLOOKUP($B363,'Histórico'!$B:$B,'Histórico'!$F:$F),"")</f>
        <v>30/04/2026</v>
      </c>
      <c r="H363" s="19" t="str">
        <f t="array" ref="H363">IFERROR(_xlfn.XLOOKUP($B363,'Histórico'!$B:$B,'Histórico'!$AA:$AA),"")</f>
        <v>PAMALS</v>
      </c>
      <c r="I363" s="19" t="str">
        <f t="array" ref="I363">IFERROR(_xlfn.XLOOKUP($B363,Atual!$B:$B,Atual!$E:$E),"OS concluída")</f>
        <v>REC</v>
      </c>
      <c r="J363" s="19">
        <f t="shared" si="1"/>
        <v>168</v>
      </c>
      <c r="K363" s="19"/>
      <c r="L363" s="19">
        <f t="shared" si="2"/>
        <v>83</v>
      </c>
      <c r="M363" s="19"/>
      <c r="N363" s="49">
        <f t="array" ref="N363">IFERROR(_xlfn.XLOOKUP($B363,EMPRESA_1!A:A,EMPRESA_1!J:J),"")</f>
        <v>46225</v>
      </c>
      <c r="O363" s="50" t="str">
        <f t="array" ref="O363">IFERROR(_xlfn.XLOOKUP(B363,EMPRESA_1!A:A,EMPRESA_1!K:K),"")
</f>
        <v>PAMA-LS</v>
      </c>
      <c r="P363" s="48" t="str">
        <f t="array" ref="P363">IFERROR(_xlfn.XLOOKUP(B363,EMPRESA_1!A:A,EMPRESA_1!L:L),"")</f>
        <v>623/FAB/26</v>
      </c>
      <c r="Q363" s="49">
        <f t="array" ref="Q363">IFERROR(_xlfn.XLOOKUP(B363,EMPRESA_1!A:A,EMPRESA_1!J:J),"")</f>
        <v>46225</v>
      </c>
      <c r="R363" s="19" t="str">
        <f t="array" ref="R363">IFERROR(_xlfn.XLOOKUP(B363,EMPRESA_1!A:A,EMPRESA_1!M:M),"")</f>
        <v>VAI SER DEVOLVIDO SEM REPARO</v>
      </c>
      <c r="S363" s="51"/>
      <c r="T363" s="51" t="str">
        <f t="array" ref="T363">IFERROR(_xlfn.XLOOKUP($F363,'Acerto virtual'!$E:$E,'Acerto virtual'!F:F),"")</f>
        <v/>
      </c>
      <c r="U363" s="51" t="str">
        <f t="array" ref="U363">IFERROR(_xlfn.XLOOKUP($F363,'Acerto virtual'!$E:$E,'Acerto virtual'!G:G),"")</f>
        <v/>
      </c>
      <c r="V363" s="51" t="str">
        <f t="array" ref="V363">IFERROR(_xlfn.XLOOKUP($F363,'Acerto virtual'!$E:$E,'Acerto virtual'!H:H),"")</f>
        <v/>
      </c>
      <c r="W363" s="51" t="str">
        <f t="array" ref="W363">IFERROR(_xlfn.XLOOKUP($F363,'Acerto virtual'!$E:$E,'Acerto virtual'!I:I),"")</f>
        <v/>
      </c>
      <c r="X363" s="51" t="str">
        <f t="array" ref="X363">IFERROR(_xlfn.XLOOKUP($F363,'Acerto virtual'!$E:$E,'Acerto virtual'!J:J),"")</f>
        <v/>
      </c>
      <c r="Y363" s="51" t="str">
        <f t="array" ref="Y363">IFERROR(_xlfn.XLOOKUP($F363,'Acerto virtual'!$E:$E,'Acerto virtual'!K:K),"")</f>
        <v/>
      </c>
      <c r="Z363" s="51" t="str">
        <f t="array" ref="Z363">IFERROR(_xlfn.XLOOKUP($F363,'Acerto virtual'!$E:$E,'Acerto virtual'!L:L),"")</f>
        <v/>
      </c>
      <c r="AA363" s="51" t="str">
        <f t="array" ref="AA363">IFERROR(_xlfn.XLOOKUP($F363,'Acerto virtual'!$E:$E,'Acerto virtual'!M:M),"")</f>
        <v/>
      </c>
      <c r="AB363" s="51" t="str">
        <f t="array" ref="AB363">IFERROR(_xlfn.XLOOKUP($F363,'Acerto virtual'!$E:$E,'Acerto virtual'!N:N),"")</f>
        <v/>
      </c>
      <c r="AC363" s="51" t="str">
        <f t="array" ref="AC363">IFERROR(_xlfn.XLOOKUP($F363,'Acerto virtual'!$E:$E,'Acerto virtual'!O:O),"")</f>
        <v/>
      </c>
      <c r="AD363" s="51" t="str">
        <f t="array" ref="AD363">IFERROR(_xlfn.XLOOKUP($F363,'Acerto virtual'!$E:$E,'Acerto virtual'!P:P),"")</f>
        <v/>
      </c>
      <c r="AE363" s="51" t="str">
        <f t="array" ref="AE363">IFERROR(_xlfn.XLOOKUP($F363,'Acerto virtual'!$E:$E,'Acerto virtual'!Q:Q),"")</f>
        <v/>
      </c>
      <c r="AF363" s="51" t="str">
        <f t="array" ref="AF363">IFERROR(_xlfn.XLOOKUP($F363,'Acerto virtual'!$E:$E,'Acerto virtual'!R:R),"")</f>
        <v/>
      </c>
      <c r="AG363" s="51" t="str">
        <f t="array" ref="AG363">IFERROR(_xlfn.XLOOKUP($F363,'Acerto virtual'!$E:$E,'Acerto virtual'!S:S),"")</f>
        <v/>
      </c>
      <c r="AH363" s="51" t="str">
        <f t="array" ref="AH363">IFERROR(_xlfn.XLOOKUP($F363,'Acerto virtual'!$E:$E,'Acerto virtual'!T:T),"")</f>
        <v/>
      </c>
      <c r="AI363" s="51" t="str">
        <f t="array" ref="AI363">IFERROR(_xlfn.XLOOKUP($F363,'Acerto virtual'!$E:$E,'Acerto virtual'!U:U),"")</f>
        <v/>
      </c>
    </row>
    <row r="364">
      <c r="A364" s="47" t="s">
        <v>1048</v>
      </c>
      <c r="B364" s="53" t="s">
        <v>1049</v>
      </c>
      <c r="C364" s="48" t="str">
        <f t="array" ref="C364">IFERROR(_xlfn.XLOOKUP($B364,'Histórico'!$B:$B,'Histórico'!$I:$I),"")</f>
        <v>C661064-0237</v>
      </c>
      <c r="D364" s="19" t="str">
        <f t="array" ref="D364">IFERROR(_xlfn.XLOOKUP($B364,'Histórico'!$B:$B,'Histórico'!$J:$J),"")</f>
        <v>7EK50</v>
      </c>
      <c r="E364" s="19" t="str">
        <f t="array" ref="E364">IFERROR(_xlfn.XLOOKUP($B364,'Histórico'!$B:$B,'Histórico'!$K:$K),"")</f>
        <v>AIRSPEED INDICATOR</v>
      </c>
      <c r="F364" s="19" t="str">
        <f t="array" ref="F364">IFERROR(_xlfn.XLOOKUP($B364,'Histórico'!$B:$B,'Histórico'!$L:$L),"")</f>
        <v>T20503</v>
      </c>
      <c r="G364" s="49" t="str">
        <f t="array" ref="G364">IFERROR(_xlfn.XLOOKUP($B364,'Histórico'!$B:$B,'Histórico'!$F:$F),"")</f>
        <v>30/04/2026</v>
      </c>
      <c r="H364" s="19" t="str">
        <f t="array" ref="H364">IFERROR(_xlfn.XLOOKUP($B364,'Histórico'!$B:$B,'Histórico'!$AA:$AA),"")</f>
        <v>PAMALS</v>
      </c>
      <c r="I364" s="19" t="str">
        <f t="array" ref="I364">IFERROR(_xlfn.XLOOKUP($B364,Atual!$B:$B,Atual!$E:$E),"OS concluída")</f>
        <v>REC</v>
      </c>
      <c r="J364" s="19">
        <f t="shared" si="1"/>
        <v>168</v>
      </c>
      <c r="K364" s="19"/>
      <c r="L364" s="19">
        <f t="shared" si="2"/>
        <v>83</v>
      </c>
      <c r="M364" s="19"/>
      <c r="N364" s="49">
        <f t="array" ref="N364">IFERROR(_xlfn.XLOOKUP($B364,EMPRESA_1!A:A,EMPRESA_1!J:J),"")</f>
        <v>46225</v>
      </c>
      <c r="O364" s="50" t="str">
        <f t="array" ref="O364">IFERROR(_xlfn.XLOOKUP(B364,EMPRESA_1!A:A,EMPRESA_1!K:K),"")
</f>
        <v>PAMA-LS</v>
      </c>
      <c r="P364" s="48" t="str">
        <f t="array" ref="P364">IFERROR(_xlfn.XLOOKUP(B364,EMPRESA_1!A:A,EMPRESA_1!L:L),"")</f>
        <v>623/FAB/26</v>
      </c>
      <c r="Q364" s="49">
        <f t="array" ref="Q364">IFERROR(_xlfn.XLOOKUP(B364,EMPRESA_1!A:A,EMPRESA_1!J:J),"")</f>
        <v>46225</v>
      </c>
      <c r="R364" s="19" t="str">
        <f t="array" ref="R364">IFERROR(_xlfn.XLOOKUP(B364,EMPRESA_1!A:A,EMPRESA_1!M:M),"")</f>
        <v/>
      </c>
      <c r="S364" s="51"/>
      <c r="T364" s="51" t="str">
        <f t="array" ref="T364">IFERROR(_xlfn.XLOOKUP($F364,'Acerto virtual'!$E:$E,'Acerto virtual'!F:F),"")</f>
        <v/>
      </c>
      <c r="U364" s="51" t="str">
        <f t="array" ref="U364">IFERROR(_xlfn.XLOOKUP($F364,'Acerto virtual'!$E:$E,'Acerto virtual'!G:G),"")</f>
        <v/>
      </c>
      <c r="V364" s="51" t="str">
        <f t="array" ref="V364">IFERROR(_xlfn.XLOOKUP($F364,'Acerto virtual'!$E:$E,'Acerto virtual'!H:H),"")</f>
        <v/>
      </c>
      <c r="W364" s="51" t="str">
        <f t="array" ref="W364">IFERROR(_xlfn.XLOOKUP($F364,'Acerto virtual'!$E:$E,'Acerto virtual'!I:I),"")</f>
        <v/>
      </c>
      <c r="X364" s="51" t="str">
        <f t="array" ref="X364">IFERROR(_xlfn.XLOOKUP($F364,'Acerto virtual'!$E:$E,'Acerto virtual'!J:J),"")</f>
        <v/>
      </c>
      <c r="Y364" s="51" t="str">
        <f t="array" ref="Y364">IFERROR(_xlfn.XLOOKUP($F364,'Acerto virtual'!$E:$E,'Acerto virtual'!K:K),"")</f>
        <v/>
      </c>
      <c r="Z364" s="51" t="str">
        <f t="array" ref="Z364">IFERROR(_xlfn.XLOOKUP($F364,'Acerto virtual'!$E:$E,'Acerto virtual'!L:L),"")</f>
        <v/>
      </c>
      <c r="AA364" s="51" t="str">
        <f t="array" ref="AA364">IFERROR(_xlfn.XLOOKUP($F364,'Acerto virtual'!$E:$E,'Acerto virtual'!M:M),"")</f>
        <v/>
      </c>
      <c r="AB364" s="51" t="str">
        <f t="array" ref="AB364">IFERROR(_xlfn.XLOOKUP($F364,'Acerto virtual'!$E:$E,'Acerto virtual'!N:N),"")</f>
        <v/>
      </c>
      <c r="AC364" s="51" t="str">
        <f t="array" ref="AC364">IFERROR(_xlfn.XLOOKUP($F364,'Acerto virtual'!$E:$E,'Acerto virtual'!O:O),"")</f>
        <v/>
      </c>
      <c r="AD364" s="51" t="str">
        <f t="array" ref="AD364">IFERROR(_xlfn.XLOOKUP($F364,'Acerto virtual'!$E:$E,'Acerto virtual'!P:P),"")</f>
        <v/>
      </c>
      <c r="AE364" s="51" t="str">
        <f t="array" ref="AE364">IFERROR(_xlfn.XLOOKUP($F364,'Acerto virtual'!$E:$E,'Acerto virtual'!Q:Q),"")</f>
        <v/>
      </c>
      <c r="AF364" s="51" t="str">
        <f t="array" ref="AF364">IFERROR(_xlfn.XLOOKUP($F364,'Acerto virtual'!$E:$E,'Acerto virtual'!R:R),"")</f>
        <v/>
      </c>
      <c r="AG364" s="51" t="str">
        <f t="array" ref="AG364">IFERROR(_xlfn.XLOOKUP($F364,'Acerto virtual'!$E:$E,'Acerto virtual'!S:S),"")</f>
        <v/>
      </c>
      <c r="AH364" s="51" t="str">
        <f t="array" ref="AH364">IFERROR(_xlfn.XLOOKUP($F364,'Acerto virtual'!$E:$E,'Acerto virtual'!T:T),"")</f>
        <v/>
      </c>
      <c r="AI364" s="51" t="str">
        <f t="array" ref="AI364">IFERROR(_xlfn.XLOOKUP($F364,'Acerto virtual'!$E:$E,'Acerto virtual'!U:U),"")</f>
        <v/>
      </c>
    </row>
    <row r="365">
      <c r="A365" s="47" t="s">
        <v>1050</v>
      </c>
      <c r="B365" s="53" t="s">
        <v>1051</v>
      </c>
      <c r="C365" s="48" t="str">
        <f t="array" ref="C365">IFERROR(_xlfn.XLOOKUP($B365,'Histórico'!$B:$B,'Histórico'!$I:$I),"")</f>
        <v>C661064-0237</v>
      </c>
      <c r="D365" s="19" t="str">
        <f t="array" ref="D365">IFERROR(_xlfn.XLOOKUP($B365,'Histórico'!$B:$B,'Histórico'!$J:$J),"")</f>
        <v>7EK50</v>
      </c>
      <c r="E365" s="19" t="str">
        <f t="array" ref="E365">IFERROR(_xlfn.XLOOKUP($B365,'Histórico'!$B:$B,'Histórico'!$K:$K),"")</f>
        <v>AIRSPEED INDICATOR</v>
      </c>
      <c r="F365" s="19" t="str">
        <f t="array" ref="F365">IFERROR(_xlfn.XLOOKUP($B365,'Histórico'!$B:$B,'Histórico'!$L:$L),"")</f>
        <v>T23036</v>
      </c>
      <c r="G365" s="49" t="str">
        <f t="array" ref="G365">IFERROR(_xlfn.XLOOKUP($B365,'Histórico'!$B:$B,'Histórico'!$F:$F),"")</f>
        <v>30/04/2026</v>
      </c>
      <c r="H365" s="19" t="str">
        <f t="array" ref="H365">IFERROR(_xlfn.XLOOKUP($B365,'Histórico'!$B:$B,'Histórico'!$AA:$AA),"")</f>
        <v>BABR</v>
      </c>
      <c r="I365" s="19" t="str">
        <f t="array" ref="I365">IFERROR(_xlfn.XLOOKUP($B365,Atual!$B:$B,Atual!$E:$E),"OS concluída")</f>
        <v>REC</v>
      </c>
      <c r="J365" s="19">
        <f t="shared" si="1"/>
        <v>168</v>
      </c>
      <c r="K365" s="19"/>
      <c r="L365" s="19" t="str">
        <f t="shared" si="2"/>
        <v>NÃO APLICÁVEL</v>
      </c>
      <c r="M365" s="19"/>
      <c r="N365" s="49" t="str">
        <f t="array" ref="N365">IFERROR(_xlfn.XLOOKUP($B365,EMPRESA_1!A:A,EMPRESA_1!J:J),"")</f>
        <v>EM REPARO</v>
      </c>
      <c r="O365" s="50" t="str">
        <f t="array" ref="O365">IFERROR(_xlfn.XLOOKUP(B365,EMPRESA_1!A:A,EMPRESA_1!K:K),"")
</f>
        <v>WILLIAM</v>
      </c>
      <c r="P365" s="48" t="str">
        <f t="array" ref="P365">IFERROR(_xlfn.XLOOKUP(B365,EMPRESA_1!A:A,EMPRESA_1!L:L),"")</f>
        <v/>
      </c>
      <c r="Q365" s="49" t="str">
        <f t="array" ref="Q365">IFERROR(_xlfn.XLOOKUP(B365,EMPRESA_1!A:A,EMPRESA_1!J:J),"")</f>
        <v>EM REPARO</v>
      </c>
      <c r="R365" s="19" t="str">
        <f t="array" ref="R365">IFERROR(_xlfn.XLOOKUP(B365,EMPRESA_1!A:A,EMPRESA_1!M:M),"")</f>
        <v/>
      </c>
      <c r="S365" s="51"/>
      <c r="T365" s="51" t="str">
        <f t="array" ref="T365">IFERROR(_xlfn.XLOOKUP($F365,'Acerto virtual'!$E:$E,'Acerto virtual'!F:F),"")</f>
        <v/>
      </c>
      <c r="U365" s="51" t="str">
        <f t="array" ref="U365">IFERROR(_xlfn.XLOOKUP($F365,'Acerto virtual'!$E:$E,'Acerto virtual'!G:G),"")</f>
        <v/>
      </c>
      <c r="V365" s="51" t="str">
        <f t="array" ref="V365">IFERROR(_xlfn.XLOOKUP($F365,'Acerto virtual'!$E:$E,'Acerto virtual'!H:H),"")</f>
        <v/>
      </c>
      <c r="W365" s="51" t="str">
        <f t="array" ref="W365">IFERROR(_xlfn.XLOOKUP($F365,'Acerto virtual'!$E:$E,'Acerto virtual'!I:I),"")</f>
        <v/>
      </c>
      <c r="X365" s="51" t="str">
        <f t="array" ref="X365">IFERROR(_xlfn.XLOOKUP($F365,'Acerto virtual'!$E:$E,'Acerto virtual'!J:J),"")</f>
        <v/>
      </c>
      <c r="Y365" s="51" t="str">
        <f t="array" ref="Y365">IFERROR(_xlfn.XLOOKUP($F365,'Acerto virtual'!$E:$E,'Acerto virtual'!K:K),"")</f>
        <v/>
      </c>
      <c r="Z365" s="51" t="str">
        <f t="array" ref="Z365">IFERROR(_xlfn.XLOOKUP($F365,'Acerto virtual'!$E:$E,'Acerto virtual'!L:L),"")</f>
        <v/>
      </c>
      <c r="AA365" s="51" t="str">
        <f t="array" ref="AA365">IFERROR(_xlfn.XLOOKUP($F365,'Acerto virtual'!$E:$E,'Acerto virtual'!M:M),"")</f>
        <v/>
      </c>
      <c r="AB365" s="51" t="str">
        <f t="array" ref="AB365">IFERROR(_xlfn.XLOOKUP($F365,'Acerto virtual'!$E:$E,'Acerto virtual'!N:N),"")</f>
        <v/>
      </c>
      <c r="AC365" s="51" t="str">
        <f t="array" ref="AC365">IFERROR(_xlfn.XLOOKUP($F365,'Acerto virtual'!$E:$E,'Acerto virtual'!O:O),"")</f>
        <v/>
      </c>
      <c r="AD365" s="51" t="str">
        <f t="array" ref="AD365">IFERROR(_xlfn.XLOOKUP($F365,'Acerto virtual'!$E:$E,'Acerto virtual'!P:P),"")</f>
        <v/>
      </c>
      <c r="AE365" s="51" t="str">
        <f t="array" ref="AE365">IFERROR(_xlfn.XLOOKUP($F365,'Acerto virtual'!$E:$E,'Acerto virtual'!Q:Q),"")</f>
        <v/>
      </c>
      <c r="AF365" s="51" t="str">
        <f t="array" ref="AF365">IFERROR(_xlfn.XLOOKUP($F365,'Acerto virtual'!$E:$E,'Acerto virtual'!R:R),"")</f>
        <v/>
      </c>
      <c r="AG365" s="51" t="str">
        <f t="array" ref="AG365">IFERROR(_xlfn.XLOOKUP($F365,'Acerto virtual'!$E:$E,'Acerto virtual'!S:S),"")</f>
        <v/>
      </c>
      <c r="AH365" s="51" t="str">
        <f t="array" ref="AH365">IFERROR(_xlfn.XLOOKUP($F365,'Acerto virtual'!$E:$E,'Acerto virtual'!T:T),"")</f>
        <v/>
      </c>
      <c r="AI365" s="51" t="str">
        <f t="array" ref="AI365">IFERROR(_xlfn.XLOOKUP($F365,'Acerto virtual'!$E:$E,'Acerto virtual'!U:U),"")</f>
        <v/>
      </c>
    </row>
    <row r="366">
      <c r="A366" s="47" t="s">
        <v>1052</v>
      </c>
      <c r="B366" s="53" t="s">
        <v>1053</v>
      </c>
      <c r="C366" s="48" t="str">
        <f t="array" ref="C366">IFERROR(_xlfn.XLOOKUP($B366,'Histórico'!$B:$B,'Histórico'!$I:$I),"")</f>
        <v>C661064-0237</v>
      </c>
      <c r="D366" s="19" t="str">
        <f t="array" ref="D366">IFERROR(_xlfn.XLOOKUP($B366,'Histórico'!$B:$B,'Histórico'!$J:$J),"")</f>
        <v>7EK50</v>
      </c>
      <c r="E366" s="19" t="str">
        <f t="array" ref="E366">IFERROR(_xlfn.XLOOKUP($B366,'Histórico'!$B:$B,'Histórico'!$K:$K),"")</f>
        <v>AIRSPEED INDICATOR</v>
      </c>
      <c r="F366" s="19" t="str">
        <f t="array" ref="F366">IFERROR(_xlfn.XLOOKUP($B366,'Histórico'!$B:$B,'Histórico'!$L:$L),"")</f>
        <v>T25488</v>
      </c>
      <c r="G366" s="49" t="str">
        <f t="array" ref="G366">IFERROR(_xlfn.XLOOKUP($B366,'Histórico'!$B:$B,'Histórico'!$F:$F),"")</f>
        <v>30/04/2026</v>
      </c>
      <c r="H366" s="19" t="str">
        <f t="array" ref="H366">IFERROR(_xlfn.XLOOKUP($B366,'Histórico'!$B:$B,'Histórico'!$AA:$AA),"")</f>
        <v>BABR</v>
      </c>
      <c r="I366" s="19" t="str">
        <f t="array" ref="I366">IFERROR(_xlfn.XLOOKUP($B366,Atual!$B:$B,Atual!$E:$E),"OS concluída")</f>
        <v>REC</v>
      </c>
      <c r="J366" s="19">
        <f t="shared" si="1"/>
        <v>168</v>
      </c>
      <c r="K366" s="19"/>
      <c r="L366" s="19" t="str">
        <f t="shared" si="2"/>
        <v>NÃO APLICÁVEL</v>
      </c>
      <c r="M366" s="19"/>
      <c r="N366" s="49" t="str">
        <f t="array" ref="N366">IFERROR(_xlfn.XLOOKUP($B366,EMPRESA_1!A:A,EMPRESA_1!J:J),"")</f>
        <v>EM REPARO</v>
      </c>
      <c r="O366" s="50" t="str">
        <f t="array" ref="O366">IFERROR(_xlfn.XLOOKUP(B366,EMPRESA_1!A:A,EMPRESA_1!K:K),"")
</f>
        <v>WILLIAM</v>
      </c>
      <c r="P366" s="48" t="str">
        <f t="array" ref="P366">IFERROR(_xlfn.XLOOKUP(B366,EMPRESA_1!A:A,EMPRESA_1!L:L),"")</f>
        <v/>
      </c>
      <c r="Q366" s="49" t="str">
        <f t="array" ref="Q366">IFERROR(_xlfn.XLOOKUP(B366,EMPRESA_1!A:A,EMPRESA_1!J:J),"")</f>
        <v>EM REPARO</v>
      </c>
      <c r="R366" s="19" t="str">
        <f t="array" ref="R366">IFERROR(_xlfn.XLOOKUP(B366,EMPRESA_1!A:A,EMPRESA_1!M:M),"")</f>
        <v/>
      </c>
      <c r="S366" s="51"/>
      <c r="T366" s="51" t="str">
        <f t="array" ref="T366">IFERROR(_xlfn.XLOOKUP($F366,'Acerto virtual'!$E:$E,'Acerto virtual'!F:F),"")</f>
        <v/>
      </c>
      <c r="U366" s="51" t="str">
        <f t="array" ref="U366">IFERROR(_xlfn.XLOOKUP($F366,'Acerto virtual'!$E:$E,'Acerto virtual'!G:G),"")</f>
        <v/>
      </c>
      <c r="V366" s="51" t="str">
        <f t="array" ref="V366">IFERROR(_xlfn.XLOOKUP($F366,'Acerto virtual'!$E:$E,'Acerto virtual'!H:H),"")</f>
        <v/>
      </c>
      <c r="W366" s="51" t="str">
        <f t="array" ref="W366">IFERROR(_xlfn.XLOOKUP($F366,'Acerto virtual'!$E:$E,'Acerto virtual'!I:I),"")</f>
        <v/>
      </c>
      <c r="X366" s="51" t="str">
        <f t="array" ref="X366">IFERROR(_xlfn.XLOOKUP($F366,'Acerto virtual'!$E:$E,'Acerto virtual'!J:J),"")</f>
        <v/>
      </c>
      <c r="Y366" s="51" t="str">
        <f t="array" ref="Y366">IFERROR(_xlfn.XLOOKUP($F366,'Acerto virtual'!$E:$E,'Acerto virtual'!K:K),"")</f>
        <v/>
      </c>
      <c r="Z366" s="51" t="str">
        <f t="array" ref="Z366">IFERROR(_xlfn.XLOOKUP($F366,'Acerto virtual'!$E:$E,'Acerto virtual'!L:L),"")</f>
        <v/>
      </c>
      <c r="AA366" s="51" t="str">
        <f t="array" ref="AA366">IFERROR(_xlfn.XLOOKUP($F366,'Acerto virtual'!$E:$E,'Acerto virtual'!M:M),"")</f>
        <v/>
      </c>
      <c r="AB366" s="51" t="str">
        <f t="array" ref="AB366">IFERROR(_xlfn.XLOOKUP($F366,'Acerto virtual'!$E:$E,'Acerto virtual'!N:N),"")</f>
        <v/>
      </c>
      <c r="AC366" s="51" t="str">
        <f t="array" ref="AC366">IFERROR(_xlfn.XLOOKUP($F366,'Acerto virtual'!$E:$E,'Acerto virtual'!O:O),"")</f>
        <v/>
      </c>
      <c r="AD366" s="51" t="str">
        <f t="array" ref="AD366">IFERROR(_xlfn.XLOOKUP($F366,'Acerto virtual'!$E:$E,'Acerto virtual'!P:P),"")</f>
        <v/>
      </c>
      <c r="AE366" s="51" t="str">
        <f t="array" ref="AE366">IFERROR(_xlfn.XLOOKUP($F366,'Acerto virtual'!$E:$E,'Acerto virtual'!Q:Q),"")</f>
        <v/>
      </c>
      <c r="AF366" s="51" t="str">
        <f t="array" ref="AF366">IFERROR(_xlfn.XLOOKUP($F366,'Acerto virtual'!$E:$E,'Acerto virtual'!R:R),"")</f>
        <v/>
      </c>
      <c r="AG366" s="51" t="str">
        <f t="array" ref="AG366">IFERROR(_xlfn.XLOOKUP($F366,'Acerto virtual'!$E:$E,'Acerto virtual'!S:S),"")</f>
        <v/>
      </c>
      <c r="AH366" s="51" t="str">
        <f t="array" ref="AH366">IFERROR(_xlfn.XLOOKUP($F366,'Acerto virtual'!$E:$E,'Acerto virtual'!T:T),"")</f>
        <v/>
      </c>
      <c r="AI366" s="51" t="str">
        <f t="array" ref="AI366">IFERROR(_xlfn.XLOOKUP($F366,'Acerto virtual'!$E:$E,'Acerto virtual'!U:U),"")</f>
        <v/>
      </c>
    </row>
    <row r="367">
      <c r="A367" s="47" t="s">
        <v>1054</v>
      </c>
      <c r="B367" s="53" t="s">
        <v>1055</v>
      </c>
      <c r="C367" s="48" t="str">
        <f t="array" ref="C367">IFERROR(_xlfn.XLOOKUP($B367,'Histórico'!$B:$B,'Histórico'!$I:$I),"")</f>
        <v>C661064-0237</v>
      </c>
      <c r="D367" s="19" t="str">
        <f t="array" ref="D367">IFERROR(_xlfn.XLOOKUP($B367,'Histórico'!$B:$B,'Histórico'!$J:$J),"")</f>
        <v>7EK50</v>
      </c>
      <c r="E367" s="19" t="str">
        <f t="array" ref="E367">IFERROR(_xlfn.XLOOKUP($B367,'Histórico'!$B:$B,'Histórico'!$K:$K),"")</f>
        <v>AIRSPEED INDICATOR</v>
      </c>
      <c r="F367" s="19" t="str">
        <f t="array" ref="F367">IFERROR(_xlfn.XLOOKUP($B367,'Histórico'!$B:$B,'Histórico'!$L:$L),"")</f>
        <v>T22974</v>
      </c>
      <c r="G367" s="49" t="str">
        <f t="array" ref="G367">IFERROR(_xlfn.XLOOKUP($B367,'Histórico'!$B:$B,'Histórico'!$F:$F),"")</f>
        <v>30/04/2026</v>
      </c>
      <c r="H367" s="19" t="str">
        <f t="array" ref="H367">IFERROR(_xlfn.XLOOKUP($B367,'Histórico'!$B:$B,'Histórico'!$AA:$AA),"")</f>
        <v>PAMALS</v>
      </c>
      <c r="I367" s="19" t="str">
        <f t="array" ref="I367">IFERROR(_xlfn.XLOOKUP($B367,Atual!$B:$B,Atual!$E:$E),"OS concluída")</f>
        <v>REC</v>
      </c>
      <c r="J367" s="19">
        <f t="shared" si="1"/>
        <v>168</v>
      </c>
      <c r="K367" s="19"/>
      <c r="L367" s="19">
        <f t="shared" si="2"/>
        <v>83</v>
      </c>
      <c r="M367" s="19"/>
      <c r="N367" s="49">
        <f t="array" ref="N367">IFERROR(_xlfn.XLOOKUP($B367,EMPRESA_1!A:A,EMPRESA_1!J:J),"")</f>
        <v>46225</v>
      </c>
      <c r="O367" s="50" t="str">
        <f t="array" ref="O367">IFERROR(_xlfn.XLOOKUP(B367,EMPRESA_1!A:A,EMPRESA_1!K:K),"")
</f>
        <v>PAMA-LS</v>
      </c>
      <c r="P367" s="48" t="str">
        <f t="array" ref="P367">IFERROR(_xlfn.XLOOKUP(B367,EMPRESA_1!A:A,EMPRESA_1!L:L),"")</f>
        <v>623/FAB/26</v>
      </c>
      <c r="Q367" s="49">
        <f t="array" ref="Q367">IFERROR(_xlfn.XLOOKUP(B367,EMPRESA_1!A:A,EMPRESA_1!J:J),"")</f>
        <v>46225</v>
      </c>
      <c r="R367" s="19" t="str">
        <f t="array" ref="R367">IFERROR(_xlfn.XLOOKUP(B367,EMPRESA_1!A:A,EMPRESA_1!M:M),"")</f>
        <v/>
      </c>
      <c r="S367" s="51"/>
      <c r="T367" s="51" t="str">
        <f t="array" ref="T367">IFERROR(_xlfn.XLOOKUP($F367,'Acerto virtual'!$E:$E,'Acerto virtual'!F:F),"")</f>
        <v/>
      </c>
      <c r="U367" s="51" t="str">
        <f t="array" ref="U367">IFERROR(_xlfn.XLOOKUP($F367,'Acerto virtual'!$E:$E,'Acerto virtual'!G:G),"")</f>
        <v/>
      </c>
      <c r="V367" s="51" t="str">
        <f t="array" ref="V367">IFERROR(_xlfn.XLOOKUP($F367,'Acerto virtual'!$E:$E,'Acerto virtual'!H:H),"")</f>
        <v/>
      </c>
      <c r="W367" s="51" t="str">
        <f t="array" ref="W367">IFERROR(_xlfn.XLOOKUP($F367,'Acerto virtual'!$E:$E,'Acerto virtual'!I:I),"")</f>
        <v/>
      </c>
      <c r="X367" s="51" t="str">
        <f t="array" ref="X367">IFERROR(_xlfn.XLOOKUP($F367,'Acerto virtual'!$E:$E,'Acerto virtual'!J:J),"")</f>
        <v/>
      </c>
      <c r="Y367" s="51" t="str">
        <f t="array" ref="Y367">IFERROR(_xlfn.XLOOKUP($F367,'Acerto virtual'!$E:$E,'Acerto virtual'!K:K),"")</f>
        <v/>
      </c>
      <c r="Z367" s="51" t="str">
        <f t="array" ref="Z367">IFERROR(_xlfn.XLOOKUP($F367,'Acerto virtual'!$E:$E,'Acerto virtual'!L:L),"")</f>
        <v/>
      </c>
      <c r="AA367" s="51" t="str">
        <f t="array" ref="AA367">IFERROR(_xlfn.XLOOKUP($F367,'Acerto virtual'!$E:$E,'Acerto virtual'!M:M),"")</f>
        <v/>
      </c>
      <c r="AB367" s="51" t="str">
        <f t="array" ref="AB367">IFERROR(_xlfn.XLOOKUP($F367,'Acerto virtual'!$E:$E,'Acerto virtual'!N:N),"")</f>
        <v/>
      </c>
      <c r="AC367" s="51" t="str">
        <f t="array" ref="AC367">IFERROR(_xlfn.XLOOKUP($F367,'Acerto virtual'!$E:$E,'Acerto virtual'!O:O),"")</f>
        <v/>
      </c>
      <c r="AD367" s="51" t="str">
        <f t="array" ref="AD367">IFERROR(_xlfn.XLOOKUP($F367,'Acerto virtual'!$E:$E,'Acerto virtual'!P:P),"")</f>
        <v/>
      </c>
      <c r="AE367" s="51" t="str">
        <f t="array" ref="AE367">IFERROR(_xlfn.XLOOKUP($F367,'Acerto virtual'!$E:$E,'Acerto virtual'!Q:Q),"")</f>
        <v/>
      </c>
      <c r="AF367" s="51" t="str">
        <f t="array" ref="AF367">IFERROR(_xlfn.XLOOKUP($F367,'Acerto virtual'!$E:$E,'Acerto virtual'!R:R),"")</f>
        <v/>
      </c>
      <c r="AG367" s="51" t="str">
        <f t="array" ref="AG367">IFERROR(_xlfn.XLOOKUP($F367,'Acerto virtual'!$E:$E,'Acerto virtual'!S:S),"")</f>
        <v/>
      </c>
      <c r="AH367" s="51" t="str">
        <f t="array" ref="AH367">IFERROR(_xlfn.XLOOKUP($F367,'Acerto virtual'!$E:$E,'Acerto virtual'!T:T),"")</f>
        <v/>
      </c>
      <c r="AI367" s="51" t="str">
        <f t="array" ref="AI367">IFERROR(_xlfn.XLOOKUP($F367,'Acerto virtual'!$E:$E,'Acerto virtual'!U:U),"")</f>
        <v/>
      </c>
    </row>
    <row r="368">
      <c r="A368" s="47" t="s">
        <v>1056</v>
      </c>
      <c r="B368" s="53" t="s">
        <v>1057</v>
      </c>
      <c r="C368" s="48" t="str">
        <f t="array" ref="C368">IFERROR(_xlfn.XLOOKUP($B368,'Histórico'!$B:$B,'Histórico'!$I:$I),"")</f>
        <v>C611008-0101</v>
      </c>
      <c r="D368" s="19" t="str">
        <f t="array" ref="D368">IFERROR(_xlfn.XLOOKUP($B368,'Histórico'!$B:$B,'Histórico'!$J:$J),"")</f>
        <v>7EK50</v>
      </c>
      <c r="E368" s="19" t="str">
        <f t="array" ref="E368">IFERROR(_xlfn.XLOOKUP($B368,'Histórico'!$B:$B,'Histórico'!$K:$K),"")</f>
        <v>ALTERNATOR CONTROL UNIT</v>
      </c>
      <c r="F368" s="19" t="str">
        <f t="array" ref="F368">IFERROR(_xlfn.XLOOKUP($B368,'Histórico'!$B:$B,'Histórico'!$L:$L),"")</f>
        <v>4112112</v>
      </c>
      <c r="G368" s="49" t="str">
        <f t="array" ref="G368">IFERROR(_xlfn.XLOOKUP($B368,'Histórico'!$B:$B,'Histórico'!$F:$F),"")</f>
        <v>30/04/2026</v>
      </c>
      <c r="H368" s="19" t="str">
        <f t="array" ref="H368">IFERROR(_xlfn.XLOOKUP($B368,'Histórico'!$B:$B,'Histórico'!$AA:$AA),"")</f>
        <v>PAMALS</v>
      </c>
      <c r="I368" s="19" t="str">
        <f t="array" ref="I368">IFERROR(_xlfn.XLOOKUP($B368,Atual!$B:$B,Atual!$E:$E),"OS concluída")</f>
        <v>REC</v>
      </c>
      <c r="J368" s="19">
        <f t="shared" si="1"/>
        <v>168</v>
      </c>
      <c r="K368" s="19"/>
      <c r="L368" s="19">
        <f t="shared" si="2"/>
        <v>15</v>
      </c>
      <c r="M368" s="19"/>
      <c r="N368" s="49">
        <f t="array" ref="N368">IFERROR(_xlfn.XLOOKUP($B368,EMPRESA_1!A:A,EMPRESA_1!J:J),"")</f>
        <v>46157</v>
      </c>
      <c r="O368" s="50" t="str">
        <f t="array" ref="O368">IFERROR(_xlfn.XLOOKUP(B368,EMPRESA_1!A:A,EMPRESA_1!K:K),"")
</f>
        <v>V1 PAMA-LS</v>
      </c>
      <c r="P368" s="48" t="str">
        <f t="array" ref="P368">IFERROR(_xlfn.XLOOKUP(B368,EMPRESA_1!A:A,EMPRESA_1!L:L),"")</f>
        <v/>
      </c>
      <c r="Q368" s="49">
        <f t="array" ref="Q368">IFERROR(_xlfn.XLOOKUP(B368,EMPRESA_1!A:A,EMPRESA_1!J:J),"")</f>
        <v>46157</v>
      </c>
      <c r="R368" s="19" t="str">
        <f t="array" ref="R368">IFERROR(_xlfn.XLOOKUP(B368,EMPRESA_1!A:A,EMPRESA_1!M:M),"")</f>
        <v/>
      </c>
      <c r="S368" s="51"/>
      <c r="T368" s="51" t="str">
        <f t="array" ref="T368">IFERROR(_xlfn.XLOOKUP($F368,'Acerto virtual'!$E:$E,'Acerto virtual'!F:F),"")</f>
        <v/>
      </c>
      <c r="U368" s="51" t="str">
        <f t="array" ref="U368">IFERROR(_xlfn.XLOOKUP($F368,'Acerto virtual'!$E:$E,'Acerto virtual'!G:G),"")</f>
        <v/>
      </c>
      <c r="V368" s="51" t="str">
        <f t="array" ref="V368">IFERROR(_xlfn.XLOOKUP($F368,'Acerto virtual'!$E:$E,'Acerto virtual'!H:H),"")</f>
        <v/>
      </c>
      <c r="W368" s="51" t="str">
        <f t="array" ref="W368">IFERROR(_xlfn.XLOOKUP($F368,'Acerto virtual'!$E:$E,'Acerto virtual'!I:I),"")</f>
        <v/>
      </c>
      <c r="X368" s="51" t="str">
        <f t="array" ref="X368">IFERROR(_xlfn.XLOOKUP($F368,'Acerto virtual'!$E:$E,'Acerto virtual'!J:J),"")</f>
        <v/>
      </c>
      <c r="Y368" s="51" t="str">
        <f t="array" ref="Y368">IFERROR(_xlfn.XLOOKUP($F368,'Acerto virtual'!$E:$E,'Acerto virtual'!K:K),"")</f>
        <v/>
      </c>
      <c r="Z368" s="51" t="str">
        <f t="array" ref="Z368">IFERROR(_xlfn.XLOOKUP($F368,'Acerto virtual'!$E:$E,'Acerto virtual'!L:L),"")</f>
        <v/>
      </c>
      <c r="AA368" s="51" t="str">
        <f t="array" ref="AA368">IFERROR(_xlfn.XLOOKUP($F368,'Acerto virtual'!$E:$E,'Acerto virtual'!M:M),"")</f>
        <v/>
      </c>
      <c r="AB368" s="51" t="str">
        <f t="array" ref="AB368">IFERROR(_xlfn.XLOOKUP($F368,'Acerto virtual'!$E:$E,'Acerto virtual'!N:N),"")</f>
        <v/>
      </c>
      <c r="AC368" s="51" t="str">
        <f t="array" ref="AC368">IFERROR(_xlfn.XLOOKUP($F368,'Acerto virtual'!$E:$E,'Acerto virtual'!O:O),"")</f>
        <v/>
      </c>
      <c r="AD368" s="51" t="str">
        <f t="array" ref="AD368">IFERROR(_xlfn.XLOOKUP($F368,'Acerto virtual'!$E:$E,'Acerto virtual'!P:P),"")</f>
        <v/>
      </c>
      <c r="AE368" s="51" t="str">
        <f t="array" ref="AE368">IFERROR(_xlfn.XLOOKUP($F368,'Acerto virtual'!$E:$E,'Acerto virtual'!Q:Q),"")</f>
        <v/>
      </c>
      <c r="AF368" s="51" t="str">
        <f t="array" ref="AF368">IFERROR(_xlfn.XLOOKUP($F368,'Acerto virtual'!$E:$E,'Acerto virtual'!R:R),"")</f>
        <v/>
      </c>
      <c r="AG368" s="51" t="str">
        <f t="array" ref="AG368">IFERROR(_xlfn.XLOOKUP($F368,'Acerto virtual'!$E:$E,'Acerto virtual'!S:S),"")</f>
        <v/>
      </c>
      <c r="AH368" s="51" t="str">
        <f t="array" ref="AH368">IFERROR(_xlfn.XLOOKUP($F368,'Acerto virtual'!$E:$E,'Acerto virtual'!T:T),"")</f>
        <v/>
      </c>
      <c r="AI368" s="51" t="str">
        <f t="array" ref="AI368">IFERROR(_xlfn.XLOOKUP($F368,'Acerto virtual'!$E:$E,'Acerto virtual'!U:U),"")</f>
        <v/>
      </c>
    </row>
    <row r="369" hidden="1">
      <c r="A369" s="47" t="s">
        <v>1058</v>
      </c>
      <c r="B369" s="53" t="s">
        <v>1059</v>
      </c>
      <c r="C369" s="48" t="str">
        <f t="array" ref="C369">IFERROR(_xlfn.XLOOKUP($B369,'Histórico'!$B:$B,'Histórico'!$I:$I),"")</f>
        <v>066-03064-0005</v>
      </c>
      <c r="D369" s="19" t="str">
        <f t="array" ref="D369">IFERROR(_xlfn.XLOOKUP($B369,'Histórico'!$B:$B,'Histórico'!$J:$J),"")</f>
        <v>22373</v>
      </c>
      <c r="E369" s="19" t="str">
        <f t="array" ref="E369">IFERROR(_xlfn.XLOOKUP($B369,'Histórico'!$B:$B,'Histórico'!$K:$K),"")</f>
        <v>ALTIMETER,SERVO CONTROLLED,AUTOMATIC PRESSURE</v>
      </c>
      <c r="F369" s="19" t="str">
        <f t="array" ref="F369">IFERROR(_xlfn.XLOOKUP($B369,'Histórico'!$B:$B,'Histórico'!$L:$L),"")</f>
        <v>30559</v>
      </c>
      <c r="G369" s="49" t="str">
        <f t="array" ref="G369">IFERROR(_xlfn.XLOOKUP($B369,'Histórico'!$B:$B,'Histórico'!$F:$F),"")</f>
        <v>06/05/2026</v>
      </c>
      <c r="H369" s="19" t="str">
        <f t="array" ref="H369">IFERROR(_xlfn.XLOOKUP($B369,'Histórico'!$B:$B,'Histórico'!$AA:$AA),"")</f>
        <v>BACG</v>
      </c>
      <c r="I369" s="19" t="str">
        <f t="array" ref="I369">IFERROR(_xlfn.XLOOKUP($B369,Atual!$B:$B,Atual!$E:$E),"OS concluída")</f>
        <v>OS concluída</v>
      </c>
      <c r="J369" s="19" t="str">
        <f t="shared" si="1"/>
        <v/>
      </c>
      <c r="K369" s="19"/>
      <c r="L369" s="19">
        <f t="shared" si="2"/>
        <v>77</v>
      </c>
      <c r="M369" s="19"/>
      <c r="N369" s="49">
        <f t="array" ref="N369">IFERROR(_xlfn.XLOOKUP($B369,EMPRESA_1!A:A,EMPRESA_1!J:J),"")</f>
        <v>46225</v>
      </c>
      <c r="O369" s="50" t="str">
        <f t="array" ref="O369">IFERROR(_xlfn.XLOOKUP(B369,EMPRESA_1!A:A,EMPRESA_1!K:K),"")
</f>
        <v>PAMA-LS</v>
      </c>
      <c r="P369" s="48" t="str">
        <f t="array" ref="P369">IFERROR(_xlfn.XLOOKUP(B369,EMPRESA_1!A:A,EMPRESA_1!L:L),"")</f>
        <v>682/FAB/26</v>
      </c>
      <c r="Q369" s="49">
        <f t="array" ref="Q369">IFERROR(_xlfn.XLOOKUP(B369,EMPRESA_1!A:A,EMPRESA_1!J:J),"")</f>
        <v>46225</v>
      </c>
      <c r="R369" s="19" t="str">
        <f t="array" ref="R369">IFERROR(_xlfn.XLOOKUP(B369,EMPRESA_1!A:A,EMPRESA_1!M:M),"")</f>
        <v/>
      </c>
      <c r="S369" s="51"/>
      <c r="T369" s="51" t="str">
        <f t="array" ref="T369">IFERROR(_xlfn.XLOOKUP($F369,'Acerto virtual'!$E:$E,'Acerto virtual'!F:F),"")</f>
        <v/>
      </c>
      <c r="U369" s="51" t="str">
        <f t="array" ref="U369">IFERROR(_xlfn.XLOOKUP($F369,'Acerto virtual'!$E:$E,'Acerto virtual'!G:G),"")</f>
        <v/>
      </c>
      <c r="V369" s="51" t="str">
        <f t="array" ref="V369">IFERROR(_xlfn.XLOOKUP($F369,'Acerto virtual'!$E:$E,'Acerto virtual'!H:H),"")</f>
        <v/>
      </c>
      <c r="W369" s="51" t="str">
        <f t="array" ref="W369">IFERROR(_xlfn.XLOOKUP($F369,'Acerto virtual'!$E:$E,'Acerto virtual'!I:I),"")</f>
        <v/>
      </c>
      <c r="X369" s="51" t="str">
        <f t="array" ref="X369">IFERROR(_xlfn.XLOOKUP($F369,'Acerto virtual'!$E:$E,'Acerto virtual'!J:J),"")</f>
        <v/>
      </c>
      <c r="Y369" s="51" t="str">
        <f t="array" ref="Y369">IFERROR(_xlfn.XLOOKUP($F369,'Acerto virtual'!$E:$E,'Acerto virtual'!K:K),"")</f>
        <v/>
      </c>
      <c r="Z369" s="51" t="str">
        <f t="array" ref="Z369">IFERROR(_xlfn.XLOOKUP($F369,'Acerto virtual'!$E:$E,'Acerto virtual'!L:L),"")</f>
        <v/>
      </c>
      <c r="AA369" s="51" t="str">
        <f t="array" ref="AA369">IFERROR(_xlfn.XLOOKUP($F369,'Acerto virtual'!$E:$E,'Acerto virtual'!M:M),"")</f>
        <v/>
      </c>
      <c r="AB369" s="51" t="str">
        <f t="array" ref="AB369">IFERROR(_xlfn.XLOOKUP($F369,'Acerto virtual'!$E:$E,'Acerto virtual'!N:N),"")</f>
        <v/>
      </c>
      <c r="AC369" s="51" t="str">
        <f t="array" ref="AC369">IFERROR(_xlfn.XLOOKUP($F369,'Acerto virtual'!$E:$E,'Acerto virtual'!O:O),"")</f>
        <v/>
      </c>
      <c r="AD369" s="51" t="str">
        <f t="array" ref="AD369">IFERROR(_xlfn.XLOOKUP($F369,'Acerto virtual'!$E:$E,'Acerto virtual'!P:P),"")</f>
        <v/>
      </c>
      <c r="AE369" s="51" t="str">
        <f t="array" ref="AE369">IFERROR(_xlfn.XLOOKUP($F369,'Acerto virtual'!$E:$E,'Acerto virtual'!Q:Q),"")</f>
        <v/>
      </c>
      <c r="AF369" s="51" t="str">
        <f t="array" ref="AF369">IFERROR(_xlfn.XLOOKUP($F369,'Acerto virtual'!$E:$E,'Acerto virtual'!R:R),"")</f>
        <v/>
      </c>
      <c r="AG369" s="51" t="str">
        <f t="array" ref="AG369">IFERROR(_xlfn.XLOOKUP($F369,'Acerto virtual'!$E:$E,'Acerto virtual'!S:S),"")</f>
        <v/>
      </c>
      <c r="AH369" s="51" t="str">
        <f t="array" ref="AH369">IFERROR(_xlfn.XLOOKUP($F369,'Acerto virtual'!$E:$E,'Acerto virtual'!T:T),"")</f>
        <v/>
      </c>
      <c r="AI369" s="51" t="str">
        <f t="array" ref="AI369">IFERROR(_xlfn.XLOOKUP($F369,'Acerto virtual'!$E:$E,'Acerto virtual'!U:U),"")</f>
        <v/>
      </c>
    </row>
    <row r="370" hidden="1">
      <c r="A370" s="47" t="s">
        <v>1060</v>
      </c>
      <c r="B370" s="53" t="s">
        <v>1061</v>
      </c>
      <c r="C370" s="48" t="str">
        <f t="array" ref="C370">IFERROR(_xlfn.XLOOKUP($B370,'Histórico'!$B:$B,'Histórico'!$I:$I),"")</f>
        <v>066-03064-0005</v>
      </c>
      <c r="D370" s="19" t="str">
        <f t="array" ref="D370">IFERROR(_xlfn.XLOOKUP($B370,'Histórico'!$B:$B,'Histórico'!$J:$J),"")</f>
        <v>22373</v>
      </c>
      <c r="E370" s="19" t="str">
        <f t="array" ref="E370">IFERROR(_xlfn.XLOOKUP($B370,'Histórico'!$B:$B,'Histórico'!$K:$K),"")</f>
        <v>ALTIMETER,SERVO CONTROLLED,AUTOMATIC PRESSURE</v>
      </c>
      <c r="F370" s="19" t="str">
        <f t="array" ref="F370">IFERROR(_xlfn.XLOOKUP($B370,'Histórico'!$B:$B,'Histórico'!$L:$L),"")</f>
        <v>34851</v>
      </c>
      <c r="G370" s="49" t="str">
        <f t="array" ref="G370">IFERROR(_xlfn.XLOOKUP($B370,'Histórico'!$B:$B,'Histórico'!$F:$F),"")</f>
        <v>06/05/2026</v>
      </c>
      <c r="H370" s="19" t="str">
        <f t="array" ref="H370">IFERROR(_xlfn.XLOOKUP($B370,'Histórico'!$B:$B,'Histórico'!$AA:$AA),"")</f>
        <v>BANT</v>
      </c>
      <c r="I370" s="19" t="str">
        <f t="array" ref="I370">IFERROR(_xlfn.XLOOKUP($B370,Atual!$B:$B,Atual!$E:$E),"OS concluída")</f>
        <v>OS concluída</v>
      </c>
      <c r="J370" s="19" t="str">
        <f t="shared" si="1"/>
        <v/>
      </c>
      <c r="K370" s="19"/>
      <c r="L370" s="19">
        <f t="shared" si="2"/>
        <v>77</v>
      </c>
      <c r="M370" s="19"/>
      <c r="N370" s="49">
        <f t="array" ref="N370">IFERROR(_xlfn.XLOOKUP($B370,EMPRESA_1!A:A,EMPRESA_1!J:J),"")</f>
        <v>46225</v>
      </c>
      <c r="O370" s="50" t="str">
        <f t="array" ref="O370">IFERROR(_xlfn.XLOOKUP(B370,EMPRESA_1!A:A,EMPRESA_1!K:K),"")
</f>
        <v>PAMA-LS</v>
      </c>
      <c r="P370" s="48" t="str">
        <f t="array" ref="P370">IFERROR(_xlfn.XLOOKUP(B370,EMPRESA_1!A:A,EMPRESA_1!L:L),"")</f>
        <v>682/FAB/26</v>
      </c>
      <c r="Q370" s="49">
        <f t="array" ref="Q370">IFERROR(_xlfn.XLOOKUP(B370,EMPRESA_1!A:A,EMPRESA_1!J:J),"")</f>
        <v>46225</v>
      </c>
      <c r="R370" s="19" t="str">
        <f t="array" ref="R370">IFERROR(_xlfn.XLOOKUP(B370,EMPRESA_1!A:A,EMPRESA_1!M:M),"")</f>
        <v/>
      </c>
      <c r="S370" s="51"/>
      <c r="T370" s="51" t="str">
        <f t="array" ref="T370">IFERROR(_xlfn.XLOOKUP($F370,'Acerto virtual'!$E:$E,'Acerto virtual'!F:F),"")</f>
        <v/>
      </c>
      <c r="U370" s="51" t="str">
        <f t="array" ref="U370">IFERROR(_xlfn.XLOOKUP($F370,'Acerto virtual'!$E:$E,'Acerto virtual'!G:G),"")</f>
        <v/>
      </c>
      <c r="V370" s="51" t="str">
        <f t="array" ref="V370">IFERROR(_xlfn.XLOOKUP($F370,'Acerto virtual'!$E:$E,'Acerto virtual'!H:H),"")</f>
        <v/>
      </c>
      <c r="W370" s="51" t="str">
        <f t="array" ref="W370">IFERROR(_xlfn.XLOOKUP($F370,'Acerto virtual'!$E:$E,'Acerto virtual'!I:I),"")</f>
        <v/>
      </c>
      <c r="X370" s="51" t="str">
        <f t="array" ref="X370">IFERROR(_xlfn.XLOOKUP($F370,'Acerto virtual'!$E:$E,'Acerto virtual'!J:J),"")</f>
        <v/>
      </c>
      <c r="Y370" s="51" t="str">
        <f t="array" ref="Y370">IFERROR(_xlfn.XLOOKUP($F370,'Acerto virtual'!$E:$E,'Acerto virtual'!K:K),"")</f>
        <v/>
      </c>
      <c r="Z370" s="51" t="str">
        <f t="array" ref="Z370">IFERROR(_xlfn.XLOOKUP($F370,'Acerto virtual'!$E:$E,'Acerto virtual'!L:L),"")</f>
        <v/>
      </c>
      <c r="AA370" s="51" t="str">
        <f t="array" ref="AA370">IFERROR(_xlfn.XLOOKUP($F370,'Acerto virtual'!$E:$E,'Acerto virtual'!M:M),"")</f>
        <v/>
      </c>
      <c r="AB370" s="51" t="str">
        <f t="array" ref="AB370">IFERROR(_xlfn.XLOOKUP($F370,'Acerto virtual'!$E:$E,'Acerto virtual'!N:N),"")</f>
        <v/>
      </c>
      <c r="AC370" s="51" t="str">
        <f t="array" ref="AC370">IFERROR(_xlfn.XLOOKUP($F370,'Acerto virtual'!$E:$E,'Acerto virtual'!O:O),"")</f>
        <v/>
      </c>
      <c r="AD370" s="51" t="str">
        <f t="array" ref="AD370">IFERROR(_xlfn.XLOOKUP($F370,'Acerto virtual'!$E:$E,'Acerto virtual'!P:P),"")</f>
        <v/>
      </c>
      <c r="AE370" s="51" t="str">
        <f t="array" ref="AE370">IFERROR(_xlfn.XLOOKUP($F370,'Acerto virtual'!$E:$E,'Acerto virtual'!Q:Q),"")</f>
        <v/>
      </c>
      <c r="AF370" s="51" t="str">
        <f t="array" ref="AF370">IFERROR(_xlfn.XLOOKUP($F370,'Acerto virtual'!$E:$E,'Acerto virtual'!R:R),"")</f>
        <v/>
      </c>
      <c r="AG370" s="51" t="str">
        <f t="array" ref="AG370">IFERROR(_xlfn.XLOOKUP($F370,'Acerto virtual'!$E:$E,'Acerto virtual'!S:S),"")</f>
        <v/>
      </c>
      <c r="AH370" s="51" t="str">
        <f t="array" ref="AH370">IFERROR(_xlfn.XLOOKUP($F370,'Acerto virtual'!$E:$E,'Acerto virtual'!T:T),"")</f>
        <v/>
      </c>
      <c r="AI370" s="51" t="str">
        <f t="array" ref="AI370">IFERROR(_xlfn.XLOOKUP($F370,'Acerto virtual'!$E:$E,'Acerto virtual'!U:U),"")</f>
        <v/>
      </c>
    </row>
    <row r="371">
      <c r="A371" s="47" t="s">
        <v>1062</v>
      </c>
      <c r="B371" s="53" t="s">
        <v>1063</v>
      </c>
      <c r="C371" s="48" t="str">
        <f t="array" ref="C371">IFERROR(_xlfn.XLOOKUP($B371,'Histórico'!$B:$B,'Histórico'!$I:$I),"")</f>
        <v>066-03064-0005</v>
      </c>
      <c r="D371" s="19" t="str">
        <f t="array" ref="D371">IFERROR(_xlfn.XLOOKUP($B371,'Histórico'!$B:$B,'Histórico'!$J:$J),"")</f>
        <v>22373</v>
      </c>
      <c r="E371" s="19" t="str">
        <f t="array" ref="E371">IFERROR(_xlfn.XLOOKUP($B371,'Histórico'!$B:$B,'Histórico'!$K:$K),"")</f>
        <v>ALTIMETER,SERVO CONTROLLED,AUTOMATIC PRESSURE</v>
      </c>
      <c r="F371" s="19" t="str">
        <f t="array" ref="F371">IFERROR(_xlfn.XLOOKUP($B371,'Histórico'!$B:$B,'Histórico'!$L:$L),"")</f>
        <v>3958</v>
      </c>
      <c r="G371" s="49" t="str">
        <f t="array" ref="G371">IFERROR(_xlfn.XLOOKUP($B371,'Histórico'!$B:$B,'Histórico'!$F:$F),"")</f>
        <v>06/05/2026</v>
      </c>
      <c r="H371" s="19" t="str">
        <f t="array" ref="H371">IFERROR(_xlfn.XLOOKUP($B371,'Histórico'!$B:$B,'Histórico'!$AA:$AA),"")</f>
        <v>PAMASP</v>
      </c>
      <c r="I371" s="19" t="str">
        <f t="array" ref="I371">IFERROR(_xlfn.XLOOKUP($B371,Atual!$B:$B,Atual!$E:$E),"OS concluída")</f>
        <v>REC</v>
      </c>
      <c r="J371" s="19">
        <f t="shared" si="1"/>
        <v>162</v>
      </c>
      <c r="K371" s="19"/>
      <c r="L371" s="19">
        <f t="shared" si="2"/>
        <v>77</v>
      </c>
      <c r="M371" s="19"/>
      <c r="N371" s="49">
        <f t="array" ref="N371">IFERROR(_xlfn.XLOOKUP($B371,EMPRESA_1!A:A,EMPRESA_1!J:J),"")</f>
        <v>46225</v>
      </c>
      <c r="O371" s="50" t="str">
        <f t="array" ref="O371">IFERROR(_xlfn.XLOOKUP(B371,EMPRESA_1!A:A,EMPRESA_1!K:K),"")
</f>
        <v>PAMA-LS</v>
      </c>
      <c r="P371" s="48" t="str">
        <f t="array" ref="P371">IFERROR(_xlfn.XLOOKUP(B371,EMPRESA_1!A:A,EMPRESA_1!L:L),"")</f>
        <v>623/FAB/26</v>
      </c>
      <c r="Q371" s="49">
        <f t="array" ref="Q371">IFERROR(_xlfn.XLOOKUP(B371,EMPRESA_1!A:A,EMPRESA_1!J:J),"")</f>
        <v>46225</v>
      </c>
      <c r="R371" s="19" t="str">
        <f t="array" ref="R371">IFERROR(_xlfn.XLOOKUP(B371,EMPRESA_1!A:A,EMPRESA_1!M:M),"")</f>
        <v/>
      </c>
      <c r="S371" s="51"/>
      <c r="T371" s="51" t="str">
        <f t="array" ref="T371">IFERROR(_xlfn.XLOOKUP($F371,'Acerto virtual'!$E:$E,'Acerto virtual'!F:F),"")</f>
        <v/>
      </c>
      <c r="U371" s="51" t="str">
        <f t="array" ref="U371">IFERROR(_xlfn.XLOOKUP($F371,'Acerto virtual'!$E:$E,'Acerto virtual'!G:G),"")</f>
        <v/>
      </c>
      <c r="V371" s="51" t="str">
        <f t="array" ref="V371">IFERROR(_xlfn.XLOOKUP($F371,'Acerto virtual'!$E:$E,'Acerto virtual'!H:H),"")</f>
        <v/>
      </c>
      <c r="W371" s="51" t="str">
        <f t="array" ref="W371">IFERROR(_xlfn.XLOOKUP($F371,'Acerto virtual'!$E:$E,'Acerto virtual'!I:I),"")</f>
        <v/>
      </c>
      <c r="X371" s="51" t="str">
        <f t="array" ref="X371">IFERROR(_xlfn.XLOOKUP($F371,'Acerto virtual'!$E:$E,'Acerto virtual'!J:J),"")</f>
        <v/>
      </c>
      <c r="Y371" s="51" t="str">
        <f t="array" ref="Y371">IFERROR(_xlfn.XLOOKUP($F371,'Acerto virtual'!$E:$E,'Acerto virtual'!K:K),"")</f>
        <v/>
      </c>
      <c r="Z371" s="51" t="str">
        <f t="array" ref="Z371">IFERROR(_xlfn.XLOOKUP($F371,'Acerto virtual'!$E:$E,'Acerto virtual'!L:L),"")</f>
        <v/>
      </c>
      <c r="AA371" s="51" t="str">
        <f t="array" ref="AA371">IFERROR(_xlfn.XLOOKUP($F371,'Acerto virtual'!$E:$E,'Acerto virtual'!M:M),"")</f>
        <v/>
      </c>
      <c r="AB371" s="51" t="str">
        <f t="array" ref="AB371">IFERROR(_xlfn.XLOOKUP($F371,'Acerto virtual'!$E:$E,'Acerto virtual'!N:N),"")</f>
        <v/>
      </c>
      <c r="AC371" s="51" t="str">
        <f t="array" ref="AC371">IFERROR(_xlfn.XLOOKUP($F371,'Acerto virtual'!$E:$E,'Acerto virtual'!O:O),"")</f>
        <v/>
      </c>
      <c r="AD371" s="51" t="str">
        <f t="array" ref="AD371">IFERROR(_xlfn.XLOOKUP($F371,'Acerto virtual'!$E:$E,'Acerto virtual'!P:P),"")</f>
        <v/>
      </c>
      <c r="AE371" s="51" t="str">
        <f t="array" ref="AE371">IFERROR(_xlfn.XLOOKUP($F371,'Acerto virtual'!$E:$E,'Acerto virtual'!Q:Q),"")</f>
        <v/>
      </c>
      <c r="AF371" s="51" t="str">
        <f t="array" ref="AF371">IFERROR(_xlfn.XLOOKUP($F371,'Acerto virtual'!$E:$E,'Acerto virtual'!R:R),"")</f>
        <v/>
      </c>
      <c r="AG371" s="51" t="str">
        <f t="array" ref="AG371">IFERROR(_xlfn.XLOOKUP($F371,'Acerto virtual'!$E:$E,'Acerto virtual'!S:S),"")</f>
        <v/>
      </c>
      <c r="AH371" s="51" t="str">
        <f t="array" ref="AH371">IFERROR(_xlfn.XLOOKUP($F371,'Acerto virtual'!$E:$E,'Acerto virtual'!T:T),"")</f>
        <v/>
      </c>
      <c r="AI371" s="51" t="str">
        <f t="array" ref="AI371">IFERROR(_xlfn.XLOOKUP($F371,'Acerto virtual'!$E:$E,'Acerto virtual'!U:U),"")</f>
        <v/>
      </c>
    </row>
    <row r="372">
      <c r="A372" s="47" t="s">
        <v>1064</v>
      </c>
      <c r="B372" s="53" t="s">
        <v>1065</v>
      </c>
      <c r="C372" s="48" t="str">
        <f t="array" ref="C372">IFERROR(_xlfn.XLOOKUP($B372,'Histórico'!$B:$B,'Histórico'!$I:$I),"")</f>
        <v>069-01033-0101</v>
      </c>
      <c r="D372" s="19" t="str">
        <f t="array" ref="D372">IFERROR(_xlfn.XLOOKUP($B372,'Histórico'!$B:$B,'Histórico'!$J:$J),"")</f>
        <v>22373</v>
      </c>
      <c r="E372" s="19" t="str">
        <f t="array" ref="E372">IFERROR(_xlfn.XLOOKUP($B372,'Histórico'!$B:$B,'Histórico'!$K:$K),"")</f>
        <v>RECEIVER-TRANSMITTER,RADIO</v>
      </c>
      <c r="F372" s="19" t="str">
        <f t="array" ref="F372">IFERROR(_xlfn.XLOOKUP($B372,'Histórico'!$B:$B,'Histórico'!$L:$L),"")</f>
        <v>4157</v>
      </c>
      <c r="G372" s="49" t="str">
        <f t="array" ref="G372">IFERROR(_xlfn.XLOOKUP($B372,'Histórico'!$B:$B,'Histórico'!$F:$F),"")</f>
        <v>06/05/2026</v>
      </c>
      <c r="H372" s="19" t="str">
        <f t="array" ref="H372">IFERROR(_xlfn.XLOOKUP($B372,'Histórico'!$B:$B,'Histórico'!$AA:$AA),"")</f>
        <v>PAMALS</v>
      </c>
      <c r="I372" s="19" t="str">
        <f t="array" ref="I372">IFERROR(_xlfn.XLOOKUP($B372,Atual!$B:$B,Atual!$E:$E),"OS concluída")</f>
        <v>REC</v>
      </c>
      <c r="J372" s="19">
        <f t="shared" si="1"/>
        <v>162</v>
      </c>
      <c r="K372" s="19"/>
      <c r="L372" s="19" t="str">
        <f t="shared" si="2"/>
        <v>NÃO APLICÁVEL</v>
      </c>
      <c r="M372" s="19"/>
      <c r="N372" s="49" t="str">
        <f t="array" ref="N372">IFERROR(_xlfn.XLOOKUP($B372,EMPRESA_1!A:A,EMPRESA_1!J:J),"")</f>
        <v>EM REPARO</v>
      </c>
      <c r="O372" s="50" t="str">
        <f t="array" ref="O372">IFERROR(_xlfn.XLOOKUP(B372,EMPRESA_1!A:A,EMPRESA_1!K:K),"")
</f>
        <v>WILLIAM</v>
      </c>
      <c r="P372" s="48" t="str">
        <f t="array" ref="P372">IFERROR(_xlfn.XLOOKUP(B372,EMPRESA_1!A:A,EMPRESA_1!L:L),"")</f>
        <v/>
      </c>
      <c r="Q372" s="49" t="str">
        <f t="array" ref="Q372">IFERROR(_xlfn.XLOOKUP(B372,EMPRESA_1!A:A,EMPRESA_1!J:J),"")</f>
        <v>EM REPARO</v>
      </c>
      <c r="R372" s="19" t="str">
        <f t="array" ref="R372">IFERROR(_xlfn.XLOOKUP(B372,EMPRESA_1!A:A,EMPRESA_1!M:M),"")</f>
        <v/>
      </c>
      <c r="S372" s="51"/>
      <c r="T372" s="51" t="str">
        <f t="array" ref="T372">IFERROR(_xlfn.XLOOKUP($F372,'Acerto virtual'!$E:$E,'Acerto virtual'!F:F),"")</f>
        <v/>
      </c>
      <c r="U372" s="51" t="str">
        <f t="array" ref="U372">IFERROR(_xlfn.XLOOKUP($F372,'Acerto virtual'!$E:$E,'Acerto virtual'!G:G),"")</f>
        <v/>
      </c>
      <c r="V372" s="51" t="str">
        <f t="array" ref="V372">IFERROR(_xlfn.XLOOKUP($F372,'Acerto virtual'!$E:$E,'Acerto virtual'!H:H),"")</f>
        <v/>
      </c>
      <c r="W372" s="51" t="str">
        <f t="array" ref="W372">IFERROR(_xlfn.XLOOKUP($F372,'Acerto virtual'!$E:$E,'Acerto virtual'!I:I),"")</f>
        <v/>
      </c>
      <c r="X372" s="51" t="str">
        <f t="array" ref="X372">IFERROR(_xlfn.XLOOKUP($F372,'Acerto virtual'!$E:$E,'Acerto virtual'!J:J),"")</f>
        <v/>
      </c>
      <c r="Y372" s="51" t="str">
        <f t="array" ref="Y372">IFERROR(_xlfn.XLOOKUP($F372,'Acerto virtual'!$E:$E,'Acerto virtual'!K:K),"")</f>
        <v/>
      </c>
      <c r="Z372" s="51" t="str">
        <f t="array" ref="Z372">IFERROR(_xlfn.XLOOKUP($F372,'Acerto virtual'!$E:$E,'Acerto virtual'!L:L),"")</f>
        <v/>
      </c>
      <c r="AA372" s="51" t="str">
        <f t="array" ref="AA372">IFERROR(_xlfn.XLOOKUP($F372,'Acerto virtual'!$E:$E,'Acerto virtual'!M:M),"")</f>
        <v/>
      </c>
      <c r="AB372" s="51" t="str">
        <f t="array" ref="AB372">IFERROR(_xlfn.XLOOKUP($F372,'Acerto virtual'!$E:$E,'Acerto virtual'!N:N),"")</f>
        <v/>
      </c>
      <c r="AC372" s="51" t="str">
        <f t="array" ref="AC372">IFERROR(_xlfn.XLOOKUP($F372,'Acerto virtual'!$E:$E,'Acerto virtual'!O:O),"")</f>
        <v/>
      </c>
      <c r="AD372" s="51" t="str">
        <f t="array" ref="AD372">IFERROR(_xlfn.XLOOKUP($F372,'Acerto virtual'!$E:$E,'Acerto virtual'!P:P),"")</f>
        <v/>
      </c>
      <c r="AE372" s="51" t="str">
        <f t="array" ref="AE372">IFERROR(_xlfn.XLOOKUP($F372,'Acerto virtual'!$E:$E,'Acerto virtual'!Q:Q),"")</f>
        <v/>
      </c>
      <c r="AF372" s="51" t="str">
        <f t="array" ref="AF372">IFERROR(_xlfn.XLOOKUP($F372,'Acerto virtual'!$E:$E,'Acerto virtual'!R:R),"")</f>
        <v/>
      </c>
      <c r="AG372" s="51" t="str">
        <f t="array" ref="AG372">IFERROR(_xlfn.XLOOKUP($F372,'Acerto virtual'!$E:$E,'Acerto virtual'!S:S),"")</f>
        <v/>
      </c>
      <c r="AH372" s="51" t="str">
        <f t="array" ref="AH372">IFERROR(_xlfn.XLOOKUP($F372,'Acerto virtual'!$E:$E,'Acerto virtual'!T:T),"")</f>
        <v/>
      </c>
      <c r="AI372" s="51" t="str">
        <f t="array" ref="AI372">IFERROR(_xlfn.XLOOKUP($F372,'Acerto virtual'!$E:$E,'Acerto virtual'!U:U),"")</f>
        <v/>
      </c>
    </row>
    <row r="373">
      <c r="A373" s="47" t="s">
        <v>1066</v>
      </c>
      <c r="B373" s="53" t="s">
        <v>1067</v>
      </c>
      <c r="C373" s="48" t="str">
        <f t="array" ref="C373">IFERROR(_xlfn.XLOOKUP($B373,'Histórico'!$B:$B,'Histórico'!$I:$I),"")</f>
        <v>069-01033-0101</v>
      </c>
      <c r="D373" s="19" t="str">
        <f t="array" ref="D373">IFERROR(_xlfn.XLOOKUP($B373,'Histórico'!$B:$B,'Histórico'!$J:$J),"")</f>
        <v>22373</v>
      </c>
      <c r="E373" s="19" t="str">
        <f t="array" ref="E373">IFERROR(_xlfn.XLOOKUP($B373,'Histórico'!$B:$B,'Histórico'!$K:$K),"")</f>
        <v>RECEIVER-TRANSMITTER,RADIO</v>
      </c>
      <c r="F373" s="19" t="str">
        <f t="array" ref="F373">IFERROR(_xlfn.XLOOKUP($B373,'Histórico'!$B:$B,'Histórico'!$L:$L),"")</f>
        <v>2913</v>
      </c>
      <c r="G373" s="49" t="str">
        <f t="array" ref="G373">IFERROR(_xlfn.XLOOKUP($B373,'Histórico'!$B:$B,'Histórico'!$F:$F),"")</f>
        <v>06/05/2026</v>
      </c>
      <c r="H373" s="19" t="str">
        <f t="array" ref="H373">IFERROR(_xlfn.XLOOKUP($B373,'Histórico'!$B:$B,'Histórico'!$AA:$AA),"")</f>
        <v>BASM</v>
      </c>
      <c r="I373" s="19" t="str">
        <f t="array" ref="I373">IFERROR(_xlfn.XLOOKUP($B373,Atual!$B:$B,Atual!$E:$E),"OS concluída")</f>
        <v>REC</v>
      </c>
      <c r="J373" s="19">
        <f t="shared" si="1"/>
        <v>162</v>
      </c>
      <c r="K373" s="19"/>
      <c r="L373" s="19" t="str">
        <f t="shared" si="2"/>
        <v>NÃO APLICÁVEL</v>
      </c>
      <c r="M373" s="19"/>
      <c r="N373" s="49" t="str">
        <f t="array" ref="N373">IFERROR(_xlfn.XLOOKUP($B373,EMPRESA_1!A:A,EMPRESA_1!J:J),"")</f>
        <v>EM REPARO</v>
      </c>
      <c r="O373" s="50" t="str">
        <f t="array" ref="O373">IFERROR(_xlfn.XLOOKUP(B373,EMPRESA_1!A:A,EMPRESA_1!K:K),"")
</f>
        <v>WILLIAM</v>
      </c>
      <c r="P373" s="48" t="str">
        <f t="array" ref="P373">IFERROR(_xlfn.XLOOKUP(B373,EMPRESA_1!A:A,EMPRESA_1!L:L),"")</f>
        <v/>
      </c>
      <c r="Q373" s="49" t="str">
        <f t="array" ref="Q373">IFERROR(_xlfn.XLOOKUP(B373,EMPRESA_1!A:A,EMPRESA_1!J:J),"")</f>
        <v>EM REPARO</v>
      </c>
      <c r="R373" s="19" t="str">
        <f t="array" ref="R373">IFERROR(_xlfn.XLOOKUP(B373,EMPRESA_1!A:A,EMPRESA_1!M:M),"")</f>
        <v/>
      </c>
      <c r="S373" s="51"/>
      <c r="T373" s="51" t="str">
        <f t="array" ref="T373">IFERROR(_xlfn.XLOOKUP($F373,'Acerto virtual'!$E:$E,'Acerto virtual'!F:F),"")</f>
        <v/>
      </c>
      <c r="U373" s="51" t="str">
        <f t="array" ref="U373">IFERROR(_xlfn.XLOOKUP($F373,'Acerto virtual'!$E:$E,'Acerto virtual'!G:G),"")</f>
        <v/>
      </c>
      <c r="V373" s="51" t="str">
        <f t="array" ref="V373">IFERROR(_xlfn.XLOOKUP($F373,'Acerto virtual'!$E:$E,'Acerto virtual'!H:H),"")</f>
        <v/>
      </c>
      <c r="W373" s="51" t="str">
        <f t="array" ref="W373">IFERROR(_xlfn.XLOOKUP($F373,'Acerto virtual'!$E:$E,'Acerto virtual'!I:I),"")</f>
        <v/>
      </c>
      <c r="X373" s="51" t="str">
        <f t="array" ref="X373">IFERROR(_xlfn.XLOOKUP($F373,'Acerto virtual'!$E:$E,'Acerto virtual'!J:J),"")</f>
        <v/>
      </c>
      <c r="Y373" s="51" t="str">
        <f t="array" ref="Y373">IFERROR(_xlfn.XLOOKUP($F373,'Acerto virtual'!$E:$E,'Acerto virtual'!K:K),"")</f>
        <v/>
      </c>
      <c r="Z373" s="51" t="str">
        <f t="array" ref="Z373">IFERROR(_xlfn.XLOOKUP($F373,'Acerto virtual'!$E:$E,'Acerto virtual'!L:L),"")</f>
        <v/>
      </c>
      <c r="AA373" s="51" t="str">
        <f t="array" ref="AA373">IFERROR(_xlfn.XLOOKUP($F373,'Acerto virtual'!$E:$E,'Acerto virtual'!M:M),"")</f>
        <v/>
      </c>
      <c r="AB373" s="51" t="str">
        <f t="array" ref="AB373">IFERROR(_xlfn.XLOOKUP($F373,'Acerto virtual'!$E:$E,'Acerto virtual'!N:N),"")</f>
        <v/>
      </c>
      <c r="AC373" s="51" t="str">
        <f t="array" ref="AC373">IFERROR(_xlfn.XLOOKUP($F373,'Acerto virtual'!$E:$E,'Acerto virtual'!O:O),"")</f>
        <v/>
      </c>
      <c r="AD373" s="51" t="str">
        <f t="array" ref="AD373">IFERROR(_xlfn.XLOOKUP($F373,'Acerto virtual'!$E:$E,'Acerto virtual'!P:P),"")</f>
        <v/>
      </c>
      <c r="AE373" s="51" t="str">
        <f t="array" ref="AE373">IFERROR(_xlfn.XLOOKUP($F373,'Acerto virtual'!$E:$E,'Acerto virtual'!Q:Q),"")</f>
        <v/>
      </c>
      <c r="AF373" s="51" t="str">
        <f t="array" ref="AF373">IFERROR(_xlfn.XLOOKUP($F373,'Acerto virtual'!$E:$E,'Acerto virtual'!R:R),"")</f>
        <v/>
      </c>
      <c r="AG373" s="51" t="str">
        <f t="array" ref="AG373">IFERROR(_xlfn.XLOOKUP($F373,'Acerto virtual'!$E:$E,'Acerto virtual'!S:S),"")</f>
        <v/>
      </c>
      <c r="AH373" s="51" t="str">
        <f t="array" ref="AH373">IFERROR(_xlfn.XLOOKUP($F373,'Acerto virtual'!$E:$E,'Acerto virtual'!T:T),"")</f>
        <v/>
      </c>
      <c r="AI373" s="51" t="str">
        <f t="array" ref="AI373">IFERROR(_xlfn.XLOOKUP($F373,'Acerto virtual'!$E:$E,'Acerto virtual'!U:U),"")</f>
        <v/>
      </c>
    </row>
    <row r="374">
      <c r="A374" s="47" t="s">
        <v>1068</v>
      </c>
      <c r="B374" s="53" t="s">
        <v>1069</v>
      </c>
      <c r="C374" s="48" t="str">
        <f t="array" ref="C374">IFERROR(_xlfn.XLOOKUP($B374,'Histórico'!$B:$B,'Histórico'!$I:$I),"")</f>
        <v>069-01033-0101</v>
      </c>
      <c r="D374" s="19" t="str">
        <f t="array" ref="D374">IFERROR(_xlfn.XLOOKUP($B374,'Histórico'!$B:$B,'Histórico'!$J:$J),"")</f>
        <v>22373</v>
      </c>
      <c r="E374" s="19" t="str">
        <f t="array" ref="E374">IFERROR(_xlfn.XLOOKUP($B374,'Histórico'!$B:$B,'Histórico'!$K:$K),"")</f>
        <v>RECEIVER-TRANSMITTER,RADIO</v>
      </c>
      <c r="F374" s="52" t="str">
        <f t="array" ref="F374">IFERROR(_xlfn.XLOOKUP($B374,'Histórico'!$B:$B,'Histórico'!$L:$L),"")</f>
        <v>4129</v>
      </c>
      <c r="G374" s="49" t="str">
        <f t="array" ref="G374">IFERROR(_xlfn.XLOOKUP($B374,'Histórico'!$B:$B,'Histórico'!$F:$F),"")</f>
        <v>06/05/2026</v>
      </c>
      <c r="H374" s="19" t="str">
        <f t="array" ref="H374">IFERROR(_xlfn.XLOOKUP($B374,'Histórico'!$B:$B,'Histórico'!$AA:$AA),"")</f>
        <v>BABR</v>
      </c>
      <c r="I374" s="19" t="str">
        <f t="array" ref="I374">IFERROR(_xlfn.XLOOKUP($B374,Atual!$B:$B,Atual!$E:$E),"OS concluída")</f>
        <v>REC</v>
      </c>
      <c r="J374" s="19">
        <f t="shared" si="1"/>
        <v>162</v>
      </c>
      <c r="K374" s="19"/>
      <c r="L374" s="19">
        <f t="shared" si="2"/>
        <v>16</v>
      </c>
      <c r="M374" s="19"/>
      <c r="N374" s="49">
        <f t="array" ref="N374">IFERROR(_xlfn.XLOOKUP($B374,EMPRESA_1!A:A,EMPRESA_1!J:J),"")</f>
        <v>46164</v>
      </c>
      <c r="O374" s="50" t="str">
        <f t="array" ref="O374">IFERROR(_xlfn.XLOOKUP(B374,EMPRESA_1!A:A,EMPRESA_1!K:K),"")
</f>
        <v>BANT</v>
      </c>
      <c r="P374" s="19" t="str">
        <f t="array" ref="P374">IFERROR(_xlfn.XLOOKUP(B374,EMPRESA_1!A:A,EMPRESA_1!L:L),"")</f>
        <v>409/FAB/26</v>
      </c>
      <c r="Q374" s="49">
        <f t="array" ref="Q374">IFERROR(_xlfn.XLOOKUP(B374,EMPRESA_1!A:A,EMPRESA_1!J:J),"")</f>
        <v>46164</v>
      </c>
      <c r="R374" s="19" t="str">
        <f t="array" ref="R374">IFERROR(_xlfn.XLOOKUP(B374,EMPRESA_1!A:A,EMPRESA_1!M:M),"")</f>
        <v/>
      </c>
      <c r="S374" s="51"/>
      <c r="T374" s="51" t="str">
        <f t="array" ref="T374">IFERROR(_xlfn.XLOOKUP($F374,'Acerto virtual'!$E:$E,'Acerto virtual'!F:F),"")</f>
        <v/>
      </c>
      <c r="U374" s="51" t="str">
        <f t="array" ref="U374">IFERROR(_xlfn.XLOOKUP($F374,'Acerto virtual'!$E:$E,'Acerto virtual'!G:G),"")</f>
        <v/>
      </c>
      <c r="V374" s="51" t="str">
        <f t="array" ref="V374">IFERROR(_xlfn.XLOOKUP($F374,'Acerto virtual'!$E:$E,'Acerto virtual'!H:H),"")</f>
        <v/>
      </c>
      <c r="W374" s="51" t="str">
        <f t="array" ref="W374">IFERROR(_xlfn.XLOOKUP($F374,'Acerto virtual'!$E:$E,'Acerto virtual'!I:I),"")</f>
        <v/>
      </c>
      <c r="X374" s="51" t="str">
        <f t="array" ref="X374">IFERROR(_xlfn.XLOOKUP($F374,'Acerto virtual'!$E:$E,'Acerto virtual'!J:J),"")</f>
        <v/>
      </c>
      <c r="Y374" s="51" t="str">
        <f t="array" ref="Y374">IFERROR(_xlfn.XLOOKUP($F374,'Acerto virtual'!$E:$E,'Acerto virtual'!K:K),"")</f>
        <v/>
      </c>
      <c r="Z374" s="51" t="str">
        <f t="array" ref="Z374">IFERROR(_xlfn.XLOOKUP($F374,'Acerto virtual'!$E:$E,'Acerto virtual'!L:L),"")</f>
        <v/>
      </c>
      <c r="AA374" s="51" t="str">
        <f t="array" ref="AA374">IFERROR(_xlfn.XLOOKUP($F374,'Acerto virtual'!$E:$E,'Acerto virtual'!M:M),"")</f>
        <v/>
      </c>
      <c r="AB374" s="51" t="str">
        <f t="array" ref="AB374">IFERROR(_xlfn.XLOOKUP($F374,'Acerto virtual'!$E:$E,'Acerto virtual'!N:N),"")</f>
        <v/>
      </c>
      <c r="AC374" s="51" t="str">
        <f t="array" ref="AC374">IFERROR(_xlfn.XLOOKUP($F374,'Acerto virtual'!$E:$E,'Acerto virtual'!O:O),"")</f>
        <v/>
      </c>
      <c r="AD374" s="51" t="str">
        <f t="array" ref="AD374">IFERROR(_xlfn.XLOOKUP($F374,'Acerto virtual'!$E:$E,'Acerto virtual'!P:P),"")</f>
        <v/>
      </c>
      <c r="AE374" s="51" t="str">
        <f t="array" ref="AE374">IFERROR(_xlfn.XLOOKUP($F374,'Acerto virtual'!$E:$E,'Acerto virtual'!Q:Q),"")</f>
        <v/>
      </c>
      <c r="AF374" s="51" t="str">
        <f t="array" ref="AF374">IFERROR(_xlfn.XLOOKUP($F374,'Acerto virtual'!$E:$E,'Acerto virtual'!R:R),"")</f>
        <v/>
      </c>
      <c r="AG374" s="51" t="str">
        <f t="array" ref="AG374">IFERROR(_xlfn.XLOOKUP($F374,'Acerto virtual'!$E:$E,'Acerto virtual'!S:S),"")</f>
        <v/>
      </c>
      <c r="AH374" s="51" t="str">
        <f t="array" ref="AH374">IFERROR(_xlfn.XLOOKUP($F374,'Acerto virtual'!$E:$E,'Acerto virtual'!T:T),"")</f>
        <v/>
      </c>
      <c r="AI374" s="51" t="str">
        <f t="array" ref="AI374">IFERROR(_xlfn.XLOOKUP($F374,'Acerto virtual'!$E:$E,'Acerto virtual'!U:U),"")</f>
        <v/>
      </c>
    </row>
    <row r="375" hidden="1">
      <c r="A375" s="47" t="s">
        <v>1070</v>
      </c>
      <c r="B375" s="53" t="s">
        <v>1071</v>
      </c>
      <c r="C375" s="48" t="str">
        <f t="array" ref="C375">IFERROR(_xlfn.XLOOKUP($B375,'Histórico'!$B:$B,'Histórico'!$I:$I),"")</f>
        <v>066-3046-07</v>
      </c>
      <c r="D375" s="19" t="str">
        <f t="array" ref="D375">IFERROR(_xlfn.XLOOKUP($B375,'Histórico'!$B:$B,'Histórico'!$J:$J),"")</f>
        <v>22373</v>
      </c>
      <c r="E375" s="19" t="str">
        <f t="array" ref="E375">IFERROR(_xlfn.XLOOKUP($B375,'Histórico'!$B:$B,'Histórico'!$K:$K),"")</f>
        <v>CONTROL,INDICATOR</v>
      </c>
      <c r="F375" s="19" t="str">
        <f t="array" ref="F375">IFERROR(_xlfn.XLOOKUP($B375,'Histórico'!$B:$B,'Histórico'!$L:$L),"")</f>
        <v>KI525A-B100660</v>
      </c>
      <c r="G375" s="49" t="str">
        <f t="array" ref="G375">IFERROR(_xlfn.XLOOKUP($B375,'Histórico'!$B:$B,'Histórico'!$F:$F),"")</f>
        <v>06/05/2026</v>
      </c>
      <c r="H375" s="19" t="str">
        <f t="array" ref="H375">IFERROR(_xlfn.XLOOKUP($B375,'Histórico'!$B:$B,'Histórico'!$AA:$AA),"")</f>
        <v>CLA</v>
      </c>
      <c r="I375" s="19" t="str">
        <f t="array" ref="I375">IFERROR(_xlfn.XLOOKUP($B375,Atual!$B:$B,Atual!$E:$E),"OS concluída")</f>
        <v>OS concluída</v>
      </c>
      <c r="J375" s="19" t="str">
        <f t="shared" si="1"/>
        <v/>
      </c>
      <c r="K375" s="19"/>
      <c r="L375" s="19">
        <f t="shared" si="2"/>
        <v>-35</v>
      </c>
      <c r="M375" s="19"/>
      <c r="N375" s="49">
        <f t="array" ref="N375">IFERROR(_xlfn.XLOOKUP($B375,EMPRESA_1!A:A,EMPRESA_1!J:J),"")</f>
        <v>46113</v>
      </c>
      <c r="O375" s="50" t="str">
        <f t="array" ref="O375">IFERROR(_xlfn.XLOOKUP(B375,EMPRESA_1!A:A,EMPRESA_1!K:K),"")
</f>
        <v>BABR</v>
      </c>
      <c r="P375" s="19" t="str">
        <f t="array" ref="P375">IFERROR(_xlfn.XLOOKUP(B375,EMPRESA_1!A:A,EMPRESA_1!L:L),"")</f>
        <v>261/FAB/26</v>
      </c>
      <c r="Q375" s="49">
        <f t="array" ref="Q375">IFERROR(_xlfn.XLOOKUP(B375,EMPRESA_1!A:A,EMPRESA_1!J:J),"")</f>
        <v>46113</v>
      </c>
      <c r="R375" s="19" t="str">
        <f t="array" ref="R375">IFERROR(_xlfn.XLOOKUP(B375,EMPRESA_1!A:A,EMPRESA_1!M:M),"")</f>
        <v/>
      </c>
      <c r="S375" s="51"/>
      <c r="T375" s="51" t="str">
        <f t="array" ref="T375">IFERROR(_xlfn.XLOOKUP($F375,'Acerto virtual'!$E:$E,'Acerto virtual'!F:F),"")</f>
        <v>015/2026</v>
      </c>
      <c r="U375" s="51" t="str">
        <f t="array" ref="U375">IFERROR(_xlfn.XLOOKUP($F375,'Acerto virtual'!$E:$E,'Acerto virtual'!G:G),"")</f>
        <v>22/04</v>
      </c>
      <c r="V375" s="51" t="str">
        <f t="array" ref="V375">IFERROR(_xlfn.XLOOKUP($F375,'Acerto virtual'!$E:$E,'Acerto virtual'!H:H),"")</f>
        <v>04/05</v>
      </c>
      <c r="W375" s="51" t="str">
        <f t="array" ref="W375">IFERROR(_xlfn.XLOOKUP($F375,'Acerto virtual'!$E:$E,'Acerto virtual'!I:I),"")</f>
        <v>gmm assinada do recolhimento entregue em 21/05</v>
      </c>
      <c r="X375" s="51" t="str">
        <f t="array" ref="X375">IFERROR(_xlfn.XLOOKUP($F375,'Acerto virtual'!$E:$E,'Acerto virtual'!J:J),"")</f>
        <v>21/05</v>
      </c>
      <c r="Y375" s="51" t="str">
        <f t="array" ref="Y375">IFERROR(_xlfn.XLOOKUP($F375,'Acerto virtual'!$E:$E,'Acerto virtual'!K:K),"")</f>
        <v>06/08</v>
      </c>
      <c r="Z375" s="51" t="str">
        <f t="array" ref="Z375">IFERROR(_xlfn.XLOOKUP($F375,'Acerto virtual'!$E:$E,'Acerto virtual'!L:L),"")</f>
        <v>06/08</v>
      </c>
      <c r="AA375" s="51" t="str">
        <f t="array" ref="AA375">IFERROR(_xlfn.XLOOKUP($F375,'Acerto virtual'!$E:$E,'Acerto virtual'!M:M),"")</f>
        <v>07/08</v>
      </c>
      <c r="AB375" s="51" t="str">
        <f t="array" ref="AB375">IFERROR(_xlfn.XLOOKUP($F375,'Acerto virtual'!$E:$E,'Acerto virtual'!N:N),"")</f>
        <v>07/08</v>
      </c>
      <c r="AC375" s="51" t="str">
        <f t="array" ref="AC375">IFERROR(_xlfn.XLOOKUP($F375,'Acerto virtual'!$E:$E,'Acerto virtual'!O:O),"")</f>
        <v>07/08</v>
      </c>
      <c r="AD375" s="51" t="str">
        <f t="array" ref="AD375">IFERROR(_xlfn.XLOOKUP($F375,'Acerto virtual'!$E:$E,'Acerto virtual'!P:P),"")</f>
        <v>12/08</v>
      </c>
      <c r="AE375" s="51" t="str">
        <f t="array" ref="AE375">IFERROR(_xlfn.XLOOKUP($F375,'Acerto virtual'!$E:$E,'Acerto virtual'!Q:Q),"")</f>
        <v>12/08</v>
      </c>
      <c r="AF375" s="51" t="str">
        <f t="array" ref="AF375">IFERROR(_xlfn.XLOOKUP($F375,'Acerto virtual'!$E:$E,'Acerto virtual'!R:R),"")</f>
        <v>12/08, 01/09</v>
      </c>
      <c r="AG375" s="51" t="str">
        <f t="array" ref="AG375">IFERROR(_xlfn.XLOOKUP($F375,'Acerto virtual'!$E:$E,'Acerto virtual'!S:S),"")</f>
        <v>01/09</v>
      </c>
      <c r="AH375" s="51" t="str">
        <f t="array" ref="AH375">IFERROR(_xlfn.XLOOKUP($F375,'Acerto virtual'!$E:$E,'Acerto virtual'!T:T),"")</f>
        <v>09/09</v>
      </c>
      <c r="AI375" s="51" t="str">
        <f t="array" ref="AI375">IFERROR(_xlfn.XLOOKUP($F375,'Acerto virtual'!$E:$E,'Acerto virtual'!U:U),"")</f>
        <v>RECEBIDO POR 3S KESIA</v>
      </c>
    </row>
    <row r="376">
      <c r="A376" s="47" t="s">
        <v>1072</v>
      </c>
      <c r="B376" s="53" t="s">
        <v>1073</v>
      </c>
      <c r="C376" s="48" t="str">
        <f t="array" ref="C376">IFERROR(_xlfn.XLOOKUP($B376,'Histórico'!$B:$B,'Histórico'!$I:$I),"")</f>
        <v>3244897-4</v>
      </c>
      <c r="D376" s="19" t="str">
        <f t="array" ref="D376">IFERROR(_xlfn.XLOOKUP($B376,'Histórico'!$B:$B,'Histórico'!$J:$J),"")</f>
        <v>07213</v>
      </c>
      <c r="E376" s="19" t="str">
        <f t="array" ref="E376">IFERROR(_xlfn.XLOOKUP($B376,'Histórico'!$B:$B,'Histórico'!$K:$K),"")</f>
        <v>FUEL CONTROL UNIT</v>
      </c>
      <c r="F376" s="19" t="str">
        <f t="array" ref="F376">IFERROR(_xlfn.XLOOKUP($B376,'Histórico'!$B:$B,'Histórico'!$L:$L),"")</f>
        <v>C66508</v>
      </c>
      <c r="G376" s="49" t="str">
        <f t="array" ref="G376">IFERROR(_xlfn.XLOOKUP($B376,'Histórico'!$B:$B,'Histórico'!$F:$F),"")</f>
        <v>07/05/2026</v>
      </c>
      <c r="H376" s="19" t="str">
        <f t="array" ref="H376">IFERROR(_xlfn.XLOOKUP($B376,'Histórico'!$B:$B,'Histórico'!$AA:$AA),"")</f>
        <v>PAMALS</v>
      </c>
      <c r="I376" s="19" t="str">
        <f t="array" ref="I376">IFERROR(_xlfn.XLOOKUP($B376,Atual!$B:$B,Atual!$E:$E),"OS concluída")</f>
        <v>REC</v>
      </c>
      <c r="J376" s="19">
        <f t="shared" si="1"/>
        <v>161</v>
      </c>
      <c r="K376" s="19"/>
      <c r="L376" s="19" t="str">
        <f t="shared" si="2"/>
        <v>NÃO APLICÁVEL</v>
      </c>
      <c r="M376" s="19"/>
      <c r="N376" s="49" t="str">
        <f t="array" ref="N376">IFERROR(_xlfn.XLOOKUP($B376,EMPRESA_1!A:A,EMPRESA_1!J:J),"")</f>
        <v>EM REPARO</v>
      </c>
      <c r="O376" s="50" t="str">
        <f t="array" ref="O376">IFERROR(_xlfn.XLOOKUP(B376,EMPRESA_1!A:A,EMPRESA_1!K:K),"")
</f>
        <v>LEAP</v>
      </c>
      <c r="P376" s="48" t="str">
        <f t="array" ref="P376">IFERROR(_xlfn.XLOOKUP(B376,EMPRESA_1!A:A,EMPRESA_1!L:L),"")</f>
        <v/>
      </c>
      <c r="Q376" s="49" t="str">
        <f t="array" ref="Q376">IFERROR(_xlfn.XLOOKUP(B376,EMPRESA_1!A:A,EMPRESA_1!J:J),"")</f>
        <v>EM REPARO</v>
      </c>
      <c r="R376" s="19" t="str">
        <f t="array" ref="R376">IFERROR(_xlfn.XLOOKUP(B376,EMPRESA_1!A:A,EMPRESA_1!M:M),"")</f>
        <v/>
      </c>
      <c r="S376" s="51"/>
      <c r="T376" s="51" t="str">
        <f t="array" ref="T376">IFERROR(_xlfn.XLOOKUP($F376,'Acerto virtual'!$E:$E,'Acerto virtual'!F:F),"")</f>
        <v/>
      </c>
      <c r="U376" s="51" t="str">
        <f t="array" ref="U376">IFERROR(_xlfn.XLOOKUP($F376,'Acerto virtual'!$E:$E,'Acerto virtual'!G:G),"")</f>
        <v/>
      </c>
      <c r="V376" s="51" t="str">
        <f t="array" ref="V376">IFERROR(_xlfn.XLOOKUP($F376,'Acerto virtual'!$E:$E,'Acerto virtual'!H:H),"")</f>
        <v/>
      </c>
      <c r="W376" s="51" t="str">
        <f t="array" ref="W376">IFERROR(_xlfn.XLOOKUP($F376,'Acerto virtual'!$E:$E,'Acerto virtual'!I:I),"")</f>
        <v/>
      </c>
      <c r="X376" s="51" t="str">
        <f t="array" ref="X376">IFERROR(_xlfn.XLOOKUP($F376,'Acerto virtual'!$E:$E,'Acerto virtual'!J:J),"")</f>
        <v/>
      </c>
      <c r="Y376" s="51" t="str">
        <f t="array" ref="Y376">IFERROR(_xlfn.XLOOKUP($F376,'Acerto virtual'!$E:$E,'Acerto virtual'!K:K),"")</f>
        <v/>
      </c>
      <c r="Z376" s="51" t="str">
        <f t="array" ref="Z376">IFERROR(_xlfn.XLOOKUP($F376,'Acerto virtual'!$E:$E,'Acerto virtual'!L:L),"")</f>
        <v/>
      </c>
      <c r="AA376" s="51" t="str">
        <f t="array" ref="AA376">IFERROR(_xlfn.XLOOKUP($F376,'Acerto virtual'!$E:$E,'Acerto virtual'!M:M),"")</f>
        <v/>
      </c>
      <c r="AB376" s="51" t="str">
        <f t="array" ref="AB376">IFERROR(_xlfn.XLOOKUP($F376,'Acerto virtual'!$E:$E,'Acerto virtual'!N:N),"")</f>
        <v/>
      </c>
      <c r="AC376" s="51" t="str">
        <f t="array" ref="AC376">IFERROR(_xlfn.XLOOKUP($F376,'Acerto virtual'!$E:$E,'Acerto virtual'!O:O),"")</f>
        <v/>
      </c>
      <c r="AD376" s="51" t="str">
        <f t="array" ref="AD376">IFERROR(_xlfn.XLOOKUP($F376,'Acerto virtual'!$E:$E,'Acerto virtual'!P:P),"")</f>
        <v/>
      </c>
      <c r="AE376" s="51" t="str">
        <f t="array" ref="AE376">IFERROR(_xlfn.XLOOKUP($F376,'Acerto virtual'!$E:$E,'Acerto virtual'!Q:Q),"")</f>
        <v/>
      </c>
      <c r="AF376" s="51" t="str">
        <f t="array" ref="AF376">IFERROR(_xlfn.XLOOKUP($F376,'Acerto virtual'!$E:$E,'Acerto virtual'!R:R),"")</f>
        <v/>
      </c>
      <c r="AG376" s="51" t="str">
        <f t="array" ref="AG376">IFERROR(_xlfn.XLOOKUP($F376,'Acerto virtual'!$E:$E,'Acerto virtual'!S:S),"")</f>
        <v/>
      </c>
      <c r="AH376" s="51" t="str">
        <f t="array" ref="AH376">IFERROR(_xlfn.XLOOKUP($F376,'Acerto virtual'!$E:$E,'Acerto virtual'!T:T),"")</f>
        <v/>
      </c>
      <c r="AI376" s="51" t="str">
        <f t="array" ref="AI376">IFERROR(_xlfn.XLOOKUP($F376,'Acerto virtual'!$E:$E,'Acerto virtual'!U:U),"")</f>
        <v/>
      </c>
    </row>
    <row r="377">
      <c r="A377" s="47" t="s">
        <v>1074</v>
      </c>
      <c r="B377" s="53" t="s">
        <v>1075</v>
      </c>
      <c r="C377" s="48" t="str">
        <f t="array" ref="C377">IFERROR(_xlfn.XLOOKUP($B377,'Histórico'!$B:$B,'Histórico'!$I:$I),"")</f>
        <v>3244897-4</v>
      </c>
      <c r="D377" s="19" t="str">
        <f t="array" ref="D377">IFERROR(_xlfn.XLOOKUP($B377,'Histórico'!$B:$B,'Histórico'!$J:$J),"")</f>
        <v>07213</v>
      </c>
      <c r="E377" s="19" t="str">
        <f t="array" ref="E377">IFERROR(_xlfn.XLOOKUP($B377,'Histórico'!$B:$B,'Histórico'!$K:$K),"")</f>
        <v>FUEL CONTROL UNIT</v>
      </c>
      <c r="F377" s="19" t="str">
        <f t="array" ref="F377">IFERROR(_xlfn.XLOOKUP($B377,'Histórico'!$B:$B,'Histórico'!$L:$L),"")</f>
        <v>C66698</v>
      </c>
      <c r="G377" s="49" t="str">
        <f t="array" ref="G377">IFERROR(_xlfn.XLOOKUP($B377,'Histórico'!$B:$B,'Histórico'!$F:$F),"")</f>
        <v>07/05/2026</v>
      </c>
      <c r="H377" s="19" t="str">
        <f t="array" ref="H377">IFERROR(_xlfn.XLOOKUP($B377,'Histórico'!$B:$B,'Histórico'!$AA:$AA),"")</f>
        <v>PAMALS</v>
      </c>
      <c r="I377" s="19" t="str">
        <f t="array" ref="I377">IFERROR(_xlfn.XLOOKUP($B377,Atual!$B:$B,Atual!$E:$E),"OS concluída")</f>
        <v>REC</v>
      </c>
      <c r="J377" s="19">
        <f t="shared" si="1"/>
        <v>161</v>
      </c>
      <c r="K377" s="19"/>
      <c r="L377" s="19" t="str">
        <f t="shared" si="2"/>
        <v>NÃO APLICÁVEL</v>
      </c>
      <c r="M377" s="19"/>
      <c r="N377" s="49" t="str">
        <f t="array" ref="N377">IFERROR(_xlfn.XLOOKUP($B377,EMPRESA_1!A:A,EMPRESA_1!J:J),"")</f>
        <v>EM REPARO</v>
      </c>
      <c r="O377" s="50" t="str">
        <f t="array" ref="O377">IFERROR(_xlfn.XLOOKUP(B377,EMPRESA_1!A:A,EMPRESA_1!K:K),"")
</f>
        <v>LEAP</v>
      </c>
      <c r="P377" s="48" t="str">
        <f t="array" ref="P377">IFERROR(_xlfn.XLOOKUP(B377,EMPRESA_1!A:A,EMPRESA_1!L:L),"")</f>
        <v/>
      </c>
      <c r="Q377" s="49" t="str">
        <f t="array" ref="Q377">IFERROR(_xlfn.XLOOKUP(B377,EMPRESA_1!A:A,EMPRESA_1!J:J),"")</f>
        <v>EM REPARO</v>
      </c>
      <c r="R377" s="19" t="str">
        <f t="array" ref="R377">IFERROR(_xlfn.XLOOKUP(B377,EMPRESA_1!A:A,EMPRESA_1!M:M),"")</f>
        <v/>
      </c>
      <c r="S377" s="51"/>
      <c r="T377" s="51" t="str">
        <f t="array" ref="T377">IFERROR(_xlfn.XLOOKUP($F377,'Acerto virtual'!$E:$E,'Acerto virtual'!F:F),"")</f>
        <v/>
      </c>
      <c r="U377" s="51" t="str">
        <f t="array" ref="U377">IFERROR(_xlfn.XLOOKUP($F377,'Acerto virtual'!$E:$E,'Acerto virtual'!G:G),"")</f>
        <v/>
      </c>
      <c r="V377" s="51" t="str">
        <f t="array" ref="V377">IFERROR(_xlfn.XLOOKUP($F377,'Acerto virtual'!$E:$E,'Acerto virtual'!H:H),"")</f>
        <v/>
      </c>
      <c r="W377" s="51" t="str">
        <f t="array" ref="W377">IFERROR(_xlfn.XLOOKUP($F377,'Acerto virtual'!$E:$E,'Acerto virtual'!I:I),"")</f>
        <v/>
      </c>
      <c r="X377" s="51" t="str">
        <f t="array" ref="X377">IFERROR(_xlfn.XLOOKUP($F377,'Acerto virtual'!$E:$E,'Acerto virtual'!J:J),"")</f>
        <v/>
      </c>
      <c r="Y377" s="51" t="str">
        <f t="array" ref="Y377">IFERROR(_xlfn.XLOOKUP($F377,'Acerto virtual'!$E:$E,'Acerto virtual'!K:K),"")</f>
        <v/>
      </c>
      <c r="Z377" s="51" t="str">
        <f t="array" ref="Z377">IFERROR(_xlfn.XLOOKUP($F377,'Acerto virtual'!$E:$E,'Acerto virtual'!L:L),"")</f>
        <v/>
      </c>
      <c r="AA377" s="51" t="str">
        <f t="array" ref="AA377">IFERROR(_xlfn.XLOOKUP($F377,'Acerto virtual'!$E:$E,'Acerto virtual'!M:M),"")</f>
        <v/>
      </c>
      <c r="AB377" s="51" t="str">
        <f t="array" ref="AB377">IFERROR(_xlfn.XLOOKUP($F377,'Acerto virtual'!$E:$E,'Acerto virtual'!N:N),"")</f>
        <v/>
      </c>
      <c r="AC377" s="51" t="str">
        <f t="array" ref="AC377">IFERROR(_xlfn.XLOOKUP($F377,'Acerto virtual'!$E:$E,'Acerto virtual'!O:O),"")</f>
        <v/>
      </c>
      <c r="AD377" s="51" t="str">
        <f t="array" ref="AD377">IFERROR(_xlfn.XLOOKUP($F377,'Acerto virtual'!$E:$E,'Acerto virtual'!P:P),"")</f>
        <v/>
      </c>
      <c r="AE377" s="51" t="str">
        <f t="array" ref="AE377">IFERROR(_xlfn.XLOOKUP($F377,'Acerto virtual'!$E:$E,'Acerto virtual'!Q:Q),"")</f>
        <v/>
      </c>
      <c r="AF377" s="51" t="str">
        <f t="array" ref="AF377">IFERROR(_xlfn.XLOOKUP($F377,'Acerto virtual'!$E:$E,'Acerto virtual'!R:R),"")</f>
        <v/>
      </c>
      <c r="AG377" s="51" t="str">
        <f t="array" ref="AG377">IFERROR(_xlfn.XLOOKUP($F377,'Acerto virtual'!$E:$E,'Acerto virtual'!S:S),"")</f>
        <v/>
      </c>
      <c r="AH377" s="51" t="str">
        <f t="array" ref="AH377">IFERROR(_xlfn.XLOOKUP($F377,'Acerto virtual'!$E:$E,'Acerto virtual'!T:T),"")</f>
        <v/>
      </c>
      <c r="AI377" s="51" t="str">
        <f t="array" ref="AI377">IFERROR(_xlfn.XLOOKUP($F377,'Acerto virtual'!$E:$E,'Acerto virtual'!U:U),"")</f>
        <v/>
      </c>
    </row>
    <row r="378">
      <c r="A378" s="47" t="s">
        <v>1076</v>
      </c>
      <c r="B378" s="53" t="s">
        <v>1077</v>
      </c>
      <c r="C378" s="48" t="str">
        <f t="array" ref="C378">IFERROR(_xlfn.XLOOKUP($B378,'Histórico'!$B:$B,'Histórico'!$I:$I),"")</f>
        <v>060-0015-00</v>
      </c>
      <c r="D378" s="19" t="str">
        <f t="array" ref="D378">IFERROR(_xlfn.XLOOKUP($B378,'Histórico'!$B:$B,'Histórico'!$J:$J),"")</f>
        <v>22373</v>
      </c>
      <c r="E378" s="19" t="str">
        <f t="array" ref="E378">IFERROR(_xlfn.XLOOKUP($B378,'Histórico'!$B:$B,'Histórico'!$K:$K),"")</f>
        <v>CONTROL,DIRECTIONAL,AUTOMATIC PILOT</v>
      </c>
      <c r="F378" s="19" t="str">
        <f t="array" ref="F378">IFERROR(_xlfn.XLOOKUP($B378,'Histórico'!$B:$B,'Histórico'!$L:$L),"")</f>
        <v>35511</v>
      </c>
      <c r="G378" s="49" t="str">
        <f t="array" ref="G378">IFERROR(_xlfn.XLOOKUP($B378,'Histórico'!$B:$B,'Histórico'!$F:$F),"")</f>
        <v>12/05/2026</v>
      </c>
      <c r="H378" s="19" t="str">
        <f t="array" ref="H378">IFERROR(_xlfn.XLOOKUP($B378,'Histórico'!$B:$B,'Histórico'!$AA:$AA),"")</f>
        <v>ALA 5</v>
      </c>
      <c r="I378" s="19" t="str">
        <f t="array" ref="I378">IFERROR(_xlfn.XLOOKUP($B378,Atual!$B:$B,Atual!$E:$E),"OS concluída")</f>
        <v>REC</v>
      </c>
      <c r="J378" s="19">
        <f t="shared" si="1"/>
        <v>156</v>
      </c>
      <c r="K378" s="19"/>
      <c r="L378" s="19">
        <f t="shared" si="2"/>
        <v>94</v>
      </c>
      <c r="M378" s="19"/>
      <c r="N378" s="49">
        <f t="array" ref="N378">IFERROR(_xlfn.XLOOKUP($B378,EMPRESA_1!A:A,EMPRESA_1!J:J),"")</f>
        <v>46248</v>
      </c>
      <c r="O378" s="50" t="str">
        <f t="array" ref="O378">IFERROR(_xlfn.XLOOKUP(B378,EMPRESA_1!A:A,EMPRESA_1!K:K),"")
</f>
        <v>WILLIAM</v>
      </c>
      <c r="P378" s="48" t="str">
        <f t="array" ref="P378">IFERROR(_xlfn.XLOOKUP(B378,EMPRESA_1!A:A,EMPRESA_1!L:L),"")</f>
        <v/>
      </c>
      <c r="Q378" s="49">
        <f t="array" ref="Q378">IFERROR(_xlfn.XLOOKUP(B378,EMPRESA_1!A:A,EMPRESA_1!J:J),"")</f>
        <v>46248</v>
      </c>
      <c r="R378" s="19" t="str">
        <f t="array" ref="R378">IFERROR(_xlfn.XLOOKUP(B378,EMPRESA_1!A:A,EMPRESA_1!M:M),"")</f>
        <v/>
      </c>
      <c r="S378" s="51"/>
      <c r="T378" s="51" t="str">
        <f t="array" ref="T378">IFERROR(_xlfn.XLOOKUP($F378,'Acerto virtual'!$E:$E,'Acerto virtual'!F:F),"")</f>
        <v/>
      </c>
      <c r="U378" s="51" t="str">
        <f t="array" ref="U378">IFERROR(_xlfn.XLOOKUP($F378,'Acerto virtual'!$E:$E,'Acerto virtual'!G:G),"")</f>
        <v/>
      </c>
      <c r="V378" s="51" t="str">
        <f t="array" ref="V378">IFERROR(_xlfn.XLOOKUP($F378,'Acerto virtual'!$E:$E,'Acerto virtual'!H:H),"")</f>
        <v/>
      </c>
      <c r="W378" s="51" t="str">
        <f t="array" ref="W378">IFERROR(_xlfn.XLOOKUP($F378,'Acerto virtual'!$E:$E,'Acerto virtual'!I:I),"")</f>
        <v/>
      </c>
      <c r="X378" s="51" t="str">
        <f t="array" ref="X378">IFERROR(_xlfn.XLOOKUP($F378,'Acerto virtual'!$E:$E,'Acerto virtual'!J:J),"")</f>
        <v/>
      </c>
      <c r="Y378" s="51" t="str">
        <f t="array" ref="Y378">IFERROR(_xlfn.XLOOKUP($F378,'Acerto virtual'!$E:$E,'Acerto virtual'!K:K),"")</f>
        <v/>
      </c>
      <c r="Z378" s="51" t="str">
        <f t="array" ref="Z378">IFERROR(_xlfn.XLOOKUP($F378,'Acerto virtual'!$E:$E,'Acerto virtual'!L:L),"")</f>
        <v/>
      </c>
      <c r="AA378" s="51" t="str">
        <f t="array" ref="AA378">IFERROR(_xlfn.XLOOKUP($F378,'Acerto virtual'!$E:$E,'Acerto virtual'!M:M),"")</f>
        <v/>
      </c>
      <c r="AB378" s="51" t="str">
        <f t="array" ref="AB378">IFERROR(_xlfn.XLOOKUP($F378,'Acerto virtual'!$E:$E,'Acerto virtual'!N:N),"")</f>
        <v/>
      </c>
      <c r="AC378" s="51" t="str">
        <f t="array" ref="AC378">IFERROR(_xlfn.XLOOKUP($F378,'Acerto virtual'!$E:$E,'Acerto virtual'!O:O),"")</f>
        <v/>
      </c>
      <c r="AD378" s="51" t="str">
        <f t="array" ref="AD378">IFERROR(_xlfn.XLOOKUP($F378,'Acerto virtual'!$E:$E,'Acerto virtual'!P:P),"")</f>
        <v/>
      </c>
      <c r="AE378" s="51" t="str">
        <f t="array" ref="AE378">IFERROR(_xlfn.XLOOKUP($F378,'Acerto virtual'!$E:$E,'Acerto virtual'!Q:Q),"")</f>
        <v/>
      </c>
      <c r="AF378" s="51" t="str">
        <f t="array" ref="AF378">IFERROR(_xlfn.XLOOKUP($F378,'Acerto virtual'!$E:$E,'Acerto virtual'!R:R),"")</f>
        <v/>
      </c>
      <c r="AG378" s="51" t="str">
        <f t="array" ref="AG378">IFERROR(_xlfn.XLOOKUP($F378,'Acerto virtual'!$E:$E,'Acerto virtual'!S:S),"")</f>
        <v/>
      </c>
      <c r="AH378" s="51" t="str">
        <f t="array" ref="AH378">IFERROR(_xlfn.XLOOKUP($F378,'Acerto virtual'!$E:$E,'Acerto virtual'!T:T),"")</f>
        <v/>
      </c>
      <c r="AI378" s="51" t="str">
        <f t="array" ref="AI378">IFERROR(_xlfn.XLOOKUP($F378,'Acerto virtual'!$E:$E,'Acerto virtual'!U:U),"")</f>
        <v/>
      </c>
    </row>
    <row r="379">
      <c r="A379" s="47" t="s">
        <v>1078</v>
      </c>
      <c r="B379" s="53" t="s">
        <v>1079</v>
      </c>
      <c r="C379" s="48" t="str">
        <f t="array" ref="C379">IFERROR(_xlfn.XLOOKUP($B379,'Histórico'!$B:$B,'Histórico'!$I:$I),"")</f>
        <v>066-1072-04</v>
      </c>
      <c r="D379" s="19" t="str">
        <f t="array" ref="D379">IFERROR(_xlfn.XLOOKUP($B379,'Histórico'!$B:$B,'Histórico'!$J:$J),"")</f>
        <v>22373</v>
      </c>
      <c r="E379" s="19" t="str">
        <f t="array" ref="E379">IFERROR(_xlfn.XLOOKUP($B379,'Histórico'!$B:$B,'Histórico'!$K:$K),"")</f>
        <v>RECEIVER,RADIO</v>
      </c>
      <c r="F379" s="19" t="str">
        <f t="array" ref="F379">IFERROR(_xlfn.XLOOKUP($B379,'Histórico'!$B:$B,'Histórico'!$L:$L),"")</f>
        <v>85023</v>
      </c>
      <c r="G379" s="49" t="str">
        <f t="array" ref="G379">IFERROR(_xlfn.XLOOKUP($B379,'Histórico'!$B:$B,'Histórico'!$F:$F),"")</f>
        <v>12/05/2026</v>
      </c>
      <c r="H379" s="19" t="str">
        <f t="array" ref="H379">IFERROR(_xlfn.XLOOKUP($B379,'Histórico'!$B:$B,'Histórico'!$AA:$AA),"")</f>
        <v>BABE</v>
      </c>
      <c r="I379" s="19" t="str">
        <f t="array" ref="I379">IFERROR(_xlfn.XLOOKUP($B379,Atual!$B:$B,Atual!$E:$E),"OS concluída")</f>
        <v>REC</v>
      </c>
      <c r="J379" s="19">
        <f t="shared" si="1"/>
        <v>156</v>
      </c>
      <c r="K379" s="19"/>
      <c r="L379" s="19" t="str">
        <f t="shared" si="2"/>
        <v>NÃO APLICÁVEL</v>
      </c>
      <c r="M379" s="19"/>
      <c r="N379" s="49" t="str">
        <f t="array" ref="N379">IFERROR(_xlfn.XLOOKUP($B379,EMPRESA_1!A:A,EMPRESA_1!J:J),"")</f>
        <v>EM REPARO</v>
      </c>
      <c r="O379" s="50" t="str">
        <f t="array" ref="O379">IFERROR(_xlfn.XLOOKUP(B379,EMPRESA_1!A:A,EMPRESA_1!K:K),"")
</f>
        <v>WILLIAM</v>
      </c>
      <c r="P379" s="48" t="str">
        <f t="array" ref="P379">IFERROR(_xlfn.XLOOKUP(B379,EMPRESA_1!A:A,EMPRESA_1!L:L),"")</f>
        <v/>
      </c>
      <c r="Q379" s="49" t="str">
        <f t="array" ref="Q379">IFERROR(_xlfn.XLOOKUP(B379,EMPRESA_1!A:A,EMPRESA_1!J:J),"")</f>
        <v>EM REPARO</v>
      </c>
      <c r="R379" s="19" t="str">
        <f t="array" ref="R379">IFERROR(_xlfn.XLOOKUP(B379,EMPRESA_1!A:A,EMPRESA_1!M:M),"")</f>
        <v/>
      </c>
      <c r="S379" s="51"/>
      <c r="T379" s="51" t="str">
        <f t="array" ref="T379">IFERROR(_xlfn.XLOOKUP($F379,'Acerto virtual'!$E:$E,'Acerto virtual'!F:F),"")</f>
        <v/>
      </c>
      <c r="U379" s="51" t="str">
        <f t="array" ref="U379">IFERROR(_xlfn.XLOOKUP($F379,'Acerto virtual'!$E:$E,'Acerto virtual'!G:G),"")</f>
        <v/>
      </c>
      <c r="V379" s="51" t="str">
        <f t="array" ref="V379">IFERROR(_xlfn.XLOOKUP($F379,'Acerto virtual'!$E:$E,'Acerto virtual'!H:H),"")</f>
        <v/>
      </c>
      <c r="W379" s="51" t="str">
        <f t="array" ref="W379">IFERROR(_xlfn.XLOOKUP($F379,'Acerto virtual'!$E:$E,'Acerto virtual'!I:I),"")</f>
        <v/>
      </c>
      <c r="X379" s="51" t="str">
        <f t="array" ref="X379">IFERROR(_xlfn.XLOOKUP($F379,'Acerto virtual'!$E:$E,'Acerto virtual'!J:J),"")</f>
        <v/>
      </c>
      <c r="Y379" s="51" t="str">
        <f t="array" ref="Y379">IFERROR(_xlfn.XLOOKUP($F379,'Acerto virtual'!$E:$E,'Acerto virtual'!K:K),"")</f>
        <v/>
      </c>
      <c r="Z379" s="51" t="str">
        <f t="array" ref="Z379">IFERROR(_xlfn.XLOOKUP($F379,'Acerto virtual'!$E:$E,'Acerto virtual'!L:L),"")</f>
        <v/>
      </c>
      <c r="AA379" s="51" t="str">
        <f t="array" ref="AA379">IFERROR(_xlfn.XLOOKUP($F379,'Acerto virtual'!$E:$E,'Acerto virtual'!M:M),"")</f>
        <v/>
      </c>
      <c r="AB379" s="51" t="str">
        <f t="array" ref="AB379">IFERROR(_xlfn.XLOOKUP($F379,'Acerto virtual'!$E:$E,'Acerto virtual'!N:N),"")</f>
        <v/>
      </c>
      <c r="AC379" s="51" t="str">
        <f t="array" ref="AC379">IFERROR(_xlfn.XLOOKUP($F379,'Acerto virtual'!$E:$E,'Acerto virtual'!O:O),"")</f>
        <v/>
      </c>
      <c r="AD379" s="51" t="str">
        <f t="array" ref="AD379">IFERROR(_xlfn.XLOOKUP($F379,'Acerto virtual'!$E:$E,'Acerto virtual'!P:P),"")</f>
        <v/>
      </c>
      <c r="AE379" s="51" t="str">
        <f t="array" ref="AE379">IFERROR(_xlfn.XLOOKUP($F379,'Acerto virtual'!$E:$E,'Acerto virtual'!Q:Q),"")</f>
        <v/>
      </c>
      <c r="AF379" s="51" t="str">
        <f t="array" ref="AF379">IFERROR(_xlfn.XLOOKUP($F379,'Acerto virtual'!$E:$E,'Acerto virtual'!R:R),"")</f>
        <v/>
      </c>
      <c r="AG379" s="51" t="str">
        <f t="array" ref="AG379">IFERROR(_xlfn.XLOOKUP($F379,'Acerto virtual'!$E:$E,'Acerto virtual'!S:S),"")</f>
        <v/>
      </c>
      <c r="AH379" s="51" t="str">
        <f t="array" ref="AH379">IFERROR(_xlfn.XLOOKUP($F379,'Acerto virtual'!$E:$E,'Acerto virtual'!T:T),"")</f>
        <v/>
      </c>
      <c r="AI379" s="51" t="str">
        <f t="array" ref="AI379">IFERROR(_xlfn.XLOOKUP($F379,'Acerto virtual'!$E:$E,'Acerto virtual'!U:U),"")</f>
        <v/>
      </c>
    </row>
    <row r="380" hidden="1">
      <c r="A380" s="47" t="s">
        <v>1080</v>
      </c>
      <c r="B380" s="53" t="s">
        <v>1081</v>
      </c>
      <c r="C380" s="48" t="str">
        <f t="array" ref="C380">IFERROR(_xlfn.XLOOKUP($B380,'Histórico'!$B:$B,'Histórico'!$I:$I),"")</f>
        <v>066-1072-04</v>
      </c>
      <c r="D380" s="19" t="str">
        <f t="array" ref="D380">IFERROR(_xlfn.XLOOKUP($B380,'Histórico'!$B:$B,'Histórico'!$J:$J),"")</f>
        <v>22373</v>
      </c>
      <c r="E380" s="19" t="str">
        <f t="array" ref="E380">IFERROR(_xlfn.XLOOKUP($B380,'Histórico'!$B:$B,'Histórico'!$K:$K),"")</f>
        <v>RECEIVER,RADIO</v>
      </c>
      <c r="F380" s="19" t="str">
        <f t="array" ref="F380">IFERROR(_xlfn.XLOOKUP($B380,'Histórico'!$B:$B,'Histórico'!$L:$L),"")</f>
        <v>64318</v>
      </c>
      <c r="G380" s="49" t="str">
        <f t="array" ref="G380">IFERROR(_xlfn.XLOOKUP($B380,'Histórico'!$B:$B,'Histórico'!$F:$F),"")</f>
        <v>12/05/2026</v>
      </c>
      <c r="H380" s="19" t="str">
        <f t="array" ref="H380">IFERROR(_xlfn.XLOOKUP($B380,'Histórico'!$B:$B,'Histórico'!$AA:$AA),"")</f>
        <v>BAMN</v>
      </c>
      <c r="I380" s="19" t="str">
        <f t="array" ref="I380">IFERROR(_xlfn.XLOOKUP($B380,Atual!$B:$B,Atual!$E:$E),"OS concluída")</f>
        <v>OS concluída</v>
      </c>
      <c r="J380" s="19" t="str">
        <f t="shared" si="1"/>
        <v/>
      </c>
      <c r="K380" s="19"/>
      <c r="L380" s="19" t="str">
        <f t="shared" si="2"/>
        <v/>
      </c>
      <c r="M380" s="19"/>
      <c r="N380" s="49" t="str">
        <f t="array" ref="N380">IFERROR(_xlfn.XLOOKUP($B380,Empresa!G:G,Empresa!K:K),"")</f>
        <v/>
      </c>
      <c r="O380" s="50" t="str">
        <f t="array" ref="O380">IFERROR(_xlfn.XLOOKUP(B380,EMPRESA_1!A:A,EMPRESA_1!K:K),"")
</f>
        <v>WILLIAM</v>
      </c>
      <c r="P380" s="48" t="str">
        <f t="array" ref="P380">IFERROR(_xlfn.XLOOKUP(B380,EMPRESA_1!A:A,EMPRESA_1!L:L),"")</f>
        <v/>
      </c>
      <c r="Q380" s="49">
        <f t="array" ref="Q380">IFERROR(_xlfn.XLOOKUP(B380,EMPRESA_1!A:A,EMPRESA_1!J:J),"")</f>
        <v>46176</v>
      </c>
      <c r="R380" s="19" t="str">
        <f t="array" ref="R380">IFERROR(_xlfn.XLOOKUP(B380,EMPRESA_1!A:A,EMPRESA_1!M:M),"")</f>
        <v>DEVOLVODO NO ESTADO</v>
      </c>
      <c r="S380" s="51"/>
      <c r="T380" s="51" t="str">
        <f t="array" ref="T380">IFERROR(_xlfn.XLOOKUP($F380,'Acerto virtual'!$E:$E,'Acerto virtual'!F:F),"")</f>
        <v>024/2026</v>
      </c>
      <c r="U380" s="51" t="str">
        <f t="array" ref="U380">IFERROR(_xlfn.XLOOKUP($F380,'Acerto virtual'!$E:$E,'Acerto virtual'!G:G),"")</f>
        <v>07/07</v>
      </c>
      <c r="V380" s="51" t="str">
        <f t="array" ref="V380">IFERROR(_xlfn.XLOOKUP($F380,'Acerto virtual'!$E:$E,'Acerto virtual'!H:H),"")</f>
        <v>09/07</v>
      </c>
      <c r="W380" s="51" t="str">
        <f t="array" ref="W380">IFERROR(_xlfn.XLOOKUP($F380,'Acerto virtual'!$E:$E,'Acerto virtual'!I:I),"")</f>
        <v/>
      </c>
      <c r="X380" s="51" t="str">
        <f t="array" ref="X380">IFERROR(_xlfn.XLOOKUP($F380,'Acerto virtual'!$E:$E,'Acerto virtual'!J:J),"")</f>
        <v>09/07</v>
      </c>
      <c r="Y380" s="51" t="str">
        <f t="array" ref="Y380">IFERROR(_xlfn.XLOOKUP($F380,'Acerto virtual'!$E:$E,'Acerto virtual'!K:K),"")</f>
        <v>10/07</v>
      </c>
      <c r="Z380" s="51" t="str">
        <f t="array" ref="Z380">IFERROR(_xlfn.XLOOKUP($F380,'Acerto virtual'!$E:$E,'Acerto virtual'!L:L),"")</f>
        <v>10/07</v>
      </c>
      <c r="AA380" s="51" t="str">
        <f t="array" ref="AA380">IFERROR(_xlfn.XLOOKUP($F380,'Acerto virtual'!$E:$E,'Acerto virtual'!M:M),"")</f>
        <v>13/07</v>
      </c>
      <c r="AB380" s="51" t="str">
        <f t="array" ref="AB380">IFERROR(_xlfn.XLOOKUP($F380,'Acerto virtual'!$E:$E,'Acerto virtual'!N:N),"")</f>
        <v>13/07</v>
      </c>
      <c r="AC380" s="51" t="str">
        <f t="array" ref="AC380">IFERROR(_xlfn.XLOOKUP($F380,'Acerto virtual'!$E:$E,'Acerto virtual'!O:O),"")</f>
        <v>13/07</v>
      </c>
      <c r="AD380" s="51" t="str">
        <f t="array" ref="AD380">IFERROR(_xlfn.XLOOKUP($F380,'Acerto virtual'!$E:$E,'Acerto virtual'!P:P),"")</f>
        <v>13/07</v>
      </c>
      <c r="AE380" s="51" t="str">
        <f t="array" ref="AE380">IFERROR(_xlfn.XLOOKUP($F380,'Acerto virtual'!$E:$E,'Acerto virtual'!Q:Q),"")</f>
        <v>13/07</v>
      </c>
      <c r="AF380" s="51" t="str">
        <f t="array" ref="AF380">IFERROR(_xlfn.XLOOKUP($F380,'Acerto virtual'!$E:$E,'Acerto virtual'!R:R),"")</f>
        <v>13/07</v>
      </c>
      <c r="AG380" s="51" t="str">
        <f t="array" ref="AG380">IFERROR(_xlfn.XLOOKUP($F380,'Acerto virtual'!$E:$E,'Acerto virtual'!S:S),"")</f>
        <v>13/07, 01/09</v>
      </c>
      <c r="AH380" s="51" t="str">
        <f t="array" ref="AH380">IFERROR(_xlfn.XLOOKUP($F380,'Acerto virtual'!$E:$E,'Acerto virtual'!T:T),"")</f>
        <v>09/09</v>
      </c>
      <c r="AI380" s="51" t="str">
        <f t="array" ref="AI380">IFERROR(_xlfn.XLOOKUP($F380,'Acerto virtual'!$E:$E,'Acerto virtual'!U:U),"")</f>
        <v>RECEBIDO POR 3S KESIA</v>
      </c>
    </row>
    <row r="381">
      <c r="A381" s="47" t="s">
        <v>1082</v>
      </c>
      <c r="B381" s="53" t="s">
        <v>1083</v>
      </c>
      <c r="C381" s="48" t="str">
        <f t="array" ref="C381">IFERROR(_xlfn.XLOOKUP($B381,'Histórico'!$B:$B,'Histórico'!$I:$I),"")</f>
        <v>066-1072-04</v>
      </c>
      <c r="D381" s="19" t="str">
        <f t="array" ref="D381">IFERROR(_xlfn.XLOOKUP($B381,'Histórico'!$B:$B,'Histórico'!$J:$J),"")</f>
        <v>22373</v>
      </c>
      <c r="E381" s="19" t="str">
        <f t="array" ref="E381">IFERROR(_xlfn.XLOOKUP($B381,'Histórico'!$B:$B,'Histórico'!$K:$K),"")</f>
        <v>RECEIVER,RADIO</v>
      </c>
      <c r="F381" s="19" t="str">
        <f t="array" ref="F381">IFERROR(_xlfn.XLOOKUP($B381,'Histórico'!$B:$B,'Histórico'!$L:$L),"")</f>
        <v>83287</v>
      </c>
      <c r="G381" s="49" t="str">
        <f t="array" ref="G381">IFERROR(_xlfn.XLOOKUP($B381,'Histórico'!$B:$B,'Histórico'!$F:$F),"")</f>
        <v>12/05/2026</v>
      </c>
      <c r="H381" s="19" t="str">
        <f t="array" ref="H381">IFERROR(_xlfn.XLOOKUP($B381,'Histórico'!$B:$B,'Histórico'!$AA:$AA),"")</f>
        <v>BABE</v>
      </c>
      <c r="I381" s="19" t="str">
        <f t="array" ref="I381">IFERROR(_xlfn.XLOOKUP($B381,Atual!$B:$B,Atual!$E:$E),"OS concluída")</f>
        <v>REC</v>
      </c>
      <c r="J381" s="19">
        <f t="shared" si="1"/>
        <v>156</v>
      </c>
      <c r="K381" s="19"/>
      <c r="L381" s="19" t="str">
        <f t="shared" si="2"/>
        <v>NÃO APLICÁVEL</v>
      </c>
      <c r="M381" s="19"/>
      <c r="N381" s="49" t="str">
        <f t="array" ref="N381">IFERROR(_xlfn.XLOOKUP($B381,EMPRESA_1!A:A,EMPRESA_1!J:J),"")</f>
        <v>EM REPARO</v>
      </c>
      <c r="O381" s="50" t="str">
        <f t="array" ref="O381">IFERROR(_xlfn.XLOOKUP(B381,EMPRESA_1!A:A,EMPRESA_1!K:K),"")
</f>
        <v>WILLIAM</v>
      </c>
      <c r="P381" s="48" t="str">
        <f t="array" ref="P381">IFERROR(_xlfn.XLOOKUP(B381,EMPRESA_1!A:A,EMPRESA_1!L:L),"")</f>
        <v/>
      </c>
      <c r="Q381" s="49" t="str">
        <f t="array" ref="Q381">IFERROR(_xlfn.XLOOKUP(B381,EMPRESA_1!A:A,EMPRESA_1!J:J),"")</f>
        <v>EM REPARO</v>
      </c>
      <c r="R381" s="19" t="str">
        <f t="array" ref="R381">IFERROR(_xlfn.XLOOKUP(B381,EMPRESA_1!A:A,EMPRESA_1!M:M),"")</f>
        <v/>
      </c>
      <c r="S381" s="51"/>
      <c r="T381" s="51" t="str">
        <f t="array" ref="T381">IFERROR(_xlfn.XLOOKUP($F381,'Acerto virtual'!$E:$E,'Acerto virtual'!F:F),"")</f>
        <v/>
      </c>
      <c r="U381" s="51" t="str">
        <f t="array" ref="U381">IFERROR(_xlfn.XLOOKUP($F381,'Acerto virtual'!$E:$E,'Acerto virtual'!G:G),"")</f>
        <v/>
      </c>
      <c r="V381" s="51" t="str">
        <f t="array" ref="V381">IFERROR(_xlfn.XLOOKUP($F381,'Acerto virtual'!$E:$E,'Acerto virtual'!H:H),"")</f>
        <v/>
      </c>
      <c r="W381" s="51" t="str">
        <f t="array" ref="W381">IFERROR(_xlfn.XLOOKUP($F381,'Acerto virtual'!$E:$E,'Acerto virtual'!I:I),"")</f>
        <v/>
      </c>
      <c r="X381" s="51" t="str">
        <f t="array" ref="X381">IFERROR(_xlfn.XLOOKUP($F381,'Acerto virtual'!$E:$E,'Acerto virtual'!J:J),"")</f>
        <v/>
      </c>
      <c r="Y381" s="51" t="str">
        <f t="array" ref="Y381">IFERROR(_xlfn.XLOOKUP($F381,'Acerto virtual'!$E:$E,'Acerto virtual'!K:K),"")</f>
        <v/>
      </c>
      <c r="Z381" s="51" t="str">
        <f t="array" ref="Z381">IFERROR(_xlfn.XLOOKUP($F381,'Acerto virtual'!$E:$E,'Acerto virtual'!L:L),"")</f>
        <v/>
      </c>
      <c r="AA381" s="51" t="str">
        <f t="array" ref="AA381">IFERROR(_xlfn.XLOOKUP($F381,'Acerto virtual'!$E:$E,'Acerto virtual'!M:M),"")</f>
        <v/>
      </c>
      <c r="AB381" s="51" t="str">
        <f t="array" ref="AB381">IFERROR(_xlfn.XLOOKUP($F381,'Acerto virtual'!$E:$E,'Acerto virtual'!N:N),"")</f>
        <v/>
      </c>
      <c r="AC381" s="51" t="str">
        <f t="array" ref="AC381">IFERROR(_xlfn.XLOOKUP($F381,'Acerto virtual'!$E:$E,'Acerto virtual'!O:O),"")</f>
        <v/>
      </c>
      <c r="AD381" s="51" t="str">
        <f t="array" ref="AD381">IFERROR(_xlfn.XLOOKUP($F381,'Acerto virtual'!$E:$E,'Acerto virtual'!P:P),"")</f>
        <v/>
      </c>
      <c r="AE381" s="51" t="str">
        <f t="array" ref="AE381">IFERROR(_xlfn.XLOOKUP($F381,'Acerto virtual'!$E:$E,'Acerto virtual'!Q:Q),"")</f>
        <v/>
      </c>
      <c r="AF381" s="51" t="str">
        <f t="array" ref="AF381">IFERROR(_xlfn.XLOOKUP($F381,'Acerto virtual'!$E:$E,'Acerto virtual'!R:R),"")</f>
        <v/>
      </c>
      <c r="AG381" s="51" t="str">
        <f t="array" ref="AG381">IFERROR(_xlfn.XLOOKUP($F381,'Acerto virtual'!$E:$E,'Acerto virtual'!S:S),"")</f>
        <v/>
      </c>
      <c r="AH381" s="51" t="str">
        <f t="array" ref="AH381">IFERROR(_xlfn.XLOOKUP($F381,'Acerto virtual'!$E:$E,'Acerto virtual'!T:T),"")</f>
        <v/>
      </c>
      <c r="AI381" s="51" t="str">
        <f t="array" ref="AI381">IFERROR(_xlfn.XLOOKUP($F381,'Acerto virtual'!$E:$E,'Acerto virtual'!U:U),"")</f>
        <v/>
      </c>
    </row>
    <row r="382">
      <c r="A382" s="47" t="s">
        <v>1084</v>
      </c>
      <c r="B382" s="53" t="s">
        <v>1085</v>
      </c>
      <c r="C382" s="48" t="str">
        <f t="array" ref="C382">IFERROR(_xlfn.XLOOKUP($B382,'Histórico'!$B:$B,'Histórico'!$I:$I),"")</f>
        <v>066-3084-32</v>
      </c>
      <c r="D382" s="19" t="str">
        <f t="array" ref="D382">IFERROR(_xlfn.XLOOKUP($B382,'Histórico'!$B:$B,'Histórico'!$J:$J),"")</f>
        <v>22373</v>
      </c>
      <c r="E382" s="19" t="str">
        <f t="array" ref="E382">IFERROR(_xlfn.XLOOKUP($B382,'Histórico'!$B:$B,'Histórico'!$K:$K),"")</f>
        <v>IND RDR 2000 IN-182A</v>
      </c>
      <c r="F382" s="19" t="str">
        <f t="array" ref="F382">IFERROR(_xlfn.XLOOKUP($B382,'Histórico'!$B:$B,'Histórico'!$L:$L),"")</f>
        <v>25424</v>
      </c>
      <c r="G382" s="49" t="str">
        <f t="array" ref="G382">IFERROR(_xlfn.XLOOKUP($B382,'Histórico'!$B:$B,'Histórico'!$F:$F),"")</f>
        <v>12/05/2026</v>
      </c>
      <c r="H382" s="19" t="str">
        <f t="array" ref="H382">IFERROR(_xlfn.XLOOKUP($B382,'Histórico'!$B:$B,'Histórico'!$AA:$AA),"")</f>
        <v>PAMALS</v>
      </c>
      <c r="I382" s="19" t="str">
        <f t="array" ref="I382">IFERROR(_xlfn.XLOOKUP($B382,Atual!$B:$B,Atual!$E:$E),"OS concluída")</f>
        <v>REC</v>
      </c>
      <c r="J382" s="19">
        <f t="shared" si="1"/>
        <v>156</v>
      </c>
      <c r="K382" s="19"/>
      <c r="L382" s="19">
        <f t="shared" si="2"/>
        <v>20</v>
      </c>
      <c r="M382" s="19"/>
      <c r="N382" s="49">
        <f t="array" ref="N382">IFERROR(_xlfn.XLOOKUP($B382,EMPRESA_1!A:A,EMPRESA_1!J:J),"")</f>
        <v>46174</v>
      </c>
      <c r="O382" s="50" t="str">
        <f t="array" ref="O382">IFERROR(_xlfn.XLOOKUP(B382,EMPRESA_1!A:A,EMPRESA_1!K:K),"")
</f>
        <v>BABR</v>
      </c>
      <c r="P382" s="19" t="str">
        <f t="array" ref="P382">IFERROR(_xlfn.XLOOKUP(B382,EMPRESA_1!A:A,EMPRESA_1!L:L),"")</f>
        <v>435/FAB/26</v>
      </c>
      <c r="Q382" s="49">
        <f t="array" ref="Q382">IFERROR(_xlfn.XLOOKUP(B382,EMPRESA_1!A:A,EMPRESA_1!J:J),"")</f>
        <v>46174</v>
      </c>
      <c r="R382" s="19" t="str">
        <f t="array" ref="R382">IFERROR(_xlfn.XLOOKUP(B382,EMPRESA_1!A:A,EMPRESA_1!M:M),"")</f>
        <v/>
      </c>
      <c r="S382" s="51"/>
      <c r="T382" s="51" t="str">
        <f t="array" ref="T382">IFERROR(_xlfn.XLOOKUP($F382,'Acerto virtual'!$E:$E,'Acerto virtual'!F:F),"")</f>
        <v/>
      </c>
      <c r="U382" s="51" t="str">
        <f t="array" ref="U382">IFERROR(_xlfn.XLOOKUP($F382,'Acerto virtual'!$E:$E,'Acerto virtual'!G:G),"")</f>
        <v/>
      </c>
      <c r="V382" s="51" t="str">
        <f t="array" ref="V382">IFERROR(_xlfn.XLOOKUP($F382,'Acerto virtual'!$E:$E,'Acerto virtual'!H:H),"")</f>
        <v/>
      </c>
      <c r="W382" s="51" t="str">
        <f t="array" ref="W382">IFERROR(_xlfn.XLOOKUP($F382,'Acerto virtual'!$E:$E,'Acerto virtual'!I:I),"")</f>
        <v/>
      </c>
      <c r="X382" s="51" t="str">
        <f t="array" ref="X382">IFERROR(_xlfn.XLOOKUP($F382,'Acerto virtual'!$E:$E,'Acerto virtual'!J:J),"")</f>
        <v/>
      </c>
      <c r="Y382" s="51" t="str">
        <f t="array" ref="Y382">IFERROR(_xlfn.XLOOKUP($F382,'Acerto virtual'!$E:$E,'Acerto virtual'!K:K),"")</f>
        <v/>
      </c>
      <c r="Z382" s="51" t="str">
        <f t="array" ref="Z382">IFERROR(_xlfn.XLOOKUP($F382,'Acerto virtual'!$E:$E,'Acerto virtual'!L:L),"")</f>
        <v/>
      </c>
      <c r="AA382" s="51" t="str">
        <f t="array" ref="AA382">IFERROR(_xlfn.XLOOKUP($F382,'Acerto virtual'!$E:$E,'Acerto virtual'!M:M),"")</f>
        <v/>
      </c>
      <c r="AB382" s="51" t="str">
        <f t="array" ref="AB382">IFERROR(_xlfn.XLOOKUP($F382,'Acerto virtual'!$E:$E,'Acerto virtual'!N:N),"")</f>
        <v/>
      </c>
      <c r="AC382" s="51" t="str">
        <f t="array" ref="AC382">IFERROR(_xlfn.XLOOKUP($F382,'Acerto virtual'!$E:$E,'Acerto virtual'!O:O),"")</f>
        <v/>
      </c>
      <c r="AD382" s="51" t="str">
        <f t="array" ref="AD382">IFERROR(_xlfn.XLOOKUP($F382,'Acerto virtual'!$E:$E,'Acerto virtual'!P:P),"")</f>
        <v/>
      </c>
      <c r="AE382" s="51" t="str">
        <f t="array" ref="AE382">IFERROR(_xlfn.XLOOKUP($F382,'Acerto virtual'!$E:$E,'Acerto virtual'!Q:Q),"")</f>
        <v/>
      </c>
      <c r="AF382" s="51" t="str">
        <f t="array" ref="AF382">IFERROR(_xlfn.XLOOKUP($F382,'Acerto virtual'!$E:$E,'Acerto virtual'!R:R),"")</f>
        <v/>
      </c>
      <c r="AG382" s="51" t="str">
        <f t="array" ref="AG382">IFERROR(_xlfn.XLOOKUP($F382,'Acerto virtual'!$E:$E,'Acerto virtual'!S:S),"")</f>
        <v/>
      </c>
      <c r="AH382" s="51" t="str">
        <f t="array" ref="AH382">IFERROR(_xlfn.XLOOKUP($F382,'Acerto virtual'!$E:$E,'Acerto virtual'!T:T),"")</f>
        <v/>
      </c>
      <c r="AI382" s="51" t="str">
        <f t="array" ref="AI382">IFERROR(_xlfn.XLOOKUP($F382,'Acerto virtual'!$E:$E,'Acerto virtual'!U:U),"")</f>
        <v/>
      </c>
    </row>
    <row r="383">
      <c r="A383" s="47" t="s">
        <v>1086</v>
      </c>
      <c r="B383" s="53" t="s">
        <v>1087</v>
      </c>
      <c r="C383" s="48" t="str">
        <f t="array" ref="C383">IFERROR(_xlfn.XLOOKUP($B383,'Histórico'!$B:$B,'Histórico'!$I:$I),"")</f>
        <v>066-3084-32</v>
      </c>
      <c r="D383" s="19" t="str">
        <f t="array" ref="D383">IFERROR(_xlfn.XLOOKUP($B383,'Histórico'!$B:$B,'Histórico'!$J:$J),"")</f>
        <v>22373</v>
      </c>
      <c r="E383" s="19" t="str">
        <f t="array" ref="E383">IFERROR(_xlfn.XLOOKUP($B383,'Histórico'!$B:$B,'Histórico'!$K:$K),"")</f>
        <v>IND RDR 2000 IN-182A</v>
      </c>
      <c r="F383" s="19" t="str">
        <f t="array" ref="F383">IFERROR(_xlfn.XLOOKUP($B383,'Histórico'!$B:$B,'Histórico'!$L:$L),"")</f>
        <v>24970</v>
      </c>
      <c r="G383" s="49" t="str">
        <f t="array" ref="G383">IFERROR(_xlfn.XLOOKUP($B383,'Histórico'!$B:$B,'Histórico'!$F:$F),"")</f>
        <v>12/05/2026</v>
      </c>
      <c r="H383" s="19" t="str">
        <f t="array" ref="H383">IFERROR(_xlfn.XLOOKUP($B383,'Histórico'!$B:$B,'Histórico'!$AA:$AA),"")</f>
        <v>PAMALS</v>
      </c>
      <c r="I383" s="19" t="str">
        <f t="array" ref="I383">IFERROR(_xlfn.XLOOKUP($B383,Atual!$B:$B,Atual!$E:$E),"OS concluída")</f>
        <v>REC</v>
      </c>
      <c r="J383" s="19">
        <f t="shared" si="1"/>
        <v>156</v>
      </c>
      <c r="K383" s="19"/>
      <c r="L383" s="19">
        <f t="shared" si="2"/>
        <v>94</v>
      </c>
      <c r="M383" s="19"/>
      <c r="N383" s="49">
        <f t="array" ref="N383">IFERROR(_xlfn.XLOOKUP($B383,EMPRESA_1!A:A,EMPRESA_1!J:J),"")</f>
        <v>46248</v>
      </c>
      <c r="O383" s="50" t="str">
        <f t="array" ref="O383">IFERROR(_xlfn.XLOOKUP(B383,EMPRESA_1!A:A,EMPRESA_1!K:K),"")
</f>
        <v>BANT</v>
      </c>
      <c r="P383" s="48" t="str">
        <f t="array" ref="P383">IFERROR(_xlfn.XLOOKUP(B383,EMPRESA_1!A:A,EMPRESA_1!L:L),"")</f>
        <v>697/FAB/26</v>
      </c>
      <c r="Q383" s="49">
        <f t="array" ref="Q383">IFERROR(_xlfn.XLOOKUP(B383,EMPRESA_1!A:A,EMPRESA_1!J:J),"")</f>
        <v>46248</v>
      </c>
      <c r="R383" s="19" t="str">
        <f t="array" ref="R383">IFERROR(_xlfn.XLOOKUP(B383,EMPRESA_1!A:A,EMPRESA_1!M:M),"")</f>
        <v/>
      </c>
      <c r="S383" s="51"/>
      <c r="T383" s="51" t="str">
        <f t="array" ref="T383">IFERROR(_xlfn.XLOOKUP($F383,'Acerto virtual'!$E:$E,'Acerto virtual'!F:F),"")</f>
        <v/>
      </c>
      <c r="U383" s="51" t="str">
        <f t="array" ref="U383">IFERROR(_xlfn.XLOOKUP($F383,'Acerto virtual'!$E:$E,'Acerto virtual'!G:G),"")</f>
        <v/>
      </c>
      <c r="V383" s="51" t="str">
        <f t="array" ref="V383">IFERROR(_xlfn.XLOOKUP($F383,'Acerto virtual'!$E:$E,'Acerto virtual'!H:H),"")</f>
        <v/>
      </c>
      <c r="W383" s="51" t="str">
        <f t="array" ref="W383">IFERROR(_xlfn.XLOOKUP($F383,'Acerto virtual'!$E:$E,'Acerto virtual'!I:I),"")</f>
        <v/>
      </c>
      <c r="X383" s="51" t="str">
        <f t="array" ref="X383">IFERROR(_xlfn.XLOOKUP($F383,'Acerto virtual'!$E:$E,'Acerto virtual'!J:J),"")</f>
        <v/>
      </c>
      <c r="Y383" s="51" t="str">
        <f t="array" ref="Y383">IFERROR(_xlfn.XLOOKUP($F383,'Acerto virtual'!$E:$E,'Acerto virtual'!K:K),"")</f>
        <v/>
      </c>
      <c r="Z383" s="51" t="str">
        <f t="array" ref="Z383">IFERROR(_xlfn.XLOOKUP($F383,'Acerto virtual'!$E:$E,'Acerto virtual'!L:L),"")</f>
        <v/>
      </c>
      <c r="AA383" s="51" t="str">
        <f t="array" ref="AA383">IFERROR(_xlfn.XLOOKUP($F383,'Acerto virtual'!$E:$E,'Acerto virtual'!M:M),"")</f>
        <v/>
      </c>
      <c r="AB383" s="51" t="str">
        <f t="array" ref="AB383">IFERROR(_xlfn.XLOOKUP($F383,'Acerto virtual'!$E:$E,'Acerto virtual'!N:N),"")</f>
        <v/>
      </c>
      <c r="AC383" s="51" t="str">
        <f t="array" ref="AC383">IFERROR(_xlfn.XLOOKUP($F383,'Acerto virtual'!$E:$E,'Acerto virtual'!O:O),"")</f>
        <v/>
      </c>
      <c r="AD383" s="51" t="str">
        <f t="array" ref="AD383">IFERROR(_xlfn.XLOOKUP($F383,'Acerto virtual'!$E:$E,'Acerto virtual'!P:P),"")</f>
        <v/>
      </c>
      <c r="AE383" s="51" t="str">
        <f t="array" ref="AE383">IFERROR(_xlfn.XLOOKUP($F383,'Acerto virtual'!$E:$E,'Acerto virtual'!Q:Q),"")</f>
        <v/>
      </c>
      <c r="AF383" s="51" t="str">
        <f t="array" ref="AF383">IFERROR(_xlfn.XLOOKUP($F383,'Acerto virtual'!$E:$E,'Acerto virtual'!R:R),"")</f>
        <v/>
      </c>
      <c r="AG383" s="51" t="str">
        <f t="array" ref="AG383">IFERROR(_xlfn.XLOOKUP($F383,'Acerto virtual'!$E:$E,'Acerto virtual'!S:S),"")</f>
        <v/>
      </c>
      <c r="AH383" s="51" t="str">
        <f t="array" ref="AH383">IFERROR(_xlfn.XLOOKUP($F383,'Acerto virtual'!$E:$E,'Acerto virtual'!T:T),"")</f>
        <v/>
      </c>
      <c r="AI383" s="51" t="str">
        <f t="array" ref="AI383">IFERROR(_xlfn.XLOOKUP($F383,'Acerto virtual'!$E:$E,'Acerto virtual'!U:U),"")</f>
        <v/>
      </c>
    </row>
    <row r="384">
      <c r="A384" s="47" t="s">
        <v>1088</v>
      </c>
      <c r="B384" s="53" t="s">
        <v>1089</v>
      </c>
      <c r="C384" s="48" t="str">
        <f t="array" ref="C384">IFERROR(_xlfn.XLOOKUP($B384,'Histórico'!$B:$B,'Histórico'!$I:$I),"")</f>
        <v>066-3084-32</v>
      </c>
      <c r="D384" s="19" t="str">
        <f t="array" ref="D384">IFERROR(_xlfn.XLOOKUP($B384,'Histórico'!$B:$B,'Histórico'!$J:$J),"")</f>
        <v>22373</v>
      </c>
      <c r="E384" s="19" t="str">
        <f t="array" ref="E384">IFERROR(_xlfn.XLOOKUP($B384,'Histórico'!$B:$B,'Histórico'!$K:$K),"")</f>
        <v>IND RDR 2000 IN-182A</v>
      </c>
      <c r="F384" s="19" t="str">
        <f t="array" ref="F384">IFERROR(_xlfn.XLOOKUP($B384,'Histórico'!$B:$B,'Histórico'!$L:$L),"")</f>
        <v>21156</v>
      </c>
      <c r="G384" s="49" t="str">
        <f t="array" ref="G384">IFERROR(_xlfn.XLOOKUP($B384,'Histórico'!$B:$B,'Histórico'!$F:$F),"")</f>
        <v>12/05/2026</v>
      </c>
      <c r="H384" s="19" t="str">
        <f t="array" ref="H384">IFERROR(_xlfn.XLOOKUP($B384,'Histórico'!$B:$B,'Histórico'!$AA:$AA),"")</f>
        <v>PAMALS</v>
      </c>
      <c r="I384" s="19" t="str">
        <f t="array" ref="I384">IFERROR(_xlfn.XLOOKUP($B384,Atual!$B:$B,Atual!$E:$E),"OS concluída")</f>
        <v>REC</v>
      </c>
      <c r="J384" s="19">
        <f t="shared" si="1"/>
        <v>156</v>
      </c>
      <c r="K384" s="19"/>
      <c r="L384" s="19" t="str">
        <f t="shared" si="2"/>
        <v>NÃO APLICÁVEL</v>
      </c>
      <c r="M384" s="19"/>
      <c r="N384" s="49" t="str">
        <f t="array" ref="N384">IFERROR(_xlfn.XLOOKUP($B384,EMPRESA_1!A:A,EMPRESA_1!J:J),"")</f>
        <v>EM REPARO</v>
      </c>
      <c r="O384" s="50" t="str">
        <f t="array" ref="O384">IFERROR(_xlfn.XLOOKUP(B384,EMPRESA_1!A:A,EMPRESA_1!K:K),"")
</f>
        <v>WILLIAM</v>
      </c>
      <c r="P384" s="48" t="str">
        <f t="array" ref="P384">IFERROR(_xlfn.XLOOKUP(B384,EMPRESA_1!A:A,EMPRESA_1!L:L),"")</f>
        <v/>
      </c>
      <c r="Q384" s="49" t="str">
        <f t="array" ref="Q384">IFERROR(_xlfn.XLOOKUP(B384,EMPRESA_1!A:A,EMPRESA_1!J:J),"")</f>
        <v>EM REPARO</v>
      </c>
      <c r="R384" s="19" t="str">
        <f t="array" ref="R384">IFERROR(_xlfn.XLOOKUP(B384,EMPRESA_1!A:A,EMPRESA_1!M:M),"")</f>
        <v/>
      </c>
      <c r="S384" s="51"/>
      <c r="T384" s="51" t="str">
        <f t="array" ref="T384">IFERROR(_xlfn.XLOOKUP($F384,'Acerto virtual'!$E:$E,'Acerto virtual'!F:F),"")</f>
        <v/>
      </c>
      <c r="U384" s="51" t="str">
        <f t="array" ref="U384">IFERROR(_xlfn.XLOOKUP($F384,'Acerto virtual'!$E:$E,'Acerto virtual'!G:G),"")</f>
        <v/>
      </c>
      <c r="V384" s="51" t="str">
        <f t="array" ref="V384">IFERROR(_xlfn.XLOOKUP($F384,'Acerto virtual'!$E:$E,'Acerto virtual'!H:H),"")</f>
        <v/>
      </c>
      <c r="W384" s="51" t="str">
        <f t="array" ref="W384">IFERROR(_xlfn.XLOOKUP($F384,'Acerto virtual'!$E:$E,'Acerto virtual'!I:I),"")</f>
        <v/>
      </c>
      <c r="X384" s="51" t="str">
        <f t="array" ref="X384">IFERROR(_xlfn.XLOOKUP($F384,'Acerto virtual'!$E:$E,'Acerto virtual'!J:J),"")</f>
        <v/>
      </c>
      <c r="Y384" s="51" t="str">
        <f t="array" ref="Y384">IFERROR(_xlfn.XLOOKUP($F384,'Acerto virtual'!$E:$E,'Acerto virtual'!K:K),"")</f>
        <v/>
      </c>
      <c r="Z384" s="51" t="str">
        <f t="array" ref="Z384">IFERROR(_xlfn.XLOOKUP($F384,'Acerto virtual'!$E:$E,'Acerto virtual'!L:L),"")</f>
        <v/>
      </c>
      <c r="AA384" s="51" t="str">
        <f t="array" ref="AA384">IFERROR(_xlfn.XLOOKUP($F384,'Acerto virtual'!$E:$E,'Acerto virtual'!M:M),"")</f>
        <v/>
      </c>
      <c r="AB384" s="51" t="str">
        <f t="array" ref="AB384">IFERROR(_xlfn.XLOOKUP($F384,'Acerto virtual'!$E:$E,'Acerto virtual'!N:N),"")</f>
        <v/>
      </c>
      <c r="AC384" s="51" t="str">
        <f t="array" ref="AC384">IFERROR(_xlfn.XLOOKUP($F384,'Acerto virtual'!$E:$E,'Acerto virtual'!O:O),"")</f>
        <v/>
      </c>
      <c r="AD384" s="51" t="str">
        <f t="array" ref="AD384">IFERROR(_xlfn.XLOOKUP($F384,'Acerto virtual'!$E:$E,'Acerto virtual'!P:P),"")</f>
        <v/>
      </c>
      <c r="AE384" s="51" t="str">
        <f t="array" ref="AE384">IFERROR(_xlfn.XLOOKUP($F384,'Acerto virtual'!$E:$E,'Acerto virtual'!Q:Q),"")</f>
        <v/>
      </c>
      <c r="AF384" s="51" t="str">
        <f t="array" ref="AF384">IFERROR(_xlfn.XLOOKUP($F384,'Acerto virtual'!$E:$E,'Acerto virtual'!R:R),"")</f>
        <v/>
      </c>
      <c r="AG384" s="51" t="str">
        <f t="array" ref="AG384">IFERROR(_xlfn.XLOOKUP($F384,'Acerto virtual'!$E:$E,'Acerto virtual'!S:S),"")</f>
        <v/>
      </c>
      <c r="AH384" s="51" t="str">
        <f t="array" ref="AH384">IFERROR(_xlfn.XLOOKUP($F384,'Acerto virtual'!$E:$E,'Acerto virtual'!T:T),"")</f>
        <v/>
      </c>
      <c r="AI384" s="51" t="str">
        <f t="array" ref="AI384">IFERROR(_xlfn.XLOOKUP($F384,'Acerto virtual'!$E:$E,'Acerto virtual'!U:U),"")</f>
        <v/>
      </c>
    </row>
    <row r="385">
      <c r="A385" s="47" t="s">
        <v>1090</v>
      </c>
      <c r="B385" s="53" t="s">
        <v>1091</v>
      </c>
      <c r="C385" s="48" t="str">
        <f t="array" ref="C385">IFERROR(_xlfn.XLOOKUP($B385,'Histórico'!$B:$B,'Histórico'!$I:$I),"")</f>
        <v>2618510-10</v>
      </c>
      <c r="D385" s="19" t="str">
        <f t="array" ref="D385">IFERROR(_xlfn.XLOOKUP($B385,'Histórico'!$B:$B,'Histórico'!$J:$J),"")</f>
        <v>7EK50</v>
      </c>
      <c r="E385" s="19" t="str">
        <f t="array" ref="E385">IFERROR(_xlfn.XLOOKUP($B385,'Histórico'!$B:$B,'Histórico'!$K:$K),"")</f>
        <v>ALTERNATOR CONTROL UNIT ASSY</v>
      </c>
      <c r="F385" s="19" t="str">
        <f t="array" ref="F385">IFERROR(_xlfn.XLOOKUP($B385,'Histórico'!$B:$B,'Histórico'!$L:$L),"")</f>
        <v>1652</v>
      </c>
      <c r="G385" s="49" t="str">
        <f t="array" ref="G385">IFERROR(_xlfn.XLOOKUP($B385,'Histórico'!$B:$B,'Histórico'!$F:$F),"")</f>
        <v>12/05/2026</v>
      </c>
      <c r="H385" s="19" t="str">
        <f t="array" ref="H385">IFERROR(_xlfn.XLOOKUP($B385,'Histórico'!$B:$B,'Histórico'!$AA:$AA),"")</f>
        <v>BABE</v>
      </c>
      <c r="I385" s="19" t="str">
        <f t="array" ref="I385">IFERROR(_xlfn.XLOOKUP($B385,Atual!$B:$B,Atual!$E:$E),"OS concluída")</f>
        <v>REC</v>
      </c>
      <c r="J385" s="19">
        <f t="shared" si="1"/>
        <v>156</v>
      </c>
      <c r="K385" s="19"/>
      <c r="L385" s="19" t="str">
        <f t="shared" si="2"/>
        <v>NÃO APLICÁVEL</v>
      </c>
      <c r="M385" s="19"/>
      <c r="N385" s="49" t="str">
        <f t="array" ref="N385">IFERROR(_xlfn.XLOOKUP($B385,EMPRESA_1!A:A,EMPRESA_1!J:J),"")</f>
        <v>EM REPARO</v>
      </c>
      <c r="O385" s="50" t="str">
        <f t="array" ref="O385">IFERROR(_xlfn.XLOOKUP(B385,EMPRESA_1!A:A,EMPRESA_1!K:K),"")
</f>
        <v>WILLIAM</v>
      </c>
      <c r="P385" s="48" t="str">
        <f t="array" ref="P385">IFERROR(_xlfn.XLOOKUP(B385,EMPRESA_1!A:A,EMPRESA_1!L:L),"")</f>
        <v/>
      </c>
      <c r="Q385" s="49" t="str">
        <f t="array" ref="Q385">IFERROR(_xlfn.XLOOKUP(B385,EMPRESA_1!A:A,EMPRESA_1!J:J),"")</f>
        <v>EM REPARO</v>
      </c>
      <c r="R385" s="19" t="str">
        <f t="array" ref="R385">IFERROR(_xlfn.XLOOKUP(B385,EMPRESA_1!A:A,EMPRESA_1!M:M),"")</f>
        <v/>
      </c>
      <c r="S385" s="51"/>
      <c r="T385" s="51" t="str">
        <f t="array" ref="T385">IFERROR(_xlfn.XLOOKUP($F385,'Acerto virtual'!$E:$E,'Acerto virtual'!F:F),"")</f>
        <v/>
      </c>
      <c r="U385" s="51" t="str">
        <f t="array" ref="U385">IFERROR(_xlfn.XLOOKUP($F385,'Acerto virtual'!$E:$E,'Acerto virtual'!G:G),"")</f>
        <v/>
      </c>
      <c r="V385" s="51" t="str">
        <f t="array" ref="V385">IFERROR(_xlfn.XLOOKUP($F385,'Acerto virtual'!$E:$E,'Acerto virtual'!H:H),"")</f>
        <v/>
      </c>
      <c r="W385" s="51" t="str">
        <f t="array" ref="W385">IFERROR(_xlfn.XLOOKUP($F385,'Acerto virtual'!$E:$E,'Acerto virtual'!I:I),"")</f>
        <v/>
      </c>
      <c r="X385" s="51" t="str">
        <f t="array" ref="X385">IFERROR(_xlfn.XLOOKUP($F385,'Acerto virtual'!$E:$E,'Acerto virtual'!J:J),"")</f>
        <v/>
      </c>
      <c r="Y385" s="51" t="str">
        <f t="array" ref="Y385">IFERROR(_xlfn.XLOOKUP($F385,'Acerto virtual'!$E:$E,'Acerto virtual'!K:K),"")</f>
        <v/>
      </c>
      <c r="Z385" s="51" t="str">
        <f t="array" ref="Z385">IFERROR(_xlfn.XLOOKUP($F385,'Acerto virtual'!$E:$E,'Acerto virtual'!L:L),"")</f>
        <v/>
      </c>
      <c r="AA385" s="51" t="str">
        <f t="array" ref="AA385">IFERROR(_xlfn.XLOOKUP($F385,'Acerto virtual'!$E:$E,'Acerto virtual'!M:M),"")</f>
        <v/>
      </c>
      <c r="AB385" s="51" t="str">
        <f t="array" ref="AB385">IFERROR(_xlfn.XLOOKUP($F385,'Acerto virtual'!$E:$E,'Acerto virtual'!N:N),"")</f>
        <v/>
      </c>
      <c r="AC385" s="51" t="str">
        <f t="array" ref="AC385">IFERROR(_xlfn.XLOOKUP($F385,'Acerto virtual'!$E:$E,'Acerto virtual'!O:O),"")</f>
        <v/>
      </c>
      <c r="AD385" s="51" t="str">
        <f t="array" ref="AD385">IFERROR(_xlfn.XLOOKUP($F385,'Acerto virtual'!$E:$E,'Acerto virtual'!P:P),"")</f>
        <v/>
      </c>
      <c r="AE385" s="51" t="str">
        <f t="array" ref="AE385">IFERROR(_xlfn.XLOOKUP($F385,'Acerto virtual'!$E:$E,'Acerto virtual'!Q:Q),"")</f>
        <v/>
      </c>
      <c r="AF385" s="51" t="str">
        <f t="array" ref="AF385">IFERROR(_xlfn.XLOOKUP($F385,'Acerto virtual'!$E:$E,'Acerto virtual'!R:R),"")</f>
        <v/>
      </c>
      <c r="AG385" s="51" t="str">
        <f t="array" ref="AG385">IFERROR(_xlfn.XLOOKUP($F385,'Acerto virtual'!$E:$E,'Acerto virtual'!S:S),"")</f>
        <v/>
      </c>
      <c r="AH385" s="51" t="str">
        <f t="array" ref="AH385">IFERROR(_xlfn.XLOOKUP($F385,'Acerto virtual'!$E:$E,'Acerto virtual'!T:T),"")</f>
        <v/>
      </c>
      <c r="AI385" s="51" t="str">
        <f t="array" ref="AI385">IFERROR(_xlfn.XLOOKUP($F385,'Acerto virtual'!$E:$E,'Acerto virtual'!U:U),"")</f>
        <v/>
      </c>
    </row>
    <row r="386">
      <c r="A386" s="47" t="s">
        <v>1092</v>
      </c>
      <c r="B386" s="53" t="s">
        <v>1093</v>
      </c>
      <c r="C386" s="48" t="str">
        <f t="array" ref="C386">IFERROR(_xlfn.XLOOKUP($B386,'Histórico'!$B:$B,'Histórico'!$I:$I),"")</f>
        <v>2618510-10</v>
      </c>
      <c r="D386" s="19" t="str">
        <f t="array" ref="D386">IFERROR(_xlfn.XLOOKUP($B386,'Histórico'!$B:$B,'Histórico'!$J:$J),"")</f>
        <v>7EK50</v>
      </c>
      <c r="E386" s="19" t="str">
        <f t="array" ref="E386">IFERROR(_xlfn.XLOOKUP($B386,'Histórico'!$B:$B,'Histórico'!$K:$K),"")</f>
        <v>ALTERNATOR CONTROL UNIT ASSY</v>
      </c>
      <c r="F386" s="19" t="str">
        <f t="array" ref="F386">IFERROR(_xlfn.XLOOKUP($B386,'Histórico'!$B:$B,'Histórico'!$L:$L),"")</f>
        <v>1713</v>
      </c>
      <c r="G386" s="49" t="str">
        <f t="array" ref="G386">IFERROR(_xlfn.XLOOKUP($B386,'Histórico'!$B:$B,'Histórico'!$F:$F),"")</f>
        <v>12/05/2026</v>
      </c>
      <c r="H386" s="19" t="str">
        <f t="array" ref="H386">IFERROR(_xlfn.XLOOKUP($B386,'Histórico'!$B:$B,'Histórico'!$AA:$AA),"")</f>
        <v>PAMALS</v>
      </c>
      <c r="I386" s="19" t="str">
        <f t="array" ref="I386">IFERROR(_xlfn.XLOOKUP($B386,Atual!$B:$B,Atual!$E:$E),"OS concluída")</f>
        <v>REC</v>
      </c>
      <c r="J386" s="19">
        <f t="shared" si="1"/>
        <v>156</v>
      </c>
      <c r="K386" s="19"/>
      <c r="L386" s="19">
        <f t="shared" si="2"/>
        <v>71</v>
      </c>
      <c r="M386" s="19"/>
      <c r="N386" s="49">
        <f t="array" ref="N386">IFERROR(_xlfn.XLOOKUP($B386,EMPRESA_1!A:A,EMPRESA_1!J:J),"")</f>
        <v>46225</v>
      </c>
      <c r="O386" s="50" t="str">
        <f t="array" ref="O386">IFERROR(_xlfn.XLOOKUP(B386,EMPRESA_1!A:A,EMPRESA_1!K:K),"")
</f>
        <v>BANT</v>
      </c>
      <c r="P386" s="48" t="str">
        <f t="array" ref="P386">IFERROR(_xlfn.XLOOKUP(B386,EMPRESA_1!A:A,EMPRESA_1!L:L),"")</f>
        <v>640/FAB/26</v>
      </c>
      <c r="Q386" s="49">
        <f t="array" ref="Q386">IFERROR(_xlfn.XLOOKUP(B386,EMPRESA_1!A:A,EMPRESA_1!J:J),"")</f>
        <v>46225</v>
      </c>
      <c r="R386" s="19" t="str">
        <f t="array" ref="R386">IFERROR(_xlfn.XLOOKUP(B386,EMPRESA_1!A:A,EMPRESA_1!M:M),"")</f>
        <v/>
      </c>
      <c r="S386" s="51"/>
      <c r="T386" s="51" t="str">
        <f t="array" ref="T386">IFERROR(_xlfn.XLOOKUP($F386,'Acerto virtual'!$E:$E,'Acerto virtual'!F:F),"")</f>
        <v/>
      </c>
      <c r="U386" s="51" t="str">
        <f t="array" ref="U386">IFERROR(_xlfn.XLOOKUP($F386,'Acerto virtual'!$E:$E,'Acerto virtual'!G:G),"")</f>
        <v/>
      </c>
      <c r="V386" s="51" t="str">
        <f t="array" ref="V386">IFERROR(_xlfn.XLOOKUP($F386,'Acerto virtual'!$E:$E,'Acerto virtual'!H:H),"")</f>
        <v/>
      </c>
      <c r="W386" s="51" t="str">
        <f t="array" ref="W386">IFERROR(_xlfn.XLOOKUP($F386,'Acerto virtual'!$E:$E,'Acerto virtual'!I:I),"")</f>
        <v/>
      </c>
      <c r="X386" s="51" t="str">
        <f t="array" ref="X386">IFERROR(_xlfn.XLOOKUP($F386,'Acerto virtual'!$E:$E,'Acerto virtual'!J:J),"")</f>
        <v/>
      </c>
      <c r="Y386" s="51" t="str">
        <f t="array" ref="Y386">IFERROR(_xlfn.XLOOKUP($F386,'Acerto virtual'!$E:$E,'Acerto virtual'!K:K),"")</f>
        <v/>
      </c>
      <c r="Z386" s="51" t="str">
        <f t="array" ref="Z386">IFERROR(_xlfn.XLOOKUP($F386,'Acerto virtual'!$E:$E,'Acerto virtual'!L:L),"")</f>
        <v/>
      </c>
      <c r="AA386" s="51" t="str">
        <f t="array" ref="AA386">IFERROR(_xlfn.XLOOKUP($F386,'Acerto virtual'!$E:$E,'Acerto virtual'!M:M),"")</f>
        <v/>
      </c>
      <c r="AB386" s="51" t="str">
        <f t="array" ref="AB386">IFERROR(_xlfn.XLOOKUP($F386,'Acerto virtual'!$E:$E,'Acerto virtual'!N:N),"")</f>
        <v/>
      </c>
      <c r="AC386" s="51" t="str">
        <f t="array" ref="AC386">IFERROR(_xlfn.XLOOKUP($F386,'Acerto virtual'!$E:$E,'Acerto virtual'!O:O),"")</f>
        <v/>
      </c>
      <c r="AD386" s="51" t="str">
        <f t="array" ref="AD386">IFERROR(_xlfn.XLOOKUP($F386,'Acerto virtual'!$E:$E,'Acerto virtual'!P:P),"")</f>
        <v/>
      </c>
      <c r="AE386" s="51" t="str">
        <f t="array" ref="AE386">IFERROR(_xlfn.XLOOKUP($F386,'Acerto virtual'!$E:$E,'Acerto virtual'!Q:Q),"")</f>
        <v/>
      </c>
      <c r="AF386" s="51" t="str">
        <f t="array" ref="AF386">IFERROR(_xlfn.XLOOKUP($F386,'Acerto virtual'!$E:$E,'Acerto virtual'!R:R),"")</f>
        <v/>
      </c>
      <c r="AG386" s="51" t="str">
        <f t="array" ref="AG386">IFERROR(_xlfn.XLOOKUP($F386,'Acerto virtual'!$E:$E,'Acerto virtual'!S:S),"")</f>
        <v/>
      </c>
      <c r="AH386" s="51" t="str">
        <f t="array" ref="AH386">IFERROR(_xlfn.XLOOKUP($F386,'Acerto virtual'!$E:$E,'Acerto virtual'!T:T),"")</f>
        <v/>
      </c>
      <c r="AI386" s="51" t="str">
        <f t="array" ref="AI386">IFERROR(_xlfn.XLOOKUP($F386,'Acerto virtual'!$E:$E,'Acerto virtual'!U:U),"")</f>
        <v/>
      </c>
    </row>
    <row r="387">
      <c r="A387" s="47" t="s">
        <v>1094</v>
      </c>
      <c r="B387" s="53" t="s">
        <v>1095</v>
      </c>
      <c r="C387" s="48" t="str">
        <f t="array" ref="C387">IFERROR(_xlfn.XLOOKUP($B387,'Histórico'!$B:$B,'Histórico'!$I:$I),"")</f>
        <v>2641011-5</v>
      </c>
      <c r="D387" s="19" t="str">
        <f t="array" ref="D387">IFERROR(_xlfn.XLOOKUP($B387,'Histórico'!$B:$B,'Histórico'!$J:$J),"")</f>
        <v>7EK50</v>
      </c>
      <c r="E387" s="19" t="str">
        <f t="array" ref="E387">IFERROR(_xlfn.XLOOKUP($B387,'Histórico'!$B:$B,'Histórico'!$K:$K),"")</f>
        <v>AXLE-MAIN GEAR</v>
      </c>
      <c r="F387" s="19" t="str">
        <f t="array" ref="F387">IFERROR(_xlfn.XLOOKUP($B387,'Histórico'!$B:$B,'Histórico'!$L:$L),"")</f>
        <v>1328-5</v>
      </c>
      <c r="G387" s="49" t="str">
        <f t="array" ref="G387">IFERROR(_xlfn.XLOOKUP($B387,'Histórico'!$B:$B,'Histórico'!$F:$F),"")</f>
        <v>22/05/2026</v>
      </c>
      <c r="H387" s="19" t="str">
        <f t="array" ref="H387">IFERROR(_xlfn.XLOOKUP($B387,'Histórico'!$B:$B,'Histórico'!$AA:$AA),"")</f>
        <v>CLA</v>
      </c>
      <c r="I387" s="19" t="str">
        <f t="array" ref="I387">IFERROR(_xlfn.XLOOKUP($B387,Atual!$B:$B,Atual!$E:$E),"OS concluída")</f>
        <v>REC</v>
      </c>
      <c r="J387" s="19">
        <f t="shared" si="1"/>
        <v>146</v>
      </c>
      <c r="K387" s="19"/>
      <c r="L387" s="19" t="str">
        <f t="shared" si="2"/>
        <v>NÃO APLICÁVEL</v>
      </c>
      <c r="M387" s="19"/>
      <c r="N387" s="49" t="str">
        <f t="array" ref="N387">IFERROR(_xlfn.XLOOKUP($B387,EMPRESA_1!A:A,EMPRESA_1!J:J),"")</f>
        <v>REPARADO</v>
      </c>
      <c r="O387" s="50" t="str">
        <f t="array" ref="O387">IFERROR(_xlfn.XLOOKUP(B387,EMPRESA_1!A:A,EMPRESA_1!K:K),"")
</f>
        <v>VEE ONE</v>
      </c>
      <c r="P387" s="48" t="str">
        <f t="array" ref="P387">IFERROR(_xlfn.XLOOKUP(B387,EMPRESA_1!A:A,EMPRESA_1!L:L),"")</f>
        <v/>
      </c>
      <c r="Q387" s="49" t="str">
        <f t="array" ref="Q387">IFERROR(_xlfn.XLOOKUP(B387,EMPRESA_1!A:A,EMPRESA_1!J:J),"")</f>
        <v>REPARADO</v>
      </c>
      <c r="R387" s="19" t="str">
        <f t="array" ref="R387">IFERROR(_xlfn.XLOOKUP(B387,EMPRESA_1!A:A,EMPRESA_1!M:M),"")</f>
        <v/>
      </c>
      <c r="S387" s="51"/>
      <c r="T387" s="51" t="str">
        <f t="array" ref="T387">IFERROR(_xlfn.XLOOKUP($F387,'Acerto virtual'!$E:$E,'Acerto virtual'!F:F),"")</f>
        <v/>
      </c>
      <c r="U387" s="51" t="str">
        <f t="array" ref="U387">IFERROR(_xlfn.XLOOKUP($F387,'Acerto virtual'!$E:$E,'Acerto virtual'!G:G),"")</f>
        <v/>
      </c>
      <c r="V387" s="51" t="str">
        <f t="array" ref="V387">IFERROR(_xlfn.XLOOKUP($F387,'Acerto virtual'!$E:$E,'Acerto virtual'!H:H),"")</f>
        <v/>
      </c>
      <c r="W387" s="51" t="str">
        <f t="array" ref="W387">IFERROR(_xlfn.XLOOKUP($F387,'Acerto virtual'!$E:$E,'Acerto virtual'!I:I),"")</f>
        <v/>
      </c>
      <c r="X387" s="51" t="str">
        <f t="array" ref="X387">IFERROR(_xlfn.XLOOKUP($F387,'Acerto virtual'!$E:$E,'Acerto virtual'!J:J),"")</f>
        <v/>
      </c>
      <c r="Y387" s="51" t="str">
        <f t="array" ref="Y387">IFERROR(_xlfn.XLOOKUP($F387,'Acerto virtual'!$E:$E,'Acerto virtual'!K:K),"")</f>
        <v/>
      </c>
      <c r="Z387" s="51" t="str">
        <f t="array" ref="Z387">IFERROR(_xlfn.XLOOKUP($F387,'Acerto virtual'!$E:$E,'Acerto virtual'!L:L),"")</f>
        <v/>
      </c>
      <c r="AA387" s="51" t="str">
        <f t="array" ref="AA387">IFERROR(_xlfn.XLOOKUP($F387,'Acerto virtual'!$E:$E,'Acerto virtual'!M:M),"")</f>
        <v/>
      </c>
      <c r="AB387" s="51" t="str">
        <f t="array" ref="AB387">IFERROR(_xlfn.XLOOKUP($F387,'Acerto virtual'!$E:$E,'Acerto virtual'!N:N),"")</f>
        <v/>
      </c>
      <c r="AC387" s="51" t="str">
        <f t="array" ref="AC387">IFERROR(_xlfn.XLOOKUP($F387,'Acerto virtual'!$E:$E,'Acerto virtual'!O:O),"")</f>
        <v/>
      </c>
      <c r="AD387" s="51" t="str">
        <f t="array" ref="AD387">IFERROR(_xlfn.XLOOKUP($F387,'Acerto virtual'!$E:$E,'Acerto virtual'!P:P),"")</f>
        <v/>
      </c>
      <c r="AE387" s="51" t="str">
        <f t="array" ref="AE387">IFERROR(_xlfn.XLOOKUP($F387,'Acerto virtual'!$E:$E,'Acerto virtual'!Q:Q),"")</f>
        <v/>
      </c>
      <c r="AF387" s="51" t="str">
        <f t="array" ref="AF387">IFERROR(_xlfn.XLOOKUP($F387,'Acerto virtual'!$E:$E,'Acerto virtual'!R:R),"")</f>
        <v/>
      </c>
      <c r="AG387" s="51" t="str">
        <f t="array" ref="AG387">IFERROR(_xlfn.XLOOKUP($F387,'Acerto virtual'!$E:$E,'Acerto virtual'!S:S),"")</f>
        <v/>
      </c>
      <c r="AH387" s="51" t="str">
        <f t="array" ref="AH387">IFERROR(_xlfn.XLOOKUP($F387,'Acerto virtual'!$E:$E,'Acerto virtual'!T:T),"")</f>
        <v/>
      </c>
      <c r="AI387" s="51" t="str">
        <f t="array" ref="AI387">IFERROR(_xlfn.XLOOKUP($F387,'Acerto virtual'!$E:$E,'Acerto virtual'!U:U),"")</f>
        <v/>
      </c>
    </row>
    <row r="388" hidden="1">
      <c r="A388" s="47" t="s">
        <v>1096</v>
      </c>
      <c r="B388" s="53" t="s">
        <v>1097</v>
      </c>
      <c r="C388" s="48" t="str">
        <f t="array" ref="C388">IFERROR(_xlfn.XLOOKUP($B388,'Histórico'!$B:$B,'Histórico'!$I:$I),"")</f>
        <v>2641011-5</v>
      </c>
      <c r="D388" s="19" t="str">
        <f t="array" ref="D388">IFERROR(_xlfn.XLOOKUP($B388,'Histórico'!$B:$B,'Histórico'!$J:$J),"")</f>
        <v>7EK50</v>
      </c>
      <c r="E388" s="19" t="str">
        <f t="array" ref="E388">IFERROR(_xlfn.XLOOKUP($B388,'Histórico'!$B:$B,'Histórico'!$K:$K),"")</f>
        <v>AXLE-MAIN GEAR</v>
      </c>
      <c r="F388" s="19" t="str">
        <f t="array" ref="F388">IFERROR(_xlfn.XLOOKUP($B388,'Histórico'!$B:$B,'Histórico'!$L:$L),"")</f>
        <v>2309-5</v>
      </c>
      <c r="G388" s="49" t="str">
        <f t="array" ref="G388">IFERROR(_xlfn.XLOOKUP($B388,'Histórico'!$B:$B,'Histórico'!$F:$F),"")</f>
        <v>22/05/2026</v>
      </c>
      <c r="H388" s="19" t="str">
        <f t="array" ref="H388">IFERROR(_xlfn.XLOOKUP($B388,'Histórico'!$B:$B,'Histórico'!$AA:$AA),"")</f>
        <v>CLA</v>
      </c>
      <c r="I388" s="19" t="str">
        <f t="array" ref="I388">IFERROR(_xlfn.XLOOKUP($B388,Atual!$B:$B,Atual!$E:$E),"OS concluída")</f>
        <v>OS concluída</v>
      </c>
      <c r="J388" s="19" t="str">
        <f t="shared" si="1"/>
        <v/>
      </c>
      <c r="K388" s="19"/>
      <c r="L388" s="19">
        <f t="shared" si="2"/>
        <v>102</v>
      </c>
      <c r="M388" s="19"/>
      <c r="N388" s="49">
        <f t="array" ref="N388">IFERROR(_xlfn.XLOOKUP($B388,EMPRESA_1!A:A,EMPRESA_1!J:J),"")</f>
        <v>46266</v>
      </c>
      <c r="O388" s="50" t="str">
        <f t="array" ref="O388">IFERROR(_xlfn.XLOOKUP(B388,EMPRESA_1!A:A,EMPRESA_1!K:K),"")
</f>
        <v>BABE</v>
      </c>
      <c r="P388" s="48" t="str">
        <f t="array" ref="P388">IFERROR(_xlfn.XLOOKUP(B388,EMPRESA_1!A:A,EMPRESA_1!L:L),"")</f>
        <v>735/FAB/26</v>
      </c>
      <c r="Q388" s="49">
        <f t="array" ref="Q388">IFERROR(_xlfn.XLOOKUP(B388,EMPRESA_1!A:A,EMPRESA_1!J:J),"")</f>
        <v>46266</v>
      </c>
      <c r="R388" s="19" t="str">
        <f t="array" ref="R388">IFERROR(_xlfn.XLOOKUP(B388,EMPRESA_1!A:A,EMPRESA_1!M:M),"")</f>
        <v/>
      </c>
      <c r="S388" s="51"/>
      <c r="T388" s="51" t="str">
        <f t="array" ref="T388">IFERROR(_xlfn.XLOOKUP($F388,'Acerto virtual'!$E:$E,'Acerto virtual'!F:F),"")</f>
        <v>028/2026</v>
      </c>
      <c r="U388" s="51" t="str">
        <f t="array" ref="U388">IFERROR(_xlfn.XLOOKUP($F388,'Acerto virtual'!$E:$E,'Acerto virtual'!G:G),"")</f>
        <v>04/09</v>
      </c>
      <c r="V388" s="51" t="str">
        <f t="array" ref="V388">IFERROR(_xlfn.XLOOKUP($F388,'Acerto virtual'!$E:$E,'Acerto virtual'!H:H),"")</f>
        <v>04/09</v>
      </c>
      <c r="W388" s="51" t="str">
        <f t="array" ref="W388">IFERROR(_xlfn.XLOOKUP($F388,'Acerto virtual'!$E:$E,'Acerto virtual'!I:I),"")</f>
        <v/>
      </c>
      <c r="X388" s="51" t="str">
        <f t="array" ref="X388">IFERROR(_xlfn.XLOOKUP($F388,'Acerto virtual'!$E:$E,'Acerto virtual'!J:J),"")</f>
        <v>08/09</v>
      </c>
      <c r="Y388" s="51" t="str">
        <f t="array" ref="Y388">IFERROR(_xlfn.XLOOKUP($F388,'Acerto virtual'!$E:$E,'Acerto virtual'!K:K),"")</f>
        <v>08/09</v>
      </c>
      <c r="Z388" s="51" t="str">
        <f t="array" ref="Z388">IFERROR(_xlfn.XLOOKUP($F388,'Acerto virtual'!$E:$E,'Acerto virtual'!L:L),"")</f>
        <v>08/09</v>
      </c>
      <c r="AA388" s="51" t="str">
        <f t="array" ref="AA388">IFERROR(_xlfn.XLOOKUP($F388,'Acerto virtual'!$E:$E,'Acerto virtual'!M:M),"")</f>
        <v>09/09</v>
      </c>
      <c r="AB388" s="51" t="str">
        <f t="array" ref="AB388">IFERROR(_xlfn.XLOOKUP($F388,'Acerto virtual'!$E:$E,'Acerto virtual'!N:N),"")</f>
        <v>09/09</v>
      </c>
      <c r="AC388" s="51" t="str">
        <f t="array" ref="AC388">IFERROR(_xlfn.XLOOKUP($F388,'Acerto virtual'!$E:$E,'Acerto virtual'!O:O),"")</f>
        <v>09/09</v>
      </c>
      <c r="AD388" s="51" t="str">
        <f t="array" ref="AD388">IFERROR(_xlfn.XLOOKUP($F388,'Acerto virtual'!$E:$E,'Acerto virtual'!P:P),"")</f>
        <v>09/09</v>
      </c>
      <c r="AE388" s="51" t="str">
        <f t="array" ref="AE388">IFERROR(_xlfn.XLOOKUP($F388,'Acerto virtual'!$E:$E,'Acerto virtual'!Q:Q),"")</f>
        <v>09/09</v>
      </c>
      <c r="AF388" s="51" t="str">
        <f t="array" ref="AF388">IFERROR(_xlfn.XLOOKUP($F388,'Acerto virtual'!$E:$E,'Acerto virtual'!R:R),"")</f>
        <v>09/09</v>
      </c>
      <c r="AG388" s="51" t="str">
        <f t="array" ref="AG388">IFERROR(_xlfn.XLOOKUP($F388,'Acerto virtual'!$E:$E,'Acerto virtual'!S:S),"")</f>
        <v>09/09</v>
      </c>
      <c r="AH388" s="51" t="str">
        <f t="array" ref="AH388">IFERROR(_xlfn.XLOOKUP($F388,'Acerto virtual'!$E:$E,'Acerto virtual'!T:T),"")</f>
        <v>10/09</v>
      </c>
      <c r="AI388" s="51" t="str">
        <f t="array" ref="AI388">IFERROR(_xlfn.XLOOKUP($F388,'Acerto virtual'!$E:$E,'Acerto virtual'!U:U),"")</f>
        <v/>
      </c>
    </row>
    <row r="389">
      <c r="A389" s="47" t="s">
        <v>1098</v>
      </c>
      <c r="B389" s="53" t="s">
        <v>1099</v>
      </c>
      <c r="C389" s="48" t="str">
        <f t="array" ref="C389">IFERROR(_xlfn.XLOOKUP($B389,'Histórico'!$B:$B,'Histórico'!$I:$I),"")</f>
        <v>069-01033-0101</v>
      </c>
      <c r="D389" s="19" t="str">
        <f t="array" ref="D389">IFERROR(_xlfn.XLOOKUP($B389,'Histórico'!$B:$B,'Histórico'!$J:$J),"")</f>
        <v>22373</v>
      </c>
      <c r="E389" s="19" t="str">
        <f t="array" ref="E389">IFERROR(_xlfn.XLOOKUP($B389,'Histórico'!$B:$B,'Histórico'!$K:$K),"")</f>
        <v>RECEIVER-TRANSMITTER,RADIO</v>
      </c>
      <c r="F389" s="19" t="str">
        <f t="array" ref="F389">IFERROR(_xlfn.XLOOKUP($B389,'Histórico'!$B:$B,'Histórico'!$L:$L),"")</f>
        <v>4154</v>
      </c>
      <c r="G389" s="49" t="str">
        <f t="array" ref="G389">IFERROR(_xlfn.XLOOKUP($B389,'Histórico'!$B:$B,'Histórico'!$F:$F),"")</f>
        <v>29/05/2026</v>
      </c>
      <c r="H389" s="19" t="str">
        <f t="array" ref="H389">IFERROR(_xlfn.XLOOKUP($B389,'Histórico'!$B:$B,'Histórico'!$AA:$AA),"")</f>
        <v>PAMALS</v>
      </c>
      <c r="I389" s="19" t="str">
        <f t="array" ref="I389">IFERROR(_xlfn.XLOOKUP($B389,Atual!$B:$B,Atual!$E:$E),"OS concluída")</f>
        <v>REC</v>
      </c>
      <c r="J389" s="19">
        <f t="shared" si="1"/>
        <v>139</v>
      </c>
      <c r="K389" s="19"/>
      <c r="L389" s="19" t="str">
        <f t="shared" si="2"/>
        <v>NÃO APLICÁVEL</v>
      </c>
      <c r="M389" s="19"/>
      <c r="N389" s="49" t="str">
        <f t="array" ref="N389">IFERROR(_xlfn.XLOOKUP($B389,EMPRESA_1!A:A,EMPRESA_1!J:J),"")</f>
        <v>EM REPARO</v>
      </c>
      <c r="O389" s="50" t="str">
        <f t="array" ref="O389">IFERROR(_xlfn.XLOOKUP(B389,EMPRESA_1!A:A,EMPRESA_1!K:K),"")
</f>
        <v>WILLIAM</v>
      </c>
      <c r="P389" s="48" t="str">
        <f t="array" ref="P389">IFERROR(_xlfn.XLOOKUP(B389,EMPRESA_1!A:A,EMPRESA_1!L:L),"")</f>
        <v/>
      </c>
      <c r="Q389" s="49" t="str">
        <f t="array" ref="Q389">IFERROR(_xlfn.XLOOKUP(B389,EMPRESA_1!A:A,EMPRESA_1!J:J),"")</f>
        <v>EM REPARO</v>
      </c>
      <c r="R389" s="19" t="str">
        <f t="array" ref="R389">IFERROR(_xlfn.XLOOKUP(B389,EMPRESA_1!A:A,EMPRESA_1!M:M),"")</f>
        <v/>
      </c>
      <c r="S389" s="51"/>
      <c r="T389" s="51" t="str">
        <f t="array" ref="T389">IFERROR(_xlfn.XLOOKUP($F389,'Acerto virtual'!$E:$E,'Acerto virtual'!F:F),"")</f>
        <v/>
      </c>
      <c r="U389" s="51" t="str">
        <f t="array" ref="U389">IFERROR(_xlfn.XLOOKUP($F389,'Acerto virtual'!$E:$E,'Acerto virtual'!G:G),"")</f>
        <v/>
      </c>
      <c r="V389" s="51" t="str">
        <f t="array" ref="V389">IFERROR(_xlfn.XLOOKUP($F389,'Acerto virtual'!$E:$E,'Acerto virtual'!H:H),"")</f>
        <v/>
      </c>
      <c r="W389" s="51" t="str">
        <f t="array" ref="W389">IFERROR(_xlfn.XLOOKUP($F389,'Acerto virtual'!$E:$E,'Acerto virtual'!I:I),"")</f>
        <v/>
      </c>
      <c r="X389" s="51" t="str">
        <f t="array" ref="X389">IFERROR(_xlfn.XLOOKUP($F389,'Acerto virtual'!$E:$E,'Acerto virtual'!J:J),"")</f>
        <v/>
      </c>
      <c r="Y389" s="51" t="str">
        <f t="array" ref="Y389">IFERROR(_xlfn.XLOOKUP($F389,'Acerto virtual'!$E:$E,'Acerto virtual'!K:K),"")</f>
        <v/>
      </c>
      <c r="Z389" s="51" t="str">
        <f t="array" ref="Z389">IFERROR(_xlfn.XLOOKUP($F389,'Acerto virtual'!$E:$E,'Acerto virtual'!L:L),"")</f>
        <v/>
      </c>
      <c r="AA389" s="51" t="str">
        <f t="array" ref="AA389">IFERROR(_xlfn.XLOOKUP($F389,'Acerto virtual'!$E:$E,'Acerto virtual'!M:M),"")</f>
        <v/>
      </c>
      <c r="AB389" s="51" t="str">
        <f t="array" ref="AB389">IFERROR(_xlfn.XLOOKUP($F389,'Acerto virtual'!$E:$E,'Acerto virtual'!N:N),"")</f>
        <v/>
      </c>
      <c r="AC389" s="51" t="str">
        <f t="array" ref="AC389">IFERROR(_xlfn.XLOOKUP($F389,'Acerto virtual'!$E:$E,'Acerto virtual'!O:O),"")</f>
        <v/>
      </c>
      <c r="AD389" s="51" t="str">
        <f t="array" ref="AD389">IFERROR(_xlfn.XLOOKUP($F389,'Acerto virtual'!$E:$E,'Acerto virtual'!P:P),"")</f>
        <v/>
      </c>
      <c r="AE389" s="51" t="str">
        <f t="array" ref="AE389">IFERROR(_xlfn.XLOOKUP($F389,'Acerto virtual'!$E:$E,'Acerto virtual'!Q:Q),"")</f>
        <v/>
      </c>
      <c r="AF389" s="51" t="str">
        <f t="array" ref="AF389">IFERROR(_xlfn.XLOOKUP($F389,'Acerto virtual'!$E:$E,'Acerto virtual'!R:R),"")</f>
        <v/>
      </c>
      <c r="AG389" s="51" t="str">
        <f t="array" ref="AG389">IFERROR(_xlfn.XLOOKUP($F389,'Acerto virtual'!$E:$E,'Acerto virtual'!S:S),"")</f>
        <v/>
      </c>
      <c r="AH389" s="51" t="str">
        <f t="array" ref="AH389">IFERROR(_xlfn.XLOOKUP($F389,'Acerto virtual'!$E:$E,'Acerto virtual'!T:T),"")</f>
        <v/>
      </c>
      <c r="AI389" s="51" t="str">
        <f t="array" ref="AI389">IFERROR(_xlfn.XLOOKUP($F389,'Acerto virtual'!$E:$E,'Acerto virtual'!U:U),"")</f>
        <v/>
      </c>
    </row>
    <row r="390">
      <c r="A390" s="47" t="s">
        <v>1100</v>
      </c>
      <c r="B390" s="53" t="s">
        <v>1101</v>
      </c>
      <c r="C390" s="48" t="str">
        <f t="array" ref="C390">IFERROR(_xlfn.XLOOKUP($B390,'Histórico'!$B:$B,'Histórico'!$I:$I),"")</f>
        <v>069-01033-0101</v>
      </c>
      <c r="D390" s="19" t="str">
        <f t="array" ref="D390">IFERROR(_xlfn.XLOOKUP($B390,'Histórico'!$B:$B,'Histórico'!$J:$J),"")</f>
        <v>22373</v>
      </c>
      <c r="E390" s="19" t="str">
        <f t="array" ref="E390">IFERROR(_xlfn.XLOOKUP($B390,'Histórico'!$B:$B,'Histórico'!$K:$K),"")</f>
        <v>RECEIVER-TRANSMITTER,RADIO</v>
      </c>
      <c r="F390" s="19" t="str">
        <f t="array" ref="F390">IFERROR(_xlfn.XLOOKUP($B390,'Histórico'!$B:$B,'Histórico'!$L:$L),"")</f>
        <v>4164</v>
      </c>
      <c r="G390" s="49" t="str">
        <f t="array" ref="G390">IFERROR(_xlfn.XLOOKUP($B390,'Histórico'!$B:$B,'Histórico'!$F:$F),"")</f>
        <v>29/05/2026</v>
      </c>
      <c r="H390" s="19" t="str">
        <f t="array" ref="H390">IFERROR(_xlfn.XLOOKUP($B390,'Histórico'!$B:$B,'Histórico'!$AA:$AA),"")</f>
        <v>PAMASP</v>
      </c>
      <c r="I390" s="19" t="str">
        <f t="array" ref="I390">IFERROR(_xlfn.XLOOKUP($B390,Atual!$B:$B,Atual!$E:$E),"OS concluída")</f>
        <v>REC</v>
      </c>
      <c r="J390" s="19">
        <f t="shared" si="1"/>
        <v>139</v>
      </c>
      <c r="K390" s="19"/>
      <c r="L390" s="19" t="str">
        <f t="shared" si="2"/>
        <v>NÃO APLICÁVEL</v>
      </c>
      <c r="M390" s="19"/>
      <c r="N390" s="49" t="str">
        <f t="array" ref="N390">IFERROR(_xlfn.XLOOKUP($B390,EMPRESA_1!A:A,EMPRESA_1!J:J),"")</f>
        <v>EM REPARO</v>
      </c>
      <c r="O390" s="50" t="str">
        <f t="array" ref="O390">IFERROR(_xlfn.XLOOKUP(B390,EMPRESA_1!A:A,EMPRESA_1!K:K),"")
</f>
        <v>WILLIAM</v>
      </c>
      <c r="P390" s="48" t="str">
        <f t="array" ref="P390">IFERROR(_xlfn.XLOOKUP(B390,EMPRESA_1!A:A,EMPRESA_1!L:L),"")</f>
        <v/>
      </c>
      <c r="Q390" s="49" t="str">
        <f t="array" ref="Q390">IFERROR(_xlfn.XLOOKUP(B390,EMPRESA_1!A:A,EMPRESA_1!J:J),"")</f>
        <v>EM REPARO</v>
      </c>
      <c r="R390" s="19" t="str">
        <f t="array" ref="R390">IFERROR(_xlfn.XLOOKUP(B390,EMPRESA_1!A:A,EMPRESA_1!M:M),"")</f>
        <v/>
      </c>
      <c r="S390" s="51"/>
      <c r="T390" s="51" t="str">
        <f t="array" ref="T390">IFERROR(_xlfn.XLOOKUP($F390,'Acerto virtual'!$E:$E,'Acerto virtual'!F:F),"")</f>
        <v/>
      </c>
      <c r="U390" s="51" t="str">
        <f t="array" ref="U390">IFERROR(_xlfn.XLOOKUP($F390,'Acerto virtual'!$E:$E,'Acerto virtual'!G:G),"")</f>
        <v/>
      </c>
      <c r="V390" s="51" t="str">
        <f t="array" ref="V390">IFERROR(_xlfn.XLOOKUP($F390,'Acerto virtual'!$E:$E,'Acerto virtual'!H:H),"")</f>
        <v/>
      </c>
      <c r="W390" s="51" t="str">
        <f t="array" ref="W390">IFERROR(_xlfn.XLOOKUP($F390,'Acerto virtual'!$E:$E,'Acerto virtual'!I:I),"")</f>
        <v/>
      </c>
      <c r="X390" s="51" t="str">
        <f t="array" ref="X390">IFERROR(_xlfn.XLOOKUP($F390,'Acerto virtual'!$E:$E,'Acerto virtual'!J:J),"")</f>
        <v/>
      </c>
      <c r="Y390" s="51" t="str">
        <f t="array" ref="Y390">IFERROR(_xlfn.XLOOKUP($F390,'Acerto virtual'!$E:$E,'Acerto virtual'!K:K),"")</f>
        <v/>
      </c>
      <c r="Z390" s="51" t="str">
        <f t="array" ref="Z390">IFERROR(_xlfn.XLOOKUP($F390,'Acerto virtual'!$E:$E,'Acerto virtual'!L:L),"")</f>
        <v/>
      </c>
      <c r="AA390" s="51" t="str">
        <f t="array" ref="AA390">IFERROR(_xlfn.XLOOKUP($F390,'Acerto virtual'!$E:$E,'Acerto virtual'!M:M),"")</f>
        <v/>
      </c>
      <c r="AB390" s="51" t="str">
        <f t="array" ref="AB390">IFERROR(_xlfn.XLOOKUP($F390,'Acerto virtual'!$E:$E,'Acerto virtual'!N:N),"")</f>
        <v/>
      </c>
      <c r="AC390" s="51" t="str">
        <f t="array" ref="AC390">IFERROR(_xlfn.XLOOKUP($F390,'Acerto virtual'!$E:$E,'Acerto virtual'!O:O),"")</f>
        <v/>
      </c>
      <c r="AD390" s="51" t="str">
        <f t="array" ref="AD390">IFERROR(_xlfn.XLOOKUP($F390,'Acerto virtual'!$E:$E,'Acerto virtual'!P:P),"")</f>
        <v/>
      </c>
      <c r="AE390" s="51" t="str">
        <f t="array" ref="AE390">IFERROR(_xlfn.XLOOKUP($F390,'Acerto virtual'!$E:$E,'Acerto virtual'!Q:Q),"")</f>
        <v/>
      </c>
      <c r="AF390" s="51" t="str">
        <f t="array" ref="AF390">IFERROR(_xlfn.XLOOKUP($F390,'Acerto virtual'!$E:$E,'Acerto virtual'!R:R),"")</f>
        <v/>
      </c>
      <c r="AG390" s="51" t="str">
        <f t="array" ref="AG390">IFERROR(_xlfn.XLOOKUP($F390,'Acerto virtual'!$E:$E,'Acerto virtual'!S:S),"")</f>
        <v/>
      </c>
      <c r="AH390" s="51" t="str">
        <f t="array" ref="AH390">IFERROR(_xlfn.XLOOKUP($F390,'Acerto virtual'!$E:$E,'Acerto virtual'!T:T),"")</f>
        <v/>
      </c>
      <c r="AI390" s="51" t="str">
        <f t="array" ref="AI390">IFERROR(_xlfn.XLOOKUP($F390,'Acerto virtual'!$E:$E,'Acerto virtual'!U:U),"")</f>
        <v/>
      </c>
    </row>
    <row r="391">
      <c r="A391" s="47" t="s">
        <v>1102</v>
      </c>
      <c r="B391" s="53" t="s">
        <v>1103</v>
      </c>
      <c r="C391" s="48" t="str">
        <f t="array" ref="C391">IFERROR(_xlfn.XLOOKUP($B391,'Histórico'!$B:$B,'Histórico'!$I:$I),"")</f>
        <v>060-0017-00</v>
      </c>
      <c r="D391" s="19" t="str">
        <f t="array" ref="D391">IFERROR(_xlfn.XLOOKUP($B391,'Histórico'!$B:$B,'Histórico'!$J:$J),"")</f>
        <v>22373</v>
      </c>
      <c r="E391" s="19" t="str">
        <f t="array" ref="E391">IFERROR(_xlfn.XLOOKUP($B391,'Histórico'!$B:$B,'Histórico'!$K:$K),"")</f>
        <v>FLIGHT DIR HOR</v>
      </c>
      <c r="F391" s="19" t="str">
        <f t="array" ref="F391">IFERROR(_xlfn.XLOOKUP($B391,'Histórico'!$B:$B,'Histórico'!$L:$L),"")</f>
        <v>17143</v>
      </c>
      <c r="G391" s="49" t="str">
        <f t="array" ref="G391">IFERROR(_xlfn.XLOOKUP($B391,'Histórico'!$B:$B,'Histórico'!$F:$F),"")</f>
        <v>29/05/2026</v>
      </c>
      <c r="H391" s="19" t="str">
        <f t="array" ref="H391">IFERROR(_xlfn.XLOOKUP($B391,'Histórico'!$B:$B,'Histórico'!$AA:$AA),"")</f>
        <v>PAMALS</v>
      </c>
      <c r="I391" s="19" t="str">
        <f t="array" ref="I391">IFERROR(_xlfn.XLOOKUP($B391,Atual!$B:$B,Atual!$E:$E),"OS concluída")</f>
        <v>REC</v>
      </c>
      <c r="J391" s="19">
        <f t="shared" si="1"/>
        <v>139</v>
      </c>
      <c r="K391" s="19"/>
      <c r="L391" s="19">
        <f t="shared" si="2"/>
        <v>-85</v>
      </c>
      <c r="M391" s="19"/>
      <c r="N391" s="49">
        <f t="array" ref="N391">IFERROR(_xlfn.XLOOKUP($B391,EMPRESA_1!A:A,EMPRESA_1!J:J),"")</f>
        <v>46086</v>
      </c>
      <c r="O391" s="50" t="str">
        <f t="array" ref="O391">IFERROR(_xlfn.XLOOKUP(B391,EMPRESA_1!A:A,EMPRESA_1!K:K),"")
</f>
        <v>BABR</v>
      </c>
      <c r="P391" s="48" t="str">
        <f t="array" ref="P391">IFERROR(_xlfn.XLOOKUP(B391,EMPRESA_1!A:A,EMPRESA_1!L:L),"")</f>
        <v>252/2026</v>
      </c>
      <c r="Q391" s="49">
        <f t="array" ref="Q391">IFERROR(_xlfn.XLOOKUP(B391,EMPRESA_1!A:A,EMPRESA_1!J:J),"")</f>
        <v>46086</v>
      </c>
      <c r="R391" s="19" t="str">
        <f t="array" ref="R391">IFERROR(_xlfn.XLOOKUP(B391,EMPRESA_1!A:A,EMPRESA_1!M:M),"")</f>
        <v/>
      </c>
      <c r="S391" s="51"/>
      <c r="T391" s="51" t="str">
        <f t="array" ref="T391">IFERROR(_xlfn.XLOOKUP($F391,'Acerto virtual'!$E:$E,'Acerto virtual'!F:F),"")</f>
        <v/>
      </c>
      <c r="U391" s="51" t="str">
        <f t="array" ref="U391">IFERROR(_xlfn.XLOOKUP($F391,'Acerto virtual'!$E:$E,'Acerto virtual'!G:G),"")</f>
        <v/>
      </c>
      <c r="V391" s="51" t="str">
        <f t="array" ref="V391">IFERROR(_xlfn.XLOOKUP($F391,'Acerto virtual'!$E:$E,'Acerto virtual'!H:H),"")</f>
        <v/>
      </c>
      <c r="W391" s="51" t="str">
        <f t="array" ref="W391">IFERROR(_xlfn.XLOOKUP($F391,'Acerto virtual'!$E:$E,'Acerto virtual'!I:I),"")</f>
        <v/>
      </c>
      <c r="X391" s="51" t="str">
        <f t="array" ref="X391">IFERROR(_xlfn.XLOOKUP($F391,'Acerto virtual'!$E:$E,'Acerto virtual'!J:J),"")</f>
        <v/>
      </c>
      <c r="Y391" s="51" t="str">
        <f t="array" ref="Y391">IFERROR(_xlfn.XLOOKUP($F391,'Acerto virtual'!$E:$E,'Acerto virtual'!K:K),"")</f>
        <v/>
      </c>
      <c r="Z391" s="51" t="str">
        <f t="array" ref="Z391">IFERROR(_xlfn.XLOOKUP($F391,'Acerto virtual'!$E:$E,'Acerto virtual'!L:L),"")</f>
        <v/>
      </c>
      <c r="AA391" s="51" t="str">
        <f t="array" ref="AA391">IFERROR(_xlfn.XLOOKUP($F391,'Acerto virtual'!$E:$E,'Acerto virtual'!M:M),"")</f>
        <v/>
      </c>
      <c r="AB391" s="51" t="str">
        <f t="array" ref="AB391">IFERROR(_xlfn.XLOOKUP($F391,'Acerto virtual'!$E:$E,'Acerto virtual'!N:N),"")</f>
        <v/>
      </c>
      <c r="AC391" s="51" t="str">
        <f t="array" ref="AC391">IFERROR(_xlfn.XLOOKUP($F391,'Acerto virtual'!$E:$E,'Acerto virtual'!O:O),"")</f>
        <v/>
      </c>
      <c r="AD391" s="51" t="str">
        <f t="array" ref="AD391">IFERROR(_xlfn.XLOOKUP($F391,'Acerto virtual'!$E:$E,'Acerto virtual'!P:P),"")</f>
        <v/>
      </c>
      <c r="AE391" s="51" t="str">
        <f t="array" ref="AE391">IFERROR(_xlfn.XLOOKUP($F391,'Acerto virtual'!$E:$E,'Acerto virtual'!Q:Q),"")</f>
        <v/>
      </c>
      <c r="AF391" s="51" t="str">
        <f t="array" ref="AF391">IFERROR(_xlfn.XLOOKUP($F391,'Acerto virtual'!$E:$E,'Acerto virtual'!R:R),"")</f>
        <v/>
      </c>
      <c r="AG391" s="51" t="str">
        <f t="array" ref="AG391">IFERROR(_xlfn.XLOOKUP($F391,'Acerto virtual'!$E:$E,'Acerto virtual'!S:S),"")</f>
        <v/>
      </c>
      <c r="AH391" s="51" t="str">
        <f t="array" ref="AH391">IFERROR(_xlfn.XLOOKUP($F391,'Acerto virtual'!$E:$E,'Acerto virtual'!T:T),"")</f>
        <v/>
      </c>
      <c r="AI391" s="51" t="str">
        <f t="array" ref="AI391">IFERROR(_xlfn.XLOOKUP($F391,'Acerto virtual'!$E:$E,'Acerto virtual'!U:U),"")</f>
        <v/>
      </c>
    </row>
    <row r="392">
      <c r="A392" s="47" t="s">
        <v>1104</v>
      </c>
      <c r="B392" s="53" t="s">
        <v>1105</v>
      </c>
      <c r="C392" s="48" t="str">
        <f t="array" ref="C392">IFERROR(_xlfn.XLOOKUP($B392,'Histórico'!$B:$B,'Histórico'!$I:$I),"")</f>
        <v>200SGL119Q-2</v>
      </c>
      <c r="D392" s="19" t="str">
        <f t="array" ref="D392">IFERROR(_xlfn.XLOOKUP($B392,'Histórico'!$B:$B,'Histórico'!$J:$J),"")</f>
        <v>1ZAW4</v>
      </c>
      <c r="E392" s="19" t="str">
        <f t="array" ref="E392">IFERROR(_xlfn.XLOOKUP($B392,'Histórico'!$B:$B,'Histórico'!$K:$K),"")</f>
        <v>STARTER GENERATOR</v>
      </c>
      <c r="F392" s="19" t="str">
        <f t="array" ref="F392">IFERROR(_xlfn.XLOOKUP($B392,'Histórico'!$B:$B,'Histórico'!$L:$L),"")</f>
        <v>3391XL</v>
      </c>
      <c r="G392" s="49" t="str">
        <f t="array" ref="G392">IFERROR(_xlfn.XLOOKUP($B392,'Histórico'!$B:$B,'Histórico'!$F:$F),"")</f>
        <v>29/05/2026</v>
      </c>
      <c r="H392" s="19" t="str">
        <f t="array" ref="H392">IFERROR(_xlfn.XLOOKUP($B392,'Histórico'!$B:$B,'Histórico'!$AA:$AA),"")</f>
        <v>BAMN</v>
      </c>
      <c r="I392" s="19" t="str">
        <f t="array" ref="I392">IFERROR(_xlfn.XLOOKUP($B392,Atual!$B:$B,Atual!$E:$E),"OS concluída")</f>
        <v>REC</v>
      </c>
      <c r="J392" s="19">
        <f t="shared" si="1"/>
        <v>139</v>
      </c>
      <c r="K392" s="19"/>
      <c r="L392" s="19" t="str">
        <f t="shared" si="2"/>
        <v>NÃO APLICÁVEL</v>
      </c>
      <c r="M392" s="19"/>
      <c r="N392" s="49" t="str">
        <f t="array" ref="N392">IFERROR(_xlfn.XLOOKUP($B392,EMPRESA_1!A:A,EMPRESA_1!J:J),"")</f>
        <v>EM REPARO</v>
      </c>
      <c r="O392" s="50" t="str">
        <f t="array" ref="O392">IFERROR(_xlfn.XLOOKUP(B392,EMPRESA_1!A:A,EMPRESA_1!K:K),"")
</f>
        <v>AV AERONAUTICA</v>
      </c>
      <c r="P392" s="48" t="str">
        <f t="array" ref="P392">IFERROR(_xlfn.XLOOKUP(B392,EMPRESA_1!A:A,EMPRESA_1!L:L),"")</f>
        <v/>
      </c>
      <c r="Q392" s="49" t="str">
        <f t="array" ref="Q392">IFERROR(_xlfn.XLOOKUP(B392,EMPRESA_1!A:A,EMPRESA_1!J:J),"")</f>
        <v>EM REPARO</v>
      </c>
      <c r="R392" s="19" t="str">
        <f t="array" ref="R392">IFERROR(_xlfn.XLOOKUP(B392,EMPRESA_1!A:A,EMPRESA_1!M:M),"")</f>
        <v/>
      </c>
      <c r="S392" s="51"/>
      <c r="T392" s="51" t="str">
        <f t="array" ref="T392">IFERROR(_xlfn.XLOOKUP($F392,'Acerto virtual'!$E:$E,'Acerto virtual'!F:F),"")</f>
        <v/>
      </c>
      <c r="U392" s="51" t="str">
        <f t="array" ref="U392">IFERROR(_xlfn.XLOOKUP($F392,'Acerto virtual'!$E:$E,'Acerto virtual'!G:G),"")</f>
        <v/>
      </c>
      <c r="V392" s="51" t="str">
        <f t="array" ref="V392">IFERROR(_xlfn.XLOOKUP($F392,'Acerto virtual'!$E:$E,'Acerto virtual'!H:H),"")</f>
        <v/>
      </c>
      <c r="W392" s="51" t="str">
        <f t="array" ref="W392">IFERROR(_xlfn.XLOOKUP($F392,'Acerto virtual'!$E:$E,'Acerto virtual'!I:I),"")</f>
        <v/>
      </c>
      <c r="X392" s="51" t="str">
        <f t="array" ref="X392">IFERROR(_xlfn.XLOOKUP($F392,'Acerto virtual'!$E:$E,'Acerto virtual'!J:J),"")</f>
        <v/>
      </c>
      <c r="Y392" s="51" t="str">
        <f t="array" ref="Y392">IFERROR(_xlfn.XLOOKUP($F392,'Acerto virtual'!$E:$E,'Acerto virtual'!K:K),"")</f>
        <v/>
      </c>
      <c r="Z392" s="51" t="str">
        <f t="array" ref="Z392">IFERROR(_xlfn.XLOOKUP($F392,'Acerto virtual'!$E:$E,'Acerto virtual'!L:L),"")</f>
        <v/>
      </c>
      <c r="AA392" s="51" t="str">
        <f t="array" ref="AA392">IFERROR(_xlfn.XLOOKUP($F392,'Acerto virtual'!$E:$E,'Acerto virtual'!M:M),"")</f>
        <v/>
      </c>
      <c r="AB392" s="51" t="str">
        <f t="array" ref="AB392">IFERROR(_xlfn.XLOOKUP($F392,'Acerto virtual'!$E:$E,'Acerto virtual'!N:N),"")</f>
        <v/>
      </c>
      <c r="AC392" s="51" t="str">
        <f t="array" ref="AC392">IFERROR(_xlfn.XLOOKUP($F392,'Acerto virtual'!$E:$E,'Acerto virtual'!O:O),"")</f>
        <v/>
      </c>
      <c r="AD392" s="51" t="str">
        <f t="array" ref="AD392">IFERROR(_xlfn.XLOOKUP($F392,'Acerto virtual'!$E:$E,'Acerto virtual'!P:P),"")</f>
        <v/>
      </c>
      <c r="AE392" s="51" t="str">
        <f t="array" ref="AE392">IFERROR(_xlfn.XLOOKUP($F392,'Acerto virtual'!$E:$E,'Acerto virtual'!Q:Q),"")</f>
        <v/>
      </c>
      <c r="AF392" s="51" t="str">
        <f t="array" ref="AF392">IFERROR(_xlfn.XLOOKUP($F392,'Acerto virtual'!$E:$E,'Acerto virtual'!R:R),"")</f>
        <v/>
      </c>
      <c r="AG392" s="51" t="str">
        <f t="array" ref="AG392">IFERROR(_xlfn.XLOOKUP($F392,'Acerto virtual'!$E:$E,'Acerto virtual'!S:S),"")</f>
        <v/>
      </c>
      <c r="AH392" s="51" t="str">
        <f t="array" ref="AH392">IFERROR(_xlfn.XLOOKUP($F392,'Acerto virtual'!$E:$E,'Acerto virtual'!T:T),"")</f>
        <v/>
      </c>
      <c r="AI392" s="51" t="str">
        <f t="array" ref="AI392">IFERROR(_xlfn.XLOOKUP($F392,'Acerto virtual'!$E:$E,'Acerto virtual'!U:U),"")</f>
        <v/>
      </c>
    </row>
    <row r="393" hidden="1">
      <c r="A393" s="47" t="s">
        <v>1106</v>
      </c>
      <c r="B393" s="53" t="s">
        <v>1107</v>
      </c>
      <c r="C393" s="48" t="str">
        <f t="array" ref="C393">IFERROR(_xlfn.XLOOKUP($B393,'Histórico'!$B:$B,'Histórico'!$I:$I),"")</f>
        <v>200SGL119Q-2</v>
      </c>
      <c r="D393" s="19" t="str">
        <f t="array" ref="D393">IFERROR(_xlfn.XLOOKUP($B393,'Histórico'!$B:$B,'Histórico'!$J:$J),"")</f>
        <v>95270</v>
      </c>
      <c r="E393" s="19" t="str">
        <f t="array" ref="E393">IFERROR(_xlfn.XLOOKUP($B393,'Histórico'!$B:$B,'Histórico'!$K:$K),"")</f>
        <v>STARTER GENERATOR</v>
      </c>
      <c r="F393" s="19" t="str">
        <f t="array" ref="F393">IFERROR(_xlfn.XLOOKUP($B393,'Histórico'!$B:$B,'Histórico'!$L:$L),"")</f>
        <v>S00007XL</v>
      </c>
      <c r="G393" s="49" t="str">
        <f t="array" ref="G393">IFERROR(_xlfn.XLOOKUP($B393,'Histórico'!$B:$B,'Histórico'!$F:$F),"")</f>
        <v>29/05/2026</v>
      </c>
      <c r="H393" s="19" t="str">
        <f t="array" ref="H393">IFERROR(_xlfn.XLOOKUP($B393,'Histórico'!$B:$B,'Histórico'!$AA:$AA),"")</f>
        <v>BABE</v>
      </c>
      <c r="I393" s="19" t="str">
        <f t="array" ref="I393">IFERROR(_xlfn.XLOOKUP($B393,Atual!$B:$B,Atual!$E:$E),"OS concluída")</f>
        <v>OS concluída</v>
      </c>
      <c r="J393" s="19" t="str">
        <f t="shared" si="1"/>
        <v/>
      </c>
      <c r="K393" s="19"/>
      <c r="L393" s="19">
        <f t="shared" si="2"/>
        <v>20</v>
      </c>
      <c r="M393" s="19"/>
      <c r="N393" s="49">
        <f t="array" ref="N393">IFERROR(_xlfn.XLOOKUP($B393,EMPRESA_1!A:A,EMPRESA_1!J:J),"")</f>
        <v>46191</v>
      </c>
      <c r="O393" s="50" t="str">
        <f t="array" ref="O393">IFERROR(_xlfn.XLOOKUP(B393,EMPRESA_1!A:A,EMPRESA_1!K:K),"")
</f>
        <v>BABE</v>
      </c>
      <c r="P393" s="19" t="str">
        <f t="array" ref="P393">IFERROR(_xlfn.XLOOKUP(B393,EMPRESA_1!A:A,EMPRESA_1!L:L),"")</f>
        <v>486/FAB/26</v>
      </c>
      <c r="Q393" s="49">
        <f t="array" ref="Q393">IFERROR(_xlfn.XLOOKUP(B393,EMPRESA_1!A:A,EMPRESA_1!J:J),"")</f>
        <v>46191</v>
      </c>
      <c r="R393" s="19" t="str">
        <f t="array" ref="R393">IFERROR(_xlfn.XLOOKUP(B393,EMPRESA_1!A:A,EMPRESA_1!M:M),"")</f>
        <v/>
      </c>
      <c r="S393" s="51"/>
      <c r="T393" s="51" t="str">
        <f t="array" ref="T393">IFERROR(_xlfn.XLOOKUP($F393,'Acerto virtual'!$E:$E,'Acerto virtual'!F:F),"")</f>
        <v>018/2026</v>
      </c>
      <c r="U393" s="51" t="str">
        <f t="array" ref="U393">IFERROR(_xlfn.XLOOKUP($F393,'Acerto virtual'!$E:$E,'Acerto virtual'!G:G),"")</f>
        <v>22/06</v>
      </c>
      <c r="V393" s="51" t="str">
        <f t="array" ref="V393">IFERROR(_xlfn.XLOOKUP($F393,'Acerto virtual'!$E:$E,'Acerto virtual'!H:H),"")</f>
        <v>07/08</v>
      </c>
      <c r="W393" s="51" t="str">
        <f t="array" ref="W393">IFERROR(_xlfn.XLOOKUP($F393,'Acerto virtual'!$E:$E,'Acerto virtual'!I:I),"")</f>
        <v/>
      </c>
      <c r="X393" s="51" t="str">
        <f t="array" ref="X393">IFERROR(_xlfn.XLOOKUP($F393,'Acerto virtual'!$E:$E,'Acerto virtual'!J:J),"")</f>
        <v>10/08</v>
      </c>
      <c r="Y393" s="51" t="str">
        <f t="array" ref="Y393">IFERROR(_xlfn.XLOOKUP($F393,'Acerto virtual'!$E:$E,'Acerto virtual'!K:K),"")</f>
        <v>10/08</v>
      </c>
      <c r="Z393" s="51" t="str">
        <f t="array" ref="Z393">IFERROR(_xlfn.XLOOKUP($F393,'Acerto virtual'!$E:$E,'Acerto virtual'!L:L),"")</f>
        <v>10/08</v>
      </c>
      <c r="AA393" s="51" t="str">
        <f t="array" ref="AA393">IFERROR(_xlfn.XLOOKUP($F393,'Acerto virtual'!$E:$E,'Acerto virtual'!M:M),"")</f>
        <v>10/08</v>
      </c>
      <c r="AB393" s="51" t="str">
        <f t="array" ref="AB393">IFERROR(_xlfn.XLOOKUP($F393,'Acerto virtual'!$E:$E,'Acerto virtual'!N:N),"")</f>
        <v>10/08</v>
      </c>
      <c r="AC393" s="51" t="str">
        <f t="array" ref="AC393">IFERROR(_xlfn.XLOOKUP($F393,'Acerto virtual'!$E:$E,'Acerto virtual'!O:O),"")</f>
        <v>10/08</v>
      </c>
      <c r="AD393" s="51" t="str">
        <f t="array" ref="AD393">IFERROR(_xlfn.XLOOKUP($F393,'Acerto virtual'!$E:$E,'Acerto virtual'!P:P),"")</f>
        <v>10/08</v>
      </c>
      <c r="AE393" s="51" t="str">
        <f t="array" ref="AE393">IFERROR(_xlfn.XLOOKUP($F393,'Acerto virtual'!$E:$E,'Acerto virtual'!Q:Q),"")</f>
        <v>10/08</v>
      </c>
      <c r="AF393" s="51" t="str">
        <f t="array" ref="AF393">IFERROR(_xlfn.XLOOKUP($F393,'Acerto virtual'!$E:$E,'Acerto virtual'!R:R),"")</f>
        <v>10/08</v>
      </c>
      <c r="AG393" s="51" t="str">
        <f t="array" ref="AG393">IFERROR(_xlfn.XLOOKUP($F393,'Acerto virtual'!$E:$E,'Acerto virtual'!S:S),"")</f>
        <v>10/08</v>
      </c>
      <c r="AH393" s="51" t="str">
        <f t="array" ref="AH393">IFERROR(_xlfn.XLOOKUP($F393,'Acerto virtual'!$E:$E,'Acerto virtual'!T:T),"")</f>
        <v>11/08</v>
      </c>
      <c r="AI393" s="51" t="str">
        <f t="array" ref="AI393">IFERROR(_xlfn.XLOOKUP($F393,'Acerto virtual'!$E:$E,'Acerto virtual'!U:U),"")</f>
        <v>RECEBIDO POR 2S CIPRIANO</v>
      </c>
    </row>
    <row r="394" hidden="1">
      <c r="A394" s="47" t="s">
        <v>1108</v>
      </c>
      <c r="B394" s="53" t="s">
        <v>1109</v>
      </c>
      <c r="C394" s="48" t="str">
        <f t="array" ref="C394">IFERROR(_xlfn.XLOOKUP($B394,'Histórico'!$B:$B,'Histórico'!$I:$I),"")</f>
        <v>3244897-4</v>
      </c>
      <c r="D394" s="19" t="str">
        <f t="array" ref="D394">IFERROR(_xlfn.XLOOKUP($B394,'Histórico'!$B:$B,'Histórico'!$J:$J),"")</f>
        <v>07213</v>
      </c>
      <c r="E394" s="19" t="str">
        <f t="array" ref="E394">IFERROR(_xlfn.XLOOKUP($B394,'Histórico'!$B:$B,'Histórico'!$K:$K),"")</f>
        <v>FUEL CONTROL UNIT</v>
      </c>
      <c r="F394" s="19" t="str">
        <f t="array" ref="F394">IFERROR(_xlfn.XLOOKUP($B394,'Histórico'!$B:$B,'Histórico'!$L:$L),"")</f>
        <v>C66691</v>
      </c>
      <c r="G394" s="49" t="str">
        <f t="array" ref="G394">IFERROR(_xlfn.XLOOKUP($B394,'Histórico'!$B:$B,'Histórico'!$F:$F),"")</f>
        <v>29/05/2026</v>
      </c>
      <c r="H394" s="19" t="str">
        <f t="array" ref="H394">IFERROR(_xlfn.XLOOKUP($B394,'Histórico'!$B:$B,'Histórico'!$AA:$AA),"")</f>
        <v>BABE</v>
      </c>
      <c r="I394" s="19" t="str">
        <f t="array" ref="I394">IFERROR(_xlfn.XLOOKUP($B394,Atual!$B:$B,Atual!$E:$E),"OS concluída")</f>
        <v>OS concluída</v>
      </c>
      <c r="J394" s="19" t="str">
        <f t="shared" si="1"/>
        <v/>
      </c>
      <c r="K394" s="19"/>
      <c r="L394" s="19" t="str">
        <f t="shared" si="2"/>
        <v/>
      </c>
      <c r="M394" s="19"/>
      <c r="N394" s="49" t="str">
        <f t="shared" ref="N394:N395" si="78">IFERROR(_xlfn.XLOOKUP($B394,Empresa!G:G,Empresa!K:K),"")</f>
        <v/>
      </c>
      <c r="O394" s="50" t="str">
        <f t="array" ref="O394">IFERROR(_xlfn.XLOOKUP(B394,EMPRESA_1!A:A,EMPRESA_1!K:K),"")
</f>
        <v>LEAP</v>
      </c>
      <c r="P394" s="48" t="str">
        <f t="array" ref="P394">IFERROR(_xlfn.XLOOKUP(B394,EMPRESA_1!A:A,EMPRESA_1!L:L),"")</f>
        <v/>
      </c>
      <c r="Q394" s="49" t="str">
        <f t="array" ref="Q394">IFERROR(_xlfn.XLOOKUP(B394,EMPRESA_1!A:A,EMPRESA_1!J:J),"")</f>
        <v>EM REPARO</v>
      </c>
      <c r="R394" s="19" t="str">
        <f t="array" ref="R394">IFERROR(_xlfn.XLOOKUP(B394,EMPRESA_1!A:A,EMPRESA_1!M:M),"")</f>
        <v/>
      </c>
      <c r="S394" s="51"/>
      <c r="T394" s="51" t="str">
        <f t="array" ref="T394">IFERROR(_xlfn.XLOOKUP($F394,'Acerto virtual'!$E:$E,'Acerto virtual'!F:F),"")</f>
        <v>015/2026</v>
      </c>
      <c r="U394" s="51" t="str">
        <f t="array" ref="U394">IFERROR(_xlfn.XLOOKUP($F394,'Acerto virtual'!$E:$E,'Acerto virtual'!G:G),"")</f>
        <v>08/07</v>
      </c>
      <c r="V394" s="51" t="str">
        <f t="array" ref="V394">IFERROR(_xlfn.XLOOKUP($F394,'Acerto virtual'!$E:$E,'Acerto virtual'!H:H),"")</f>
        <v>08/07</v>
      </c>
      <c r="W394" s="51" t="str">
        <f t="array" ref="W394">IFERROR(_xlfn.XLOOKUP($F394,'Acerto virtual'!$E:$E,'Acerto virtual'!I:I),"")</f>
        <v/>
      </c>
      <c r="X394" s="51" t="str">
        <f t="array" ref="X394">IFERROR(_xlfn.XLOOKUP($F394,'Acerto virtual'!$E:$E,'Acerto virtual'!J:J),"")</f>
        <v>09/07</v>
      </c>
      <c r="Y394" s="51" t="str">
        <f t="array" ref="Y394">IFERROR(_xlfn.XLOOKUP($F394,'Acerto virtual'!$E:$E,'Acerto virtual'!K:K),"")</f>
        <v>09/07</v>
      </c>
      <c r="Z394" s="51" t="str">
        <f t="array" ref="Z394">IFERROR(_xlfn.XLOOKUP($F394,'Acerto virtual'!$E:$E,'Acerto virtual'!L:L),"")</f>
        <v>09/07</v>
      </c>
      <c r="AA394" s="51" t="str">
        <f t="array" ref="AA394">IFERROR(_xlfn.XLOOKUP($F394,'Acerto virtual'!$E:$E,'Acerto virtual'!M:M),"")</f>
        <v>09/07</v>
      </c>
      <c r="AB394" s="51" t="str">
        <f t="array" ref="AB394">IFERROR(_xlfn.XLOOKUP($F394,'Acerto virtual'!$E:$E,'Acerto virtual'!N:N),"")</f>
        <v>09/07</v>
      </c>
      <c r="AC394" s="51" t="str">
        <f t="array" ref="AC394">IFERROR(_xlfn.XLOOKUP($F394,'Acerto virtual'!$E:$E,'Acerto virtual'!O:O),"")</f>
        <v>09/07</v>
      </c>
      <c r="AD394" s="51" t="str">
        <f t="array" ref="AD394">IFERROR(_xlfn.XLOOKUP($F394,'Acerto virtual'!$E:$E,'Acerto virtual'!P:P),"")</f>
        <v>09/07</v>
      </c>
      <c r="AE394" s="51" t="str">
        <f t="array" ref="AE394">IFERROR(_xlfn.XLOOKUP($F394,'Acerto virtual'!$E:$E,'Acerto virtual'!Q:Q),"")</f>
        <v>09/07</v>
      </c>
      <c r="AF394" s="51" t="str">
        <f t="array" ref="AF394">IFERROR(_xlfn.XLOOKUP($F394,'Acerto virtual'!$E:$E,'Acerto virtual'!R:R),"")</f>
        <v>09/07</v>
      </c>
      <c r="AG394" s="51" t="str">
        <f t="array" ref="AG394">IFERROR(_xlfn.XLOOKUP($F394,'Acerto virtual'!$E:$E,'Acerto virtual'!S:S),"")</f>
        <v>09/07</v>
      </c>
      <c r="AH394" s="51" t="str">
        <f t="array" ref="AH394">IFERROR(_xlfn.XLOOKUP($F394,'Acerto virtual'!$E:$E,'Acerto virtual'!T:T),"")</f>
        <v>09/07</v>
      </c>
      <c r="AI394" s="51" t="str">
        <f t="array" ref="AI394">IFERROR(_xlfn.XLOOKUP($F394,'Acerto virtual'!$E:$E,'Acerto virtual'!U:U),"")</f>
        <v/>
      </c>
    </row>
    <row r="395" hidden="1">
      <c r="A395" s="47" t="s">
        <v>1110</v>
      </c>
      <c r="B395" s="53" t="s">
        <v>1111</v>
      </c>
      <c r="C395" s="19" t="str">
        <f t="array" ref="C395">IFERROR(_xlfn.XLOOKUP($B395,'Histórico'!$B:$B,'Histórico'!$I:$I),"")</f>
        <v>9910338-8</v>
      </c>
      <c r="D395" s="19" t="str">
        <f t="array" ref="D395">IFERROR(_xlfn.XLOOKUP($B395,'Histórico'!$B:$B,'Histórico'!$J:$J),"")</f>
        <v>7EK50</v>
      </c>
      <c r="E395" s="19" t="str">
        <f t="array" ref="E395">IFERROR(_xlfn.XLOOKUP($B395,'Histórico'!$B:$B,'Histórico'!$K:$K),"")</f>
        <v>INDICATOR,FUEL FLOW</v>
      </c>
      <c r="F395" s="19" t="str">
        <f t="array" ref="F395">IFERROR(_xlfn.XLOOKUP($B395,'Histórico'!$B:$B,'Histórico'!$L:$L),"")</f>
        <v>9933-49</v>
      </c>
      <c r="G395" s="49" t="str">
        <f t="array" ref="G395">IFERROR(_xlfn.XLOOKUP($B395,'Histórico'!$B:$B,'Histórico'!$F:$F),"")</f>
        <v>29/05/2026</v>
      </c>
      <c r="H395" s="19" t="str">
        <f t="array" ref="H395">IFERROR(_xlfn.XLOOKUP($B395,'Histórico'!$B:$B,'Histórico'!$AA:$AA),"")</f>
        <v>PAMALS</v>
      </c>
      <c r="I395" s="19" t="str">
        <f t="array" ref="I395">IFERROR(_xlfn.XLOOKUP($B395,Atual!$B:$B,Atual!$E:$E),"OS concluída")</f>
        <v>OS concluída</v>
      </c>
      <c r="J395" s="19" t="str">
        <f t="shared" si="1"/>
        <v/>
      </c>
      <c r="K395" s="19"/>
      <c r="L395" s="19" t="str">
        <f t="shared" si="2"/>
        <v/>
      </c>
      <c r="M395" s="19"/>
      <c r="N395" s="49" t="str">
        <f t="shared" si="78"/>
        <v/>
      </c>
      <c r="O395" s="50" t="str">
        <f t="array" ref="O395">IFERROR(_xlfn.XLOOKUP(B395,EMPRESA_1!A:A,EMPRESA_1!K:K),"")
</f>
        <v>BABR</v>
      </c>
      <c r="P395" s="19" t="str">
        <f t="array" ref="P395">IFERROR(_xlfn.XLOOKUP(B395,EMPRESA_1!A:A,EMPRESA_1!L:L),"")</f>
        <v>447/FAB/26</v>
      </c>
      <c r="Q395" s="49">
        <f t="array" ref="Q395">IFERROR(_xlfn.XLOOKUP(B395,EMPRESA_1!A:A,EMPRESA_1!J:J),"")</f>
        <v>46176</v>
      </c>
      <c r="R395" s="19" t="str">
        <f t="array" ref="R395">IFERROR(_xlfn.XLOOKUP(B395,EMPRESA_1!A:A,EMPRESA_1!M:M),"")</f>
        <v/>
      </c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</row>
    <row r="396" hidden="1">
      <c r="A396" s="47" t="s">
        <v>1112</v>
      </c>
      <c r="B396" s="53" t="s">
        <v>1113</v>
      </c>
      <c r="C396" s="48" t="str">
        <f t="array" ref="C396">IFERROR(_xlfn.XLOOKUP($B396,'Histórico'!$B:$B,'Histórico'!$I:$I),"")</f>
        <v>9910338-8</v>
      </c>
      <c r="D396" s="19" t="str">
        <f t="array" ref="D396">IFERROR(_xlfn.XLOOKUP($B396,'Histórico'!$B:$B,'Histórico'!$J:$J),"")</f>
        <v>7EK50</v>
      </c>
      <c r="E396" s="19" t="str">
        <f t="array" ref="E396">IFERROR(_xlfn.XLOOKUP($B396,'Histórico'!$B:$B,'Histórico'!$K:$K),"")</f>
        <v>INDICATOR,FUEL FLOW</v>
      </c>
      <c r="F396" s="19" t="str">
        <f t="array" ref="F396">IFERROR(_xlfn.XLOOKUP($B396,'Histórico'!$B:$B,'Histórico'!$L:$L),"")</f>
        <v>0612</v>
      </c>
      <c r="G396" s="49" t="str">
        <f t="array" ref="G396">IFERROR(_xlfn.XLOOKUP($B396,'Histórico'!$B:$B,'Histórico'!$F:$F),"")</f>
        <v>29/05/2026</v>
      </c>
      <c r="H396" s="19" t="str">
        <f t="array" ref="H396">IFERROR(_xlfn.XLOOKUP($B396,'Histórico'!$B:$B,'Histórico'!$AA:$AA),"")</f>
        <v>BABV</v>
      </c>
      <c r="I396" s="19" t="str">
        <f t="array" ref="I396">IFERROR(_xlfn.XLOOKUP($B396,Atual!$B:$B,Atual!$E:$E),"OS concluída")</f>
        <v>OS concluída</v>
      </c>
      <c r="J396" s="19" t="str">
        <f t="shared" si="1"/>
        <v/>
      </c>
      <c r="K396" s="19"/>
      <c r="L396" s="19">
        <f t="shared" si="2"/>
        <v>20</v>
      </c>
      <c r="M396" s="19"/>
      <c r="N396" s="49">
        <f t="array" ref="N396">IFERROR(_xlfn.XLOOKUP($B396,EMPRESA_1!A:A,EMPRESA_1!J:J),"")</f>
        <v>46191</v>
      </c>
      <c r="O396" s="50" t="str">
        <f t="array" ref="O396">IFERROR(_xlfn.XLOOKUP(B396,EMPRESA_1!A:A,EMPRESA_1!K:K),"")
</f>
        <v>PAMA-LS</v>
      </c>
      <c r="P396" s="48" t="str">
        <f t="array" ref="P396">IFERROR(_xlfn.XLOOKUP(B396,EMPRESA_1!A:A,EMPRESA_1!L:L),"")</f>
        <v>682/FAB/26</v>
      </c>
      <c r="Q396" s="49">
        <f t="array" ref="Q396">IFERROR(_xlfn.XLOOKUP(B396,EMPRESA_1!A:A,EMPRESA_1!J:J),"")</f>
        <v>46191</v>
      </c>
      <c r="R396" s="19" t="str">
        <f t="array" ref="R396">IFERROR(_xlfn.XLOOKUP(B396,EMPRESA_1!A:A,EMPRESA_1!M:M),"")</f>
        <v/>
      </c>
      <c r="S396" s="51"/>
      <c r="T396" s="51" t="str">
        <f t="array" ref="T396">IFERROR(_xlfn.XLOOKUP($F396,'Acerto virtual'!$E:$E,'Acerto virtual'!F:F),"")</f>
        <v/>
      </c>
      <c r="U396" s="51" t="str">
        <f t="array" ref="U396">IFERROR(_xlfn.XLOOKUP($F396,'Acerto virtual'!$E:$E,'Acerto virtual'!G:G),"")</f>
        <v/>
      </c>
      <c r="V396" s="51" t="str">
        <f t="array" ref="V396">IFERROR(_xlfn.XLOOKUP($F396,'Acerto virtual'!$E:$E,'Acerto virtual'!H:H),"")</f>
        <v/>
      </c>
      <c r="W396" s="51" t="str">
        <f t="array" ref="W396">IFERROR(_xlfn.XLOOKUP($F396,'Acerto virtual'!$E:$E,'Acerto virtual'!I:I),"")</f>
        <v/>
      </c>
      <c r="X396" s="51" t="str">
        <f t="array" ref="X396">IFERROR(_xlfn.XLOOKUP($F396,'Acerto virtual'!$E:$E,'Acerto virtual'!J:J),"")</f>
        <v/>
      </c>
      <c r="Y396" s="51" t="str">
        <f t="array" ref="Y396">IFERROR(_xlfn.XLOOKUP($F396,'Acerto virtual'!$E:$E,'Acerto virtual'!K:K),"")</f>
        <v/>
      </c>
      <c r="Z396" s="51" t="str">
        <f t="array" ref="Z396">IFERROR(_xlfn.XLOOKUP($F396,'Acerto virtual'!$E:$E,'Acerto virtual'!L:L),"")</f>
        <v/>
      </c>
      <c r="AA396" s="51" t="str">
        <f t="array" ref="AA396">IFERROR(_xlfn.XLOOKUP($F396,'Acerto virtual'!$E:$E,'Acerto virtual'!M:M),"")</f>
        <v/>
      </c>
      <c r="AB396" s="51" t="str">
        <f t="array" ref="AB396">IFERROR(_xlfn.XLOOKUP($F396,'Acerto virtual'!$E:$E,'Acerto virtual'!N:N),"")</f>
        <v/>
      </c>
      <c r="AC396" s="51" t="str">
        <f t="array" ref="AC396">IFERROR(_xlfn.XLOOKUP($F396,'Acerto virtual'!$E:$E,'Acerto virtual'!O:O),"")</f>
        <v/>
      </c>
      <c r="AD396" s="51" t="str">
        <f t="array" ref="AD396">IFERROR(_xlfn.XLOOKUP($F396,'Acerto virtual'!$E:$E,'Acerto virtual'!P:P),"")</f>
        <v/>
      </c>
      <c r="AE396" s="51" t="str">
        <f t="array" ref="AE396">IFERROR(_xlfn.XLOOKUP($F396,'Acerto virtual'!$E:$E,'Acerto virtual'!Q:Q),"")</f>
        <v/>
      </c>
      <c r="AF396" s="51" t="str">
        <f t="array" ref="AF396">IFERROR(_xlfn.XLOOKUP($F396,'Acerto virtual'!$E:$E,'Acerto virtual'!R:R),"")</f>
        <v/>
      </c>
      <c r="AG396" s="51" t="str">
        <f t="array" ref="AG396">IFERROR(_xlfn.XLOOKUP($F396,'Acerto virtual'!$E:$E,'Acerto virtual'!S:S),"")</f>
        <v/>
      </c>
      <c r="AH396" s="51" t="str">
        <f t="array" ref="AH396">IFERROR(_xlfn.XLOOKUP($F396,'Acerto virtual'!$E:$E,'Acerto virtual'!T:T),"")</f>
        <v/>
      </c>
      <c r="AI396" s="51" t="str">
        <f t="array" ref="AI396">IFERROR(_xlfn.XLOOKUP($F396,'Acerto virtual'!$E:$E,'Acerto virtual'!U:U),"")</f>
        <v/>
      </c>
    </row>
    <row r="397" hidden="1">
      <c r="A397" s="47" t="s">
        <v>1114</v>
      </c>
      <c r="B397" s="53" t="s">
        <v>1115</v>
      </c>
      <c r="C397" s="48" t="str">
        <f t="array" ref="C397">IFERROR(_xlfn.XLOOKUP($B397,'Histórico'!$B:$B,'Histórico'!$I:$I),"")</f>
        <v>324843-2020</v>
      </c>
      <c r="D397" s="19" t="str">
        <f t="array" ref="D397">IFERROR(_xlfn.XLOOKUP($B397,'Histórico'!$B:$B,'Histórico'!$J:$J),"")</f>
        <v>32108</v>
      </c>
      <c r="E397" s="19" t="str">
        <f t="array" ref="E397">IFERROR(_xlfn.XLOOKUP($B397,'Histórico'!$B:$B,'Histórico'!$K:$K),"")</f>
        <v>HEADSET-MICROPHONE</v>
      </c>
      <c r="F397" s="19" t="str">
        <f t="array" ref="F397">IFERROR(_xlfn.XLOOKUP($B397,'Histórico'!$B:$B,'Histórico'!$L:$L),"")</f>
        <v>070407910680166AE</v>
      </c>
      <c r="G397" s="49" t="str">
        <f t="array" ref="G397">IFERROR(_xlfn.XLOOKUP($B397,'Histórico'!$B:$B,'Histórico'!$F:$F),"")</f>
        <v>29/05/2026</v>
      </c>
      <c r="H397" s="19" t="str">
        <f t="array" ref="H397">IFERROR(_xlfn.XLOOKUP($B397,'Histórico'!$B:$B,'Histórico'!$AA:$AA),"")</f>
        <v>BABE</v>
      </c>
      <c r="I397" s="19" t="str">
        <f t="array" ref="I397">IFERROR(_xlfn.XLOOKUP($B397,Atual!$B:$B,Atual!$E:$E),"OS concluída")</f>
        <v>OS concluída</v>
      </c>
      <c r="J397" s="19" t="str">
        <f t="shared" si="1"/>
        <v/>
      </c>
      <c r="K397" s="19"/>
      <c r="L397" s="19">
        <f t="shared" si="2"/>
        <v>70</v>
      </c>
      <c r="M397" s="19"/>
      <c r="N397" s="49">
        <f t="array" ref="N397">IFERROR(_xlfn.XLOOKUP($B397,EMPRESA_1!A:A,EMPRESA_1!J:J),"")</f>
        <v>46241</v>
      </c>
      <c r="O397" s="50" t="str">
        <f t="array" ref="O397">IFERROR(_xlfn.XLOOKUP(B397,EMPRESA_1!A:A,EMPRESA_1!K:K),"")
</f>
        <v>BAMN</v>
      </c>
      <c r="P397" s="48" t="str">
        <f t="array" ref="P397">IFERROR(_xlfn.XLOOKUP(B397,EMPRESA_1!A:A,EMPRESA_1!L:L),"")</f>
        <v>690/FAB/26</v>
      </c>
      <c r="Q397" s="49">
        <f t="array" ref="Q397">IFERROR(_xlfn.XLOOKUP(B397,EMPRESA_1!A:A,EMPRESA_1!J:J),"")</f>
        <v>46241</v>
      </c>
      <c r="R397" s="19" t="str">
        <f t="array" ref="R397">IFERROR(_xlfn.XLOOKUP(B397,EMPRESA_1!A:A,EMPRESA_1!M:M),"")</f>
        <v/>
      </c>
      <c r="S397" s="51"/>
      <c r="T397" s="51" t="str">
        <f t="array" ref="T397">IFERROR(_xlfn.XLOOKUP($F397,'Acerto virtual'!$E:$E,'Acerto virtual'!F:F),"")</f>
        <v>093/2026</v>
      </c>
      <c r="U397" s="51" t="str">
        <f t="array" ref="U397">IFERROR(_xlfn.XLOOKUP($F397,'Acerto virtual'!$E:$E,'Acerto virtual'!G:G),"")</f>
        <v>18/08</v>
      </c>
      <c r="V397" s="51" t="str">
        <f t="array" ref="V397">IFERROR(_xlfn.XLOOKUP($F397,'Acerto virtual'!$E:$E,'Acerto virtual'!H:H),"")</f>
        <v>19/08</v>
      </c>
      <c r="W397" s="51" t="str">
        <f t="array" ref="W397">IFERROR(_xlfn.XLOOKUP($F397,'Acerto virtual'!$E:$E,'Acerto virtual'!I:I),"")</f>
        <v/>
      </c>
      <c r="X397" s="51" t="str">
        <f t="array" ref="X397">IFERROR(_xlfn.XLOOKUP($F397,'Acerto virtual'!$E:$E,'Acerto virtual'!J:J),"")</f>
        <v>19/08</v>
      </c>
      <c r="Y397" s="51" t="str">
        <f t="array" ref="Y397">IFERROR(_xlfn.XLOOKUP($F397,'Acerto virtual'!$E:$E,'Acerto virtual'!K:K),"")</f>
        <v>19/08</v>
      </c>
      <c r="Z397" s="51" t="str">
        <f t="array" ref="Z397">IFERROR(_xlfn.XLOOKUP($F397,'Acerto virtual'!$E:$E,'Acerto virtual'!L:L),"")</f>
        <v>20/08</v>
      </c>
      <c r="AA397" s="51" t="str">
        <f t="array" ref="AA397">IFERROR(_xlfn.XLOOKUP($F397,'Acerto virtual'!$E:$E,'Acerto virtual'!M:M),"")</f>
        <v>20/08</v>
      </c>
      <c r="AB397" s="51" t="str">
        <f t="array" ref="AB397">IFERROR(_xlfn.XLOOKUP($F397,'Acerto virtual'!$E:$E,'Acerto virtual'!N:N),"")</f>
        <v>20/08, 01/09</v>
      </c>
      <c r="AC397" s="51" t="str">
        <f t="array" ref="AC397">IFERROR(_xlfn.XLOOKUP($F397,'Acerto virtual'!$E:$E,'Acerto virtual'!O:O),"")</f>
        <v>01/09</v>
      </c>
      <c r="AD397" s="51" t="str">
        <f t="array" ref="AD397">IFERROR(_xlfn.XLOOKUP($F397,'Acerto virtual'!$E:$E,'Acerto virtual'!P:P),"")</f>
        <v>01/09</v>
      </c>
      <c r="AE397" s="51" t="str">
        <f t="array" ref="AE397">IFERROR(_xlfn.XLOOKUP($F397,'Acerto virtual'!$E:$E,'Acerto virtual'!Q:Q),"")</f>
        <v>01/09</v>
      </c>
      <c r="AF397" s="51" t="str">
        <f t="array" ref="AF397">IFERROR(_xlfn.XLOOKUP($F397,'Acerto virtual'!$E:$E,'Acerto virtual'!R:R),"")</f>
        <v>01/09</v>
      </c>
      <c r="AG397" s="51" t="str">
        <f t="array" ref="AG397">IFERROR(_xlfn.XLOOKUP($F397,'Acerto virtual'!$E:$E,'Acerto virtual'!S:S),"")</f>
        <v>01/09</v>
      </c>
      <c r="AH397" s="51" t="str">
        <f t="array" ref="AH397">IFERROR(_xlfn.XLOOKUP($F397,'Acerto virtual'!$E:$E,'Acerto virtual'!T:T),"")</f>
        <v/>
      </c>
      <c r="AI397" s="51" t="str">
        <f t="array" ref="AI397">IFERROR(_xlfn.XLOOKUP($F397,'Acerto virtual'!$E:$E,'Acerto virtual'!U:U),"")</f>
        <v>RECEBIMENTO PENDENTE - ENTRADA EM ABERTO - GODOY 05/10/2026</v>
      </c>
    </row>
    <row r="398" hidden="1">
      <c r="A398" s="47" t="s">
        <v>1116</v>
      </c>
      <c r="B398" s="53" t="s">
        <v>1117</v>
      </c>
      <c r="C398" s="48" t="str">
        <f t="array" ref="C398">IFERROR(_xlfn.XLOOKUP($B398,'Histórico'!$B:$B,'Histórico'!$I:$I),"")</f>
        <v>324843-2020</v>
      </c>
      <c r="D398" s="19" t="str">
        <f t="array" ref="D398">IFERROR(_xlfn.XLOOKUP($B398,'Histórico'!$B:$B,'Histórico'!$J:$J),"")</f>
        <v>32108</v>
      </c>
      <c r="E398" s="19" t="str">
        <f t="array" ref="E398">IFERROR(_xlfn.XLOOKUP($B398,'Histórico'!$B:$B,'Histórico'!$K:$K),"")</f>
        <v>HEADSET-MICROPHONE</v>
      </c>
      <c r="F398" s="19" t="str">
        <f t="array" ref="F398">IFERROR(_xlfn.XLOOKUP($B398,'Histórico'!$B:$B,'Histórico'!$L:$L),"")</f>
        <v>070407983320094AE</v>
      </c>
      <c r="G398" s="49" t="str">
        <f t="array" ref="G398">IFERROR(_xlfn.XLOOKUP($B398,'Histórico'!$B:$B,'Histórico'!$F:$F),"")</f>
        <v>29/05/2026</v>
      </c>
      <c r="H398" s="19" t="str">
        <f t="array" ref="H398">IFERROR(_xlfn.XLOOKUP($B398,'Histórico'!$B:$B,'Histórico'!$AA:$AA),"")</f>
        <v>DACTA II</v>
      </c>
      <c r="I398" s="19" t="str">
        <f t="array" ref="I398">IFERROR(_xlfn.XLOOKUP($B398,Atual!$B:$B,Atual!$E:$E),"OS concluída")</f>
        <v>OS concluída</v>
      </c>
      <c r="J398" s="19" t="str">
        <f t="shared" si="1"/>
        <v/>
      </c>
      <c r="K398" s="19"/>
      <c r="L398" s="19">
        <f t="shared" si="2"/>
        <v>20</v>
      </c>
      <c r="M398" s="19"/>
      <c r="N398" s="49">
        <f t="array" ref="N398">IFERROR(_xlfn.XLOOKUP($B398,EMPRESA_1!A:A,EMPRESA_1!J:J),"")</f>
        <v>46191</v>
      </c>
      <c r="O398" s="50" t="str">
        <f t="array" ref="O398">IFERROR(_xlfn.XLOOKUP(B398,EMPRESA_1!A:A,EMPRESA_1!K:K),"")
</f>
        <v>BAMN</v>
      </c>
      <c r="P398" s="48" t="str">
        <f t="array" ref="P398">IFERROR(_xlfn.XLOOKUP(B398,EMPRESA_1!A:A,EMPRESA_1!L:L),"")</f>
        <v>641/FAB/26</v>
      </c>
      <c r="Q398" s="49">
        <f t="array" ref="Q398">IFERROR(_xlfn.XLOOKUP(B398,EMPRESA_1!A:A,EMPRESA_1!J:J),"")</f>
        <v>46191</v>
      </c>
      <c r="R398" s="19" t="str">
        <f t="array" ref="R398">IFERROR(_xlfn.XLOOKUP(B398,EMPRESA_1!A:A,EMPRESA_1!M:M),"")</f>
        <v/>
      </c>
      <c r="S398" s="51"/>
      <c r="T398" s="51" t="str">
        <f t="array" ref="T398">IFERROR(_xlfn.XLOOKUP($F398,'Acerto virtual'!$E:$E,'Acerto virtual'!F:F),"")</f>
        <v>088/2026</v>
      </c>
      <c r="U398" s="51" t="str">
        <f t="array" ref="U398">IFERROR(_xlfn.XLOOKUP($F398,'Acerto virtual'!$E:$E,'Acerto virtual'!G:G),"")</f>
        <v>04/08</v>
      </c>
      <c r="V398" s="51" t="str">
        <f t="array" ref="V398">IFERROR(_xlfn.XLOOKUP($F398,'Acerto virtual'!$E:$E,'Acerto virtual'!H:H),"")</f>
        <v>04/08</v>
      </c>
      <c r="W398" s="51" t="str">
        <f t="array" ref="W398">IFERROR(_xlfn.XLOOKUP($F398,'Acerto virtual'!$E:$E,'Acerto virtual'!I:I),"")</f>
        <v/>
      </c>
      <c r="X398" s="51" t="str">
        <f t="array" ref="X398">IFERROR(_xlfn.XLOOKUP($F398,'Acerto virtual'!$E:$E,'Acerto virtual'!J:J),"")</f>
        <v>05/08</v>
      </c>
      <c r="Y398" s="51" t="str">
        <f t="array" ref="Y398">IFERROR(_xlfn.XLOOKUP($F398,'Acerto virtual'!$E:$E,'Acerto virtual'!K:K),"")</f>
        <v>05/08</v>
      </c>
      <c r="Z398" s="51" t="str">
        <f t="array" ref="Z398">IFERROR(_xlfn.XLOOKUP($F398,'Acerto virtual'!$E:$E,'Acerto virtual'!L:L),"")</f>
        <v>05/08</v>
      </c>
      <c r="AA398" s="51" t="str">
        <f t="array" ref="AA398">IFERROR(_xlfn.XLOOKUP($F398,'Acerto virtual'!$E:$E,'Acerto virtual'!M:M),"")</f>
        <v>05/08</v>
      </c>
      <c r="AB398" s="51" t="str">
        <f t="array" ref="AB398">IFERROR(_xlfn.XLOOKUP($F398,'Acerto virtual'!$E:$E,'Acerto virtual'!N:N),"")</f>
        <v>05/08</v>
      </c>
      <c r="AC398" s="51" t="str">
        <f t="array" ref="AC398">IFERROR(_xlfn.XLOOKUP($F398,'Acerto virtual'!$E:$E,'Acerto virtual'!O:O),"")</f>
        <v>05/08</v>
      </c>
      <c r="AD398" s="51" t="str">
        <f t="array" ref="AD398">IFERROR(_xlfn.XLOOKUP($F398,'Acerto virtual'!$E:$E,'Acerto virtual'!P:P),"")</f>
        <v>05/08</v>
      </c>
      <c r="AE398" s="51" t="str">
        <f t="array" ref="AE398">IFERROR(_xlfn.XLOOKUP($F398,'Acerto virtual'!$E:$E,'Acerto virtual'!Q:Q),"")</f>
        <v>05/08</v>
      </c>
      <c r="AF398" s="51" t="str">
        <f t="array" ref="AF398">IFERROR(_xlfn.XLOOKUP($F398,'Acerto virtual'!$E:$E,'Acerto virtual'!R:R),"")</f>
        <v>05/08</v>
      </c>
      <c r="AG398" s="51" t="str">
        <f t="array" ref="AG398">IFERROR(_xlfn.XLOOKUP($F398,'Acerto virtual'!$E:$E,'Acerto virtual'!S:S),"")</f>
        <v>05/08</v>
      </c>
      <c r="AH398" s="51" t="str">
        <f t="array" ref="AH398">IFERROR(_xlfn.XLOOKUP($F398,'Acerto virtual'!$E:$E,'Acerto virtual'!T:T),"")</f>
        <v>06/08</v>
      </c>
      <c r="AI398" s="51" t="str">
        <f t="array" ref="AI398">IFERROR(_xlfn.XLOOKUP($F398,'Acerto virtual'!$E:$E,'Acerto virtual'!U:U),"")</f>
        <v/>
      </c>
    </row>
    <row r="399" hidden="1">
      <c r="A399" s="47" t="s">
        <v>1118</v>
      </c>
      <c r="B399" s="53" t="s">
        <v>1119</v>
      </c>
      <c r="C399" s="48" t="str">
        <f t="array" ref="C399">IFERROR(_xlfn.XLOOKUP($B399,'Histórico'!$B:$B,'Histórico'!$I:$I),"")</f>
        <v>324843-2020</v>
      </c>
      <c r="D399" s="19" t="str">
        <f t="array" ref="D399">IFERROR(_xlfn.XLOOKUP($B399,'Histórico'!$B:$B,'Histórico'!$J:$J),"")</f>
        <v>32108</v>
      </c>
      <c r="E399" s="19" t="str">
        <f t="array" ref="E399">IFERROR(_xlfn.XLOOKUP($B399,'Histórico'!$B:$B,'Histórico'!$K:$K),"")</f>
        <v>HEADSET-MICROPHONE</v>
      </c>
      <c r="F399" s="19" t="str">
        <f t="array" ref="F399">IFERROR(_xlfn.XLOOKUP($B399,'Histórico'!$B:$B,'Histórico'!$L:$L),"")</f>
        <v>070407983320096AE</v>
      </c>
      <c r="G399" s="49" t="str">
        <f t="array" ref="G399">IFERROR(_xlfn.XLOOKUP($B399,'Histórico'!$B:$B,'Histórico'!$F:$F),"")</f>
        <v>29/05/2026</v>
      </c>
      <c r="H399" s="19" t="str">
        <f t="array" ref="H399">IFERROR(_xlfn.XLOOKUP($B399,'Histórico'!$B:$B,'Histórico'!$AA:$AA),"")</f>
        <v>DACTA II</v>
      </c>
      <c r="I399" s="19" t="str">
        <f t="array" ref="I399">IFERROR(_xlfn.XLOOKUP($B399,Atual!$B:$B,Atual!$E:$E),"OS concluída")</f>
        <v>OS concluída</v>
      </c>
      <c r="J399" s="19" t="str">
        <f t="shared" si="1"/>
        <v/>
      </c>
      <c r="K399" s="19"/>
      <c r="L399" s="19">
        <f t="shared" si="2"/>
        <v>20</v>
      </c>
      <c r="M399" s="19"/>
      <c r="N399" s="49">
        <f t="array" ref="N399">IFERROR(_xlfn.XLOOKUP($B399,EMPRESA_1!A:A,EMPRESA_1!J:J),"")</f>
        <v>46191</v>
      </c>
      <c r="O399" s="50" t="str">
        <f t="array" ref="O399">IFERROR(_xlfn.XLOOKUP(B399,EMPRESA_1!A:A,EMPRESA_1!K:K),"")
</f>
        <v/>
      </c>
      <c r="P399" s="48" t="str">
        <f t="array" ref="P399">IFERROR(_xlfn.XLOOKUP(B399,EMPRESA_1!A:A,EMPRESA_1!L:L),"")</f>
        <v/>
      </c>
      <c r="Q399" s="49">
        <f t="array" ref="Q399">IFERROR(_xlfn.XLOOKUP(B399,EMPRESA_1!A:A,EMPRESA_1!J:J),"")</f>
        <v>46191</v>
      </c>
      <c r="R399" s="19" t="str">
        <f t="array" ref="R399">IFERROR(_xlfn.XLOOKUP(B399,EMPRESA_1!A:A,EMPRESA_1!M:M),"")</f>
        <v/>
      </c>
      <c r="S399" s="51"/>
      <c r="T399" s="51" t="str">
        <f t="array" ref="T399">IFERROR(_xlfn.XLOOKUP($F399,'Acerto virtual'!$E:$E,'Acerto virtual'!F:F),"")</f>
        <v>018/2026</v>
      </c>
      <c r="U399" s="51" t="str">
        <f t="array" ref="U399">IFERROR(_xlfn.XLOOKUP($F399,'Acerto virtual'!$E:$E,'Acerto virtual'!G:G),"")</f>
        <v>22/06</v>
      </c>
      <c r="V399" s="51" t="str">
        <f t="array" ref="V399">IFERROR(_xlfn.XLOOKUP($F399,'Acerto virtual'!$E:$E,'Acerto virtual'!H:H),"")</f>
        <v>07/08</v>
      </c>
      <c r="W399" s="51" t="str">
        <f t="array" ref="W399">IFERROR(_xlfn.XLOOKUP($F399,'Acerto virtual'!$E:$E,'Acerto virtual'!I:I),"")</f>
        <v/>
      </c>
      <c r="X399" s="51" t="str">
        <f t="array" ref="X399">IFERROR(_xlfn.XLOOKUP($F399,'Acerto virtual'!$E:$E,'Acerto virtual'!J:J),"")</f>
        <v>10/08</v>
      </c>
      <c r="Y399" s="51" t="str">
        <f t="array" ref="Y399">IFERROR(_xlfn.XLOOKUP($F399,'Acerto virtual'!$E:$E,'Acerto virtual'!K:K),"")</f>
        <v>10/08</v>
      </c>
      <c r="Z399" s="51" t="str">
        <f t="array" ref="Z399">IFERROR(_xlfn.XLOOKUP($F399,'Acerto virtual'!$E:$E,'Acerto virtual'!L:L),"")</f>
        <v>10/08</v>
      </c>
      <c r="AA399" s="51" t="str">
        <f t="array" ref="AA399">IFERROR(_xlfn.XLOOKUP($F399,'Acerto virtual'!$E:$E,'Acerto virtual'!M:M),"")</f>
        <v>10/08</v>
      </c>
      <c r="AB399" s="51" t="str">
        <f t="array" ref="AB399">IFERROR(_xlfn.XLOOKUP($F399,'Acerto virtual'!$E:$E,'Acerto virtual'!N:N),"")</f>
        <v>10/08</v>
      </c>
      <c r="AC399" s="51" t="str">
        <f t="array" ref="AC399">IFERROR(_xlfn.XLOOKUP($F399,'Acerto virtual'!$E:$E,'Acerto virtual'!O:O),"")</f>
        <v>10/08</v>
      </c>
      <c r="AD399" s="51" t="str">
        <f t="array" ref="AD399">IFERROR(_xlfn.XLOOKUP($F399,'Acerto virtual'!$E:$E,'Acerto virtual'!P:P),"")</f>
        <v>10/08</v>
      </c>
      <c r="AE399" s="51" t="str">
        <f t="array" ref="AE399">IFERROR(_xlfn.XLOOKUP($F399,'Acerto virtual'!$E:$E,'Acerto virtual'!Q:Q),"")</f>
        <v>10/08</v>
      </c>
      <c r="AF399" s="51" t="str">
        <f t="array" ref="AF399">IFERROR(_xlfn.XLOOKUP($F399,'Acerto virtual'!$E:$E,'Acerto virtual'!R:R),"")</f>
        <v>10/08</v>
      </c>
      <c r="AG399" s="51" t="str">
        <f t="array" ref="AG399">IFERROR(_xlfn.XLOOKUP($F399,'Acerto virtual'!$E:$E,'Acerto virtual'!S:S),"")</f>
        <v>10/08</v>
      </c>
      <c r="AH399" s="51" t="str">
        <f t="array" ref="AH399">IFERROR(_xlfn.XLOOKUP($F399,'Acerto virtual'!$E:$E,'Acerto virtual'!T:T),"")</f>
        <v>31/08</v>
      </c>
      <c r="AI399" s="51" t="str">
        <f t="array" ref="AI399">IFERROR(_xlfn.XLOOKUP($F399,'Acerto virtual'!$E:$E,'Acerto virtual'!U:U),"")</f>
        <v>RECEBIDO POR 3S CIPRIANO</v>
      </c>
    </row>
    <row r="400" hidden="1">
      <c r="A400" s="47" t="s">
        <v>1120</v>
      </c>
      <c r="B400" s="53" t="s">
        <v>1121</v>
      </c>
      <c r="C400" s="48" t="str">
        <f t="array" ref="C400">IFERROR(_xlfn.XLOOKUP($B400,'Histórico'!$B:$B,'Histórico'!$I:$I),"")</f>
        <v>324843-2020</v>
      </c>
      <c r="D400" s="19" t="str">
        <f t="array" ref="D400">IFERROR(_xlfn.XLOOKUP($B400,'Histórico'!$B:$B,'Histórico'!$J:$J),"")</f>
        <v>32108</v>
      </c>
      <c r="E400" s="19" t="str">
        <f t="array" ref="E400">IFERROR(_xlfn.XLOOKUP($B400,'Histórico'!$B:$B,'Histórico'!$K:$K),"")</f>
        <v>HEADSET-MICROPHONE</v>
      </c>
      <c r="F400" s="19" t="str">
        <f t="array" ref="F400">IFERROR(_xlfn.XLOOKUP($B400,'Histórico'!$B:$B,'Histórico'!$L:$L),"")</f>
        <v>070407983320111AE</v>
      </c>
      <c r="G400" s="49" t="str">
        <f t="array" ref="G400">IFERROR(_xlfn.XLOOKUP($B400,'Histórico'!$B:$B,'Histórico'!$F:$F),"")</f>
        <v>29/05/2026</v>
      </c>
      <c r="H400" s="19" t="str">
        <f t="array" ref="H400">IFERROR(_xlfn.XLOOKUP($B400,'Histórico'!$B:$B,'Histórico'!$AA:$AA),"")</f>
        <v>DACTA II</v>
      </c>
      <c r="I400" s="19" t="str">
        <f t="array" ref="I400">IFERROR(_xlfn.XLOOKUP($B400,Atual!$B:$B,Atual!$E:$E),"OS concluída")</f>
        <v>OS concluída</v>
      </c>
      <c r="J400" s="19" t="str">
        <f t="shared" si="1"/>
        <v/>
      </c>
      <c r="K400" s="19"/>
      <c r="L400" s="19">
        <f t="shared" si="2"/>
        <v>70</v>
      </c>
      <c r="M400" s="19"/>
      <c r="N400" s="49">
        <f t="array" ref="N400">IFERROR(_xlfn.XLOOKUP($B400,EMPRESA_1!A:A,EMPRESA_1!J:J),"")</f>
        <v>46241</v>
      </c>
      <c r="O400" s="50" t="str">
        <f t="array" ref="O400">IFERROR(_xlfn.XLOOKUP(B400,EMPRESA_1!A:A,EMPRESA_1!K:K),"")
</f>
        <v>BAMN</v>
      </c>
      <c r="P400" s="48" t="str">
        <f t="array" ref="P400">IFERROR(_xlfn.XLOOKUP(B400,EMPRESA_1!A:A,EMPRESA_1!L:L),"")</f>
        <v>690/FAB/26</v>
      </c>
      <c r="Q400" s="49">
        <f t="array" ref="Q400">IFERROR(_xlfn.XLOOKUP(B400,EMPRESA_1!A:A,EMPRESA_1!J:J),"")</f>
        <v>46241</v>
      </c>
      <c r="R400" s="19" t="str">
        <f t="array" ref="R400">IFERROR(_xlfn.XLOOKUP(B400,EMPRESA_1!A:A,EMPRESA_1!M:M),"")</f>
        <v/>
      </c>
      <c r="S400" s="51"/>
      <c r="T400" s="51" t="str">
        <f t="array" ref="T400">IFERROR(_xlfn.XLOOKUP($F400,'Acerto virtual'!$E:$E,'Acerto virtual'!F:F),"")</f>
        <v>093/2026</v>
      </c>
      <c r="U400" s="51" t="str">
        <f t="array" ref="U400">IFERROR(_xlfn.XLOOKUP($F400,'Acerto virtual'!$E:$E,'Acerto virtual'!G:G),"")</f>
        <v>18/08</v>
      </c>
      <c r="V400" s="51" t="str">
        <f t="array" ref="V400">IFERROR(_xlfn.XLOOKUP($F400,'Acerto virtual'!$E:$E,'Acerto virtual'!H:H),"")</f>
        <v>19/08</v>
      </c>
      <c r="W400" s="51" t="str">
        <f t="array" ref="W400">IFERROR(_xlfn.XLOOKUP($F400,'Acerto virtual'!$E:$E,'Acerto virtual'!I:I),"")</f>
        <v/>
      </c>
      <c r="X400" s="51" t="str">
        <f t="array" ref="X400">IFERROR(_xlfn.XLOOKUP($F400,'Acerto virtual'!$E:$E,'Acerto virtual'!J:J),"")</f>
        <v>19/08</v>
      </c>
      <c r="Y400" s="51" t="str">
        <f t="array" ref="Y400">IFERROR(_xlfn.XLOOKUP($F400,'Acerto virtual'!$E:$E,'Acerto virtual'!K:K),"")</f>
        <v>19/08</v>
      </c>
      <c r="Z400" s="51" t="str">
        <f t="array" ref="Z400">IFERROR(_xlfn.XLOOKUP($F400,'Acerto virtual'!$E:$E,'Acerto virtual'!L:L),"")</f>
        <v>20/08</v>
      </c>
      <c r="AA400" s="51" t="str">
        <f t="array" ref="AA400">IFERROR(_xlfn.XLOOKUP($F400,'Acerto virtual'!$E:$E,'Acerto virtual'!M:M),"")</f>
        <v>20/08</v>
      </c>
      <c r="AB400" s="51" t="str">
        <f t="array" ref="AB400">IFERROR(_xlfn.XLOOKUP($F400,'Acerto virtual'!$E:$E,'Acerto virtual'!N:N),"")</f>
        <v>20/08, 01/09</v>
      </c>
      <c r="AC400" s="51" t="str">
        <f t="array" ref="AC400">IFERROR(_xlfn.XLOOKUP($F400,'Acerto virtual'!$E:$E,'Acerto virtual'!O:O),"")</f>
        <v>01/09</v>
      </c>
      <c r="AD400" s="51" t="str">
        <f t="array" ref="AD400">IFERROR(_xlfn.XLOOKUP($F400,'Acerto virtual'!$E:$E,'Acerto virtual'!P:P),"")</f>
        <v>01/09</v>
      </c>
      <c r="AE400" s="51" t="str">
        <f t="array" ref="AE400">IFERROR(_xlfn.XLOOKUP($F400,'Acerto virtual'!$E:$E,'Acerto virtual'!Q:Q),"")</f>
        <v>01/09</v>
      </c>
      <c r="AF400" s="51" t="str">
        <f t="array" ref="AF400">IFERROR(_xlfn.XLOOKUP($F400,'Acerto virtual'!$E:$E,'Acerto virtual'!R:R),"")</f>
        <v>01/09</v>
      </c>
      <c r="AG400" s="51" t="str">
        <f t="array" ref="AG400">IFERROR(_xlfn.XLOOKUP($F400,'Acerto virtual'!$E:$E,'Acerto virtual'!S:S),"")</f>
        <v>01/09</v>
      </c>
      <c r="AH400" s="51" t="str">
        <f t="array" ref="AH400">IFERROR(_xlfn.XLOOKUP($F400,'Acerto virtual'!$E:$E,'Acerto virtual'!T:T),"")</f>
        <v/>
      </c>
      <c r="AI400" s="51" t="str">
        <f t="array" ref="AI400">IFERROR(_xlfn.XLOOKUP($F400,'Acerto virtual'!$E:$E,'Acerto virtual'!U:U),"")</f>
        <v>RECEBIMENTO PENDENTE - ENTRADA EM ABERTO - GODOY 05/10/2026</v>
      </c>
    </row>
    <row r="401" hidden="1">
      <c r="A401" s="47" t="s">
        <v>1122</v>
      </c>
      <c r="B401" s="53" t="s">
        <v>1123</v>
      </c>
      <c r="C401" s="48" t="str">
        <f t="array" ref="C401">IFERROR(_xlfn.XLOOKUP($B401,'Histórico'!$B:$B,'Histórico'!$I:$I),"")</f>
        <v>324843-2020</v>
      </c>
      <c r="D401" s="19" t="str">
        <f t="array" ref="D401">IFERROR(_xlfn.XLOOKUP($B401,'Histórico'!$B:$B,'Histórico'!$J:$J),"")</f>
        <v>32108</v>
      </c>
      <c r="E401" s="19" t="str">
        <f t="array" ref="E401">IFERROR(_xlfn.XLOOKUP($B401,'Histórico'!$B:$B,'Histórico'!$K:$K),"")</f>
        <v>HEADSET-MICROPHONE</v>
      </c>
      <c r="F401" s="19" t="str">
        <f t="array" ref="F401">IFERROR(_xlfn.XLOOKUP($B401,'Histórico'!$B:$B,'Histórico'!$L:$L),"")</f>
        <v>070407983320130AE</v>
      </c>
      <c r="G401" s="49" t="str">
        <f t="array" ref="G401">IFERROR(_xlfn.XLOOKUP($B401,'Histórico'!$B:$B,'Histórico'!$F:$F),"")</f>
        <v>29/05/2026</v>
      </c>
      <c r="H401" s="19" t="str">
        <f t="array" ref="H401">IFERROR(_xlfn.XLOOKUP($B401,'Histórico'!$B:$B,'Histórico'!$AA:$AA),"")</f>
        <v>DACTA II</v>
      </c>
      <c r="I401" s="19" t="str">
        <f t="array" ref="I401">IFERROR(_xlfn.XLOOKUP($B401,Atual!$B:$B,Atual!$E:$E),"OS concluída")</f>
        <v>OS concluída</v>
      </c>
      <c r="J401" s="19" t="str">
        <f t="shared" si="1"/>
        <v/>
      </c>
      <c r="K401" s="19"/>
      <c r="L401" s="19">
        <f t="shared" si="2"/>
        <v>20</v>
      </c>
      <c r="M401" s="19"/>
      <c r="N401" s="49">
        <f t="array" ref="N401">IFERROR(_xlfn.XLOOKUP($B401,EMPRESA_1!A:A,EMPRESA_1!J:J),"")</f>
        <v>46191</v>
      </c>
      <c r="O401" s="50" t="str">
        <f t="array" ref="O401">IFERROR(_xlfn.XLOOKUP(B401,EMPRESA_1!A:A,EMPRESA_1!K:K),"")
</f>
        <v>BAMN</v>
      </c>
      <c r="P401" s="48" t="str">
        <f t="array" ref="P401">IFERROR(_xlfn.XLOOKUP(B401,EMPRESA_1!A:A,EMPRESA_1!L:L),"")</f>
        <v>641/FAB/26</v>
      </c>
      <c r="Q401" s="49">
        <f t="array" ref="Q401">IFERROR(_xlfn.XLOOKUP(B401,EMPRESA_1!A:A,EMPRESA_1!J:J),"")</f>
        <v>46191</v>
      </c>
      <c r="R401" s="19" t="str">
        <f t="array" ref="R401">IFERROR(_xlfn.XLOOKUP(B401,EMPRESA_1!A:A,EMPRESA_1!M:M),"")</f>
        <v/>
      </c>
      <c r="S401" s="51"/>
      <c r="T401" s="51" t="str">
        <f t="array" ref="T401">IFERROR(_xlfn.XLOOKUP($F401,'Acerto virtual'!$E:$E,'Acerto virtual'!F:F),"")</f>
        <v>088/2026</v>
      </c>
      <c r="U401" s="51" t="str">
        <f t="array" ref="U401">IFERROR(_xlfn.XLOOKUP($F401,'Acerto virtual'!$E:$E,'Acerto virtual'!G:G),"")</f>
        <v>04/08</v>
      </c>
      <c r="V401" s="51" t="str">
        <f t="array" ref="V401">IFERROR(_xlfn.XLOOKUP($F401,'Acerto virtual'!$E:$E,'Acerto virtual'!H:H),"")</f>
        <v>04/08</v>
      </c>
      <c r="W401" s="51" t="str">
        <f t="array" ref="W401">IFERROR(_xlfn.XLOOKUP($F401,'Acerto virtual'!$E:$E,'Acerto virtual'!I:I),"")</f>
        <v/>
      </c>
      <c r="X401" s="51" t="str">
        <f t="array" ref="X401">IFERROR(_xlfn.XLOOKUP($F401,'Acerto virtual'!$E:$E,'Acerto virtual'!J:J),"")</f>
        <v>05/08</v>
      </c>
      <c r="Y401" s="51" t="str">
        <f t="array" ref="Y401">IFERROR(_xlfn.XLOOKUP($F401,'Acerto virtual'!$E:$E,'Acerto virtual'!K:K),"")</f>
        <v>05/08</v>
      </c>
      <c r="Z401" s="51" t="str">
        <f t="array" ref="Z401">IFERROR(_xlfn.XLOOKUP($F401,'Acerto virtual'!$E:$E,'Acerto virtual'!L:L),"")</f>
        <v>05/08</v>
      </c>
      <c r="AA401" s="51" t="str">
        <f t="array" ref="AA401">IFERROR(_xlfn.XLOOKUP($F401,'Acerto virtual'!$E:$E,'Acerto virtual'!M:M),"")</f>
        <v>05/08</v>
      </c>
      <c r="AB401" s="51" t="str">
        <f t="array" ref="AB401">IFERROR(_xlfn.XLOOKUP($F401,'Acerto virtual'!$E:$E,'Acerto virtual'!N:N),"")</f>
        <v>05/08</v>
      </c>
      <c r="AC401" s="51" t="str">
        <f t="array" ref="AC401">IFERROR(_xlfn.XLOOKUP($F401,'Acerto virtual'!$E:$E,'Acerto virtual'!O:O),"")</f>
        <v>05/08</v>
      </c>
      <c r="AD401" s="51" t="str">
        <f t="array" ref="AD401">IFERROR(_xlfn.XLOOKUP($F401,'Acerto virtual'!$E:$E,'Acerto virtual'!P:P),"")</f>
        <v>05/08</v>
      </c>
      <c r="AE401" s="51" t="str">
        <f t="array" ref="AE401">IFERROR(_xlfn.XLOOKUP($F401,'Acerto virtual'!$E:$E,'Acerto virtual'!Q:Q),"")</f>
        <v>05/08</v>
      </c>
      <c r="AF401" s="51" t="str">
        <f t="array" ref="AF401">IFERROR(_xlfn.XLOOKUP($F401,'Acerto virtual'!$E:$E,'Acerto virtual'!R:R),"")</f>
        <v>05/08</v>
      </c>
      <c r="AG401" s="51" t="str">
        <f t="array" ref="AG401">IFERROR(_xlfn.XLOOKUP($F401,'Acerto virtual'!$E:$E,'Acerto virtual'!S:S),"")</f>
        <v>05/08</v>
      </c>
      <c r="AH401" s="51" t="str">
        <f t="array" ref="AH401">IFERROR(_xlfn.XLOOKUP($F401,'Acerto virtual'!$E:$E,'Acerto virtual'!T:T),"")</f>
        <v>06/08</v>
      </c>
      <c r="AI401" s="51" t="str">
        <f t="array" ref="AI401">IFERROR(_xlfn.XLOOKUP($F401,'Acerto virtual'!$E:$E,'Acerto virtual'!U:U),"")</f>
        <v/>
      </c>
    </row>
    <row r="402" hidden="1">
      <c r="A402" s="47" t="s">
        <v>1124</v>
      </c>
      <c r="B402" s="53" t="s">
        <v>1125</v>
      </c>
      <c r="C402" s="19" t="str">
        <f t="array" ref="C402">IFERROR(_xlfn.XLOOKUP($B402,'Histórico'!$B:$B,'Histórico'!$I:$I),"")</f>
        <v>3244809-8</v>
      </c>
      <c r="D402" s="19" t="str">
        <f t="array" ref="D402">IFERROR(_xlfn.XLOOKUP($B402,'Histórico'!$B:$B,'Histórico'!$J:$J),"")</f>
        <v>06848</v>
      </c>
      <c r="E402" s="19" t="str">
        <f t="array" ref="E402">IFERROR(_xlfn.XLOOKUP($B402,'Histórico'!$B:$B,'Histórico'!$K:$K),"")</f>
        <v>FUEL CONTROL,MAIN,TURBINE ENGINE</v>
      </c>
      <c r="F402" s="19" t="str">
        <f t="array" ref="F402">IFERROR(_xlfn.XLOOKUP($B402,'Histórico'!$B:$B,'Histórico'!$L:$L),"")</f>
        <v>B10133</v>
      </c>
      <c r="G402" s="49" t="str">
        <f t="array" ref="G402">IFERROR(_xlfn.XLOOKUP($B402,'Histórico'!$B:$B,'Histórico'!$F:$F),"")</f>
        <v>21/05/2026</v>
      </c>
      <c r="H402" s="19" t="str">
        <f t="array" ref="H402">IFERROR(_xlfn.XLOOKUP($B402,'Histórico'!$B:$B,'Histórico'!$AA:$AA),"")</f>
        <v>BABE</v>
      </c>
      <c r="I402" s="19" t="str">
        <f t="array" ref="I402">IFERROR(_xlfn.XLOOKUP($B402,Atual!$B:$B,Atual!$E:$E),"OS concluída")</f>
        <v>OS concluída</v>
      </c>
      <c r="J402" s="19" t="str">
        <f t="shared" si="1"/>
        <v/>
      </c>
      <c r="K402" s="19"/>
      <c r="L402" s="19" t="str">
        <f t="shared" si="2"/>
        <v/>
      </c>
      <c r="M402" s="19"/>
      <c r="N402" s="49" t="str">
        <f t="array" ref="N402">IFERROR(_xlfn.XLOOKUP($B402,Empresa!G:G,Empresa!K:K),"")</f>
        <v/>
      </c>
      <c r="O402" s="50" t="str">
        <f t="array" ref="O402">IFERROR(_xlfn.XLOOKUP(B402,EMPRESA_1!A:A,EMPRESA_1!K:K),"")
</f>
        <v>BABR</v>
      </c>
      <c r="P402" s="19" t="str">
        <f t="array" ref="P402">IFERROR(_xlfn.XLOOKUP(B402,EMPRESA_1!A:A,EMPRESA_1!L:L),"")</f>
        <v>431/FAB/26</v>
      </c>
      <c r="Q402" s="49">
        <f t="array" ref="Q402">IFERROR(_xlfn.XLOOKUP(B402,EMPRESA_1!A:A,EMPRESA_1!J:J),"")</f>
        <v>46171</v>
      </c>
      <c r="R402" s="19" t="str">
        <f t="array" ref="R402">IFERROR(_xlfn.XLOOKUP(B402,EMPRESA_1!A:A,EMPRESA_1!M:M),"")</f>
        <v/>
      </c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</row>
    <row r="403">
      <c r="A403" s="47" t="s">
        <v>1126</v>
      </c>
      <c r="B403" s="53" t="s">
        <v>1127</v>
      </c>
      <c r="C403" s="48" t="str">
        <f t="array" ref="C403">IFERROR(_xlfn.XLOOKUP($B403,'Histórico'!$B:$B,'Histórico'!$I:$I),"")</f>
        <v>066-3046-07</v>
      </c>
      <c r="D403" s="19" t="str">
        <f t="array" ref="D403">IFERROR(_xlfn.XLOOKUP($B403,'Histórico'!$B:$B,'Histórico'!$J:$J),"")</f>
        <v>22373</v>
      </c>
      <c r="E403" s="19" t="str">
        <f t="array" ref="E403">IFERROR(_xlfn.XLOOKUP($B403,'Histórico'!$B:$B,'Histórico'!$K:$K),"")</f>
        <v>CONTROL,INDICATOR</v>
      </c>
      <c r="F403" s="19" t="str">
        <f t="array" ref="F403">IFERROR(_xlfn.XLOOKUP($B403,'Histórico'!$B:$B,'Histórico'!$L:$L),"")</f>
        <v>89177</v>
      </c>
      <c r="G403" s="49" t="str">
        <f t="array" ref="G403">IFERROR(_xlfn.XLOOKUP($B403,'Histórico'!$B:$B,'Histórico'!$F:$F),"")</f>
        <v>29/05/2026</v>
      </c>
      <c r="H403" s="19" t="str">
        <f t="array" ref="H403">IFERROR(_xlfn.XLOOKUP($B403,'Histórico'!$B:$B,'Histórico'!$AA:$AA),"")</f>
        <v>BABE</v>
      </c>
      <c r="I403" s="19" t="str">
        <f t="array" ref="I403">IFERROR(_xlfn.XLOOKUP($B403,Atual!$B:$B,Atual!$E:$E),"OS concluída")</f>
        <v>REC</v>
      </c>
      <c r="J403" s="19">
        <f t="shared" si="1"/>
        <v>139</v>
      </c>
      <c r="K403" s="19"/>
      <c r="L403" s="19" t="str">
        <f t="shared" si="2"/>
        <v>NÃO APLICÁVEL</v>
      </c>
      <c r="M403" s="19"/>
      <c r="N403" s="49" t="str">
        <f t="array" ref="N403">IFERROR(_xlfn.XLOOKUP($B403,EMPRESA_1!A:A,EMPRESA_1!J:J),"")</f>
        <v>EM REPARO</v>
      </c>
      <c r="O403" s="50" t="str">
        <f t="array" ref="O403">IFERROR(_xlfn.XLOOKUP(B403,EMPRESA_1!A:A,EMPRESA_1!K:K),"")
</f>
        <v>WILLIAM</v>
      </c>
      <c r="P403" s="48" t="str">
        <f t="array" ref="P403">IFERROR(_xlfn.XLOOKUP(B403,EMPRESA_1!A:A,EMPRESA_1!L:L),"")</f>
        <v/>
      </c>
      <c r="Q403" s="49" t="str">
        <f t="array" ref="Q403">IFERROR(_xlfn.XLOOKUP(B403,EMPRESA_1!A:A,EMPRESA_1!J:J),"")</f>
        <v>EM REPARO</v>
      </c>
      <c r="R403" s="19" t="str">
        <f t="array" ref="R403">IFERROR(_xlfn.XLOOKUP(B403,EMPRESA_1!A:A,EMPRESA_1!M:M),"")</f>
        <v/>
      </c>
      <c r="S403" s="51"/>
      <c r="T403" s="51" t="str">
        <f t="array" ref="T403">IFERROR(_xlfn.XLOOKUP($F403,'Acerto virtual'!$E:$E,'Acerto virtual'!F:F),"")</f>
        <v/>
      </c>
      <c r="U403" s="51" t="str">
        <f t="array" ref="U403">IFERROR(_xlfn.XLOOKUP($F403,'Acerto virtual'!$E:$E,'Acerto virtual'!G:G),"")</f>
        <v/>
      </c>
      <c r="V403" s="51" t="str">
        <f t="array" ref="V403">IFERROR(_xlfn.XLOOKUP($F403,'Acerto virtual'!$E:$E,'Acerto virtual'!H:H),"")</f>
        <v/>
      </c>
      <c r="W403" s="51" t="str">
        <f t="array" ref="W403">IFERROR(_xlfn.XLOOKUP($F403,'Acerto virtual'!$E:$E,'Acerto virtual'!I:I),"")</f>
        <v/>
      </c>
      <c r="X403" s="51" t="str">
        <f t="array" ref="X403">IFERROR(_xlfn.XLOOKUP($F403,'Acerto virtual'!$E:$E,'Acerto virtual'!J:J),"")</f>
        <v/>
      </c>
      <c r="Y403" s="51" t="str">
        <f t="array" ref="Y403">IFERROR(_xlfn.XLOOKUP($F403,'Acerto virtual'!$E:$E,'Acerto virtual'!K:K),"")</f>
        <v/>
      </c>
      <c r="Z403" s="51" t="str">
        <f t="array" ref="Z403">IFERROR(_xlfn.XLOOKUP($F403,'Acerto virtual'!$E:$E,'Acerto virtual'!L:L),"")</f>
        <v/>
      </c>
      <c r="AA403" s="51" t="str">
        <f t="array" ref="AA403">IFERROR(_xlfn.XLOOKUP($F403,'Acerto virtual'!$E:$E,'Acerto virtual'!M:M),"")</f>
        <v/>
      </c>
      <c r="AB403" s="51" t="str">
        <f t="array" ref="AB403">IFERROR(_xlfn.XLOOKUP($F403,'Acerto virtual'!$E:$E,'Acerto virtual'!N:N),"")</f>
        <v/>
      </c>
      <c r="AC403" s="51" t="str">
        <f t="array" ref="AC403">IFERROR(_xlfn.XLOOKUP($F403,'Acerto virtual'!$E:$E,'Acerto virtual'!O:O),"")</f>
        <v/>
      </c>
      <c r="AD403" s="51" t="str">
        <f t="array" ref="AD403">IFERROR(_xlfn.XLOOKUP($F403,'Acerto virtual'!$E:$E,'Acerto virtual'!P:P),"")</f>
        <v/>
      </c>
      <c r="AE403" s="51" t="str">
        <f t="array" ref="AE403">IFERROR(_xlfn.XLOOKUP($F403,'Acerto virtual'!$E:$E,'Acerto virtual'!Q:Q),"")</f>
        <v/>
      </c>
      <c r="AF403" s="51" t="str">
        <f t="array" ref="AF403">IFERROR(_xlfn.XLOOKUP($F403,'Acerto virtual'!$E:$E,'Acerto virtual'!R:R),"")</f>
        <v/>
      </c>
      <c r="AG403" s="51" t="str">
        <f t="array" ref="AG403">IFERROR(_xlfn.XLOOKUP($F403,'Acerto virtual'!$E:$E,'Acerto virtual'!S:S),"")</f>
        <v/>
      </c>
      <c r="AH403" s="51" t="str">
        <f t="array" ref="AH403">IFERROR(_xlfn.XLOOKUP($F403,'Acerto virtual'!$E:$E,'Acerto virtual'!T:T),"")</f>
        <v/>
      </c>
      <c r="AI403" s="51" t="str">
        <f t="array" ref="AI403">IFERROR(_xlfn.XLOOKUP($F403,'Acerto virtual'!$E:$E,'Acerto virtual'!U:U),"")</f>
        <v/>
      </c>
    </row>
    <row r="404" hidden="1">
      <c r="A404" s="47" t="s">
        <v>1128</v>
      </c>
      <c r="B404" s="53" t="s">
        <v>1129</v>
      </c>
      <c r="C404" s="48" t="str">
        <f t="array" ref="C404">IFERROR(_xlfn.XLOOKUP($B404,'Histórico'!$B:$B,'Histórico'!$I:$I),"")</f>
        <v>066-3046-07</v>
      </c>
      <c r="D404" s="19" t="str">
        <f t="array" ref="D404">IFERROR(_xlfn.XLOOKUP($B404,'Histórico'!$B:$B,'Histórico'!$J:$J),"")</f>
        <v>22373</v>
      </c>
      <c r="E404" s="19" t="str">
        <f t="array" ref="E404">IFERROR(_xlfn.XLOOKUP($B404,'Histórico'!$B:$B,'Histórico'!$K:$K),"")</f>
        <v>CONTROL,INDICATOR</v>
      </c>
      <c r="F404" s="19" t="str">
        <f t="array" ref="F404">IFERROR(_xlfn.XLOOKUP($B404,'Histórico'!$B:$B,'Histórico'!$L:$L),"")</f>
        <v>25304</v>
      </c>
      <c r="G404" s="49" t="str">
        <f t="array" ref="G404">IFERROR(_xlfn.XLOOKUP($B404,'Histórico'!$B:$B,'Histórico'!$F:$F),"")</f>
        <v>29/05/2026</v>
      </c>
      <c r="H404" s="19" t="str">
        <f t="array" ref="H404">IFERROR(_xlfn.XLOOKUP($B404,'Histórico'!$B:$B,'Histórico'!$AA:$AA),"")</f>
        <v>PAMASP</v>
      </c>
      <c r="I404" s="19" t="str">
        <f t="array" ref="I404">IFERROR(_xlfn.XLOOKUP($B404,Atual!$B:$B,Atual!$E:$E),"OS concluída")</f>
        <v>OS concluída</v>
      </c>
      <c r="J404" s="19" t="str">
        <f t="shared" si="1"/>
        <v/>
      </c>
      <c r="K404" s="19"/>
      <c r="L404" s="19">
        <f t="shared" si="2"/>
        <v>40</v>
      </c>
      <c r="M404" s="19"/>
      <c r="N404" s="49">
        <f t="array" ref="N404">IFERROR(_xlfn.XLOOKUP($B404,EMPRESA_1!A:A,EMPRESA_1!J:J),"")</f>
        <v>46211</v>
      </c>
      <c r="O404" s="50" t="str">
        <f t="array" ref="O404">IFERROR(_xlfn.XLOOKUP(B404,EMPRESA_1!A:A,EMPRESA_1!K:K),"")
</f>
        <v/>
      </c>
      <c r="P404" s="48" t="str">
        <f t="array" ref="P404">IFERROR(_xlfn.XLOOKUP(B404,EMPRESA_1!A:A,EMPRESA_1!L:L),"")</f>
        <v/>
      </c>
      <c r="Q404" s="49">
        <f t="array" ref="Q404">IFERROR(_xlfn.XLOOKUP(B404,EMPRESA_1!A:A,EMPRESA_1!J:J),"")</f>
        <v>46211</v>
      </c>
      <c r="R404" s="19" t="str">
        <f t="array" ref="R404">IFERROR(_xlfn.XLOOKUP(B404,EMPRESA_1!A:A,EMPRESA_1!M:M),"")</f>
        <v/>
      </c>
      <c r="S404" s="51"/>
      <c r="T404" s="51" t="str">
        <f t="array" ref="T404">IFERROR(_xlfn.XLOOKUP($F404,'Acerto virtual'!$E:$E,'Acerto virtual'!F:F),"")</f>
        <v>020/2026</v>
      </c>
      <c r="U404" s="51" t="str">
        <f t="array" ref="U404">IFERROR(_xlfn.XLOOKUP($F404,'Acerto virtual'!$E:$E,'Acerto virtual'!G:G),"")</f>
        <v>16/07</v>
      </c>
      <c r="V404" s="51" t="str">
        <f t="array" ref="V404">IFERROR(_xlfn.XLOOKUP($F404,'Acerto virtual'!$E:$E,'Acerto virtual'!H:H),"")</f>
        <v>07/08</v>
      </c>
      <c r="W404" s="51" t="str">
        <f t="array" ref="W404">IFERROR(_xlfn.XLOOKUP($F404,'Acerto virtual'!$E:$E,'Acerto virtual'!I:I),"")</f>
        <v/>
      </c>
      <c r="X404" s="51" t="str">
        <f t="array" ref="X404">IFERROR(_xlfn.XLOOKUP($F404,'Acerto virtual'!$E:$E,'Acerto virtual'!J:J),"")</f>
        <v>10/08</v>
      </c>
      <c r="Y404" s="51" t="str">
        <f t="array" ref="Y404">IFERROR(_xlfn.XLOOKUP($F404,'Acerto virtual'!$E:$E,'Acerto virtual'!K:K),"")</f>
        <v>10/08</v>
      </c>
      <c r="Z404" s="51" t="str">
        <f t="array" ref="Z404">IFERROR(_xlfn.XLOOKUP($F404,'Acerto virtual'!$E:$E,'Acerto virtual'!L:L),"")</f>
        <v>10/08</v>
      </c>
      <c r="AA404" s="51" t="str">
        <f t="array" ref="AA404">IFERROR(_xlfn.XLOOKUP($F404,'Acerto virtual'!$E:$E,'Acerto virtual'!M:M),"")</f>
        <v>10/08</v>
      </c>
      <c r="AB404" s="51" t="str">
        <f t="array" ref="AB404">IFERROR(_xlfn.XLOOKUP($F404,'Acerto virtual'!$E:$E,'Acerto virtual'!N:N),"")</f>
        <v>10/08</v>
      </c>
      <c r="AC404" s="51" t="str">
        <f t="array" ref="AC404">IFERROR(_xlfn.XLOOKUP($F404,'Acerto virtual'!$E:$E,'Acerto virtual'!O:O),"")</f>
        <v>10/08</v>
      </c>
      <c r="AD404" s="51" t="str">
        <f t="array" ref="AD404">IFERROR(_xlfn.XLOOKUP($F404,'Acerto virtual'!$E:$E,'Acerto virtual'!P:P),"")</f>
        <v>10/08</v>
      </c>
      <c r="AE404" s="51" t="str">
        <f t="array" ref="AE404">IFERROR(_xlfn.XLOOKUP($F404,'Acerto virtual'!$E:$E,'Acerto virtual'!Q:Q),"")</f>
        <v>10/08</v>
      </c>
      <c r="AF404" s="51" t="str">
        <f t="array" ref="AF404">IFERROR(_xlfn.XLOOKUP($F404,'Acerto virtual'!$E:$E,'Acerto virtual'!R:R),"")</f>
        <v>11/08</v>
      </c>
      <c r="AG404" s="51" t="str">
        <f t="array" ref="AG404">IFERROR(_xlfn.XLOOKUP($F404,'Acerto virtual'!$E:$E,'Acerto virtual'!S:S),"")</f>
        <v>11/08</v>
      </c>
      <c r="AH404" s="51" t="str">
        <f t="array" ref="AH404">IFERROR(_xlfn.XLOOKUP($F404,'Acerto virtual'!$E:$E,'Acerto virtual'!T:T),"")</f>
        <v>11/08</v>
      </c>
      <c r="AI404" s="51" t="str">
        <f t="array" ref="AI404">IFERROR(_xlfn.XLOOKUP($F404,'Acerto virtual'!$E:$E,'Acerto virtual'!U:U),"")</f>
        <v>RECEBIDO POR 2S CIPRIANO</v>
      </c>
    </row>
    <row r="405">
      <c r="A405" s="47" t="s">
        <v>1130</v>
      </c>
      <c r="B405" s="53" t="s">
        <v>1131</v>
      </c>
      <c r="C405" s="48" t="str">
        <f t="array" ref="C405">IFERROR(_xlfn.XLOOKUP($B405,'Histórico'!$B:$B,'Histórico'!$I:$I),"")</f>
        <v>066-3046-07</v>
      </c>
      <c r="D405" s="19" t="str">
        <f t="array" ref="D405">IFERROR(_xlfn.XLOOKUP($B405,'Histórico'!$B:$B,'Histórico'!$J:$J),"")</f>
        <v>22373</v>
      </c>
      <c r="E405" s="19" t="str">
        <f t="array" ref="E405">IFERROR(_xlfn.XLOOKUP($B405,'Histórico'!$B:$B,'Histórico'!$K:$K),"")</f>
        <v>CONTROL,INDICATOR</v>
      </c>
      <c r="F405" s="19" t="str">
        <f t="array" ref="F405">IFERROR(_xlfn.XLOOKUP($B405,'Histórico'!$B:$B,'Histórico'!$L:$L),"")</f>
        <v>94934</v>
      </c>
      <c r="G405" s="49" t="str">
        <f t="array" ref="G405">IFERROR(_xlfn.XLOOKUP($B405,'Histórico'!$B:$B,'Histórico'!$F:$F),"")</f>
        <v>29/05/2026</v>
      </c>
      <c r="H405" s="19" t="str">
        <f t="array" ref="H405">IFERROR(_xlfn.XLOOKUP($B405,'Histórico'!$B:$B,'Histórico'!$AA:$AA),"")</f>
        <v>PAMASP</v>
      </c>
      <c r="I405" s="19" t="str">
        <f t="array" ref="I405">IFERROR(_xlfn.XLOOKUP($B405,Atual!$B:$B,Atual!$E:$E),"OS concluída")</f>
        <v>REC</v>
      </c>
      <c r="J405" s="19">
        <f t="shared" si="1"/>
        <v>139</v>
      </c>
      <c r="K405" s="19"/>
      <c r="L405" s="19" t="str">
        <f t="shared" si="2"/>
        <v>NÃO APLICÁVEL</v>
      </c>
      <c r="M405" s="19"/>
      <c r="N405" s="49" t="str">
        <f t="array" ref="N405">IFERROR(_xlfn.XLOOKUP($B405,EMPRESA_1!A:A,EMPRESA_1!J:J),"")</f>
        <v>EM REPARO</v>
      </c>
      <c r="O405" s="50" t="str">
        <f t="array" ref="O405">IFERROR(_xlfn.XLOOKUP(B405,EMPRESA_1!A:A,EMPRESA_1!K:K),"")
</f>
        <v>WILLIAM</v>
      </c>
      <c r="P405" s="48" t="str">
        <f t="array" ref="P405">IFERROR(_xlfn.XLOOKUP(B405,EMPRESA_1!A:A,EMPRESA_1!L:L),"")</f>
        <v/>
      </c>
      <c r="Q405" s="49" t="str">
        <f t="array" ref="Q405">IFERROR(_xlfn.XLOOKUP(B405,EMPRESA_1!A:A,EMPRESA_1!J:J),"")</f>
        <v>EM REPARO</v>
      </c>
      <c r="R405" s="19" t="str">
        <f t="array" ref="R405">IFERROR(_xlfn.XLOOKUP(B405,EMPRESA_1!A:A,EMPRESA_1!M:M),"")</f>
        <v/>
      </c>
      <c r="S405" s="51"/>
      <c r="T405" s="51" t="str">
        <f t="array" ref="T405">IFERROR(_xlfn.XLOOKUP($F405,'Acerto virtual'!$E:$E,'Acerto virtual'!F:F),"")</f>
        <v/>
      </c>
      <c r="U405" s="51" t="str">
        <f t="array" ref="U405">IFERROR(_xlfn.XLOOKUP($F405,'Acerto virtual'!$E:$E,'Acerto virtual'!G:G),"")</f>
        <v/>
      </c>
      <c r="V405" s="51" t="str">
        <f t="array" ref="V405">IFERROR(_xlfn.XLOOKUP($F405,'Acerto virtual'!$E:$E,'Acerto virtual'!H:H),"")</f>
        <v/>
      </c>
      <c r="W405" s="51" t="str">
        <f t="array" ref="W405">IFERROR(_xlfn.XLOOKUP($F405,'Acerto virtual'!$E:$E,'Acerto virtual'!I:I),"")</f>
        <v/>
      </c>
      <c r="X405" s="51" t="str">
        <f t="array" ref="X405">IFERROR(_xlfn.XLOOKUP($F405,'Acerto virtual'!$E:$E,'Acerto virtual'!J:J),"")</f>
        <v/>
      </c>
      <c r="Y405" s="51" t="str">
        <f t="array" ref="Y405">IFERROR(_xlfn.XLOOKUP($F405,'Acerto virtual'!$E:$E,'Acerto virtual'!K:K),"")</f>
        <v/>
      </c>
      <c r="Z405" s="51" t="str">
        <f t="array" ref="Z405">IFERROR(_xlfn.XLOOKUP($F405,'Acerto virtual'!$E:$E,'Acerto virtual'!L:L),"")</f>
        <v/>
      </c>
      <c r="AA405" s="51" t="str">
        <f t="array" ref="AA405">IFERROR(_xlfn.XLOOKUP($F405,'Acerto virtual'!$E:$E,'Acerto virtual'!M:M),"")</f>
        <v/>
      </c>
      <c r="AB405" s="51" t="str">
        <f t="array" ref="AB405">IFERROR(_xlfn.XLOOKUP($F405,'Acerto virtual'!$E:$E,'Acerto virtual'!N:N),"")</f>
        <v/>
      </c>
      <c r="AC405" s="51" t="str">
        <f t="array" ref="AC405">IFERROR(_xlfn.XLOOKUP($F405,'Acerto virtual'!$E:$E,'Acerto virtual'!O:O),"")</f>
        <v/>
      </c>
      <c r="AD405" s="51" t="str">
        <f t="array" ref="AD405">IFERROR(_xlfn.XLOOKUP($F405,'Acerto virtual'!$E:$E,'Acerto virtual'!P:P),"")</f>
        <v/>
      </c>
      <c r="AE405" s="51" t="str">
        <f t="array" ref="AE405">IFERROR(_xlfn.XLOOKUP($F405,'Acerto virtual'!$E:$E,'Acerto virtual'!Q:Q),"")</f>
        <v/>
      </c>
      <c r="AF405" s="51" t="str">
        <f t="array" ref="AF405">IFERROR(_xlfn.XLOOKUP($F405,'Acerto virtual'!$E:$E,'Acerto virtual'!R:R),"")</f>
        <v/>
      </c>
      <c r="AG405" s="51" t="str">
        <f t="array" ref="AG405">IFERROR(_xlfn.XLOOKUP($F405,'Acerto virtual'!$E:$E,'Acerto virtual'!S:S),"")</f>
        <v/>
      </c>
      <c r="AH405" s="51" t="str">
        <f t="array" ref="AH405">IFERROR(_xlfn.XLOOKUP($F405,'Acerto virtual'!$E:$E,'Acerto virtual'!T:T),"")</f>
        <v/>
      </c>
      <c r="AI405" s="51" t="str">
        <f t="array" ref="AI405">IFERROR(_xlfn.XLOOKUP($F405,'Acerto virtual'!$E:$E,'Acerto virtual'!U:U),"")</f>
        <v/>
      </c>
    </row>
    <row r="406">
      <c r="A406" s="47" t="s">
        <v>1132</v>
      </c>
      <c r="B406" s="53" t="s">
        <v>1133</v>
      </c>
      <c r="C406" s="48" t="str">
        <f t="array" ref="C406">IFERROR(_xlfn.XLOOKUP($B406,'Histórico'!$B:$B,'Histórico'!$I:$I),"")</f>
        <v>071-01519-0101</v>
      </c>
      <c r="D406" s="19" t="str">
        <f t="array" ref="D406">IFERROR(_xlfn.XLOOKUP($B406,'Histórico'!$B:$B,'Histórico'!$J:$J),"")</f>
        <v>22373</v>
      </c>
      <c r="E406" s="19" t="str">
        <f t="array" ref="E406">IFERROR(_xlfn.XLOOKUP($B406,'Histórico'!$B:$B,'Histórico'!$K:$K),"")</f>
        <v>RECEIVER-EXCITER,RADAR</v>
      </c>
      <c r="F406" s="19" t="str">
        <f t="array" ref="F406">IFERROR(_xlfn.XLOOKUP($B406,'Histórico'!$B:$B,'Histórico'!$L:$L),"")</f>
        <v>5155</v>
      </c>
      <c r="G406" s="49" t="str">
        <f t="array" ref="G406">IFERROR(_xlfn.XLOOKUP($B406,'Histórico'!$B:$B,'Histórico'!$F:$F),"")</f>
        <v>29/05/2026</v>
      </c>
      <c r="H406" s="19" t="str">
        <f t="array" ref="H406">IFERROR(_xlfn.XLOOKUP($B406,'Histórico'!$B:$B,'Histórico'!$AA:$AA),"")</f>
        <v>PAMALS</v>
      </c>
      <c r="I406" s="19" t="str">
        <f t="array" ref="I406">IFERROR(_xlfn.XLOOKUP($B406,Atual!$B:$B,Atual!$E:$E),"OS concluída")</f>
        <v>REC</v>
      </c>
      <c r="J406" s="19">
        <f t="shared" si="1"/>
        <v>139</v>
      </c>
      <c r="K406" s="19"/>
      <c r="L406" s="19">
        <f t="shared" si="2"/>
        <v>83</v>
      </c>
      <c r="M406" s="19"/>
      <c r="N406" s="49">
        <f t="array" ref="N406">IFERROR(_xlfn.XLOOKUP($B406,EMPRESA_1!A:A,EMPRESA_1!J:J),"")</f>
        <v>46254</v>
      </c>
      <c r="O406" s="50" t="str">
        <f t="array" ref="O406">IFERROR(_xlfn.XLOOKUP(B406,EMPRESA_1!A:A,EMPRESA_1!K:K),"")
</f>
        <v>BANT</v>
      </c>
      <c r="P406" s="48" t="str">
        <f t="array" ref="P406">IFERROR(_xlfn.XLOOKUP(B406,EMPRESA_1!A:A,EMPRESA_1!L:L),"")</f>
        <v>709/FAB/26</v>
      </c>
      <c r="Q406" s="49">
        <f t="array" ref="Q406">IFERROR(_xlfn.XLOOKUP(B406,EMPRESA_1!A:A,EMPRESA_1!J:J),"")</f>
        <v>46254</v>
      </c>
      <c r="R406" s="19" t="str">
        <f t="array" ref="R406">IFERROR(_xlfn.XLOOKUP(B406,EMPRESA_1!A:A,EMPRESA_1!M:M),"")</f>
        <v/>
      </c>
      <c r="S406" s="51"/>
      <c r="T406" s="51" t="str">
        <f t="array" ref="T406">IFERROR(_xlfn.XLOOKUP($F406,'Acerto virtual'!$E:$E,'Acerto virtual'!F:F),"")</f>
        <v/>
      </c>
      <c r="U406" s="51" t="str">
        <f t="array" ref="U406">IFERROR(_xlfn.XLOOKUP($F406,'Acerto virtual'!$E:$E,'Acerto virtual'!G:G),"")</f>
        <v/>
      </c>
      <c r="V406" s="51" t="str">
        <f t="array" ref="V406">IFERROR(_xlfn.XLOOKUP($F406,'Acerto virtual'!$E:$E,'Acerto virtual'!H:H),"")</f>
        <v/>
      </c>
      <c r="W406" s="51" t="str">
        <f t="array" ref="W406">IFERROR(_xlfn.XLOOKUP($F406,'Acerto virtual'!$E:$E,'Acerto virtual'!I:I),"")</f>
        <v/>
      </c>
      <c r="X406" s="51" t="str">
        <f t="array" ref="X406">IFERROR(_xlfn.XLOOKUP($F406,'Acerto virtual'!$E:$E,'Acerto virtual'!J:J),"")</f>
        <v/>
      </c>
      <c r="Y406" s="51" t="str">
        <f t="array" ref="Y406">IFERROR(_xlfn.XLOOKUP($F406,'Acerto virtual'!$E:$E,'Acerto virtual'!K:K),"")</f>
        <v/>
      </c>
      <c r="Z406" s="51" t="str">
        <f t="array" ref="Z406">IFERROR(_xlfn.XLOOKUP($F406,'Acerto virtual'!$E:$E,'Acerto virtual'!L:L),"")</f>
        <v/>
      </c>
      <c r="AA406" s="51" t="str">
        <f t="array" ref="AA406">IFERROR(_xlfn.XLOOKUP($F406,'Acerto virtual'!$E:$E,'Acerto virtual'!M:M),"")</f>
        <v/>
      </c>
      <c r="AB406" s="51" t="str">
        <f t="array" ref="AB406">IFERROR(_xlfn.XLOOKUP($F406,'Acerto virtual'!$E:$E,'Acerto virtual'!N:N),"")</f>
        <v/>
      </c>
      <c r="AC406" s="51" t="str">
        <f t="array" ref="AC406">IFERROR(_xlfn.XLOOKUP($F406,'Acerto virtual'!$E:$E,'Acerto virtual'!O:O),"")</f>
        <v/>
      </c>
      <c r="AD406" s="51" t="str">
        <f t="array" ref="AD406">IFERROR(_xlfn.XLOOKUP($F406,'Acerto virtual'!$E:$E,'Acerto virtual'!P:P),"")</f>
        <v/>
      </c>
      <c r="AE406" s="51" t="str">
        <f t="array" ref="AE406">IFERROR(_xlfn.XLOOKUP($F406,'Acerto virtual'!$E:$E,'Acerto virtual'!Q:Q),"")</f>
        <v/>
      </c>
      <c r="AF406" s="51" t="str">
        <f t="array" ref="AF406">IFERROR(_xlfn.XLOOKUP($F406,'Acerto virtual'!$E:$E,'Acerto virtual'!R:R),"")</f>
        <v/>
      </c>
      <c r="AG406" s="51" t="str">
        <f t="array" ref="AG406">IFERROR(_xlfn.XLOOKUP($F406,'Acerto virtual'!$E:$E,'Acerto virtual'!S:S),"")</f>
        <v/>
      </c>
      <c r="AH406" s="51" t="str">
        <f t="array" ref="AH406">IFERROR(_xlfn.XLOOKUP($F406,'Acerto virtual'!$E:$E,'Acerto virtual'!T:T),"")</f>
        <v/>
      </c>
      <c r="AI406" s="51" t="str">
        <f t="array" ref="AI406">IFERROR(_xlfn.XLOOKUP($F406,'Acerto virtual'!$E:$E,'Acerto virtual'!U:U),"")</f>
        <v/>
      </c>
    </row>
    <row r="407">
      <c r="A407" s="47" t="s">
        <v>1134</v>
      </c>
      <c r="B407" s="53" t="s">
        <v>1135</v>
      </c>
      <c r="C407" s="48" t="str">
        <f t="array" ref="C407">IFERROR(_xlfn.XLOOKUP($B407,'Histórico'!$B:$B,'Histórico'!$I:$I),"")</f>
        <v>071-01519-0101</v>
      </c>
      <c r="D407" s="19" t="str">
        <f t="array" ref="D407">IFERROR(_xlfn.XLOOKUP($B407,'Histórico'!$B:$B,'Histórico'!$J:$J),"")</f>
        <v>22373</v>
      </c>
      <c r="E407" s="19" t="str">
        <f t="array" ref="E407">IFERROR(_xlfn.XLOOKUP($B407,'Histórico'!$B:$B,'Histórico'!$K:$K),"")</f>
        <v>RECEIVER-EXCITER,RADAR</v>
      </c>
      <c r="F407" s="19" t="str">
        <f t="array" ref="F407">IFERROR(_xlfn.XLOOKUP($B407,'Histórico'!$B:$B,'Histórico'!$L:$L),"")</f>
        <v>2333</v>
      </c>
      <c r="G407" s="49" t="str">
        <f t="array" ref="G407">IFERROR(_xlfn.XLOOKUP($B407,'Histórico'!$B:$B,'Histórico'!$F:$F),"")</f>
        <v>29/05/2026</v>
      </c>
      <c r="H407" s="19" t="str">
        <f t="array" ref="H407">IFERROR(_xlfn.XLOOKUP($B407,'Histórico'!$B:$B,'Histórico'!$AA:$AA),"")</f>
        <v>PAMALS</v>
      </c>
      <c r="I407" s="19" t="str">
        <f t="array" ref="I407">IFERROR(_xlfn.XLOOKUP($B407,Atual!$B:$B,Atual!$E:$E),"OS concluída")</f>
        <v>REC</v>
      </c>
      <c r="J407" s="19">
        <f t="shared" si="1"/>
        <v>139</v>
      </c>
      <c r="K407" s="19"/>
      <c r="L407" s="19" t="str">
        <f t="shared" si="2"/>
        <v>NÃO APLICÁVEL</v>
      </c>
      <c r="M407" s="19"/>
      <c r="N407" s="49" t="str">
        <f t="array" ref="N407">IFERROR(_xlfn.XLOOKUP($B407,EMPRESA_1!A:A,EMPRESA_1!J:J),"")</f>
        <v>EM REPARO</v>
      </c>
      <c r="O407" s="50" t="str">
        <f t="array" ref="O407">IFERROR(_xlfn.XLOOKUP(B407,EMPRESA_1!A:A,EMPRESA_1!K:K),"")
</f>
        <v>WILLIAM</v>
      </c>
      <c r="P407" s="48" t="str">
        <f t="array" ref="P407">IFERROR(_xlfn.XLOOKUP(B407,EMPRESA_1!A:A,EMPRESA_1!L:L),"")</f>
        <v/>
      </c>
      <c r="Q407" s="49" t="str">
        <f t="array" ref="Q407">IFERROR(_xlfn.XLOOKUP(B407,EMPRESA_1!A:A,EMPRESA_1!J:J),"")</f>
        <v>EM REPARO</v>
      </c>
      <c r="R407" s="19" t="str">
        <f t="array" ref="R407">IFERROR(_xlfn.XLOOKUP(B407,EMPRESA_1!A:A,EMPRESA_1!M:M),"")</f>
        <v/>
      </c>
      <c r="S407" s="51"/>
      <c r="T407" s="51" t="str">
        <f t="array" ref="T407">IFERROR(_xlfn.XLOOKUP($F407,'Acerto virtual'!$E:$E,'Acerto virtual'!F:F),"")</f>
        <v/>
      </c>
      <c r="U407" s="51" t="str">
        <f t="array" ref="U407">IFERROR(_xlfn.XLOOKUP($F407,'Acerto virtual'!$E:$E,'Acerto virtual'!G:G),"")</f>
        <v/>
      </c>
      <c r="V407" s="51" t="str">
        <f t="array" ref="V407">IFERROR(_xlfn.XLOOKUP($F407,'Acerto virtual'!$E:$E,'Acerto virtual'!H:H),"")</f>
        <v/>
      </c>
      <c r="W407" s="51" t="str">
        <f t="array" ref="W407">IFERROR(_xlfn.XLOOKUP($F407,'Acerto virtual'!$E:$E,'Acerto virtual'!I:I),"")</f>
        <v/>
      </c>
      <c r="X407" s="51" t="str">
        <f t="array" ref="X407">IFERROR(_xlfn.XLOOKUP($F407,'Acerto virtual'!$E:$E,'Acerto virtual'!J:J),"")</f>
        <v/>
      </c>
      <c r="Y407" s="51" t="str">
        <f t="array" ref="Y407">IFERROR(_xlfn.XLOOKUP($F407,'Acerto virtual'!$E:$E,'Acerto virtual'!K:K),"")</f>
        <v/>
      </c>
      <c r="Z407" s="51" t="str">
        <f t="array" ref="Z407">IFERROR(_xlfn.XLOOKUP($F407,'Acerto virtual'!$E:$E,'Acerto virtual'!L:L),"")</f>
        <v/>
      </c>
      <c r="AA407" s="51" t="str">
        <f t="array" ref="AA407">IFERROR(_xlfn.XLOOKUP($F407,'Acerto virtual'!$E:$E,'Acerto virtual'!M:M),"")</f>
        <v/>
      </c>
      <c r="AB407" s="51" t="str">
        <f t="array" ref="AB407">IFERROR(_xlfn.XLOOKUP($F407,'Acerto virtual'!$E:$E,'Acerto virtual'!N:N),"")</f>
        <v/>
      </c>
      <c r="AC407" s="51" t="str">
        <f t="array" ref="AC407">IFERROR(_xlfn.XLOOKUP($F407,'Acerto virtual'!$E:$E,'Acerto virtual'!O:O),"")</f>
        <v/>
      </c>
      <c r="AD407" s="51" t="str">
        <f t="array" ref="AD407">IFERROR(_xlfn.XLOOKUP($F407,'Acerto virtual'!$E:$E,'Acerto virtual'!P:P),"")</f>
        <v/>
      </c>
      <c r="AE407" s="51" t="str">
        <f t="array" ref="AE407">IFERROR(_xlfn.XLOOKUP($F407,'Acerto virtual'!$E:$E,'Acerto virtual'!Q:Q),"")</f>
        <v/>
      </c>
      <c r="AF407" s="51" t="str">
        <f t="array" ref="AF407">IFERROR(_xlfn.XLOOKUP($F407,'Acerto virtual'!$E:$E,'Acerto virtual'!R:R),"")</f>
        <v/>
      </c>
      <c r="AG407" s="51" t="str">
        <f t="array" ref="AG407">IFERROR(_xlfn.XLOOKUP($F407,'Acerto virtual'!$E:$E,'Acerto virtual'!S:S),"")</f>
        <v/>
      </c>
      <c r="AH407" s="51" t="str">
        <f t="array" ref="AH407">IFERROR(_xlfn.XLOOKUP($F407,'Acerto virtual'!$E:$E,'Acerto virtual'!T:T),"")</f>
        <v/>
      </c>
      <c r="AI407" s="51" t="str">
        <f t="array" ref="AI407">IFERROR(_xlfn.XLOOKUP($F407,'Acerto virtual'!$E:$E,'Acerto virtual'!U:U),"")</f>
        <v/>
      </c>
    </row>
    <row r="408" hidden="1">
      <c r="A408" s="48"/>
      <c r="B408" s="47" t="s">
        <v>1136</v>
      </c>
      <c r="C408" s="48" t="str">
        <f t="array" ref="C408">IFERROR(_xlfn.XLOOKUP($B408,'Histórico'!$B:$B,'Histórico'!$I:$I),"")</f>
        <v>060-0017-00</v>
      </c>
      <c r="D408" s="19">
        <f t="array" ref="D408">IFERROR(_xlfn.XLOOKUP($B408,'Histórico'!$B:$B,'Histórico'!$J:$J),"")</f>
        <v>22373</v>
      </c>
      <c r="E408" s="19" t="str">
        <f t="array" ref="E408">IFERROR(_xlfn.XLOOKUP($B408,'Histórico'!$B:$B,'Histórico'!$K:$K),"")</f>
        <v>FLIGHT DIR HOR</v>
      </c>
      <c r="F408" s="19" t="str">
        <f t="array" ref="F408">IFERROR(_xlfn.XLOOKUP($B408,'Histórico'!$B:$B,'Histórico'!$L:$L),"")</f>
        <v>9599</v>
      </c>
      <c r="G408" s="49">
        <f t="array" ref="G408">IFERROR(_xlfn.XLOOKUP($B408,'Histórico'!$B:$B,'Histórico'!$F:$F),"")</f>
        <v>46183</v>
      </c>
      <c r="H408" s="19" t="str">
        <f t="array" ref="H408">IFERROR(_xlfn.XLOOKUP($B408,'Histórico'!$B:$B,'Histórico'!$AA:$AA),"")</f>
        <v>BABR</v>
      </c>
      <c r="I408" s="19" t="str">
        <f t="array" ref="I408">IFERROR(_xlfn.XLOOKUP($B408,Atual!$B:$B,Atual!$E:$E),"OS concluída")</f>
        <v>OS concluída</v>
      </c>
      <c r="J408" s="19" t="str">
        <f t="shared" si="1"/>
        <v/>
      </c>
      <c r="K408" s="19"/>
      <c r="L408" s="19" t="str">
        <f t="shared" si="2"/>
        <v/>
      </c>
      <c r="M408" s="19"/>
      <c r="N408" s="49" t="str">
        <f t="array" ref="N408">IFERROR(_xlfn.XLOOKUP($B408,EMPRESA_1!A:A,EMPRESA_1!J:J),"")</f>
        <v/>
      </c>
      <c r="O408" s="50" t="str">
        <f t="array" ref="O408">IFERROR(_xlfn.XLOOKUP(B408,EMPRESA_1!A:A,EMPRESA_1!K:K),"")
</f>
        <v/>
      </c>
      <c r="P408" s="48" t="str">
        <f t="array" ref="P408">IFERROR(_xlfn.XLOOKUP(B408,EMPRESA_1!A:A,EMPRESA_1!L:L),"")</f>
        <v/>
      </c>
      <c r="Q408" s="49" t="str">
        <f t="array" ref="Q408">IFERROR(_xlfn.XLOOKUP(B408,EMPRESA_1!A:A,EMPRESA_1!J:J),"")</f>
        <v/>
      </c>
      <c r="R408" s="19" t="str">
        <f t="array" ref="R408">IFERROR(_xlfn.XLOOKUP(B408,EMPRESA_1!A:A,EMPRESA_1!M:M),"")</f>
        <v/>
      </c>
      <c r="S408" s="51"/>
      <c r="T408" s="51" t="str">
        <f t="array" ref="T408">IFERROR(_xlfn.XLOOKUP($F408,'Acerto virtual'!$E:$E,'Acerto virtual'!F:F),"")</f>
        <v>025/2026</v>
      </c>
      <c r="U408" s="51" t="str">
        <f t="array" ref="U408">IFERROR(_xlfn.XLOOKUP($F408,'Acerto virtual'!$E:$E,'Acerto virtual'!G:G),"")</f>
        <v>09/07</v>
      </c>
      <c r="V408" s="51" t="str">
        <f t="array" ref="V408">IFERROR(_xlfn.XLOOKUP($F408,'Acerto virtual'!$E:$E,'Acerto virtual'!H:H),"")</f>
        <v>09/07</v>
      </c>
      <c r="W408" s="51" t="str">
        <f t="array" ref="W408">IFERROR(_xlfn.XLOOKUP($F408,'Acerto virtual'!$E:$E,'Acerto virtual'!I:I),"")</f>
        <v/>
      </c>
      <c r="X408" s="51" t="str">
        <f t="array" ref="X408">IFERROR(_xlfn.XLOOKUP($F408,'Acerto virtual'!$E:$E,'Acerto virtual'!J:J),"")</f>
        <v>09/07</v>
      </c>
      <c r="Y408" s="51" t="str">
        <f t="array" ref="Y408">IFERROR(_xlfn.XLOOKUP($F408,'Acerto virtual'!$E:$E,'Acerto virtual'!K:K),"")</f>
        <v>10/07</v>
      </c>
      <c r="Z408" s="51" t="str">
        <f t="array" ref="Z408">IFERROR(_xlfn.XLOOKUP($F408,'Acerto virtual'!$E:$E,'Acerto virtual'!L:L),"")</f>
        <v>10/07</v>
      </c>
      <c r="AA408" s="51" t="str">
        <f t="array" ref="AA408">IFERROR(_xlfn.XLOOKUP($F408,'Acerto virtual'!$E:$E,'Acerto virtual'!M:M),"")</f>
        <v>13/07</v>
      </c>
      <c r="AB408" s="51" t="str">
        <f t="array" ref="AB408">IFERROR(_xlfn.XLOOKUP($F408,'Acerto virtual'!$E:$E,'Acerto virtual'!N:N),"")</f>
        <v>13/07</v>
      </c>
      <c r="AC408" s="51" t="str">
        <f t="array" ref="AC408">IFERROR(_xlfn.XLOOKUP($F408,'Acerto virtual'!$E:$E,'Acerto virtual'!O:O),"")</f>
        <v>13/07</v>
      </c>
      <c r="AD408" s="51" t="str">
        <f t="array" ref="AD408">IFERROR(_xlfn.XLOOKUP($F408,'Acerto virtual'!$E:$E,'Acerto virtual'!P:P),"")</f>
        <v>13/07</v>
      </c>
      <c r="AE408" s="51" t="str">
        <f t="array" ref="AE408">IFERROR(_xlfn.XLOOKUP($F408,'Acerto virtual'!$E:$E,'Acerto virtual'!Q:Q),"")</f>
        <v>13/07</v>
      </c>
      <c r="AF408" s="51" t="str">
        <f t="array" ref="AF408">IFERROR(_xlfn.XLOOKUP($F408,'Acerto virtual'!$E:$E,'Acerto virtual'!R:R),"")</f>
        <v>13/07</v>
      </c>
      <c r="AG408" s="51" t="str">
        <f t="array" ref="AG408">IFERROR(_xlfn.XLOOKUP($F408,'Acerto virtual'!$E:$E,'Acerto virtual'!S:S),"")</f>
        <v>13/07, 01/09</v>
      </c>
      <c r="AH408" s="51" t="str">
        <f t="array" ref="AH408">IFERROR(_xlfn.XLOOKUP($F408,'Acerto virtual'!$E:$E,'Acerto virtual'!T:T),"")</f>
        <v>09/09</v>
      </c>
      <c r="AI408" s="51" t="str">
        <f t="array" ref="AI408">IFERROR(_xlfn.XLOOKUP($F408,'Acerto virtual'!$E:$E,'Acerto virtual'!U:U),"")</f>
        <v>RECEBIDO POR 3S KESIA</v>
      </c>
    </row>
    <row r="409">
      <c r="A409" s="48"/>
      <c r="B409" s="47" t="s">
        <v>1137</v>
      </c>
      <c r="C409" s="48" t="str">
        <f t="array" ref="C409">IFERROR(_xlfn.XLOOKUP($B409,'Histórico'!$B:$B,'Histórico'!$I:$I),"")</f>
        <v>060-0017-00</v>
      </c>
      <c r="D409" s="19">
        <f t="array" ref="D409">IFERROR(_xlfn.XLOOKUP($B409,'Histórico'!$B:$B,'Histórico'!$J:$J),"")</f>
        <v>22373</v>
      </c>
      <c r="E409" s="19" t="str">
        <f t="array" ref="E409">IFERROR(_xlfn.XLOOKUP($B409,'Histórico'!$B:$B,'Histórico'!$K:$K),"")</f>
        <v>FLIGHT DIR HOR</v>
      </c>
      <c r="F409" s="19" t="str">
        <f t="array" ref="F409">IFERROR(_xlfn.XLOOKUP($B409,'Histórico'!$B:$B,'Histórico'!$L:$L),"")</f>
        <v>14251</v>
      </c>
      <c r="G409" s="49">
        <f t="array" ref="G409">IFERROR(_xlfn.XLOOKUP($B409,'Histórico'!$B:$B,'Histórico'!$F:$F),"")</f>
        <v>46183</v>
      </c>
      <c r="H409" s="19" t="str">
        <f t="array" ref="H409">IFERROR(_xlfn.XLOOKUP($B409,'Histórico'!$B:$B,'Histórico'!$AA:$AA),"")</f>
        <v>PAMALS</v>
      </c>
      <c r="I409" s="19" t="str">
        <f t="array" ref="I409">IFERROR(_xlfn.XLOOKUP($B409,Atual!$B:$B,Atual!$E:$E),"OS concluída")</f>
        <v>REC</v>
      </c>
      <c r="J409" s="19">
        <f t="shared" si="1"/>
        <v>127</v>
      </c>
      <c r="K409" s="19"/>
      <c r="L409" s="19" t="str">
        <f t="shared" si="2"/>
        <v/>
      </c>
      <c r="M409" s="19"/>
      <c r="N409" s="49" t="str">
        <f t="array" ref="N409">IFERROR(_xlfn.XLOOKUP($B409,EMPRESA_1!A:A,EMPRESA_1!J:J),"")</f>
        <v/>
      </c>
      <c r="O409" s="50" t="str">
        <f t="array" ref="O409">IFERROR(_xlfn.XLOOKUP(B409,EMPRESA_1!A:A,EMPRESA_1!K:K),"")
</f>
        <v/>
      </c>
      <c r="P409" s="48" t="str">
        <f t="array" ref="P409">IFERROR(_xlfn.XLOOKUP(B409,EMPRESA_1!A:A,EMPRESA_1!L:L),"")</f>
        <v/>
      </c>
      <c r="Q409" s="49" t="str">
        <f t="array" ref="Q409">IFERROR(_xlfn.XLOOKUP(B409,EMPRESA_1!A:A,EMPRESA_1!J:J),"")</f>
        <v/>
      </c>
      <c r="R409" s="19" t="str">
        <f t="array" ref="R409">IFERROR(_xlfn.XLOOKUP(B409,EMPRESA_1!A:A,EMPRESA_1!M:M),"")</f>
        <v/>
      </c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</row>
    <row r="410">
      <c r="A410" s="48"/>
      <c r="B410" s="47" t="s">
        <v>1138</v>
      </c>
      <c r="C410" s="48" t="str">
        <f t="array" ref="C410">IFERROR(_xlfn.XLOOKUP($B410,'Histórico'!$B:$B,'Histórico'!$I:$I),"")</f>
        <v>060-0017-00</v>
      </c>
      <c r="D410" s="19">
        <f t="array" ref="D410">IFERROR(_xlfn.XLOOKUP($B410,'Histórico'!$B:$B,'Histórico'!$J:$J),"")</f>
        <v>22373</v>
      </c>
      <c r="E410" s="19" t="str">
        <f t="array" ref="E410">IFERROR(_xlfn.XLOOKUP($B410,'Histórico'!$B:$B,'Histórico'!$K:$K),"")</f>
        <v>FLIGHT DIR HOR</v>
      </c>
      <c r="F410" s="19" t="str">
        <f t="array" ref="F410">IFERROR(_xlfn.XLOOKUP($B410,'Histórico'!$B:$B,'Histórico'!$L:$L),"")</f>
        <v>19945</v>
      </c>
      <c r="G410" s="49">
        <f t="array" ref="G410">IFERROR(_xlfn.XLOOKUP($B410,'Histórico'!$B:$B,'Histórico'!$F:$F),"")</f>
        <v>46183</v>
      </c>
      <c r="H410" s="19" t="str">
        <f t="array" ref="H410">IFERROR(_xlfn.XLOOKUP($B410,'Histórico'!$B:$B,'Histórico'!$AA:$AA),"")</f>
        <v>BANT</v>
      </c>
      <c r="I410" s="19" t="str">
        <f t="array" ref="I410">IFERROR(_xlfn.XLOOKUP($B410,Atual!$B:$B,Atual!$E:$E),"OS concluída")</f>
        <v>REC</v>
      </c>
      <c r="J410" s="19">
        <f t="shared" si="1"/>
        <v>127</v>
      </c>
      <c r="K410" s="19"/>
      <c r="L410" s="19" t="str">
        <f t="shared" si="2"/>
        <v/>
      </c>
      <c r="M410" s="19"/>
      <c r="N410" s="49" t="str">
        <f t="array" ref="N410">IFERROR(_xlfn.XLOOKUP($B410,EMPRESA_1!A:A,EMPRESA_1!J:J),"")</f>
        <v/>
      </c>
      <c r="O410" s="50" t="str">
        <f t="array" ref="O410">IFERROR(_xlfn.XLOOKUP(B410,EMPRESA_1!A:A,EMPRESA_1!K:K),"")
</f>
        <v/>
      </c>
      <c r="P410" s="48" t="str">
        <f t="array" ref="P410">IFERROR(_xlfn.XLOOKUP(B410,EMPRESA_1!A:A,EMPRESA_1!L:L),"")</f>
        <v/>
      </c>
      <c r="Q410" s="49" t="str">
        <f t="array" ref="Q410">IFERROR(_xlfn.XLOOKUP(B410,EMPRESA_1!A:A,EMPRESA_1!J:J),"")</f>
        <v/>
      </c>
      <c r="R410" s="19" t="str">
        <f t="array" ref="R410">IFERROR(_xlfn.XLOOKUP(B410,EMPRESA_1!A:A,EMPRESA_1!M:M),"")</f>
        <v/>
      </c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</row>
    <row r="411">
      <c r="A411" s="48"/>
      <c r="B411" s="47" t="s">
        <v>1139</v>
      </c>
      <c r="C411" s="48" t="str">
        <f t="array" ref="C411">IFERROR(_xlfn.XLOOKUP($B411,'Histórico'!$B:$B,'Histórico'!$I:$I),"")</f>
        <v>060-0017-00</v>
      </c>
      <c r="D411" s="19">
        <f t="array" ref="D411">IFERROR(_xlfn.XLOOKUP($B411,'Histórico'!$B:$B,'Histórico'!$J:$J),"")</f>
        <v>22373</v>
      </c>
      <c r="E411" s="19" t="str">
        <f t="array" ref="E411">IFERROR(_xlfn.XLOOKUP($B411,'Histórico'!$B:$B,'Histórico'!$K:$K),"")</f>
        <v>FLIGHT DIR HOR</v>
      </c>
      <c r="F411" s="19" t="str">
        <f t="array" ref="F411">IFERROR(_xlfn.XLOOKUP($B411,'Histórico'!$B:$B,'Histórico'!$L:$L),"")</f>
        <v>14396</v>
      </c>
      <c r="G411" s="49">
        <f t="array" ref="G411">IFERROR(_xlfn.XLOOKUP($B411,'Histórico'!$B:$B,'Histórico'!$F:$F),"")</f>
        <v>46183</v>
      </c>
      <c r="H411" s="19" t="str">
        <f t="array" ref="H411">IFERROR(_xlfn.XLOOKUP($B411,'Histórico'!$B:$B,'Histórico'!$AA:$AA),"")</f>
        <v>BANT</v>
      </c>
      <c r="I411" s="19" t="str">
        <f t="array" ref="I411">IFERROR(_xlfn.XLOOKUP($B411,Atual!$B:$B,Atual!$E:$E),"OS concluída")</f>
        <v>REC</v>
      </c>
      <c r="J411" s="19">
        <f t="shared" si="1"/>
        <v>127</v>
      </c>
      <c r="K411" s="19"/>
      <c r="L411" s="19" t="str">
        <f t="shared" si="2"/>
        <v/>
      </c>
      <c r="M411" s="19"/>
      <c r="N411" s="49" t="str">
        <f t="array" ref="N411">IFERROR(_xlfn.XLOOKUP($B411,EMPRESA_1!A:A,EMPRESA_1!J:J),"")</f>
        <v/>
      </c>
      <c r="O411" s="50" t="str">
        <f t="array" ref="O411">IFERROR(_xlfn.XLOOKUP(B411,EMPRESA_1!A:A,EMPRESA_1!K:K),"")
</f>
        <v/>
      </c>
      <c r="P411" s="48" t="str">
        <f t="array" ref="P411">IFERROR(_xlfn.XLOOKUP(B411,EMPRESA_1!A:A,EMPRESA_1!L:L),"")</f>
        <v/>
      </c>
      <c r="Q411" s="49" t="str">
        <f t="array" ref="Q411">IFERROR(_xlfn.XLOOKUP(B411,EMPRESA_1!A:A,EMPRESA_1!J:J),"")</f>
        <v/>
      </c>
      <c r="R411" s="19" t="str">
        <f t="array" ref="R411">IFERROR(_xlfn.XLOOKUP(B411,EMPRESA_1!A:A,EMPRESA_1!M:M),"")</f>
        <v/>
      </c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</row>
    <row r="412">
      <c r="A412" s="48"/>
      <c r="B412" s="47" t="s">
        <v>1140</v>
      </c>
      <c r="C412" s="48" t="str">
        <f t="array" ref="C412">IFERROR(_xlfn.XLOOKUP($B412,'Histórico'!$B:$B,'Histórico'!$I:$I),"")</f>
        <v>060-0017-00</v>
      </c>
      <c r="D412" s="19">
        <f t="array" ref="D412">IFERROR(_xlfn.XLOOKUP($B412,'Histórico'!$B:$B,'Histórico'!$J:$J),"")</f>
        <v>22373</v>
      </c>
      <c r="E412" s="19" t="str">
        <f t="array" ref="E412">IFERROR(_xlfn.XLOOKUP($B412,'Histórico'!$B:$B,'Histórico'!$K:$K),"")</f>
        <v>FLIGHT DIR HOR</v>
      </c>
      <c r="F412" s="19" t="str">
        <f t="array" ref="F412">IFERROR(_xlfn.XLOOKUP($B412,'Histórico'!$B:$B,'Histórico'!$L:$L),"")</f>
        <v>9920</v>
      </c>
      <c r="G412" s="49">
        <f t="array" ref="G412">IFERROR(_xlfn.XLOOKUP($B412,'Histórico'!$B:$B,'Histórico'!$F:$F),"")</f>
        <v>46183</v>
      </c>
      <c r="H412" s="19" t="str">
        <f t="array" ref="H412">IFERROR(_xlfn.XLOOKUP($B412,'Histórico'!$B:$B,'Histórico'!$AA:$AA),"")</f>
        <v>PAMALS</v>
      </c>
      <c r="I412" s="19" t="str">
        <f t="array" ref="I412">IFERROR(_xlfn.XLOOKUP($B412,Atual!$B:$B,Atual!$E:$E),"OS concluída")</f>
        <v>REC</v>
      </c>
      <c r="J412" s="19">
        <f t="shared" si="1"/>
        <v>127</v>
      </c>
      <c r="K412" s="19"/>
      <c r="L412" s="19" t="str">
        <f t="shared" si="2"/>
        <v/>
      </c>
      <c r="M412" s="19"/>
      <c r="N412" s="49" t="str">
        <f t="array" ref="N412">IFERROR(_xlfn.XLOOKUP($B412,EMPRESA_1!A:A,EMPRESA_1!J:J),"")</f>
        <v/>
      </c>
      <c r="O412" s="50" t="str">
        <f t="array" ref="O412">IFERROR(_xlfn.XLOOKUP(B412,EMPRESA_1!A:A,EMPRESA_1!K:K),"")
</f>
        <v/>
      </c>
      <c r="P412" s="48" t="str">
        <f t="array" ref="P412">IFERROR(_xlfn.XLOOKUP(B412,EMPRESA_1!A:A,EMPRESA_1!L:L),"")</f>
        <v/>
      </c>
      <c r="Q412" s="49" t="str">
        <f t="array" ref="Q412">IFERROR(_xlfn.XLOOKUP(B412,EMPRESA_1!A:A,EMPRESA_1!J:J),"")</f>
        <v/>
      </c>
      <c r="R412" s="19" t="str">
        <f t="array" ref="R412">IFERROR(_xlfn.XLOOKUP(B412,EMPRESA_1!A:A,EMPRESA_1!M:M),"")</f>
        <v/>
      </c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</row>
    <row r="413">
      <c r="A413" s="48"/>
      <c r="B413" s="47" t="s">
        <v>1141</v>
      </c>
      <c r="C413" s="48" t="str">
        <f t="array" ref="C413">IFERROR(_xlfn.XLOOKUP($B413,'Histórico'!$B:$B,'Histórico'!$I:$I),"")</f>
        <v>060-0017-00</v>
      </c>
      <c r="D413" s="19">
        <f t="array" ref="D413">IFERROR(_xlfn.XLOOKUP($B413,'Histórico'!$B:$B,'Histórico'!$J:$J),"")</f>
        <v>22373</v>
      </c>
      <c r="E413" s="19" t="str">
        <f t="array" ref="E413">IFERROR(_xlfn.XLOOKUP($B413,'Histórico'!$B:$B,'Histórico'!$K:$K),"")</f>
        <v>FLIGHT DIR HOR</v>
      </c>
      <c r="F413" s="19" t="str">
        <f t="array" ref="F413">IFERROR(_xlfn.XLOOKUP($B413,'Histórico'!$B:$B,'Histórico'!$L:$L),"")</f>
        <v>20528</v>
      </c>
      <c r="G413" s="49">
        <f t="array" ref="G413">IFERROR(_xlfn.XLOOKUP($B413,'Histórico'!$B:$B,'Histórico'!$F:$F),"")</f>
        <v>46183</v>
      </c>
      <c r="H413" s="19" t="str">
        <f t="array" ref="H413">IFERROR(_xlfn.XLOOKUP($B413,'Histórico'!$B:$B,'Histórico'!$AA:$AA),"")</f>
        <v>PAMASP</v>
      </c>
      <c r="I413" s="19" t="str">
        <f t="array" ref="I413">IFERROR(_xlfn.XLOOKUP($B413,Atual!$B:$B,Atual!$E:$E),"OS concluída")</f>
        <v>REC</v>
      </c>
      <c r="J413" s="19">
        <f t="shared" si="1"/>
        <v>127</v>
      </c>
      <c r="K413" s="19"/>
      <c r="L413" s="19" t="str">
        <f t="shared" si="2"/>
        <v/>
      </c>
      <c r="M413" s="19"/>
      <c r="N413" s="49" t="str">
        <f t="array" ref="N413">IFERROR(_xlfn.XLOOKUP($B413,EMPRESA_1!A:A,EMPRESA_1!J:J),"")</f>
        <v/>
      </c>
      <c r="O413" s="50" t="str">
        <f t="array" ref="O413">IFERROR(_xlfn.XLOOKUP(B413,EMPRESA_1!A:A,EMPRESA_1!K:K),"")
</f>
        <v/>
      </c>
      <c r="P413" s="48" t="str">
        <f t="array" ref="P413">IFERROR(_xlfn.XLOOKUP(B413,EMPRESA_1!A:A,EMPRESA_1!L:L),"")</f>
        <v/>
      </c>
      <c r="Q413" s="49" t="str">
        <f t="array" ref="Q413">IFERROR(_xlfn.XLOOKUP(B413,EMPRESA_1!A:A,EMPRESA_1!J:J),"")</f>
        <v/>
      </c>
      <c r="R413" s="19" t="str">
        <f t="array" ref="R413">IFERROR(_xlfn.XLOOKUP(B413,EMPRESA_1!A:A,EMPRESA_1!M:M),"")</f>
        <v/>
      </c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</row>
    <row r="414">
      <c r="A414" s="48"/>
      <c r="B414" s="47" t="s">
        <v>1142</v>
      </c>
      <c r="C414" s="48" t="str">
        <f t="array" ref="C414">IFERROR(_xlfn.XLOOKUP($B414,'Histórico'!$B:$B,'Histórico'!$I:$I),"")</f>
        <v>1H75-21</v>
      </c>
      <c r="D414" s="19" t="str">
        <f t="array" ref="D414">IFERROR(_xlfn.XLOOKUP($B414,'Histórico'!$B:$B,'Histórico'!$J:$J),"")</f>
        <v>7EK50</v>
      </c>
      <c r="E414" s="19" t="str">
        <f t="array" ref="E414">IFERROR(_xlfn.XLOOKUP($B414,'Histórico'!$B:$B,'Histórico'!$K:$K),"")</f>
        <v>PRESSURE REGULATOR</v>
      </c>
      <c r="F414" s="19" t="str">
        <f t="array" ref="F414">IFERROR(_xlfn.XLOOKUP($B414,'Histórico'!$B:$B,'Histórico'!$L:$L),"")</f>
        <v>3BF23</v>
      </c>
      <c r="G414" s="49">
        <f t="array" ref="G414">IFERROR(_xlfn.XLOOKUP($B414,'Histórico'!$B:$B,'Histórico'!$F:$F),"")</f>
        <v>46188</v>
      </c>
      <c r="H414" s="19" t="str">
        <f t="array" ref="H414">IFERROR(_xlfn.XLOOKUP($B414,'Histórico'!$B:$B,'Histórico'!$AA:$AA),"")</f>
        <v>BAMN</v>
      </c>
      <c r="I414" s="19" t="str">
        <f t="array" ref="I414">IFERROR(_xlfn.XLOOKUP($B414,Atual!$B:$B,Atual!$E:$E),"OS concluída")</f>
        <v>REC</v>
      </c>
      <c r="J414" s="19">
        <f t="shared" si="1"/>
        <v>122</v>
      </c>
      <c r="K414" s="19"/>
      <c r="L414" s="19" t="str">
        <f t="shared" si="2"/>
        <v/>
      </c>
      <c r="M414" s="19"/>
      <c r="N414" s="49" t="str">
        <f t="array" ref="N414">IFERROR(_xlfn.XLOOKUP($B414,EMPRESA_1!A:A,EMPRESA_1!J:J),"")</f>
        <v/>
      </c>
      <c r="O414" s="50" t="str">
        <f t="array" ref="O414">IFERROR(_xlfn.XLOOKUP(B414,EMPRESA_1!A:A,EMPRESA_1!K:K),"")
</f>
        <v/>
      </c>
      <c r="P414" s="48" t="str">
        <f t="array" ref="P414">IFERROR(_xlfn.XLOOKUP(B414,EMPRESA_1!A:A,EMPRESA_1!L:L),"")</f>
        <v/>
      </c>
      <c r="Q414" s="49" t="str">
        <f t="array" ref="Q414">IFERROR(_xlfn.XLOOKUP(B414,EMPRESA_1!A:A,EMPRESA_1!J:J),"")</f>
        <v/>
      </c>
      <c r="R414" s="19" t="str">
        <f t="array" ref="R414">IFERROR(_xlfn.XLOOKUP(B414,EMPRESA_1!A:A,EMPRESA_1!M:M),"")</f>
        <v/>
      </c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</row>
    <row r="415">
      <c r="A415" s="48"/>
      <c r="B415" s="47" t="s">
        <v>1143</v>
      </c>
      <c r="C415" s="48" t="str">
        <f t="array" ref="C415">IFERROR(_xlfn.XLOOKUP($B415,'Histórico'!$B:$B,'Histórico'!$I:$I),"")</f>
        <v>1H75-21</v>
      </c>
      <c r="D415" s="19" t="str">
        <f t="array" ref="D415">IFERROR(_xlfn.XLOOKUP($B415,'Histórico'!$B:$B,'Histórico'!$J:$J),"")</f>
        <v>7EK50</v>
      </c>
      <c r="E415" s="19" t="str">
        <f t="array" ref="E415">IFERROR(_xlfn.XLOOKUP($B415,'Histórico'!$B:$B,'Histórico'!$K:$K),"")</f>
        <v>PRESSURE REGULATOR</v>
      </c>
      <c r="F415" s="19" t="str">
        <f t="array" ref="F415">IFERROR(_xlfn.XLOOKUP($B415,'Histórico'!$B:$B,'Histórico'!$L:$L),"")</f>
        <v>10BE80</v>
      </c>
      <c r="G415" s="49">
        <f t="array" ref="G415">IFERROR(_xlfn.XLOOKUP($B415,'Histórico'!$B:$B,'Histórico'!$F:$F),"")</f>
        <v>46188</v>
      </c>
      <c r="H415" s="19" t="str">
        <f t="array" ref="H415">IFERROR(_xlfn.XLOOKUP($B415,'Histórico'!$B:$B,'Histórico'!$AA:$AA),"")</f>
        <v>PAMASP</v>
      </c>
      <c r="I415" s="19" t="str">
        <f t="array" ref="I415">IFERROR(_xlfn.XLOOKUP($B415,Atual!$B:$B,Atual!$E:$E),"OS concluída")</f>
        <v>REC</v>
      </c>
      <c r="J415" s="19">
        <f t="shared" si="1"/>
        <v>122</v>
      </c>
      <c r="K415" s="19"/>
      <c r="L415" s="19" t="str">
        <f t="shared" si="2"/>
        <v/>
      </c>
      <c r="M415" s="19"/>
      <c r="N415" s="49" t="str">
        <f t="array" ref="N415">IFERROR(_xlfn.XLOOKUP($B415,EMPRESA_1!A:A,EMPRESA_1!J:J),"")</f>
        <v/>
      </c>
      <c r="O415" s="50" t="str">
        <f t="array" ref="O415">IFERROR(_xlfn.XLOOKUP(B415,EMPRESA_1!A:A,EMPRESA_1!K:K),"")
</f>
        <v/>
      </c>
      <c r="P415" s="48" t="str">
        <f t="array" ref="P415">IFERROR(_xlfn.XLOOKUP(B415,EMPRESA_1!A:A,EMPRESA_1!L:L),"")</f>
        <v/>
      </c>
      <c r="Q415" s="49" t="str">
        <f t="array" ref="Q415">IFERROR(_xlfn.XLOOKUP(B415,EMPRESA_1!A:A,EMPRESA_1!J:J),"")</f>
        <v/>
      </c>
      <c r="R415" s="19" t="str">
        <f t="array" ref="R415">IFERROR(_xlfn.XLOOKUP(B415,EMPRESA_1!A:A,EMPRESA_1!M:M),"")</f>
        <v/>
      </c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</row>
    <row r="416">
      <c r="A416" s="48"/>
      <c r="B416" s="47" t="s">
        <v>1144</v>
      </c>
      <c r="C416" s="48" t="str">
        <f t="array" ref="C416">IFERROR(_xlfn.XLOOKUP($B416,'Histórico'!$B:$B,'Histórico'!$I:$I),"")</f>
        <v>1H75-21</v>
      </c>
      <c r="D416" s="19" t="str">
        <f t="array" ref="D416">IFERROR(_xlfn.XLOOKUP($B416,'Histórico'!$B:$B,'Histórico'!$J:$J),"")</f>
        <v>7EK50</v>
      </c>
      <c r="E416" s="19" t="str">
        <f t="array" ref="E416">IFERROR(_xlfn.XLOOKUP($B416,'Histórico'!$B:$B,'Histórico'!$K:$K),"")</f>
        <v>PRESSURE REGULATOR</v>
      </c>
      <c r="F416" s="19" t="str">
        <f t="array" ref="F416">IFERROR(_xlfn.XLOOKUP($B416,'Histórico'!$B:$B,'Histórico'!$L:$L),"")</f>
        <v>2BC10</v>
      </c>
      <c r="G416" s="49">
        <f t="array" ref="G416">IFERROR(_xlfn.XLOOKUP($B416,'Histórico'!$B:$B,'Histórico'!$F:$F),"")</f>
        <v>46188</v>
      </c>
      <c r="H416" s="19" t="str">
        <f t="array" ref="H416">IFERROR(_xlfn.XLOOKUP($B416,'Histórico'!$B:$B,'Histórico'!$AA:$AA),"")</f>
        <v>PAMASP</v>
      </c>
      <c r="I416" s="19" t="str">
        <f t="array" ref="I416">IFERROR(_xlfn.XLOOKUP($B416,Atual!$B:$B,Atual!$E:$E),"OS concluída")</f>
        <v>REC</v>
      </c>
      <c r="J416" s="19">
        <f t="shared" si="1"/>
        <v>122</v>
      </c>
      <c r="K416" s="19"/>
      <c r="L416" s="19" t="str">
        <f t="shared" si="2"/>
        <v/>
      </c>
      <c r="M416" s="19"/>
      <c r="N416" s="49" t="str">
        <f t="array" ref="N416">IFERROR(_xlfn.XLOOKUP($B416,EMPRESA_1!A:A,EMPRESA_1!J:J),"")</f>
        <v/>
      </c>
      <c r="O416" s="50" t="str">
        <f t="array" ref="O416">IFERROR(_xlfn.XLOOKUP(B416,EMPRESA_1!A:A,EMPRESA_1!K:K),"")
</f>
        <v/>
      </c>
      <c r="P416" s="48" t="str">
        <f t="array" ref="P416">IFERROR(_xlfn.XLOOKUP(B416,EMPRESA_1!A:A,EMPRESA_1!L:L),"")</f>
        <v/>
      </c>
      <c r="Q416" s="49" t="str">
        <f t="array" ref="Q416">IFERROR(_xlfn.XLOOKUP(B416,EMPRESA_1!A:A,EMPRESA_1!J:J),"")</f>
        <v/>
      </c>
      <c r="R416" s="19" t="str">
        <f t="array" ref="R416">IFERROR(_xlfn.XLOOKUP(B416,EMPRESA_1!A:A,EMPRESA_1!M:M),"")</f>
        <v/>
      </c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</row>
    <row r="417" hidden="1">
      <c r="A417" s="48"/>
      <c r="B417" s="47" t="s">
        <v>1145</v>
      </c>
      <c r="C417" s="48" t="str">
        <f t="array" ref="C417">IFERROR(_xlfn.XLOOKUP($B417,'Histórico'!$B:$B,'Histórico'!$I:$I),"")</f>
        <v>1H75-21</v>
      </c>
      <c r="D417" s="19" t="str">
        <f t="array" ref="D417">IFERROR(_xlfn.XLOOKUP($B417,'Histórico'!$B:$B,'Histórico'!$J:$J),"")</f>
        <v>7EK50</v>
      </c>
      <c r="E417" s="19" t="str">
        <f t="array" ref="E417">IFERROR(_xlfn.XLOOKUP($B417,'Histórico'!$B:$B,'Histórico'!$K:$K),"")</f>
        <v>PRESSURE REGULATOR</v>
      </c>
      <c r="F417" s="19" t="str">
        <f t="array" ref="F417">IFERROR(_xlfn.XLOOKUP($B417,'Histórico'!$B:$B,'Histórico'!$L:$L),"")</f>
        <v>11BG159</v>
      </c>
      <c r="G417" s="49">
        <f t="array" ref="G417">IFERROR(_xlfn.XLOOKUP($B417,'Histórico'!$B:$B,'Histórico'!$F:$F),"")</f>
        <v>46188</v>
      </c>
      <c r="H417" s="19" t="str">
        <f t="array" ref="H417">IFERROR(_xlfn.XLOOKUP($B417,'Histórico'!$B:$B,'Histórico'!$AA:$AA),"")</f>
        <v>PAMASP</v>
      </c>
      <c r="I417" s="19" t="str">
        <f t="array" ref="I417">IFERROR(_xlfn.XLOOKUP($B417,Atual!$B:$B,Atual!$E:$E),"OS concluída")</f>
        <v>OS concluída</v>
      </c>
      <c r="J417" s="19" t="str">
        <f t="shared" si="1"/>
        <v/>
      </c>
      <c r="K417" s="19"/>
      <c r="L417" s="19" t="str">
        <f t="shared" si="2"/>
        <v/>
      </c>
      <c r="M417" s="19"/>
      <c r="N417" s="49" t="str">
        <f t="array" ref="N417">IFERROR(_xlfn.XLOOKUP($B417,EMPRESA_1!A:A,EMPRESA_1!J:J),"")</f>
        <v/>
      </c>
      <c r="O417" s="50" t="str">
        <f t="array" ref="O417">IFERROR(_xlfn.XLOOKUP(B417,EMPRESA_1!A:A,EMPRESA_1!K:K),"")
</f>
        <v/>
      </c>
      <c r="P417" s="48" t="str">
        <f t="array" ref="P417">IFERROR(_xlfn.XLOOKUP(B417,EMPRESA_1!A:A,EMPRESA_1!L:L),"")</f>
        <v/>
      </c>
      <c r="Q417" s="49" t="str">
        <f t="array" ref="Q417">IFERROR(_xlfn.XLOOKUP(B417,EMPRESA_1!A:A,EMPRESA_1!J:J),"")</f>
        <v/>
      </c>
      <c r="R417" s="19" t="str">
        <f t="array" ref="R417">IFERROR(_xlfn.XLOOKUP(B417,EMPRESA_1!A:A,EMPRESA_1!M:M),"")</f>
        <v/>
      </c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</row>
    <row r="418" hidden="1">
      <c r="A418" s="48"/>
      <c r="B418" s="47" t="s">
        <v>1146</v>
      </c>
      <c r="C418" s="48" t="str">
        <f t="array" ref="C418">IFERROR(_xlfn.XLOOKUP($B418,'Histórico'!$B:$B,'Histórico'!$I:$I),"")</f>
        <v>3244809-7</v>
      </c>
      <c r="D418" s="19">
        <f t="array" ref="D418">IFERROR(_xlfn.XLOOKUP($B418,'Histórico'!$B:$B,'Histórico'!$J:$J),"")</f>
        <v>7213</v>
      </c>
      <c r="E418" s="19" t="str">
        <f t="array" ref="E418">IFERROR(_xlfn.XLOOKUP($B418,'Histórico'!$B:$B,'Histórico'!$K:$K),"")</f>
        <v>FUEL CONTROL,MAIN,TURBINE ENGINE</v>
      </c>
      <c r="F418" s="19" t="str">
        <f t="array" ref="F418">IFERROR(_xlfn.XLOOKUP($B418,'Histórico'!$B:$B,'Histórico'!$L:$L),"")</f>
        <v>A76103</v>
      </c>
      <c r="G418" s="49">
        <f t="array" ref="G418">IFERROR(_xlfn.XLOOKUP($B418,'Histórico'!$B:$B,'Histórico'!$F:$F),"")</f>
        <v>46188</v>
      </c>
      <c r="H418" s="19" t="str">
        <f t="array" ref="H418">IFERROR(_xlfn.XLOOKUP($B418,'Histórico'!$B:$B,'Histórico'!$AA:$AA),"")</f>
        <v>BABE</v>
      </c>
      <c r="I418" s="19" t="str">
        <f t="array" ref="I418">IFERROR(_xlfn.XLOOKUP($B418,Atual!$B:$B,Atual!$E:$E),"OS concluída")</f>
        <v>OS concluída</v>
      </c>
      <c r="J418" s="19" t="str">
        <f t="shared" si="1"/>
        <v/>
      </c>
      <c r="K418" s="19"/>
      <c r="L418" s="19" t="str">
        <f t="shared" si="2"/>
        <v/>
      </c>
      <c r="M418" s="19"/>
      <c r="N418" s="49" t="str">
        <f t="array" ref="N418">IFERROR(_xlfn.XLOOKUP($B418,EMPRESA_1!A:A,EMPRESA_1!J:J),"")</f>
        <v/>
      </c>
      <c r="O418" s="50" t="str">
        <f t="array" ref="O418">IFERROR(_xlfn.XLOOKUP(B418,EMPRESA_1!A:A,EMPRESA_1!K:K),"")
</f>
        <v/>
      </c>
      <c r="P418" s="48" t="str">
        <f t="array" ref="P418">IFERROR(_xlfn.XLOOKUP(B418,EMPRESA_1!A:A,EMPRESA_1!L:L),"")</f>
        <v/>
      </c>
      <c r="Q418" s="49" t="str">
        <f t="array" ref="Q418">IFERROR(_xlfn.XLOOKUP(B418,EMPRESA_1!A:A,EMPRESA_1!J:J),"")</f>
        <v/>
      </c>
      <c r="R418" s="19" t="str">
        <f t="array" ref="R418">IFERROR(_xlfn.XLOOKUP(B418,EMPRESA_1!A:A,EMPRESA_1!M:M),"")</f>
        <v/>
      </c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</row>
    <row r="419">
      <c r="A419" s="48"/>
      <c r="B419" s="47" t="s">
        <v>1147</v>
      </c>
      <c r="C419" s="48" t="str">
        <f t="array" ref="C419">IFERROR(_xlfn.XLOOKUP($B419,'Histórico'!$B:$B,'Histórico'!$I:$I),"")</f>
        <v>540-1407-4</v>
      </c>
      <c r="D419" s="19" t="str">
        <f t="array" ref="D419">IFERROR(_xlfn.XLOOKUP($B419,'Histórico'!$B:$B,'Histórico'!$J:$J),"")</f>
        <v>077L2</v>
      </c>
      <c r="E419" s="19" t="str">
        <f t="array" ref="E419">IFERROR(_xlfn.XLOOKUP($B419,'Histórico'!$B:$B,'Histórico'!$K:$K),"")</f>
        <v>VALVE,BLEED,TURBINEENGINE</v>
      </c>
      <c r="F419" s="19" t="str">
        <f t="array" ref="F419">IFERROR(_xlfn.XLOOKUP($B419,'Histórico'!$B:$B,'Histórico'!$L:$L),"")</f>
        <v>5844</v>
      </c>
      <c r="G419" s="49">
        <f t="array" ref="G419">IFERROR(_xlfn.XLOOKUP($B419,'Histórico'!$B:$B,'Histórico'!$F:$F),"")</f>
        <v>46188</v>
      </c>
      <c r="H419" s="19" t="str">
        <f t="array" ref="H419">IFERROR(_xlfn.XLOOKUP($B419,'Histórico'!$B:$B,'Histórico'!$AA:$AA),"")</f>
        <v>PAMASP</v>
      </c>
      <c r="I419" s="19" t="str">
        <f t="array" ref="I419">IFERROR(_xlfn.XLOOKUP($B419,Atual!$B:$B,Atual!$E:$E),"OS concluída")</f>
        <v>REC</v>
      </c>
      <c r="J419" s="19">
        <f t="shared" si="1"/>
        <v>122</v>
      </c>
      <c r="K419" s="19"/>
      <c r="L419" s="19" t="str">
        <f t="shared" si="2"/>
        <v/>
      </c>
      <c r="M419" s="19"/>
      <c r="N419" s="49" t="str">
        <f t="array" ref="N419">IFERROR(_xlfn.XLOOKUP($B419,EMPRESA_1!A:A,EMPRESA_1!J:J),"")</f>
        <v/>
      </c>
      <c r="O419" s="50" t="str">
        <f t="array" ref="O419">IFERROR(_xlfn.XLOOKUP(B419,EMPRESA_1!A:A,EMPRESA_1!K:K),"")
</f>
        <v/>
      </c>
      <c r="P419" s="48" t="str">
        <f t="array" ref="P419">IFERROR(_xlfn.XLOOKUP(B419,EMPRESA_1!A:A,EMPRESA_1!L:L),"")</f>
        <v/>
      </c>
      <c r="Q419" s="49" t="str">
        <f t="array" ref="Q419">IFERROR(_xlfn.XLOOKUP(B419,EMPRESA_1!A:A,EMPRESA_1!J:J),"")</f>
        <v/>
      </c>
      <c r="R419" s="19" t="str">
        <f t="array" ref="R419">IFERROR(_xlfn.XLOOKUP(B419,EMPRESA_1!A:A,EMPRESA_1!M:M),"")</f>
        <v/>
      </c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</row>
    <row r="420" hidden="1">
      <c r="A420" s="48"/>
      <c r="B420" s="47" t="s">
        <v>1148</v>
      </c>
      <c r="C420" s="48" t="str">
        <f t="array" ref="C420">IFERROR(_xlfn.XLOOKUP($B420,'Histórico'!$B:$B,'Histórico'!$I:$I),"")</f>
        <v>200SGL153Q</v>
      </c>
      <c r="D420" s="19">
        <f t="array" ref="D420">IFERROR(_xlfn.XLOOKUP($B420,'Histórico'!$B:$B,'Histórico'!$J:$J),"")</f>
        <v>95270</v>
      </c>
      <c r="E420" s="19" t="str">
        <f t="array" ref="E420">IFERROR(_xlfn.XLOOKUP($B420,'Histórico'!$B:$B,'Histórico'!$K:$K),"")</f>
        <v>STARTER-GENERATOR,ENGINE,AIRCRAFT</v>
      </c>
      <c r="F420" s="19" t="str">
        <f t="array" ref="F420">IFERROR(_xlfn.XLOOKUP($B420,'Histórico'!$B:$B,'Histórico'!$L:$L),"")</f>
        <v>S00456</v>
      </c>
      <c r="G420" s="49">
        <f t="array" ref="G420">IFERROR(_xlfn.XLOOKUP($B420,'Histórico'!$B:$B,'Histórico'!$F:$F),"")</f>
        <v>46188</v>
      </c>
      <c r="H420" s="19" t="str">
        <f t="array" ref="H420">IFERROR(_xlfn.XLOOKUP($B420,'Histórico'!$B:$B,'Histórico'!$AA:$AA),"")</f>
        <v>CLA</v>
      </c>
      <c r="I420" s="19" t="str">
        <f t="array" ref="I420">IFERROR(_xlfn.XLOOKUP($B420,Atual!$B:$B,Atual!$E:$E),"OS concluída")</f>
        <v>OS concluída</v>
      </c>
      <c r="J420" s="19" t="str">
        <f t="shared" si="1"/>
        <v/>
      </c>
      <c r="K420" s="19"/>
      <c r="L420" s="19" t="str">
        <f t="shared" si="2"/>
        <v/>
      </c>
      <c r="M420" s="19"/>
      <c r="N420" s="49" t="str">
        <f t="array" ref="N420">IFERROR(_xlfn.XLOOKUP($B420,EMPRESA_1!A:A,EMPRESA_1!J:J),"")</f>
        <v/>
      </c>
      <c r="O420" s="50" t="str">
        <f t="array" ref="O420">IFERROR(_xlfn.XLOOKUP(B420,EMPRESA_1!A:A,EMPRESA_1!K:K),"")
</f>
        <v/>
      </c>
      <c r="P420" s="48" t="str">
        <f t="array" ref="P420">IFERROR(_xlfn.XLOOKUP(B420,EMPRESA_1!A:A,EMPRESA_1!L:L),"")</f>
        <v/>
      </c>
      <c r="Q420" s="49" t="str">
        <f t="array" ref="Q420">IFERROR(_xlfn.XLOOKUP(B420,EMPRESA_1!A:A,EMPRESA_1!J:J),"")</f>
        <v/>
      </c>
      <c r="R420" s="19" t="str">
        <f t="array" ref="R420">IFERROR(_xlfn.XLOOKUP(B420,EMPRESA_1!A:A,EMPRESA_1!M:M),"")</f>
        <v/>
      </c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</row>
    <row r="421" hidden="1">
      <c r="A421" s="48"/>
      <c r="B421" s="47" t="s">
        <v>1149</v>
      </c>
      <c r="C421" s="48" t="str">
        <f t="array" ref="C421">IFERROR(_xlfn.XLOOKUP($B421,'Histórico'!$B:$B,'Histórico'!$I:$I),"")</f>
        <v>200SGL153Q</v>
      </c>
      <c r="D421" s="19">
        <f t="array" ref="D421">IFERROR(_xlfn.XLOOKUP($B421,'Histórico'!$B:$B,'Histórico'!$J:$J),"")</f>
        <v>95270</v>
      </c>
      <c r="E421" s="19" t="str">
        <f t="array" ref="E421">IFERROR(_xlfn.XLOOKUP($B421,'Histórico'!$B:$B,'Histórico'!$K:$K),"")</f>
        <v>STARTER-GENERATOR,ENGINE,AIRCRAFT</v>
      </c>
      <c r="F421" s="19" t="str">
        <f t="array" ref="F421">IFERROR(_xlfn.XLOOKUP($B421,'Histórico'!$B:$B,'Histórico'!$L:$L),"")</f>
        <v>S00167XL</v>
      </c>
      <c r="G421" s="49">
        <f t="array" ref="G421">IFERROR(_xlfn.XLOOKUP($B421,'Histórico'!$B:$B,'Histórico'!$F:$F),"")</f>
        <v>46188</v>
      </c>
      <c r="H421" s="19" t="str">
        <f t="array" ref="H421">IFERROR(_xlfn.XLOOKUP($B421,'Histórico'!$B:$B,'Histórico'!$AA:$AA),"")</f>
        <v>PAMASP</v>
      </c>
      <c r="I421" s="19" t="str">
        <f t="array" ref="I421">IFERROR(_xlfn.XLOOKUP($B421,Atual!$B:$B,Atual!$E:$E),"OS concluída")</f>
        <v>OS concluída</v>
      </c>
      <c r="J421" s="19" t="str">
        <f t="shared" si="1"/>
        <v/>
      </c>
      <c r="K421" s="19"/>
      <c r="L421" s="19" t="str">
        <f t="shared" si="2"/>
        <v/>
      </c>
      <c r="M421" s="19"/>
      <c r="N421" s="49" t="str">
        <f t="array" ref="N421">IFERROR(_xlfn.XLOOKUP($B421,EMPRESA_1!A:A,EMPRESA_1!J:J),"")</f>
        <v/>
      </c>
      <c r="O421" s="50" t="str">
        <f t="array" ref="O421">IFERROR(_xlfn.XLOOKUP(B421,EMPRESA_1!A:A,EMPRESA_1!K:K),"")
</f>
        <v/>
      </c>
      <c r="P421" s="48" t="str">
        <f t="array" ref="P421">IFERROR(_xlfn.XLOOKUP(B421,EMPRESA_1!A:A,EMPRESA_1!L:L),"")</f>
        <v/>
      </c>
      <c r="Q421" s="49" t="str">
        <f t="array" ref="Q421">IFERROR(_xlfn.XLOOKUP(B421,EMPRESA_1!A:A,EMPRESA_1!J:J),"")</f>
        <v/>
      </c>
      <c r="R421" s="19" t="str">
        <f t="array" ref="R421">IFERROR(_xlfn.XLOOKUP(B421,EMPRESA_1!A:A,EMPRESA_1!M:M),"")</f>
        <v/>
      </c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</row>
    <row r="422">
      <c r="A422" s="48"/>
      <c r="B422" s="47" t="s">
        <v>1150</v>
      </c>
      <c r="C422" s="48" t="str">
        <f t="array" ref="C422">IFERROR(_xlfn.XLOOKUP($B422,'Histórico'!$B:$B,'Histórico'!$I:$I),"")</f>
        <v>200SGL153Q</v>
      </c>
      <c r="D422" s="19">
        <f t="array" ref="D422">IFERROR(_xlfn.XLOOKUP($B422,'Histórico'!$B:$B,'Histórico'!$J:$J),"")</f>
        <v>95270</v>
      </c>
      <c r="E422" s="19" t="str">
        <f t="array" ref="E422">IFERROR(_xlfn.XLOOKUP($B422,'Histórico'!$B:$B,'Histórico'!$K:$K),"")</f>
        <v>STARTER-GENERATOR,ENGINE,AIRCRAFT</v>
      </c>
      <c r="F422" s="19" t="str">
        <f t="array" ref="F422">IFERROR(_xlfn.XLOOKUP($B422,'Histórico'!$B:$B,'Histórico'!$L:$L),"")</f>
        <v>S00006XL2</v>
      </c>
      <c r="G422" s="49">
        <f t="array" ref="G422">IFERROR(_xlfn.XLOOKUP($B422,'Histórico'!$B:$B,'Histórico'!$F:$F),"")</f>
        <v>46188</v>
      </c>
      <c r="H422" s="19" t="str">
        <f t="array" ref="H422">IFERROR(_xlfn.XLOOKUP($B422,'Histórico'!$B:$B,'Histórico'!$AA:$AA),"")</f>
        <v>BACG</v>
      </c>
      <c r="I422" s="19" t="str">
        <f t="array" ref="I422">IFERROR(_xlfn.XLOOKUP($B422,Atual!$B:$B,Atual!$E:$E),"OS concluída")</f>
        <v>REC</v>
      </c>
      <c r="J422" s="19">
        <f t="shared" si="1"/>
        <v>122</v>
      </c>
      <c r="K422" s="19"/>
      <c r="L422" s="19" t="str">
        <f t="shared" si="2"/>
        <v/>
      </c>
      <c r="M422" s="19"/>
      <c r="N422" s="49" t="str">
        <f t="array" ref="N422">IFERROR(_xlfn.XLOOKUP($B422,EMPRESA_1!A:A,EMPRESA_1!J:J),"")</f>
        <v/>
      </c>
      <c r="O422" s="50" t="str">
        <f t="array" ref="O422">IFERROR(_xlfn.XLOOKUP(B422,EMPRESA_1!A:A,EMPRESA_1!K:K),"")
</f>
        <v/>
      </c>
      <c r="P422" s="48" t="str">
        <f t="array" ref="P422">IFERROR(_xlfn.XLOOKUP(B422,EMPRESA_1!A:A,EMPRESA_1!L:L),"")</f>
        <v/>
      </c>
      <c r="Q422" s="49" t="str">
        <f t="array" ref="Q422">IFERROR(_xlfn.XLOOKUP(B422,EMPRESA_1!A:A,EMPRESA_1!J:J),"")</f>
        <v/>
      </c>
      <c r="R422" s="19" t="str">
        <f t="array" ref="R422">IFERROR(_xlfn.XLOOKUP(B422,EMPRESA_1!A:A,EMPRESA_1!M:M),"")</f>
        <v/>
      </c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</row>
    <row r="423">
      <c r="A423" s="48"/>
      <c r="B423" s="47" t="s">
        <v>1151</v>
      </c>
      <c r="C423" s="48" t="str">
        <f t="array" ref="C423">IFERROR(_xlfn.XLOOKUP($B423,'Histórico'!$B:$B,'Histórico'!$I:$I),"")</f>
        <v>9910338-8</v>
      </c>
      <c r="D423" s="19" t="str">
        <f t="array" ref="D423">IFERROR(_xlfn.XLOOKUP($B423,'Histórico'!$B:$B,'Histórico'!$J:$J),"")</f>
        <v>7EK50</v>
      </c>
      <c r="E423" s="19" t="str">
        <f t="array" ref="E423">IFERROR(_xlfn.XLOOKUP($B423,'Histórico'!$B:$B,'Histórico'!$K:$K),"")</f>
        <v>INDICATOR,FUEL FLOW</v>
      </c>
      <c r="F423" s="19" t="str">
        <f t="array" ref="F423">IFERROR(_xlfn.XLOOKUP($B423,'Histórico'!$B:$B,'Histórico'!$L:$L),"")</f>
        <v>580</v>
      </c>
      <c r="G423" s="49">
        <f t="array" ref="G423">IFERROR(_xlfn.XLOOKUP($B423,'Histórico'!$B:$B,'Histórico'!$F:$F),"")</f>
        <v>46188</v>
      </c>
      <c r="H423" s="19" t="str">
        <f t="array" ref="H423">IFERROR(_xlfn.XLOOKUP($B423,'Histórico'!$B:$B,'Histórico'!$AA:$AA),"")</f>
        <v>PAMALS</v>
      </c>
      <c r="I423" s="19" t="str">
        <f t="array" ref="I423">IFERROR(_xlfn.XLOOKUP($B423,Atual!$B:$B,Atual!$E:$E),"OS concluída")</f>
        <v>REC</v>
      </c>
      <c r="J423" s="19">
        <f t="shared" si="1"/>
        <v>122</v>
      </c>
      <c r="K423" s="19"/>
      <c r="L423" s="19" t="str">
        <f t="shared" si="2"/>
        <v/>
      </c>
      <c r="M423" s="19"/>
      <c r="N423" s="49" t="str">
        <f t="array" ref="N423">IFERROR(_xlfn.XLOOKUP($B423,EMPRESA_1!A:A,EMPRESA_1!J:J),"")</f>
        <v/>
      </c>
      <c r="O423" s="50" t="str">
        <f t="array" ref="O423">IFERROR(_xlfn.XLOOKUP(B423,EMPRESA_1!A:A,EMPRESA_1!K:K),"")
</f>
        <v/>
      </c>
      <c r="P423" s="48" t="str">
        <f t="array" ref="P423">IFERROR(_xlfn.XLOOKUP(B423,EMPRESA_1!A:A,EMPRESA_1!L:L),"")</f>
        <v/>
      </c>
      <c r="Q423" s="49" t="str">
        <f t="array" ref="Q423">IFERROR(_xlfn.XLOOKUP(B423,EMPRESA_1!A:A,EMPRESA_1!J:J),"")</f>
        <v/>
      </c>
      <c r="R423" s="19" t="str">
        <f t="array" ref="R423">IFERROR(_xlfn.XLOOKUP(B423,EMPRESA_1!A:A,EMPRESA_1!M:M),"")</f>
        <v/>
      </c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</row>
    <row r="424">
      <c r="A424" s="48"/>
      <c r="B424" s="47" t="s">
        <v>1152</v>
      </c>
      <c r="C424" s="48" t="str">
        <f t="array" ref="C424">IFERROR(_xlfn.XLOOKUP($B424,'Histórico'!$B:$B,'Histórico'!$I:$I),"")</f>
        <v>S3326-2</v>
      </c>
      <c r="D424" s="19">
        <f t="array" ref="D424">IFERROR(_xlfn.XLOOKUP($B424,'Histórico'!$B:$B,'Histórico'!$J:$J),"")</f>
        <v>86887</v>
      </c>
      <c r="E424" s="19" t="str">
        <f t="array" ref="E424">IFERROR(_xlfn.XLOOKUP($B424,'Histórico'!$B:$B,'Histórico'!$K:$K),"")</f>
        <v>INDICATOR,HORIZONTAL SITUATION</v>
      </c>
      <c r="F424" s="19" t="str">
        <f t="array" ref="F424">IFERROR(_xlfn.XLOOKUP($B424,'Histórico'!$B:$B,'Histórico'!$L:$L),"")</f>
        <v>T97125Q</v>
      </c>
      <c r="G424" s="49">
        <f t="array" ref="G424">IFERROR(_xlfn.XLOOKUP($B424,'Histórico'!$B:$B,'Histórico'!$F:$F),"")</f>
        <v>46188</v>
      </c>
      <c r="H424" s="19" t="str">
        <f t="array" ref="H424">IFERROR(_xlfn.XLOOKUP($B424,'Histórico'!$B:$B,'Histórico'!$AA:$AA),"")</f>
        <v>ALA 8</v>
      </c>
      <c r="I424" s="19" t="str">
        <f t="array" ref="I424">IFERROR(_xlfn.XLOOKUP($B424,Atual!$B:$B,Atual!$E:$E),"OS concluída")</f>
        <v>REC</v>
      </c>
      <c r="J424" s="19">
        <f t="shared" si="1"/>
        <v>122</v>
      </c>
      <c r="K424" s="19"/>
      <c r="L424" s="19" t="str">
        <f t="shared" si="2"/>
        <v/>
      </c>
      <c r="M424" s="19"/>
      <c r="N424" s="49" t="str">
        <f t="array" ref="N424">IFERROR(_xlfn.XLOOKUP($B424,EMPRESA_1!A:A,EMPRESA_1!J:J),"")</f>
        <v/>
      </c>
      <c r="O424" s="50" t="str">
        <f t="array" ref="O424">IFERROR(_xlfn.XLOOKUP(B424,EMPRESA_1!A:A,EMPRESA_1!K:K),"")
</f>
        <v/>
      </c>
      <c r="P424" s="48" t="str">
        <f t="array" ref="P424">IFERROR(_xlfn.XLOOKUP(B424,EMPRESA_1!A:A,EMPRESA_1!L:L),"")</f>
        <v/>
      </c>
      <c r="Q424" s="49" t="str">
        <f t="array" ref="Q424">IFERROR(_xlfn.XLOOKUP(B424,EMPRESA_1!A:A,EMPRESA_1!J:J),"")</f>
        <v/>
      </c>
      <c r="R424" s="19" t="str">
        <f t="array" ref="R424">IFERROR(_xlfn.XLOOKUP(B424,EMPRESA_1!A:A,EMPRESA_1!M:M),"")</f>
        <v/>
      </c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</row>
    <row r="425">
      <c r="A425" s="48"/>
      <c r="B425" s="47" t="s">
        <v>1153</v>
      </c>
      <c r="C425" s="48" t="str">
        <f t="array" ref="C425">IFERROR(_xlfn.XLOOKUP($B425,'Histórico'!$B:$B,'Histórico'!$I:$I),"")</f>
        <v>S3326-2</v>
      </c>
      <c r="D425" s="19">
        <f t="array" ref="D425">IFERROR(_xlfn.XLOOKUP($B425,'Histórico'!$B:$B,'Histórico'!$J:$J),"")</f>
        <v>86887</v>
      </c>
      <c r="E425" s="19" t="str">
        <f t="array" ref="E425">IFERROR(_xlfn.XLOOKUP($B425,'Histórico'!$B:$B,'Histórico'!$K:$K),"")</f>
        <v>INDICATOR,HORIZONTAL SITUATION</v>
      </c>
      <c r="F425" s="19" t="str">
        <f t="array" ref="F425">IFERROR(_xlfn.XLOOKUP($B425,'Histórico'!$B:$B,'Histórico'!$L:$L),"")</f>
        <v>T1011900</v>
      </c>
      <c r="G425" s="49">
        <f t="array" ref="G425">IFERROR(_xlfn.XLOOKUP($B425,'Histórico'!$B:$B,'Histórico'!$F:$F),"")</f>
        <v>46188</v>
      </c>
      <c r="H425" s="19" t="str">
        <f t="array" ref="H425">IFERROR(_xlfn.XLOOKUP($B425,'Histórico'!$B:$B,'Histórico'!$AA:$AA),"")</f>
        <v>PAMALS</v>
      </c>
      <c r="I425" s="19" t="str">
        <f t="array" ref="I425">IFERROR(_xlfn.XLOOKUP($B425,Atual!$B:$B,Atual!$E:$E),"OS concluída")</f>
        <v>REC</v>
      </c>
      <c r="J425" s="19">
        <f t="shared" si="1"/>
        <v>122</v>
      </c>
      <c r="K425" s="19"/>
      <c r="L425" s="19" t="str">
        <f t="shared" si="2"/>
        <v/>
      </c>
      <c r="M425" s="19"/>
      <c r="N425" s="49" t="str">
        <f t="array" ref="N425">IFERROR(_xlfn.XLOOKUP($B425,EMPRESA_1!A:A,EMPRESA_1!J:J),"")</f>
        <v/>
      </c>
      <c r="O425" s="50" t="str">
        <f t="array" ref="O425">IFERROR(_xlfn.XLOOKUP(B425,EMPRESA_1!A:A,EMPRESA_1!K:K),"")
</f>
        <v/>
      </c>
      <c r="P425" s="48" t="str">
        <f t="array" ref="P425">IFERROR(_xlfn.XLOOKUP(B425,EMPRESA_1!A:A,EMPRESA_1!L:L),"")</f>
        <v/>
      </c>
      <c r="Q425" s="49" t="str">
        <f t="array" ref="Q425">IFERROR(_xlfn.XLOOKUP(B425,EMPRESA_1!A:A,EMPRESA_1!J:J),"")</f>
        <v/>
      </c>
      <c r="R425" s="19" t="str">
        <f t="array" ref="R425">IFERROR(_xlfn.XLOOKUP(B425,EMPRESA_1!A:A,EMPRESA_1!M:M),"")</f>
        <v/>
      </c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</row>
    <row r="426">
      <c r="A426" s="48"/>
      <c r="B426" s="47" t="s">
        <v>1154</v>
      </c>
      <c r="C426" s="48" t="str">
        <f t="array" ref="C426">IFERROR(_xlfn.XLOOKUP($B426,'Histórico'!$B:$B,'Histórico'!$I:$I),"")</f>
        <v>S3326-2</v>
      </c>
      <c r="D426" s="19">
        <f t="array" ref="D426">IFERROR(_xlfn.XLOOKUP($B426,'Histórico'!$B:$B,'Histórico'!$J:$J),"")</f>
        <v>86887</v>
      </c>
      <c r="E426" s="19" t="str">
        <f t="array" ref="E426">IFERROR(_xlfn.XLOOKUP($B426,'Histórico'!$B:$B,'Histórico'!$K:$K),"")</f>
        <v>INDICATOR,HORIZONTAL SITUATION</v>
      </c>
      <c r="F426" s="19" t="str">
        <f t="array" ref="F426">IFERROR(_xlfn.XLOOKUP($B426,'Histórico'!$B:$B,'Histórico'!$L:$L),"")</f>
        <v>T91786Q</v>
      </c>
      <c r="G426" s="49">
        <f t="array" ref="G426">IFERROR(_xlfn.XLOOKUP($B426,'Histórico'!$B:$B,'Histórico'!$F:$F),"")</f>
        <v>46188</v>
      </c>
      <c r="H426" s="19" t="str">
        <f t="array" ref="H426">IFERROR(_xlfn.XLOOKUP($B426,'Histórico'!$B:$B,'Histórico'!$AA:$AA),"")</f>
        <v>PAMASP</v>
      </c>
      <c r="I426" s="19" t="str">
        <f t="array" ref="I426">IFERROR(_xlfn.XLOOKUP($B426,Atual!$B:$B,Atual!$E:$E),"OS concluída")</f>
        <v>REC</v>
      </c>
      <c r="J426" s="19">
        <f t="shared" si="1"/>
        <v>122</v>
      </c>
      <c r="K426" s="19"/>
      <c r="L426" s="19" t="str">
        <f t="shared" si="2"/>
        <v/>
      </c>
      <c r="M426" s="19"/>
      <c r="N426" s="49" t="str">
        <f t="array" ref="N426">IFERROR(_xlfn.XLOOKUP($B426,EMPRESA_1!A:A,EMPRESA_1!J:J),"")</f>
        <v/>
      </c>
      <c r="O426" s="50" t="str">
        <f t="array" ref="O426">IFERROR(_xlfn.XLOOKUP(B426,EMPRESA_1!A:A,EMPRESA_1!K:K),"")
</f>
        <v/>
      </c>
      <c r="P426" s="48" t="str">
        <f t="array" ref="P426">IFERROR(_xlfn.XLOOKUP(B426,EMPRESA_1!A:A,EMPRESA_1!L:L),"")</f>
        <v/>
      </c>
      <c r="Q426" s="49" t="str">
        <f t="array" ref="Q426">IFERROR(_xlfn.XLOOKUP(B426,EMPRESA_1!A:A,EMPRESA_1!J:J),"")</f>
        <v/>
      </c>
      <c r="R426" s="19" t="str">
        <f t="array" ref="R426">IFERROR(_xlfn.XLOOKUP(B426,EMPRESA_1!A:A,EMPRESA_1!M:M),"")</f>
        <v/>
      </c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</row>
    <row r="427">
      <c r="A427" s="48"/>
      <c r="B427" s="47" t="s">
        <v>1155</v>
      </c>
      <c r="C427" s="48" t="str">
        <f t="array" ref="C427">IFERROR(_xlfn.XLOOKUP($B427,'Histórico'!$B:$B,'Histórico'!$I:$I),"")</f>
        <v>2606013-1AM</v>
      </c>
      <c r="D427" s="19">
        <f t="array" ref="D427">IFERROR(_xlfn.XLOOKUP($B427,'Histórico'!$B:$B,'Histórico'!$J:$J),"")</f>
        <v>26055</v>
      </c>
      <c r="E427" s="19" t="str">
        <f t="array" ref="E427">IFERROR(_xlfn.XLOOKUP($B427,'Histórico'!$B:$B,'Histórico'!$K:$K),"")</f>
        <v>INDICADOR PERCENTUAL RPM</v>
      </c>
      <c r="F427" s="19" t="str">
        <f t="array" ref="F427">IFERROR(_xlfn.XLOOKUP($B427,'Histórico'!$B:$B,'Histórico'!$L:$L),"")</f>
        <v>00D10</v>
      </c>
      <c r="G427" s="49">
        <f t="array" ref="G427">IFERROR(_xlfn.XLOOKUP($B427,'Histórico'!$B:$B,'Histórico'!$F:$F),"")</f>
        <v>46188</v>
      </c>
      <c r="H427" s="19" t="str">
        <f t="array" ref="H427">IFERROR(_xlfn.XLOOKUP($B427,'Histórico'!$B:$B,'Histórico'!$AA:$AA),"")</f>
        <v>BABV</v>
      </c>
      <c r="I427" s="19" t="str">
        <f t="array" ref="I427">IFERROR(_xlfn.XLOOKUP($B427,Atual!$B:$B,Atual!$E:$E),"OS concluída")</f>
        <v>REC</v>
      </c>
      <c r="J427" s="19">
        <f t="shared" si="1"/>
        <v>122</v>
      </c>
      <c r="K427" s="19"/>
      <c r="L427" s="19" t="str">
        <f t="shared" si="2"/>
        <v/>
      </c>
      <c r="M427" s="19"/>
      <c r="N427" s="49" t="str">
        <f t="array" ref="N427">IFERROR(_xlfn.XLOOKUP($B427,EMPRESA_1!A:A,EMPRESA_1!J:J),"")</f>
        <v/>
      </c>
      <c r="O427" s="50" t="str">
        <f t="array" ref="O427">IFERROR(_xlfn.XLOOKUP(B427,EMPRESA_1!A:A,EMPRESA_1!K:K),"")
</f>
        <v/>
      </c>
      <c r="P427" s="48" t="str">
        <f t="array" ref="P427">IFERROR(_xlfn.XLOOKUP(B427,EMPRESA_1!A:A,EMPRESA_1!L:L),"")</f>
        <v/>
      </c>
      <c r="Q427" s="49" t="str">
        <f t="array" ref="Q427">IFERROR(_xlfn.XLOOKUP(B427,EMPRESA_1!A:A,EMPRESA_1!J:J),"")</f>
        <v/>
      </c>
      <c r="R427" s="19" t="str">
        <f t="array" ref="R427">IFERROR(_xlfn.XLOOKUP(B427,EMPRESA_1!A:A,EMPRESA_1!M:M),"")</f>
        <v/>
      </c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</row>
    <row r="428">
      <c r="A428" s="48"/>
      <c r="B428" s="47" t="s">
        <v>1156</v>
      </c>
      <c r="C428" s="48" t="str">
        <f t="array" ref="C428">IFERROR(_xlfn.XLOOKUP($B428,'Histórico'!$B:$B,'Histórico'!$I:$I),"")</f>
        <v>2606013-1AM</v>
      </c>
      <c r="D428" s="19">
        <f t="array" ref="D428">IFERROR(_xlfn.XLOOKUP($B428,'Histórico'!$B:$B,'Histórico'!$J:$J),"")</f>
        <v>26055</v>
      </c>
      <c r="E428" s="19" t="str">
        <f t="array" ref="E428">IFERROR(_xlfn.XLOOKUP($B428,'Histórico'!$B:$B,'Histórico'!$K:$K),"")</f>
        <v>INDICADOR PERCENTUAL RPM</v>
      </c>
      <c r="F428" s="19" t="str">
        <f t="array" ref="F428">IFERROR(_xlfn.XLOOKUP($B428,'Histórico'!$B:$B,'Histórico'!$L:$L),"")</f>
        <v>00D175</v>
      </c>
      <c r="G428" s="49">
        <f t="array" ref="G428">IFERROR(_xlfn.XLOOKUP($B428,'Histórico'!$B:$B,'Histórico'!$F:$F),"")</f>
        <v>46188</v>
      </c>
      <c r="H428" s="19" t="str">
        <f t="array" ref="H428">IFERROR(_xlfn.XLOOKUP($B428,'Histórico'!$B:$B,'Histórico'!$AA:$AA),"")</f>
        <v>BABR</v>
      </c>
      <c r="I428" s="19" t="str">
        <f t="array" ref="I428">IFERROR(_xlfn.XLOOKUP($B428,Atual!$B:$B,Atual!$E:$E),"OS concluída")</f>
        <v>REC</v>
      </c>
      <c r="J428" s="19">
        <f t="shared" si="1"/>
        <v>122</v>
      </c>
      <c r="K428" s="19"/>
      <c r="L428" s="19" t="str">
        <f t="shared" si="2"/>
        <v/>
      </c>
      <c r="M428" s="19"/>
      <c r="N428" s="49" t="str">
        <f t="array" ref="N428">IFERROR(_xlfn.XLOOKUP($B428,EMPRESA_1!A:A,EMPRESA_1!J:J),"")</f>
        <v/>
      </c>
      <c r="O428" s="50" t="str">
        <f t="array" ref="O428">IFERROR(_xlfn.XLOOKUP(B428,EMPRESA_1!A:A,EMPRESA_1!K:K),"")
</f>
        <v/>
      </c>
      <c r="P428" s="48" t="str">
        <f t="array" ref="P428">IFERROR(_xlfn.XLOOKUP(B428,EMPRESA_1!A:A,EMPRESA_1!L:L),"")</f>
        <v/>
      </c>
      <c r="Q428" s="49" t="str">
        <f t="array" ref="Q428">IFERROR(_xlfn.XLOOKUP(B428,EMPRESA_1!A:A,EMPRESA_1!J:J),"")</f>
        <v/>
      </c>
      <c r="R428" s="19" t="str">
        <f t="array" ref="R428">IFERROR(_xlfn.XLOOKUP(B428,EMPRESA_1!A:A,EMPRESA_1!M:M),"")</f>
        <v/>
      </c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</row>
    <row r="429">
      <c r="A429" s="48"/>
      <c r="B429" s="47" t="s">
        <v>1157</v>
      </c>
      <c r="C429" s="48" t="str">
        <f t="array" ref="C429">IFERROR(_xlfn.XLOOKUP($B429,'Histórico'!$B:$B,'Histórico'!$I:$I),"")</f>
        <v>2606015-4</v>
      </c>
      <c r="D429" s="19" t="str">
        <f t="array" ref="D429">IFERROR(_xlfn.XLOOKUP($B429,'Histórico'!$B:$B,'Histórico'!$J:$J),"")</f>
        <v>08AF1</v>
      </c>
      <c r="E429" s="19" t="str">
        <f t="array" ref="E429">IFERROR(_xlfn.XLOOKUP($B429,'Histórico'!$B:$B,'Histórico'!$K:$K),"")</f>
        <v>INDICATOR-OIL TEMP/OIL PRESS</v>
      </c>
      <c r="F429" s="19" t="str">
        <f t="array" ref="F429">IFERROR(_xlfn.XLOOKUP($B429,'Histórico'!$B:$B,'Histórico'!$L:$L),"")</f>
        <v>E05-11026</v>
      </c>
      <c r="G429" s="49">
        <f t="array" ref="G429">IFERROR(_xlfn.XLOOKUP($B429,'Histórico'!$B:$B,'Histórico'!$F:$F),"")</f>
        <v>46188</v>
      </c>
      <c r="H429" s="19" t="str">
        <f t="array" ref="H429">IFERROR(_xlfn.XLOOKUP($B429,'Histórico'!$B:$B,'Histórico'!$AA:$AA),"")</f>
        <v>BANT</v>
      </c>
      <c r="I429" s="19" t="str">
        <f t="array" ref="I429">IFERROR(_xlfn.XLOOKUP($B429,Atual!$B:$B,Atual!$E:$E),"OS concluída")</f>
        <v>REC</v>
      </c>
      <c r="J429" s="19">
        <f t="shared" si="1"/>
        <v>122</v>
      </c>
      <c r="K429" s="19"/>
      <c r="L429" s="19" t="str">
        <f t="shared" si="2"/>
        <v/>
      </c>
      <c r="M429" s="19"/>
      <c r="N429" s="49" t="str">
        <f t="array" ref="N429">IFERROR(_xlfn.XLOOKUP($B429,EMPRESA_1!A:A,EMPRESA_1!J:J),"")</f>
        <v/>
      </c>
      <c r="O429" s="50" t="str">
        <f t="array" ref="O429">IFERROR(_xlfn.XLOOKUP(B429,EMPRESA_1!A:A,EMPRESA_1!K:K),"")
</f>
        <v/>
      </c>
      <c r="P429" s="48" t="str">
        <f t="array" ref="P429">IFERROR(_xlfn.XLOOKUP(B429,EMPRESA_1!A:A,EMPRESA_1!L:L),"")</f>
        <v/>
      </c>
      <c r="Q429" s="49" t="str">
        <f t="array" ref="Q429">IFERROR(_xlfn.XLOOKUP(B429,EMPRESA_1!A:A,EMPRESA_1!J:J),"")</f>
        <v/>
      </c>
      <c r="R429" s="19" t="str">
        <f t="array" ref="R429">IFERROR(_xlfn.XLOOKUP(B429,EMPRESA_1!A:A,EMPRESA_1!M:M),"")</f>
        <v/>
      </c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</row>
    <row r="430">
      <c r="A430" s="48"/>
      <c r="B430" s="47" t="s">
        <v>1158</v>
      </c>
      <c r="C430" s="48" t="str">
        <f t="array" ref="C430">IFERROR(_xlfn.XLOOKUP($B430,'Histórico'!$B:$B,'Histórico'!$I:$I),"")</f>
        <v>C661051-0201</v>
      </c>
      <c r="D430" s="19" t="str">
        <f t="array" ref="D430">IFERROR(_xlfn.XLOOKUP($B430,'Histórico'!$B:$B,'Histórico'!$J:$J),"")</f>
        <v>7EK50</v>
      </c>
      <c r="E430" s="19" t="str">
        <f t="array" ref="E430">IFERROR(_xlfn.XLOOKUP($B430,'Histórico'!$B:$B,'Histórico'!$K:$K),"")</f>
        <v>GYRO HORIZON</v>
      </c>
      <c r="F430" s="19" t="str">
        <f t="array" ref="F430">IFERROR(_xlfn.XLOOKUP($B430,'Histórico'!$B:$B,'Histórico'!$L:$L),"")</f>
        <v>6309</v>
      </c>
      <c r="G430" s="49">
        <f t="array" ref="G430">IFERROR(_xlfn.XLOOKUP($B430,'Histórico'!$B:$B,'Histórico'!$F:$F),"")</f>
        <v>46188</v>
      </c>
      <c r="H430" s="19" t="str">
        <f t="array" ref="H430">IFERROR(_xlfn.XLOOKUP($B430,'Histórico'!$B:$B,'Histórico'!$AA:$AA),"")</f>
        <v>ALA 10</v>
      </c>
      <c r="I430" s="19" t="str">
        <f t="array" ref="I430">IFERROR(_xlfn.XLOOKUP($B430,Atual!$B:$B,Atual!$E:$E),"OS concluída")</f>
        <v>REC</v>
      </c>
      <c r="J430" s="19">
        <f t="shared" si="1"/>
        <v>122</v>
      </c>
      <c r="K430" s="19"/>
      <c r="L430" s="19" t="str">
        <f t="shared" si="2"/>
        <v/>
      </c>
      <c r="M430" s="19"/>
      <c r="N430" s="49" t="str">
        <f t="array" ref="N430">IFERROR(_xlfn.XLOOKUP($B430,EMPRESA_1!A:A,EMPRESA_1!J:J),"")</f>
        <v/>
      </c>
      <c r="O430" s="50" t="str">
        <f t="array" ref="O430">IFERROR(_xlfn.XLOOKUP(B430,EMPRESA_1!A:A,EMPRESA_1!K:K),"")
</f>
        <v/>
      </c>
      <c r="P430" s="48" t="str">
        <f t="array" ref="P430">IFERROR(_xlfn.XLOOKUP(B430,EMPRESA_1!A:A,EMPRESA_1!L:L),"")</f>
        <v/>
      </c>
      <c r="Q430" s="49" t="str">
        <f t="array" ref="Q430">IFERROR(_xlfn.XLOOKUP(B430,EMPRESA_1!A:A,EMPRESA_1!J:J),"")</f>
        <v/>
      </c>
      <c r="R430" s="19" t="str">
        <f t="array" ref="R430">IFERROR(_xlfn.XLOOKUP(B430,EMPRESA_1!A:A,EMPRESA_1!M:M),"")</f>
        <v/>
      </c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</row>
    <row r="431" hidden="1">
      <c r="A431" s="48"/>
      <c r="B431" s="47" t="s">
        <v>1159</v>
      </c>
      <c r="C431" s="48" t="str">
        <f t="array" ref="C431">IFERROR(_xlfn.XLOOKUP($B431,'Histórico'!$B:$B,'Histórico'!$I:$I),"")</f>
        <v>504-0111-906</v>
      </c>
      <c r="D431" s="19" t="str">
        <f t="array" ref="D431">IFERROR(_xlfn.XLOOKUP($B431,'Histórico'!$B:$B,'Histórico'!$J:$J),"")</f>
        <v>7EK50</v>
      </c>
      <c r="E431" s="19" t="str">
        <f t="array" ref="E431">IFERROR(_xlfn.XLOOKUP($B431,'Histórico'!$B:$B,'Histórico'!$K:$K),"")</f>
        <v>GYRO HORIZON</v>
      </c>
      <c r="F431" s="19" t="str">
        <f t="array" ref="F431">IFERROR(_xlfn.XLOOKUP($B431,'Histórico'!$B:$B,'Histórico'!$L:$L),"")</f>
        <v>504011190625165</v>
      </c>
      <c r="G431" s="49">
        <f t="array" ref="G431">IFERROR(_xlfn.XLOOKUP($B431,'Histórico'!$B:$B,'Histórico'!$F:$F),"")</f>
        <v>46188</v>
      </c>
      <c r="H431" s="19" t="str">
        <f t="array" ref="H431">IFERROR(_xlfn.XLOOKUP($B431,'Histórico'!$B:$B,'Histórico'!$AA:$AA),"")</f>
        <v>PAMALS</v>
      </c>
      <c r="I431" s="19" t="str">
        <f t="array" ref="I431">IFERROR(_xlfn.XLOOKUP($B431,Atual!$B:$B,Atual!$E:$E),"OS concluída")</f>
        <v>OS concluída</v>
      </c>
      <c r="J431" s="19" t="str">
        <f t="shared" si="1"/>
        <v/>
      </c>
      <c r="K431" s="19"/>
      <c r="L431" s="19" t="str">
        <f t="shared" si="2"/>
        <v/>
      </c>
      <c r="M431" s="19"/>
      <c r="N431" s="49" t="str">
        <f t="array" ref="N431">IFERROR(_xlfn.XLOOKUP($B431,EMPRESA_1!A:A,EMPRESA_1!J:J),"")</f>
        <v/>
      </c>
      <c r="O431" s="50" t="str">
        <f t="array" ref="O431">IFERROR(_xlfn.XLOOKUP(B431,EMPRESA_1!A:A,EMPRESA_1!K:K),"")
</f>
        <v/>
      </c>
      <c r="P431" s="48" t="str">
        <f t="array" ref="P431">IFERROR(_xlfn.XLOOKUP(B431,EMPRESA_1!A:A,EMPRESA_1!L:L),"")</f>
        <v/>
      </c>
      <c r="Q431" s="49" t="str">
        <f t="array" ref="Q431">IFERROR(_xlfn.XLOOKUP(B431,EMPRESA_1!A:A,EMPRESA_1!J:J),"")</f>
        <v/>
      </c>
      <c r="R431" s="19" t="str">
        <f t="array" ref="R431">IFERROR(_xlfn.XLOOKUP(B431,EMPRESA_1!A:A,EMPRESA_1!M:M),"")</f>
        <v/>
      </c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</row>
    <row r="432" hidden="1">
      <c r="A432" s="48"/>
      <c r="B432" s="47" t="s">
        <v>1160</v>
      </c>
      <c r="C432" s="48" t="str">
        <f t="array" ref="C432">IFERROR(_xlfn.XLOOKUP($B432,'Histórico'!$B:$B,'Histórico'!$I:$I),"")</f>
        <v>504-0111-906</v>
      </c>
      <c r="D432" s="19" t="str">
        <f t="array" ref="D432">IFERROR(_xlfn.XLOOKUP($B432,'Histórico'!$B:$B,'Histórico'!$J:$J),"")</f>
        <v>7EK50</v>
      </c>
      <c r="E432" s="19" t="str">
        <f t="array" ref="E432">IFERROR(_xlfn.XLOOKUP($B432,'Histórico'!$B:$B,'Histórico'!$K:$K),"")</f>
        <v>GYRO HORIZON</v>
      </c>
      <c r="F432" s="19" t="str">
        <f t="array" ref="F432">IFERROR(_xlfn.XLOOKUP($B432,'Histórico'!$B:$B,'Histórico'!$L:$L),"")</f>
        <v>504011190625185</v>
      </c>
      <c r="G432" s="49">
        <f t="array" ref="G432">IFERROR(_xlfn.XLOOKUP($B432,'Histórico'!$B:$B,'Histórico'!$F:$F),"")</f>
        <v>46188</v>
      </c>
      <c r="H432" s="19" t="str">
        <f t="array" ref="H432">IFERROR(_xlfn.XLOOKUP($B432,'Histórico'!$B:$B,'Histórico'!$AA:$AA),"")</f>
        <v>BACG</v>
      </c>
      <c r="I432" s="19" t="str">
        <f t="array" ref="I432">IFERROR(_xlfn.XLOOKUP($B432,Atual!$B:$B,Atual!$E:$E),"OS concluída")</f>
        <v>OS concluída</v>
      </c>
      <c r="J432" s="19" t="str">
        <f t="shared" si="1"/>
        <v/>
      </c>
      <c r="K432" s="19"/>
      <c r="L432" s="19" t="str">
        <f t="shared" si="2"/>
        <v/>
      </c>
      <c r="M432" s="19"/>
      <c r="N432" s="49" t="str">
        <f t="array" ref="N432">IFERROR(_xlfn.XLOOKUP($B432,EMPRESA_1!A:A,EMPRESA_1!J:J),"")</f>
        <v/>
      </c>
      <c r="O432" s="50" t="str">
        <f t="array" ref="O432">IFERROR(_xlfn.XLOOKUP(B432,EMPRESA_1!A:A,EMPRESA_1!K:K),"")
</f>
        <v/>
      </c>
      <c r="P432" s="48" t="str">
        <f t="array" ref="P432">IFERROR(_xlfn.XLOOKUP(B432,EMPRESA_1!A:A,EMPRESA_1!L:L),"")</f>
        <v/>
      </c>
      <c r="Q432" s="49" t="str">
        <f t="array" ref="Q432">IFERROR(_xlfn.XLOOKUP(B432,EMPRESA_1!A:A,EMPRESA_1!J:J),"")</f>
        <v/>
      </c>
      <c r="R432" s="19" t="str">
        <f t="array" ref="R432">IFERROR(_xlfn.XLOOKUP(B432,EMPRESA_1!A:A,EMPRESA_1!M:M),"")</f>
        <v/>
      </c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</row>
    <row r="433">
      <c r="A433" s="48"/>
      <c r="B433" s="47" t="s">
        <v>1161</v>
      </c>
      <c r="C433" s="48" t="str">
        <f t="array" ref="C433">IFERROR(_xlfn.XLOOKUP($B433,'Histórico'!$B:$B,'Histórico'!$I:$I),"")</f>
        <v>8210-003</v>
      </c>
      <c r="D433" s="19">
        <f t="array" ref="D433">IFERROR(_xlfn.XLOOKUP($B433,'Histórico'!$B:$B,'Histórico'!$J:$J),"")</f>
        <v>66503</v>
      </c>
      <c r="E433" s="19" t="str">
        <f t="array" ref="E433">IFERROR(_xlfn.XLOOKUP($B433,'Histórico'!$B:$B,'Histórico'!$K:$K),"")</f>
        <v>GOVERNOR,FUEL CONTROL</v>
      </c>
      <c r="F433" s="19" t="str">
        <f t="array" ref="F433">IFERROR(_xlfn.XLOOKUP($B433,'Histórico'!$B:$B,'Histórico'!$L:$L),"")</f>
        <v>1116740R</v>
      </c>
      <c r="G433" s="49">
        <f t="array" ref="G433">IFERROR(_xlfn.XLOOKUP($B433,'Histórico'!$B:$B,'Histórico'!$F:$F),"")</f>
        <v>46188</v>
      </c>
      <c r="H433" s="19" t="str">
        <f t="array" ref="H433">IFERROR(_xlfn.XLOOKUP($B433,'Histórico'!$B:$B,'Histórico'!$AA:$AA),"")</f>
        <v>PAMASP</v>
      </c>
      <c r="I433" s="19" t="str">
        <f t="array" ref="I433">IFERROR(_xlfn.XLOOKUP($B433,Atual!$B:$B,Atual!$E:$E),"OS concluída")</f>
        <v>REC</v>
      </c>
      <c r="J433" s="19">
        <f t="shared" si="1"/>
        <v>122</v>
      </c>
      <c r="K433" s="19"/>
      <c r="L433" s="19" t="str">
        <f t="shared" si="2"/>
        <v/>
      </c>
      <c r="M433" s="19"/>
      <c r="N433" s="49" t="str">
        <f t="array" ref="N433">IFERROR(_xlfn.XLOOKUP($B433,EMPRESA_1!A:A,EMPRESA_1!J:J),"")</f>
        <v/>
      </c>
      <c r="O433" s="50" t="str">
        <f t="array" ref="O433">IFERROR(_xlfn.XLOOKUP(B433,EMPRESA_1!A:A,EMPRESA_1!K:K),"")
</f>
        <v/>
      </c>
      <c r="P433" s="48" t="str">
        <f t="array" ref="P433">IFERROR(_xlfn.XLOOKUP(B433,EMPRESA_1!A:A,EMPRESA_1!L:L),"")</f>
        <v/>
      </c>
      <c r="Q433" s="49" t="str">
        <f t="array" ref="Q433">IFERROR(_xlfn.XLOOKUP(B433,EMPRESA_1!A:A,EMPRESA_1!J:J),"")</f>
        <v/>
      </c>
      <c r="R433" s="19" t="str">
        <f t="array" ref="R433">IFERROR(_xlfn.XLOOKUP(B433,EMPRESA_1!A:A,EMPRESA_1!M:M),"")</f>
        <v/>
      </c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</row>
    <row r="434">
      <c r="A434" s="48"/>
      <c r="B434" s="47" t="s">
        <v>1162</v>
      </c>
      <c r="C434" s="48" t="str">
        <f t="array" ref="C434">IFERROR(_xlfn.XLOOKUP($B434,'Histórico'!$B:$B,'Histórico'!$I:$I),"")</f>
        <v>8210-002</v>
      </c>
      <c r="D434" s="19">
        <f t="array" ref="D434">IFERROR(_xlfn.XLOOKUP($B434,'Histórico'!$B:$B,'Histórico'!$J:$J),"")</f>
        <v>66503</v>
      </c>
      <c r="E434" s="19" t="str">
        <f t="array" ref="E434">IFERROR(_xlfn.XLOOKUP($B434,'Histórico'!$B:$B,'Histórico'!$K:$K),"")</f>
        <v>GOVERNOR,CONSTANT SPEED DRIVE</v>
      </c>
      <c r="F434" s="19" t="str">
        <f t="array" ref="F434">IFERROR(_xlfn.XLOOKUP($B434,'Histórico'!$B:$B,'Histórico'!$L:$L),"")</f>
        <v>1992457/AC</v>
      </c>
      <c r="G434" s="49">
        <f t="array" ref="G434">IFERROR(_xlfn.XLOOKUP($B434,'Histórico'!$B:$B,'Histórico'!$F:$F),"")</f>
        <v>46188</v>
      </c>
      <c r="H434" s="19" t="str">
        <f t="array" ref="H434">IFERROR(_xlfn.XLOOKUP($B434,'Histórico'!$B:$B,'Histórico'!$AA:$AA),"")</f>
        <v>PAMASP</v>
      </c>
      <c r="I434" s="19" t="str">
        <f t="array" ref="I434">IFERROR(_xlfn.XLOOKUP($B434,Atual!$B:$B,Atual!$E:$E),"OS concluída")</f>
        <v>REC</v>
      </c>
      <c r="J434" s="19">
        <f t="shared" si="1"/>
        <v>122</v>
      </c>
      <c r="K434" s="19"/>
      <c r="L434" s="19" t="str">
        <f t="shared" si="2"/>
        <v/>
      </c>
      <c r="M434" s="19"/>
      <c r="N434" s="49" t="str">
        <f t="array" ref="N434">IFERROR(_xlfn.XLOOKUP($B434,EMPRESA_1!A:A,EMPRESA_1!J:J),"")</f>
        <v/>
      </c>
      <c r="O434" s="50" t="str">
        <f t="array" ref="O434">IFERROR(_xlfn.XLOOKUP(B434,EMPRESA_1!A:A,EMPRESA_1!K:K),"")
</f>
        <v/>
      </c>
      <c r="P434" s="48" t="str">
        <f t="array" ref="P434">IFERROR(_xlfn.XLOOKUP(B434,EMPRESA_1!A:A,EMPRESA_1!L:L),"")</f>
        <v/>
      </c>
      <c r="Q434" s="49" t="str">
        <f t="array" ref="Q434">IFERROR(_xlfn.XLOOKUP(B434,EMPRESA_1!A:A,EMPRESA_1!J:J),"")</f>
        <v/>
      </c>
      <c r="R434" s="19" t="str">
        <f t="array" ref="R434">IFERROR(_xlfn.XLOOKUP(B434,EMPRESA_1!A:A,EMPRESA_1!M:M),"")</f>
        <v/>
      </c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</row>
    <row r="435">
      <c r="A435" s="48"/>
      <c r="B435" s="47" t="s">
        <v>1163</v>
      </c>
      <c r="C435" s="48" t="str">
        <f t="array" ref="C435">IFERROR(_xlfn.XLOOKUP($B435,'Histórico'!$B:$B,'Histórico'!$I:$I),"")</f>
        <v>8210-002</v>
      </c>
      <c r="D435" s="19">
        <f t="array" ref="D435">IFERROR(_xlfn.XLOOKUP($B435,'Histórico'!$B:$B,'Histórico'!$J:$J),"")</f>
        <v>66503</v>
      </c>
      <c r="E435" s="19" t="str">
        <f t="array" ref="E435">IFERROR(_xlfn.XLOOKUP($B435,'Histórico'!$B:$B,'Histórico'!$K:$K),"")</f>
        <v>GOVERNOR,CONSTANT SPEED DRIVE</v>
      </c>
      <c r="F435" s="19" t="str">
        <f t="array" ref="F435">IFERROR(_xlfn.XLOOKUP($B435,'Histórico'!$B:$B,'Histórico'!$L:$L),"")</f>
        <v>1715715AC</v>
      </c>
      <c r="G435" s="49">
        <f t="array" ref="G435">IFERROR(_xlfn.XLOOKUP($B435,'Histórico'!$B:$B,'Histórico'!$F:$F),"")</f>
        <v>46188</v>
      </c>
      <c r="H435" s="19" t="str">
        <f t="array" ref="H435">IFERROR(_xlfn.XLOOKUP($B435,'Histórico'!$B:$B,'Histórico'!$AA:$AA),"")</f>
        <v>BAMN</v>
      </c>
      <c r="I435" s="19" t="str">
        <f t="array" ref="I435">IFERROR(_xlfn.XLOOKUP($B435,Atual!$B:$B,Atual!$E:$E),"OS concluída")</f>
        <v>REC</v>
      </c>
      <c r="J435" s="19">
        <f t="shared" si="1"/>
        <v>122</v>
      </c>
      <c r="K435" s="19"/>
      <c r="L435" s="19" t="str">
        <f t="shared" si="2"/>
        <v/>
      </c>
      <c r="M435" s="19"/>
      <c r="N435" s="49" t="str">
        <f t="array" ref="N435">IFERROR(_xlfn.XLOOKUP($B435,EMPRESA_1!A:A,EMPRESA_1!J:J),"")</f>
        <v/>
      </c>
      <c r="O435" s="50" t="str">
        <f t="array" ref="O435">IFERROR(_xlfn.XLOOKUP(B435,EMPRESA_1!A:A,EMPRESA_1!K:K),"")
</f>
        <v/>
      </c>
      <c r="P435" s="48" t="str">
        <f t="array" ref="P435">IFERROR(_xlfn.XLOOKUP(B435,EMPRESA_1!A:A,EMPRESA_1!L:L),"")</f>
        <v/>
      </c>
      <c r="Q435" s="49" t="str">
        <f t="array" ref="Q435">IFERROR(_xlfn.XLOOKUP(B435,EMPRESA_1!A:A,EMPRESA_1!J:J),"")</f>
        <v/>
      </c>
      <c r="R435" s="19" t="str">
        <f t="array" ref="R435">IFERROR(_xlfn.XLOOKUP(B435,EMPRESA_1!A:A,EMPRESA_1!M:M),"")</f>
        <v/>
      </c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</row>
    <row r="436">
      <c r="A436" s="48"/>
      <c r="B436" s="47" t="s">
        <v>1164</v>
      </c>
      <c r="C436" s="48" t="str">
        <f t="array" ref="C436">IFERROR(_xlfn.XLOOKUP($B436,'Histórico'!$B:$B,'Histórico'!$I:$I),"")</f>
        <v>030-18200</v>
      </c>
      <c r="D436" s="19">
        <f t="array" ref="D436">IFERROR(_xlfn.XLOOKUP($B436,'Histórico'!$B:$B,'Histórico'!$J:$J),"")</f>
        <v>33269</v>
      </c>
      <c r="E436" s="19" t="str">
        <f t="array" ref="E436">IFERROR(_xlfn.XLOOKUP($B436,'Histórico'!$B:$B,'Histórico'!$K:$K),"")</f>
        <v>MAIN WHEEL BRAKE</v>
      </c>
      <c r="F436" s="19" t="str">
        <f t="array" ref="F436">IFERROR(_xlfn.XLOOKUP($B436,'Histórico'!$B:$B,'Histórico'!$L:$L),"")</f>
        <v>L442</v>
      </c>
      <c r="G436" s="49">
        <f t="array" ref="G436">IFERROR(_xlfn.XLOOKUP($B436,'Histórico'!$B:$B,'Histórico'!$F:$F),"")</f>
        <v>46188</v>
      </c>
      <c r="H436" s="19" t="str">
        <f t="array" ref="H436">IFERROR(_xlfn.XLOOKUP($B436,'Histórico'!$B:$B,'Histórico'!$AA:$AA),"")</f>
        <v>BAMN</v>
      </c>
      <c r="I436" s="19" t="str">
        <f t="array" ref="I436">IFERROR(_xlfn.XLOOKUP($B436,Atual!$B:$B,Atual!$E:$E),"OS concluída")</f>
        <v>REC</v>
      </c>
      <c r="J436" s="19">
        <f t="shared" si="1"/>
        <v>122</v>
      </c>
      <c r="K436" s="19"/>
      <c r="L436" s="19" t="str">
        <f t="shared" si="2"/>
        <v/>
      </c>
      <c r="M436" s="19"/>
      <c r="N436" s="49" t="str">
        <f t="array" ref="N436">IFERROR(_xlfn.XLOOKUP($B436,EMPRESA_1!A:A,EMPRESA_1!J:J),"")</f>
        <v/>
      </c>
      <c r="O436" s="50" t="str">
        <f t="array" ref="O436">IFERROR(_xlfn.XLOOKUP(B436,EMPRESA_1!A:A,EMPRESA_1!K:K),"")
</f>
        <v/>
      </c>
      <c r="P436" s="48" t="str">
        <f t="array" ref="P436">IFERROR(_xlfn.XLOOKUP(B436,EMPRESA_1!A:A,EMPRESA_1!L:L),"")</f>
        <v/>
      </c>
      <c r="Q436" s="49" t="str">
        <f t="array" ref="Q436">IFERROR(_xlfn.XLOOKUP(B436,EMPRESA_1!A:A,EMPRESA_1!J:J),"")</f>
        <v/>
      </c>
      <c r="R436" s="19" t="str">
        <f t="array" ref="R436">IFERROR(_xlfn.XLOOKUP(B436,EMPRESA_1!A:A,EMPRESA_1!M:M),"")</f>
        <v/>
      </c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</row>
    <row r="437">
      <c r="A437" s="48"/>
      <c r="B437" s="47" t="s">
        <v>1165</v>
      </c>
      <c r="C437" s="48" t="str">
        <f t="array" ref="C437">IFERROR(_xlfn.XLOOKUP($B437,'Histórico'!$B:$B,'Histórico'!$I:$I),"")</f>
        <v>030-18200</v>
      </c>
      <c r="D437" s="19">
        <f t="array" ref="D437">IFERROR(_xlfn.XLOOKUP($B437,'Histórico'!$B:$B,'Histórico'!$J:$J),"")</f>
        <v>33269</v>
      </c>
      <c r="E437" s="19" t="str">
        <f t="array" ref="E437">IFERROR(_xlfn.XLOOKUP($B437,'Histórico'!$B:$B,'Histórico'!$K:$K),"")</f>
        <v>MAIN WHEEL BRAKE</v>
      </c>
      <c r="F437" s="19" t="str">
        <f t="array" ref="F437">IFERROR(_xlfn.XLOOKUP($B437,'Histórico'!$B:$B,'Histórico'!$L:$L),"")</f>
        <v>328</v>
      </c>
      <c r="G437" s="49">
        <f t="array" ref="G437">IFERROR(_xlfn.XLOOKUP($B437,'Histórico'!$B:$B,'Histórico'!$F:$F),"")</f>
        <v>46188</v>
      </c>
      <c r="H437" s="19" t="str">
        <f t="array" ref="H437">IFERROR(_xlfn.XLOOKUP($B437,'Histórico'!$B:$B,'Histórico'!$AA:$AA),"")</f>
        <v>BAMN</v>
      </c>
      <c r="I437" s="19" t="str">
        <f t="array" ref="I437">IFERROR(_xlfn.XLOOKUP($B437,Atual!$B:$B,Atual!$E:$E),"OS concluída")</f>
        <v>REC</v>
      </c>
      <c r="J437" s="19">
        <f t="shared" si="1"/>
        <v>122</v>
      </c>
      <c r="K437" s="19"/>
      <c r="L437" s="19" t="str">
        <f t="shared" si="2"/>
        <v/>
      </c>
      <c r="M437" s="19"/>
      <c r="N437" s="49" t="str">
        <f t="array" ref="N437">IFERROR(_xlfn.XLOOKUP($B437,EMPRESA_1!A:A,EMPRESA_1!J:J),"")</f>
        <v/>
      </c>
      <c r="O437" s="50" t="str">
        <f t="array" ref="O437">IFERROR(_xlfn.XLOOKUP(B437,EMPRESA_1!A:A,EMPRESA_1!K:K),"")
</f>
        <v/>
      </c>
      <c r="P437" s="48" t="str">
        <f t="array" ref="P437">IFERROR(_xlfn.XLOOKUP(B437,EMPRESA_1!A:A,EMPRESA_1!L:L),"")</f>
        <v/>
      </c>
      <c r="Q437" s="49" t="str">
        <f t="array" ref="Q437">IFERROR(_xlfn.XLOOKUP(B437,EMPRESA_1!A:A,EMPRESA_1!J:J),"")</f>
        <v/>
      </c>
      <c r="R437" s="19" t="str">
        <f t="array" ref="R437">IFERROR(_xlfn.XLOOKUP(B437,EMPRESA_1!A:A,EMPRESA_1!M:M),"")</f>
        <v/>
      </c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</row>
    <row r="438">
      <c r="A438" s="48"/>
      <c r="B438" s="47" t="s">
        <v>1166</v>
      </c>
      <c r="C438" s="48" t="str">
        <f t="array" ref="C438">IFERROR(_xlfn.XLOOKUP($B438,'Histórico'!$B:$B,'Histórico'!$I:$I),"")</f>
        <v>161-11700</v>
      </c>
      <c r="D438" s="19">
        <f t="array" ref="D438">IFERROR(_xlfn.XLOOKUP($B438,'Histórico'!$B:$B,'Histórico'!$J:$J),"")</f>
        <v>71513</v>
      </c>
      <c r="E438" s="19" t="str">
        <f t="array" ref="E438">IFERROR(_xlfn.XLOOKUP($B438,'Histórico'!$B:$B,'Histórico'!$K:$K),"")</f>
        <v>INNER WHEEL HALF ASSY</v>
      </c>
      <c r="F438" s="19" t="str">
        <f t="array" ref="F438">IFERROR(_xlfn.XLOOKUP($B438,'Histórico'!$B:$B,'Histórico'!$L:$L),"")</f>
        <v>277</v>
      </c>
      <c r="G438" s="49">
        <f t="array" ref="G438">IFERROR(_xlfn.XLOOKUP($B438,'Histórico'!$B:$B,'Histórico'!$F:$F),"")</f>
        <v>46188</v>
      </c>
      <c r="H438" s="19" t="str">
        <f t="array" ref="H438">IFERROR(_xlfn.XLOOKUP($B438,'Histórico'!$B:$B,'Histórico'!$AA:$AA),"")</f>
        <v>PAMALS</v>
      </c>
      <c r="I438" s="19" t="str">
        <f t="array" ref="I438">IFERROR(_xlfn.XLOOKUP($B438,Atual!$B:$B,Atual!$E:$E),"OS concluída")</f>
        <v>REC</v>
      </c>
      <c r="J438" s="19">
        <f t="shared" si="1"/>
        <v>122</v>
      </c>
      <c r="K438" s="19"/>
      <c r="L438" s="19" t="str">
        <f t="shared" si="2"/>
        <v/>
      </c>
      <c r="M438" s="19"/>
      <c r="N438" s="49" t="str">
        <f t="array" ref="N438">IFERROR(_xlfn.XLOOKUP($B438,EMPRESA_1!A:A,EMPRESA_1!J:J),"")</f>
        <v/>
      </c>
      <c r="O438" s="50" t="str">
        <f t="array" ref="O438">IFERROR(_xlfn.XLOOKUP(B438,EMPRESA_1!A:A,EMPRESA_1!K:K),"")
</f>
        <v/>
      </c>
      <c r="P438" s="48" t="str">
        <f t="array" ref="P438">IFERROR(_xlfn.XLOOKUP(B438,EMPRESA_1!A:A,EMPRESA_1!L:L),"")</f>
        <v/>
      </c>
      <c r="Q438" s="49" t="str">
        <f t="array" ref="Q438">IFERROR(_xlfn.XLOOKUP(B438,EMPRESA_1!A:A,EMPRESA_1!J:J),"")</f>
        <v/>
      </c>
      <c r="R438" s="19" t="str">
        <f t="array" ref="R438">IFERROR(_xlfn.XLOOKUP(B438,EMPRESA_1!A:A,EMPRESA_1!M:M),"")</f>
        <v/>
      </c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</row>
    <row r="439">
      <c r="A439" s="48"/>
      <c r="B439" s="47" t="s">
        <v>1167</v>
      </c>
      <c r="C439" s="48" t="str">
        <f t="array" ref="C439">IFERROR(_xlfn.XLOOKUP($B439,'Histórico'!$B:$B,'Histórico'!$I:$I),"")</f>
        <v>161-12800</v>
      </c>
      <c r="D439" s="19">
        <f t="array" ref="D439">IFERROR(_xlfn.XLOOKUP($B439,'Histórico'!$B:$B,'Histórico'!$J:$J),"")</f>
        <v>71513</v>
      </c>
      <c r="E439" s="19" t="str">
        <f t="array" ref="E439">IFERROR(_xlfn.XLOOKUP($B439,'Histórico'!$B:$B,'Histórico'!$K:$K),"")</f>
        <v>WHEEL HALF ASSY-INNER</v>
      </c>
      <c r="F439" s="19" t="str">
        <f t="array" ref="F439">IFERROR(_xlfn.XLOOKUP($B439,'Histórico'!$B:$B,'Histórico'!$L:$L),"")</f>
        <v>477</v>
      </c>
      <c r="G439" s="49">
        <f t="array" ref="G439">IFERROR(_xlfn.XLOOKUP($B439,'Histórico'!$B:$B,'Histórico'!$F:$F),"")</f>
        <v>46188</v>
      </c>
      <c r="H439" s="19" t="str">
        <f t="array" ref="H439">IFERROR(_xlfn.XLOOKUP($B439,'Histórico'!$B:$B,'Histórico'!$AA:$AA),"")</f>
        <v>BABR</v>
      </c>
      <c r="I439" s="19" t="str">
        <f t="array" ref="I439">IFERROR(_xlfn.XLOOKUP($B439,Atual!$B:$B,Atual!$E:$E),"OS concluída")</f>
        <v>REC</v>
      </c>
      <c r="J439" s="19">
        <f t="shared" si="1"/>
        <v>122</v>
      </c>
      <c r="K439" s="19"/>
      <c r="L439" s="19" t="str">
        <f t="shared" si="2"/>
        <v/>
      </c>
      <c r="M439" s="19"/>
      <c r="N439" s="49" t="str">
        <f t="array" ref="N439">IFERROR(_xlfn.XLOOKUP($B439,EMPRESA_1!A:A,EMPRESA_1!J:J),"")</f>
        <v/>
      </c>
      <c r="O439" s="50" t="str">
        <f t="array" ref="O439">IFERROR(_xlfn.XLOOKUP(B439,EMPRESA_1!A:A,EMPRESA_1!K:K),"")
</f>
        <v/>
      </c>
      <c r="P439" s="48" t="str">
        <f t="array" ref="P439">IFERROR(_xlfn.XLOOKUP(B439,EMPRESA_1!A:A,EMPRESA_1!L:L),"")</f>
        <v/>
      </c>
      <c r="Q439" s="49" t="str">
        <f t="array" ref="Q439">IFERROR(_xlfn.XLOOKUP(B439,EMPRESA_1!A:A,EMPRESA_1!J:J),"")</f>
        <v/>
      </c>
      <c r="R439" s="19" t="str">
        <f t="array" ref="R439">IFERROR(_xlfn.XLOOKUP(B439,EMPRESA_1!A:A,EMPRESA_1!M:M),"")</f>
        <v/>
      </c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</row>
    <row r="440">
      <c r="A440" s="48"/>
      <c r="B440" s="47" t="s">
        <v>1168</v>
      </c>
      <c r="C440" s="48" t="str">
        <f t="array" ref="C440">IFERROR(_xlfn.XLOOKUP($B440,'Histórico'!$B:$B,'Histórico'!$I:$I),"")</f>
        <v>161-12800</v>
      </c>
      <c r="D440" s="19">
        <f t="array" ref="D440">IFERROR(_xlfn.XLOOKUP($B440,'Histórico'!$B:$B,'Histórico'!$J:$J),"")</f>
        <v>71513</v>
      </c>
      <c r="E440" s="19" t="str">
        <f t="array" ref="E440">IFERROR(_xlfn.XLOOKUP($B440,'Histórico'!$B:$B,'Histórico'!$K:$K),"")</f>
        <v>WHEEL HALF ASSY-INNER</v>
      </c>
      <c r="F440" s="19" t="str">
        <f t="array" ref="F440">IFERROR(_xlfn.XLOOKUP($B440,'Histórico'!$B:$B,'Histórico'!$L:$L),"")</f>
        <v>11</v>
      </c>
      <c r="G440" s="49">
        <f t="array" ref="G440">IFERROR(_xlfn.XLOOKUP($B440,'Histórico'!$B:$B,'Histórico'!$F:$F),"")</f>
        <v>46188</v>
      </c>
      <c r="H440" s="19" t="str">
        <f t="array" ref="H440">IFERROR(_xlfn.XLOOKUP($B440,'Histórico'!$B:$B,'Histórico'!$AA:$AA),"")</f>
        <v>PAMALS</v>
      </c>
      <c r="I440" s="19" t="str">
        <f t="array" ref="I440">IFERROR(_xlfn.XLOOKUP($B440,Atual!$B:$B,Atual!$E:$E),"OS concluída")</f>
        <v>AUT</v>
      </c>
      <c r="J440" s="19">
        <f t="shared" si="1"/>
        <v>122</v>
      </c>
      <c r="K440" s="19"/>
      <c r="L440" s="19" t="str">
        <f t="shared" si="2"/>
        <v/>
      </c>
      <c r="M440" s="19"/>
      <c r="N440" s="49" t="str">
        <f t="array" ref="N440">IFERROR(_xlfn.XLOOKUP($B440,EMPRESA_1!A:A,EMPRESA_1!J:J),"")</f>
        <v/>
      </c>
      <c r="O440" s="50" t="str">
        <f t="array" ref="O440">IFERROR(_xlfn.XLOOKUP(B440,EMPRESA_1!A:A,EMPRESA_1!K:K),"")
</f>
        <v/>
      </c>
      <c r="P440" s="48" t="str">
        <f t="array" ref="P440">IFERROR(_xlfn.XLOOKUP(B440,EMPRESA_1!A:A,EMPRESA_1!L:L),"")</f>
        <v/>
      </c>
      <c r="Q440" s="49" t="str">
        <f t="array" ref="Q440">IFERROR(_xlfn.XLOOKUP(B440,EMPRESA_1!A:A,EMPRESA_1!J:J),"")</f>
        <v/>
      </c>
      <c r="R440" s="19" t="str">
        <f t="array" ref="R440">IFERROR(_xlfn.XLOOKUP(B440,EMPRESA_1!A:A,EMPRESA_1!M:M),"")</f>
        <v/>
      </c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</row>
    <row r="441">
      <c r="A441" s="48"/>
      <c r="B441" s="47" t="s">
        <v>1169</v>
      </c>
      <c r="C441" s="48" t="str">
        <f t="array" ref="C441">IFERROR(_xlfn.XLOOKUP($B441,'Histórico'!$B:$B,'Histórico'!$I:$I),"")</f>
        <v>162-10700</v>
      </c>
      <c r="D441" s="19">
        <f t="array" ref="D441">IFERROR(_xlfn.XLOOKUP($B441,'Histórico'!$B:$B,'Histórico'!$J:$J),"")</f>
        <v>71513</v>
      </c>
      <c r="E441" s="19" t="str">
        <f t="array" ref="E441">IFERROR(_xlfn.XLOOKUP($B441,'Histórico'!$B:$B,'Histórico'!$K:$K),"")</f>
        <v>OUTER WHEEL HALF ASSY</v>
      </c>
      <c r="F441" s="19" t="str">
        <f t="array" ref="F441">IFERROR(_xlfn.XLOOKUP($B441,'Histórico'!$B:$B,'Histórico'!$L:$L),"")</f>
        <v>196L</v>
      </c>
      <c r="G441" s="49">
        <f t="array" ref="G441">IFERROR(_xlfn.XLOOKUP($B441,'Histórico'!$B:$B,'Histórico'!$F:$F),"")</f>
        <v>46188</v>
      </c>
      <c r="H441" s="19" t="str">
        <f t="array" ref="H441">IFERROR(_xlfn.XLOOKUP($B441,'Histórico'!$B:$B,'Histórico'!$AA:$AA),"")</f>
        <v>BACO</v>
      </c>
      <c r="I441" s="19" t="str">
        <f t="array" ref="I441">IFERROR(_xlfn.XLOOKUP($B441,Atual!$B:$B,Atual!$E:$E),"OS concluída")</f>
        <v>AUT</v>
      </c>
      <c r="J441" s="19">
        <f t="shared" si="1"/>
        <v>122</v>
      </c>
      <c r="K441" s="19"/>
      <c r="L441" s="19" t="str">
        <f t="shared" si="2"/>
        <v/>
      </c>
      <c r="M441" s="19"/>
      <c r="N441" s="49" t="str">
        <f t="array" ref="N441">IFERROR(_xlfn.XLOOKUP($B441,EMPRESA_1!A:A,EMPRESA_1!J:J),"")</f>
        <v/>
      </c>
      <c r="O441" s="50" t="str">
        <f t="array" ref="O441">IFERROR(_xlfn.XLOOKUP(B441,EMPRESA_1!A:A,EMPRESA_1!K:K),"")
</f>
        <v/>
      </c>
      <c r="P441" s="48" t="str">
        <f t="array" ref="P441">IFERROR(_xlfn.XLOOKUP(B441,EMPRESA_1!A:A,EMPRESA_1!L:L),"")</f>
        <v/>
      </c>
      <c r="Q441" s="49" t="str">
        <f t="array" ref="Q441">IFERROR(_xlfn.XLOOKUP(B441,EMPRESA_1!A:A,EMPRESA_1!J:J),"")</f>
        <v/>
      </c>
      <c r="R441" s="19" t="str">
        <f t="array" ref="R441">IFERROR(_xlfn.XLOOKUP(B441,EMPRESA_1!A:A,EMPRESA_1!M:M),"")</f>
        <v/>
      </c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</row>
    <row r="442">
      <c r="A442" s="48"/>
      <c r="B442" s="47" t="s">
        <v>1170</v>
      </c>
      <c r="C442" s="48" t="str">
        <f t="array" ref="C442">IFERROR(_xlfn.XLOOKUP($B442,'Histórico'!$B:$B,'Histórico'!$I:$I),"")</f>
        <v>011-01105-01</v>
      </c>
      <c r="D442" s="19" t="str">
        <f t="array" ref="D442">IFERROR(_xlfn.XLOOKUP($B442,'Histórico'!$B:$B,'Histórico'!$J:$J),"")</f>
        <v>0TRC3</v>
      </c>
      <c r="E442" s="19" t="str">
        <f t="array" ref="E442">IFERROR(_xlfn.XLOOKUP($B442,'Histórico'!$B:$B,'Histórico'!$K:$K),"")</f>
        <v>INTEGRATED AVIONICS UNIT GIA63W</v>
      </c>
      <c r="F442" s="19" t="str">
        <f t="array" ref="F442">IFERROR(_xlfn.XLOOKUP($B442,'Histórico'!$B:$B,'Histórico'!$L:$L),"")</f>
        <v>15W013724</v>
      </c>
      <c r="G442" s="49" t="str">
        <f t="array" ref="G442">IFERROR(_xlfn.XLOOKUP($B442,'Histórico'!$B:$B,'Histórico'!$F:$F),"")</f>
        <v>23/06/2026</v>
      </c>
      <c r="H442" s="19" t="str">
        <f t="array" ref="H442">IFERROR(_xlfn.XLOOKUP($B442,'Histórico'!$B:$B,'Histórico'!$AA:$AA),"")</f>
        <v>ALA 8</v>
      </c>
      <c r="I442" s="19" t="str">
        <f t="array" ref="I442">IFERROR(_xlfn.XLOOKUP($B442,Atual!$B:$B,Atual!$E:$E),"OS concluída")</f>
        <v>REC</v>
      </c>
      <c r="J442" s="19">
        <f t="shared" si="1"/>
        <v>114</v>
      </c>
      <c r="K442" s="19"/>
      <c r="L442" s="19" t="str">
        <f t="shared" si="2"/>
        <v/>
      </c>
      <c r="M442" s="19"/>
      <c r="N442" s="49" t="str">
        <f t="array" ref="N442">IFERROR(_xlfn.XLOOKUP($B442,EMPRESA_1!A:A,EMPRESA_1!J:J),"")</f>
        <v/>
      </c>
      <c r="O442" s="50" t="str">
        <f t="array" ref="O442">IFERROR(_xlfn.XLOOKUP(B442,EMPRESA_1!A:A,EMPRESA_1!K:K),"")
</f>
        <v/>
      </c>
      <c r="P442" s="48" t="str">
        <f t="array" ref="P442">IFERROR(_xlfn.XLOOKUP(B442,EMPRESA_1!A:A,EMPRESA_1!L:L),"")</f>
        <v/>
      </c>
      <c r="Q442" s="49" t="str">
        <f t="array" ref="Q442">IFERROR(_xlfn.XLOOKUP(B442,EMPRESA_1!A:A,EMPRESA_1!J:J),"")</f>
        <v/>
      </c>
      <c r="R442" s="19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</row>
    <row r="443">
      <c r="A443" s="48"/>
      <c r="B443" s="47" t="s">
        <v>1171</v>
      </c>
      <c r="C443" s="48" t="str">
        <f t="array" ref="C443">IFERROR(_xlfn.XLOOKUP($B443,'Histórico'!$B:$B,'Histórico'!$I:$I),"")</f>
        <v>011-01105-01</v>
      </c>
      <c r="D443" s="19" t="str">
        <f t="array" ref="D443">IFERROR(_xlfn.XLOOKUP($B443,'Histórico'!$B:$B,'Histórico'!$J:$J),"")</f>
        <v>0TRC3</v>
      </c>
      <c r="E443" s="19" t="str">
        <f t="array" ref="E443">IFERROR(_xlfn.XLOOKUP($B443,'Histórico'!$B:$B,'Histórico'!$K:$K),"")</f>
        <v>INTEGRATED AVIONICS UNIT GIA63W</v>
      </c>
      <c r="F443" s="19" t="str">
        <f t="array" ref="F443">IFERROR(_xlfn.XLOOKUP($B443,'Histórico'!$B:$B,'Histórico'!$L:$L),"")</f>
        <v>15W013930</v>
      </c>
      <c r="G443" s="49" t="str">
        <f t="array" ref="G443">IFERROR(_xlfn.XLOOKUP($B443,'Histórico'!$B:$B,'Histórico'!$F:$F),"")</f>
        <v>23/06/2026</v>
      </c>
      <c r="H443" s="19" t="str">
        <f t="array" ref="H443">IFERROR(_xlfn.XLOOKUP($B443,'Histórico'!$B:$B,'Histórico'!$AA:$AA),"")</f>
        <v>BAMN</v>
      </c>
      <c r="I443" s="19" t="str">
        <f t="array" ref="I443">IFERROR(_xlfn.XLOOKUP($B443,Atual!$B:$B,Atual!$E:$E),"OS concluída")</f>
        <v>REC</v>
      </c>
      <c r="J443" s="19">
        <f t="shared" si="1"/>
        <v>114</v>
      </c>
      <c r="K443" s="19"/>
      <c r="L443" s="19" t="str">
        <f t="shared" si="2"/>
        <v/>
      </c>
      <c r="M443" s="19"/>
      <c r="N443" s="49" t="str">
        <f t="array" ref="N443">IFERROR(_xlfn.XLOOKUP($B443,EMPRESA_1!A:A,EMPRESA_1!J:J),"")</f>
        <v/>
      </c>
      <c r="O443" s="50" t="str">
        <f t="array" ref="O443">IFERROR(_xlfn.XLOOKUP(B443,EMPRESA_1!A:A,EMPRESA_1!K:K),"")
</f>
        <v/>
      </c>
      <c r="P443" s="48" t="str">
        <f t="array" ref="P443">IFERROR(_xlfn.XLOOKUP(B443,EMPRESA_1!A:A,EMPRESA_1!L:L),"")</f>
        <v/>
      </c>
      <c r="Q443" s="49" t="str">
        <f t="array" ref="Q443">IFERROR(_xlfn.XLOOKUP(B443,EMPRESA_1!A:A,EMPRESA_1!J:J),"")</f>
        <v/>
      </c>
      <c r="R443" s="19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</row>
    <row r="444">
      <c r="A444" s="48"/>
      <c r="B444" s="47" t="s">
        <v>1172</v>
      </c>
      <c r="C444" s="48" t="str">
        <f t="array" ref="C444">IFERROR(_xlfn.XLOOKUP($B444,'Histórico'!$B:$B,'Histórico'!$I:$I),"")</f>
        <v>011-00916-10</v>
      </c>
      <c r="D444" s="19" t="str">
        <f t="array" ref="D444">IFERROR(_xlfn.XLOOKUP($B444,'Histórico'!$B:$B,'Histórico'!$J:$J),"")</f>
        <v>0TRC3</v>
      </c>
      <c r="E444" s="19" t="str">
        <f t="array" ref="E444">IFERROR(_xlfn.XLOOKUP($B444,'Histórico'!$B:$B,'Histórico'!$K:$K),"")</f>
        <v>DISPLAY UNIT,FLIGHT INFORMATION</v>
      </c>
      <c r="F444" s="19" t="str">
        <f t="array" ref="F444">IFERROR(_xlfn.XLOOKUP($B444,'Histórico'!$B:$B,'Histórico'!$L:$L),"")</f>
        <v>86815651</v>
      </c>
      <c r="G444" s="49">
        <f t="array" ref="G444">IFERROR(_xlfn.XLOOKUP($B444,'Histórico'!$B:$B,'Histórico'!$F:$F),"")</f>
        <v>46203</v>
      </c>
      <c r="H444" s="19" t="str">
        <f t="array" ref="H444">IFERROR(_xlfn.XLOOKUP($B444,'Histórico'!$B:$B,'Histórico'!$AA:$AA),"")</f>
        <v>BAMN</v>
      </c>
      <c r="I444" s="19" t="str">
        <f t="array" ref="I444">IFERROR(_xlfn.XLOOKUP($B444,Atual!$B:$B,Atual!$E:$E),"OS concluída")</f>
        <v>REC</v>
      </c>
      <c r="J444" s="19">
        <f t="shared" si="1"/>
        <v>107</v>
      </c>
      <c r="K444" s="19"/>
      <c r="L444" s="19" t="str">
        <f t="shared" si="2"/>
        <v/>
      </c>
      <c r="M444" s="19"/>
      <c r="N444" s="49" t="str">
        <f t="array" ref="N444">IFERROR(_xlfn.XLOOKUP($B444,EMPRESA_1!A:A,EMPRESA_1!J:J),"")</f>
        <v/>
      </c>
      <c r="O444" s="50" t="str">
        <f t="array" ref="O444">IFERROR(_xlfn.XLOOKUP(B444,EMPRESA_1!A:A,EMPRESA_1!K:K),"")
</f>
        <v/>
      </c>
      <c r="P444" s="48" t="str">
        <f t="array" ref="P444">IFERROR(_xlfn.XLOOKUP(B444,EMPRESA_1!A:A,EMPRESA_1!L:L),"")</f>
        <v/>
      </c>
      <c r="Q444" s="49" t="str">
        <f t="array" ref="Q444">IFERROR(_xlfn.XLOOKUP(B444,EMPRESA_1!A:A,EMPRESA_1!J:J),"")</f>
        <v/>
      </c>
      <c r="R444" s="19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</row>
    <row r="445" hidden="1">
      <c r="A445" s="48"/>
      <c r="B445" s="47" t="s">
        <v>1173</v>
      </c>
      <c r="C445" s="48" t="str">
        <f t="array" ref="C445">IFERROR(_xlfn.XLOOKUP($B445,'Histórico'!$B:$B,'Histórico'!$I:$I),"")</f>
        <v>011-00916-10</v>
      </c>
      <c r="D445" s="19" t="str">
        <f t="array" ref="D445">IFERROR(_xlfn.XLOOKUP($B445,'Histórico'!$B:$B,'Histórico'!$J:$J),"")</f>
        <v>0TRC3</v>
      </c>
      <c r="E445" s="19" t="str">
        <f t="array" ref="E445">IFERROR(_xlfn.XLOOKUP($B445,'Histórico'!$B:$B,'Histórico'!$K:$K),"")</f>
        <v>DISPLAY UNIT,FLIGHT INFORMATION</v>
      </c>
      <c r="F445" s="19" t="str">
        <f t="array" ref="F445">IFERROR(_xlfn.XLOOKUP($B445,'Histórico'!$B:$B,'Histórico'!$L:$L),"")</f>
        <v>86817554</v>
      </c>
      <c r="G445" s="49">
        <f t="array" ref="G445">IFERROR(_xlfn.XLOOKUP($B445,'Histórico'!$B:$B,'Histórico'!$F:$F),"")</f>
        <v>46203</v>
      </c>
      <c r="H445" s="19" t="str">
        <f t="array" ref="H445">IFERROR(_xlfn.XLOOKUP($B445,'Histórico'!$B:$B,'Histórico'!$AA:$AA),"")</f>
        <v>BABV</v>
      </c>
      <c r="I445" s="19" t="str">
        <f t="array" ref="I445">IFERROR(_xlfn.XLOOKUP($B445,Atual!$B:$B,Atual!$E:$E),"OS concluída")</f>
        <v>OS concluída</v>
      </c>
      <c r="J445" s="19" t="str">
        <f t="shared" si="1"/>
        <v/>
      </c>
      <c r="K445" s="19"/>
      <c r="L445" s="19" t="str">
        <f t="shared" si="2"/>
        <v/>
      </c>
      <c r="M445" s="19"/>
      <c r="N445" s="49" t="str">
        <f t="array" ref="N445">IFERROR(_xlfn.XLOOKUP($B445,EMPRESA_1!A:A,EMPRESA_1!J:J),"")</f>
        <v/>
      </c>
      <c r="O445" s="50" t="str">
        <f t="array" ref="O445">IFERROR(_xlfn.XLOOKUP(B445,EMPRESA_1!A:A,EMPRESA_1!K:K),"")
</f>
        <v/>
      </c>
      <c r="P445" s="48" t="str">
        <f t="array" ref="P445">IFERROR(_xlfn.XLOOKUP(B445,EMPRESA_1!A:A,EMPRESA_1!L:L),"")</f>
        <v/>
      </c>
      <c r="Q445" s="49" t="str">
        <f t="array" ref="Q445">IFERROR(_xlfn.XLOOKUP(B445,EMPRESA_1!A:A,EMPRESA_1!J:J),"")</f>
        <v/>
      </c>
      <c r="R445" s="19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</row>
    <row r="446">
      <c r="A446" s="48"/>
      <c r="B446" s="47" t="s">
        <v>1174</v>
      </c>
      <c r="C446" s="48" t="str">
        <f t="array" ref="C446">IFERROR(_xlfn.XLOOKUP($B446,'Histórico'!$B:$B,'Histórico'!$I:$I),"")</f>
        <v>3244809-8</v>
      </c>
      <c r="D446" s="19">
        <f t="array" ref="D446">IFERROR(_xlfn.XLOOKUP($B446,'Histórico'!$B:$B,'Histórico'!$J:$J),"")</f>
        <v>6848</v>
      </c>
      <c r="E446" s="19" t="str">
        <f t="array" ref="E446">IFERROR(_xlfn.XLOOKUP($B446,'Histórico'!$B:$B,'Histórico'!$K:$K),"")</f>
        <v>FUEL CONTROL,MAIN,TURBINE ENGINE</v>
      </c>
      <c r="F446" s="19" t="str">
        <f t="array" ref="F446">IFERROR(_xlfn.XLOOKUP($B446,'Histórico'!$B:$B,'Histórico'!$L:$L),"")</f>
        <v>C25994</v>
      </c>
      <c r="G446" s="49">
        <f t="array" ref="G446">IFERROR(_xlfn.XLOOKUP($B446,'Histórico'!$B:$B,'Histórico'!$F:$F),"")</f>
        <v>46205</v>
      </c>
      <c r="H446" s="19" t="str">
        <f t="array" ref="H446">IFERROR(_xlfn.XLOOKUP($B446,'Histórico'!$B:$B,'Histórico'!$AA:$AA),"")</f>
        <v>BAMN</v>
      </c>
      <c r="I446" s="19" t="str">
        <f t="array" ref="I446">IFERROR(_xlfn.XLOOKUP($B446,Atual!$B:$B,Atual!$E:$E),"OS concluída")</f>
        <v>REC</v>
      </c>
      <c r="J446" s="19">
        <f t="shared" si="1"/>
        <v>105</v>
      </c>
      <c r="K446" s="19"/>
      <c r="L446" s="19" t="str">
        <f t="shared" si="2"/>
        <v/>
      </c>
      <c r="M446" s="19"/>
      <c r="N446" s="49" t="str">
        <f t="array" ref="N446">IFERROR(_xlfn.XLOOKUP($B446,EMPRESA_1!A:A,EMPRESA_1!J:J),"")</f>
        <v/>
      </c>
      <c r="O446" s="50" t="str">
        <f t="array" ref="O446">IFERROR(_xlfn.XLOOKUP(B446,EMPRESA_1!A:A,EMPRESA_1!K:K),"")
</f>
        <v/>
      </c>
      <c r="P446" s="48" t="str">
        <f t="array" ref="P446">IFERROR(_xlfn.XLOOKUP(B446,EMPRESA_1!A:A,EMPRESA_1!L:L),"")</f>
        <v/>
      </c>
      <c r="Q446" s="49" t="str">
        <f t="array" ref="Q446">IFERROR(_xlfn.XLOOKUP(B446,EMPRESA_1!A:A,EMPRESA_1!J:J),"")</f>
        <v/>
      </c>
      <c r="R446" s="19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</row>
    <row r="447" hidden="1">
      <c r="A447" s="48"/>
      <c r="B447" s="47" t="s">
        <v>1175</v>
      </c>
      <c r="C447" s="48" t="str">
        <f t="array" ref="C447">IFERROR(_xlfn.XLOOKUP($B447,'Histórico'!$B:$B,'Histórico'!$I:$I),"")</f>
        <v>3244897-4</v>
      </c>
      <c r="D447" s="19">
        <f t="array" ref="D447">IFERROR(_xlfn.XLOOKUP($B447,'Histórico'!$B:$B,'Histórico'!$J:$J),"")</f>
        <v>7213</v>
      </c>
      <c r="E447" s="19" t="str">
        <f t="array" ref="E447">IFERROR(_xlfn.XLOOKUP($B447,'Histórico'!$B:$B,'Histórico'!$K:$K),"")</f>
        <v>FUEL CONTROL UNIT</v>
      </c>
      <c r="F447" s="19" t="str">
        <f t="array" ref="F447">IFERROR(_xlfn.XLOOKUP($B447,'Histórico'!$B:$B,'Histórico'!$L:$L),"")</f>
        <v>F66912</v>
      </c>
      <c r="G447" s="49">
        <f t="array" ref="G447">IFERROR(_xlfn.XLOOKUP($B447,'Histórico'!$B:$B,'Histórico'!$F:$F),"")</f>
        <v>46205</v>
      </c>
      <c r="H447" s="19" t="str">
        <f t="array" ref="H447">IFERROR(_xlfn.XLOOKUP($B447,'Histórico'!$B:$B,'Histórico'!$AA:$AA),"")</f>
        <v>CLA</v>
      </c>
      <c r="I447" s="19" t="str">
        <f t="array" ref="I447">IFERROR(_xlfn.XLOOKUP($B447,Atual!$B:$B,Atual!$E:$E),"OS concluída")</f>
        <v>OS concluída</v>
      </c>
      <c r="J447" s="19" t="str">
        <f t="shared" si="1"/>
        <v/>
      </c>
      <c r="K447" s="19"/>
      <c r="L447" s="19" t="str">
        <f t="shared" si="2"/>
        <v/>
      </c>
      <c r="M447" s="19"/>
      <c r="N447" s="49" t="str">
        <f t="array" ref="N447">IFERROR(_xlfn.XLOOKUP($B447,EMPRESA_1!A:A,EMPRESA_1!J:J),"")</f>
        <v/>
      </c>
      <c r="O447" s="50" t="str">
        <f t="array" ref="O447">IFERROR(_xlfn.XLOOKUP(B447,EMPRESA_1!A:A,EMPRESA_1!K:K),"")
</f>
        <v/>
      </c>
      <c r="P447" s="48" t="str">
        <f t="array" ref="P447">IFERROR(_xlfn.XLOOKUP(B447,EMPRESA_1!A:A,EMPRESA_1!L:L),"")</f>
        <v/>
      </c>
      <c r="Q447" s="49" t="str">
        <f t="array" ref="Q447">IFERROR(_xlfn.XLOOKUP(B447,EMPRESA_1!A:A,EMPRESA_1!J:J),"")</f>
        <v/>
      </c>
      <c r="R447" s="19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</row>
    <row r="448" hidden="1">
      <c r="A448" s="48"/>
      <c r="B448" s="47" t="s">
        <v>1176</v>
      </c>
      <c r="C448" s="48" t="str">
        <f t="array" ref="C448">IFERROR(_xlfn.XLOOKUP($B448,'Histórico'!$B:$B,'Histórico'!$I:$I),"")</f>
        <v>3034792</v>
      </c>
      <c r="D448" s="19">
        <f t="array" ref="D448">IFERROR(_xlfn.XLOOKUP($B448,'Histórico'!$B:$B,'Histórico'!$J:$J),"")</f>
        <v>198</v>
      </c>
      <c r="E448" s="19" t="str">
        <f t="array" ref="E448">IFERROR(_xlfn.XLOOKUP($B448,'Histórico'!$B:$B,'Histórico'!$K:$K),"")</f>
        <v>BOMBA DE COMBUSTÍVEL</v>
      </c>
      <c r="F448" s="19" t="str">
        <f t="array" ref="F448">IFERROR(_xlfn.XLOOKUP($B448,'Histórico'!$B:$B,'Histórico'!$L:$L),"")</f>
        <v>4134</v>
      </c>
      <c r="G448" s="49">
        <f t="array" ref="G448">IFERROR(_xlfn.XLOOKUP($B448,'Histórico'!$B:$B,'Histórico'!$F:$F),"")</f>
        <v>46205</v>
      </c>
      <c r="H448" s="19" t="str">
        <f t="array" ref="H448">IFERROR(_xlfn.XLOOKUP($B448,'Histórico'!$B:$B,'Histórico'!$AA:$AA),"")</f>
        <v>CLA</v>
      </c>
      <c r="I448" s="19" t="str">
        <f t="array" ref="I448">IFERROR(_xlfn.XLOOKUP($B448,Atual!$B:$B,Atual!$E:$E),"OS concluída")</f>
        <v>OS concluída</v>
      </c>
      <c r="J448" s="19" t="str">
        <f t="shared" si="1"/>
        <v/>
      </c>
      <c r="K448" s="19"/>
      <c r="L448" s="19" t="str">
        <f t="shared" si="2"/>
        <v/>
      </c>
      <c r="M448" s="19"/>
      <c r="N448" s="49" t="str">
        <f t="array" ref="N448">IFERROR(_xlfn.XLOOKUP($B448,EMPRESA_1!A:A,EMPRESA_1!J:J),"")</f>
        <v/>
      </c>
      <c r="O448" s="50" t="str">
        <f t="array" ref="O448">IFERROR(_xlfn.XLOOKUP(B448,EMPRESA_1!A:A,EMPRESA_1!K:K),"")
</f>
        <v/>
      </c>
      <c r="P448" s="48" t="str">
        <f t="array" ref="P448">IFERROR(_xlfn.XLOOKUP(B448,EMPRESA_1!A:A,EMPRESA_1!L:L),"")</f>
        <v/>
      </c>
      <c r="Q448" s="49" t="str">
        <f t="array" ref="Q448">IFERROR(_xlfn.XLOOKUP(B448,EMPRESA_1!A:A,EMPRESA_1!J:J),"")</f>
        <v/>
      </c>
      <c r="R448" s="19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</row>
    <row r="449">
      <c r="A449" s="48"/>
      <c r="B449" s="47" t="s">
        <v>1177</v>
      </c>
      <c r="C449" s="48" t="str">
        <f t="array" ref="C449">IFERROR(_xlfn.XLOOKUP($B449,'Histórico'!$B:$B,'Histórico'!$I:$I),"")</f>
        <v>011-01020-10</v>
      </c>
      <c r="D449" s="19" t="str">
        <f t="array" ref="D449">IFERROR(_xlfn.XLOOKUP($B449,'Histórico'!$B:$B,'Histórico'!$J:$J),"")</f>
        <v>0TRC3</v>
      </c>
      <c r="E449" s="19" t="str">
        <f t="array" ref="E449">IFERROR(_xlfn.XLOOKUP($B449,'Histórico'!$B:$B,'Histórico'!$K:$K),"")</f>
        <v>AFCS MODE CONTROLLER GMC 710</v>
      </c>
      <c r="F449" s="19" t="str">
        <f t="array" ref="F449">IFERROR(_xlfn.XLOOKUP($B449,'Histórico'!$B:$B,'Histórico'!$L:$L),"")</f>
        <v>22006508</v>
      </c>
      <c r="G449" s="49">
        <f t="array" ref="G449">IFERROR(_xlfn.XLOOKUP($B449,'Histórico'!$B:$B,'Histórico'!$F:$F),"")</f>
        <v>46211</v>
      </c>
      <c r="H449" s="19" t="str">
        <f t="array" ref="H449">IFERROR(_xlfn.XLOOKUP($B449,'Histórico'!$B:$B,'Histórico'!$AA:$AA),"")</f>
        <v>BABE</v>
      </c>
      <c r="I449" s="19" t="str">
        <f t="array" ref="I449">IFERROR(_xlfn.XLOOKUP($B449,Atual!$B:$B,Atual!$E:$E),"OS concluída")</f>
        <v>REC</v>
      </c>
      <c r="J449" s="19">
        <f t="shared" si="1"/>
        <v>99</v>
      </c>
      <c r="K449" s="19"/>
      <c r="L449" s="19" t="str">
        <f t="shared" si="2"/>
        <v/>
      </c>
      <c r="M449" s="19"/>
      <c r="N449" s="49" t="str">
        <f t="array" ref="N449">IFERROR(_xlfn.XLOOKUP($B449,EMPRESA_1!A:A,EMPRESA_1!J:J),"")</f>
        <v/>
      </c>
      <c r="O449" s="50" t="str">
        <f t="array" ref="O449">IFERROR(_xlfn.XLOOKUP(B449,EMPRESA_1!A:A,EMPRESA_1!K:K),"")
</f>
        <v/>
      </c>
      <c r="P449" s="48" t="str">
        <f t="array" ref="P449">IFERROR(_xlfn.XLOOKUP(B449,EMPRESA_1!A:A,EMPRESA_1!L:L),"")</f>
        <v/>
      </c>
      <c r="Q449" s="49" t="str">
        <f t="array" ref="Q449">IFERROR(_xlfn.XLOOKUP(B449,EMPRESA_1!A:A,EMPRESA_1!J:J),"")</f>
        <v/>
      </c>
      <c r="R449" s="19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</row>
    <row r="450">
      <c r="A450" s="48"/>
      <c r="B450" s="47" t="s">
        <v>1178</v>
      </c>
      <c r="C450" s="48" t="str">
        <f t="array" ref="C450">IFERROR(_xlfn.XLOOKUP($B450,'Histórico'!$B:$B,'Histórico'!$I:$I),"")</f>
        <v>011-01020-10</v>
      </c>
      <c r="D450" s="19" t="str">
        <f t="array" ref="D450">IFERROR(_xlfn.XLOOKUP($B450,'Histórico'!$B:$B,'Histórico'!$J:$J),"")</f>
        <v>0TRC3</v>
      </c>
      <c r="E450" s="19" t="str">
        <f t="array" ref="E450">IFERROR(_xlfn.XLOOKUP($B450,'Histórico'!$B:$B,'Histórico'!$K:$K),"")</f>
        <v>AFCS MODE CONTROLLER GMC 710</v>
      </c>
      <c r="F450" s="19" t="str">
        <f t="array" ref="F450">IFERROR(_xlfn.XLOOKUP($B450,'Histórico'!$B:$B,'Histórico'!$L:$L),"")</f>
        <v>22005733</v>
      </c>
      <c r="G450" s="49">
        <f t="array" ref="G450">IFERROR(_xlfn.XLOOKUP($B450,'Histórico'!$B:$B,'Histórico'!$F:$F),"")</f>
        <v>46211</v>
      </c>
      <c r="H450" s="19" t="str">
        <f t="array" ref="H450">IFERROR(_xlfn.XLOOKUP($B450,'Histórico'!$B:$B,'Histórico'!$AA:$AA),"")</f>
        <v>BABE</v>
      </c>
      <c r="I450" s="19" t="str">
        <f t="array" ref="I450">IFERROR(_xlfn.XLOOKUP($B450,Atual!$B:$B,Atual!$E:$E),"OS concluída")</f>
        <v>REC</v>
      </c>
      <c r="J450" s="19">
        <f t="shared" si="1"/>
        <v>99</v>
      </c>
      <c r="K450" s="19"/>
      <c r="L450" s="19" t="str">
        <f t="shared" si="2"/>
        <v/>
      </c>
      <c r="M450" s="19"/>
      <c r="N450" s="49" t="str">
        <f t="array" ref="N450">IFERROR(_xlfn.XLOOKUP($B450,EMPRESA_1!A:A,EMPRESA_1!J:J),"")</f>
        <v/>
      </c>
      <c r="O450" s="50" t="str">
        <f t="array" ref="O450">IFERROR(_xlfn.XLOOKUP(B450,EMPRESA_1!A:A,EMPRESA_1!K:K),"")
</f>
        <v/>
      </c>
      <c r="P450" s="48" t="str">
        <f t="array" ref="P450">IFERROR(_xlfn.XLOOKUP(B450,EMPRESA_1!A:A,EMPRESA_1!L:L),"")</f>
        <v/>
      </c>
      <c r="Q450" s="49" t="str">
        <f t="array" ref="Q450">IFERROR(_xlfn.XLOOKUP(B450,EMPRESA_1!A:A,EMPRESA_1!J:J),"")</f>
        <v/>
      </c>
      <c r="R450" s="19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</row>
    <row r="451">
      <c r="A451" s="48"/>
      <c r="B451" s="47" t="s">
        <v>1179</v>
      </c>
      <c r="C451" s="48" t="str">
        <f t="array" ref="C451">IFERROR(_xlfn.XLOOKUP($B451,'Histórico'!$B:$B,'Histórico'!$I:$I),"")</f>
        <v>066-3084-32</v>
      </c>
      <c r="D451" s="19">
        <f t="array" ref="D451">IFERROR(_xlfn.XLOOKUP($B451,'Histórico'!$B:$B,'Histórico'!$J:$J),"")</f>
        <v>22373</v>
      </c>
      <c r="E451" s="19" t="str">
        <f t="array" ref="E451">IFERROR(_xlfn.XLOOKUP($B451,'Histórico'!$B:$B,'Histórico'!$K:$K),"")</f>
        <v>IND RDR 2000 IN-182A</v>
      </c>
      <c r="F451" s="19" t="str">
        <f t="array" ref="F451">IFERROR(_xlfn.XLOOKUP($B451,'Histórico'!$B:$B,'Histórico'!$L:$L),"")</f>
        <v>3357</v>
      </c>
      <c r="G451" s="49">
        <f t="array" ref="G451">IFERROR(_xlfn.XLOOKUP($B451,'Histórico'!$B:$B,'Histórico'!$F:$F),"")</f>
        <v>46226</v>
      </c>
      <c r="H451" s="19" t="str">
        <f t="array" ref="H451">IFERROR(_xlfn.XLOOKUP($B451,'Histórico'!$B:$B,'Histórico'!$AA:$AA),"")</f>
        <v>BABR</v>
      </c>
      <c r="I451" s="19" t="str">
        <f t="array" ref="I451">IFERROR(_xlfn.XLOOKUP($B451,Atual!$B:$B,Atual!$E:$E),"OS concluída")</f>
        <v>REC</v>
      </c>
      <c r="J451" s="19">
        <f t="shared" si="1"/>
        <v>84</v>
      </c>
      <c r="K451" s="19"/>
      <c r="L451" s="19" t="str">
        <f t="shared" si="2"/>
        <v/>
      </c>
      <c r="M451" s="19"/>
      <c r="N451" s="49" t="str">
        <f t="array" ref="N451">IFERROR(_xlfn.XLOOKUP($B451,EMPRESA_1!A:A,EMPRESA_1!J:J),"")</f>
        <v/>
      </c>
      <c r="O451" s="50" t="str">
        <f t="array" ref="O451">IFERROR(_xlfn.XLOOKUP(B451,EMPRESA_1!A:A,EMPRESA_1!K:K),"")
</f>
        <v/>
      </c>
      <c r="P451" s="48" t="str">
        <f t="array" ref="P451">IFERROR(_xlfn.XLOOKUP(B451,EMPRESA_1!A:A,EMPRESA_1!L:L),"")</f>
        <v/>
      </c>
      <c r="Q451" s="49" t="str">
        <f t="array" ref="Q451">IFERROR(_xlfn.XLOOKUP(B451,EMPRESA_1!A:A,EMPRESA_1!J:J),"")</f>
        <v/>
      </c>
      <c r="R451" s="19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</row>
    <row r="452">
      <c r="A452" s="48"/>
      <c r="B452" s="47" t="s">
        <v>1180</v>
      </c>
      <c r="C452" s="48" t="str">
        <f t="array" ref="C452">IFERROR(_xlfn.XLOOKUP($B452,'Histórico'!$B:$B,'Histórico'!$I:$I),"")</f>
        <v>066-3084-32</v>
      </c>
      <c r="D452" s="19">
        <f t="array" ref="D452">IFERROR(_xlfn.XLOOKUP($B452,'Histórico'!$B:$B,'Histórico'!$J:$J),"")</f>
        <v>22373</v>
      </c>
      <c r="E452" s="19" t="str">
        <f t="array" ref="E452">IFERROR(_xlfn.XLOOKUP($B452,'Histórico'!$B:$B,'Histórico'!$K:$K),"")</f>
        <v>IND RDR 2000 IN-182A</v>
      </c>
      <c r="F452" s="19" t="str">
        <f t="array" ref="F452">IFERROR(_xlfn.XLOOKUP($B452,'Histórico'!$B:$B,'Histórico'!$L:$L),"")</f>
        <v>25031</v>
      </c>
      <c r="G452" s="49">
        <f t="array" ref="G452">IFERROR(_xlfn.XLOOKUP($B452,'Histórico'!$B:$B,'Histórico'!$F:$F),"")</f>
        <v>46226</v>
      </c>
      <c r="H452" s="19" t="str">
        <f t="array" ref="H452">IFERROR(_xlfn.XLOOKUP($B452,'Histórico'!$B:$B,'Histórico'!$AA:$AA),"")</f>
        <v>BANT</v>
      </c>
      <c r="I452" s="19" t="str">
        <f t="array" ref="I452">IFERROR(_xlfn.XLOOKUP($B452,Atual!$B:$B,Atual!$E:$E),"OS concluída")</f>
        <v>REC</v>
      </c>
      <c r="J452" s="19">
        <f t="shared" si="1"/>
        <v>84</v>
      </c>
      <c r="K452" s="19"/>
      <c r="L452" s="19" t="str">
        <f t="shared" si="2"/>
        <v/>
      </c>
      <c r="M452" s="19"/>
      <c r="N452" s="49" t="str">
        <f t="array" ref="N452">IFERROR(_xlfn.XLOOKUP($B452,EMPRESA_1!A:A,EMPRESA_1!J:J),"")</f>
        <v/>
      </c>
      <c r="O452" s="50" t="str">
        <f t="array" ref="O452">IFERROR(_xlfn.XLOOKUP(B452,EMPRESA_1!A:A,EMPRESA_1!K:K),"")
</f>
        <v/>
      </c>
      <c r="P452" s="48" t="str">
        <f t="array" ref="P452">IFERROR(_xlfn.XLOOKUP(B452,EMPRESA_1!A:A,EMPRESA_1!L:L),"")</f>
        <v/>
      </c>
      <c r="Q452" s="49" t="str">
        <f t="array" ref="Q452">IFERROR(_xlfn.XLOOKUP(B452,EMPRESA_1!A:A,EMPRESA_1!J:J),"")</f>
        <v/>
      </c>
      <c r="R452" s="19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</row>
    <row r="453">
      <c r="A453" s="48"/>
      <c r="B453" s="47" t="s">
        <v>1181</v>
      </c>
      <c r="C453" s="48" t="str">
        <f t="array" ref="C453">IFERROR(_xlfn.XLOOKUP($B453,'Histórico'!$B:$B,'Histórico'!$I:$I),"")</f>
        <v>066-3084-32</v>
      </c>
      <c r="D453" s="19">
        <f t="array" ref="D453">IFERROR(_xlfn.XLOOKUP($B453,'Histórico'!$B:$B,'Histórico'!$J:$J),"")</f>
        <v>22373</v>
      </c>
      <c r="E453" s="19" t="str">
        <f t="array" ref="E453">IFERROR(_xlfn.XLOOKUP($B453,'Histórico'!$B:$B,'Histórico'!$K:$K),"")</f>
        <v>IND RDR 2000 IN-182A</v>
      </c>
      <c r="F453" s="19" t="str">
        <f t="array" ref="F453">IFERROR(_xlfn.XLOOKUP($B453,'Histórico'!$B:$B,'Histórico'!$L:$L),"")</f>
        <v>23874</v>
      </c>
      <c r="G453" s="49">
        <f t="array" ref="G453">IFERROR(_xlfn.XLOOKUP($B453,'Histórico'!$B:$B,'Histórico'!$F:$F),"")</f>
        <v>46226</v>
      </c>
      <c r="H453" s="19" t="str">
        <f t="array" ref="H453">IFERROR(_xlfn.XLOOKUP($B453,'Histórico'!$B:$B,'Histórico'!$AA:$AA),"")</f>
        <v>BABR</v>
      </c>
      <c r="I453" s="19" t="str">
        <f t="array" ref="I453">IFERROR(_xlfn.XLOOKUP($B453,Atual!$B:$B,Atual!$E:$E),"OS concluída")</f>
        <v>REC</v>
      </c>
      <c r="J453" s="19">
        <f t="shared" si="1"/>
        <v>84</v>
      </c>
      <c r="K453" s="19"/>
      <c r="L453" s="19" t="str">
        <f t="shared" si="2"/>
        <v/>
      </c>
      <c r="M453" s="19"/>
      <c r="N453" s="49" t="str">
        <f t="array" ref="N453">IFERROR(_xlfn.XLOOKUP($B453,EMPRESA_1!A:A,EMPRESA_1!J:J),"")</f>
        <v/>
      </c>
      <c r="O453" s="50" t="str">
        <f t="array" ref="O453">IFERROR(_xlfn.XLOOKUP(B453,EMPRESA_1!A:A,EMPRESA_1!K:K),"")
</f>
        <v/>
      </c>
      <c r="P453" s="48" t="str">
        <f t="array" ref="P453">IFERROR(_xlfn.XLOOKUP(B453,EMPRESA_1!A:A,EMPRESA_1!L:L),"")</f>
        <v/>
      </c>
      <c r="Q453" s="49" t="str">
        <f t="array" ref="Q453">IFERROR(_xlfn.XLOOKUP(B453,EMPRESA_1!A:A,EMPRESA_1!J:J),"")</f>
        <v/>
      </c>
      <c r="R453" s="19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</row>
    <row r="454">
      <c r="A454" s="48"/>
      <c r="B454" s="47" t="s">
        <v>1182</v>
      </c>
      <c r="C454" s="48" t="str">
        <f t="array" ref="C454">IFERROR(_xlfn.XLOOKUP($B454,'Histórico'!$B:$B,'Histórico'!$I:$I),"")</f>
        <v>ASG12000-2</v>
      </c>
      <c r="D454" s="19">
        <f t="array" ref="D454">IFERROR(_xlfn.XLOOKUP($B454,'Histórico'!$B:$B,'Histórico'!$J:$J),"")</f>
        <v>71653</v>
      </c>
      <c r="E454" s="19" t="str">
        <f t="array" ref="E454">IFERROR(_xlfn.XLOOKUP($B454,'Histórico'!$B:$B,'Histórico'!$K:$K),"")</f>
        <v>ALTERNATOR</v>
      </c>
      <c r="F454" s="19" t="str">
        <f t="array" ref="F454">IFERROR(_xlfn.XLOOKUP($B454,'Histórico'!$B:$B,'Histórico'!$L:$L),"")</f>
        <v>A-184434</v>
      </c>
      <c r="G454" s="49">
        <f t="array" ref="G454">IFERROR(_xlfn.XLOOKUP($B454,'Histórico'!$B:$B,'Histórico'!$F:$F),"")</f>
        <v>46230</v>
      </c>
      <c r="H454" s="19" t="str">
        <f t="array" ref="H454">IFERROR(_xlfn.XLOOKUP($B454,'Histórico'!$B:$B,'Histórico'!$AA:$AA),"")</f>
        <v>PAMALS</v>
      </c>
      <c r="I454" s="19" t="str">
        <f t="array" ref="I454">IFERROR(_xlfn.XLOOKUP($B454,Atual!$B:$B,Atual!$E:$E),"OS concluída")</f>
        <v>REC</v>
      </c>
      <c r="J454" s="19">
        <f t="shared" si="1"/>
        <v>80</v>
      </c>
      <c r="K454" s="19"/>
      <c r="L454" s="19" t="str">
        <f t="shared" si="2"/>
        <v/>
      </c>
      <c r="M454" s="19"/>
      <c r="N454" s="49" t="str">
        <f t="array" ref="N454">IFERROR(_xlfn.XLOOKUP($B454,EMPRESA_1!A:A,EMPRESA_1!J:J),"")</f>
        <v/>
      </c>
      <c r="O454" s="50" t="str">
        <f t="array" ref="O454">IFERROR(_xlfn.XLOOKUP(B454,EMPRESA_1!A:A,EMPRESA_1!K:K),"")
</f>
        <v/>
      </c>
      <c r="P454" s="48" t="str">
        <f t="array" ref="P454">IFERROR(_xlfn.XLOOKUP(B454,EMPRESA_1!A:A,EMPRESA_1!L:L),"")</f>
        <v/>
      </c>
      <c r="Q454" s="49" t="str">
        <f t="array" ref="Q454">IFERROR(_xlfn.XLOOKUP(B454,EMPRESA_1!A:A,EMPRESA_1!J:J),"")</f>
        <v/>
      </c>
      <c r="R454" s="19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</row>
    <row r="455" hidden="1">
      <c r="A455" s="48"/>
      <c r="B455" s="47" t="s">
        <v>1183</v>
      </c>
      <c r="C455" s="48" t="str">
        <f t="array" ref="C455">IFERROR(_xlfn.XLOOKUP($B455,'Histórico'!$B:$B,'Histórico'!$I:$I),"")</f>
        <v>ASG12000-2</v>
      </c>
      <c r="D455" s="19">
        <f t="array" ref="D455">IFERROR(_xlfn.XLOOKUP($B455,'Histórico'!$B:$B,'Histórico'!$J:$J),"")</f>
        <v>71653</v>
      </c>
      <c r="E455" s="19" t="str">
        <f t="array" ref="E455">IFERROR(_xlfn.XLOOKUP($B455,'Histórico'!$B:$B,'Histórico'!$K:$K),"")</f>
        <v>ALTERNATOR</v>
      </c>
      <c r="F455" s="19" t="str">
        <f t="array" ref="F455">IFERROR(_xlfn.XLOOKUP($B455,'Histórico'!$B:$B,'Histórico'!$L:$L),"")</f>
        <v>H-K121983</v>
      </c>
      <c r="G455" s="49">
        <f t="array" ref="G455">IFERROR(_xlfn.XLOOKUP($B455,'Histórico'!$B:$B,'Histórico'!$F:$F),"")</f>
        <v>46230</v>
      </c>
      <c r="H455" s="19" t="str">
        <f t="array" ref="H455">IFERROR(_xlfn.XLOOKUP($B455,'Histórico'!$B:$B,'Histórico'!$AA:$AA),"")</f>
        <v>BABR</v>
      </c>
      <c r="I455" s="19" t="str">
        <f t="array" ref="I455">IFERROR(_xlfn.XLOOKUP($B455,Atual!$B:$B,Atual!$E:$E),"OS concluída")</f>
        <v>OS concluída</v>
      </c>
      <c r="J455" s="19" t="str">
        <f t="shared" si="1"/>
        <v/>
      </c>
      <c r="K455" s="19"/>
      <c r="L455" s="19" t="str">
        <f t="shared" si="2"/>
        <v/>
      </c>
      <c r="M455" s="19"/>
      <c r="N455" s="49" t="str">
        <f t="array" ref="N455">IFERROR(_xlfn.XLOOKUP($B455,EMPRESA_1!A:A,EMPRESA_1!J:J),"")</f>
        <v/>
      </c>
      <c r="O455" s="50" t="str">
        <f t="array" ref="O455">IFERROR(_xlfn.XLOOKUP(B455,EMPRESA_1!A:A,EMPRESA_1!K:K),"")
</f>
        <v/>
      </c>
      <c r="P455" s="48" t="str">
        <f t="array" ref="P455">IFERROR(_xlfn.XLOOKUP(B455,EMPRESA_1!A:A,EMPRESA_1!L:L),"")</f>
        <v/>
      </c>
      <c r="Q455" s="49" t="str">
        <f t="array" ref="Q455">IFERROR(_xlfn.XLOOKUP(B455,EMPRESA_1!A:A,EMPRESA_1!J:J),"")</f>
        <v/>
      </c>
      <c r="R455" s="19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</row>
    <row r="456">
      <c r="A456" s="48"/>
      <c r="B456" s="47" t="s">
        <v>1184</v>
      </c>
      <c r="C456" s="48" t="str">
        <f t="array" ref="C456">IFERROR(_xlfn.XLOOKUP($B456,'Histórico'!$B:$B,'Histórico'!$I:$I),"")</f>
        <v>9910592-2</v>
      </c>
      <c r="D456" s="19" t="str">
        <f t="array" ref="D456">IFERROR(_xlfn.XLOOKUP($B456,'Histórico'!$B:$B,'Histórico'!$J:$J),"")</f>
        <v>7EK50</v>
      </c>
      <c r="E456" s="19" t="str">
        <f t="array" ref="E456">IFERROR(_xlfn.XLOOKUP($B456,'Histórico'!$B:$B,'Histórico'!$K:$K),"")</f>
        <v>ALTERNADOR</v>
      </c>
      <c r="F456" s="19" t="str">
        <f t="array" ref="F456">IFERROR(_xlfn.XLOOKUP($B456,'Histórico'!$B:$B,'Histórico'!$L:$L),"")</f>
        <v>A-146338</v>
      </c>
      <c r="G456" s="49">
        <f t="array" ref="G456">IFERROR(_xlfn.XLOOKUP($B456,'Histórico'!$B:$B,'Histórico'!$F:$F),"")</f>
        <v>46230</v>
      </c>
      <c r="H456" s="19" t="str">
        <f t="array" ref="H456">IFERROR(_xlfn.XLOOKUP($B456,'Histórico'!$B:$B,'Histórico'!$AA:$AA),"")</f>
        <v>BABR</v>
      </c>
      <c r="I456" s="19" t="str">
        <f t="array" ref="I456">IFERROR(_xlfn.XLOOKUP($B456,Atual!$B:$B,Atual!$E:$E),"OS concluída")</f>
        <v>REC</v>
      </c>
      <c r="J456" s="19">
        <f t="shared" si="1"/>
        <v>80</v>
      </c>
      <c r="K456" s="19"/>
      <c r="L456" s="19" t="str">
        <f t="shared" si="2"/>
        <v/>
      </c>
      <c r="M456" s="19"/>
      <c r="N456" s="49" t="str">
        <f t="array" ref="N456">IFERROR(_xlfn.XLOOKUP($B456,EMPRESA_1!A:A,EMPRESA_1!J:J),"")</f>
        <v/>
      </c>
      <c r="O456" s="50" t="str">
        <f t="array" ref="O456">IFERROR(_xlfn.XLOOKUP(B456,EMPRESA_1!A:A,EMPRESA_1!K:K),"")
</f>
        <v/>
      </c>
      <c r="P456" s="48" t="str">
        <f t="array" ref="P456">IFERROR(_xlfn.XLOOKUP(B456,EMPRESA_1!A:A,EMPRESA_1!L:L),"")</f>
        <v/>
      </c>
      <c r="Q456" s="49" t="str">
        <f t="array" ref="Q456">IFERROR(_xlfn.XLOOKUP(B456,EMPRESA_1!A:A,EMPRESA_1!J:J),"")</f>
        <v/>
      </c>
      <c r="R456" s="19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</row>
    <row r="457">
      <c r="A457" s="48"/>
      <c r="B457" s="47" t="s">
        <v>1185</v>
      </c>
      <c r="C457" s="48" t="str">
        <f t="array" ref="C457">IFERROR(_xlfn.XLOOKUP($B457,'Histórico'!$B:$B,'Histórico'!$I:$I),"")</f>
        <v>3122678-04</v>
      </c>
      <c r="D457" s="19">
        <f t="array" ref="D457">IFERROR(_xlfn.XLOOKUP($B457,'Histórico'!$B:$B,'Histórico'!$J:$J),"")</f>
        <v>7213</v>
      </c>
      <c r="E457" s="19" t="str">
        <f t="array" ref="E457">IFERROR(_xlfn.XLOOKUP($B457,'Histórico'!$B:$B,'Histórico'!$K:$K),"")</f>
        <v>FUEL CONTROL UNIT</v>
      </c>
      <c r="F457" s="19" t="str">
        <f t="array" ref="F457">IFERROR(_xlfn.XLOOKUP($B457,'Histórico'!$B:$B,'Histórico'!$L:$L),"")</f>
        <v>C66221</v>
      </c>
      <c r="G457" s="49">
        <f t="array" ref="G457">IFERROR(_xlfn.XLOOKUP($B457,'Histórico'!$B:$B,'Histórico'!$F:$F),"")</f>
        <v>46230</v>
      </c>
      <c r="H457" s="19" t="str">
        <f t="array" ref="H457">IFERROR(_xlfn.XLOOKUP($B457,'Histórico'!$B:$B,'Histórico'!$AA:$AA),"")</f>
        <v>BABR</v>
      </c>
      <c r="I457" s="19" t="str">
        <f t="array" ref="I457">IFERROR(_xlfn.XLOOKUP($B457,Atual!$B:$B,Atual!$E:$E),"OS concluída")</f>
        <v>REC</v>
      </c>
      <c r="J457" s="19">
        <f t="shared" si="1"/>
        <v>80</v>
      </c>
      <c r="K457" s="19"/>
      <c r="L457" s="19" t="str">
        <f t="shared" si="2"/>
        <v/>
      </c>
      <c r="M457" s="19"/>
      <c r="N457" s="49" t="str">
        <f t="array" ref="N457">IFERROR(_xlfn.XLOOKUP($B457,EMPRESA_1!A:A,EMPRESA_1!J:J),"")</f>
        <v/>
      </c>
      <c r="O457" s="50" t="str">
        <f t="array" ref="O457">IFERROR(_xlfn.XLOOKUP(B457,EMPRESA_1!A:A,EMPRESA_1!K:K),"")
</f>
        <v/>
      </c>
      <c r="P457" s="48" t="str">
        <f t="array" ref="P457">IFERROR(_xlfn.XLOOKUP(B457,EMPRESA_1!A:A,EMPRESA_1!L:L),"")</f>
        <v/>
      </c>
      <c r="Q457" s="49" t="str">
        <f t="array" ref="Q457">IFERROR(_xlfn.XLOOKUP(B457,EMPRESA_1!A:A,EMPRESA_1!J:J),"")</f>
        <v/>
      </c>
      <c r="R457" s="19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</row>
    <row r="458">
      <c r="A458" s="48"/>
      <c r="B458" s="47" t="s">
        <v>1186</v>
      </c>
      <c r="C458" s="48" t="str">
        <f t="array" ref="C458">IFERROR(_xlfn.XLOOKUP($B458,'Histórico'!$B:$B,'Histórico'!$I:$I),"")</f>
        <v>C611505-0201</v>
      </c>
      <c r="D458" s="19" t="str">
        <f t="array" ref="D458">IFERROR(_xlfn.XLOOKUP($B458,'Histórico'!$B:$B,'Histórico'!$J:$J),"")</f>
        <v>7EK50</v>
      </c>
      <c r="E458" s="19" t="str">
        <f t="array" ref="E458">IFERROR(_xlfn.XLOOKUP($B458,'Histórico'!$B:$B,'Histórico'!$K:$K),"")</f>
        <v>ALTERNATOR</v>
      </c>
      <c r="F458" s="19" t="str">
        <f t="array" ref="F458">IFERROR(_xlfn.XLOOKUP($B458,'Histórico'!$B:$B,'Histórico'!$L:$L),"")</f>
        <v>2316</v>
      </c>
      <c r="G458" s="49">
        <f t="array" ref="G458">IFERROR(_xlfn.XLOOKUP($B458,'Histórico'!$B:$B,'Histórico'!$F:$F),"")</f>
        <v>46230</v>
      </c>
      <c r="H458" s="19" t="str">
        <f t="array" ref="H458">IFERROR(_xlfn.XLOOKUP($B458,'Histórico'!$B:$B,'Histórico'!$AA:$AA),"")</f>
        <v>BANT</v>
      </c>
      <c r="I458" s="19" t="str">
        <f t="array" ref="I458">IFERROR(_xlfn.XLOOKUP($B458,Atual!$B:$B,Atual!$E:$E),"OS concluída")</f>
        <v>REC</v>
      </c>
      <c r="J458" s="19">
        <f t="shared" si="1"/>
        <v>80</v>
      </c>
      <c r="K458" s="19"/>
      <c r="L458" s="19" t="str">
        <f t="shared" si="2"/>
        <v/>
      </c>
      <c r="M458" s="19"/>
      <c r="N458" s="49" t="str">
        <f t="array" ref="N458">IFERROR(_xlfn.XLOOKUP($B458,EMPRESA_1!A:A,EMPRESA_1!J:J),"")</f>
        <v/>
      </c>
      <c r="O458" s="50" t="str">
        <f t="array" ref="O458">IFERROR(_xlfn.XLOOKUP(B458,EMPRESA_1!A:A,EMPRESA_1!K:K),"")
</f>
        <v/>
      </c>
      <c r="P458" s="48" t="str">
        <f t="array" ref="P458">IFERROR(_xlfn.XLOOKUP(B458,EMPRESA_1!A:A,EMPRESA_1!L:L),"")</f>
        <v/>
      </c>
      <c r="Q458" s="49" t="str">
        <f t="array" ref="Q458">IFERROR(_xlfn.XLOOKUP(B458,EMPRESA_1!A:A,EMPRESA_1!J:J),"")</f>
        <v/>
      </c>
      <c r="R458" s="19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</row>
    <row r="459" hidden="1">
      <c r="A459" s="48"/>
      <c r="B459" s="47" t="s">
        <v>1187</v>
      </c>
      <c r="C459" s="48" t="str">
        <f t="array" ref="C459">IFERROR(_xlfn.XLOOKUP($B459,'Histórico'!$B:$B,'Histórico'!$I:$I),"")</f>
        <v>C611505-0201</v>
      </c>
      <c r="D459" s="19" t="str">
        <f t="array" ref="D459">IFERROR(_xlfn.XLOOKUP($B459,'Histórico'!$B:$B,'Histórico'!$J:$J),"")</f>
        <v>7EK50</v>
      </c>
      <c r="E459" s="19" t="str">
        <f t="array" ref="E459">IFERROR(_xlfn.XLOOKUP($B459,'Histórico'!$B:$B,'Histórico'!$K:$K),"")</f>
        <v>ALTERNATOR</v>
      </c>
      <c r="F459" s="19" t="str">
        <f t="array" ref="F459">IFERROR(_xlfn.XLOOKUP($B459,'Histórico'!$B:$B,'Histórico'!$L:$L),"")</f>
        <v>A102704</v>
      </c>
      <c r="G459" s="49">
        <f t="array" ref="G459">IFERROR(_xlfn.XLOOKUP($B459,'Histórico'!$B:$B,'Histórico'!$F:$F),"")</f>
        <v>46230</v>
      </c>
      <c r="H459" s="19" t="str">
        <f t="array" ref="H459">IFERROR(_xlfn.XLOOKUP($B459,'Histórico'!$B:$B,'Histórico'!$AA:$AA),"")</f>
        <v>BABV</v>
      </c>
      <c r="I459" s="19" t="str">
        <f t="array" ref="I459">IFERROR(_xlfn.XLOOKUP($B459,Atual!$B:$B,Atual!$E:$E),"OS concluída")</f>
        <v>OS concluída</v>
      </c>
      <c r="J459" s="19" t="str">
        <f t="shared" si="1"/>
        <v/>
      </c>
      <c r="K459" s="19"/>
      <c r="L459" s="19" t="str">
        <f t="shared" si="2"/>
        <v/>
      </c>
      <c r="M459" s="19"/>
      <c r="N459" s="49" t="str">
        <f t="array" ref="N459">IFERROR(_xlfn.XLOOKUP($B459,EMPRESA_1!A:A,EMPRESA_1!J:J),"")</f>
        <v/>
      </c>
      <c r="O459" s="50" t="str">
        <f t="array" ref="O459">IFERROR(_xlfn.XLOOKUP(B459,EMPRESA_1!A:A,EMPRESA_1!K:K),"")
</f>
        <v/>
      </c>
      <c r="P459" s="48" t="str">
        <f t="array" ref="P459">IFERROR(_xlfn.XLOOKUP(B459,EMPRESA_1!A:A,EMPRESA_1!L:L),"")</f>
        <v/>
      </c>
      <c r="Q459" s="49" t="str">
        <f t="array" ref="Q459">IFERROR(_xlfn.XLOOKUP(B459,EMPRESA_1!A:A,EMPRESA_1!J:J),"")</f>
        <v/>
      </c>
      <c r="R459" s="19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</row>
    <row r="460">
      <c r="A460" s="48"/>
      <c r="B460" s="47" t="s">
        <v>1188</v>
      </c>
      <c r="C460" s="48" t="str">
        <f t="array" ref="C460">IFERROR(_xlfn.XLOOKUP($B460,'Histórico'!$B:$B,'Histórico'!$I:$I),"")</f>
        <v>9910592-2</v>
      </c>
      <c r="D460" s="19" t="str">
        <f t="array" ref="D460">IFERROR(_xlfn.XLOOKUP($B460,'Histórico'!$B:$B,'Histórico'!$J:$J),"")</f>
        <v>7EK50</v>
      </c>
      <c r="E460" s="19" t="str">
        <f t="array" ref="E460">IFERROR(_xlfn.XLOOKUP($B460,'Histórico'!$B:$B,'Histórico'!$K:$K),"")</f>
        <v>ALTERNADOR</v>
      </c>
      <c r="F460" s="19" t="str">
        <f t="array" ref="F460">IFERROR(_xlfn.XLOOKUP($B460,'Histórico'!$B:$B,'Histórico'!$L:$L),"")</f>
        <v>7</v>
      </c>
      <c r="G460" s="49">
        <f t="array" ref="G460">IFERROR(_xlfn.XLOOKUP($B460,'Histórico'!$B:$B,'Histórico'!$F:$F),"")</f>
        <v>46230</v>
      </c>
      <c r="H460" s="19" t="str">
        <f t="array" ref="H460">IFERROR(_xlfn.XLOOKUP($B460,'Histórico'!$B:$B,'Histórico'!$AA:$AA),"")</f>
        <v>BABR</v>
      </c>
      <c r="I460" s="19" t="str">
        <f t="array" ref="I460">IFERROR(_xlfn.XLOOKUP($B460,Atual!$B:$B,Atual!$E:$E),"OS concluída")</f>
        <v>REC</v>
      </c>
      <c r="J460" s="19">
        <f t="shared" si="1"/>
        <v>80</v>
      </c>
      <c r="K460" s="19"/>
      <c r="L460" s="19" t="str">
        <f t="shared" si="2"/>
        <v/>
      </c>
      <c r="M460" s="19"/>
      <c r="N460" s="49" t="str">
        <f t="array" ref="N460">IFERROR(_xlfn.XLOOKUP($B460,EMPRESA_1!A:A,EMPRESA_1!J:J),"")</f>
        <v/>
      </c>
      <c r="O460" s="50" t="str">
        <f t="array" ref="O460">IFERROR(_xlfn.XLOOKUP(B460,EMPRESA_1!A:A,EMPRESA_1!K:K),"")
</f>
        <v/>
      </c>
      <c r="P460" s="48" t="str">
        <f t="array" ref="P460">IFERROR(_xlfn.XLOOKUP(B460,EMPRESA_1!A:A,EMPRESA_1!L:L),"")</f>
        <v/>
      </c>
      <c r="Q460" s="49" t="str">
        <f t="array" ref="Q460">IFERROR(_xlfn.XLOOKUP(B460,EMPRESA_1!A:A,EMPRESA_1!J:J),"")</f>
        <v/>
      </c>
      <c r="R460" s="19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</row>
    <row r="461">
      <c r="A461" s="48"/>
      <c r="B461" s="47" t="s">
        <v>1189</v>
      </c>
      <c r="C461" s="48" t="str">
        <f t="array" ref="C461">IFERROR(_xlfn.XLOOKUP($B461,'Histórico'!$B:$B,'Histórico'!$I:$I),"")</f>
        <v>3244897-4</v>
      </c>
      <c r="D461" s="19">
        <f t="array" ref="D461">IFERROR(_xlfn.XLOOKUP($B461,'Histórico'!$B:$B,'Histórico'!$J:$J),"")</f>
        <v>7213</v>
      </c>
      <c r="E461" s="19" t="str">
        <f t="array" ref="E461">IFERROR(_xlfn.XLOOKUP($B461,'Histórico'!$B:$B,'Histórico'!$K:$K),"")</f>
        <v>FUEL CONTROL UNIT</v>
      </c>
      <c r="F461" s="19" t="str">
        <f t="array" ref="F461">IFERROR(_xlfn.XLOOKUP($B461,'Histórico'!$B:$B,'Histórico'!$L:$L),"")</f>
        <v>C66691</v>
      </c>
      <c r="G461" s="49">
        <f t="array" ref="G461">IFERROR(_xlfn.XLOOKUP($B461,'Histórico'!$B:$B,'Histórico'!$F:$F),"")</f>
        <v>46231</v>
      </c>
      <c r="H461" s="19" t="str">
        <f t="array" ref="H461">IFERROR(_xlfn.XLOOKUP($B461,'Histórico'!$B:$B,'Histórico'!$AA:$AA),"")</f>
        <v>CLA</v>
      </c>
      <c r="I461" s="19" t="str">
        <f t="array" ref="I461">IFERROR(_xlfn.XLOOKUP($B461,Atual!$B:$B,Atual!$E:$E),"OS concluída")</f>
        <v>REC</v>
      </c>
      <c r="J461" s="19">
        <f t="shared" si="1"/>
        <v>79</v>
      </c>
      <c r="K461" s="19"/>
      <c r="L461" s="19" t="str">
        <f t="shared" si="2"/>
        <v/>
      </c>
      <c r="M461" s="19"/>
      <c r="N461" s="49" t="str">
        <f t="array" ref="N461">IFERROR(_xlfn.XLOOKUP($B461,EMPRESA_1!A:A,EMPRESA_1!J:J),"")</f>
        <v/>
      </c>
      <c r="O461" s="50" t="str">
        <f t="array" ref="O461">IFERROR(_xlfn.XLOOKUP(B461,EMPRESA_1!A:A,EMPRESA_1!K:K),"")
</f>
        <v/>
      </c>
      <c r="P461" s="48" t="str">
        <f t="array" ref="P461">IFERROR(_xlfn.XLOOKUP(B461,EMPRESA_1!A:A,EMPRESA_1!L:L),"")</f>
        <v/>
      </c>
      <c r="Q461" s="49" t="str">
        <f t="array" ref="Q461">IFERROR(_xlfn.XLOOKUP(B461,EMPRESA_1!A:A,EMPRESA_1!J:J),"")</f>
        <v/>
      </c>
      <c r="R461" s="19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</row>
    <row r="462">
      <c r="A462" s="48"/>
      <c r="B462" s="47" t="s">
        <v>1190</v>
      </c>
      <c r="C462" s="48" t="str">
        <f t="array" ref="C462">IFERROR(_xlfn.XLOOKUP($B462,'Histórico'!$B:$B,'Histórico'!$I:$I),"")</f>
        <v>C611008-0101</v>
      </c>
      <c r="D462" s="19" t="str">
        <f t="array" ref="D462">IFERROR(_xlfn.XLOOKUP($B462,'Histórico'!$B:$B,'Histórico'!$J:$J),"")</f>
        <v>7EK50</v>
      </c>
      <c r="E462" s="19" t="str">
        <f t="array" ref="E462">IFERROR(_xlfn.XLOOKUP($B462,'Histórico'!$B:$B,'Histórico'!$K:$K),"")</f>
        <v>ALTERNATOR CONTROL UNIT</v>
      </c>
      <c r="F462" s="19" t="str">
        <f t="array" ref="F462">IFERROR(_xlfn.XLOOKUP($B462,'Histórico'!$B:$B,'Histórico'!$L:$L),"")</f>
        <v>E0211</v>
      </c>
      <c r="G462" s="49">
        <f t="array" ref="G462">IFERROR(_xlfn.XLOOKUP($B462,'Histórico'!$B:$B,'Histórico'!$F:$F),"")</f>
        <v>46233</v>
      </c>
      <c r="H462" s="19" t="str">
        <f t="array" ref="H462">IFERROR(_xlfn.XLOOKUP($B462,'Histórico'!$B:$B,'Histórico'!$AA:$AA),"")</f>
        <v>PAMALS</v>
      </c>
      <c r="I462" s="19" t="str">
        <f t="array" ref="I462">IFERROR(_xlfn.XLOOKUP($B462,Atual!$B:$B,Atual!$E:$E),"OS concluída")</f>
        <v>REC</v>
      </c>
      <c r="J462" s="19">
        <f t="shared" si="1"/>
        <v>77</v>
      </c>
      <c r="K462" s="19"/>
      <c r="L462" s="19" t="str">
        <f t="shared" si="2"/>
        <v/>
      </c>
      <c r="M462" s="19"/>
      <c r="N462" s="49" t="str">
        <f t="array" ref="N462">IFERROR(_xlfn.XLOOKUP($B462,EMPRESA_1!A:A,EMPRESA_1!J:J),"")</f>
        <v/>
      </c>
      <c r="O462" s="50" t="str">
        <f t="array" ref="O462">IFERROR(_xlfn.XLOOKUP(B462,EMPRESA_1!A:A,EMPRESA_1!K:K),"")
</f>
        <v/>
      </c>
      <c r="P462" s="48" t="str">
        <f t="array" ref="P462">IFERROR(_xlfn.XLOOKUP(B462,EMPRESA_1!A:A,EMPRESA_1!L:L),"")</f>
        <v/>
      </c>
      <c r="Q462" s="49" t="str">
        <f t="array" ref="Q462">IFERROR(_xlfn.XLOOKUP(B462,EMPRESA_1!A:A,EMPRESA_1!J:J),"")</f>
        <v/>
      </c>
      <c r="R462" s="19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</row>
    <row r="463">
      <c r="A463" s="48"/>
      <c r="B463" s="47" t="s">
        <v>1191</v>
      </c>
      <c r="C463" s="48" t="str">
        <f t="array" ref="C463">IFERROR(_xlfn.XLOOKUP($B463,'Histórico'!$B:$B,'Histórico'!$I:$I),"")</f>
        <v>C611008-0101</v>
      </c>
      <c r="D463" s="19" t="str">
        <f t="array" ref="D463">IFERROR(_xlfn.XLOOKUP($B463,'Histórico'!$B:$B,'Histórico'!$J:$J),"")</f>
        <v>7EK50</v>
      </c>
      <c r="E463" s="19" t="str">
        <f t="array" ref="E463">IFERROR(_xlfn.XLOOKUP($B463,'Histórico'!$B:$B,'Histórico'!$K:$K),"")</f>
        <v>ALTERNATOR CONTROL UNIT</v>
      </c>
      <c r="F463" s="19" t="str">
        <f t="array" ref="F463">IFERROR(_xlfn.XLOOKUP($B463,'Histórico'!$B:$B,'Histórico'!$L:$L),"")</f>
        <v>D051688</v>
      </c>
      <c r="G463" s="49">
        <f t="array" ref="G463">IFERROR(_xlfn.XLOOKUP($B463,'Histórico'!$B:$B,'Histórico'!$F:$F),"")</f>
        <v>46233</v>
      </c>
      <c r="H463" s="19" t="str">
        <f t="array" ref="H463">IFERROR(_xlfn.XLOOKUP($B463,'Histórico'!$B:$B,'Histórico'!$AA:$AA),"")</f>
        <v>BABV</v>
      </c>
      <c r="I463" s="19" t="str">
        <f t="array" ref="I463">IFERROR(_xlfn.XLOOKUP($B463,Atual!$B:$B,Atual!$E:$E),"OS concluída")</f>
        <v>REC</v>
      </c>
      <c r="J463" s="19">
        <f t="shared" si="1"/>
        <v>77</v>
      </c>
      <c r="K463" s="19"/>
      <c r="L463" s="19" t="str">
        <f t="shared" si="2"/>
        <v/>
      </c>
      <c r="M463" s="19"/>
      <c r="N463" s="49" t="str">
        <f t="array" ref="N463">IFERROR(_xlfn.XLOOKUP($B463,EMPRESA_1!A:A,EMPRESA_1!J:J),"")</f>
        <v/>
      </c>
      <c r="O463" s="50" t="str">
        <f t="array" ref="O463">IFERROR(_xlfn.XLOOKUP(B463,EMPRESA_1!A:A,EMPRESA_1!K:K),"")
</f>
        <v/>
      </c>
      <c r="P463" s="48" t="str">
        <f t="array" ref="P463">IFERROR(_xlfn.XLOOKUP(B463,EMPRESA_1!A:A,EMPRESA_1!L:L),"")</f>
        <v/>
      </c>
      <c r="Q463" s="49" t="str">
        <f t="array" ref="Q463">IFERROR(_xlfn.XLOOKUP(B463,EMPRESA_1!A:A,EMPRESA_1!J:J),"")</f>
        <v/>
      </c>
      <c r="R463" s="19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</row>
    <row r="464">
      <c r="A464" s="48"/>
      <c r="B464" s="47" t="s">
        <v>1192</v>
      </c>
      <c r="C464" s="48" t="str">
        <f t="array" ref="C464">IFERROR(_xlfn.XLOOKUP($B464,'Histórico'!$B:$B,'Histórico'!$I:$I),"")</f>
        <v>C611008-0101</v>
      </c>
      <c r="D464" s="19" t="str">
        <f t="array" ref="D464">IFERROR(_xlfn.XLOOKUP($B464,'Histórico'!$B:$B,'Histórico'!$J:$J),"")</f>
        <v>7EK50</v>
      </c>
      <c r="E464" s="19" t="str">
        <f t="array" ref="E464">IFERROR(_xlfn.XLOOKUP($B464,'Histórico'!$B:$B,'Histórico'!$K:$K),"")</f>
        <v>ALTERNATOR CONTROL UNIT</v>
      </c>
      <c r="F464" s="19" t="str">
        <f t="array" ref="F464">IFERROR(_xlfn.XLOOKUP($B464,'Histórico'!$B:$B,'Histórico'!$L:$L),"")</f>
        <v>4100928</v>
      </c>
      <c r="G464" s="49">
        <f t="array" ref="G464">IFERROR(_xlfn.XLOOKUP($B464,'Histórico'!$B:$B,'Histórico'!$F:$F),"")</f>
        <v>46233</v>
      </c>
      <c r="H464" s="19" t="str">
        <f t="array" ref="H464">IFERROR(_xlfn.XLOOKUP($B464,'Histórico'!$B:$B,'Histórico'!$AA:$AA),"")</f>
        <v>PAMALS</v>
      </c>
      <c r="I464" s="19" t="str">
        <f t="array" ref="I464">IFERROR(_xlfn.XLOOKUP($B464,Atual!$B:$B,Atual!$E:$E),"OS concluída")</f>
        <v>REC</v>
      </c>
      <c r="J464" s="19">
        <f t="shared" si="1"/>
        <v>77</v>
      </c>
      <c r="K464" s="19"/>
      <c r="L464" s="19" t="str">
        <f t="shared" si="2"/>
        <v/>
      </c>
      <c r="M464" s="19"/>
      <c r="N464" s="49" t="str">
        <f t="array" ref="N464">IFERROR(_xlfn.XLOOKUP($B464,EMPRESA_1!A:A,EMPRESA_1!J:J),"")</f>
        <v/>
      </c>
      <c r="O464" s="50" t="str">
        <f t="array" ref="O464">IFERROR(_xlfn.XLOOKUP(B464,EMPRESA_1!A:A,EMPRESA_1!K:K),"")
</f>
        <v/>
      </c>
      <c r="P464" s="48" t="str">
        <f t="array" ref="P464">IFERROR(_xlfn.XLOOKUP(B464,EMPRESA_1!A:A,EMPRESA_1!L:L),"")</f>
        <v/>
      </c>
      <c r="Q464" s="49" t="str">
        <f t="array" ref="Q464">IFERROR(_xlfn.XLOOKUP(B464,EMPRESA_1!A:A,EMPRESA_1!J:J),"")</f>
        <v/>
      </c>
      <c r="R464" s="19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</row>
    <row r="465">
      <c r="A465" s="48"/>
      <c r="B465" s="47" t="s">
        <v>1193</v>
      </c>
      <c r="C465" s="48" t="str">
        <f t="array" ref="C465">IFERROR(_xlfn.XLOOKUP($B465,'Histórico'!$B:$B,'Histórico'!$I:$I),"")</f>
        <v>C611008-0101</v>
      </c>
      <c r="D465" s="19" t="str">
        <f t="array" ref="D465">IFERROR(_xlfn.XLOOKUP($B465,'Histórico'!$B:$B,'Histórico'!$J:$J),"")</f>
        <v>7EK50</v>
      </c>
      <c r="E465" s="19" t="str">
        <f t="array" ref="E465">IFERROR(_xlfn.XLOOKUP($B465,'Histórico'!$B:$B,'Histórico'!$K:$K),"")</f>
        <v>ALTERNATOR CONTROL UNIT</v>
      </c>
      <c r="F465" s="19" t="str">
        <f t="array" ref="F465">IFERROR(_xlfn.XLOOKUP($B465,'Histórico'!$B:$B,'Histórico'!$L:$L),"")</f>
        <v>1017</v>
      </c>
      <c r="G465" s="49">
        <f t="array" ref="G465">IFERROR(_xlfn.XLOOKUP($B465,'Histórico'!$B:$B,'Histórico'!$F:$F),"")</f>
        <v>46233</v>
      </c>
      <c r="H465" s="19" t="str">
        <f t="array" ref="H465">IFERROR(_xlfn.XLOOKUP($B465,'Histórico'!$B:$B,'Histórico'!$AA:$AA),"")</f>
        <v>PAMALS</v>
      </c>
      <c r="I465" s="19" t="str">
        <f t="array" ref="I465">IFERROR(_xlfn.XLOOKUP($B465,Atual!$B:$B,Atual!$E:$E),"OS concluída")</f>
        <v>REC</v>
      </c>
      <c r="J465" s="19">
        <f t="shared" si="1"/>
        <v>77</v>
      </c>
      <c r="K465" s="19"/>
      <c r="L465" s="19" t="str">
        <f t="shared" si="2"/>
        <v/>
      </c>
      <c r="M465" s="19"/>
      <c r="N465" s="49" t="str">
        <f t="array" ref="N465">IFERROR(_xlfn.XLOOKUP($B465,EMPRESA_1!A:A,EMPRESA_1!J:J),"")</f>
        <v/>
      </c>
      <c r="O465" s="50" t="str">
        <f t="array" ref="O465">IFERROR(_xlfn.XLOOKUP(B465,EMPRESA_1!A:A,EMPRESA_1!K:K),"")
</f>
        <v/>
      </c>
      <c r="P465" s="48" t="str">
        <f t="array" ref="P465">IFERROR(_xlfn.XLOOKUP(B465,EMPRESA_1!A:A,EMPRESA_1!L:L),"")</f>
        <v/>
      </c>
      <c r="Q465" s="49" t="str">
        <f t="array" ref="Q465">IFERROR(_xlfn.XLOOKUP(B465,EMPRESA_1!A:A,EMPRESA_1!J:J),"")</f>
        <v/>
      </c>
      <c r="R465" s="19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</row>
    <row r="466">
      <c r="A466" s="48"/>
      <c r="B466" s="47" t="s">
        <v>1194</v>
      </c>
      <c r="C466" s="48" t="str">
        <f t="array" ref="C466">IFERROR(_xlfn.XLOOKUP($B466,'Histórico'!$B:$B,'Histórico'!$I:$I),"")</f>
        <v>011-00916-10</v>
      </c>
      <c r="D466" s="19" t="str">
        <f t="array" ref="D466">IFERROR(_xlfn.XLOOKUP($B466,'Histórico'!$B:$B,'Histórico'!$J:$J),"")</f>
        <v>0TRC3</v>
      </c>
      <c r="E466" s="19" t="str">
        <f t="array" ref="E466">IFERROR(_xlfn.XLOOKUP($B466,'Histórico'!$B:$B,'Histórico'!$K:$K),"")</f>
        <v>DISPLAY UNIT,FLIGHT INFORMATION</v>
      </c>
      <c r="F466" s="19" t="str">
        <f t="array" ref="F466">IFERROR(_xlfn.XLOOKUP($B466,'Histórico'!$B:$B,'Histórico'!$L:$L),"")</f>
        <v>86816876</v>
      </c>
      <c r="G466" s="49">
        <f t="array" ref="G466">IFERROR(_xlfn.XLOOKUP($B466,'Histórico'!$B:$B,'Histórico'!$F:$F),"")</f>
        <v>46234</v>
      </c>
      <c r="H466" s="19" t="str">
        <f t="array" ref="H466">IFERROR(_xlfn.XLOOKUP($B466,'Histórico'!$B:$B,'Histórico'!$AA:$AA),"")</f>
        <v>BAMN</v>
      </c>
      <c r="I466" s="19" t="str">
        <f t="array" ref="I466">IFERROR(_xlfn.XLOOKUP($B466,Atual!$B:$B,Atual!$E:$E),"OS concluída")</f>
        <v>REC</v>
      </c>
      <c r="J466" s="19">
        <f t="shared" si="1"/>
        <v>76</v>
      </c>
      <c r="K466" s="19"/>
      <c r="L466" s="19" t="str">
        <f t="shared" si="2"/>
        <v/>
      </c>
      <c r="M466" s="19"/>
      <c r="N466" s="49" t="str">
        <f t="array" ref="N466">IFERROR(_xlfn.XLOOKUP($B466,EMPRESA_1!A:A,EMPRESA_1!J:J),"")</f>
        <v/>
      </c>
      <c r="O466" s="50" t="str">
        <f t="array" ref="O466">IFERROR(_xlfn.XLOOKUP(B466,EMPRESA_1!A:A,EMPRESA_1!K:K),"")
</f>
        <v/>
      </c>
      <c r="P466" s="48" t="str">
        <f t="array" ref="P466">IFERROR(_xlfn.XLOOKUP(B466,EMPRESA_1!A:A,EMPRESA_1!L:L),"")</f>
        <v/>
      </c>
      <c r="Q466" s="49" t="str">
        <f t="array" ref="Q466">IFERROR(_xlfn.XLOOKUP(B466,EMPRESA_1!A:A,EMPRESA_1!J:J),"")</f>
        <v/>
      </c>
      <c r="R466" s="19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</row>
    <row r="467">
      <c r="A467" s="48"/>
      <c r="B467" s="47" t="s">
        <v>1195</v>
      </c>
      <c r="C467" s="48" t="str">
        <f t="array" ref="C467">IFERROR(_xlfn.XLOOKUP($B467,'Histórico'!$B:$B,'Histórico'!$I:$I),"")</f>
        <v>011-00916-00</v>
      </c>
      <c r="D467" s="19" t="str">
        <f t="array" ref="D467">IFERROR(_xlfn.XLOOKUP($B467,'Histórico'!$B:$B,'Histórico'!$J:$J),"")</f>
        <v>0TRC3</v>
      </c>
      <c r="E467" s="19" t="str">
        <f t="array" ref="E467">IFERROR(_xlfn.XLOOKUP($B467,'Histórico'!$B:$B,'Histórico'!$K:$K),"")</f>
        <v>DISPLAY UNIT GDU 1040A</v>
      </c>
      <c r="F467" s="19" t="str">
        <f t="array" ref="F467">IFERROR(_xlfn.XLOOKUP($B467,'Histórico'!$B:$B,'Histórico'!$L:$L),"")</f>
        <v>86800896</v>
      </c>
      <c r="G467" s="49">
        <f t="array" ref="G467">IFERROR(_xlfn.XLOOKUP($B467,'Histórico'!$B:$B,'Histórico'!$F:$F),"")</f>
        <v>46230</v>
      </c>
      <c r="H467" s="19" t="str">
        <f t="array" ref="H467">IFERROR(_xlfn.XLOOKUP($B467,'Histórico'!$B:$B,'Histórico'!$AA:$AA),"")</f>
        <v>PAMALS</v>
      </c>
      <c r="I467" s="19" t="str">
        <f t="array" ref="I467">IFERROR(_xlfn.XLOOKUP($B467,Atual!$B:$B,Atual!$E:$E),"OS concluída")</f>
        <v>REC</v>
      </c>
      <c r="J467" s="19">
        <f t="shared" si="1"/>
        <v>80</v>
      </c>
      <c r="K467" s="19"/>
      <c r="L467" s="19" t="str">
        <f t="shared" si="2"/>
        <v/>
      </c>
      <c r="M467" s="19"/>
      <c r="N467" s="49" t="str">
        <f t="array" ref="N467">IFERROR(_xlfn.XLOOKUP($B467,EMPRESA_1!A:A,EMPRESA_1!J:J),"")</f>
        <v/>
      </c>
      <c r="O467" s="50" t="str">
        <f t="array" ref="O467">IFERROR(_xlfn.XLOOKUP(B467,EMPRESA_1!A:A,EMPRESA_1!K:K),"")
</f>
        <v/>
      </c>
      <c r="P467" s="48" t="str">
        <f t="array" ref="P467">IFERROR(_xlfn.XLOOKUP(B467,EMPRESA_1!A:A,EMPRESA_1!L:L),"")</f>
        <v/>
      </c>
      <c r="Q467" s="49" t="str">
        <f t="array" ref="Q467">IFERROR(_xlfn.XLOOKUP(B467,EMPRESA_1!A:A,EMPRESA_1!J:J),"")</f>
        <v/>
      </c>
      <c r="R467" s="19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</row>
    <row r="468">
      <c r="A468" s="48"/>
      <c r="B468" s="47" t="s">
        <v>1196</v>
      </c>
      <c r="C468" s="48" t="str">
        <f t="array" ref="C468">IFERROR(_xlfn.XLOOKUP($B468,'Histórico'!$B:$B,'Histórico'!$I:$I),"")</f>
        <v>011-00916-00</v>
      </c>
      <c r="D468" s="19" t="str">
        <f t="array" ref="D468">IFERROR(_xlfn.XLOOKUP($B468,'Histórico'!$B:$B,'Histórico'!$J:$J),"")</f>
        <v>0TRC3</v>
      </c>
      <c r="E468" s="19" t="str">
        <f t="array" ref="E468">IFERROR(_xlfn.XLOOKUP($B468,'Histórico'!$B:$B,'Histórico'!$K:$K),"")</f>
        <v>DISPLAY UNIT GDU 1040A</v>
      </c>
      <c r="F468" s="19" t="str">
        <f t="array" ref="F468">IFERROR(_xlfn.XLOOKUP($B468,'Histórico'!$B:$B,'Histórico'!$L:$L),"")</f>
        <v>86801593</v>
      </c>
      <c r="G468" s="49">
        <f t="array" ref="G468">IFERROR(_xlfn.XLOOKUP($B468,'Histórico'!$B:$B,'Histórico'!$F:$F),"")</f>
        <v>46230</v>
      </c>
      <c r="H468" s="19" t="str">
        <f t="array" ref="H468">IFERROR(_xlfn.XLOOKUP($B468,'Histórico'!$B:$B,'Histórico'!$AA:$AA),"")</f>
        <v>PAMALS</v>
      </c>
      <c r="I468" s="19" t="str">
        <f t="array" ref="I468">IFERROR(_xlfn.XLOOKUP($B468,Atual!$B:$B,Atual!$E:$E),"OS concluída")</f>
        <v>REC</v>
      </c>
      <c r="J468" s="19">
        <f t="shared" si="1"/>
        <v>80</v>
      </c>
      <c r="K468" s="19"/>
      <c r="L468" s="19" t="str">
        <f t="shared" si="2"/>
        <v/>
      </c>
      <c r="M468" s="19"/>
      <c r="N468" s="49" t="str">
        <f t="array" ref="N468">IFERROR(_xlfn.XLOOKUP($B468,EMPRESA_1!A:A,EMPRESA_1!J:J),"")</f>
        <v/>
      </c>
      <c r="O468" s="50" t="str">
        <f t="array" ref="O468">IFERROR(_xlfn.XLOOKUP(B468,EMPRESA_1!A:A,EMPRESA_1!K:K),"")
</f>
        <v/>
      </c>
      <c r="P468" s="48" t="str">
        <f t="array" ref="P468">IFERROR(_xlfn.XLOOKUP(B468,EMPRESA_1!A:A,EMPRESA_1!L:L),"")</f>
        <v/>
      </c>
      <c r="Q468" s="49" t="str">
        <f t="array" ref="Q468">IFERROR(_xlfn.XLOOKUP(B468,EMPRESA_1!A:A,EMPRESA_1!J:J),"")</f>
        <v/>
      </c>
      <c r="R468" s="19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</row>
    <row r="469">
      <c r="A469" s="48"/>
      <c r="B469" s="47" t="s">
        <v>1197</v>
      </c>
      <c r="C469" s="48" t="str">
        <f t="array" ref="C469">IFERROR(_xlfn.XLOOKUP($B469,'Histórico'!$B:$B,'Histórico'!$I:$I),"")</f>
        <v>EA-5175-52-CES</v>
      </c>
      <c r="D469" s="19" t="str">
        <f t="array" ref="D469">IFERROR(_xlfn.XLOOKUP($B469,'Histórico'!$B:$B,'Histórico'!$J:$J),"")</f>
        <v>7EK50</v>
      </c>
      <c r="E469" s="19" t="str">
        <f t="array" ref="E469">IFERROR(_xlfn.XLOOKUP($B469,'Histórico'!$B:$B,'Histórico'!$K:$K),"")</f>
        <v>INDICATOR TRUE</v>
      </c>
      <c r="F469" s="19" t="str">
        <f t="array" ref="F469">IFERROR(_xlfn.XLOOKUP($B469,'Histórico'!$B:$B,'Histórico'!$L:$L),"")</f>
        <v>T33486</v>
      </c>
      <c r="G469" s="49">
        <f t="array" ref="G469">IFERROR(_xlfn.XLOOKUP($B469,'Histórico'!$B:$B,'Histórico'!$F:$F),"")</f>
        <v>46230</v>
      </c>
      <c r="H469" s="19" t="str">
        <f t="array" ref="H469">IFERROR(_xlfn.XLOOKUP($B469,'Histórico'!$B:$B,'Histórico'!$AA:$AA),"")</f>
        <v>BABV</v>
      </c>
      <c r="I469" s="19" t="str">
        <f t="array" ref="I469">IFERROR(_xlfn.XLOOKUP($B469,Atual!$B:$B,Atual!$E:$E),"OS concluída")</f>
        <v>REC</v>
      </c>
      <c r="J469" s="19">
        <f t="shared" si="1"/>
        <v>80</v>
      </c>
      <c r="K469" s="19"/>
      <c r="L469" s="19" t="str">
        <f t="shared" si="2"/>
        <v/>
      </c>
      <c r="M469" s="19"/>
      <c r="N469" s="49" t="str">
        <f t="array" ref="N469">IFERROR(_xlfn.XLOOKUP($B469,EMPRESA_1!A:A,EMPRESA_1!J:J),"")</f>
        <v/>
      </c>
      <c r="O469" s="50" t="str">
        <f t="array" ref="O469">IFERROR(_xlfn.XLOOKUP(B469,EMPRESA_1!A:A,EMPRESA_1!K:K),"")
</f>
        <v/>
      </c>
      <c r="P469" s="48" t="str">
        <f t="array" ref="P469">IFERROR(_xlfn.XLOOKUP(B469,EMPRESA_1!A:A,EMPRESA_1!L:L),"")</f>
        <v/>
      </c>
      <c r="Q469" s="49" t="str">
        <f t="array" ref="Q469">IFERROR(_xlfn.XLOOKUP(B469,EMPRESA_1!A:A,EMPRESA_1!J:J),"")</f>
        <v/>
      </c>
      <c r="R469" s="19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</row>
    <row r="470">
      <c r="A470" s="48"/>
      <c r="B470" s="47" t="s">
        <v>1198</v>
      </c>
      <c r="C470" s="48" t="str">
        <f t="array" ref="C470">IFERROR(_xlfn.XLOOKUP($B470,'Histórico'!$B:$B,'Histórico'!$I:$I),"")</f>
        <v>EA-5175-52-CES</v>
      </c>
      <c r="D470" s="19" t="str">
        <f t="array" ref="D470">IFERROR(_xlfn.XLOOKUP($B470,'Histórico'!$B:$B,'Histórico'!$J:$J),"")</f>
        <v>7EK50</v>
      </c>
      <c r="E470" s="19" t="str">
        <f t="array" ref="E470">IFERROR(_xlfn.XLOOKUP($B470,'Histórico'!$B:$B,'Histórico'!$K:$K),"")</f>
        <v>INDICATOR TRUE</v>
      </c>
      <c r="F470" s="19" t="str">
        <f t="array" ref="F470">IFERROR(_xlfn.XLOOKUP($B470,'Histórico'!$B:$B,'Histórico'!$L:$L),"")</f>
        <v>T32276</v>
      </c>
      <c r="G470" s="49">
        <f t="array" ref="G470">IFERROR(_xlfn.XLOOKUP($B470,'Histórico'!$B:$B,'Histórico'!$F:$F),"")</f>
        <v>46230</v>
      </c>
      <c r="H470" s="19" t="str">
        <f t="array" ref="H470">IFERROR(_xlfn.XLOOKUP($B470,'Histórico'!$B:$B,'Histórico'!$AA:$AA),"")</f>
        <v>BASM</v>
      </c>
      <c r="I470" s="19" t="str">
        <f t="array" ref="I470">IFERROR(_xlfn.XLOOKUP($B470,Atual!$B:$B,Atual!$E:$E),"OS concluída")</f>
        <v>REC</v>
      </c>
      <c r="J470" s="19">
        <f t="shared" si="1"/>
        <v>80</v>
      </c>
      <c r="K470" s="19"/>
      <c r="L470" s="19" t="str">
        <f t="shared" si="2"/>
        <v/>
      </c>
      <c r="M470" s="19"/>
      <c r="N470" s="49" t="str">
        <f t="array" ref="N470">IFERROR(_xlfn.XLOOKUP($B470,EMPRESA_1!A:A,EMPRESA_1!J:J),"")</f>
        <v/>
      </c>
      <c r="O470" s="50" t="str">
        <f t="array" ref="O470">IFERROR(_xlfn.XLOOKUP(B470,EMPRESA_1!A:A,EMPRESA_1!K:K),"")
</f>
        <v/>
      </c>
      <c r="P470" s="48" t="str">
        <f t="array" ref="P470">IFERROR(_xlfn.XLOOKUP(B470,EMPRESA_1!A:A,EMPRESA_1!L:L),"")</f>
        <v/>
      </c>
      <c r="Q470" s="49" t="str">
        <f t="array" ref="Q470">IFERROR(_xlfn.XLOOKUP(B470,EMPRESA_1!A:A,EMPRESA_1!J:J),"")</f>
        <v/>
      </c>
      <c r="R470" s="19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</row>
    <row r="471">
      <c r="A471" s="48"/>
      <c r="B471" s="47" t="s">
        <v>1199</v>
      </c>
      <c r="C471" s="48" t="str">
        <f t="array" ref="C471">IFERROR(_xlfn.XLOOKUP($B471,'Histórico'!$B:$B,'Histórico'!$I:$I),"")</f>
        <v>EA-5175-52-CES</v>
      </c>
      <c r="D471" s="19" t="str">
        <f t="array" ref="D471">IFERROR(_xlfn.XLOOKUP($B471,'Histórico'!$B:$B,'Histórico'!$J:$J),"")</f>
        <v>7EK50</v>
      </c>
      <c r="E471" s="19" t="str">
        <f t="array" ref="E471">IFERROR(_xlfn.XLOOKUP($B471,'Histórico'!$B:$B,'Histórico'!$K:$K),"")</f>
        <v>INDICATOR TRUE</v>
      </c>
      <c r="F471" s="19" t="str">
        <f t="array" ref="F471">IFERROR(_xlfn.XLOOKUP($B471,'Histórico'!$B:$B,'Histórico'!$L:$L),"")</f>
        <v>T42285</v>
      </c>
      <c r="G471" s="49">
        <f t="array" ref="G471">IFERROR(_xlfn.XLOOKUP($B471,'Histórico'!$B:$B,'Histórico'!$F:$F),"")</f>
        <v>46230</v>
      </c>
      <c r="H471" s="19" t="str">
        <f t="array" ref="H471">IFERROR(_xlfn.XLOOKUP($B471,'Histórico'!$B:$B,'Histórico'!$AA:$AA),"")</f>
        <v>BABV</v>
      </c>
      <c r="I471" s="19" t="str">
        <f t="array" ref="I471">IFERROR(_xlfn.XLOOKUP($B471,Atual!$B:$B,Atual!$E:$E),"OS concluída")</f>
        <v>REC</v>
      </c>
      <c r="J471" s="19">
        <f t="shared" si="1"/>
        <v>80</v>
      </c>
      <c r="K471" s="19"/>
      <c r="L471" s="19" t="str">
        <f t="shared" si="2"/>
        <v/>
      </c>
      <c r="M471" s="19"/>
      <c r="N471" s="49" t="str">
        <f t="array" ref="N471">IFERROR(_xlfn.XLOOKUP($B471,EMPRESA_1!A:A,EMPRESA_1!J:J),"")</f>
        <v/>
      </c>
      <c r="O471" s="50" t="str">
        <f t="array" ref="O471">IFERROR(_xlfn.XLOOKUP(B471,EMPRESA_1!A:A,EMPRESA_1!K:K),"")
</f>
        <v/>
      </c>
      <c r="P471" s="48" t="str">
        <f t="array" ref="P471">IFERROR(_xlfn.XLOOKUP(B471,EMPRESA_1!A:A,EMPRESA_1!L:L),"")</f>
        <v/>
      </c>
      <c r="Q471" s="49" t="str">
        <f t="array" ref="Q471">IFERROR(_xlfn.XLOOKUP(B471,EMPRESA_1!A:A,EMPRESA_1!J:J),"")</f>
        <v/>
      </c>
      <c r="R471" s="19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</row>
    <row r="472">
      <c r="A472" s="48"/>
      <c r="B472" s="47" t="s">
        <v>1200</v>
      </c>
      <c r="C472" s="48" t="str">
        <f t="array" ref="C472">IFERROR(_xlfn.XLOOKUP($B472,'Histórico'!$B:$B,'Histórico'!$I:$I),"")</f>
        <v>EA-5175-52-CES</v>
      </c>
      <c r="D472" s="19" t="str">
        <f t="array" ref="D472">IFERROR(_xlfn.XLOOKUP($B472,'Histórico'!$B:$B,'Histórico'!$J:$J),"")</f>
        <v>7EK50</v>
      </c>
      <c r="E472" s="19" t="str">
        <f t="array" ref="E472">IFERROR(_xlfn.XLOOKUP($B472,'Histórico'!$B:$B,'Histórico'!$K:$K),"")</f>
        <v>INDICATOR TRUE</v>
      </c>
      <c r="F472" s="19" t="str">
        <f t="array" ref="F472">IFERROR(_xlfn.XLOOKUP($B472,'Histórico'!$B:$B,'Histórico'!$L:$L),"")</f>
        <v>T34321</v>
      </c>
      <c r="G472" s="49">
        <f t="array" ref="G472">IFERROR(_xlfn.XLOOKUP($B472,'Histórico'!$B:$B,'Histórico'!$F:$F),"")</f>
        <v>46230</v>
      </c>
      <c r="H472" s="19" t="str">
        <f t="array" ref="H472">IFERROR(_xlfn.XLOOKUP($B472,'Histórico'!$B:$B,'Histórico'!$AA:$AA),"")</f>
        <v>BABV</v>
      </c>
      <c r="I472" s="19" t="str">
        <f t="array" ref="I472">IFERROR(_xlfn.XLOOKUP($B472,Atual!$B:$B,Atual!$E:$E),"OS concluída")</f>
        <v>REC</v>
      </c>
      <c r="J472" s="19">
        <f t="shared" si="1"/>
        <v>80</v>
      </c>
      <c r="K472" s="19"/>
      <c r="L472" s="19" t="str">
        <f t="shared" si="2"/>
        <v/>
      </c>
      <c r="M472" s="19"/>
      <c r="N472" s="49" t="str">
        <f t="array" ref="N472">IFERROR(_xlfn.XLOOKUP($B472,EMPRESA_1!A:A,EMPRESA_1!J:J),"")</f>
        <v/>
      </c>
      <c r="O472" s="50" t="str">
        <f t="array" ref="O472">IFERROR(_xlfn.XLOOKUP(B472,EMPRESA_1!A:A,EMPRESA_1!K:K),"")
</f>
        <v/>
      </c>
      <c r="P472" s="48" t="str">
        <f t="array" ref="P472">IFERROR(_xlfn.XLOOKUP(B472,EMPRESA_1!A:A,EMPRESA_1!L:L),"")</f>
        <v/>
      </c>
      <c r="Q472" s="49" t="str">
        <f t="array" ref="Q472">IFERROR(_xlfn.XLOOKUP(B472,EMPRESA_1!A:A,EMPRESA_1!J:J),"")</f>
        <v/>
      </c>
      <c r="R472" s="19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</row>
    <row r="473" hidden="1">
      <c r="A473" s="48"/>
      <c r="B473" s="47" t="s">
        <v>1201</v>
      </c>
      <c r="C473" s="48" t="str">
        <f t="array" ref="C473">IFERROR(_xlfn.XLOOKUP($B473,'Histórico'!$B:$B,'Histórico'!$I:$I),"")</f>
        <v>9910592-2</v>
      </c>
      <c r="D473" s="19" t="str">
        <f t="array" ref="D473">IFERROR(_xlfn.XLOOKUP($B473,'Histórico'!$B:$B,'Histórico'!$J:$J),"")</f>
        <v>7EK50</v>
      </c>
      <c r="E473" s="19" t="str">
        <f t="array" ref="E473">IFERROR(_xlfn.XLOOKUP($B473,'Histórico'!$B:$B,'Histórico'!$K:$K),"")</f>
        <v>ALTERNADOR</v>
      </c>
      <c r="F473" s="19" t="str">
        <f t="array" ref="F473">IFERROR(_xlfn.XLOOKUP($B473,'Histórico'!$B:$B,'Histórico'!$L:$L),"")</f>
        <v>A-180215</v>
      </c>
      <c r="G473" s="49">
        <f t="array" ref="G473">IFERROR(_xlfn.XLOOKUP($B473,'Histórico'!$B:$B,'Histórico'!$F:$F),"")</f>
        <v>46230</v>
      </c>
      <c r="H473" s="19" t="str">
        <f t="array" ref="H473">IFERROR(_xlfn.XLOOKUP($B473,'Histórico'!$B:$B,'Histórico'!$AA:$AA),"")</f>
        <v>PAMALS</v>
      </c>
      <c r="I473" s="19" t="str">
        <f t="array" ref="I473">IFERROR(_xlfn.XLOOKUP($B473,Atual!$B:$B,Atual!$E:$E),"OS concluída")</f>
        <v>OS concluída</v>
      </c>
      <c r="J473" s="19" t="str">
        <f t="shared" si="1"/>
        <v/>
      </c>
      <c r="K473" s="19"/>
      <c r="L473" s="19" t="str">
        <f t="shared" si="2"/>
        <v/>
      </c>
      <c r="M473" s="19"/>
      <c r="N473" s="49" t="str">
        <f t="array" ref="N473">IFERROR(_xlfn.XLOOKUP($B473,EMPRESA_1!A:A,EMPRESA_1!J:J),"")</f>
        <v/>
      </c>
      <c r="O473" s="50" t="str">
        <f t="array" ref="O473">IFERROR(_xlfn.XLOOKUP(B473,EMPRESA_1!A:A,EMPRESA_1!K:K),"")
</f>
        <v/>
      </c>
      <c r="P473" s="48" t="str">
        <f t="array" ref="P473">IFERROR(_xlfn.XLOOKUP(B473,EMPRESA_1!A:A,EMPRESA_1!L:L),"")</f>
        <v/>
      </c>
      <c r="Q473" s="49" t="str">
        <f t="array" ref="Q473">IFERROR(_xlfn.XLOOKUP(B473,EMPRESA_1!A:A,EMPRESA_1!J:J),"")</f>
        <v/>
      </c>
      <c r="R473" s="19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</row>
    <row r="474">
      <c r="A474" s="48"/>
      <c r="B474" s="47" t="s">
        <v>1202</v>
      </c>
      <c r="C474" s="48" t="str">
        <f t="array" ref="C474">IFERROR(_xlfn.XLOOKUP($B474,'Histórico'!$B:$B,'Histórico'!$I:$I),"")</f>
        <v>9910592-2</v>
      </c>
      <c r="D474" s="19" t="str">
        <f t="array" ref="D474">IFERROR(_xlfn.XLOOKUP($B474,'Histórico'!$B:$B,'Histórico'!$J:$J),"")</f>
        <v>7EK50</v>
      </c>
      <c r="E474" s="19" t="str">
        <f t="array" ref="E474">IFERROR(_xlfn.XLOOKUP($B474,'Histórico'!$B:$B,'Histórico'!$K:$K),"")</f>
        <v>ALTERNADOR</v>
      </c>
      <c r="F474" s="19" t="str">
        <f t="array" ref="F474">IFERROR(_xlfn.XLOOKUP($B474,'Histórico'!$B:$B,'Histórico'!$L:$L),"")</f>
        <v>H-S111135</v>
      </c>
      <c r="G474" s="49">
        <f t="array" ref="G474">IFERROR(_xlfn.XLOOKUP($B474,'Histórico'!$B:$B,'Histórico'!$F:$F),"")</f>
        <v>46230</v>
      </c>
      <c r="H474" s="19" t="str">
        <f t="array" ref="H474">IFERROR(_xlfn.XLOOKUP($B474,'Histórico'!$B:$B,'Histórico'!$AA:$AA),"")</f>
        <v>BAMN</v>
      </c>
      <c r="I474" s="19" t="str">
        <f t="array" ref="I474">IFERROR(_xlfn.XLOOKUP($B474,Atual!$B:$B,Atual!$E:$E),"OS concluída")</f>
        <v>REC</v>
      </c>
      <c r="J474" s="19">
        <f t="shared" si="1"/>
        <v>80</v>
      </c>
      <c r="K474" s="19"/>
      <c r="L474" s="19" t="str">
        <f t="shared" si="2"/>
        <v/>
      </c>
      <c r="M474" s="19"/>
      <c r="N474" s="49" t="str">
        <f t="array" ref="N474">IFERROR(_xlfn.XLOOKUP($B474,EMPRESA_1!A:A,EMPRESA_1!J:J),"")</f>
        <v/>
      </c>
      <c r="O474" s="50" t="str">
        <f t="array" ref="O474">IFERROR(_xlfn.XLOOKUP(B474,EMPRESA_1!A:A,EMPRESA_1!K:K),"")
</f>
        <v/>
      </c>
      <c r="P474" s="48" t="str">
        <f t="array" ref="P474">IFERROR(_xlfn.XLOOKUP(B474,EMPRESA_1!A:A,EMPRESA_1!L:L),"")</f>
        <v/>
      </c>
      <c r="Q474" s="49" t="str">
        <f t="array" ref="Q474">IFERROR(_xlfn.XLOOKUP(B474,EMPRESA_1!A:A,EMPRESA_1!J:J),"")</f>
        <v/>
      </c>
      <c r="R474" s="19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</row>
    <row r="475">
      <c r="A475" s="48"/>
      <c r="B475" s="47" t="s">
        <v>1203</v>
      </c>
      <c r="C475" s="48" t="str">
        <f t="array" ref="C475">IFERROR(_xlfn.XLOOKUP($B475,'Histórico'!$B:$B,'Histórico'!$I:$I),"")</f>
        <v>C611505-0201</v>
      </c>
      <c r="D475" s="19" t="str">
        <f t="array" ref="D475">IFERROR(_xlfn.XLOOKUP($B475,'Histórico'!$B:$B,'Histórico'!$J:$J),"")</f>
        <v>7EK50</v>
      </c>
      <c r="E475" s="19" t="str">
        <f t="array" ref="E475">IFERROR(_xlfn.XLOOKUP($B475,'Histórico'!$B:$B,'Histórico'!$K:$K),"")</f>
        <v>ALTERNATOR</v>
      </c>
      <c r="F475" s="19" t="str">
        <f t="array" ref="F475">IFERROR(_xlfn.XLOOKUP($B475,'Histórico'!$B:$B,'Histórico'!$L:$L),"")</f>
        <v>5</v>
      </c>
      <c r="G475" s="49">
        <f t="array" ref="G475">IFERROR(_xlfn.XLOOKUP($B475,'Histórico'!$B:$B,'Histórico'!$F:$F),"")</f>
        <v>46230</v>
      </c>
      <c r="H475" s="19" t="str">
        <f t="array" ref="H475">IFERROR(_xlfn.XLOOKUP($B475,'Histórico'!$B:$B,'Histórico'!$AA:$AA),"")</f>
        <v>PAMALS</v>
      </c>
      <c r="I475" s="19" t="str">
        <f t="array" ref="I475">IFERROR(_xlfn.XLOOKUP($B475,Atual!$B:$B,Atual!$E:$E),"OS concluída")</f>
        <v>REC</v>
      </c>
      <c r="J475" s="19">
        <f t="shared" si="1"/>
        <v>80</v>
      </c>
      <c r="K475" s="19"/>
      <c r="L475" s="19" t="str">
        <f t="shared" si="2"/>
        <v/>
      </c>
      <c r="M475" s="19"/>
      <c r="N475" s="49" t="str">
        <f t="array" ref="N475">IFERROR(_xlfn.XLOOKUP($B475,EMPRESA_1!A:A,EMPRESA_1!J:J),"")</f>
        <v/>
      </c>
      <c r="O475" s="50" t="str">
        <f t="array" ref="O475">IFERROR(_xlfn.XLOOKUP(B475,EMPRESA_1!A:A,EMPRESA_1!K:K),"")
</f>
        <v/>
      </c>
      <c r="P475" s="48" t="str">
        <f t="array" ref="P475">IFERROR(_xlfn.XLOOKUP(B475,EMPRESA_1!A:A,EMPRESA_1!L:L),"")</f>
        <v/>
      </c>
      <c r="Q475" s="49" t="str">
        <f t="array" ref="Q475">IFERROR(_xlfn.XLOOKUP(B475,EMPRESA_1!A:A,EMPRESA_1!J:J),"")</f>
        <v/>
      </c>
      <c r="R475" s="19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</row>
    <row r="476">
      <c r="A476" s="48"/>
      <c r="B476" s="47" t="s">
        <v>1204</v>
      </c>
      <c r="C476" s="48" t="str">
        <f t="array" ref="C476">IFERROR(_xlfn.XLOOKUP($B476,'Histórico'!$B:$B,'Histórico'!$I:$I),"")</f>
        <v>C611505-0201</v>
      </c>
      <c r="D476" s="19" t="str">
        <f t="array" ref="D476">IFERROR(_xlfn.XLOOKUP($B476,'Histórico'!$B:$B,'Histórico'!$J:$J),"")</f>
        <v>7EK50</v>
      </c>
      <c r="E476" s="19" t="str">
        <f t="array" ref="E476">IFERROR(_xlfn.XLOOKUP($B476,'Histórico'!$B:$B,'Histórico'!$K:$K),"")</f>
        <v>ALTERNATOR</v>
      </c>
      <c r="F476" s="19" t="str">
        <f t="array" ref="F476">IFERROR(_xlfn.XLOOKUP($B476,'Histórico'!$B:$B,'Histórico'!$L:$L),"")</f>
        <v>2314</v>
      </c>
      <c r="G476" s="49">
        <f t="array" ref="G476">IFERROR(_xlfn.XLOOKUP($B476,'Histórico'!$B:$B,'Histórico'!$F:$F),"")</f>
        <v>46230</v>
      </c>
      <c r="H476" s="19" t="str">
        <f t="array" ref="H476">IFERROR(_xlfn.XLOOKUP($B476,'Histórico'!$B:$B,'Histórico'!$AA:$AA),"")</f>
        <v>ALA 8</v>
      </c>
      <c r="I476" s="19" t="str">
        <f t="array" ref="I476">IFERROR(_xlfn.XLOOKUP($B476,Atual!$B:$B,Atual!$E:$E),"OS concluída")</f>
        <v>REC</v>
      </c>
      <c r="J476" s="19">
        <f t="shared" si="1"/>
        <v>80</v>
      </c>
      <c r="K476" s="19"/>
      <c r="L476" s="19" t="str">
        <f t="shared" si="2"/>
        <v/>
      </c>
      <c r="M476" s="19"/>
      <c r="N476" s="49" t="str">
        <f t="array" ref="N476">IFERROR(_xlfn.XLOOKUP($B476,EMPRESA_1!A:A,EMPRESA_1!J:J),"")</f>
        <v/>
      </c>
      <c r="O476" s="50" t="str">
        <f t="array" ref="O476">IFERROR(_xlfn.XLOOKUP(B476,EMPRESA_1!A:A,EMPRESA_1!K:K),"")
</f>
        <v/>
      </c>
      <c r="P476" s="48" t="str">
        <f t="array" ref="P476">IFERROR(_xlfn.XLOOKUP(B476,EMPRESA_1!A:A,EMPRESA_1!L:L),"")</f>
        <v/>
      </c>
      <c r="Q476" s="49" t="str">
        <f t="array" ref="Q476">IFERROR(_xlfn.XLOOKUP(B476,EMPRESA_1!A:A,EMPRESA_1!J:J),"")</f>
        <v/>
      </c>
      <c r="R476" s="19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</row>
    <row r="477">
      <c r="A477" s="48"/>
      <c r="B477" s="47" t="s">
        <v>1205</v>
      </c>
      <c r="C477" s="48" t="str">
        <f t="array" ref="C477">IFERROR(_xlfn.XLOOKUP($B477,'Histórico'!$B:$B,'Histórico'!$I:$I),"")</f>
        <v>071-01519-0101</v>
      </c>
      <c r="D477" s="19">
        <f t="array" ref="D477">IFERROR(_xlfn.XLOOKUP($B477,'Histórico'!$B:$B,'Histórico'!$J:$J),"")</f>
        <v>22373</v>
      </c>
      <c r="E477" s="19" t="str">
        <f t="array" ref="E477">IFERROR(_xlfn.XLOOKUP($B477,'Histórico'!$B:$B,'Histórico'!$K:$K),"")</f>
        <v>RECEIVER-EXCITER,RADAR</v>
      </c>
      <c r="F477" s="19" t="str">
        <f t="array" ref="F477">IFERROR(_xlfn.XLOOKUP($B477,'Histórico'!$B:$B,'Histórico'!$L:$L),"")</f>
        <v>4042</v>
      </c>
      <c r="G477" s="49">
        <f t="array" ref="G477">IFERROR(_xlfn.XLOOKUP($B477,'Histórico'!$B:$B,'Histórico'!$F:$F),"")</f>
        <v>46231</v>
      </c>
      <c r="H477" s="19" t="str">
        <f t="array" ref="H477">IFERROR(_xlfn.XLOOKUP($B477,'Histórico'!$B:$B,'Histórico'!$AA:$AA),"")</f>
        <v>PAMALS</v>
      </c>
      <c r="I477" s="19" t="str">
        <f t="array" ref="I477">IFERROR(_xlfn.XLOOKUP($B477,Atual!$B:$B,Atual!$E:$E),"OS concluída")</f>
        <v>REC</v>
      </c>
      <c r="J477" s="19">
        <f t="shared" si="1"/>
        <v>79</v>
      </c>
      <c r="K477" s="19"/>
      <c r="L477" s="19" t="str">
        <f t="shared" si="2"/>
        <v/>
      </c>
      <c r="M477" s="19"/>
      <c r="N477" s="49" t="str">
        <f t="array" ref="N477">IFERROR(_xlfn.XLOOKUP($B477,EMPRESA_1!A:A,EMPRESA_1!J:J),"")</f>
        <v/>
      </c>
      <c r="O477" s="50" t="str">
        <f t="array" ref="O477">IFERROR(_xlfn.XLOOKUP(B477,EMPRESA_1!A:A,EMPRESA_1!K:K),"")
</f>
        <v/>
      </c>
      <c r="P477" s="48" t="str">
        <f t="array" ref="P477">IFERROR(_xlfn.XLOOKUP(B477,EMPRESA_1!A:A,EMPRESA_1!L:L),"")</f>
        <v/>
      </c>
      <c r="Q477" s="49" t="str">
        <f t="array" ref="Q477">IFERROR(_xlfn.XLOOKUP(B477,EMPRESA_1!A:A,EMPRESA_1!J:J),"")</f>
        <v/>
      </c>
      <c r="R477" s="19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</row>
    <row r="478">
      <c r="A478" s="48"/>
      <c r="B478" s="47" t="s">
        <v>1206</v>
      </c>
      <c r="C478" s="48" t="str">
        <f t="array" ref="C478">IFERROR(_xlfn.XLOOKUP($B478,'Histórico'!$B:$B,'Histórico'!$I:$I),"")</f>
        <v>071-01519-0101</v>
      </c>
      <c r="D478" s="19">
        <f t="array" ref="D478">IFERROR(_xlfn.XLOOKUP($B478,'Histórico'!$B:$B,'Histórico'!$J:$J),"")</f>
        <v>22373</v>
      </c>
      <c r="E478" s="19" t="str">
        <f t="array" ref="E478">IFERROR(_xlfn.XLOOKUP($B478,'Histórico'!$B:$B,'Histórico'!$K:$K),"")</f>
        <v>RECEIVER-EXCITER,RADAR</v>
      </c>
      <c r="F478" s="19" t="str">
        <f t="array" ref="F478">IFERROR(_xlfn.XLOOKUP($B478,'Histórico'!$B:$B,'Histórico'!$L:$L),"")</f>
        <v>U7451</v>
      </c>
      <c r="G478" s="49">
        <f t="array" ref="G478">IFERROR(_xlfn.XLOOKUP($B478,'Histórico'!$B:$B,'Histórico'!$F:$F),"")</f>
        <v>46231</v>
      </c>
      <c r="H478" s="19" t="str">
        <f t="array" ref="H478">IFERROR(_xlfn.XLOOKUP($B478,'Histórico'!$B:$B,'Histórico'!$AA:$AA),"")</f>
        <v>CLA</v>
      </c>
      <c r="I478" s="19" t="str">
        <f t="array" ref="I478">IFERROR(_xlfn.XLOOKUP($B478,Atual!$B:$B,Atual!$E:$E),"OS concluída")</f>
        <v>REC</v>
      </c>
      <c r="J478" s="19">
        <f t="shared" si="1"/>
        <v>79</v>
      </c>
      <c r="K478" s="19"/>
      <c r="L478" s="19" t="str">
        <f t="shared" si="2"/>
        <v/>
      </c>
      <c r="M478" s="19"/>
      <c r="N478" s="49" t="str">
        <f t="array" ref="N478">IFERROR(_xlfn.XLOOKUP($B478,EMPRESA_1!A:A,EMPRESA_1!J:J),"")</f>
        <v/>
      </c>
      <c r="O478" s="50" t="str">
        <f t="array" ref="O478">IFERROR(_xlfn.XLOOKUP(B478,EMPRESA_1!A:A,EMPRESA_1!K:K),"")
</f>
        <v/>
      </c>
      <c r="P478" s="48" t="str">
        <f t="array" ref="P478">IFERROR(_xlfn.XLOOKUP(B478,EMPRESA_1!A:A,EMPRESA_1!L:L),"")</f>
        <v/>
      </c>
      <c r="Q478" s="49" t="str">
        <f t="array" ref="Q478">IFERROR(_xlfn.XLOOKUP(B478,EMPRESA_1!A:A,EMPRESA_1!J:J),"")</f>
        <v/>
      </c>
      <c r="R478" s="19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</row>
    <row r="479">
      <c r="A479" s="48"/>
      <c r="B479" s="47" t="s">
        <v>1207</v>
      </c>
      <c r="C479" s="48" t="str">
        <f t="array" ref="C479">IFERROR(_xlfn.XLOOKUP($B479,'Histórico'!$B:$B,'Histórico'!$I:$I),"")</f>
        <v>C163030-1001</v>
      </c>
      <c r="D479" s="19" t="str">
        <f t="array" ref="D479">IFERROR(_xlfn.XLOOKUP($B479,'Histórico'!$B:$B,'Histórico'!$J:$J),"")</f>
        <v>7EK50</v>
      </c>
      <c r="E479" s="19" t="str">
        <f t="array" ref="E479">IFERROR(_xlfn.XLOOKUP($B479,'Histórico'!$B:$B,'Histórico'!$K:$K),"")</f>
        <v>MAIN W BRAKE A</v>
      </c>
      <c r="F479" s="19" t="str">
        <f t="array" ref="F479">IFERROR(_xlfn.XLOOKUP($B479,'Histórico'!$B:$B,'Histórico'!$L:$L),"")</f>
        <v>136</v>
      </c>
      <c r="G479" s="49">
        <f t="array" ref="G479">IFERROR(_xlfn.XLOOKUP($B479,'Histórico'!$B:$B,'Histórico'!$F:$F),"")</f>
        <v>46231</v>
      </c>
      <c r="H479" s="19" t="str">
        <f t="array" ref="H479">IFERROR(_xlfn.XLOOKUP($B479,'Histórico'!$B:$B,'Histórico'!$AA:$AA),"")</f>
        <v>BAMN</v>
      </c>
      <c r="I479" s="19" t="str">
        <f t="array" ref="I479">IFERROR(_xlfn.XLOOKUP($B479,Atual!$B:$B,Atual!$E:$E),"OS concluída")</f>
        <v>REC</v>
      </c>
      <c r="J479" s="19">
        <f t="shared" si="1"/>
        <v>79</v>
      </c>
      <c r="K479" s="19"/>
      <c r="L479" s="19" t="str">
        <f t="shared" si="2"/>
        <v/>
      </c>
      <c r="M479" s="19"/>
      <c r="N479" s="49" t="str">
        <f t="array" ref="N479">IFERROR(_xlfn.XLOOKUP($B479,EMPRESA_1!A:A,EMPRESA_1!J:J),"")</f>
        <v/>
      </c>
      <c r="O479" s="50" t="str">
        <f t="array" ref="O479">IFERROR(_xlfn.XLOOKUP(B479,EMPRESA_1!A:A,EMPRESA_1!K:K),"")
</f>
        <v/>
      </c>
      <c r="P479" s="48" t="str">
        <f t="array" ref="P479">IFERROR(_xlfn.XLOOKUP(B479,EMPRESA_1!A:A,EMPRESA_1!L:L),"")</f>
        <v/>
      </c>
      <c r="Q479" s="49" t="str">
        <f t="array" ref="Q479">IFERROR(_xlfn.XLOOKUP(B479,EMPRESA_1!A:A,EMPRESA_1!J:J),"")</f>
        <v/>
      </c>
      <c r="R479" s="19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</row>
    <row r="480">
      <c r="A480" s="48"/>
      <c r="B480" s="47" t="s">
        <v>1208</v>
      </c>
      <c r="C480" s="48" t="str">
        <f t="array" ref="C480">IFERROR(_xlfn.XLOOKUP($B480,'Histórico'!$B:$B,'Histórico'!$I:$I),"")</f>
        <v>066-3046-07</v>
      </c>
      <c r="D480" s="19">
        <f t="array" ref="D480">IFERROR(_xlfn.XLOOKUP($B480,'Histórico'!$B:$B,'Histórico'!$J:$J),"")</f>
        <v>22373</v>
      </c>
      <c r="E480" s="19" t="str">
        <f t="array" ref="E480">IFERROR(_xlfn.XLOOKUP($B480,'Histórico'!$B:$B,'Histórico'!$K:$K),"")</f>
        <v>CONTROL,INDICATOR</v>
      </c>
      <c r="F480" s="19" t="str">
        <f t="array" ref="F480">IFERROR(_xlfn.XLOOKUP($B480,'Histórico'!$B:$B,'Histórico'!$L:$L),"")</f>
        <v>83247</v>
      </c>
      <c r="G480" s="49">
        <f t="array" ref="G480">IFERROR(_xlfn.XLOOKUP($B480,'Histórico'!$B:$B,'Histórico'!$F:$F),"")</f>
        <v>46231</v>
      </c>
      <c r="H480" s="19" t="str">
        <f t="array" ref="H480">IFERROR(_xlfn.XLOOKUP($B480,'Histórico'!$B:$B,'Histórico'!$AA:$AA),"")</f>
        <v>BABR</v>
      </c>
      <c r="I480" s="19" t="str">
        <f t="array" ref="I480">IFERROR(_xlfn.XLOOKUP($B480,Atual!$B:$B,Atual!$E:$E),"OS concluída")</f>
        <v>REC</v>
      </c>
      <c r="J480" s="19">
        <f t="shared" si="1"/>
        <v>79</v>
      </c>
      <c r="K480" s="19"/>
      <c r="L480" s="19" t="str">
        <f t="shared" si="2"/>
        <v/>
      </c>
      <c r="M480" s="19"/>
      <c r="N480" s="49" t="str">
        <f t="array" ref="N480">IFERROR(_xlfn.XLOOKUP($B480,EMPRESA_1!A:A,EMPRESA_1!J:J),"")</f>
        <v/>
      </c>
      <c r="O480" s="50" t="str">
        <f t="array" ref="O480">IFERROR(_xlfn.XLOOKUP(B480,EMPRESA_1!A:A,EMPRESA_1!K:K),"")
</f>
        <v/>
      </c>
      <c r="P480" s="48" t="str">
        <f t="array" ref="P480">IFERROR(_xlfn.XLOOKUP(B480,EMPRESA_1!A:A,EMPRESA_1!L:L),"")</f>
        <v/>
      </c>
      <c r="Q480" s="49" t="str">
        <f t="array" ref="Q480">IFERROR(_xlfn.XLOOKUP(B480,EMPRESA_1!A:A,EMPRESA_1!J:J),"")</f>
        <v/>
      </c>
      <c r="R480" s="19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</row>
    <row r="481">
      <c r="A481" s="48"/>
      <c r="B481" s="47" t="s">
        <v>1209</v>
      </c>
      <c r="C481" s="48" t="str">
        <f t="array" ref="C481">IFERROR(_xlfn.XLOOKUP($B481,'Histórico'!$B:$B,'Histórico'!$I:$I),"")</f>
        <v>066-3046-07</v>
      </c>
      <c r="D481" s="19">
        <f t="array" ref="D481">IFERROR(_xlfn.XLOOKUP($B481,'Histórico'!$B:$B,'Histórico'!$J:$J),"")</f>
        <v>22373</v>
      </c>
      <c r="E481" s="19" t="str">
        <f t="array" ref="E481">IFERROR(_xlfn.XLOOKUP($B481,'Histórico'!$B:$B,'Histórico'!$K:$K),"")</f>
        <v>CONTROL,INDICATOR</v>
      </c>
      <c r="F481" s="19" t="str">
        <f t="array" ref="F481">IFERROR(_xlfn.XLOOKUP($B481,'Histórico'!$B:$B,'Histórico'!$L:$L),"")</f>
        <v>84327</v>
      </c>
      <c r="G481" s="49">
        <f t="array" ref="G481">IFERROR(_xlfn.XLOOKUP($B481,'Histórico'!$B:$B,'Histórico'!$F:$F),"")</f>
        <v>46231</v>
      </c>
      <c r="H481" s="19" t="str">
        <f t="array" ref="H481">IFERROR(_xlfn.XLOOKUP($B481,'Histórico'!$B:$B,'Histórico'!$AA:$AA),"")</f>
        <v>BANT</v>
      </c>
      <c r="I481" s="19" t="str">
        <f t="array" ref="I481">IFERROR(_xlfn.XLOOKUP($B481,Atual!$B:$B,Atual!$E:$E),"OS concluída")</f>
        <v>REC</v>
      </c>
      <c r="J481" s="19">
        <f t="shared" si="1"/>
        <v>79</v>
      </c>
      <c r="K481" s="19"/>
      <c r="L481" s="19" t="str">
        <f t="shared" si="2"/>
        <v/>
      </c>
      <c r="M481" s="19"/>
      <c r="N481" s="49" t="str">
        <f t="array" ref="N481">IFERROR(_xlfn.XLOOKUP($B481,EMPRESA_1!A:A,EMPRESA_1!J:J),"")</f>
        <v/>
      </c>
      <c r="O481" s="50" t="str">
        <f t="array" ref="O481">IFERROR(_xlfn.XLOOKUP(B481,EMPRESA_1!A:A,EMPRESA_1!K:K),"")
</f>
        <v/>
      </c>
      <c r="P481" s="48" t="str">
        <f t="array" ref="P481">IFERROR(_xlfn.XLOOKUP(B481,EMPRESA_1!A:A,EMPRESA_1!L:L),"")</f>
        <v/>
      </c>
      <c r="Q481" s="49" t="str">
        <f t="array" ref="Q481">IFERROR(_xlfn.XLOOKUP(B481,EMPRESA_1!A:A,EMPRESA_1!J:J),"")</f>
        <v/>
      </c>
      <c r="R481" s="19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</row>
    <row r="482">
      <c r="A482" s="48"/>
      <c r="B482" s="47" t="s">
        <v>1210</v>
      </c>
      <c r="C482" s="48" t="str">
        <f t="array" ref="C482">IFERROR(_xlfn.XLOOKUP($B482,'Histórico'!$B:$B,'Histórico'!$I:$I),"")</f>
        <v>066-3046-07</v>
      </c>
      <c r="D482" s="19">
        <f t="array" ref="D482">IFERROR(_xlfn.XLOOKUP($B482,'Histórico'!$B:$B,'Histórico'!$J:$J),"")</f>
        <v>22373</v>
      </c>
      <c r="E482" s="19" t="str">
        <f t="array" ref="E482">IFERROR(_xlfn.XLOOKUP($B482,'Histórico'!$B:$B,'Histórico'!$K:$K),"")</f>
        <v>CONTROL,INDICATOR</v>
      </c>
      <c r="F482" s="19" t="str">
        <f t="array" ref="F482">IFERROR(_xlfn.XLOOKUP($B482,'Histórico'!$B:$B,'Histórico'!$L:$L),"")</f>
        <v>88215</v>
      </c>
      <c r="G482" s="49">
        <f t="array" ref="G482">IFERROR(_xlfn.XLOOKUP($B482,'Histórico'!$B:$B,'Histórico'!$F:$F),"")</f>
        <v>46231</v>
      </c>
      <c r="H482" s="19" t="str">
        <f t="array" ref="H482">IFERROR(_xlfn.XLOOKUP($B482,'Histórico'!$B:$B,'Histórico'!$AA:$AA),"")</f>
        <v>EEAR</v>
      </c>
      <c r="I482" s="19" t="str">
        <f t="array" ref="I482">IFERROR(_xlfn.XLOOKUP($B482,Atual!$B:$B,Atual!$E:$E),"OS concluída")</f>
        <v>REC</v>
      </c>
      <c r="J482" s="19">
        <f t="shared" si="1"/>
        <v>79</v>
      </c>
      <c r="K482" s="19"/>
      <c r="L482" s="19" t="str">
        <f t="shared" si="2"/>
        <v/>
      </c>
      <c r="M482" s="19"/>
      <c r="N482" s="49" t="str">
        <f t="array" ref="N482">IFERROR(_xlfn.XLOOKUP($B482,EMPRESA_1!A:A,EMPRESA_1!J:J),"")</f>
        <v/>
      </c>
      <c r="O482" s="50" t="str">
        <f t="array" ref="O482">IFERROR(_xlfn.XLOOKUP(B482,EMPRESA_1!A:A,EMPRESA_1!K:K),"")
</f>
        <v/>
      </c>
      <c r="P482" s="48" t="str">
        <f t="array" ref="P482">IFERROR(_xlfn.XLOOKUP(B482,EMPRESA_1!A:A,EMPRESA_1!L:L),"")</f>
        <v/>
      </c>
      <c r="Q482" s="49" t="str">
        <f t="array" ref="Q482">IFERROR(_xlfn.XLOOKUP(B482,EMPRESA_1!A:A,EMPRESA_1!J:J),"")</f>
        <v/>
      </c>
      <c r="R482" s="19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</row>
    <row r="483">
      <c r="A483" s="48"/>
      <c r="B483" s="47" t="s">
        <v>1211</v>
      </c>
      <c r="C483" s="48" t="str">
        <f t="array" ref="C483">IFERROR(_xlfn.XLOOKUP($B483,'Histórico'!$B:$B,'Histórico'!$I:$I),"")</f>
        <v>066-3046-07</v>
      </c>
      <c r="D483" s="19">
        <f t="array" ref="D483">IFERROR(_xlfn.XLOOKUP($B483,'Histórico'!$B:$B,'Histórico'!$J:$J),"")</f>
        <v>22373</v>
      </c>
      <c r="E483" s="19" t="str">
        <f t="array" ref="E483">IFERROR(_xlfn.XLOOKUP($B483,'Histórico'!$B:$B,'Histórico'!$K:$K),"")</f>
        <v>CONTROL,INDICATOR</v>
      </c>
      <c r="F483" s="19" t="str">
        <f t="array" ref="F483">IFERROR(_xlfn.XLOOKUP($B483,'Histórico'!$B:$B,'Histórico'!$L:$L),"")</f>
        <v>89129</v>
      </c>
      <c r="G483" s="49">
        <f t="array" ref="G483">IFERROR(_xlfn.XLOOKUP($B483,'Histórico'!$B:$B,'Histórico'!$F:$F),"")</f>
        <v>46231</v>
      </c>
      <c r="H483" s="19" t="str">
        <f t="array" ref="H483">IFERROR(_xlfn.XLOOKUP($B483,'Histórico'!$B:$B,'Histórico'!$AA:$AA),"")</f>
        <v>CLA</v>
      </c>
      <c r="I483" s="19" t="str">
        <f t="array" ref="I483">IFERROR(_xlfn.XLOOKUP($B483,Atual!$B:$B,Atual!$E:$E),"OS concluída")</f>
        <v>REC</v>
      </c>
      <c r="J483" s="19">
        <f t="shared" si="1"/>
        <v>79</v>
      </c>
      <c r="K483" s="19"/>
      <c r="L483" s="19" t="str">
        <f t="shared" si="2"/>
        <v/>
      </c>
      <c r="M483" s="19"/>
      <c r="N483" s="49" t="str">
        <f t="array" ref="N483">IFERROR(_xlfn.XLOOKUP($B483,EMPRESA_1!A:A,EMPRESA_1!J:J),"")</f>
        <v/>
      </c>
      <c r="O483" s="50" t="str">
        <f t="array" ref="O483">IFERROR(_xlfn.XLOOKUP(B483,EMPRESA_1!A:A,EMPRESA_1!K:K),"")
</f>
        <v/>
      </c>
      <c r="P483" s="48" t="str">
        <f t="array" ref="P483">IFERROR(_xlfn.XLOOKUP(B483,EMPRESA_1!A:A,EMPRESA_1!L:L),"")</f>
        <v/>
      </c>
      <c r="Q483" s="49" t="str">
        <f t="array" ref="Q483">IFERROR(_xlfn.XLOOKUP(B483,EMPRESA_1!A:A,EMPRESA_1!J:J),"")</f>
        <v/>
      </c>
      <c r="R483" s="19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</row>
    <row r="484">
      <c r="A484" s="48"/>
      <c r="B484" s="47" t="s">
        <v>1212</v>
      </c>
      <c r="C484" s="48" t="str">
        <f t="array" ref="C484">IFERROR(_xlfn.XLOOKUP($B484,'Histórico'!$B:$B,'Histórico'!$I:$I),"")</f>
        <v>C611008-0101</v>
      </c>
      <c r="D484" s="19" t="str">
        <f t="array" ref="D484">IFERROR(_xlfn.XLOOKUP($B484,'Histórico'!$B:$B,'Histórico'!$J:$J),"")</f>
        <v>7EK50</v>
      </c>
      <c r="E484" s="19" t="str">
        <f t="array" ref="E484">IFERROR(_xlfn.XLOOKUP($B484,'Histórico'!$B:$B,'Histórico'!$K:$K),"")</f>
        <v>ALTERNATOR CONTROL UNIT</v>
      </c>
      <c r="F484" s="19" t="str">
        <f t="array" ref="F484">IFERROR(_xlfn.XLOOKUP($B484,'Histórico'!$B:$B,'Histórico'!$L:$L),"")</f>
        <v>662</v>
      </c>
      <c r="G484" s="49">
        <f t="array" ref="G484">IFERROR(_xlfn.XLOOKUP($B484,'Histórico'!$B:$B,'Histórico'!$F:$F),"")</f>
        <v>46231</v>
      </c>
      <c r="H484" s="19" t="str">
        <f t="array" ref="H484">IFERROR(_xlfn.XLOOKUP($B484,'Histórico'!$B:$B,'Histórico'!$AA:$AA),"")</f>
        <v>BABV</v>
      </c>
      <c r="I484" s="19" t="str">
        <f t="array" ref="I484">IFERROR(_xlfn.XLOOKUP($B484,Atual!$B:$B,Atual!$E:$E),"OS concluída")</f>
        <v>REC</v>
      </c>
      <c r="J484" s="19">
        <f t="shared" si="1"/>
        <v>79</v>
      </c>
      <c r="K484" s="19"/>
      <c r="L484" s="19" t="str">
        <f t="shared" si="2"/>
        <v/>
      </c>
      <c r="M484" s="19"/>
      <c r="N484" s="49" t="str">
        <f t="array" ref="N484">IFERROR(_xlfn.XLOOKUP($B484,EMPRESA_1!A:A,EMPRESA_1!J:J),"")</f>
        <v/>
      </c>
      <c r="O484" s="50" t="str">
        <f t="array" ref="O484">IFERROR(_xlfn.XLOOKUP(B484,EMPRESA_1!A:A,EMPRESA_1!K:K),"")
</f>
        <v/>
      </c>
      <c r="P484" s="48" t="str">
        <f t="array" ref="P484">IFERROR(_xlfn.XLOOKUP(B484,EMPRESA_1!A:A,EMPRESA_1!L:L),"")</f>
        <v/>
      </c>
      <c r="Q484" s="49" t="str">
        <f t="array" ref="Q484">IFERROR(_xlfn.XLOOKUP(B484,EMPRESA_1!A:A,EMPRESA_1!J:J),"")</f>
        <v/>
      </c>
      <c r="R484" s="19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</row>
    <row r="485">
      <c r="A485" s="48"/>
      <c r="B485" s="47" t="s">
        <v>1213</v>
      </c>
      <c r="C485" s="48" t="str">
        <f t="array" ref="C485">IFERROR(_xlfn.XLOOKUP($B485,'Histórico'!$B:$B,'Histórico'!$I:$I),"")</f>
        <v>C611008-0101</v>
      </c>
      <c r="D485" s="19" t="str">
        <f t="array" ref="D485">IFERROR(_xlfn.XLOOKUP($B485,'Histórico'!$B:$B,'Histórico'!$J:$J),"")</f>
        <v>7EK50</v>
      </c>
      <c r="E485" s="19" t="str">
        <f t="array" ref="E485">IFERROR(_xlfn.XLOOKUP($B485,'Histórico'!$B:$B,'Histórico'!$K:$K),"")</f>
        <v>ALTERNATOR CONTROL UNIT</v>
      </c>
      <c r="F485" s="19" t="str">
        <f t="array" ref="F485">IFERROR(_xlfn.XLOOKUP($B485,'Histórico'!$B:$B,'Histórico'!$L:$L),"")</f>
        <v>1306</v>
      </c>
      <c r="G485" s="49">
        <f t="array" ref="G485">IFERROR(_xlfn.XLOOKUP($B485,'Histórico'!$B:$B,'Histórico'!$F:$F),"")</f>
        <v>46231</v>
      </c>
      <c r="H485" s="19" t="str">
        <f t="array" ref="H485">IFERROR(_xlfn.XLOOKUP($B485,'Histórico'!$B:$B,'Histórico'!$AA:$AA),"")</f>
        <v>EEAR</v>
      </c>
      <c r="I485" s="19" t="str">
        <f t="array" ref="I485">IFERROR(_xlfn.XLOOKUP($B485,Atual!$B:$B,Atual!$E:$E),"OS concluída")</f>
        <v>REC</v>
      </c>
      <c r="J485" s="19">
        <f t="shared" si="1"/>
        <v>79</v>
      </c>
      <c r="K485" s="19"/>
      <c r="L485" s="19" t="str">
        <f t="shared" si="2"/>
        <v/>
      </c>
      <c r="M485" s="19"/>
      <c r="N485" s="49" t="str">
        <f t="array" ref="N485">IFERROR(_xlfn.XLOOKUP($B485,EMPRESA_1!A:A,EMPRESA_1!J:J),"")</f>
        <v/>
      </c>
      <c r="O485" s="50" t="str">
        <f t="array" ref="O485">IFERROR(_xlfn.XLOOKUP(B485,EMPRESA_1!A:A,EMPRESA_1!K:K),"")
</f>
        <v/>
      </c>
      <c r="P485" s="48" t="str">
        <f t="array" ref="P485">IFERROR(_xlfn.XLOOKUP(B485,EMPRESA_1!A:A,EMPRESA_1!L:L),"")</f>
        <v/>
      </c>
      <c r="Q485" s="49" t="str">
        <f t="array" ref="Q485">IFERROR(_xlfn.XLOOKUP(B485,EMPRESA_1!A:A,EMPRESA_1!J:J),"")</f>
        <v/>
      </c>
      <c r="R485" s="19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</row>
    <row r="486">
      <c r="A486" s="48"/>
      <c r="B486" s="47" t="s">
        <v>1214</v>
      </c>
      <c r="C486" s="48" t="str">
        <f t="array" ref="C486">IFERROR(_xlfn.XLOOKUP($B486,'Histórico'!$B:$B,'Histórico'!$I:$I),"")</f>
        <v>C611008-0101</v>
      </c>
      <c r="D486" s="19" t="str">
        <f t="array" ref="D486">IFERROR(_xlfn.XLOOKUP($B486,'Histórico'!$B:$B,'Histórico'!$J:$J),"")</f>
        <v>7EK50</v>
      </c>
      <c r="E486" s="19" t="str">
        <f t="array" ref="E486">IFERROR(_xlfn.XLOOKUP($B486,'Histórico'!$B:$B,'Histórico'!$K:$K),"")</f>
        <v>ALTERNATOR CONTROL UNIT</v>
      </c>
      <c r="F486" s="19" t="str">
        <f t="array" ref="F486">IFERROR(_xlfn.XLOOKUP($B486,'Histórico'!$B:$B,'Histórico'!$L:$L),"")</f>
        <v>5091817</v>
      </c>
      <c r="G486" s="49">
        <f t="array" ref="G486">IFERROR(_xlfn.XLOOKUP($B486,'Histórico'!$B:$B,'Histórico'!$F:$F),"")</f>
        <v>46231</v>
      </c>
      <c r="H486" s="19" t="str">
        <f t="array" ref="H486">IFERROR(_xlfn.XLOOKUP($B486,'Histórico'!$B:$B,'Histórico'!$AA:$AA),"")</f>
        <v>PAMALS</v>
      </c>
      <c r="I486" s="19" t="str">
        <f t="array" ref="I486">IFERROR(_xlfn.XLOOKUP($B486,Atual!$B:$B,Atual!$E:$E),"OS concluída")</f>
        <v>REC</v>
      </c>
      <c r="J486" s="19">
        <f t="shared" si="1"/>
        <v>79</v>
      </c>
      <c r="K486" s="19"/>
      <c r="L486" s="19" t="str">
        <f t="shared" si="2"/>
        <v/>
      </c>
      <c r="M486" s="19"/>
      <c r="N486" s="49" t="str">
        <f t="array" ref="N486">IFERROR(_xlfn.XLOOKUP($B486,EMPRESA_1!A:A,EMPRESA_1!J:J),"")</f>
        <v/>
      </c>
      <c r="O486" s="50" t="str">
        <f t="array" ref="O486">IFERROR(_xlfn.XLOOKUP(B486,EMPRESA_1!A:A,EMPRESA_1!K:K),"")
</f>
        <v/>
      </c>
      <c r="P486" s="48" t="str">
        <f t="array" ref="P486">IFERROR(_xlfn.XLOOKUP(B486,EMPRESA_1!A:A,EMPRESA_1!L:L),"")</f>
        <v/>
      </c>
      <c r="Q486" s="49" t="str">
        <f t="array" ref="Q486">IFERROR(_xlfn.XLOOKUP(B486,EMPRESA_1!A:A,EMPRESA_1!J:J),"")</f>
        <v/>
      </c>
      <c r="R486" s="19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</row>
    <row r="487">
      <c r="A487" s="48"/>
      <c r="B487" s="47" t="s">
        <v>1215</v>
      </c>
      <c r="C487" s="48" t="str">
        <f t="array" ref="C487">IFERROR(_xlfn.XLOOKUP($B487,'Histórico'!$B:$B,'Histórico'!$I:$I),"")</f>
        <v>C611008-0101</v>
      </c>
      <c r="D487" s="19" t="str">
        <f t="array" ref="D487">IFERROR(_xlfn.XLOOKUP($B487,'Histórico'!$B:$B,'Histórico'!$J:$J),"")</f>
        <v>7EK50</v>
      </c>
      <c r="E487" s="19" t="str">
        <f t="array" ref="E487">IFERROR(_xlfn.XLOOKUP($B487,'Histórico'!$B:$B,'Histórico'!$K:$K),"")</f>
        <v>ALTERNATOR CONTROL UNIT</v>
      </c>
      <c r="F487" s="19" t="str">
        <f t="array" ref="F487">IFERROR(_xlfn.XLOOKUP($B487,'Histórico'!$B:$B,'Histórico'!$L:$L),"")</f>
        <v>A051385</v>
      </c>
      <c r="G487" s="49">
        <f t="array" ref="G487">IFERROR(_xlfn.XLOOKUP($B487,'Histórico'!$B:$B,'Histórico'!$F:$F),"")</f>
        <v>46231</v>
      </c>
      <c r="H487" s="19" t="str">
        <f t="array" ref="H487">IFERROR(_xlfn.XLOOKUP($B487,'Histórico'!$B:$B,'Histórico'!$AA:$AA),"")</f>
        <v>BANT</v>
      </c>
      <c r="I487" s="19" t="str">
        <f t="array" ref="I487">IFERROR(_xlfn.XLOOKUP($B487,Atual!$B:$B,Atual!$E:$E),"OS concluída")</f>
        <v>REC</v>
      </c>
      <c r="J487" s="19">
        <f t="shared" si="1"/>
        <v>79</v>
      </c>
      <c r="K487" s="19"/>
      <c r="L487" s="19" t="str">
        <f t="shared" si="2"/>
        <v/>
      </c>
      <c r="M487" s="19"/>
      <c r="N487" s="49" t="str">
        <f t="array" ref="N487">IFERROR(_xlfn.XLOOKUP($B487,EMPRESA_1!A:A,EMPRESA_1!J:J),"")</f>
        <v/>
      </c>
      <c r="O487" s="50" t="str">
        <f t="array" ref="O487">IFERROR(_xlfn.XLOOKUP(B487,EMPRESA_1!A:A,EMPRESA_1!K:K),"")
</f>
        <v/>
      </c>
      <c r="P487" s="48" t="str">
        <f t="array" ref="P487">IFERROR(_xlfn.XLOOKUP(B487,EMPRESA_1!A:A,EMPRESA_1!L:L),"")</f>
        <v/>
      </c>
      <c r="Q487" s="49" t="str">
        <f t="array" ref="Q487">IFERROR(_xlfn.XLOOKUP(B487,EMPRESA_1!A:A,EMPRESA_1!J:J),"")</f>
        <v/>
      </c>
      <c r="R487" s="19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</row>
    <row r="488">
      <c r="A488" s="48"/>
      <c r="B488" s="47" t="s">
        <v>1216</v>
      </c>
      <c r="C488" s="48" t="str">
        <f t="array" ref="C488">IFERROR(_xlfn.XLOOKUP($B488,'Histórico'!$B:$B,'Histórico'!$I:$I),"")</f>
        <v>C611008-0101</v>
      </c>
      <c r="D488" s="19" t="str">
        <f t="array" ref="D488">IFERROR(_xlfn.XLOOKUP($B488,'Histórico'!$B:$B,'Histórico'!$J:$J),"")</f>
        <v>7EK50</v>
      </c>
      <c r="E488" s="19" t="str">
        <f t="array" ref="E488">IFERROR(_xlfn.XLOOKUP($B488,'Histórico'!$B:$B,'Histórico'!$K:$K),"")</f>
        <v>ALTERNATOR CONTROL UNIT</v>
      </c>
      <c r="F488" s="19" t="str">
        <f t="array" ref="F488">IFERROR(_xlfn.XLOOKUP($B488,'Histórico'!$B:$B,'Histórico'!$L:$L),"")</f>
        <v>4051378</v>
      </c>
      <c r="G488" s="49">
        <f t="array" ref="G488">IFERROR(_xlfn.XLOOKUP($B488,'Histórico'!$B:$B,'Histórico'!$F:$F),"")</f>
        <v>46231</v>
      </c>
      <c r="H488" s="19" t="str">
        <f t="array" ref="H488">IFERROR(_xlfn.XLOOKUP($B488,'Histórico'!$B:$B,'Histórico'!$AA:$AA),"")</f>
        <v>BABE</v>
      </c>
      <c r="I488" s="19" t="str">
        <f t="array" ref="I488">IFERROR(_xlfn.XLOOKUP($B488,Atual!$B:$B,Atual!$E:$E),"OS concluída")</f>
        <v>REC</v>
      </c>
      <c r="J488" s="19">
        <f t="shared" si="1"/>
        <v>79</v>
      </c>
      <c r="K488" s="19"/>
      <c r="L488" s="19" t="str">
        <f t="shared" si="2"/>
        <v/>
      </c>
      <c r="M488" s="19"/>
      <c r="N488" s="49" t="str">
        <f t="array" ref="N488">IFERROR(_xlfn.XLOOKUP($B488,EMPRESA_1!A:A,EMPRESA_1!J:J),"")</f>
        <v/>
      </c>
      <c r="O488" s="50" t="str">
        <f t="array" ref="O488">IFERROR(_xlfn.XLOOKUP(B488,EMPRESA_1!A:A,EMPRESA_1!K:K),"")
</f>
        <v/>
      </c>
      <c r="P488" s="48" t="str">
        <f t="array" ref="P488">IFERROR(_xlfn.XLOOKUP(B488,EMPRESA_1!A:A,EMPRESA_1!L:L),"")</f>
        <v/>
      </c>
      <c r="Q488" s="49" t="str">
        <f t="array" ref="Q488">IFERROR(_xlfn.XLOOKUP(B488,EMPRESA_1!A:A,EMPRESA_1!J:J),"")</f>
        <v/>
      </c>
      <c r="R488" s="19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</row>
    <row r="489">
      <c r="A489" s="48"/>
      <c r="B489" s="47" t="s">
        <v>1217</v>
      </c>
      <c r="C489" s="48" t="str">
        <f t="array" ref="C489">IFERROR(_xlfn.XLOOKUP($B489,'Histórico'!$B:$B,'Histórico'!$I:$I),"")</f>
        <v>C611008-0101</v>
      </c>
      <c r="D489" s="19" t="str">
        <f t="array" ref="D489">IFERROR(_xlfn.XLOOKUP($B489,'Histórico'!$B:$B,'Histórico'!$J:$J),"")</f>
        <v>7EK50</v>
      </c>
      <c r="E489" s="19" t="str">
        <f t="array" ref="E489">IFERROR(_xlfn.XLOOKUP($B489,'Histórico'!$B:$B,'Histórico'!$K:$K),"")</f>
        <v>ALTERNATOR CONTROL UNIT</v>
      </c>
      <c r="F489" s="19" t="str">
        <f t="array" ref="F489">IFERROR(_xlfn.XLOOKUP($B489,'Histórico'!$B:$B,'Histórico'!$L:$L),"")</f>
        <v>5091750</v>
      </c>
      <c r="G489" s="49">
        <f t="array" ref="G489">IFERROR(_xlfn.XLOOKUP($B489,'Histórico'!$B:$B,'Histórico'!$F:$F),"")</f>
        <v>46231</v>
      </c>
      <c r="H489" s="19" t="str">
        <f t="array" ref="H489">IFERROR(_xlfn.XLOOKUP($B489,'Histórico'!$B:$B,'Histórico'!$AA:$AA),"")</f>
        <v>BABR</v>
      </c>
      <c r="I489" s="19" t="str">
        <f t="array" ref="I489">IFERROR(_xlfn.XLOOKUP($B489,Atual!$B:$B,Atual!$E:$E),"OS concluída")</f>
        <v>REC</v>
      </c>
      <c r="J489" s="19">
        <f t="shared" si="1"/>
        <v>79</v>
      </c>
      <c r="K489" s="19"/>
      <c r="L489" s="19" t="str">
        <f t="shared" si="2"/>
        <v/>
      </c>
      <c r="M489" s="19"/>
      <c r="N489" s="49" t="str">
        <f t="array" ref="N489">IFERROR(_xlfn.XLOOKUP($B489,EMPRESA_1!A:A,EMPRESA_1!J:J),"")</f>
        <v/>
      </c>
      <c r="O489" s="50" t="str">
        <f t="array" ref="O489">IFERROR(_xlfn.XLOOKUP(B489,EMPRESA_1!A:A,EMPRESA_1!K:K),"")
</f>
        <v/>
      </c>
      <c r="P489" s="48" t="str">
        <f t="array" ref="P489">IFERROR(_xlfn.XLOOKUP(B489,EMPRESA_1!A:A,EMPRESA_1!L:L),"")</f>
        <v/>
      </c>
      <c r="Q489" s="49" t="str">
        <f t="array" ref="Q489">IFERROR(_xlfn.XLOOKUP(B489,EMPRESA_1!A:A,EMPRESA_1!J:J),"")</f>
        <v/>
      </c>
      <c r="R489" s="19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</row>
    <row r="490">
      <c r="A490" s="48"/>
      <c r="B490" s="47" t="s">
        <v>1218</v>
      </c>
      <c r="C490" s="48" t="str">
        <f t="array" ref="C490">IFERROR(_xlfn.XLOOKUP($B490,'Histórico'!$B:$B,'Histórico'!$I:$I),"")</f>
        <v>066-1072-04</v>
      </c>
      <c r="D490" s="19">
        <f t="array" ref="D490">IFERROR(_xlfn.XLOOKUP($B490,'Histórico'!$B:$B,'Histórico'!$J:$J),"")</f>
        <v>22373</v>
      </c>
      <c r="E490" s="19" t="str">
        <f t="array" ref="E490">IFERROR(_xlfn.XLOOKUP($B490,'Histórico'!$B:$B,'Histórico'!$K:$K),"")</f>
        <v>RECEIVER,RADIO</v>
      </c>
      <c r="F490" s="19" t="str">
        <f t="array" ref="F490">IFERROR(_xlfn.XLOOKUP($B490,'Histórico'!$B:$B,'Histórico'!$L:$L),"")</f>
        <v>73267</v>
      </c>
      <c r="G490" s="49">
        <f t="array" ref="G490">IFERROR(_xlfn.XLOOKUP($B490,'Histórico'!$B:$B,'Histórico'!$F:$F),"")</f>
        <v>46231</v>
      </c>
      <c r="H490" s="19" t="str">
        <f t="array" ref="H490">IFERROR(_xlfn.XLOOKUP($B490,'Histórico'!$B:$B,'Histórico'!$AA:$AA),"")</f>
        <v>BACG</v>
      </c>
      <c r="I490" s="19" t="str">
        <f t="array" ref="I490">IFERROR(_xlfn.XLOOKUP($B490,Atual!$B:$B,Atual!$E:$E),"OS concluída")</f>
        <v>REC</v>
      </c>
      <c r="J490" s="19">
        <f t="shared" si="1"/>
        <v>79</v>
      </c>
      <c r="K490" s="19"/>
      <c r="L490" s="19" t="str">
        <f t="shared" si="2"/>
        <v/>
      </c>
      <c r="M490" s="19"/>
      <c r="N490" s="49" t="str">
        <f t="array" ref="N490">IFERROR(_xlfn.XLOOKUP($B490,EMPRESA_1!A:A,EMPRESA_1!J:J),"")</f>
        <v/>
      </c>
      <c r="O490" s="50" t="str">
        <f t="array" ref="O490">IFERROR(_xlfn.XLOOKUP(B490,EMPRESA_1!A:A,EMPRESA_1!K:K),"")
</f>
        <v/>
      </c>
      <c r="P490" s="48" t="str">
        <f t="array" ref="P490">IFERROR(_xlfn.XLOOKUP(B490,EMPRESA_1!A:A,EMPRESA_1!L:L),"")</f>
        <v/>
      </c>
      <c r="Q490" s="49" t="str">
        <f t="array" ref="Q490">IFERROR(_xlfn.XLOOKUP(B490,EMPRESA_1!A:A,EMPRESA_1!J:J),"")</f>
        <v/>
      </c>
      <c r="R490" s="19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</row>
    <row r="491">
      <c r="A491" s="48"/>
      <c r="B491" s="47" t="s">
        <v>1219</v>
      </c>
      <c r="C491" s="48" t="str">
        <f t="array" ref="C491">IFERROR(_xlfn.XLOOKUP($B491,'Histórico'!$B:$B,'Histórico'!$I:$I),"")</f>
        <v>066-1072-04</v>
      </c>
      <c r="D491" s="19">
        <f t="array" ref="D491">IFERROR(_xlfn.XLOOKUP($B491,'Histórico'!$B:$B,'Histórico'!$J:$J),"")</f>
        <v>22373</v>
      </c>
      <c r="E491" s="19" t="str">
        <f t="array" ref="E491">IFERROR(_xlfn.XLOOKUP($B491,'Histórico'!$B:$B,'Histórico'!$K:$K),"")</f>
        <v>RECEIVER,RADIO</v>
      </c>
      <c r="F491" s="19" t="str">
        <f t="array" ref="F491">IFERROR(_xlfn.XLOOKUP($B491,'Histórico'!$B:$B,'Histórico'!$L:$L),"")</f>
        <v>71067</v>
      </c>
      <c r="G491" s="49">
        <f t="array" ref="G491">IFERROR(_xlfn.XLOOKUP($B491,'Histórico'!$B:$B,'Histórico'!$F:$F),"")</f>
        <v>46231</v>
      </c>
      <c r="H491" s="19" t="str">
        <f t="array" ref="H491">IFERROR(_xlfn.XLOOKUP($B491,'Histórico'!$B:$B,'Histórico'!$AA:$AA),"")</f>
        <v>BAMN</v>
      </c>
      <c r="I491" s="19" t="str">
        <f t="array" ref="I491">IFERROR(_xlfn.XLOOKUP($B491,Atual!$B:$B,Atual!$E:$E),"OS concluída")</f>
        <v>REC</v>
      </c>
      <c r="J491" s="19">
        <f t="shared" si="1"/>
        <v>79</v>
      </c>
      <c r="K491" s="19"/>
      <c r="L491" s="19" t="str">
        <f t="shared" si="2"/>
        <v/>
      </c>
      <c r="M491" s="19"/>
      <c r="N491" s="49" t="str">
        <f t="array" ref="N491">IFERROR(_xlfn.XLOOKUP($B491,EMPRESA_1!A:A,EMPRESA_1!J:J),"")</f>
        <v/>
      </c>
      <c r="O491" s="50" t="str">
        <f t="array" ref="O491">IFERROR(_xlfn.XLOOKUP(B491,EMPRESA_1!A:A,EMPRESA_1!K:K),"")
</f>
        <v/>
      </c>
      <c r="P491" s="48" t="str">
        <f t="array" ref="P491">IFERROR(_xlfn.XLOOKUP(B491,EMPRESA_1!A:A,EMPRESA_1!L:L),"")</f>
        <v/>
      </c>
      <c r="Q491" s="49" t="str">
        <f t="array" ref="Q491">IFERROR(_xlfn.XLOOKUP(B491,EMPRESA_1!A:A,EMPRESA_1!J:J),"")</f>
        <v/>
      </c>
      <c r="R491" s="19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</row>
    <row r="492">
      <c r="A492" s="48"/>
      <c r="B492" s="47" t="s">
        <v>1220</v>
      </c>
      <c r="C492" s="48" t="str">
        <f t="array" ref="C492">IFERROR(_xlfn.XLOOKUP($B492,'Histórico'!$B:$B,'Histórico'!$I:$I),"")</f>
        <v>066-1072-04</v>
      </c>
      <c r="D492" s="19">
        <f t="array" ref="D492">IFERROR(_xlfn.XLOOKUP($B492,'Histórico'!$B:$B,'Histórico'!$J:$J),"")</f>
        <v>22373</v>
      </c>
      <c r="E492" s="19" t="str">
        <f t="array" ref="E492">IFERROR(_xlfn.XLOOKUP($B492,'Histórico'!$B:$B,'Histórico'!$K:$K),"")</f>
        <v>RECEIVER,RADIO</v>
      </c>
      <c r="F492" s="19" t="str">
        <f t="array" ref="F492">IFERROR(_xlfn.XLOOKUP($B492,'Histórico'!$B:$B,'Histórico'!$L:$L),"")</f>
        <v>67239</v>
      </c>
      <c r="G492" s="49">
        <f t="array" ref="G492">IFERROR(_xlfn.XLOOKUP($B492,'Histórico'!$B:$B,'Histórico'!$F:$F),"")</f>
        <v>46231</v>
      </c>
      <c r="H492" s="19" t="str">
        <f t="array" ref="H492">IFERROR(_xlfn.XLOOKUP($B492,'Histórico'!$B:$B,'Histórico'!$AA:$AA),"")</f>
        <v>PAMALS</v>
      </c>
      <c r="I492" s="19" t="str">
        <f t="array" ref="I492">IFERROR(_xlfn.XLOOKUP($B492,Atual!$B:$B,Atual!$E:$E),"OS concluída")</f>
        <v>REC</v>
      </c>
      <c r="J492" s="19">
        <f t="shared" si="1"/>
        <v>79</v>
      </c>
      <c r="K492" s="19"/>
      <c r="L492" s="19" t="str">
        <f t="shared" si="2"/>
        <v/>
      </c>
      <c r="M492" s="19"/>
      <c r="N492" s="49" t="str">
        <f t="array" ref="N492">IFERROR(_xlfn.XLOOKUP($B492,EMPRESA_1!A:A,EMPRESA_1!J:J),"")</f>
        <v/>
      </c>
      <c r="O492" s="50" t="str">
        <f t="array" ref="O492">IFERROR(_xlfn.XLOOKUP(B492,EMPRESA_1!A:A,EMPRESA_1!K:K),"")
</f>
        <v/>
      </c>
      <c r="P492" s="48" t="str">
        <f t="array" ref="P492">IFERROR(_xlfn.XLOOKUP(B492,EMPRESA_1!A:A,EMPRESA_1!L:L),"")</f>
        <v/>
      </c>
      <c r="Q492" s="49" t="str">
        <f t="array" ref="Q492">IFERROR(_xlfn.XLOOKUP(B492,EMPRESA_1!A:A,EMPRESA_1!J:J),"")</f>
        <v/>
      </c>
      <c r="R492" s="19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</row>
    <row r="493">
      <c r="A493" s="48"/>
      <c r="B493" s="47" t="s">
        <v>1221</v>
      </c>
      <c r="C493" s="48" t="str">
        <f t="array" ref="C493">IFERROR(_xlfn.XLOOKUP($B493,'Histórico'!$B:$B,'Histórico'!$I:$I),"")</f>
        <v>066-3084-32</v>
      </c>
      <c r="D493" s="19">
        <f t="array" ref="D493">IFERROR(_xlfn.XLOOKUP($B493,'Histórico'!$B:$B,'Histórico'!$J:$J),"")</f>
        <v>22373</v>
      </c>
      <c r="E493" s="19" t="str">
        <f t="array" ref="E493">IFERROR(_xlfn.XLOOKUP($B493,'Histórico'!$B:$B,'Histórico'!$K:$K),"")</f>
        <v>IND RDR 2000 IN-182A</v>
      </c>
      <c r="F493" s="19" t="str">
        <f t="array" ref="F493">IFERROR(_xlfn.XLOOKUP($B493,'Histórico'!$B:$B,'Histórico'!$L:$L),"")</f>
        <v>22401</v>
      </c>
      <c r="G493" s="49">
        <f t="array" ref="G493">IFERROR(_xlfn.XLOOKUP($B493,'Histórico'!$B:$B,'Histórico'!$F:$F),"")</f>
        <v>46231</v>
      </c>
      <c r="H493" s="19" t="str">
        <f t="array" ref="H493">IFERROR(_xlfn.XLOOKUP($B493,'Histórico'!$B:$B,'Histórico'!$AA:$AA),"")</f>
        <v>PAMALS</v>
      </c>
      <c r="I493" s="19" t="str">
        <f t="array" ref="I493">IFERROR(_xlfn.XLOOKUP($B493,Atual!$B:$B,Atual!$E:$E),"OS concluída")</f>
        <v>REC</v>
      </c>
      <c r="J493" s="19">
        <f t="shared" si="1"/>
        <v>79</v>
      </c>
      <c r="K493" s="19"/>
      <c r="L493" s="19" t="str">
        <f t="shared" si="2"/>
        <v/>
      </c>
      <c r="M493" s="19"/>
      <c r="N493" s="49" t="str">
        <f t="array" ref="N493">IFERROR(_xlfn.XLOOKUP($B493,EMPRESA_1!A:A,EMPRESA_1!J:J),"")</f>
        <v/>
      </c>
      <c r="O493" s="50" t="str">
        <f t="array" ref="O493">IFERROR(_xlfn.XLOOKUP(B493,EMPRESA_1!A:A,EMPRESA_1!K:K),"")
</f>
        <v/>
      </c>
      <c r="P493" s="48" t="str">
        <f t="array" ref="P493">IFERROR(_xlfn.XLOOKUP(B493,EMPRESA_1!A:A,EMPRESA_1!L:L),"")</f>
        <v/>
      </c>
      <c r="Q493" s="49" t="str">
        <f t="array" ref="Q493">IFERROR(_xlfn.XLOOKUP(B493,EMPRESA_1!A:A,EMPRESA_1!J:J),"")</f>
        <v/>
      </c>
      <c r="R493" s="19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</row>
    <row r="494">
      <c r="A494" s="48"/>
      <c r="B494" s="47" t="s">
        <v>1222</v>
      </c>
      <c r="C494" s="48" t="str">
        <f t="array" ref="C494">IFERROR(_xlfn.XLOOKUP($B494,'Histórico'!$B:$B,'Histórico'!$I:$I),"")</f>
        <v>066-3084-32</v>
      </c>
      <c r="D494" s="19">
        <f t="array" ref="D494">IFERROR(_xlfn.XLOOKUP($B494,'Histórico'!$B:$B,'Histórico'!$J:$J),"")</f>
        <v>22373</v>
      </c>
      <c r="E494" s="19" t="str">
        <f t="array" ref="E494">IFERROR(_xlfn.XLOOKUP($B494,'Histórico'!$B:$B,'Histórico'!$K:$K),"")</f>
        <v>IND RDR 2000 IN-182A</v>
      </c>
      <c r="F494" s="19" t="str">
        <f t="array" ref="F494">IFERROR(_xlfn.XLOOKUP($B494,'Histórico'!$B:$B,'Histórico'!$L:$L),"")</f>
        <v>25098</v>
      </c>
      <c r="G494" s="49">
        <f t="array" ref="G494">IFERROR(_xlfn.XLOOKUP($B494,'Histórico'!$B:$B,'Histórico'!$F:$F),"")</f>
        <v>46231</v>
      </c>
      <c r="H494" s="19" t="str">
        <f t="array" ref="H494">IFERROR(_xlfn.XLOOKUP($B494,'Histórico'!$B:$B,'Histórico'!$AA:$AA),"")</f>
        <v>PAMALS</v>
      </c>
      <c r="I494" s="19" t="str">
        <f t="array" ref="I494">IFERROR(_xlfn.XLOOKUP($B494,Atual!$B:$B,Atual!$E:$E),"OS concluída")</f>
        <v>REC</v>
      </c>
      <c r="J494" s="19">
        <f t="shared" si="1"/>
        <v>79</v>
      </c>
      <c r="K494" s="19"/>
      <c r="L494" s="19" t="str">
        <f t="shared" si="2"/>
        <v/>
      </c>
      <c r="M494" s="19"/>
      <c r="N494" s="49" t="str">
        <f t="array" ref="N494">IFERROR(_xlfn.XLOOKUP($B494,EMPRESA_1!A:A,EMPRESA_1!J:J),"")</f>
        <v/>
      </c>
      <c r="O494" s="50" t="str">
        <f t="array" ref="O494">IFERROR(_xlfn.XLOOKUP(B494,EMPRESA_1!A:A,EMPRESA_1!K:K),"")
</f>
        <v/>
      </c>
      <c r="P494" s="48" t="str">
        <f t="array" ref="P494">IFERROR(_xlfn.XLOOKUP(B494,EMPRESA_1!A:A,EMPRESA_1!L:L),"")</f>
        <v/>
      </c>
      <c r="Q494" s="49" t="str">
        <f t="array" ref="Q494">IFERROR(_xlfn.XLOOKUP(B494,EMPRESA_1!A:A,EMPRESA_1!J:J),"")</f>
        <v/>
      </c>
      <c r="R494" s="19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</row>
    <row r="495">
      <c r="A495" s="48"/>
      <c r="B495" s="47" t="s">
        <v>1223</v>
      </c>
      <c r="C495" s="48" t="str">
        <f t="array" ref="C495">IFERROR(_xlfn.XLOOKUP($B495,'Histórico'!$B:$B,'Histórico'!$I:$I),"")</f>
        <v>30994-001</v>
      </c>
      <c r="D495" s="19">
        <f t="array" ref="D495">IFERROR(_xlfn.XLOOKUP($B495,'Histórico'!$B:$B,'Histórico'!$J:$J),"")</f>
        <v>74025</v>
      </c>
      <c r="E495" s="19" t="str">
        <f t="array" ref="E495">IFERROR(_xlfn.XLOOKUP($B495,'Histórico'!$B:$B,'Histórico'!$K:$K),"")</f>
        <v>BATTERY-MARATHON TSP410 NICAD</v>
      </c>
      <c r="F495" s="19" t="str">
        <f t="array" ref="F495">IFERROR(_xlfn.XLOOKUP($B495,'Histórico'!$B:$B,'Histórico'!$L:$L),"")</f>
        <v>10603744</v>
      </c>
      <c r="G495" s="49">
        <f t="array" ref="G495">IFERROR(_xlfn.XLOOKUP($B495,'Histórico'!$B:$B,'Histórico'!$F:$F),"")</f>
        <v>46231</v>
      </c>
      <c r="H495" s="19" t="str">
        <f t="array" ref="H495">IFERROR(_xlfn.XLOOKUP($B495,'Histórico'!$B:$B,'Histórico'!$AA:$AA),"")</f>
        <v>PAMALS</v>
      </c>
      <c r="I495" s="19" t="str">
        <f t="array" ref="I495">IFERROR(_xlfn.XLOOKUP($B495,Atual!$B:$B,Atual!$E:$E),"OS concluída")</f>
        <v>AUT</v>
      </c>
      <c r="J495" s="19">
        <f t="shared" si="1"/>
        <v>79</v>
      </c>
      <c r="K495" s="19"/>
      <c r="L495" s="19" t="str">
        <f t="shared" si="2"/>
        <v/>
      </c>
      <c r="M495" s="19"/>
      <c r="N495" s="49" t="str">
        <f t="array" ref="N495">IFERROR(_xlfn.XLOOKUP($B495,EMPRESA_1!A:A,EMPRESA_1!J:J),"")</f>
        <v/>
      </c>
      <c r="O495" s="50" t="str">
        <f t="array" ref="O495">IFERROR(_xlfn.XLOOKUP(B495,EMPRESA_1!A:A,EMPRESA_1!K:K),"")
</f>
        <v/>
      </c>
      <c r="P495" s="48" t="str">
        <f t="array" ref="P495">IFERROR(_xlfn.XLOOKUP(B495,EMPRESA_1!A:A,EMPRESA_1!L:L),"")</f>
        <v/>
      </c>
      <c r="Q495" s="49" t="str">
        <f t="array" ref="Q495">IFERROR(_xlfn.XLOOKUP(B495,EMPRESA_1!A:A,EMPRESA_1!J:J),"")</f>
        <v/>
      </c>
      <c r="R495" s="19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</row>
    <row r="496">
      <c r="A496" s="48"/>
      <c r="B496" s="47" t="s">
        <v>1224</v>
      </c>
      <c r="C496" s="48" t="str">
        <f t="array" ref="C496">IFERROR(_xlfn.XLOOKUP($B496,'Histórico'!$B:$B,'Histórico'!$I:$I),"")</f>
        <v>30994-001</v>
      </c>
      <c r="D496" s="19">
        <f t="array" ref="D496">IFERROR(_xlfn.XLOOKUP($B496,'Histórico'!$B:$B,'Histórico'!$J:$J),"")</f>
        <v>74025</v>
      </c>
      <c r="E496" s="19" t="str">
        <f t="array" ref="E496">IFERROR(_xlfn.XLOOKUP($B496,'Histórico'!$B:$B,'Histórico'!$K:$K),"")</f>
        <v>BATTERY-MARATHON TSP410 NICAD</v>
      </c>
      <c r="F496" s="19" t="str">
        <f t="array" ref="F496">IFERROR(_xlfn.XLOOKUP($B496,'Histórico'!$B:$B,'Histórico'!$L:$L),"")</f>
        <v>10603742</v>
      </c>
      <c r="G496" s="49">
        <f t="array" ref="G496">IFERROR(_xlfn.XLOOKUP($B496,'Histórico'!$B:$B,'Histórico'!$F:$F),"")</f>
        <v>46231</v>
      </c>
      <c r="H496" s="19" t="str">
        <f t="array" ref="H496">IFERROR(_xlfn.XLOOKUP($B496,'Histórico'!$B:$B,'Histórico'!$AA:$AA),"")</f>
        <v>PAMALS</v>
      </c>
      <c r="I496" s="19" t="str">
        <f t="array" ref="I496">IFERROR(_xlfn.XLOOKUP($B496,Atual!$B:$B,Atual!$E:$E),"OS concluída")</f>
        <v>AUT</v>
      </c>
      <c r="J496" s="19">
        <f t="shared" si="1"/>
        <v>79</v>
      </c>
      <c r="K496" s="19"/>
      <c r="L496" s="19" t="str">
        <f t="shared" si="2"/>
        <v/>
      </c>
      <c r="M496" s="19"/>
      <c r="N496" s="49" t="str">
        <f t="array" ref="N496">IFERROR(_xlfn.XLOOKUP($B496,EMPRESA_1!A:A,EMPRESA_1!J:J),"")</f>
        <v/>
      </c>
      <c r="O496" s="50" t="str">
        <f t="array" ref="O496">IFERROR(_xlfn.XLOOKUP(B496,EMPRESA_1!A:A,EMPRESA_1!K:K),"")
</f>
        <v/>
      </c>
      <c r="P496" s="48" t="str">
        <f t="array" ref="P496">IFERROR(_xlfn.XLOOKUP(B496,EMPRESA_1!A:A,EMPRESA_1!L:L),"")</f>
        <v/>
      </c>
      <c r="Q496" s="49" t="str">
        <f t="array" ref="Q496">IFERROR(_xlfn.XLOOKUP(B496,EMPRESA_1!A:A,EMPRESA_1!J:J),"")</f>
        <v/>
      </c>
      <c r="R496" s="19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</row>
    <row r="497">
      <c r="A497" s="48"/>
      <c r="B497" s="47" t="s">
        <v>1225</v>
      </c>
      <c r="C497" s="48" t="str">
        <f t="array" ref="C497">IFERROR(_xlfn.XLOOKUP($B497,'Histórico'!$B:$B,'Histórico'!$I:$I),"")</f>
        <v>30994-001</v>
      </c>
      <c r="D497" s="19">
        <f t="array" ref="D497">IFERROR(_xlfn.XLOOKUP($B497,'Histórico'!$B:$B,'Histórico'!$J:$J),"")</f>
        <v>74025</v>
      </c>
      <c r="E497" s="19" t="str">
        <f t="array" ref="E497">IFERROR(_xlfn.XLOOKUP($B497,'Histórico'!$B:$B,'Histórico'!$K:$K),"")</f>
        <v>BATTERY-MARATHON TSP410 NICAD</v>
      </c>
      <c r="F497" s="19" t="str">
        <f t="array" ref="F497">IFERROR(_xlfn.XLOOKUP($B497,'Histórico'!$B:$B,'Histórico'!$L:$L),"")</f>
        <v>10603745</v>
      </c>
      <c r="G497" s="49">
        <f t="array" ref="G497">IFERROR(_xlfn.XLOOKUP($B497,'Histórico'!$B:$B,'Histórico'!$F:$F),"")</f>
        <v>46231</v>
      </c>
      <c r="H497" s="19" t="str">
        <f t="array" ref="H497">IFERROR(_xlfn.XLOOKUP($B497,'Histórico'!$B:$B,'Histórico'!$AA:$AA),"")</f>
        <v>PAMALS</v>
      </c>
      <c r="I497" s="19" t="str">
        <f t="array" ref="I497">IFERROR(_xlfn.XLOOKUP($B497,Atual!$B:$B,Atual!$E:$E),"OS concluída")</f>
        <v>AUT</v>
      </c>
      <c r="J497" s="19">
        <f t="shared" si="1"/>
        <v>79</v>
      </c>
      <c r="K497" s="19"/>
      <c r="L497" s="19" t="str">
        <f t="shared" si="2"/>
        <v/>
      </c>
      <c r="M497" s="19"/>
      <c r="N497" s="49" t="str">
        <f t="array" ref="N497">IFERROR(_xlfn.XLOOKUP($B497,EMPRESA_1!A:A,EMPRESA_1!J:J),"")</f>
        <v/>
      </c>
      <c r="O497" s="50" t="str">
        <f t="array" ref="O497">IFERROR(_xlfn.XLOOKUP(B497,EMPRESA_1!A:A,EMPRESA_1!K:K),"")
</f>
        <v/>
      </c>
      <c r="P497" s="48" t="str">
        <f t="array" ref="P497">IFERROR(_xlfn.XLOOKUP(B497,EMPRESA_1!A:A,EMPRESA_1!L:L),"")</f>
        <v/>
      </c>
      <c r="Q497" s="49" t="str">
        <f t="array" ref="Q497">IFERROR(_xlfn.XLOOKUP(B497,EMPRESA_1!A:A,EMPRESA_1!J:J),"")</f>
        <v/>
      </c>
      <c r="R497" s="19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</row>
    <row r="498">
      <c r="A498" s="48"/>
      <c r="B498" s="47" t="s">
        <v>1226</v>
      </c>
      <c r="C498" s="48" t="str">
        <f t="array" ref="C498">IFERROR(_xlfn.XLOOKUP($B498,'Histórico'!$B:$B,'Histórico'!$I:$I),"")</f>
        <v>30994-001</v>
      </c>
      <c r="D498" s="19">
        <f t="array" ref="D498">IFERROR(_xlfn.XLOOKUP($B498,'Histórico'!$B:$B,'Histórico'!$J:$J),"")</f>
        <v>74025</v>
      </c>
      <c r="E498" s="19" t="str">
        <f t="array" ref="E498">IFERROR(_xlfn.XLOOKUP($B498,'Histórico'!$B:$B,'Histórico'!$K:$K),"")</f>
        <v>BATTERY-MARATHON TSP410 NICAD</v>
      </c>
      <c r="F498" s="19" t="str">
        <f t="array" ref="F498">IFERROR(_xlfn.XLOOKUP($B498,'Histórico'!$B:$B,'Histórico'!$L:$L),"")</f>
        <v>11200477</v>
      </c>
      <c r="G498" s="49">
        <f t="array" ref="G498">IFERROR(_xlfn.XLOOKUP($B498,'Histórico'!$B:$B,'Histórico'!$F:$F),"")</f>
        <v>46231</v>
      </c>
      <c r="H498" s="19" t="str">
        <f t="array" ref="H498">IFERROR(_xlfn.XLOOKUP($B498,'Histórico'!$B:$B,'Histórico'!$AA:$AA),"")</f>
        <v>PAMALS</v>
      </c>
      <c r="I498" s="19" t="str">
        <f t="array" ref="I498">IFERROR(_xlfn.XLOOKUP($B498,Atual!$B:$B,Atual!$E:$E),"OS concluída")</f>
        <v>AUT</v>
      </c>
      <c r="J498" s="19">
        <f t="shared" si="1"/>
        <v>79</v>
      </c>
      <c r="K498" s="19"/>
      <c r="L498" s="19" t="str">
        <f t="shared" si="2"/>
        <v/>
      </c>
      <c r="M498" s="19"/>
      <c r="N498" s="49" t="str">
        <f t="array" ref="N498">IFERROR(_xlfn.XLOOKUP($B498,EMPRESA_1!A:A,EMPRESA_1!J:J),"")</f>
        <v/>
      </c>
      <c r="O498" s="50" t="str">
        <f t="array" ref="O498">IFERROR(_xlfn.XLOOKUP(B498,EMPRESA_1!A:A,EMPRESA_1!K:K),"")
</f>
        <v/>
      </c>
      <c r="P498" s="48" t="str">
        <f t="array" ref="P498">IFERROR(_xlfn.XLOOKUP(B498,EMPRESA_1!A:A,EMPRESA_1!L:L),"")</f>
        <v/>
      </c>
      <c r="Q498" s="49" t="str">
        <f t="array" ref="Q498">IFERROR(_xlfn.XLOOKUP(B498,EMPRESA_1!A:A,EMPRESA_1!J:J),"")</f>
        <v/>
      </c>
      <c r="R498" s="19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</row>
    <row r="499">
      <c r="A499" s="48"/>
      <c r="B499" s="47" t="s">
        <v>1227</v>
      </c>
      <c r="C499" s="48" t="str">
        <f t="array" ref="C499">IFERROR(_xlfn.XLOOKUP($B499,'Histórico'!$B:$B,'Histórico'!$I:$I),"")</f>
        <v>30994-001</v>
      </c>
      <c r="D499" s="19">
        <f t="array" ref="D499">IFERROR(_xlfn.XLOOKUP($B499,'Histórico'!$B:$B,'Histórico'!$J:$J),"")</f>
        <v>74025</v>
      </c>
      <c r="E499" s="19" t="str">
        <f t="array" ref="E499">IFERROR(_xlfn.XLOOKUP($B499,'Histórico'!$B:$B,'Histórico'!$K:$K),"")</f>
        <v>BATTERY-MARATHON TSP410 NICAD</v>
      </c>
      <c r="F499" s="19" t="str">
        <f t="array" ref="F499">IFERROR(_xlfn.XLOOKUP($B499,'Histórico'!$B:$B,'Histórico'!$L:$L),"")</f>
        <v>392-000003</v>
      </c>
      <c r="G499" s="49">
        <f t="array" ref="G499">IFERROR(_xlfn.XLOOKUP($B499,'Histórico'!$B:$B,'Histórico'!$F:$F),"")</f>
        <v>46231</v>
      </c>
      <c r="H499" s="19" t="str">
        <f t="array" ref="H499">IFERROR(_xlfn.XLOOKUP($B499,'Histórico'!$B:$B,'Histórico'!$AA:$AA),"")</f>
        <v>PAMALS</v>
      </c>
      <c r="I499" s="19" t="str">
        <f t="array" ref="I499">IFERROR(_xlfn.XLOOKUP($B499,Atual!$B:$B,Atual!$E:$E),"OS concluída")</f>
        <v>AUT</v>
      </c>
      <c r="J499" s="19">
        <f t="shared" si="1"/>
        <v>79</v>
      </c>
      <c r="K499" s="19"/>
      <c r="L499" s="19" t="str">
        <f t="shared" si="2"/>
        <v/>
      </c>
      <c r="M499" s="19"/>
      <c r="N499" s="49" t="str">
        <f t="array" ref="N499">IFERROR(_xlfn.XLOOKUP($B499,EMPRESA_1!A:A,EMPRESA_1!J:J),"")</f>
        <v/>
      </c>
      <c r="O499" s="50" t="str">
        <f t="array" ref="O499">IFERROR(_xlfn.XLOOKUP(B499,EMPRESA_1!A:A,EMPRESA_1!K:K),"")
</f>
        <v/>
      </c>
      <c r="P499" s="48" t="str">
        <f t="array" ref="P499">IFERROR(_xlfn.XLOOKUP(B499,EMPRESA_1!A:A,EMPRESA_1!L:L),"")</f>
        <v/>
      </c>
      <c r="Q499" s="49" t="str">
        <f t="array" ref="Q499">IFERROR(_xlfn.XLOOKUP(B499,EMPRESA_1!A:A,EMPRESA_1!J:J),"")</f>
        <v/>
      </c>
      <c r="R499" s="19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</row>
    <row r="500">
      <c r="A500" s="48"/>
      <c r="B500" s="47" t="s">
        <v>1228</v>
      </c>
      <c r="C500" s="48" t="str">
        <f t="array" ref="C500">IFERROR(_xlfn.XLOOKUP($B500,'Histórico'!$B:$B,'Histórico'!$I:$I),"")</f>
        <v>2641011-5</v>
      </c>
      <c r="D500" s="19" t="str">
        <f t="array" ref="D500">IFERROR(_xlfn.XLOOKUP($B500,'Histórico'!$B:$B,'Histórico'!$J:$J),"")</f>
        <v>7EK50</v>
      </c>
      <c r="E500" s="19" t="str">
        <f t="array" ref="E500">IFERROR(_xlfn.XLOOKUP($B500,'Histórico'!$B:$B,'Histórico'!$K:$K),"")</f>
        <v>AXLE-MAIN GEAR</v>
      </c>
      <c r="F500" s="19" t="str">
        <f t="array" ref="F500">IFERROR(_xlfn.XLOOKUP($B500,'Histórico'!$B:$B,'Histórico'!$L:$L),"")</f>
        <v>830-5</v>
      </c>
      <c r="G500" s="49">
        <f t="array" ref="G500">IFERROR(_xlfn.XLOOKUP($B500,'Histórico'!$B:$B,'Histórico'!$F:$F),"")</f>
        <v>46231</v>
      </c>
      <c r="H500" s="19" t="str">
        <f t="array" ref="H500">IFERROR(_xlfn.XLOOKUP($B500,'Histórico'!$B:$B,'Histórico'!$AA:$AA),"")</f>
        <v>BAMN</v>
      </c>
      <c r="I500" s="19" t="str">
        <f t="array" ref="I500">IFERROR(_xlfn.XLOOKUP($B500,Atual!$B:$B,Atual!$E:$E),"OS concluída")</f>
        <v>REC</v>
      </c>
      <c r="J500" s="19">
        <f t="shared" si="1"/>
        <v>79</v>
      </c>
      <c r="K500" s="19"/>
      <c r="L500" s="19" t="str">
        <f t="shared" si="2"/>
        <v/>
      </c>
      <c r="M500" s="19"/>
      <c r="N500" s="49" t="str">
        <f t="array" ref="N500">IFERROR(_xlfn.XLOOKUP($B500,EMPRESA_1!A:A,EMPRESA_1!J:J),"")</f>
        <v/>
      </c>
      <c r="O500" s="50" t="str">
        <f t="array" ref="O500">IFERROR(_xlfn.XLOOKUP(B500,EMPRESA_1!A:A,EMPRESA_1!K:K),"")
</f>
        <v/>
      </c>
      <c r="P500" s="48" t="str">
        <f t="array" ref="P500">IFERROR(_xlfn.XLOOKUP(B500,EMPRESA_1!A:A,EMPRESA_1!L:L),"")</f>
        <v/>
      </c>
      <c r="Q500" s="49" t="str">
        <f t="array" ref="Q500">IFERROR(_xlfn.XLOOKUP(B500,EMPRESA_1!A:A,EMPRESA_1!J:J),"")</f>
        <v/>
      </c>
      <c r="R500" s="19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</row>
    <row r="501">
      <c r="A501" s="48"/>
      <c r="B501" s="47" t="s">
        <v>1229</v>
      </c>
      <c r="C501" s="48" t="str">
        <f t="array" ref="C501">IFERROR(_xlfn.XLOOKUP($B501,'Histórico'!$B:$B,'Histórico'!$I:$I),"")</f>
        <v>2641011-5</v>
      </c>
      <c r="D501" s="19" t="str">
        <f t="array" ref="D501">IFERROR(_xlfn.XLOOKUP($B501,'Histórico'!$B:$B,'Histórico'!$J:$J),"")</f>
        <v>7EK50</v>
      </c>
      <c r="E501" s="19" t="str">
        <f t="array" ref="E501">IFERROR(_xlfn.XLOOKUP($B501,'Histórico'!$B:$B,'Histórico'!$K:$K),"")</f>
        <v>AXLE-MAIN GEAR</v>
      </c>
      <c r="F501" s="19" t="str">
        <f t="array" ref="F501">IFERROR(_xlfn.XLOOKUP($B501,'Histórico'!$B:$B,'Histórico'!$L:$L),"")</f>
        <v>1568-5</v>
      </c>
      <c r="G501" s="49">
        <f t="array" ref="G501">IFERROR(_xlfn.XLOOKUP($B501,'Histórico'!$B:$B,'Histórico'!$F:$F),"")</f>
        <v>46231</v>
      </c>
      <c r="H501" s="19" t="str">
        <f t="array" ref="H501">IFERROR(_xlfn.XLOOKUP($B501,'Histórico'!$B:$B,'Histórico'!$AA:$AA),"")</f>
        <v>BAMN</v>
      </c>
      <c r="I501" s="19" t="str">
        <f t="array" ref="I501">IFERROR(_xlfn.XLOOKUP($B501,Atual!$B:$B,Atual!$E:$E),"OS concluída")</f>
        <v>REC</v>
      </c>
      <c r="J501" s="19">
        <f t="shared" si="1"/>
        <v>79</v>
      </c>
      <c r="K501" s="19"/>
      <c r="L501" s="19" t="str">
        <f t="shared" si="2"/>
        <v/>
      </c>
      <c r="M501" s="19"/>
      <c r="N501" s="49" t="str">
        <f t="array" ref="N501">IFERROR(_xlfn.XLOOKUP($B501,EMPRESA_1!A:A,EMPRESA_1!J:J),"")</f>
        <v/>
      </c>
      <c r="O501" s="50" t="str">
        <f t="array" ref="O501">IFERROR(_xlfn.XLOOKUP(B501,EMPRESA_1!A:A,EMPRESA_1!K:K),"")
</f>
        <v/>
      </c>
      <c r="P501" s="48" t="str">
        <f t="array" ref="P501">IFERROR(_xlfn.XLOOKUP(B501,EMPRESA_1!A:A,EMPRESA_1!L:L),"")</f>
        <v/>
      </c>
      <c r="Q501" s="49" t="str">
        <f t="array" ref="Q501">IFERROR(_xlfn.XLOOKUP(B501,EMPRESA_1!A:A,EMPRESA_1!J:J),"")</f>
        <v/>
      </c>
      <c r="R501" s="19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</row>
    <row r="502">
      <c r="A502" s="48"/>
      <c r="B502" s="47" t="s">
        <v>1230</v>
      </c>
      <c r="C502" s="48" t="str">
        <f t="array" ref="C502">IFERROR(_xlfn.XLOOKUP($B502,'Histórico'!$B:$B,'Histórico'!$I:$I),"")</f>
        <v>161-11700</v>
      </c>
      <c r="D502" s="19">
        <f t="array" ref="D502">IFERROR(_xlfn.XLOOKUP($B502,'Histórico'!$B:$B,'Histórico'!$J:$J),"")</f>
        <v>71513</v>
      </c>
      <c r="E502" s="19" t="str">
        <f t="array" ref="E502">IFERROR(_xlfn.XLOOKUP($B502,'Histórico'!$B:$B,'Histórico'!$K:$K),"")</f>
        <v>INNER WHEEL HALF ASSY</v>
      </c>
      <c r="F502" s="19" t="str">
        <f t="array" ref="F502">IFERROR(_xlfn.XLOOKUP($B502,'Histórico'!$B:$B,'Histórico'!$L:$L),"")</f>
        <v>S110</v>
      </c>
      <c r="G502" s="49">
        <f t="array" ref="G502">IFERROR(_xlfn.XLOOKUP($B502,'Histórico'!$B:$B,'Histórico'!$F:$F),"")</f>
        <v>46231</v>
      </c>
      <c r="H502" s="19" t="str">
        <f t="array" ref="H502">IFERROR(_xlfn.XLOOKUP($B502,'Histórico'!$B:$B,'Histórico'!$AA:$AA),"")</f>
        <v>BACO</v>
      </c>
      <c r="I502" s="19" t="str">
        <f t="array" ref="I502">IFERROR(_xlfn.XLOOKUP($B502,Atual!$B:$B,Atual!$E:$E),"OS concluída")</f>
        <v>AUT</v>
      </c>
      <c r="J502" s="19">
        <f t="shared" si="1"/>
        <v>79</v>
      </c>
      <c r="K502" s="19"/>
      <c r="L502" s="19" t="str">
        <f t="shared" si="2"/>
        <v/>
      </c>
      <c r="M502" s="19"/>
      <c r="N502" s="49" t="str">
        <f t="array" ref="N502">IFERROR(_xlfn.XLOOKUP($B502,EMPRESA_1!A:A,EMPRESA_1!J:J),"")</f>
        <v/>
      </c>
      <c r="O502" s="50" t="str">
        <f t="array" ref="O502">IFERROR(_xlfn.XLOOKUP(B502,EMPRESA_1!A:A,EMPRESA_1!K:K),"")
</f>
        <v/>
      </c>
      <c r="P502" s="48" t="str">
        <f t="array" ref="P502">IFERROR(_xlfn.XLOOKUP(B502,EMPRESA_1!A:A,EMPRESA_1!L:L),"")</f>
        <v/>
      </c>
      <c r="Q502" s="49" t="str">
        <f t="array" ref="Q502">IFERROR(_xlfn.XLOOKUP(B502,EMPRESA_1!A:A,EMPRESA_1!J:J),"")</f>
        <v/>
      </c>
      <c r="R502" s="19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</row>
    <row r="503">
      <c r="A503" s="48"/>
      <c r="B503" s="47" t="s">
        <v>1231</v>
      </c>
      <c r="C503" s="48" t="str">
        <f t="array" ref="C503">IFERROR(_xlfn.XLOOKUP($B503,'Histórico'!$B:$B,'Histórico'!$I:$I),"")</f>
        <v>161-12800</v>
      </c>
      <c r="D503" s="19">
        <f t="array" ref="D503">IFERROR(_xlfn.XLOOKUP($B503,'Histórico'!$B:$B,'Histórico'!$J:$J),"")</f>
        <v>71513</v>
      </c>
      <c r="E503" s="19" t="str">
        <f t="array" ref="E503">IFERROR(_xlfn.XLOOKUP($B503,'Histórico'!$B:$B,'Histórico'!$K:$K),"")</f>
        <v>WHEEL HALF ASSY-INNER</v>
      </c>
      <c r="F503" s="19" t="str">
        <f t="array" ref="F503">IFERROR(_xlfn.XLOOKUP($B503,'Histórico'!$B:$B,'Histórico'!$L:$L),"")</f>
        <v>40</v>
      </c>
      <c r="G503" s="49">
        <f t="array" ref="G503">IFERROR(_xlfn.XLOOKUP($B503,'Histórico'!$B:$B,'Histórico'!$F:$F),"")</f>
        <v>46231</v>
      </c>
      <c r="H503" s="19" t="str">
        <f t="array" ref="H503">IFERROR(_xlfn.XLOOKUP($B503,'Histórico'!$B:$B,'Histórico'!$AA:$AA),"")</f>
        <v>BABE</v>
      </c>
      <c r="I503" s="19" t="str">
        <f t="array" ref="I503">IFERROR(_xlfn.XLOOKUP($B503,Atual!$B:$B,Atual!$E:$E),"OS concluída")</f>
        <v>REC</v>
      </c>
      <c r="J503" s="19">
        <f t="shared" si="1"/>
        <v>79</v>
      </c>
      <c r="K503" s="19"/>
      <c r="L503" s="19" t="str">
        <f t="shared" si="2"/>
        <v/>
      </c>
      <c r="M503" s="19"/>
      <c r="N503" s="49" t="str">
        <f t="array" ref="N503">IFERROR(_xlfn.XLOOKUP($B503,EMPRESA_1!A:A,EMPRESA_1!J:J),"")</f>
        <v/>
      </c>
      <c r="O503" s="50" t="str">
        <f t="array" ref="O503">IFERROR(_xlfn.XLOOKUP(B503,EMPRESA_1!A:A,EMPRESA_1!K:K),"")
</f>
        <v/>
      </c>
      <c r="P503" s="48" t="str">
        <f t="array" ref="P503">IFERROR(_xlfn.XLOOKUP(B503,EMPRESA_1!A:A,EMPRESA_1!L:L),"")</f>
        <v/>
      </c>
      <c r="Q503" s="49" t="str">
        <f t="array" ref="Q503">IFERROR(_xlfn.XLOOKUP(B503,EMPRESA_1!A:A,EMPRESA_1!J:J),"")</f>
        <v/>
      </c>
      <c r="R503" s="19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</row>
    <row r="504">
      <c r="A504" s="48"/>
      <c r="B504" s="47" t="s">
        <v>1232</v>
      </c>
      <c r="C504" s="48" t="str">
        <f t="array" ref="C504">IFERROR(_xlfn.XLOOKUP($B504,'Histórico'!$B:$B,'Histórico'!$I:$I),"")</f>
        <v>066-01141-0101</v>
      </c>
      <c r="D504" s="19">
        <f t="array" ref="D504">IFERROR(_xlfn.XLOOKUP($B504,'Histórico'!$B:$B,'Histórico'!$J:$J),"")</f>
        <v>22373</v>
      </c>
      <c r="E504" s="19" t="str">
        <f t="array" ref="E504">IFERROR(_xlfn.XLOOKUP($B504,'Histórico'!$B:$B,'Histórico'!$K:$K),"")</f>
        <v>RECEIVER,RADIO</v>
      </c>
      <c r="F504" s="19" t="str">
        <f t="array" ref="F504">IFERROR(_xlfn.XLOOKUP($B504,'Histórico'!$B:$B,'Histórico'!$L:$L),"")</f>
        <v>12185</v>
      </c>
      <c r="G504" s="49">
        <f t="array" ref="G504">IFERROR(_xlfn.XLOOKUP($B504,'Histórico'!$B:$B,'Histórico'!$F:$F),"")</f>
        <v>46231</v>
      </c>
      <c r="H504" s="19" t="str">
        <f t="array" ref="H504">IFERROR(_xlfn.XLOOKUP($B504,'Histórico'!$B:$B,'Histórico'!$AA:$AA),"")</f>
        <v>PAMALS</v>
      </c>
      <c r="I504" s="19" t="str">
        <f t="array" ref="I504">IFERROR(_xlfn.XLOOKUP($B504,Atual!$B:$B,Atual!$E:$E),"OS concluída")</f>
        <v>REC</v>
      </c>
      <c r="J504" s="19">
        <f t="shared" si="1"/>
        <v>79</v>
      </c>
      <c r="K504" s="19"/>
      <c r="L504" s="19" t="str">
        <f t="shared" si="2"/>
        <v/>
      </c>
      <c r="M504" s="19"/>
      <c r="N504" s="49" t="str">
        <f t="array" ref="N504">IFERROR(_xlfn.XLOOKUP($B504,EMPRESA_1!A:A,EMPRESA_1!J:J),"")</f>
        <v/>
      </c>
      <c r="O504" s="50" t="str">
        <f t="array" ref="O504">IFERROR(_xlfn.XLOOKUP(B504,EMPRESA_1!A:A,EMPRESA_1!K:K),"")
</f>
        <v/>
      </c>
      <c r="P504" s="48" t="str">
        <f t="array" ref="P504">IFERROR(_xlfn.XLOOKUP(B504,EMPRESA_1!A:A,EMPRESA_1!L:L),"")</f>
        <v/>
      </c>
      <c r="Q504" s="49" t="str">
        <f t="array" ref="Q504">IFERROR(_xlfn.XLOOKUP(B504,EMPRESA_1!A:A,EMPRESA_1!J:J),"")</f>
        <v/>
      </c>
      <c r="R504" s="19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</row>
    <row r="505">
      <c r="A505" s="48"/>
      <c r="B505" s="47" t="s">
        <v>1233</v>
      </c>
      <c r="C505" s="48" t="str">
        <f t="array" ref="C505">IFERROR(_xlfn.XLOOKUP($B505,'Histórico'!$B:$B,'Histórico'!$I:$I),"")</f>
        <v>066-01141-0101</v>
      </c>
      <c r="D505" s="19">
        <f t="array" ref="D505">IFERROR(_xlfn.XLOOKUP($B505,'Histórico'!$B:$B,'Histórico'!$J:$J),"")</f>
        <v>22373</v>
      </c>
      <c r="E505" s="19" t="str">
        <f t="array" ref="E505">IFERROR(_xlfn.XLOOKUP($B505,'Histórico'!$B:$B,'Histórico'!$K:$K),"")</f>
        <v>RECEIVER,RADIO</v>
      </c>
      <c r="F505" s="19" t="str">
        <f t="array" ref="F505">IFERROR(_xlfn.XLOOKUP($B505,'Histórico'!$B:$B,'Histórico'!$L:$L),"")</f>
        <v>16013</v>
      </c>
      <c r="G505" s="49">
        <f t="array" ref="G505">IFERROR(_xlfn.XLOOKUP($B505,'Histórico'!$B:$B,'Histórico'!$F:$F),"")</f>
        <v>46231</v>
      </c>
      <c r="H505" s="19" t="str">
        <f t="array" ref="H505">IFERROR(_xlfn.XLOOKUP($B505,'Histórico'!$B:$B,'Histórico'!$AA:$AA),"")</f>
        <v>PAMALS</v>
      </c>
      <c r="I505" s="19" t="str">
        <f t="array" ref="I505">IFERROR(_xlfn.XLOOKUP($B505,Atual!$B:$B,Atual!$E:$E),"OS concluída")</f>
        <v>REC</v>
      </c>
      <c r="J505" s="19">
        <f t="shared" si="1"/>
        <v>79</v>
      </c>
      <c r="K505" s="19"/>
      <c r="L505" s="19" t="str">
        <f t="shared" si="2"/>
        <v/>
      </c>
      <c r="M505" s="19"/>
      <c r="N505" s="49" t="str">
        <f t="array" ref="N505">IFERROR(_xlfn.XLOOKUP($B505,EMPRESA_1!A:A,EMPRESA_1!J:J),"")</f>
        <v/>
      </c>
      <c r="O505" s="50" t="str">
        <f t="array" ref="O505">IFERROR(_xlfn.XLOOKUP(B505,EMPRESA_1!A:A,EMPRESA_1!K:K),"")
</f>
        <v/>
      </c>
      <c r="P505" s="48" t="str">
        <f t="array" ref="P505">IFERROR(_xlfn.XLOOKUP(B505,EMPRESA_1!A:A,EMPRESA_1!L:L),"")</f>
        <v/>
      </c>
      <c r="Q505" s="49" t="str">
        <f t="array" ref="Q505">IFERROR(_xlfn.XLOOKUP(B505,EMPRESA_1!A:A,EMPRESA_1!J:J),"")</f>
        <v/>
      </c>
      <c r="R505" s="19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</row>
    <row r="506">
      <c r="A506" s="48"/>
      <c r="B506" s="47" t="s">
        <v>1234</v>
      </c>
      <c r="C506" s="48" t="str">
        <f t="array" ref="C506">IFERROR(_xlfn.XLOOKUP($B506,'Histórico'!$B:$B,'Histórico'!$I:$I),"")</f>
        <v>C660501-0103</v>
      </c>
      <c r="D506" s="19">
        <f t="array" ref="D506">IFERROR(_xlfn.XLOOKUP($B506,'Histórico'!$B:$B,'Histórico'!$J:$J),"")</f>
        <v>71379</v>
      </c>
      <c r="E506" s="19" t="str">
        <f t="array" ref="E506">IFERROR(_xlfn.XLOOKUP($B506,'Histórico'!$B:$B,'Histórico'!$K:$K),"")</f>
        <v>COMPASS,SPEC</v>
      </c>
      <c r="F506" s="19" t="str">
        <f t="array" ref="F506">IFERROR(_xlfn.XLOOKUP($B506,'Histórico'!$B:$B,'Histórico'!$L:$L),"")</f>
        <v>CE-12529</v>
      </c>
      <c r="G506" s="49">
        <f t="array" ref="G506">IFERROR(_xlfn.XLOOKUP($B506,'Histórico'!$B:$B,'Histórico'!$F:$F),"")</f>
        <v>46231</v>
      </c>
      <c r="H506" s="19" t="str">
        <f t="array" ref="H506">IFERROR(_xlfn.XLOOKUP($B506,'Histórico'!$B:$B,'Histórico'!$AA:$AA),"")</f>
        <v>DACTA II</v>
      </c>
      <c r="I506" s="19" t="str">
        <f t="array" ref="I506">IFERROR(_xlfn.XLOOKUP($B506,Atual!$B:$B,Atual!$E:$E),"OS concluída")</f>
        <v>REC</v>
      </c>
      <c r="J506" s="19">
        <f t="shared" si="1"/>
        <v>79</v>
      </c>
      <c r="K506" s="19"/>
      <c r="L506" s="19" t="str">
        <f t="shared" si="2"/>
        <v/>
      </c>
      <c r="M506" s="19"/>
      <c r="N506" s="49" t="str">
        <f t="array" ref="N506">IFERROR(_xlfn.XLOOKUP($B506,EMPRESA_1!A:A,EMPRESA_1!J:J),"")</f>
        <v/>
      </c>
      <c r="O506" s="50" t="str">
        <f t="array" ref="O506">IFERROR(_xlfn.XLOOKUP(B506,EMPRESA_1!A:A,EMPRESA_1!K:K),"")
</f>
        <v/>
      </c>
      <c r="P506" s="48" t="str">
        <f t="array" ref="P506">IFERROR(_xlfn.XLOOKUP(B506,EMPRESA_1!A:A,EMPRESA_1!L:L),"")</f>
        <v/>
      </c>
      <c r="Q506" s="49" t="str">
        <f t="array" ref="Q506">IFERROR(_xlfn.XLOOKUP(B506,EMPRESA_1!A:A,EMPRESA_1!J:J),"")</f>
        <v/>
      </c>
      <c r="R506" s="19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</row>
    <row r="507">
      <c r="A507" s="48"/>
      <c r="B507" s="47" t="s">
        <v>1235</v>
      </c>
      <c r="C507" s="48" t="str">
        <f t="array" ref="C507">IFERROR(_xlfn.XLOOKUP($B507,'Histórico'!$B:$B,'Histórico'!$I:$I),"")</f>
        <v>023694-000</v>
      </c>
      <c r="D507" s="19" t="str">
        <f t="array" ref="D507">IFERROR(_xlfn.XLOOKUP($B507,'Histórico'!$B:$B,'Histórico'!$J:$J),"")</f>
        <v>F6177</v>
      </c>
      <c r="E507" s="19" t="str">
        <f t="array" ref="E507">IFERROR(_xlfn.XLOOKUP($B507,'Histórico'!$B:$B,'Histórico'!$K:$K),"")</f>
        <v>BATTERY NICKEL CADMIUM</v>
      </c>
      <c r="F507" s="19" t="str">
        <f t="array" ref="F507">IFERROR(_xlfn.XLOOKUP($B507,'Histórico'!$B:$B,'Histórico'!$L:$L),"")</f>
        <v>09052002930AA</v>
      </c>
      <c r="G507" s="49">
        <f t="array" ref="G507">IFERROR(_xlfn.XLOOKUP($B507,'Histórico'!$B:$B,'Histórico'!$F:$F),"")</f>
        <v>46232</v>
      </c>
      <c r="H507" s="19" t="str">
        <f t="array" ref="H507">IFERROR(_xlfn.XLOOKUP($B507,'Histórico'!$B:$B,'Histórico'!$AA:$AA),"")</f>
        <v>BAPV</v>
      </c>
      <c r="I507" s="19" t="str">
        <f t="array" ref="I507">IFERROR(_xlfn.XLOOKUP($B507,Atual!$B:$B,Atual!$E:$E),"OS concluída")</f>
        <v>REC</v>
      </c>
      <c r="J507" s="19">
        <f t="shared" si="1"/>
        <v>78</v>
      </c>
      <c r="K507" s="19"/>
      <c r="L507" s="19" t="str">
        <f t="shared" si="2"/>
        <v/>
      </c>
      <c r="M507" s="19"/>
      <c r="N507" s="49" t="str">
        <f t="array" ref="N507">IFERROR(_xlfn.XLOOKUP($B507,EMPRESA_1!A:A,EMPRESA_1!J:J),"")</f>
        <v/>
      </c>
      <c r="O507" s="50" t="str">
        <f t="array" ref="O507">IFERROR(_xlfn.XLOOKUP(B507,EMPRESA_1!A:A,EMPRESA_1!K:K),"")
</f>
        <v/>
      </c>
      <c r="P507" s="48" t="str">
        <f t="array" ref="P507">IFERROR(_xlfn.XLOOKUP(B507,EMPRESA_1!A:A,EMPRESA_1!L:L),"")</f>
        <v/>
      </c>
      <c r="Q507" s="49" t="str">
        <f t="array" ref="Q507">IFERROR(_xlfn.XLOOKUP(B507,EMPRESA_1!A:A,EMPRESA_1!J:J),"")</f>
        <v/>
      </c>
      <c r="R507" s="19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</row>
    <row r="508">
      <c r="A508" s="48"/>
      <c r="B508" s="47" t="s">
        <v>1236</v>
      </c>
      <c r="C508" s="48" t="str">
        <f t="array" ref="C508">IFERROR(_xlfn.XLOOKUP($B508,'Histórico'!$B:$B,'Histórico'!$I:$I),"")</f>
        <v>2651023-23</v>
      </c>
      <c r="D508" s="19" t="str">
        <f t="array" ref="D508">IFERROR(_xlfn.XLOOKUP($B508,'Histórico'!$B:$B,'Histórico'!$J:$J),"")</f>
        <v>7EK50</v>
      </c>
      <c r="E508" s="19" t="str">
        <f t="array" ref="E508">IFERROR(_xlfn.XLOOKUP($B508,'Histórico'!$B:$B,'Histórico'!$K:$K),"")</f>
        <v>ENGINE MOUNT ASSEMBLY</v>
      </c>
      <c r="F508" s="19" t="str">
        <f t="array" ref="F508">IFERROR(_xlfn.XLOOKUP($B508,'Histórico'!$B:$B,'Histórico'!$L:$L),"")</f>
        <v>PZL/10/127</v>
      </c>
      <c r="G508" s="49">
        <f t="array" ref="G508">IFERROR(_xlfn.XLOOKUP($B508,'Histórico'!$B:$B,'Histórico'!$F:$F),"")</f>
        <v>46232</v>
      </c>
      <c r="H508" s="19" t="str">
        <f t="array" ref="H508">IFERROR(_xlfn.XLOOKUP($B508,'Histórico'!$B:$B,'Histórico'!$AA:$AA),"")</f>
        <v>PAMALS</v>
      </c>
      <c r="I508" s="19" t="str">
        <f t="array" ref="I508">IFERROR(_xlfn.XLOOKUP($B508,Atual!$B:$B,Atual!$E:$E),"OS concluída")</f>
        <v>REC</v>
      </c>
      <c r="J508" s="19">
        <f t="shared" si="1"/>
        <v>78</v>
      </c>
      <c r="K508" s="19"/>
      <c r="L508" s="19" t="str">
        <f t="shared" si="2"/>
        <v/>
      </c>
      <c r="M508" s="19"/>
      <c r="N508" s="49" t="str">
        <f t="array" ref="N508">IFERROR(_xlfn.XLOOKUP($B508,EMPRESA_1!A:A,EMPRESA_1!J:J),"")</f>
        <v/>
      </c>
      <c r="O508" s="50" t="str">
        <f t="array" ref="O508">IFERROR(_xlfn.XLOOKUP(B508,EMPRESA_1!A:A,EMPRESA_1!K:K),"")
</f>
        <v/>
      </c>
      <c r="P508" s="48" t="str">
        <f t="array" ref="P508">IFERROR(_xlfn.XLOOKUP(B508,EMPRESA_1!A:A,EMPRESA_1!L:L),"")</f>
        <v/>
      </c>
      <c r="Q508" s="49" t="str">
        <f t="array" ref="Q508">IFERROR(_xlfn.XLOOKUP(B508,EMPRESA_1!A:A,EMPRESA_1!J:J),"")</f>
        <v/>
      </c>
      <c r="R508" s="19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</row>
    <row r="509">
      <c r="A509" s="48"/>
      <c r="B509" s="47" t="s">
        <v>1237</v>
      </c>
      <c r="C509" s="48" t="str">
        <f t="array" ref="C509">IFERROR(_xlfn.XLOOKUP($B509,'Histórico'!$B:$B,'Histórico'!$I:$I),"")</f>
        <v>2651023-23</v>
      </c>
      <c r="D509" s="19" t="str">
        <f t="array" ref="D509">IFERROR(_xlfn.XLOOKUP($B509,'Histórico'!$B:$B,'Histórico'!$J:$J),"")</f>
        <v>7EK50</v>
      </c>
      <c r="E509" s="19" t="str">
        <f t="array" ref="E509">IFERROR(_xlfn.XLOOKUP($B509,'Histórico'!$B:$B,'Histórico'!$K:$K),"")</f>
        <v>ENGINE MOUNT ASSEMBLY</v>
      </c>
      <c r="F509" s="19" t="str">
        <f t="array" ref="F509">IFERROR(_xlfn.XLOOKUP($B509,'Histórico'!$B:$B,'Histórico'!$L:$L),"")</f>
        <v>PZL/06/022</v>
      </c>
      <c r="G509" s="49">
        <f t="array" ref="G509">IFERROR(_xlfn.XLOOKUP($B509,'Histórico'!$B:$B,'Histórico'!$F:$F),"")</f>
        <v>46232</v>
      </c>
      <c r="H509" s="19" t="str">
        <f t="array" ref="H509">IFERROR(_xlfn.XLOOKUP($B509,'Histórico'!$B:$B,'Histórico'!$AA:$AA),"")</f>
        <v>PAMALS</v>
      </c>
      <c r="I509" s="19" t="str">
        <f t="array" ref="I509">IFERROR(_xlfn.XLOOKUP($B509,Atual!$B:$B,Atual!$E:$E),"OS concluída")</f>
        <v>REC</v>
      </c>
      <c r="J509" s="19">
        <f t="shared" si="1"/>
        <v>78</v>
      </c>
      <c r="K509" s="19"/>
      <c r="L509" s="19" t="str">
        <f t="shared" si="2"/>
        <v/>
      </c>
      <c r="M509" s="19"/>
      <c r="N509" s="49" t="str">
        <f t="array" ref="N509">IFERROR(_xlfn.XLOOKUP($B509,EMPRESA_1!A:A,EMPRESA_1!J:J),"")</f>
        <v/>
      </c>
      <c r="O509" s="50" t="str">
        <f t="array" ref="O509">IFERROR(_xlfn.XLOOKUP(B509,EMPRESA_1!A:A,EMPRESA_1!K:K),"")
</f>
        <v/>
      </c>
      <c r="P509" s="48" t="str">
        <f t="array" ref="P509">IFERROR(_xlfn.XLOOKUP(B509,EMPRESA_1!A:A,EMPRESA_1!L:L),"")</f>
        <v/>
      </c>
      <c r="Q509" s="49" t="str">
        <f t="array" ref="Q509">IFERROR(_xlfn.XLOOKUP(B509,EMPRESA_1!A:A,EMPRESA_1!J:J),"")</f>
        <v/>
      </c>
      <c r="R509" s="19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</row>
    <row r="510">
      <c r="A510" s="48"/>
      <c r="B510" s="47" t="s">
        <v>1238</v>
      </c>
      <c r="C510" s="48" t="str">
        <f t="array" ref="C510">IFERROR(_xlfn.XLOOKUP($B510,'Histórico'!$B:$B,'Histórico'!$I:$I),"")</f>
        <v>324843-0020</v>
      </c>
      <c r="D510" s="19">
        <f t="array" ref="D510">IFERROR(_xlfn.XLOOKUP($B510,'Histórico'!$B:$B,'Histórico'!$J:$J),"")</f>
        <v>53468</v>
      </c>
      <c r="E510" s="19" t="str">
        <f t="array" ref="E510">IFERROR(_xlfn.XLOOKUP($B510,'Histórico'!$B:$B,'Histórico'!$K:$K),"")</f>
        <v>HEADSET-MICROPHONE</v>
      </c>
      <c r="F510" s="19" t="str">
        <f t="array" ref="F510">IFERROR(_xlfn.XLOOKUP($B510,'Histórico'!$B:$B,'Histórico'!$L:$L),"")</f>
        <v>053851C30080005AE</v>
      </c>
      <c r="G510" s="49">
        <f t="array" ref="G510">IFERROR(_xlfn.XLOOKUP($B510,'Histórico'!$B:$B,'Histórico'!$F:$F),"")</f>
        <v>46237</v>
      </c>
      <c r="H510" s="19" t="str">
        <f t="array" ref="H510">IFERROR(_xlfn.XLOOKUP($B510,'Histórico'!$B:$B,'Histórico'!$AA:$AA),"")</f>
        <v>PAMALS</v>
      </c>
      <c r="I510" s="19" t="str">
        <f t="array" ref="I510">IFERROR(_xlfn.XLOOKUP($B510,Atual!$B:$B,Atual!$E:$E),"OS concluída")</f>
        <v>REC</v>
      </c>
      <c r="J510" s="19">
        <f t="shared" si="1"/>
        <v>73</v>
      </c>
      <c r="K510" s="19"/>
      <c r="L510" s="19" t="str">
        <f t="shared" si="2"/>
        <v/>
      </c>
      <c r="M510" s="19"/>
      <c r="N510" s="49" t="str">
        <f t="array" ref="N510">IFERROR(_xlfn.XLOOKUP($B510,EMPRESA_1!A:A,EMPRESA_1!J:J),"")</f>
        <v/>
      </c>
      <c r="O510" s="50" t="str">
        <f t="array" ref="O510">IFERROR(_xlfn.XLOOKUP(B510,EMPRESA_1!A:A,EMPRESA_1!K:K),"")
</f>
        <v/>
      </c>
      <c r="P510" s="48" t="str">
        <f t="array" ref="P510">IFERROR(_xlfn.XLOOKUP(B510,EMPRESA_1!A:A,EMPRESA_1!L:L),"")</f>
        <v/>
      </c>
      <c r="Q510" s="49" t="str">
        <f t="array" ref="Q510">IFERROR(_xlfn.XLOOKUP(B510,EMPRESA_1!A:A,EMPRESA_1!J:J),"")</f>
        <v/>
      </c>
      <c r="R510" s="19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</row>
    <row r="511" hidden="1">
      <c r="A511" s="48"/>
      <c r="B511" s="47" t="s">
        <v>1239</v>
      </c>
      <c r="C511" s="48" t="str">
        <f t="array" ref="C511">IFERROR(_xlfn.XLOOKUP($B511,'Histórico'!$B:$B,'Histórico'!$I:$I),"")</f>
        <v>324843-0020</v>
      </c>
      <c r="D511" s="19">
        <f t="array" ref="D511">IFERROR(_xlfn.XLOOKUP($B511,'Histórico'!$B:$B,'Histórico'!$J:$J),"")</f>
        <v>53468</v>
      </c>
      <c r="E511" s="19" t="str">
        <f t="array" ref="E511">IFERROR(_xlfn.XLOOKUP($B511,'Histórico'!$B:$B,'Histórico'!$K:$K),"")</f>
        <v>HEADSET-MICROPHONE</v>
      </c>
      <c r="F511" s="19" t="str">
        <f t="array" ref="F511">IFERROR(_xlfn.XLOOKUP($B511,'Histórico'!$B:$B,'Histórico'!$L:$L),"")</f>
        <v>053851C30040004AE</v>
      </c>
      <c r="G511" s="49">
        <f t="array" ref="G511">IFERROR(_xlfn.XLOOKUP($B511,'Histórico'!$B:$B,'Histórico'!$F:$F),"")</f>
        <v>46237</v>
      </c>
      <c r="H511" s="19" t="str">
        <f t="array" ref="H511">IFERROR(_xlfn.XLOOKUP($B511,'Histórico'!$B:$B,'Histórico'!$AA:$AA),"")</f>
        <v>PAMALS</v>
      </c>
      <c r="I511" s="19" t="str">
        <f t="array" ref="I511">IFERROR(_xlfn.XLOOKUP($B511,Atual!$B:$B,Atual!$E:$E),"OS concluída")</f>
        <v>OS concluída</v>
      </c>
      <c r="J511" s="19" t="str">
        <f t="shared" si="1"/>
        <v/>
      </c>
      <c r="K511" s="19"/>
      <c r="L511" s="19" t="str">
        <f t="shared" si="2"/>
        <v/>
      </c>
      <c r="M511" s="19"/>
      <c r="N511" s="49" t="str">
        <f t="array" ref="N511">IFERROR(_xlfn.XLOOKUP($B511,EMPRESA_1!A:A,EMPRESA_1!J:J),"")</f>
        <v/>
      </c>
      <c r="O511" s="50" t="str">
        <f t="array" ref="O511">IFERROR(_xlfn.XLOOKUP(B511,EMPRESA_1!A:A,EMPRESA_1!K:K),"")
</f>
        <v/>
      </c>
      <c r="P511" s="48" t="str">
        <f t="array" ref="P511">IFERROR(_xlfn.XLOOKUP(B511,EMPRESA_1!A:A,EMPRESA_1!L:L),"")</f>
        <v/>
      </c>
      <c r="Q511" s="49" t="str">
        <f t="array" ref="Q511">IFERROR(_xlfn.XLOOKUP(B511,EMPRESA_1!A:A,EMPRESA_1!J:J),"")</f>
        <v/>
      </c>
      <c r="R511" s="19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</row>
    <row r="512">
      <c r="A512" s="48"/>
      <c r="B512" s="47" t="s">
        <v>1240</v>
      </c>
      <c r="C512" s="48" t="str">
        <f t="array" ref="C512">IFERROR(_xlfn.XLOOKUP($B512,'Histórico'!$B:$B,'Histórico'!$I:$I),"")</f>
        <v>324843-0020</v>
      </c>
      <c r="D512" s="19">
        <f t="array" ref="D512">IFERROR(_xlfn.XLOOKUP($B512,'Histórico'!$B:$B,'Histórico'!$J:$J),"")</f>
        <v>53468</v>
      </c>
      <c r="E512" s="19" t="str">
        <f t="array" ref="E512">IFERROR(_xlfn.XLOOKUP($B512,'Histórico'!$B:$B,'Histórico'!$K:$K),"")</f>
        <v>HEADSET-MICROPHONE</v>
      </c>
      <c r="F512" s="19" t="str">
        <f t="array" ref="F512">IFERROR(_xlfn.XLOOKUP($B512,'Histórico'!$B:$B,'Histórico'!$L:$L),"")</f>
        <v>053851C30080014AE</v>
      </c>
      <c r="G512" s="49">
        <f t="array" ref="G512">IFERROR(_xlfn.XLOOKUP($B512,'Histórico'!$B:$B,'Histórico'!$F:$F),"")</f>
        <v>46237</v>
      </c>
      <c r="H512" s="19" t="str">
        <f t="array" ref="H512">IFERROR(_xlfn.XLOOKUP($B512,'Histórico'!$B:$B,'Histórico'!$AA:$AA),"")</f>
        <v>PAMALS</v>
      </c>
      <c r="I512" s="19" t="str">
        <f t="array" ref="I512">IFERROR(_xlfn.XLOOKUP($B512,Atual!$B:$B,Atual!$E:$E),"OS concluída")</f>
        <v>REC</v>
      </c>
      <c r="J512" s="19">
        <f t="shared" si="1"/>
        <v>73</v>
      </c>
      <c r="K512" s="19"/>
      <c r="L512" s="19" t="str">
        <f t="shared" si="2"/>
        <v/>
      </c>
      <c r="M512" s="19"/>
      <c r="N512" s="49" t="str">
        <f t="array" ref="N512">IFERROR(_xlfn.XLOOKUP($B512,EMPRESA_1!A:A,EMPRESA_1!J:J),"")</f>
        <v/>
      </c>
      <c r="O512" s="50" t="str">
        <f t="array" ref="O512">IFERROR(_xlfn.XLOOKUP(B512,EMPRESA_1!A:A,EMPRESA_1!K:K),"")
</f>
        <v/>
      </c>
      <c r="P512" s="48" t="str">
        <f t="array" ref="P512">IFERROR(_xlfn.XLOOKUP(B512,EMPRESA_1!A:A,EMPRESA_1!L:L),"")</f>
        <v/>
      </c>
      <c r="Q512" s="49" t="str">
        <f t="array" ref="Q512">IFERROR(_xlfn.XLOOKUP(B512,EMPRESA_1!A:A,EMPRESA_1!J:J),"")</f>
        <v/>
      </c>
      <c r="R512" s="19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</row>
    <row r="513">
      <c r="A513" s="48"/>
      <c r="B513" s="47" t="s">
        <v>1241</v>
      </c>
      <c r="C513" s="48" t="str">
        <f t="array" ref="C513">IFERROR(_xlfn.XLOOKUP($B513,'Histórico'!$B:$B,'Histórico'!$I:$I),"")</f>
        <v>324843-0020</v>
      </c>
      <c r="D513" s="19">
        <f t="array" ref="D513">IFERROR(_xlfn.XLOOKUP($B513,'Histórico'!$B:$B,'Histórico'!$J:$J),"")</f>
        <v>53468</v>
      </c>
      <c r="E513" s="19" t="str">
        <f t="array" ref="E513">IFERROR(_xlfn.XLOOKUP($B513,'Histórico'!$B:$B,'Histórico'!$K:$K),"")</f>
        <v>HEADSET-MICROPHONE</v>
      </c>
      <c r="F513" s="19" t="str">
        <f t="array" ref="F513">IFERROR(_xlfn.XLOOKUP($B513,'Histórico'!$B:$B,'Histórico'!$L:$L),"")</f>
        <v>053851C30080023AE</v>
      </c>
      <c r="G513" s="49">
        <f t="array" ref="G513">IFERROR(_xlfn.XLOOKUP($B513,'Histórico'!$B:$B,'Histórico'!$F:$F),"")</f>
        <v>46237</v>
      </c>
      <c r="H513" s="19" t="str">
        <f t="array" ref="H513">IFERROR(_xlfn.XLOOKUP($B513,'Histórico'!$B:$B,'Histórico'!$AA:$AA),"")</f>
        <v>PAMALS</v>
      </c>
      <c r="I513" s="19" t="str">
        <f t="array" ref="I513">IFERROR(_xlfn.XLOOKUP($B513,Atual!$B:$B,Atual!$E:$E),"OS concluída")</f>
        <v>REC</v>
      </c>
      <c r="J513" s="19">
        <f t="shared" si="1"/>
        <v>73</v>
      </c>
      <c r="K513" s="19"/>
      <c r="L513" s="19" t="str">
        <f t="shared" si="2"/>
        <v/>
      </c>
      <c r="M513" s="19"/>
      <c r="N513" s="49" t="str">
        <f t="array" ref="N513">IFERROR(_xlfn.XLOOKUP($B513,EMPRESA_1!A:A,EMPRESA_1!J:J),"")</f>
        <v/>
      </c>
      <c r="O513" s="50" t="str">
        <f t="array" ref="O513">IFERROR(_xlfn.XLOOKUP(B513,EMPRESA_1!A:A,EMPRESA_1!K:K),"")
</f>
        <v/>
      </c>
      <c r="P513" s="48" t="str">
        <f t="array" ref="P513">IFERROR(_xlfn.XLOOKUP(B513,EMPRESA_1!A:A,EMPRESA_1!L:L),"")</f>
        <v/>
      </c>
      <c r="Q513" s="49" t="str">
        <f t="array" ref="Q513">IFERROR(_xlfn.XLOOKUP(B513,EMPRESA_1!A:A,EMPRESA_1!J:J),"")</f>
        <v/>
      </c>
      <c r="R513" s="19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</row>
    <row r="514">
      <c r="A514" s="48"/>
      <c r="B514" s="47" t="s">
        <v>1242</v>
      </c>
      <c r="C514" s="48" t="str">
        <f t="array" ref="C514">IFERROR(_xlfn.XLOOKUP($B514,'Histórico'!$B:$B,'Histórico'!$I:$I),"")</f>
        <v>011-00870-00</v>
      </c>
      <c r="D514" s="19" t="str">
        <f t="array" ref="D514">IFERROR(_xlfn.XLOOKUP($B514,'Histórico'!$B:$B,'Histórico'!$J:$J),"")</f>
        <v>0TRC3</v>
      </c>
      <c r="E514" s="19" t="str">
        <f t="array" ref="E514">IFERROR(_xlfn.XLOOKUP($B514,'Histórico'!$B:$B,'Histórico'!$K:$K),"")</f>
        <v>MAGNETOMETER GMU 44</v>
      </c>
      <c r="F514" s="19" t="str">
        <f t="array" ref="F514">IFERROR(_xlfn.XLOOKUP($B514,'Histórico'!$B:$B,'Histórico'!$L:$L),"")</f>
        <v>47526110</v>
      </c>
      <c r="G514" s="49">
        <f t="array" ref="G514">IFERROR(_xlfn.XLOOKUP($B514,'Histórico'!$B:$B,'Histórico'!$F:$F),"")</f>
        <v>46240</v>
      </c>
      <c r="H514" s="19" t="str">
        <f t="array" ref="H514">IFERROR(_xlfn.XLOOKUP($B514,'Histórico'!$B:$B,'Histórico'!$AA:$AA),"")</f>
        <v>BAMN</v>
      </c>
      <c r="I514" s="19" t="str">
        <f t="array" ref="I514">IFERROR(_xlfn.XLOOKUP($B514,Atual!$B:$B,Atual!$E:$E),"OS concluída")</f>
        <v>REC</v>
      </c>
      <c r="J514" s="19">
        <f t="shared" si="1"/>
        <v>70</v>
      </c>
      <c r="K514" s="19"/>
      <c r="L514" s="19"/>
      <c r="M514" s="19"/>
      <c r="N514" s="19"/>
      <c r="O514" s="19"/>
      <c r="P514" s="48"/>
      <c r="Q514" s="49"/>
      <c r="R514" s="19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</row>
    <row r="515">
      <c r="A515" s="48"/>
      <c r="B515" s="47" t="s">
        <v>1243</v>
      </c>
      <c r="C515" s="48" t="str">
        <f t="array" ref="C515">IFERROR(_xlfn.XLOOKUP($B515,'Histórico'!$B:$B,'Histórico'!$I:$I),"")</f>
        <v>011-00870-00</v>
      </c>
      <c r="D515" s="19" t="str">
        <f t="array" ref="D515">IFERROR(_xlfn.XLOOKUP($B515,'Histórico'!$B:$B,'Histórico'!$J:$J),"")</f>
        <v>0TRC3</v>
      </c>
      <c r="E515" s="19" t="str">
        <f t="array" ref="E515">IFERROR(_xlfn.XLOOKUP($B515,'Histórico'!$B:$B,'Histórico'!$K:$K),"")</f>
        <v>MAGNETOMETER GMU 44</v>
      </c>
      <c r="F515" s="19" t="str">
        <f t="array" ref="F515">IFERROR(_xlfn.XLOOKUP($B515,'Histórico'!$B:$B,'Histórico'!$L:$L),"")</f>
        <v>47509146</v>
      </c>
      <c r="G515" s="49">
        <f t="array" ref="G515">IFERROR(_xlfn.XLOOKUP($B515,'Histórico'!$B:$B,'Histórico'!$F:$F),"")</f>
        <v>46240</v>
      </c>
      <c r="H515" s="19" t="str">
        <f t="array" ref="H515">IFERROR(_xlfn.XLOOKUP($B515,'Histórico'!$B:$B,'Histórico'!$AA:$AA),"")</f>
        <v>BAMN</v>
      </c>
      <c r="I515" s="19" t="str">
        <f t="array" ref="I515">IFERROR(_xlfn.XLOOKUP($B515,Atual!$B:$B,Atual!$E:$E),"OS concluída")</f>
        <v>REC</v>
      </c>
      <c r="J515" s="19">
        <f t="shared" si="1"/>
        <v>70</v>
      </c>
      <c r="K515" s="19"/>
      <c r="L515" s="19"/>
      <c r="M515" s="19"/>
      <c r="N515" s="19"/>
      <c r="O515" s="19"/>
      <c r="P515" s="48"/>
      <c r="Q515" s="49"/>
      <c r="R515" s="19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</row>
    <row r="516">
      <c r="A516" s="48"/>
      <c r="B516" s="47" t="s">
        <v>1244</v>
      </c>
      <c r="C516" s="48" t="str">
        <f t="array" ref="C516">IFERROR(_xlfn.XLOOKUP($B516,'Histórico'!$B:$B,'Histórico'!$I:$I),"")</f>
        <v>C662041-0102</v>
      </c>
      <c r="D516" s="19" t="str">
        <f t="array" ref="D516">IFERROR(_xlfn.XLOOKUP($B516,'Histórico'!$B:$B,'Histórico'!$J:$J),"")</f>
        <v>7EK50</v>
      </c>
      <c r="E516" s="19" t="str">
        <f t="array" ref="E516">IFERROR(_xlfn.XLOOKUP($B516,'Histórico'!$B:$B,'Histórico'!$K:$K),"")</f>
        <v>INDICATOR FUEL</v>
      </c>
      <c r="F516" s="19" t="str">
        <f t="array" ref="F516">IFERROR(_xlfn.XLOOKUP($B516,'Histórico'!$B:$B,'Histórico'!$L:$L),"")</f>
        <v>3894</v>
      </c>
      <c r="G516" s="49">
        <f t="array" ref="G516">IFERROR(_xlfn.XLOOKUP($B516,'Histórico'!$B:$B,'Histórico'!$F:$F),"")</f>
        <v>46244</v>
      </c>
      <c r="H516" s="19" t="str">
        <f t="array" ref="H516">IFERROR(_xlfn.XLOOKUP($B516,'Histórico'!$B:$B,'Histórico'!$AA:$AA),"")</f>
        <v>BABE</v>
      </c>
      <c r="I516" s="19" t="str">
        <f t="array" ref="I516">IFERROR(_xlfn.XLOOKUP($B516,Atual!$B:$B,Atual!$E:$E),"OS concluída")</f>
        <v>REC</v>
      </c>
      <c r="J516" s="19">
        <f t="shared" si="1"/>
        <v>66</v>
      </c>
      <c r="K516" s="19"/>
      <c r="L516" s="19"/>
      <c r="M516" s="19"/>
      <c r="N516" s="19"/>
      <c r="O516" s="19"/>
      <c r="P516" s="48"/>
      <c r="Q516" s="49"/>
      <c r="R516" s="19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</row>
    <row r="517" hidden="1">
      <c r="A517" s="48"/>
      <c r="B517" s="47" t="s">
        <v>1245</v>
      </c>
      <c r="C517" s="48" t="str">
        <f t="array" ref="C517">IFERROR(_xlfn.XLOOKUP($B517,'Histórico'!$B:$B,'Histórico'!$I:$I),"")</f>
        <v>C662041-0102</v>
      </c>
      <c r="D517" s="19" t="str">
        <f t="array" ref="D517">IFERROR(_xlfn.XLOOKUP($B517,'Histórico'!$B:$B,'Histórico'!$J:$J),"")</f>
        <v>7EK50</v>
      </c>
      <c r="E517" s="19" t="str">
        <f t="array" ref="E517">IFERROR(_xlfn.XLOOKUP($B517,'Histórico'!$B:$B,'Histórico'!$K:$K),"")</f>
        <v>INDICATOR FUEL</v>
      </c>
      <c r="F517" s="19" t="str">
        <f t="array" ref="F517">IFERROR(_xlfn.XLOOKUP($B517,'Histórico'!$B:$B,'Histórico'!$L:$L),"")</f>
        <v>384</v>
      </c>
      <c r="G517" s="49">
        <f t="array" ref="G517">IFERROR(_xlfn.XLOOKUP($B517,'Histórico'!$B:$B,'Histórico'!$F:$F),"")</f>
        <v>46244</v>
      </c>
      <c r="H517" s="19" t="str">
        <f t="array" ref="H517">IFERROR(_xlfn.XLOOKUP($B517,'Histórico'!$B:$B,'Histórico'!$AA:$AA),"")</f>
        <v>PAMALS</v>
      </c>
      <c r="I517" s="19" t="str">
        <f t="array" ref="I517">IFERROR(_xlfn.XLOOKUP($B517,Atual!$B:$B,Atual!$E:$E),"OS concluída")</f>
        <v>OS concluída</v>
      </c>
      <c r="J517" s="19" t="str">
        <f t="shared" si="1"/>
        <v/>
      </c>
      <c r="K517" s="19"/>
      <c r="L517" s="19"/>
      <c r="M517" s="19"/>
      <c r="N517" s="19"/>
      <c r="O517" s="19"/>
      <c r="P517" s="48"/>
      <c r="Q517" s="49"/>
      <c r="R517" s="19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</row>
    <row r="518">
      <c r="A518" s="48"/>
      <c r="B518" s="47" t="s">
        <v>1246</v>
      </c>
      <c r="C518" s="48" t="str">
        <f t="array" ref="C518">IFERROR(_xlfn.XLOOKUP($B518,'Histórico'!$B:$B,'Histórico'!$I:$I),"")</f>
        <v>C662041-0102</v>
      </c>
      <c r="D518" s="19" t="str">
        <f t="array" ref="D518">IFERROR(_xlfn.XLOOKUP($B518,'Histórico'!$B:$B,'Histórico'!$J:$J),"")</f>
        <v>7EK50</v>
      </c>
      <c r="E518" s="19" t="str">
        <f t="array" ref="E518">IFERROR(_xlfn.XLOOKUP($B518,'Histórico'!$B:$B,'Histórico'!$K:$K),"")</f>
        <v>INDICATOR FUEL</v>
      </c>
      <c r="F518" s="19" t="str">
        <f t="array" ref="F518">IFERROR(_xlfn.XLOOKUP($B518,'Histórico'!$B:$B,'Histórico'!$L:$L),"")</f>
        <v>482</v>
      </c>
      <c r="G518" s="49">
        <f t="array" ref="G518">IFERROR(_xlfn.XLOOKUP($B518,'Histórico'!$B:$B,'Histórico'!$F:$F),"")</f>
        <v>46244</v>
      </c>
      <c r="H518" s="19" t="str">
        <f t="array" ref="H518">IFERROR(_xlfn.XLOOKUP($B518,'Histórico'!$B:$B,'Histórico'!$AA:$AA),"")</f>
        <v>PAMALS</v>
      </c>
      <c r="I518" s="19" t="str">
        <f t="array" ref="I518">IFERROR(_xlfn.XLOOKUP($B518,Atual!$B:$B,Atual!$E:$E),"OS concluída")</f>
        <v>REC</v>
      </c>
      <c r="J518" s="19">
        <f t="shared" si="1"/>
        <v>66</v>
      </c>
      <c r="K518" s="19"/>
      <c r="L518" s="19"/>
      <c r="M518" s="19"/>
      <c r="N518" s="19"/>
      <c r="O518" s="19"/>
      <c r="P518" s="48"/>
      <c r="Q518" s="49"/>
      <c r="R518" s="19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</row>
    <row r="519">
      <c r="A519" s="48"/>
      <c r="B519" s="47" t="s">
        <v>1247</v>
      </c>
      <c r="C519" s="48" t="str">
        <f t="array" ref="C519">IFERROR(_xlfn.XLOOKUP($B519,'Histórico'!$B:$B,'Histórico'!$I:$I),"")</f>
        <v>C662041-0102</v>
      </c>
      <c r="D519" s="19" t="str">
        <f t="array" ref="D519">IFERROR(_xlfn.XLOOKUP($B519,'Histórico'!$B:$B,'Histórico'!$J:$J),"")</f>
        <v>7EK50</v>
      </c>
      <c r="E519" s="19" t="str">
        <f t="array" ref="E519">IFERROR(_xlfn.XLOOKUP($B519,'Histórico'!$B:$B,'Histórico'!$K:$K),"")</f>
        <v>INDICATOR FUEL</v>
      </c>
      <c r="F519" s="19" t="str">
        <f t="array" ref="F519">IFERROR(_xlfn.XLOOKUP($B519,'Histórico'!$B:$B,'Histórico'!$L:$L),"")</f>
        <v>3767</v>
      </c>
      <c r="G519" s="49">
        <f t="array" ref="G519">IFERROR(_xlfn.XLOOKUP($B519,'Histórico'!$B:$B,'Histórico'!$F:$F),"")</f>
        <v>46252</v>
      </c>
      <c r="H519" s="19" t="str">
        <f t="array" ref="H519">IFERROR(_xlfn.XLOOKUP($B519,'Histórico'!$B:$B,'Histórico'!$AA:$AA),"")</f>
        <v>PAMALS</v>
      </c>
      <c r="I519" s="19" t="str">
        <f t="array" ref="I519">IFERROR(_xlfn.XLOOKUP($B519,Atual!$B:$B,Atual!$E:$E),"OS concluída")</f>
        <v>REC</v>
      </c>
      <c r="J519" s="19">
        <f t="shared" si="1"/>
        <v>58</v>
      </c>
      <c r="K519" s="19"/>
      <c r="L519" s="19"/>
      <c r="M519" s="19"/>
      <c r="N519" s="19"/>
      <c r="O519" s="19"/>
      <c r="P519" s="48"/>
      <c r="Q519" s="49"/>
      <c r="R519" s="19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</row>
    <row r="520">
      <c r="A520" s="48"/>
      <c r="B520" s="47" t="s">
        <v>1248</v>
      </c>
      <c r="C520" s="48" t="str">
        <f t="array" ref="C520">IFERROR(_xlfn.XLOOKUP($B520,'Histórico'!$B:$B,'Histórico'!$I:$I),"")</f>
        <v>C662041-0102</v>
      </c>
      <c r="D520" s="19" t="str">
        <f t="array" ref="D520">IFERROR(_xlfn.XLOOKUP($B520,'Histórico'!$B:$B,'Histórico'!$J:$J),"")</f>
        <v>7EK50</v>
      </c>
      <c r="E520" s="19" t="str">
        <f t="array" ref="E520">IFERROR(_xlfn.XLOOKUP($B520,'Histórico'!$B:$B,'Histórico'!$K:$K),"")</f>
        <v>INDICATOR FUEL</v>
      </c>
      <c r="F520" s="19" t="str">
        <f t="array" ref="F520">IFERROR(_xlfn.XLOOKUP($B520,'Histórico'!$B:$B,'Histórico'!$L:$L),"")</f>
        <v>1813</v>
      </c>
      <c r="G520" s="49">
        <f t="array" ref="G520">IFERROR(_xlfn.XLOOKUP($B520,'Histórico'!$B:$B,'Histórico'!$F:$F),"")</f>
        <v>46252</v>
      </c>
      <c r="H520" s="19" t="str">
        <f t="array" ref="H520">IFERROR(_xlfn.XLOOKUP($B520,'Histórico'!$B:$B,'Histórico'!$AA:$AA),"")</f>
        <v>BANT</v>
      </c>
      <c r="I520" s="19" t="str">
        <f t="array" ref="I520">IFERROR(_xlfn.XLOOKUP($B520,Atual!$B:$B,Atual!$E:$E),"OS concluída")</f>
        <v>REC</v>
      </c>
      <c r="J520" s="19">
        <f t="shared" si="1"/>
        <v>58</v>
      </c>
      <c r="K520" s="19"/>
      <c r="L520" s="19"/>
      <c r="M520" s="19"/>
      <c r="N520" s="19"/>
      <c r="O520" s="19"/>
      <c r="P520" s="48"/>
      <c r="Q520" s="49"/>
      <c r="R520" s="19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</row>
    <row r="521">
      <c r="A521" s="48"/>
      <c r="B521" s="47" t="s">
        <v>1249</v>
      </c>
      <c r="C521" s="48" t="str">
        <f t="array" ref="C521">IFERROR(_xlfn.XLOOKUP($B521,'Histórico'!$B:$B,'Histórico'!$I:$I),"")</f>
        <v>C662041-0102</v>
      </c>
      <c r="D521" s="19" t="str">
        <f t="array" ref="D521">IFERROR(_xlfn.XLOOKUP($B521,'Histórico'!$B:$B,'Histórico'!$J:$J),"")</f>
        <v>7EK50</v>
      </c>
      <c r="E521" s="19" t="str">
        <f t="array" ref="E521">IFERROR(_xlfn.XLOOKUP($B521,'Histórico'!$B:$B,'Histórico'!$K:$K),"")</f>
        <v>INDICATOR FUEL</v>
      </c>
      <c r="F521" s="19" t="str">
        <f t="array" ref="F521">IFERROR(_xlfn.XLOOKUP($B521,'Histórico'!$B:$B,'Histórico'!$L:$L),"")</f>
        <v>2152</v>
      </c>
      <c r="G521" s="49">
        <f t="array" ref="G521">IFERROR(_xlfn.XLOOKUP($B521,'Histórico'!$B:$B,'Histórico'!$F:$F),"")</f>
        <v>46252</v>
      </c>
      <c r="H521" s="19" t="str">
        <f t="array" ref="H521">IFERROR(_xlfn.XLOOKUP($B521,'Histórico'!$B:$B,'Histórico'!$AA:$AA),"")</f>
        <v>PAMALS</v>
      </c>
      <c r="I521" s="19" t="str">
        <f t="array" ref="I521">IFERROR(_xlfn.XLOOKUP($B521,Atual!$B:$B,Atual!$E:$E),"OS concluída")</f>
        <v>REC</v>
      </c>
      <c r="J521" s="19">
        <f t="shared" si="1"/>
        <v>58</v>
      </c>
      <c r="K521" s="19"/>
      <c r="L521" s="19"/>
      <c r="M521" s="19"/>
      <c r="N521" s="19"/>
      <c r="O521" s="19"/>
      <c r="P521" s="48"/>
      <c r="Q521" s="49"/>
      <c r="R521" s="19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</row>
    <row r="522">
      <c r="A522" s="48"/>
      <c r="B522" s="47" t="s">
        <v>1250</v>
      </c>
      <c r="C522" s="48" t="str">
        <f t="array" ref="C522">IFERROR(_xlfn.XLOOKUP($B522,'Histórico'!$B:$B,'Histórico'!$I:$I),"")</f>
        <v>069-01033-0101</v>
      </c>
      <c r="D522" s="19">
        <f t="array" ref="D522">IFERROR(_xlfn.XLOOKUP($B522,'Histórico'!$B:$B,'Histórico'!$J:$J),"")</f>
        <v>22373</v>
      </c>
      <c r="E522" s="19" t="str">
        <f t="array" ref="E522">IFERROR(_xlfn.XLOOKUP($B522,'Histórico'!$B:$B,'Histórico'!$K:$K),"")</f>
        <v>RECEIVER-TRANSMITTER,RADIO</v>
      </c>
      <c r="F522" s="19" t="str">
        <f t="array" ref="F522">IFERROR(_xlfn.XLOOKUP($B522,'Histórico'!$B:$B,'Histórico'!$L:$L),"")</f>
        <v>4134</v>
      </c>
      <c r="G522" s="49">
        <f t="array" ref="G522">IFERROR(_xlfn.XLOOKUP($B522,'Histórico'!$B:$B,'Histórico'!$F:$F),"")</f>
        <v>46254</v>
      </c>
      <c r="H522" s="19" t="str">
        <f t="array" ref="H522">IFERROR(_xlfn.XLOOKUP($B522,'Histórico'!$B:$B,'Histórico'!$AA:$AA),"")</f>
        <v>PAMALS</v>
      </c>
      <c r="I522" s="19" t="str">
        <f t="array" ref="I522">IFERROR(_xlfn.XLOOKUP($B522,Atual!$B:$B,Atual!$E:$E),"OS concluída")</f>
        <v>REC</v>
      </c>
      <c r="J522" s="19">
        <f t="shared" si="1"/>
        <v>56</v>
      </c>
      <c r="K522" s="19"/>
      <c r="L522" s="19"/>
      <c r="M522" s="19"/>
      <c r="N522" s="19"/>
      <c r="O522" s="19"/>
      <c r="P522" s="48"/>
      <c r="Q522" s="49"/>
      <c r="R522" s="19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</row>
    <row r="523">
      <c r="A523" s="48"/>
      <c r="B523" s="47" t="s">
        <v>1251</v>
      </c>
      <c r="C523" s="48" t="str">
        <f t="array" ref="C523">IFERROR(_xlfn.XLOOKUP($B523,'Histórico'!$B:$B,'Histórico'!$I:$I),"")</f>
        <v>069-01033-0101</v>
      </c>
      <c r="D523" s="19">
        <f t="array" ref="D523">IFERROR(_xlfn.XLOOKUP($B523,'Histórico'!$B:$B,'Histórico'!$J:$J),"")</f>
        <v>22373</v>
      </c>
      <c r="E523" s="19" t="str">
        <f t="array" ref="E523">IFERROR(_xlfn.XLOOKUP($B523,'Histórico'!$B:$B,'Histórico'!$K:$K),"")</f>
        <v>RECEIVER-TRANSMITTER,RADIO</v>
      </c>
      <c r="F523" s="19" t="str">
        <f t="array" ref="F523">IFERROR(_xlfn.XLOOKUP($B523,'Histórico'!$B:$B,'Histórico'!$L:$L),"")</f>
        <v>4078</v>
      </c>
      <c r="G523" s="49">
        <f t="array" ref="G523">IFERROR(_xlfn.XLOOKUP($B523,'Histórico'!$B:$B,'Histórico'!$F:$F),"")</f>
        <v>46254</v>
      </c>
      <c r="H523" s="19" t="str">
        <f t="array" ref="H523">IFERROR(_xlfn.XLOOKUP($B523,'Histórico'!$B:$B,'Histórico'!$AA:$AA),"")</f>
        <v>BANT</v>
      </c>
      <c r="I523" s="19" t="str">
        <f t="array" ref="I523">IFERROR(_xlfn.XLOOKUP($B523,Atual!$B:$B,Atual!$E:$E),"OS concluída")</f>
        <v>REC</v>
      </c>
      <c r="J523" s="19">
        <f t="shared" si="1"/>
        <v>56</v>
      </c>
      <c r="K523" s="19"/>
      <c r="L523" s="19"/>
      <c r="M523" s="19"/>
      <c r="N523" s="19"/>
      <c r="O523" s="19"/>
      <c r="P523" s="48"/>
      <c r="Q523" s="49"/>
      <c r="R523" s="19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</row>
    <row r="524">
      <c r="A524" s="48"/>
      <c r="B524" s="47" t="s">
        <v>1252</v>
      </c>
      <c r="C524" s="48" t="str">
        <f t="array" ref="C524">IFERROR(_xlfn.XLOOKUP($B524,'Histórico'!$B:$B,'Histórico'!$I:$I),"")</f>
        <v>069-01033-0101</v>
      </c>
      <c r="D524" s="19">
        <f t="array" ref="D524">IFERROR(_xlfn.XLOOKUP($B524,'Histórico'!$B:$B,'Histórico'!$J:$J),"")</f>
        <v>22373</v>
      </c>
      <c r="E524" s="19" t="str">
        <f t="array" ref="E524">IFERROR(_xlfn.XLOOKUP($B524,'Histórico'!$B:$B,'Histórico'!$K:$K),"")</f>
        <v>RECEIVER-TRANSMITTER,RADIO</v>
      </c>
      <c r="F524" s="19" t="str">
        <f t="array" ref="F524">IFERROR(_xlfn.XLOOKUP($B524,'Histórico'!$B:$B,'Histórico'!$L:$L),"")</f>
        <v>4137</v>
      </c>
      <c r="G524" s="49">
        <f t="array" ref="G524">IFERROR(_xlfn.XLOOKUP($B524,'Histórico'!$B:$B,'Histórico'!$F:$F),"")</f>
        <v>46254</v>
      </c>
      <c r="H524" s="19" t="str">
        <f t="array" ref="H524">IFERROR(_xlfn.XLOOKUP($B524,'Histórico'!$B:$B,'Histórico'!$AA:$AA),"")</f>
        <v>BACG</v>
      </c>
      <c r="I524" s="19" t="str">
        <f t="array" ref="I524">IFERROR(_xlfn.XLOOKUP($B524,Atual!$B:$B,Atual!$E:$E),"OS concluída")</f>
        <v>REC</v>
      </c>
      <c r="J524" s="19">
        <f t="shared" si="1"/>
        <v>56</v>
      </c>
      <c r="K524" s="19"/>
      <c r="L524" s="19"/>
      <c r="M524" s="19"/>
      <c r="N524" s="19"/>
      <c r="O524" s="19"/>
      <c r="P524" s="48"/>
      <c r="Q524" s="49"/>
      <c r="R524" s="19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</row>
    <row r="525">
      <c r="A525" s="48"/>
      <c r="B525" s="47" t="s">
        <v>1250</v>
      </c>
      <c r="C525" s="48" t="str">
        <f t="array" ref="C525">IFERROR(_xlfn.XLOOKUP($B525,'Histórico'!$B:$B,'Histórico'!$I:$I),"")</f>
        <v>069-01033-0101</v>
      </c>
      <c r="D525" s="19">
        <f t="array" ref="D525">IFERROR(_xlfn.XLOOKUP($B525,'Histórico'!$B:$B,'Histórico'!$J:$J),"")</f>
        <v>22373</v>
      </c>
      <c r="E525" s="19" t="str">
        <f t="array" ref="E525">IFERROR(_xlfn.XLOOKUP($B525,'Histórico'!$B:$B,'Histórico'!$K:$K),"")</f>
        <v>RECEIVER-TRANSMITTER,RADIO</v>
      </c>
      <c r="F525" s="19" t="str">
        <f t="array" ref="F525">IFERROR(_xlfn.XLOOKUP($B525,'Histórico'!$B:$B,'Histórico'!$L:$L),"")</f>
        <v>4134</v>
      </c>
      <c r="G525" s="49">
        <f t="array" ref="G525">IFERROR(_xlfn.XLOOKUP($B525,'Histórico'!$B:$B,'Histórico'!$F:$F),"")</f>
        <v>46254</v>
      </c>
      <c r="H525" s="19" t="str">
        <f t="array" ref="H525">IFERROR(_xlfn.XLOOKUP($B525,'Histórico'!$B:$B,'Histórico'!$AA:$AA),"")</f>
        <v>PAMALS</v>
      </c>
      <c r="I525" s="19" t="str">
        <f t="array" ref="I525">IFERROR(_xlfn.XLOOKUP($B525,Atual!$B:$B,Atual!$E:$E),"OS concluída")</f>
        <v>REC</v>
      </c>
      <c r="J525" s="19">
        <f t="shared" si="1"/>
        <v>56</v>
      </c>
      <c r="K525" s="19"/>
      <c r="L525" s="19"/>
      <c r="M525" s="19"/>
      <c r="N525" s="19"/>
      <c r="O525" s="19"/>
      <c r="P525" s="48"/>
      <c r="Q525" s="49"/>
      <c r="R525" s="19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</row>
    <row r="526">
      <c r="A526" s="48"/>
      <c r="B526" s="47" t="s">
        <v>1251</v>
      </c>
      <c r="C526" s="48" t="str">
        <f t="array" ref="C526">IFERROR(_xlfn.XLOOKUP($B526,'Histórico'!$B:$B,'Histórico'!$I:$I),"")</f>
        <v>069-01033-0101</v>
      </c>
      <c r="D526" s="19">
        <f t="array" ref="D526">IFERROR(_xlfn.XLOOKUP($B526,'Histórico'!$B:$B,'Histórico'!$J:$J),"")</f>
        <v>22373</v>
      </c>
      <c r="E526" s="19" t="str">
        <f t="array" ref="E526">IFERROR(_xlfn.XLOOKUP($B526,'Histórico'!$B:$B,'Histórico'!$K:$K),"")</f>
        <v>RECEIVER-TRANSMITTER,RADIO</v>
      </c>
      <c r="F526" s="19" t="str">
        <f t="array" ref="F526">IFERROR(_xlfn.XLOOKUP($B526,'Histórico'!$B:$B,'Histórico'!$L:$L),"")</f>
        <v>4078</v>
      </c>
      <c r="G526" s="49">
        <f t="array" ref="G526">IFERROR(_xlfn.XLOOKUP($B526,'Histórico'!$B:$B,'Histórico'!$F:$F),"")</f>
        <v>46254</v>
      </c>
      <c r="H526" s="19" t="str">
        <f t="array" ref="H526">IFERROR(_xlfn.XLOOKUP($B526,'Histórico'!$B:$B,'Histórico'!$AA:$AA),"")</f>
        <v>BANT</v>
      </c>
      <c r="I526" s="19" t="str">
        <f t="array" ref="I526">IFERROR(_xlfn.XLOOKUP($B526,Atual!$B:$B,Atual!$E:$E),"OS concluída")</f>
        <v>REC</v>
      </c>
      <c r="J526" s="19">
        <f t="shared" si="1"/>
        <v>56</v>
      </c>
      <c r="K526" s="19"/>
      <c r="L526" s="19"/>
      <c r="M526" s="19"/>
      <c r="N526" s="19"/>
      <c r="O526" s="19"/>
      <c r="P526" s="48"/>
      <c r="Q526" s="49"/>
      <c r="R526" s="19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</row>
    <row r="527">
      <c r="A527" s="48"/>
      <c r="B527" s="47" t="s">
        <v>1253</v>
      </c>
      <c r="C527" s="48" t="str">
        <f t="array" ref="C527">IFERROR(_xlfn.XLOOKUP($B527,'Histórico'!$B:$B,'Histórico'!$I:$I),"")</f>
        <v>C662504-0101</v>
      </c>
      <c r="D527" s="19" t="str">
        <f t="array" ref="D527">IFERROR(_xlfn.XLOOKUP($B527,'Histórico'!$B:$B,'Histórico'!$J:$J),"")</f>
        <v>7EK50</v>
      </c>
      <c r="E527" s="19" t="str">
        <f t="array" ref="E527">IFERROR(_xlfn.XLOOKUP($B527,'Histórico'!$B:$B,'Histórico'!$K:$K),"")</f>
        <v>GAGE VOLT AMME</v>
      </c>
      <c r="F527" s="19" t="str">
        <f t="array" ref="F527">IFERROR(_xlfn.XLOOKUP($B527,'Histórico'!$B:$B,'Histórico'!$L:$L),"")</f>
        <v>LS008</v>
      </c>
      <c r="G527" s="49">
        <f t="array" ref="G527">IFERROR(_xlfn.XLOOKUP($B527,'Histórico'!$B:$B,'Histórico'!$F:$F),"")</f>
        <v>46265</v>
      </c>
      <c r="H527" s="19" t="str">
        <f t="array" ref="H527">IFERROR(_xlfn.XLOOKUP($B527,'Histórico'!$B:$B,'Histórico'!$AA:$AA),"")</f>
        <v>PAMALS</v>
      </c>
      <c r="I527" s="19" t="str">
        <f t="array" ref="I527">IFERROR(_xlfn.XLOOKUP($B527,Atual!$B:$B,Atual!$E:$E),"OS concluída")</f>
        <v>REC</v>
      </c>
      <c r="J527" s="19">
        <f t="shared" si="1"/>
        <v>45</v>
      </c>
      <c r="K527" s="19"/>
      <c r="L527" s="19"/>
      <c r="M527" s="19"/>
      <c r="N527" s="19"/>
      <c r="O527" s="19"/>
      <c r="P527" s="48"/>
      <c r="Q527" s="49"/>
      <c r="R527" s="19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</row>
    <row r="528">
      <c r="A528" s="48"/>
      <c r="B528" s="47" t="s">
        <v>1254</v>
      </c>
      <c r="C528" s="48" t="str">
        <f t="array" ref="C528">IFERROR(_xlfn.XLOOKUP($B528,'Histórico'!$B:$B,'Histórico'!$I:$I),"")</f>
        <v>C662504-0101</v>
      </c>
      <c r="D528" s="19" t="str">
        <f t="array" ref="D528">IFERROR(_xlfn.XLOOKUP($B528,'Histórico'!$B:$B,'Histórico'!$J:$J),"")</f>
        <v>7EK50</v>
      </c>
      <c r="E528" s="19" t="str">
        <f t="array" ref="E528">IFERROR(_xlfn.XLOOKUP($B528,'Histórico'!$B:$B,'Histórico'!$K:$K),"")</f>
        <v>GAGE VOLT AMME</v>
      </c>
      <c r="F528" s="19" t="str">
        <f t="array" ref="F528">IFERROR(_xlfn.XLOOKUP($B528,'Histórico'!$B:$B,'Histórico'!$L:$L),"")</f>
        <v>918598-L112807</v>
      </c>
      <c r="G528" s="49">
        <f t="array" ref="G528">IFERROR(_xlfn.XLOOKUP($B528,'Histórico'!$B:$B,'Histórico'!$F:$F),"")</f>
        <v>46265</v>
      </c>
      <c r="H528" s="19" t="str">
        <f t="array" ref="H528">IFERROR(_xlfn.XLOOKUP($B528,'Histórico'!$B:$B,'Histórico'!$AA:$AA),"")</f>
        <v>ALA 9</v>
      </c>
      <c r="I528" s="19" t="str">
        <f t="array" ref="I528">IFERROR(_xlfn.XLOOKUP($B528,Atual!$B:$B,Atual!$E:$E),"OS concluída")</f>
        <v>REC</v>
      </c>
      <c r="J528" s="19">
        <f t="shared" si="1"/>
        <v>45</v>
      </c>
      <c r="K528" s="19"/>
      <c r="L528" s="19"/>
      <c r="M528" s="19"/>
      <c r="N528" s="19"/>
      <c r="O528" s="19"/>
      <c r="P528" s="48"/>
      <c r="Q528" s="49"/>
      <c r="R528" s="19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</row>
    <row r="529">
      <c r="A529" s="48"/>
      <c r="B529" s="47" t="s">
        <v>1255</v>
      </c>
      <c r="C529" s="48" t="str">
        <f t="array" ref="C529">IFERROR(_xlfn.XLOOKUP($B529,'Histórico'!$B:$B,'Histórico'!$I:$I),"")</f>
        <v>C662504-0101</v>
      </c>
      <c r="D529" s="19" t="str">
        <f t="array" ref="D529">IFERROR(_xlfn.XLOOKUP($B529,'Histórico'!$B:$B,'Histórico'!$J:$J),"")</f>
        <v>7EK50</v>
      </c>
      <c r="E529" s="19" t="str">
        <f t="array" ref="E529">IFERROR(_xlfn.XLOOKUP($B529,'Histórico'!$B:$B,'Histórico'!$K:$K),"")</f>
        <v>GAGE VOLT AMME</v>
      </c>
      <c r="F529" s="19" t="str">
        <f t="array" ref="F529">IFERROR(_xlfn.XLOOKUP($B529,'Histórico'!$B:$B,'Histórico'!$L:$L),"")</f>
        <v>LS0609</v>
      </c>
      <c r="G529" s="49">
        <f t="array" ref="G529">IFERROR(_xlfn.XLOOKUP($B529,'Histórico'!$B:$B,'Histórico'!$F:$F),"")</f>
        <v>46265</v>
      </c>
      <c r="H529" s="19" t="str">
        <f t="array" ref="H529">IFERROR(_xlfn.XLOOKUP($B529,'Histórico'!$B:$B,'Histórico'!$AA:$AA),"")</f>
        <v>PAMALS</v>
      </c>
      <c r="I529" s="19" t="str">
        <f t="array" ref="I529">IFERROR(_xlfn.XLOOKUP($B529,Atual!$B:$B,Atual!$E:$E),"OS concluída")</f>
        <v>REC</v>
      </c>
      <c r="J529" s="19">
        <f t="shared" si="1"/>
        <v>45</v>
      </c>
      <c r="K529" s="19"/>
      <c r="L529" s="19"/>
      <c r="M529" s="19"/>
      <c r="N529" s="19"/>
      <c r="O529" s="19"/>
      <c r="P529" s="48"/>
      <c r="Q529" s="49"/>
      <c r="R529" s="19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</row>
    <row r="530">
      <c r="A530" s="48"/>
      <c r="B530" s="47" t="s">
        <v>1256</v>
      </c>
      <c r="C530" s="48" t="str">
        <f t="array" ref="C530">IFERROR(_xlfn.XLOOKUP($B530,'Histórico'!$B:$B,'Histórico'!$I:$I),"")</f>
        <v>C662504-0101</v>
      </c>
      <c r="D530" s="19" t="str">
        <f t="array" ref="D530">IFERROR(_xlfn.XLOOKUP($B530,'Histórico'!$B:$B,'Histórico'!$J:$J),"")</f>
        <v>7EK50</v>
      </c>
      <c r="E530" s="19" t="str">
        <f t="array" ref="E530">IFERROR(_xlfn.XLOOKUP($B530,'Histórico'!$B:$B,'Histórico'!$K:$K),"")</f>
        <v>GAGE VOLT AMME</v>
      </c>
      <c r="F530" s="19" t="str">
        <f t="array" ref="F530">IFERROR(_xlfn.XLOOKUP($B530,'Histórico'!$B:$B,'Histórico'!$L:$L),"")</f>
        <v>LS009</v>
      </c>
      <c r="G530" s="49">
        <f t="array" ref="G530">IFERROR(_xlfn.XLOOKUP($B530,'Histórico'!$B:$B,'Histórico'!$F:$F),"")</f>
        <v>46265</v>
      </c>
      <c r="H530" s="19" t="str">
        <f t="array" ref="H530">IFERROR(_xlfn.XLOOKUP($B530,'Histórico'!$B:$B,'Histórico'!$AA:$AA),"")</f>
        <v>BABV</v>
      </c>
      <c r="I530" s="19" t="str">
        <f t="array" ref="I530">IFERROR(_xlfn.XLOOKUP($B530,Atual!$B:$B,Atual!$E:$E),"OS concluída")</f>
        <v>REC</v>
      </c>
      <c r="J530" s="19">
        <f t="shared" si="1"/>
        <v>45</v>
      </c>
      <c r="K530" s="19"/>
      <c r="L530" s="19"/>
      <c r="M530" s="19"/>
      <c r="N530" s="19"/>
      <c r="O530" s="19"/>
      <c r="P530" s="48"/>
      <c r="Q530" s="49"/>
      <c r="R530" s="19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</row>
    <row r="531">
      <c r="A531" s="48"/>
      <c r="B531" s="47" t="s">
        <v>1257</v>
      </c>
      <c r="C531" s="48" t="str">
        <f t="array" ref="C531">IFERROR(_xlfn.XLOOKUP($B531,'Histórico'!$B:$B,'Histórico'!$I:$I),"")</f>
        <v>2643100-206</v>
      </c>
      <c r="D531" s="19" t="str">
        <f t="array" ref="D531">IFERROR(_xlfn.XLOOKUP($B531,'Histórico'!$B:$B,'Histórico'!$J:$J),"")</f>
        <v>7EK50</v>
      </c>
      <c r="E531" s="19" t="str">
        <f t="array" ref="E531">IFERROR(_xlfn.XLOOKUP($B531,'Histórico'!$B:$B,'Histórico'!$K:$K),"")</f>
        <v>NOSE GEAR STRUT ASSY - TALL FORK</v>
      </c>
      <c r="F531" s="19" t="str">
        <f t="array" ref="F531">IFERROR(_xlfn.XLOOKUP($B531,'Histórico'!$B:$B,'Histórico'!$L:$L),"")</f>
        <v>445</v>
      </c>
      <c r="G531" s="49">
        <f t="array" ref="G531">IFERROR(_xlfn.XLOOKUP($B531,'Histórico'!$B:$B,'Histórico'!$F:$F),"")</f>
        <v>46269</v>
      </c>
      <c r="H531" s="19" t="str">
        <f t="array" ref="H531">IFERROR(_xlfn.XLOOKUP($B531,'Histórico'!$B:$B,'Histórico'!$AA:$AA),"")</f>
        <v>BAMN</v>
      </c>
      <c r="I531" s="19" t="str">
        <f t="array" ref="I531">IFERROR(_xlfn.XLOOKUP($B531,Atual!$B:$B,Atual!$E:$E),"OS concluída")</f>
        <v>REC</v>
      </c>
      <c r="J531" s="19">
        <f t="shared" si="1"/>
        <v>41</v>
      </c>
      <c r="K531" s="19"/>
      <c r="L531" s="19"/>
      <c r="M531" s="19"/>
      <c r="N531" s="19"/>
      <c r="O531" s="19"/>
      <c r="P531" s="48"/>
      <c r="Q531" s="49"/>
      <c r="R531" s="19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</row>
    <row r="532">
      <c r="A532" s="48"/>
      <c r="B532" s="47" t="s">
        <v>1258</v>
      </c>
      <c r="C532" s="48" t="str">
        <f t="array" ref="C532">IFERROR(_xlfn.XLOOKUP($B532,'Histórico'!$B:$B,'Histórico'!$I:$I),"")</f>
        <v>9910586-4</v>
      </c>
      <c r="D532" s="19" t="str">
        <f t="array" ref="D532">IFERROR(_xlfn.XLOOKUP($B532,'Histórico'!$B:$B,'Histórico'!$J:$J),"")</f>
        <v>7EK50</v>
      </c>
      <c r="E532" s="19" t="str">
        <f t="array" ref="E532">IFERROR(_xlfn.XLOOKUP($B532,'Histórico'!$B:$B,'Histórico'!$K:$K),"")</f>
        <v>FLAP ACTUATOR AND MOTOR ASSEMBLY</v>
      </c>
      <c r="F532" s="19" t="str">
        <f t="array" ref="F532">IFERROR(_xlfn.XLOOKUP($B532,'Histórico'!$B:$B,'Histórico'!$L:$L),"")</f>
        <v>2706</v>
      </c>
      <c r="G532" s="49">
        <f t="array" ref="G532">IFERROR(_xlfn.XLOOKUP($B532,'Histórico'!$B:$B,'Histórico'!$F:$F),"")</f>
        <v>46274</v>
      </c>
      <c r="H532" s="19" t="str">
        <f t="array" ref="H532">IFERROR(_xlfn.XLOOKUP($B532,'Histórico'!$B:$B,'Histórico'!$AA:$AA),"")</f>
        <v>PAMALS</v>
      </c>
      <c r="I532" s="19" t="str">
        <f t="array" ref="I532">IFERROR(_xlfn.XLOOKUP($B532,Atual!$B:$B,Atual!$E:$E),"OS concluída")</f>
        <v>REC</v>
      </c>
      <c r="J532" s="19">
        <f t="shared" si="1"/>
        <v>36</v>
      </c>
      <c r="K532" s="19"/>
      <c r="L532" s="19"/>
      <c r="M532" s="19"/>
      <c r="N532" s="19"/>
      <c r="O532" s="19"/>
      <c r="P532" s="48"/>
      <c r="Q532" s="49"/>
      <c r="R532" s="19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</row>
    <row r="533">
      <c r="A533" s="48"/>
      <c r="B533" s="47" t="s">
        <v>1259</v>
      </c>
      <c r="C533" s="48" t="str">
        <f t="array" ref="C533">IFERROR(_xlfn.XLOOKUP($B533,'Histórico'!$B:$B,'Histórico'!$I:$I),"")</f>
        <v>9910586-4</v>
      </c>
      <c r="D533" s="19" t="str">
        <f t="array" ref="D533">IFERROR(_xlfn.XLOOKUP($B533,'Histórico'!$B:$B,'Histórico'!$J:$J),"")</f>
        <v>7EK50</v>
      </c>
      <c r="E533" s="19" t="str">
        <f t="array" ref="E533">IFERROR(_xlfn.XLOOKUP($B533,'Histórico'!$B:$B,'Histórico'!$K:$K),"")</f>
        <v>FLAP ACTUATOR AND MOTOR ASSEMBLY</v>
      </c>
      <c r="F533" s="19" t="str">
        <f t="array" ref="F533">IFERROR(_xlfn.XLOOKUP($B533,'Histórico'!$B:$B,'Histórico'!$L:$L),"")</f>
        <v>1412</v>
      </c>
      <c r="G533" s="49">
        <f t="array" ref="G533">IFERROR(_xlfn.XLOOKUP($B533,'Histórico'!$B:$B,'Histórico'!$F:$F),"")</f>
        <v>46274</v>
      </c>
      <c r="H533" s="19" t="str">
        <f t="array" ref="H533">IFERROR(_xlfn.XLOOKUP($B533,'Histórico'!$B:$B,'Histórico'!$AA:$AA),"")</f>
        <v>BANT</v>
      </c>
      <c r="I533" s="19" t="str">
        <f t="array" ref="I533">IFERROR(_xlfn.XLOOKUP($B533,Atual!$B:$B,Atual!$E:$E),"OS concluída")</f>
        <v>REC</v>
      </c>
      <c r="J533" s="19">
        <f t="shared" si="1"/>
        <v>36</v>
      </c>
      <c r="K533" s="19"/>
      <c r="L533" s="19"/>
      <c r="M533" s="19"/>
      <c r="N533" s="19"/>
      <c r="O533" s="19"/>
      <c r="P533" s="48"/>
      <c r="Q533" s="49"/>
      <c r="R533" s="19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</row>
    <row r="534">
      <c r="A534" s="48"/>
      <c r="B534" s="47" t="s">
        <v>1260</v>
      </c>
      <c r="C534" s="48" t="str">
        <f t="array" ref="C534">IFERROR(_xlfn.XLOOKUP($B534,'Histórico'!$B:$B,'Histórico'!$I:$I),"")</f>
        <v>161-11700</v>
      </c>
      <c r="D534" s="19" t="str">
        <f t="array" ref="D534">IFERROR(_xlfn.XLOOKUP($B534,'Histórico'!$B:$B,'Histórico'!$J:$J),"")</f>
        <v>71513</v>
      </c>
      <c r="E534" s="19" t="str">
        <f t="array" ref="E534">IFERROR(_xlfn.XLOOKUP($B534,'Histórico'!$B:$B,'Histórico'!$K:$K),"")</f>
        <v>INNER WHEEL HALF ASSY</v>
      </c>
      <c r="F534" s="19" t="str">
        <f t="array" ref="F534">IFERROR(_xlfn.XLOOKUP($B534,'Histórico'!$B:$B,'Histórico'!$L:$L),"")</f>
        <v>792</v>
      </c>
      <c r="G534" s="49">
        <f t="array" ref="G534">IFERROR(_xlfn.XLOOKUP($B534,'Histórico'!$B:$B,'Histórico'!$F:$F),"")</f>
        <v>46274</v>
      </c>
      <c r="H534" s="19" t="str">
        <f t="array" ref="H534">IFERROR(_xlfn.XLOOKUP($B534,'Histórico'!$B:$B,'Histórico'!$AA:$AA),"")</f>
        <v>DACTA II</v>
      </c>
      <c r="I534" s="19" t="str">
        <f t="array" ref="I534">IFERROR(_xlfn.XLOOKUP($B534,Atual!$B:$B,Atual!$E:$E),"OS concluída")</f>
        <v>REC</v>
      </c>
      <c r="J534" s="19">
        <f t="shared" si="1"/>
        <v>36</v>
      </c>
      <c r="K534" s="19"/>
      <c r="L534" s="19"/>
      <c r="M534" s="19"/>
      <c r="N534" s="19"/>
      <c r="O534" s="19"/>
      <c r="P534" s="48"/>
      <c r="Q534" s="49"/>
      <c r="R534" s="19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</row>
    <row r="535">
      <c r="A535" s="48"/>
      <c r="B535" s="47" t="s">
        <v>1261</v>
      </c>
      <c r="C535" s="48" t="str">
        <f t="array" ref="C535">IFERROR(_xlfn.XLOOKUP($B535,'Histórico'!$B:$B,'Histórico'!$I:$I),"")</f>
        <v>162-11800</v>
      </c>
      <c r="D535" s="19" t="str">
        <f t="array" ref="D535">IFERROR(_xlfn.XLOOKUP($B535,'Histórico'!$B:$B,'Histórico'!$J:$J),"")</f>
        <v>33269</v>
      </c>
      <c r="E535" s="19" t="str">
        <f t="array" ref="E535">IFERROR(_xlfn.XLOOKUP($B535,'Histórico'!$B:$B,'Histórico'!$K:$K),"")</f>
        <v>WHEEL HALF ASSY-OUTER</v>
      </c>
      <c r="F535" s="19" t="str">
        <f t="array" ref="F535">IFERROR(_xlfn.XLOOKUP($B535,'Histórico'!$B:$B,'Histórico'!$L:$L),"")</f>
        <v>972</v>
      </c>
      <c r="G535" s="49">
        <f t="array" ref="G535">IFERROR(_xlfn.XLOOKUP($B535,'Histórico'!$B:$B,'Histórico'!$F:$F),"")</f>
        <v>46274</v>
      </c>
      <c r="H535" s="19" t="str">
        <f t="array" ref="H535">IFERROR(_xlfn.XLOOKUP($B535,'Histórico'!$B:$B,'Histórico'!$AA:$AA),"")</f>
        <v>BAMN</v>
      </c>
      <c r="I535" s="19" t="str">
        <f t="array" ref="I535">IFERROR(_xlfn.XLOOKUP($B535,Atual!$B:$B,Atual!$E:$E),"OS concluída")</f>
        <v>REC</v>
      </c>
      <c r="J535" s="19">
        <f t="shared" si="1"/>
        <v>36</v>
      </c>
      <c r="K535" s="19"/>
      <c r="L535" s="19"/>
      <c r="M535" s="19"/>
      <c r="N535" s="19"/>
      <c r="O535" s="19"/>
      <c r="P535" s="48"/>
      <c r="Q535" s="49"/>
      <c r="R535" s="19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</row>
    <row r="536">
      <c r="A536" s="48"/>
      <c r="B536" s="47" t="s">
        <v>1262</v>
      </c>
      <c r="C536" s="48" t="str">
        <f t="array" ref="C536">IFERROR(_xlfn.XLOOKUP($B536,'Histórico'!$B:$B,'Histórico'!$I:$I),"")</f>
        <v>162-10700</v>
      </c>
      <c r="D536" s="19" t="str">
        <f t="array" ref="D536">IFERROR(_xlfn.XLOOKUP($B536,'Histórico'!$B:$B,'Histórico'!$J:$J),"")</f>
        <v>71513</v>
      </c>
      <c r="E536" s="19" t="str">
        <f t="array" ref="E536">IFERROR(_xlfn.XLOOKUP($B536,'Histórico'!$B:$B,'Histórico'!$K:$K),"")</f>
        <v>OUTER WHEEL HALF ASSY</v>
      </c>
      <c r="F536" s="19" t="str">
        <f t="array" ref="F536">IFERROR(_xlfn.XLOOKUP($B536,'Histórico'!$B:$B,'Histórico'!$L:$L),"")</f>
        <v>46</v>
      </c>
      <c r="G536" s="49">
        <f t="array" ref="G536">IFERROR(_xlfn.XLOOKUP($B536,'Histórico'!$B:$B,'Histórico'!$F:$F),"")</f>
        <v>46274</v>
      </c>
      <c r="H536" s="19" t="str">
        <f t="array" ref="H536">IFERROR(_xlfn.XLOOKUP($B536,'Histórico'!$B:$B,'Histórico'!$AA:$AA),"")</f>
        <v>DACTA II</v>
      </c>
      <c r="I536" s="19" t="str">
        <f t="array" ref="I536">IFERROR(_xlfn.XLOOKUP($B536,Atual!$B:$B,Atual!$E:$E),"OS concluída")</f>
        <v>REC</v>
      </c>
      <c r="J536" s="19">
        <f t="shared" si="1"/>
        <v>36</v>
      </c>
      <c r="K536" s="19"/>
      <c r="L536" s="19"/>
      <c r="M536" s="19"/>
      <c r="N536" s="19"/>
      <c r="O536" s="19"/>
      <c r="P536" s="48"/>
      <c r="Q536" s="49"/>
      <c r="R536" s="19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</row>
    <row r="537">
      <c r="A537" s="48"/>
      <c r="B537" s="47" t="s">
        <v>1263</v>
      </c>
      <c r="C537" s="48" t="str">
        <f t="array" ref="C537">IFERROR(_xlfn.XLOOKUP($B537,'Histórico'!$B:$B,'Histórico'!$I:$I),"")</f>
        <v>2641011-5</v>
      </c>
      <c r="D537" s="19" t="str">
        <f t="array" ref="D537">IFERROR(_xlfn.XLOOKUP($B537,'Histórico'!$B:$B,'Histórico'!$J:$J),"")</f>
        <v>7EK50</v>
      </c>
      <c r="E537" s="19" t="str">
        <f t="array" ref="E537">IFERROR(_xlfn.XLOOKUP($B537,'Histórico'!$B:$B,'Histórico'!$K:$K),"")</f>
        <v>AXLE-MAIN GEAR</v>
      </c>
      <c r="F537" s="19" t="str">
        <f t="array" ref="F537">IFERROR(_xlfn.XLOOKUP($B537,'Histórico'!$B:$B,'Histórico'!$L:$L),"")</f>
        <v>487</v>
      </c>
      <c r="G537" s="49">
        <f t="array" ref="G537">IFERROR(_xlfn.XLOOKUP($B537,'Histórico'!$B:$B,'Histórico'!$F:$F),"")</f>
        <v>46274</v>
      </c>
      <c r="H537" s="19" t="str">
        <f t="array" ref="H537">IFERROR(_xlfn.XLOOKUP($B537,'Histórico'!$B:$B,'Histórico'!$AA:$AA),"")</f>
        <v>BACO</v>
      </c>
      <c r="I537" s="19" t="str">
        <f t="array" ref="I537">IFERROR(_xlfn.XLOOKUP($B537,Atual!$B:$B,Atual!$E:$E),"OS concluída")</f>
        <v>REC</v>
      </c>
      <c r="J537" s="19">
        <f t="shared" si="1"/>
        <v>36</v>
      </c>
      <c r="K537" s="19"/>
      <c r="L537" s="19"/>
      <c r="M537" s="19"/>
      <c r="N537" s="19"/>
      <c r="O537" s="19"/>
      <c r="P537" s="48"/>
      <c r="Q537" s="49"/>
      <c r="R537" s="19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</row>
    <row r="538">
      <c r="A538" s="48"/>
      <c r="B538" s="47" t="s">
        <v>1264</v>
      </c>
      <c r="C538" s="48" t="str">
        <f t="array" ref="C538">IFERROR(_xlfn.XLOOKUP($B538,'Histórico'!$B:$B,'Histórico'!$I:$I),"")</f>
        <v>2641011-5</v>
      </c>
      <c r="D538" s="19" t="str">
        <f t="array" ref="D538">IFERROR(_xlfn.XLOOKUP($B538,'Histórico'!$B:$B,'Histórico'!$J:$J),"")</f>
        <v>7EK50</v>
      </c>
      <c r="E538" s="19" t="str">
        <f t="array" ref="E538">IFERROR(_xlfn.XLOOKUP($B538,'Histórico'!$B:$B,'Histórico'!$K:$K),"")</f>
        <v>AXLE-MAIN GEAR</v>
      </c>
      <c r="F538" s="19" t="str">
        <f t="array" ref="F538">IFERROR(_xlfn.XLOOKUP($B538,'Histórico'!$B:$B,'Histórico'!$L:$L),"")</f>
        <v>1187-5</v>
      </c>
      <c r="G538" s="49">
        <f t="array" ref="G538">IFERROR(_xlfn.XLOOKUP($B538,'Histórico'!$B:$B,'Histórico'!$F:$F),"")</f>
        <v>46274</v>
      </c>
      <c r="H538" s="19" t="str">
        <f t="array" ref="H538">IFERROR(_xlfn.XLOOKUP($B538,'Histórico'!$B:$B,'Histórico'!$AA:$AA),"")</f>
        <v>BACO</v>
      </c>
      <c r="I538" s="19" t="str">
        <f t="array" ref="I538">IFERROR(_xlfn.XLOOKUP($B538,Atual!$B:$B,Atual!$E:$E),"OS concluída")</f>
        <v>REC</v>
      </c>
      <c r="J538" s="19">
        <f t="shared" si="1"/>
        <v>36</v>
      </c>
      <c r="K538" s="19"/>
      <c r="L538" s="19"/>
      <c r="M538" s="19"/>
      <c r="N538" s="19"/>
      <c r="O538" s="19"/>
      <c r="P538" s="48"/>
      <c r="Q538" s="49"/>
      <c r="R538" s="19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</row>
    <row r="539">
      <c r="A539" s="48"/>
      <c r="B539" s="47" t="s">
        <v>1265</v>
      </c>
      <c r="C539" s="48" t="str">
        <f t="array" ref="C539">IFERROR(_xlfn.XLOOKUP($B539,'Histórico'!$B:$B,'Histórico'!$I:$I),"")</f>
        <v>2641011-5</v>
      </c>
      <c r="D539" s="19" t="str">
        <f t="array" ref="D539">IFERROR(_xlfn.XLOOKUP($B539,'Histórico'!$B:$B,'Histórico'!$J:$J),"")</f>
        <v>7EK50</v>
      </c>
      <c r="E539" s="19" t="str">
        <f t="array" ref="E539">IFERROR(_xlfn.XLOOKUP($B539,'Histórico'!$B:$B,'Histórico'!$K:$K),"")</f>
        <v>AXLE-MAIN GEAR</v>
      </c>
      <c r="F539" s="19" t="str">
        <f t="array" ref="F539">IFERROR(_xlfn.XLOOKUP($B539,'Histórico'!$B:$B,'Histórico'!$L:$L),"")</f>
        <v>2683-5</v>
      </c>
      <c r="G539" s="49">
        <f t="array" ref="G539">IFERROR(_xlfn.XLOOKUP($B539,'Histórico'!$B:$B,'Histórico'!$F:$F),"")</f>
        <v>46274</v>
      </c>
      <c r="H539" s="19" t="str">
        <f t="array" ref="H539">IFERROR(_xlfn.XLOOKUP($B539,'Histórico'!$B:$B,'Histórico'!$AA:$AA),"")</f>
        <v>BANT</v>
      </c>
      <c r="I539" s="19" t="str">
        <f t="array" ref="I539">IFERROR(_xlfn.XLOOKUP($B539,Atual!$B:$B,Atual!$E:$E),"OS concluída")</f>
        <v>REC</v>
      </c>
      <c r="J539" s="19">
        <f t="shared" si="1"/>
        <v>36</v>
      </c>
      <c r="K539" s="19"/>
      <c r="L539" s="19"/>
      <c r="M539" s="19"/>
      <c r="N539" s="19"/>
      <c r="O539" s="19"/>
      <c r="P539" s="48"/>
      <c r="Q539" s="49"/>
      <c r="R539" s="19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</row>
    <row r="540">
      <c r="A540" s="48"/>
      <c r="B540" s="47" t="s">
        <v>1266</v>
      </c>
      <c r="C540" s="48" t="str">
        <f t="array" ref="C540">IFERROR(_xlfn.XLOOKUP($B540,'Histórico'!$B:$B,'Histórico'!$I:$I),"")</f>
        <v>2641011-5</v>
      </c>
      <c r="D540" s="19" t="str">
        <f t="array" ref="D540">IFERROR(_xlfn.XLOOKUP($B540,'Histórico'!$B:$B,'Histórico'!$J:$J),"")</f>
        <v>7EK50</v>
      </c>
      <c r="E540" s="19" t="str">
        <f t="array" ref="E540">IFERROR(_xlfn.XLOOKUP($B540,'Histórico'!$B:$B,'Histórico'!$K:$K),"")</f>
        <v>AXLE-MAIN GEAR</v>
      </c>
      <c r="F540" s="19" t="str">
        <f t="array" ref="F540">IFERROR(_xlfn.XLOOKUP($B540,'Histórico'!$B:$B,'Histórico'!$L:$L),"")</f>
        <v>2694-5</v>
      </c>
      <c r="G540" s="49">
        <f t="array" ref="G540">IFERROR(_xlfn.XLOOKUP($B540,'Histórico'!$B:$B,'Histórico'!$F:$F),"")</f>
        <v>46274</v>
      </c>
      <c r="H540" s="19" t="str">
        <f t="array" ref="H540">IFERROR(_xlfn.XLOOKUP($B540,'Histórico'!$B:$B,'Histórico'!$AA:$AA),"")</f>
        <v>BANT</v>
      </c>
      <c r="I540" s="19" t="str">
        <f t="array" ref="I540">IFERROR(_xlfn.XLOOKUP($B540,Atual!$B:$B,Atual!$E:$E),"OS concluída")</f>
        <v>REC</v>
      </c>
      <c r="J540" s="19">
        <f t="shared" si="1"/>
        <v>36</v>
      </c>
      <c r="K540" s="19"/>
      <c r="L540" s="19"/>
      <c r="M540" s="19"/>
      <c r="N540" s="19"/>
      <c r="O540" s="19"/>
      <c r="P540" s="48"/>
      <c r="Q540" s="49"/>
      <c r="R540" s="19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</row>
    <row r="541">
      <c r="A541" s="48"/>
      <c r="B541" s="47" t="s">
        <v>1267</v>
      </c>
      <c r="C541" s="48" t="str">
        <f t="array" ref="C541">IFERROR(_xlfn.XLOOKUP($B541,'Histórico'!$B:$B,'Histórico'!$I:$I),"")</f>
        <v>2643031-7</v>
      </c>
      <c r="D541" s="19" t="str">
        <f t="array" ref="D541">IFERROR(_xlfn.XLOOKUP($B541,'Histórico'!$B:$B,'Histórico'!$J:$J),"")</f>
        <v>7EK50</v>
      </c>
      <c r="E541" s="19" t="str">
        <f t="array" ref="E541">IFERROR(_xlfn.XLOOKUP($B541,'Histórico'!$B:$B,'Histórico'!$K:$K),"")</f>
        <v>FORK ASSY,NOSE GEAR SPRING</v>
      </c>
      <c r="F541" s="19" t="str">
        <f t="array" ref="F541">IFERROR(_xlfn.XLOOKUP($B541,'Histórico'!$B:$B,'Histórico'!$L:$L),"")</f>
        <v>602</v>
      </c>
      <c r="G541" s="49">
        <f t="array" ref="G541">IFERROR(_xlfn.XLOOKUP($B541,'Histórico'!$B:$B,'Histórico'!$F:$F),"")</f>
        <v>46274</v>
      </c>
      <c r="H541" s="19" t="str">
        <f t="array" ref="H541">IFERROR(_xlfn.XLOOKUP($B541,'Histórico'!$B:$B,'Histórico'!$AA:$AA),"")</f>
        <v>PAMALS</v>
      </c>
      <c r="I541" s="19" t="str">
        <f t="array" ref="I541">IFERROR(_xlfn.XLOOKUP($B541,Atual!$B:$B,Atual!$E:$E),"OS concluída")</f>
        <v>REC</v>
      </c>
      <c r="J541" s="19">
        <f t="shared" si="1"/>
        <v>36</v>
      </c>
      <c r="K541" s="19"/>
      <c r="L541" s="19"/>
      <c r="M541" s="19"/>
      <c r="N541" s="19"/>
      <c r="O541" s="19"/>
      <c r="P541" s="48"/>
      <c r="Q541" s="49"/>
      <c r="R541" s="19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</row>
    <row r="542">
      <c r="A542" s="48"/>
      <c r="B542" s="47" t="s">
        <v>1268</v>
      </c>
      <c r="C542" s="48" t="str">
        <f t="array" ref="C542">IFERROR(_xlfn.XLOOKUP($B542,'Histórico'!$B:$B,'Histórico'!$I:$I),"")</f>
        <v>2641012-14</v>
      </c>
      <c r="D542" s="19" t="str">
        <f t="array" ref="D542">IFERROR(_xlfn.XLOOKUP($B542,'Histórico'!$B:$B,'Histórico'!$J:$J),"")</f>
        <v>7EK50</v>
      </c>
      <c r="E542" s="19" t="str">
        <f t="array" ref="E542">IFERROR(_xlfn.XLOOKUP($B542,'Histórico'!$B:$B,'Histórico'!$K:$K),"")</f>
        <v>TRUNNION ASSY-RH-MAIN GEAR</v>
      </c>
      <c r="F542" s="19" t="str">
        <f t="array" ref="F542">IFERROR(_xlfn.XLOOKUP($B542,'Histórico'!$B:$B,'Histórico'!$L:$L),"")</f>
        <v>21</v>
      </c>
      <c r="G542" s="49">
        <f t="array" ref="G542">IFERROR(_xlfn.XLOOKUP($B542,'Histórico'!$B:$B,'Histórico'!$F:$F),"")</f>
        <v>46274</v>
      </c>
      <c r="H542" s="19" t="str">
        <f t="array" ref="H542">IFERROR(_xlfn.XLOOKUP($B542,'Histórico'!$B:$B,'Histórico'!$AA:$AA),"")</f>
        <v>PAMALS</v>
      </c>
      <c r="I542" s="19" t="str">
        <f t="array" ref="I542">IFERROR(_xlfn.XLOOKUP($B542,Atual!$B:$B,Atual!$E:$E),"OS concluída")</f>
        <v>REC</v>
      </c>
      <c r="J542" s="19">
        <f t="shared" si="1"/>
        <v>36</v>
      </c>
      <c r="K542" s="19"/>
      <c r="L542" s="19"/>
      <c r="M542" s="19"/>
      <c r="N542" s="19"/>
      <c r="O542" s="19"/>
      <c r="P542" s="48"/>
      <c r="Q542" s="49"/>
      <c r="R542" s="19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</row>
    <row r="543">
      <c r="A543" s="48"/>
      <c r="B543" s="47" t="s">
        <v>1269</v>
      </c>
      <c r="C543" s="48" t="str">
        <f t="array" ref="C543">IFERROR(_xlfn.XLOOKUP($B543,'Histórico'!$B:$B,'Histórico'!$I:$I),"")</f>
        <v>2641012-14</v>
      </c>
      <c r="D543" s="19" t="str">
        <f t="array" ref="D543">IFERROR(_xlfn.XLOOKUP($B543,'Histórico'!$B:$B,'Histórico'!$J:$J),"")</f>
        <v>7EK50</v>
      </c>
      <c r="E543" s="19" t="str">
        <f t="array" ref="E543">IFERROR(_xlfn.XLOOKUP($B543,'Histórico'!$B:$B,'Histórico'!$K:$K),"")</f>
        <v>TRUNNION ASSY-RH-MAIN GEAR</v>
      </c>
      <c r="F543" s="19" t="str">
        <f t="array" ref="F543">IFERROR(_xlfn.XLOOKUP($B543,'Histórico'!$B:$B,'Histórico'!$L:$L),"")</f>
        <v>704</v>
      </c>
      <c r="G543" s="49">
        <f t="array" ref="G543">IFERROR(_xlfn.XLOOKUP($B543,'Histórico'!$B:$B,'Histórico'!$F:$F),"")</f>
        <v>46274</v>
      </c>
      <c r="H543" s="19" t="str">
        <f t="array" ref="H543">IFERROR(_xlfn.XLOOKUP($B543,'Histórico'!$B:$B,'Histórico'!$AA:$AA),"")</f>
        <v>BANT</v>
      </c>
      <c r="I543" s="19" t="str">
        <f t="array" ref="I543">IFERROR(_xlfn.XLOOKUP($B543,Atual!$B:$B,Atual!$E:$E),"OS concluída")</f>
        <v>REC</v>
      </c>
      <c r="J543" s="19">
        <f t="shared" si="1"/>
        <v>36</v>
      </c>
      <c r="K543" s="19"/>
      <c r="L543" s="19"/>
      <c r="M543" s="19"/>
      <c r="N543" s="19"/>
      <c r="O543" s="19"/>
      <c r="P543" s="48"/>
      <c r="Q543" s="49"/>
      <c r="R543" s="19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</row>
    <row r="544">
      <c r="A544" s="48"/>
      <c r="B544" s="47" t="s">
        <v>1270</v>
      </c>
      <c r="C544" s="48" t="str">
        <f t="array" ref="C544">IFERROR(_xlfn.XLOOKUP($B544,'Histórico'!$B:$B,'Histórico'!$I:$I),"")</f>
        <v>2643031-7</v>
      </c>
      <c r="D544" s="19" t="str">
        <f t="array" ref="D544">IFERROR(_xlfn.XLOOKUP($B544,'Histórico'!$B:$B,'Histórico'!$J:$J),"")</f>
        <v>7EK50</v>
      </c>
      <c r="E544" s="19" t="str">
        <f t="array" ref="E544">IFERROR(_xlfn.XLOOKUP($B544,'Histórico'!$B:$B,'Histórico'!$K:$K),"")</f>
        <v>FORK ASSY,NOSE GEAR SPRING</v>
      </c>
      <c r="F544" s="19" t="str">
        <f t="array" ref="F544">IFERROR(_xlfn.XLOOKUP($B544,'Histórico'!$B:$B,'Histórico'!$L:$L),"")</f>
        <v>659</v>
      </c>
      <c r="G544" s="49">
        <f t="array" ref="G544">IFERROR(_xlfn.XLOOKUP($B544,'Histórico'!$B:$B,'Histórico'!$F:$F),"")</f>
        <v>46274</v>
      </c>
      <c r="H544" s="19" t="str">
        <f t="array" ref="H544">IFERROR(_xlfn.XLOOKUP($B544,'Histórico'!$B:$B,'Histórico'!$AA:$AA),"")</f>
        <v>PAMALS</v>
      </c>
      <c r="I544" s="19" t="str">
        <f t="array" ref="I544">IFERROR(_xlfn.XLOOKUP($B544,Atual!$B:$B,Atual!$E:$E),"OS concluída")</f>
        <v>REC</v>
      </c>
      <c r="J544" s="19">
        <f t="shared" si="1"/>
        <v>36</v>
      </c>
      <c r="K544" s="19"/>
      <c r="L544" s="19"/>
      <c r="M544" s="19"/>
      <c r="N544" s="19"/>
      <c r="O544" s="19"/>
      <c r="P544" s="48"/>
      <c r="Q544" s="49"/>
      <c r="R544" s="19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</row>
    <row r="545">
      <c r="A545" s="48"/>
      <c r="B545" s="47" t="s">
        <v>1271</v>
      </c>
      <c r="C545" s="48" t="str">
        <f t="array" ref="C545">IFERROR(_xlfn.XLOOKUP($B545,'Histórico'!$B:$B,'Histórico'!$I:$I),"")</f>
        <v>2643099-4</v>
      </c>
      <c r="D545" s="19" t="str">
        <f t="array" ref="D545">IFERROR(_xlfn.XLOOKUP($B545,'Histórico'!$B:$B,'Histórico'!$J:$J),"")</f>
        <v>7EK50</v>
      </c>
      <c r="E545" s="19" t="str">
        <f t="array" ref="E545">IFERROR(_xlfn.XLOOKUP($B545,'Histórico'!$B:$B,'Histórico'!$K:$K),"")</f>
        <v>SUPPORT ASSY FOWARD, NLG SPRING</v>
      </c>
      <c r="F545" s="19" t="str">
        <f t="array" ref="F545">IFERROR(_xlfn.XLOOKUP($B545,'Histórico'!$B:$B,'Histórico'!$L:$L),"")</f>
        <v>961</v>
      </c>
      <c r="G545" s="49">
        <f t="array" ref="G545">IFERROR(_xlfn.XLOOKUP($B545,'Histórico'!$B:$B,'Histórico'!$F:$F),"")</f>
        <v>46274</v>
      </c>
      <c r="H545" s="19" t="str">
        <f t="array" ref="H545">IFERROR(_xlfn.XLOOKUP($B545,'Histórico'!$B:$B,'Histórico'!$AA:$AA),"")</f>
        <v>BABE</v>
      </c>
      <c r="I545" s="19" t="str">
        <f t="array" ref="I545">IFERROR(_xlfn.XLOOKUP($B545,Atual!$B:$B,Atual!$E:$E),"OS concluída")</f>
        <v>REC</v>
      </c>
      <c r="J545" s="19">
        <f t="shared" si="1"/>
        <v>36</v>
      </c>
      <c r="K545" s="19"/>
      <c r="L545" s="19"/>
      <c r="M545" s="19"/>
      <c r="N545" s="19"/>
      <c r="O545" s="19"/>
      <c r="P545" s="48"/>
      <c r="Q545" s="49"/>
      <c r="R545" s="19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</row>
    <row r="546">
      <c r="A546" s="48"/>
      <c r="B546" s="47" t="s">
        <v>1272</v>
      </c>
      <c r="C546" s="48" t="str">
        <f t="array" ref="C546">IFERROR(_xlfn.XLOOKUP($B546,'Histórico'!$B:$B,'Histórico'!$I:$I),"")</f>
        <v>2643099-4</v>
      </c>
      <c r="D546" s="19" t="str">
        <f t="array" ref="D546">IFERROR(_xlfn.XLOOKUP($B546,'Histórico'!$B:$B,'Histórico'!$J:$J),"")</f>
        <v>7EK50</v>
      </c>
      <c r="E546" s="19" t="str">
        <f t="array" ref="E546">IFERROR(_xlfn.XLOOKUP($B546,'Histórico'!$B:$B,'Histórico'!$K:$K),"")</f>
        <v>SUPPORT ASSY FOWARD, NLG SPRING</v>
      </c>
      <c r="F546" s="19" t="str">
        <f t="array" ref="F546">IFERROR(_xlfn.XLOOKUP($B546,'Histórico'!$B:$B,'Histórico'!$L:$L),"")</f>
        <v>5352</v>
      </c>
      <c r="G546" s="49">
        <f t="array" ref="G546">IFERROR(_xlfn.XLOOKUP($B546,'Histórico'!$B:$B,'Histórico'!$F:$F),"")</f>
        <v>46274</v>
      </c>
      <c r="H546" s="19" t="str">
        <f t="array" ref="H546">IFERROR(_xlfn.XLOOKUP($B546,'Histórico'!$B:$B,'Histórico'!$AA:$AA),"")</f>
        <v>PAMASP</v>
      </c>
      <c r="I546" s="19" t="str">
        <f t="array" ref="I546">IFERROR(_xlfn.XLOOKUP($B546,Atual!$B:$B,Atual!$E:$E),"OS concluída")</f>
        <v>REC</v>
      </c>
      <c r="J546" s="19">
        <f t="shared" si="1"/>
        <v>36</v>
      </c>
      <c r="K546" s="19"/>
      <c r="L546" s="19"/>
      <c r="M546" s="19"/>
      <c r="N546" s="19"/>
      <c r="O546" s="19"/>
      <c r="P546" s="48"/>
      <c r="Q546" s="49"/>
      <c r="R546" s="19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</row>
    <row r="547">
      <c r="A547" s="48"/>
      <c r="B547" s="47" t="s">
        <v>1273</v>
      </c>
      <c r="C547" s="48" t="str">
        <f t="array" ref="C547">IFERROR(_xlfn.XLOOKUP($B547,'Histórico'!$B:$B,'Histórico'!$I:$I),"")</f>
        <v>2643099-4</v>
      </c>
      <c r="D547" s="19" t="str">
        <f t="array" ref="D547">IFERROR(_xlfn.XLOOKUP($B547,'Histórico'!$B:$B,'Histórico'!$J:$J),"")</f>
        <v>7EK50</v>
      </c>
      <c r="E547" s="19" t="str">
        <f t="array" ref="E547">IFERROR(_xlfn.XLOOKUP($B547,'Histórico'!$B:$B,'Histórico'!$K:$K),"")</f>
        <v>SUPPORT ASSY FOWARD, NLG SPRING</v>
      </c>
      <c r="F547" s="19" t="str">
        <f t="array" ref="F547">IFERROR(_xlfn.XLOOKUP($B547,'Histórico'!$B:$B,'Histórico'!$L:$L),"")</f>
        <v>722</v>
      </c>
      <c r="G547" s="49">
        <f t="array" ref="G547">IFERROR(_xlfn.XLOOKUP($B547,'Histórico'!$B:$B,'Histórico'!$F:$F),"")</f>
        <v>46274</v>
      </c>
      <c r="H547" s="19" t="str">
        <f t="array" ref="H547">IFERROR(_xlfn.XLOOKUP($B547,'Histórico'!$B:$B,'Histórico'!$AA:$AA),"")</f>
        <v>PAMASP</v>
      </c>
      <c r="I547" s="19" t="str">
        <f t="array" ref="I547">IFERROR(_xlfn.XLOOKUP($B547,Atual!$B:$B,Atual!$E:$E),"OS concluída")</f>
        <v>REC</v>
      </c>
      <c r="J547" s="19">
        <f t="shared" si="1"/>
        <v>36</v>
      </c>
      <c r="K547" s="19"/>
      <c r="L547" s="19"/>
      <c r="M547" s="19"/>
      <c r="N547" s="19"/>
      <c r="O547" s="19"/>
      <c r="P547" s="48"/>
      <c r="Q547" s="49"/>
      <c r="R547" s="19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</row>
    <row r="548">
      <c r="A548" s="48"/>
      <c r="B548" s="47" t="s">
        <v>1274</v>
      </c>
      <c r="C548" s="48" t="str">
        <f t="array" ref="C548">IFERROR(_xlfn.XLOOKUP($B548,'Histórico'!$B:$B,'Histórico'!$I:$I),"")</f>
        <v>2643100-206</v>
      </c>
      <c r="D548" s="19" t="str">
        <f t="array" ref="D548">IFERROR(_xlfn.XLOOKUP($B548,'Histórico'!$B:$B,'Histórico'!$J:$J),"")</f>
        <v>7EK50</v>
      </c>
      <c r="E548" s="19" t="str">
        <f t="array" ref="E548">IFERROR(_xlfn.XLOOKUP($B548,'Histórico'!$B:$B,'Histórico'!$K:$K),"")</f>
        <v>NOSE GEAR STRUT ASSY - TALL FORK</v>
      </c>
      <c r="F548" s="19" t="str">
        <f t="array" ref="F548">IFERROR(_xlfn.XLOOKUP($B548,'Histórico'!$B:$B,'Histórico'!$L:$L),"")</f>
        <v>368</v>
      </c>
      <c r="G548" s="49">
        <f t="array" ref="G548">IFERROR(_xlfn.XLOOKUP($B548,'Histórico'!$B:$B,'Histórico'!$F:$F),"")</f>
        <v>46274</v>
      </c>
      <c r="H548" s="19" t="str">
        <f t="array" ref="H548">IFERROR(_xlfn.XLOOKUP($B548,'Histórico'!$B:$B,'Histórico'!$AA:$AA),"")</f>
        <v>BABE</v>
      </c>
      <c r="I548" s="19" t="str">
        <f t="array" ref="I548">IFERROR(_xlfn.XLOOKUP($B548,Atual!$B:$B,Atual!$E:$E),"OS concluída")</f>
        <v>REC</v>
      </c>
      <c r="J548" s="19">
        <f t="shared" si="1"/>
        <v>36</v>
      </c>
      <c r="K548" s="19"/>
      <c r="L548" s="19"/>
      <c r="M548" s="19"/>
      <c r="N548" s="19"/>
      <c r="O548" s="19"/>
      <c r="P548" s="48"/>
      <c r="Q548" s="49"/>
      <c r="R548" s="19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</row>
    <row r="549">
      <c r="A549" s="48"/>
      <c r="B549" s="47" t="s">
        <v>1275</v>
      </c>
      <c r="C549" s="48" t="str">
        <f t="array" ref="C549">IFERROR(_xlfn.XLOOKUP($B549,'Histórico'!$B:$B,'Histórico'!$I:$I),"")</f>
        <v>C661025-0101</v>
      </c>
      <c r="D549" s="19" t="str">
        <f t="array" ref="D549">IFERROR(_xlfn.XLOOKUP($B549,'Histórico'!$B:$B,'Histórico'!$J:$J),"")</f>
        <v>7EK50</v>
      </c>
      <c r="E549" s="19" t="str">
        <f t="array" ref="E549">IFERROR(_xlfn.XLOOKUP($B549,'Histórico'!$B:$B,'Histórico'!$K:$K),"")</f>
        <v>ALTIMETER (2P)</v>
      </c>
      <c r="F549" s="19" t="str">
        <f t="array" ref="F549">IFERROR(_xlfn.XLOOKUP($B549,'Histórico'!$B:$B,'Histórico'!$L:$L),"")</f>
        <v>409493</v>
      </c>
      <c r="G549" s="49">
        <f t="array" ref="G549">IFERROR(_xlfn.XLOOKUP($B549,'Histórico'!$B:$B,'Histórico'!$F:$F),"")</f>
        <v>46281</v>
      </c>
      <c r="H549" s="19" t="str">
        <f t="array" ref="H549">IFERROR(_xlfn.XLOOKUP($B549,'Histórico'!$B:$B,'Histórico'!$AA:$AA),"")</f>
        <v>BANT</v>
      </c>
      <c r="I549" s="19" t="str">
        <f t="array" ref="I549">IFERROR(_xlfn.XLOOKUP($B549,Atual!$B:$B,Atual!$E:$E),"OS concluída")</f>
        <v>REC</v>
      </c>
      <c r="J549" s="19">
        <f t="shared" si="1"/>
        <v>29</v>
      </c>
      <c r="K549" s="19"/>
      <c r="L549" s="19"/>
      <c r="M549" s="19"/>
      <c r="N549" s="19"/>
      <c r="O549" s="19"/>
      <c r="P549" s="48"/>
      <c r="Q549" s="49"/>
      <c r="R549" s="19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</row>
    <row r="550">
      <c r="A550" s="48"/>
      <c r="B550" s="47" t="s">
        <v>1276</v>
      </c>
      <c r="C550" s="48" t="str">
        <f t="array" ref="C550">IFERROR(_xlfn.XLOOKUP($B550,'Histórico'!$B:$B,'Histórico'!$I:$I),"")</f>
        <v>065-0065-01</v>
      </c>
      <c r="D550" s="19" t="str">
        <f t="array" ref="D550">IFERROR(_xlfn.XLOOKUP($B550,'Histórico'!$B:$B,'Histórico'!$J:$J),"")</f>
        <v>22373</v>
      </c>
      <c r="E550" s="19" t="str">
        <f t="array" ref="E550">IFERROR(_xlfn.XLOOKUP($B550,'Histórico'!$B:$B,'Histórico'!$K:$K),"")</f>
        <v>SELECTOR ALT</v>
      </c>
      <c r="F550" s="19" t="str">
        <f t="array" ref="F550">IFERROR(_xlfn.XLOOKUP($B550,'Histórico'!$B:$B,'Histórico'!$L:$L),"")</f>
        <v>21181</v>
      </c>
      <c r="G550" s="49">
        <f t="array" ref="G550">IFERROR(_xlfn.XLOOKUP($B550,'Histórico'!$B:$B,'Histórico'!$F:$F),"")</f>
        <v>46281</v>
      </c>
      <c r="H550" s="19" t="str">
        <f t="array" ref="H550">IFERROR(_xlfn.XLOOKUP($B550,'Histórico'!$B:$B,'Histórico'!$AA:$AA),"")</f>
        <v>CLA</v>
      </c>
      <c r="I550" s="19" t="str">
        <f t="array" ref="I550">IFERROR(_xlfn.XLOOKUP($B550,Atual!$B:$B,Atual!$E:$E),"OS concluída")</f>
        <v>REC</v>
      </c>
      <c r="J550" s="19">
        <f t="shared" si="1"/>
        <v>29</v>
      </c>
      <c r="K550" s="19"/>
      <c r="L550" s="19"/>
      <c r="M550" s="19"/>
      <c r="N550" s="19"/>
      <c r="O550" s="19"/>
      <c r="P550" s="48"/>
      <c r="Q550" s="49"/>
      <c r="R550" s="19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</row>
    <row r="551">
      <c r="A551" s="48"/>
      <c r="B551" s="47" t="s">
        <v>1277</v>
      </c>
      <c r="C551" s="48" t="str">
        <f t="array" ref="C551">IFERROR(_xlfn.XLOOKUP($B551,'Histórico'!$B:$B,'Histórico'!$I:$I),"")</f>
        <v>C662041-0102</v>
      </c>
      <c r="D551" s="19" t="str">
        <f t="array" ref="D551">IFERROR(_xlfn.XLOOKUP($B551,'Histórico'!$B:$B,'Histórico'!$J:$J),"")</f>
        <v>7EK50</v>
      </c>
      <c r="E551" s="19" t="str">
        <f t="array" ref="E551">IFERROR(_xlfn.XLOOKUP($B551,'Histórico'!$B:$B,'Histórico'!$K:$K),"")</f>
        <v>INDICATOR FUEL</v>
      </c>
      <c r="F551" s="19" t="str">
        <f t="array" ref="F551">IFERROR(_xlfn.XLOOKUP($B551,'Histórico'!$B:$B,'Histórico'!$L:$L),"")</f>
        <v>2135</v>
      </c>
      <c r="G551" s="49">
        <f t="array" ref="G551">IFERROR(_xlfn.XLOOKUP($B551,'Histórico'!$B:$B,'Histórico'!$F:$F),"")</f>
        <v>46281</v>
      </c>
      <c r="H551" s="19" t="str">
        <f t="array" ref="H551">IFERROR(_xlfn.XLOOKUP($B551,'Histórico'!$B:$B,'Histórico'!$AA:$AA),"")</f>
        <v>BABR</v>
      </c>
      <c r="I551" s="19" t="str">
        <f t="array" ref="I551">IFERROR(_xlfn.XLOOKUP($B551,Atual!$B:$B,Atual!$E:$E),"OS concluída")</f>
        <v>REC</v>
      </c>
      <c r="J551" s="19">
        <f t="shared" si="1"/>
        <v>29</v>
      </c>
      <c r="K551" s="19"/>
      <c r="L551" s="19"/>
      <c r="M551" s="19"/>
      <c r="N551" s="19"/>
      <c r="O551" s="19"/>
      <c r="P551" s="48"/>
      <c r="Q551" s="49"/>
      <c r="R551" s="19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</row>
    <row r="552">
      <c r="A552" s="48"/>
      <c r="B552" s="47" t="s">
        <v>1278</v>
      </c>
      <c r="C552" s="48" t="str">
        <f t="array" ref="C552">IFERROR(_xlfn.XLOOKUP($B552,'Histórico'!$B:$B,'Histórico'!$I:$I),"")</f>
        <v>C662041-0102</v>
      </c>
      <c r="D552" s="19" t="str">
        <f t="array" ref="D552">IFERROR(_xlfn.XLOOKUP($B552,'Histórico'!$B:$B,'Histórico'!$J:$J),"")</f>
        <v>7EK50</v>
      </c>
      <c r="E552" s="19" t="str">
        <f t="array" ref="E552">IFERROR(_xlfn.XLOOKUP($B552,'Histórico'!$B:$B,'Histórico'!$K:$K),"")</f>
        <v>INDICATOR FUEL</v>
      </c>
      <c r="F552" s="19" t="str">
        <f t="array" ref="F552">IFERROR(_xlfn.XLOOKUP($B552,'Histórico'!$B:$B,'Histórico'!$L:$L),"")</f>
        <v>3889</v>
      </c>
      <c r="G552" s="49">
        <f t="array" ref="G552">IFERROR(_xlfn.XLOOKUP($B552,'Histórico'!$B:$B,'Histórico'!$F:$F),"")</f>
        <v>46281</v>
      </c>
      <c r="H552" s="19" t="str">
        <f t="array" ref="H552">IFERROR(_xlfn.XLOOKUP($B552,'Histórico'!$B:$B,'Histórico'!$AA:$AA),"")</f>
        <v>BABR</v>
      </c>
      <c r="I552" s="19" t="str">
        <f t="array" ref="I552">IFERROR(_xlfn.XLOOKUP($B552,Atual!$B:$B,Atual!$E:$E),"OS concluída")</f>
        <v>REC</v>
      </c>
      <c r="J552" s="19">
        <f t="shared" si="1"/>
        <v>29</v>
      </c>
      <c r="K552" s="19"/>
      <c r="L552" s="19"/>
      <c r="M552" s="19"/>
      <c r="N552" s="19"/>
      <c r="O552" s="19"/>
      <c r="P552" s="48"/>
      <c r="Q552" s="49"/>
      <c r="R552" s="19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</row>
    <row r="553">
      <c r="A553" s="48"/>
      <c r="B553" s="47" t="s">
        <v>1279</v>
      </c>
      <c r="C553" s="48" t="str">
        <f t="array" ref="C553">IFERROR(_xlfn.XLOOKUP($B553,'Histórico'!$B:$B,'Histórico'!$I:$I),"")</f>
        <v>C662041-0102</v>
      </c>
      <c r="D553" s="19" t="str">
        <f t="array" ref="D553">IFERROR(_xlfn.XLOOKUP($B553,'Histórico'!$B:$B,'Histórico'!$J:$J),"")</f>
        <v>7EK50</v>
      </c>
      <c r="E553" s="19" t="str">
        <f t="array" ref="E553">IFERROR(_xlfn.XLOOKUP($B553,'Histórico'!$B:$B,'Histórico'!$K:$K),"")</f>
        <v>INDICATOR FUEL</v>
      </c>
      <c r="F553" s="19" t="str">
        <f t="array" ref="F553">IFERROR(_xlfn.XLOOKUP($B553,'Histórico'!$B:$B,'Histórico'!$L:$L),"")</f>
        <v>2590</v>
      </c>
      <c r="G553" s="49">
        <f t="array" ref="G553">IFERROR(_xlfn.XLOOKUP($B553,'Histórico'!$B:$B,'Histórico'!$F:$F),"")</f>
        <v>46281</v>
      </c>
      <c r="H553" s="19" t="str">
        <f t="array" ref="H553">IFERROR(_xlfn.XLOOKUP($B553,'Histórico'!$B:$B,'Histórico'!$AA:$AA),"")</f>
        <v>BABR</v>
      </c>
      <c r="I553" s="19" t="str">
        <f t="array" ref="I553">IFERROR(_xlfn.XLOOKUP($B553,Atual!$B:$B,Atual!$E:$E),"OS concluída")</f>
        <v>REC</v>
      </c>
      <c r="J553" s="19">
        <f t="shared" si="1"/>
        <v>29</v>
      </c>
      <c r="K553" s="19"/>
      <c r="L553" s="19"/>
      <c r="M553" s="19"/>
      <c r="N553" s="19"/>
      <c r="O553" s="19"/>
      <c r="P553" s="48"/>
      <c r="Q553" s="49"/>
      <c r="R553" s="19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</row>
    <row r="554">
      <c r="A554" s="48"/>
      <c r="B554" s="47" t="s">
        <v>1280</v>
      </c>
      <c r="C554" s="48" t="str">
        <f t="array" ref="C554">IFERROR(_xlfn.XLOOKUP($B554,'Histórico'!$B:$B,'Histórico'!$I:$I),"")</f>
        <v>060-0015-00</v>
      </c>
      <c r="D554" s="19" t="str">
        <f t="array" ref="D554">IFERROR(_xlfn.XLOOKUP($B554,'Histórico'!$B:$B,'Histórico'!$J:$J),"")</f>
        <v>22373</v>
      </c>
      <c r="E554" s="19" t="str">
        <f t="array" ref="E554">IFERROR(_xlfn.XLOOKUP($B554,'Histórico'!$B:$B,'Histórico'!$K:$K),"")</f>
        <v>CONTROL,DIRECTIONAL,AUTOMATIC PILOT</v>
      </c>
      <c r="F554" s="19" t="str">
        <f t="array" ref="F554">IFERROR(_xlfn.XLOOKUP($B554,'Histórico'!$B:$B,'Histórico'!$L:$L),"")</f>
        <v>30419</v>
      </c>
      <c r="G554" s="49">
        <f t="array" ref="G554">IFERROR(_xlfn.XLOOKUP($B554,'Histórico'!$B:$B,'Histórico'!$F:$F),"")</f>
        <v>46281</v>
      </c>
      <c r="H554" s="19" t="str">
        <f t="array" ref="H554">IFERROR(_xlfn.XLOOKUP($B554,'Histórico'!$B:$B,'Histórico'!$AA:$AA),"")</f>
        <v>PAMALS</v>
      </c>
      <c r="I554" s="19" t="str">
        <f t="array" ref="I554">IFERROR(_xlfn.XLOOKUP($B554,Atual!$B:$B,Atual!$E:$E),"OS concluída")</f>
        <v>REC</v>
      </c>
      <c r="J554" s="19">
        <f t="shared" si="1"/>
        <v>29</v>
      </c>
      <c r="K554" s="19"/>
      <c r="L554" s="19"/>
      <c r="M554" s="19"/>
      <c r="N554" s="19"/>
      <c r="O554" s="19"/>
      <c r="P554" s="48"/>
      <c r="Q554" s="49"/>
      <c r="R554" s="19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</row>
    <row r="555">
      <c r="A555" s="48"/>
      <c r="B555" s="47" t="s">
        <v>1281</v>
      </c>
      <c r="C555" s="48" t="str">
        <f t="array" ref="C555">IFERROR(_xlfn.XLOOKUP($B555,'Histórico'!$B:$B,'Histórico'!$I:$I),"")</f>
        <v>060-0015-00</v>
      </c>
      <c r="D555" s="19" t="str">
        <f t="array" ref="D555">IFERROR(_xlfn.XLOOKUP($B555,'Histórico'!$B:$B,'Histórico'!$J:$J),"")</f>
        <v>22373</v>
      </c>
      <c r="E555" s="19" t="str">
        <f t="array" ref="E555">IFERROR(_xlfn.XLOOKUP($B555,'Histórico'!$B:$B,'Histórico'!$K:$K),"")</f>
        <v>CONTROL,DIRECTIONAL,AUTOMATIC PILOT</v>
      </c>
      <c r="F555" s="19" t="str">
        <f t="array" ref="F555">IFERROR(_xlfn.XLOOKUP($B555,'Histórico'!$B:$B,'Histórico'!$L:$L),"")</f>
        <v>37709</v>
      </c>
      <c r="G555" s="49">
        <f t="array" ref="G555">IFERROR(_xlfn.XLOOKUP($B555,'Histórico'!$B:$B,'Histórico'!$F:$F),"")</f>
        <v>46281</v>
      </c>
      <c r="H555" s="19" t="str">
        <f t="array" ref="H555">IFERROR(_xlfn.XLOOKUP($B555,'Histórico'!$B:$B,'Histórico'!$AA:$AA),"")</f>
        <v>BABV</v>
      </c>
      <c r="I555" s="19" t="str">
        <f t="array" ref="I555">IFERROR(_xlfn.XLOOKUP($B555,Atual!$B:$B,Atual!$E:$E),"OS concluída")</f>
        <v>REC</v>
      </c>
      <c r="J555" s="19">
        <f t="shared" si="1"/>
        <v>29</v>
      </c>
      <c r="K555" s="19"/>
      <c r="L555" s="19"/>
      <c r="M555" s="19"/>
      <c r="N555" s="19"/>
      <c r="O555" s="19"/>
      <c r="P555" s="48"/>
      <c r="Q555" s="49"/>
      <c r="R555" s="19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</row>
    <row r="556">
      <c r="A556" s="48"/>
      <c r="B556" s="47" t="s">
        <v>1282</v>
      </c>
      <c r="C556" s="48" t="str">
        <f t="array" ref="C556">IFERROR(_xlfn.XLOOKUP($B556,'Histórico'!$B:$B,'Histórico'!$I:$I),"")</f>
        <v>065-0065-01</v>
      </c>
      <c r="D556" s="19" t="str">
        <f t="array" ref="D556">IFERROR(_xlfn.XLOOKUP($B556,'Histórico'!$B:$B,'Histórico'!$J:$J),"")</f>
        <v>22373</v>
      </c>
      <c r="E556" s="19" t="str">
        <f t="array" ref="E556">IFERROR(_xlfn.XLOOKUP($B556,'Histórico'!$B:$B,'Histórico'!$K:$K),"")</f>
        <v>SELECTOR ALT</v>
      </c>
      <c r="F556" s="19" t="str">
        <f t="array" ref="F556">IFERROR(_xlfn.XLOOKUP($B556,'Histórico'!$B:$B,'Histórico'!$L:$L),"")</f>
        <v>23094</v>
      </c>
      <c r="G556" s="49">
        <f t="array" ref="G556">IFERROR(_xlfn.XLOOKUP($B556,'Histórico'!$B:$B,'Histórico'!$F:$F),"")</f>
        <v>46281</v>
      </c>
      <c r="H556" s="19" t="str">
        <f t="array" ref="H556">IFERROR(_xlfn.XLOOKUP($B556,'Histórico'!$B:$B,'Histórico'!$AA:$AA),"")</f>
        <v>EEAR</v>
      </c>
      <c r="I556" s="19" t="str">
        <f t="array" ref="I556">IFERROR(_xlfn.XLOOKUP($B556,Atual!$B:$B,Atual!$E:$E),"OS concluída")</f>
        <v>REC</v>
      </c>
      <c r="J556" s="19">
        <f t="shared" si="1"/>
        <v>29</v>
      </c>
      <c r="K556" s="19"/>
      <c r="L556" s="19"/>
      <c r="M556" s="19"/>
      <c r="N556" s="19"/>
      <c r="O556" s="19"/>
      <c r="P556" s="48"/>
      <c r="Q556" s="49"/>
      <c r="R556" s="19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</row>
    <row r="557">
      <c r="A557" s="48"/>
      <c r="B557" s="47" t="s">
        <v>1283</v>
      </c>
      <c r="C557" s="48" t="str">
        <f t="array" ref="C557">IFERROR(_xlfn.XLOOKUP($B557,'Histórico'!$B:$B,'Histórico'!$I:$I),"")</f>
        <v>065-0065-01</v>
      </c>
      <c r="D557" s="19" t="str">
        <f t="array" ref="D557">IFERROR(_xlfn.XLOOKUP($B557,'Histórico'!$B:$B,'Histórico'!$J:$J),"")</f>
        <v>22373</v>
      </c>
      <c r="E557" s="19" t="str">
        <f t="array" ref="E557">IFERROR(_xlfn.XLOOKUP($B557,'Histórico'!$B:$B,'Histórico'!$K:$K),"")</f>
        <v>SELECTOR ALT</v>
      </c>
      <c r="F557" s="19" t="str">
        <f t="array" ref="F557">IFERROR(_xlfn.XLOOKUP($B557,'Histórico'!$B:$B,'Histórico'!$L:$L),"")</f>
        <v>KAS297B-A23222</v>
      </c>
      <c r="G557" s="49">
        <f t="array" ref="G557">IFERROR(_xlfn.XLOOKUP($B557,'Histórico'!$B:$B,'Histórico'!$F:$F),"")</f>
        <v>46281</v>
      </c>
      <c r="H557" s="19" t="str">
        <f t="array" ref="H557">IFERROR(_xlfn.XLOOKUP($B557,'Histórico'!$B:$B,'Histórico'!$AA:$AA),"")</f>
        <v>BANT</v>
      </c>
      <c r="I557" s="19" t="str">
        <f t="array" ref="I557">IFERROR(_xlfn.XLOOKUP($B557,Atual!$B:$B,Atual!$E:$E),"OS concluída")</f>
        <v>REC</v>
      </c>
      <c r="J557" s="19">
        <f t="shared" si="1"/>
        <v>29</v>
      </c>
      <c r="K557" s="19"/>
      <c r="L557" s="19"/>
      <c r="M557" s="19"/>
      <c r="N557" s="19"/>
      <c r="O557" s="19"/>
      <c r="P557" s="48"/>
      <c r="Q557" s="49"/>
      <c r="R557" s="19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</row>
    <row r="558">
      <c r="A558" s="48"/>
      <c r="B558" s="47" t="s">
        <v>1284</v>
      </c>
      <c r="C558" s="48" t="str">
        <f t="array" ref="C558">IFERROR(_xlfn.XLOOKUP($B558,'Histórico'!$B:$B,'Histórico'!$I:$I),"")</f>
        <v>060-0015-00</v>
      </c>
      <c r="D558" s="19" t="str">
        <f t="array" ref="D558">IFERROR(_xlfn.XLOOKUP($B558,'Histórico'!$B:$B,'Histórico'!$J:$J),"")</f>
        <v>22373</v>
      </c>
      <c r="E558" s="19" t="str">
        <f t="array" ref="E558">IFERROR(_xlfn.XLOOKUP($B558,'Histórico'!$B:$B,'Histórico'!$K:$K),"")</f>
        <v>CONTROL,DIRECTIONAL,AUTOMATIC PILOT</v>
      </c>
      <c r="F558" s="19" t="str">
        <f t="array" ref="F558">IFERROR(_xlfn.XLOOKUP($B558,'Histórico'!$B:$B,'Histórico'!$L:$L),"")</f>
        <v>16798</v>
      </c>
      <c r="G558" s="49">
        <f t="array" ref="G558">IFERROR(_xlfn.XLOOKUP($B558,'Histórico'!$B:$B,'Histórico'!$F:$F),"")</f>
        <v>46281</v>
      </c>
      <c r="H558" s="19" t="str">
        <f t="array" ref="H558">IFERROR(_xlfn.XLOOKUP($B558,'Histórico'!$B:$B,'Histórico'!$AA:$AA),"")</f>
        <v>PAMASP</v>
      </c>
      <c r="I558" s="19" t="str">
        <f t="array" ref="I558">IFERROR(_xlfn.XLOOKUP($B558,Atual!$B:$B,Atual!$E:$E),"OS concluída")</f>
        <v>REC</v>
      </c>
      <c r="J558" s="19">
        <f t="shared" si="1"/>
        <v>29</v>
      </c>
      <c r="K558" s="19"/>
      <c r="L558" s="19"/>
      <c r="M558" s="19"/>
      <c r="N558" s="19"/>
      <c r="O558" s="19"/>
      <c r="P558" s="48"/>
      <c r="Q558" s="49"/>
      <c r="R558" s="19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</row>
    <row r="559">
      <c r="A559" s="48"/>
      <c r="B559" s="47" t="s">
        <v>1285</v>
      </c>
      <c r="C559" s="48" t="str">
        <f t="array" ref="C559">IFERROR(_xlfn.XLOOKUP($B559,'Histórico'!$B:$B,'Histórico'!$I:$I),"")</f>
        <v>066-3046-07</v>
      </c>
      <c r="D559" s="19" t="str">
        <f t="array" ref="D559">IFERROR(_xlfn.XLOOKUP($B559,'Histórico'!$B:$B,'Histórico'!$J:$J),"")</f>
        <v>22373</v>
      </c>
      <c r="E559" s="19" t="str">
        <f t="array" ref="E559">IFERROR(_xlfn.XLOOKUP($B559,'Histórico'!$B:$B,'Histórico'!$K:$K),"")</f>
        <v>CONTROL,INDICATOR</v>
      </c>
      <c r="F559" s="19" t="str">
        <f t="array" ref="F559">IFERROR(_xlfn.XLOOKUP($B559,'Histórico'!$B:$B,'Histórico'!$L:$L),"")</f>
        <v>84300</v>
      </c>
      <c r="G559" s="49">
        <f t="array" ref="G559">IFERROR(_xlfn.XLOOKUP($B559,'Histórico'!$B:$B,'Histórico'!$F:$F),"")</f>
        <v>46281</v>
      </c>
      <c r="H559" s="19" t="str">
        <f t="array" ref="H559">IFERROR(_xlfn.XLOOKUP($B559,'Histórico'!$B:$B,'Histórico'!$AA:$AA),"")</f>
        <v>BANT</v>
      </c>
      <c r="I559" s="19" t="str">
        <f t="array" ref="I559">IFERROR(_xlfn.XLOOKUP($B559,Atual!$B:$B,Atual!$E:$E),"OS concluída")</f>
        <v>REC</v>
      </c>
      <c r="J559" s="19">
        <f t="shared" si="1"/>
        <v>29</v>
      </c>
      <c r="K559" s="19"/>
      <c r="L559" s="19"/>
      <c r="M559" s="19"/>
      <c r="N559" s="19"/>
      <c r="O559" s="19"/>
      <c r="P559" s="48"/>
      <c r="Q559" s="49"/>
      <c r="R559" s="19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</row>
    <row r="560">
      <c r="A560" s="48"/>
      <c r="B560" s="47" t="s">
        <v>1286</v>
      </c>
      <c r="C560" s="48" t="str">
        <f t="array" ref="C560">IFERROR(_xlfn.XLOOKUP($B560,'Histórico'!$B:$B,'Histórico'!$I:$I),"")</f>
        <v>D210507</v>
      </c>
      <c r="D560" s="19" t="str">
        <f t="array" ref="D560">IFERROR(_xlfn.XLOOKUP($B560,'Histórico'!$B:$B,'Histórico'!$J:$J),"")</f>
        <v>66503</v>
      </c>
      <c r="E560" s="19" t="str">
        <f t="array" ref="E560">IFERROR(_xlfn.XLOOKUP($B560,'Histórico'!$B:$B,'Histórico'!$K:$K),"")</f>
        <v>GOVERNOR,OVERSPEED</v>
      </c>
      <c r="F560" s="19" t="str">
        <f t="array" ref="F560">IFERROR(_xlfn.XLOOKUP($B560,'Histórico'!$B:$B,'Histórico'!$L:$L),"")</f>
        <v>16206310W</v>
      </c>
      <c r="G560" s="49">
        <f t="array" ref="G560">IFERROR(_xlfn.XLOOKUP($B560,'Histórico'!$B:$B,'Histórico'!$F:$F),"")</f>
        <v>46288</v>
      </c>
      <c r="H560" s="19" t="str">
        <f t="array" ref="H560">IFERROR(_xlfn.XLOOKUP($B560,'Histórico'!$B:$B,'Histórico'!$AA:$AA),"")</f>
        <v>PAMALS</v>
      </c>
      <c r="I560" s="19" t="str">
        <f t="array" ref="I560">IFERROR(_xlfn.XLOOKUP($B560,Atual!$B:$B,Atual!$E:$E),"OS concluída")</f>
        <v>REC</v>
      </c>
      <c r="J560" s="19">
        <f t="shared" si="1"/>
        <v>22</v>
      </c>
      <c r="K560" s="19"/>
      <c r="L560" s="19"/>
      <c r="M560" s="19"/>
      <c r="N560" s="19"/>
      <c r="O560" s="19"/>
      <c r="P560" s="48"/>
      <c r="Q560" s="49"/>
      <c r="R560" s="19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</row>
    <row r="561">
      <c r="A561" s="48"/>
      <c r="B561" s="47" t="s">
        <v>1287</v>
      </c>
      <c r="C561" s="48" t="str">
        <f t="array" ref="C561">IFERROR(_xlfn.XLOOKUP($B561,'Histórico'!$B:$B,'Histórico'!$I:$I),"")</f>
        <v>D210507</v>
      </c>
      <c r="D561" s="19" t="str">
        <f t="array" ref="D561">IFERROR(_xlfn.XLOOKUP($B561,'Histórico'!$B:$B,'Histórico'!$J:$J),"")</f>
        <v>66503</v>
      </c>
      <c r="E561" s="19" t="str">
        <f t="array" ref="E561">IFERROR(_xlfn.XLOOKUP($B561,'Histórico'!$B:$B,'Histórico'!$K:$K),"")</f>
        <v>GOVERNOR,OVERSPEED</v>
      </c>
      <c r="F561" s="19" t="str">
        <f t="array" ref="F561">IFERROR(_xlfn.XLOOKUP($B561,'Histórico'!$B:$B,'Histórico'!$L:$L),"")</f>
        <v>17252785</v>
      </c>
      <c r="G561" s="49">
        <f t="array" ref="G561">IFERROR(_xlfn.XLOOKUP($B561,'Histórico'!$B:$B,'Histórico'!$F:$F),"")</f>
        <v>46288</v>
      </c>
      <c r="H561" s="19" t="str">
        <f t="array" ref="H561">IFERROR(_xlfn.XLOOKUP($B561,'Histórico'!$B:$B,'Histórico'!$AA:$AA),"")</f>
        <v>BANT</v>
      </c>
      <c r="I561" s="19" t="str">
        <f t="array" ref="I561">IFERROR(_xlfn.XLOOKUP($B561,Atual!$B:$B,Atual!$E:$E),"OS concluída")</f>
        <v>REC</v>
      </c>
      <c r="J561" s="19">
        <f t="shared" si="1"/>
        <v>22</v>
      </c>
      <c r="K561" s="19"/>
      <c r="L561" s="19"/>
      <c r="M561" s="19"/>
      <c r="N561" s="19"/>
      <c r="O561" s="19"/>
      <c r="P561" s="48"/>
      <c r="Q561" s="49"/>
      <c r="R561" s="19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</row>
    <row r="562">
      <c r="A562" s="48"/>
      <c r="B562" s="48"/>
      <c r="C562" s="48"/>
      <c r="D562" s="19"/>
      <c r="E562" s="19"/>
      <c r="F562" s="52"/>
      <c r="G562" s="19"/>
      <c r="H562" s="19"/>
      <c r="I562" s="19"/>
      <c r="J562" s="19"/>
      <c r="K562" s="19"/>
      <c r="L562" s="19"/>
      <c r="M562" s="19"/>
      <c r="N562" s="19"/>
      <c r="O562" s="19"/>
      <c r="P562" s="48"/>
      <c r="Q562" s="49"/>
      <c r="R562" s="19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</row>
    <row r="563">
      <c r="A563" s="48"/>
      <c r="B563" s="48"/>
      <c r="C563" s="48"/>
      <c r="D563" s="19"/>
      <c r="E563" s="19"/>
      <c r="F563" s="52"/>
      <c r="G563" s="19"/>
      <c r="H563" s="19"/>
      <c r="I563" s="19"/>
      <c r="J563" s="19"/>
      <c r="K563" s="19"/>
      <c r="L563" s="19"/>
      <c r="M563" s="19"/>
      <c r="N563" s="19"/>
      <c r="O563" s="19"/>
      <c r="P563" s="48"/>
      <c r="Q563" s="49"/>
      <c r="R563" s="19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</row>
    <row r="564">
      <c r="A564" s="48"/>
      <c r="B564" s="48"/>
      <c r="C564" s="48"/>
      <c r="D564" s="19"/>
      <c r="E564" s="19"/>
      <c r="F564" s="52"/>
      <c r="G564" s="19"/>
      <c r="H564" s="19"/>
      <c r="I564" s="19"/>
      <c r="J564" s="19"/>
      <c r="K564" s="19"/>
      <c r="L564" s="19"/>
      <c r="M564" s="19"/>
      <c r="N564" s="19"/>
      <c r="O564" s="19"/>
      <c r="P564" s="48"/>
      <c r="Q564" s="49"/>
      <c r="R564" s="19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</row>
    <row r="565">
      <c r="A565" s="48"/>
      <c r="B565" s="48"/>
      <c r="C565" s="48"/>
      <c r="D565" s="19"/>
      <c r="E565" s="19"/>
      <c r="F565" s="52"/>
      <c r="G565" s="19"/>
      <c r="H565" s="19"/>
      <c r="I565" s="19"/>
      <c r="J565" s="19"/>
      <c r="K565" s="19"/>
      <c r="L565" s="19"/>
      <c r="M565" s="19"/>
      <c r="N565" s="19"/>
      <c r="O565" s="19"/>
      <c r="P565" s="48"/>
      <c r="Q565" s="49"/>
      <c r="R565" s="19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</row>
    <row r="566">
      <c r="A566" s="48"/>
      <c r="B566" s="48"/>
      <c r="C566" s="48"/>
      <c r="D566" s="19"/>
      <c r="E566" s="19"/>
      <c r="F566" s="52"/>
      <c r="G566" s="19"/>
      <c r="H566" s="19"/>
      <c r="I566" s="19"/>
      <c r="J566" s="19"/>
      <c r="K566" s="19"/>
      <c r="L566" s="19"/>
      <c r="M566" s="19"/>
      <c r="N566" s="19"/>
      <c r="O566" s="19"/>
      <c r="P566" s="48"/>
      <c r="Q566" s="49"/>
      <c r="R566" s="19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</row>
    <row r="567">
      <c r="A567" s="48"/>
      <c r="B567" s="48"/>
      <c r="C567" s="48"/>
      <c r="D567" s="19"/>
      <c r="E567" s="19"/>
      <c r="F567" s="52"/>
      <c r="G567" s="19"/>
      <c r="H567" s="19"/>
      <c r="I567" s="19"/>
      <c r="J567" s="19"/>
      <c r="K567" s="19"/>
      <c r="L567" s="19"/>
      <c r="M567" s="19"/>
      <c r="N567" s="19"/>
      <c r="O567" s="19"/>
      <c r="P567" s="48"/>
      <c r="Q567" s="49"/>
      <c r="R567" s="19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</row>
    <row r="568">
      <c r="A568" s="48"/>
      <c r="B568" s="48"/>
      <c r="C568" s="48"/>
      <c r="D568" s="19"/>
      <c r="E568" s="19"/>
      <c r="F568" s="52"/>
      <c r="G568" s="19"/>
      <c r="H568" s="19"/>
      <c r="I568" s="19"/>
      <c r="J568" s="19"/>
      <c r="K568" s="19"/>
      <c r="L568" s="19"/>
      <c r="M568" s="19"/>
      <c r="N568" s="19"/>
      <c r="O568" s="19"/>
      <c r="P568" s="48"/>
      <c r="Q568" s="49"/>
      <c r="R568" s="19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</row>
    <row r="569">
      <c r="A569" s="48"/>
      <c r="B569" s="48"/>
      <c r="C569" s="48"/>
      <c r="D569" s="19"/>
      <c r="E569" s="19"/>
      <c r="F569" s="52"/>
      <c r="G569" s="19"/>
      <c r="H569" s="19"/>
      <c r="I569" s="19"/>
      <c r="J569" s="19"/>
      <c r="K569" s="19"/>
      <c r="L569" s="19"/>
      <c r="M569" s="19"/>
      <c r="N569" s="19"/>
      <c r="O569" s="19"/>
      <c r="P569" s="48"/>
      <c r="Q569" s="49"/>
      <c r="R569" s="19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</row>
    <row r="570">
      <c r="A570" s="48"/>
      <c r="B570" s="48"/>
      <c r="C570" s="48"/>
      <c r="D570" s="19"/>
      <c r="E570" s="19"/>
      <c r="F570" s="52"/>
      <c r="G570" s="19"/>
      <c r="H570" s="19"/>
      <c r="I570" s="19"/>
      <c r="J570" s="19"/>
      <c r="K570" s="19"/>
      <c r="L570" s="19"/>
      <c r="M570" s="19"/>
      <c r="N570" s="19"/>
      <c r="O570" s="19"/>
      <c r="P570" s="48"/>
      <c r="Q570" s="49"/>
      <c r="R570" s="19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</row>
    <row r="571">
      <c r="A571" s="48"/>
      <c r="B571" s="48"/>
      <c r="C571" s="48"/>
      <c r="D571" s="19"/>
      <c r="E571" s="19"/>
      <c r="F571" s="52"/>
      <c r="G571" s="19"/>
      <c r="H571" s="19"/>
      <c r="I571" s="19"/>
      <c r="J571" s="19"/>
      <c r="K571" s="19"/>
      <c r="L571" s="19"/>
      <c r="M571" s="19"/>
      <c r="N571" s="19"/>
      <c r="O571" s="19"/>
      <c r="P571" s="48"/>
      <c r="Q571" s="49"/>
      <c r="R571" s="19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</row>
    <row r="572">
      <c r="A572" s="48"/>
      <c r="B572" s="48"/>
      <c r="C572" s="48"/>
      <c r="D572" s="19"/>
      <c r="E572" s="19"/>
      <c r="F572" s="52"/>
      <c r="G572" s="19"/>
      <c r="H572" s="19"/>
      <c r="I572" s="19"/>
      <c r="J572" s="19"/>
      <c r="K572" s="19"/>
      <c r="L572" s="19"/>
      <c r="M572" s="19"/>
      <c r="N572" s="19"/>
      <c r="O572" s="19"/>
      <c r="P572" s="48"/>
      <c r="Q572" s="49"/>
      <c r="R572" s="19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</row>
    <row r="573">
      <c r="A573" s="48"/>
      <c r="B573" s="48"/>
      <c r="C573" s="48"/>
      <c r="D573" s="19"/>
      <c r="E573" s="19"/>
      <c r="F573" s="52"/>
      <c r="G573" s="19"/>
      <c r="H573" s="19"/>
      <c r="I573" s="19"/>
      <c r="J573" s="19"/>
      <c r="K573" s="19"/>
      <c r="L573" s="19"/>
      <c r="M573" s="19"/>
      <c r="N573" s="19"/>
      <c r="O573" s="19"/>
      <c r="P573" s="48"/>
      <c r="Q573" s="49"/>
      <c r="R573" s="19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</row>
    <row r="574">
      <c r="A574" s="48"/>
      <c r="B574" s="48"/>
      <c r="C574" s="48"/>
      <c r="D574" s="19"/>
      <c r="E574" s="19"/>
      <c r="F574" s="52"/>
      <c r="G574" s="19"/>
      <c r="H574" s="19"/>
      <c r="I574" s="19"/>
      <c r="J574" s="19"/>
      <c r="K574" s="19"/>
      <c r="L574" s="19"/>
      <c r="M574" s="19"/>
      <c r="N574" s="19"/>
      <c r="O574" s="19"/>
      <c r="P574" s="48"/>
      <c r="Q574" s="49"/>
      <c r="R574" s="19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</row>
    <row r="575">
      <c r="A575" s="48"/>
      <c r="B575" s="48"/>
      <c r="C575" s="48"/>
      <c r="D575" s="19"/>
      <c r="E575" s="19"/>
      <c r="F575" s="52"/>
      <c r="G575" s="19"/>
      <c r="H575" s="19"/>
      <c r="I575" s="19"/>
      <c r="J575" s="19"/>
      <c r="K575" s="19"/>
      <c r="L575" s="19"/>
      <c r="M575" s="19"/>
      <c r="N575" s="19"/>
      <c r="O575" s="19"/>
      <c r="P575" s="48"/>
      <c r="Q575" s="49"/>
      <c r="R575" s="19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</row>
    <row r="576">
      <c r="A576" s="48"/>
      <c r="B576" s="48"/>
      <c r="C576" s="48"/>
      <c r="D576" s="19"/>
      <c r="E576" s="19"/>
      <c r="F576" s="52"/>
      <c r="G576" s="19"/>
      <c r="H576" s="19"/>
      <c r="I576" s="19"/>
      <c r="J576" s="19"/>
      <c r="K576" s="19"/>
      <c r="L576" s="19"/>
      <c r="M576" s="19"/>
      <c r="N576" s="19"/>
      <c r="O576" s="19"/>
      <c r="P576" s="48"/>
      <c r="Q576" s="49"/>
      <c r="R576" s="19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</row>
    <row r="577">
      <c r="A577" s="48"/>
      <c r="B577" s="48"/>
      <c r="C577" s="48"/>
      <c r="D577" s="19"/>
      <c r="E577" s="19"/>
      <c r="F577" s="52"/>
      <c r="G577" s="19"/>
      <c r="H577" s="19"/>
      <c r="I577" s="19"/>
      <c r="J577" s="19"/>
      <c r="K577" s="19"/>
      <c r="L577" s="19"/>
      <c r="M577" s="19"/>
      <c r="N577" s="19"/>
      <c r="O577" s="19"/>
      <c r="P577" s="48"/>
      <c r="Q577" s="49"/>
      <c r="R577" s="19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</row>
    <row r="578">
      <c r="A578" s="48"/>
      <c r="B578" s="48"/>
      <c r="C578" s="48"/>
      <c r="D578" s="19"/>
      <c r="E578" s="19"/>
      <c r="F578" s="52"/>
      <c r="G578" s="19"/>
      <c r="H578" s="19"/>
      <c r="I578" s="19"/>
      <c r="J578" s="19"/>
      <c r="K578" s="19"/>
      <c r="L578" s="19"/>
      <c r="M578" s="19"/>
      <c r="N578" s="19"/>
      <c r="O578" s="19"/>
      <c r="P578" s="48"/>
      <c r="Q578" s="49"/>
      <c r="R578" s="19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</row>
    <row r="579">
      <c r="A579" s="48"/>
      <c r="B579" s="48"/>
      <c r="C579" s="48"/>
      <c r="D579" s="19"/>
      <c r="E579" s="19"/>
      <c r="F579" s="52"/>
      <c r="G579" s="19"/>
      <c r="H579" s="19"/>
      <c r="I579" s="19"/>
      <c r="J579" s="19"/>
      <c r="K579" s="19"/>
      <c r="L579" s="19"/>
      <c r="M579" s="19"/>
      <c r="N579" s="19"/>
      <c r="O579" s="19"/>
      <c r="P579" s="48"/>
      <c r="Q579" s="49"/>
      <c r="R579" s="19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</row>
    <row r="580">
      <c r="A580" s="48"/>
      <c r="B580" s="48"/>
      <c r="C580" s="48"/>
      <c r="D580" s="19"/>
      <c r="E580" s="19"/>
      <c r="F580" s="52"/>
      <c r="G580" s="19"/>
      <c r="H580" s="19"/>
      <c r="I580" s="19"/>
      <c r="J580" s="19"/>
      <c r="K580" s="19"/>
      <c r="L580" s="19"/>
      <c r="M580" s="19"/>
      <c r="N580" s="19"/>
      <c r="O580" s="19"/>
      <c r="P580" s="48"/>
      <c r="Q580" s="49"/>
      <c r="R580" s="19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</row>
    <row r="581">
      <c r="A581" s="48"/>
      <c r="B581" s="48"/>
      <c r="C581" s="48"/>
      <c r="D581" s="19"/>
      <c r="E581" s="19"/>
      <c r="F581" s="52"/>
      <c r="G581" s="19"/>
      <c r="H581" s="19"/>
      <c r="I581" s="19"/>
      <c r="J581" s="19"/>
      <c r="K581" s="19"/>
      <c r="L581" s="19"/>
      <c r="M581" s="19"/>
      <c r="N581" s="19"/>
      <c r="O581" s="19"/>
      <c r="P581" s="48"/>
      <c r="Q581" s="49"/>
      <c r="R581" s="19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</row>
    <row r="582">
      <c r="A582" s="48"/>
      <c r="B582" s="48"/>
      <c r="C582" s="48"/>
      <c r="D582" s="19"/>
      <c r="E582" s="19"/>
      <c r="F582" s="52"/>
      <c r="G582" s="19"/>
      <c r="H582" s="19"/>
      <c r="I582" s="19"/>
      <c r="J582" s="19"/>
      <c r="K582" s="19"/>
      <c r="L582" s="19"/>
      <c r="M582" s="19"/>
      <c r="N582" s="19"/>
      <c r="O582" s="19"/>
      <c r="P582" s="48"/>
      <c r="Q582" s="49"/>
      <c r="R582" s="19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</row>
    <row r="583">
      <c r="A583" s="48"/>
      <c r="B583" s="48"/>
      <c r="C583" s="48"/>
      <c r="D583" s="19"/>
      <c r="E583" s="19"/>
      <c r="F583" s="52"/>
      <c r="G583" s="19"/>
      <c r="H583" s="19"/>
      <c r="I583" s="19"/>
      <c r="J583" s="19"/>
      <c r="K583" s="19"/>
      <c r="L583" s="19"/>
      <c r="M583" s="19"/>
      <c r="N583" s="19"/>
      <c r="O583" s="19"/>
      <c r="P583" s="48"/>
      <c r="Q583" s="49"/>
      <c r="R583" s="19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</row>
    <row r="584">
      <c r="A584" s="48"/>
      <c r="B584" s="48"/>
      <c r="C584" s="48"/>
      <c r="D584" s="19"/>
      <c r="E584" s="19"/>
      <c r="F584" s="52"/>
      <c r="G584" s="19"/>
      <c r="H584" s="19"/>
      <c r="I584" s="19"/>
      <c r="J584" s="19"/>
      <c r="K584" s="19"/>
      <c r="L584" s="19"/>
      <c r="M584" s="19"/>
      <c r="N584" s="19"/>
      <c r="O584" s="19"/>
      <c r="P584" s="48"/>
      <c r="Q584" s="49"/>
      <c r="R584" s="19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</row>
    <row r="585">
      <c r="A585" s="48"/>
      <c r="B585" s="48"/>
      <c r="C585" s="48"/>
      <c r="D585" s="19"/>
      <c r="E585" s="19"/>
      <c r="F585" s="52"/>
      <c r="G585" s="19"/>
      <c r="H585" s="19"/>
      <c r="I585" s="19"/>
      <c r="J585" s="19"/>
      <c r="K585" s="19"/>
      <c r="L585" s="19"/>
      <c r="M585" s="19"/>
      <c r="N585" s="19"/>
      <c r="O585" s="19"/>
      <c r="P585" s="48"/>
      <c r="Q585" s="49"/>
      <c r="R585" s="19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</row>
    <row r="586">
      <c r="A586" s="48"/>
      <c r="B586" s="48"/>
      <c r="C586" s="48"/>
      <c r="D586" s="19"/>
      <c r="E586" s="19"/>
      <c r="F586" s="52"/>
      <c r="G586" s="19"/>
      <c r="H586" s="19"/>
      <c r="I586" s="19"/>
      <c r="J586" s="19"/>
      <c r="K586" s="19"/>
      <c r="L586" s="19"/>
      <c r="M586" s="19"/>
      <c r="N586" s="19"/>
      <c r="O586" s="19"/>
      <c r="P586" s="48"/>
      <c r="Q586" s="49"/>
      <c r="R586" s="19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</row>
    <row r="587">
      <c r="A587" s="48"/>
      <c r="B587" s="48"/>
      <c r="C587" s="48"/>
      <c r="D587" s="19"/>
      <c r="E587" s="19"/>
      <c r="F587" s="52"/>
      <c r="G587" s="19"/>
      <c r="H587" s="19"/>
      <c r="I587" s="19"/>
      <c r="J587" s="19"/>
      <c r="K587" s="19"/>
      <c r="L587" s="19"/>
      <c r="M587" s="19"/>
      <c r="N587" s="19"/>
      <c r="O587" s="19"/>
      <c r="P587" s="48"/>
      <c r="Q587" s="49"/>
      <c r="R587" s="19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</row>
    <row r="588">
      <c r="A588" s="48"/>
      <c r="B588" s="48"/>
      <c r="C588" s="48"/>
      <c r="D588" s="19"/>
      <c r="E588" s="19"/>
      <c r="F588" s="52"/>
      <c r="G588" s="19"/>
      <c r="H588" s="19"/>
      <c r="I588" s="19"/>
      <c r="J588" s="19"/>
      <c r="K588" s="19"/>
      <c r="L588" s="19"/>
      <c r="M588" s="19"/>
      <c r="N588" s="19"/>
      <c r="O588" s="19"/>
      <c r="P588" s="48"/>
      <c r="Q588" s="49"/>
      <c r="R588" s="19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</row>
    <row r="589">
      <c r="A589" s="48"/>
      <c r="B589" s="48"/>
      <c r="C589" s="48"/>
      <c r="D589" s="19"/>
      <c r="E589" s="19"/>
      <c r="F589" s="52"/>
      <c r="G589" s="19"/>
      <c r="H589" s="19"/>
      <c r="I589" s="19"/>
      <c r="J589" s="19"/>
      <c r="K589" s="19"/>
      <c r="L589" s="19"/>
      <c r="M589" s="19"/>
      <c r="N589" s="19"/>
      <c r="O589" s="19"/>
      <c r="P589" s="48"/>
      <c r="Q589" s="49"/>
      <c r="R589" s="19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</row>
    <row r="590">
      <c r="A590" s="48"/>
      <c r="B590" s="48"/>
      <c r="C590" s="48"/>
      <c r="D590" s="19"/>
      <c r="E590" s="19"/>
      <c r="F590" s="52"/>
      <c r="G590" s="19"/>
      <c r="H590" s="19"/>
      <c r="I590" s="19"/>
      <c r="J590" s="19"/>
      <c r="K590" s="19"/>
      <c r="L590" s="19"/>
      <c r="M590" s="19"/>
      <c r="N590" s="19"/>
      <c r="O590" s="19"/>
      <c r="P590" s="48"/>
      <c r="Q590" s="49"/>
      <c r="R590" s="19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</row>
    <row r="591">
      <c r="A591" s="48"/>
      <c r="B591" s="48"/>
      <c r="C591" s="48"/>
      <c r="D591" s="19"/>
      <c r="E591" s="19"/>
      <c r="F591" s="52"/>
      <c r="G591" s="19"/>
      <c r="H591" s="19"/>
      <c r="I591" s="19"/>
      <c r="J591" s="19"/>
      <c r="K591" s="19"/>
      <c r="L591" s="19"/>
      <c r="M591" s="19"/>
      <c r="N591" s="19"/>
      <c r="O591" s="19"/>
      <c r="P591" s="48"/>
      <c r="Q591" s="49"/>
      <c r="R591" s="19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</row>
    <row r="592">
      <c r="A592" s="48"/>
      <c r="B592" s="48"/>
      <c r="C592" s="48"/>
      <c r="D592" s="19"/>
      <c r="E592" s="19"/>
      <c r="F592" s="52"/>
      <c r="G592" s="19"/>
      <c r="H592" s="19"/>
      <c r="I592" s="19"/>
      <c r="J592" s="19"/>
      <c r="K592" s="19"/>
      <c r="L592" s="19"/>
      <c r="M592" s="19"/>
      <c r="N592" s="19"/>
      <c r="O592" s="19"/>
      <c r="P592" s="48"/>
      <c r="Q592" s="49"/>
      <c r="R592" s="19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</row>
    <row r="593">
      <c r="A593" s="48"/>
      <c r="B593" s="48"/>
      <c r="C593" s="48"/>
      <c r="D593" s="19"/>
      <c r="E593" s="19"/>
      <c r="F593" s="52"/>
      <c r="G593" s="19"/>
      <c r="H593" s="19"/>
      <c r="I593" s="19"/>
      <c r="J593" s="19"/>
      <c r="K593" s="19"/>
      <c r="L593" s="19"/>
      <c r="M593" s="19"/>
      <c r="N593" s="19"/>
      <c r="O593" s="19"/>
      <c r="P593" s="48"/>
      <c r="Q593" s="49"/>
      <c r="R593" s="19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</row>
    <row r="594">
      <c r="A594" s="48"/>
      <c r="B594" s="48"/>
      <c r="C594" s="48"/>
      <c r="D594" s="19"/>
      <c r="E594" s="19"/>
      <c r="F594" s="52"/>
      <c r="G594" s="19"/>
      <c r="H594" s="19"/>
      <c r="I594" s="19"/>
      <c r="J594" s="19"/>
      <c r="K594" s="19"/>
      <c r="L594" s="19"/>
      <c r="M594" s="19"/>
      <c r="N594" s="19"/>
      <c r="O594" s="19"/>
      <c r="P594" s="48"/>
      <c r="Q594" s="49"/>
      <c r="R594" s="19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</row>
    <row r="595">
      <c r="A595" s="48"/>
      <c r="B595" s="48"/>
      <c r="C595" s="48"/>
      <c r="D595" s="19"/>
      <c r="E595" s="19"/>
      <c r="F595" s="52"/>
      <c r="G595" s="19"/>
      <c r="H595" s="19"/>
      <c r="I595" s="19"/>
      <c r="J595" s="19"/>
      <c r="K595" s="19"/>
      <c r="L595" s="19"/>
      <c r="M595" s="19"/>
      <c r="N595" s="19"/>
      <c r="O595" s="19"/>
      <c r="P595" s="48"/>
      <c r="Q595" s="49"/>
      <c r="R595" s="19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</row>
    <row r="596">
      <c r="A596" s="48"/>
      <c r="B596" s="48"/>
      <c r="C596" s="48"/>
      <c r="D596" s="19"/>
      <c r="E596" s="19"/>
      <c r="F596" s="52"/>
      <c r="G596" s="19"/>
      <c r="H596" s="19"/>
      <c r="I596" s="19"/>
      <c r="J596" s="19"/>
      <c r="K596" s="19"/>
      <c r="L596" s="19"/>
      <c r="M596" s="19"/>
      <c r="N596" s="19"/>
      <c r="O596" s="19"/>
      <c r="P596" s="48"/>
      <c r="Q596" s="49"/>
      <c r="R596" s="19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</row>
    <row r="597">
      <c r="A597" s="48"/>
      <c r="B597" s="48"/>
      <c r="C597" s="48"/>
      <c r="D597" s="19"/>
      <c r="E597" s="19"/>
      <c r="F597" s="52"/>
      <c r="G597" s="19"/>
      <c r="H597" s="19"/>
      <c r="I597" s="19"/>
      <c r="J597" s="19"/>
      <c r="K597" s="19"/>
      <c r="L597" s="19"/>
      <c r="M597" s="19"/>
      <c r="N597" s="19"/>
      <c r="O597" s="19"/>
      <c r="P597" s="48"/>
      <c r="Q597" s="49"/>
      <c r="R597" s="19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</row>
    <row r="598">
      <c r="A598" s="48"/>
      <c r="B598" s="48"/>
      <c r="C598" s="48"/>
      <c r="D598" s="19"/>
      <c r="E598" s="19"/>
      <c r="F598" s="52"/>
      <c r="G598" s="19"/>
      <c r="H598" s="19"/>
      <c r="I598" s="19"/>
      <c r="J598" s="19"/>
      <c r="K598" s="19"/>
      <c r="L598" s="19"/>
      <c r="M598" s="19"/>
      <c r="N598" s="19"/>
      <c r="O598" s="19"/>
      <c r="P598" s="48"/>
      <c r="Q598" s="49"/>
      <c r="R598" s="19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</row>
    <row r="599">
      <c r="A599" s="48"/>
      <c r="B599" s="48"/>
      <c r="C599" s="48"/>
      <c r="D599" s="19"/>
      <c r="E599" s="19"/>
      <c r="F599" s="52"/>
      <c r="G599" s="19"/>
      <c r="H599" s="19"/>
      <c r="I599" s="19"/>
      <c r="J599" s="19"/>
      <c r="K599" s="19"/>
      <c r="L599" s="19"/>
      <c r="M599" s="19"/>
      <c r="N599" s="19"/>
      <c r="O599" s="19"/>
      <c r="P599" s="48"/>
      <c r="Q599" s="49"/>
      <c r="R599" s="19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</row>
    <row r="600">
      <c r="A600" s="48"/>
      <c r="B600" s="48"/>
      <c r="C600" s="48"/>
      <c r="D600" s="19"/>
      <c r="E600" s="19"/>
      <c r="F600" s="52"/>
      <c r="G600" s="19"/>
      <c r="H600" s="19"/>
      <c r="I600" s="19"/>
      <c r="J600" s="19"/>
      <c r="K600" s="19"/>
      <c r="L600" s="19"/>
      <c r="M600" s="19"/>
      <c r="N600" s="19"/>
      <c r="O600" s="19"/>
      <c r="P600" s="48"/>
      <c r="Q600" s="49"/>
      <c r="R600" s="19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</row>
    <row r="601">
      <c r="A601" s="48"/>
      <c r="B601" s="48"/>
      <c r="C601" s="48"/>
      <c r="D601" s="19"/>
      <c r="E601" s="19"/>
      <c r="F601" s="52"/>
      <c r="G601" s="19"/>
      <c r="H601" s="19"/>
      <c r="I601" s="19"/>
      <c r="J601" s="19"/>
      <c r="K601" s="19"/>
      <c r="L601" s="19"/>
      <c r="M601" s="19"/>
      <c r="N601" s="19"/>
      <c r="O601" s="19"/>
      <c r="P601" s="48"/>
      <c r="Q601" s="49"/>
      <c r="R601" s="19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</row>
    <row r="602">
      <c r="A602" s="48"/>
      <c r="B602" s="48"/>
      <c r="C602" s="48"/>
      <c r="D602" s="19"/>
      <c r="E602" s="19"/>
      <c r="F602" s="52"/>
      <c r="G602" s="19"/>
      <c r="H602" s="19"/>
      <c r="I602" s="19"/>
      <c r="J602" s="19"/>
      <c r="K602" s="19"/>
      <c r="L602" s="19"/>
      <c r="M602" s="19"/>
      <c r="N602" s="19"/>
      <c r="O602" s="19"/>
      <c r="P602" s="48"/>
      <c r="Q602" s="49"/>
      <c r="R602" s="19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</row>
    <row r="603">
      <c r="A603" s="48"/>
      <c r="B603" s="48"/>
      <c r="C603" s="48"/>
      <c r="D603" s="19"/>
      <c r="E603" s="19"/>
      <c r="F603" s="52"/>
      <c r="G603" s="19"/>
      <c r="H603" s="19"/>
      <c r="I603" s="19"/>
      <c r="J603" s="19"/>
      <c r="K603" s="19"/>
      <c r="L603" s="19"/>
      <c r="M603" s="19"/>
      <c r="N603" s="19"/>
      <c r="O603" s="19"/>
      <c r="P603" s="48"/>
      <c r="Q603" s="49"/>
      <c r="R603" s="19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</row>
    <row r="604">
      <c r="A604" s="48"/>
      <c r="B604" s="48"/>
      <c r="C604" s="48"/>
      <c r="D604" s="19"/>
      <c r="E604" s="19"/>
      <c r="F604" s="52"/>
      <c r="G604" s="19"/>
      <c r="H604" s="19"/>
      <c r="I604" s="19"/>
      <c r="J604" s="19"/>
      <c r="K604" s="19"/>
      <c r="L604" s="19"/>
      <c r="M604" s="19"/>
      <c r="N604" s="19"/>
      <c r="O604" s="19"/>
      <c r="P604" s="48"/>
      <c r="Q604" s="49"/>
      <c r="R604" s="19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</row>
    <row r="605">
      <c r="A605" s="48"/>
      <c r="B605" s="48"/>
      <c r="C605" s="48"/>
      <c r="D605" s="19"/>
      <c r="E605" s="19"/>
      <c r="F605" s="52"/>
      <c r="G605" s="19"/>
      <c r="H605" s="19"/>
      <c r="I605" s="19"/>
      <c r="J605" s="19"/>
      <c r="K605" s="19"/>
      <c r="L605" s="19"/>
      <c r="M605" s="19"/>
      <c r="N605" s="19"/>
      <c r="O605" s="19"/>
      <c r="P605" s="48"/>
      <c r="Q605" s="49"/>
      <c r="R605" s="19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</row>
    <row r="606">
      <c r="A606" s="48"/>
      <c r="B606" s="48"/>
      <c r="C606" s="48"/>
      <c r="D606" s="19"/>
      <c r="E606" s="19"/>
      <c r="F606" s="52"/>
      <c r="G606" s="19"/>
      <c r="H606" s="19"/>
      <c r="I606" s="19"/>
      <c r="J606" s="19"/>
      <c r="K606" s="19"/>
      <c r="L606" s="19"/>
      <c r="M606" s="19"/>
      <c r="N606" s="19"/>
      <c r="O606" s="19"/>
      <c r="P606" s="48"/>
      <c r="Q606" s="49"/>
      <c r="R606" s="19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</row>
    <row r="607">
      <c r="A607" s="48"/>
      <c r="B607" s="48"/>
      <c r="C607" s="48"/>
      <c r="D607" s="19"/>
      <c r="E607" s="19"/>
      <c r="F607" s="52"/>
      <c r="G607" s="19"/>
      <c r="H607" s="19"/>
      <c r="I607" s="19"/>
      <c r="J607" s="19"/>
      <c r="K607" s="19"/>
      <c r="L607" s="19"/>
      <c r="M607" s="19"/>
      <c r="N607" s="19"/>
      <c r="O607" s="19"/>
      <c r="P607" s="48"/>
      <c r="Q607" s="49"/>
      <c r="R607" s="19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</row>
    <row r="608">
      <c r="A608" s="48"/>
      <c r="B608" s="48"/>
      <c r="C608" s="48"/>
      <c r="D608" s="19"/>
      <c r="E608" s="19"/>
      <c r="F608" s="52"/>
      <c r="G608" s="19"/>
      <c r="H608" s="19"/>
      <c r="I608" s="19"/>
      <c r="J608" s="19"/>
      <c r="K608" s="19"/>
      <c r="L608" s="19"/>
      <c r="M608" s="19"/>
      <c r="N608" s="19"/>
      <c r="O608" s="19"/>
      <c r="P608" s="48"/>
      <c r="Q608" s="49"/>
      <c r="R608" s="19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</row>
    <row r="609">
      <c r="A609" s="48"/>
      <c r="B609" s="48"/>
      <c r="C609" s="48"/>
      <c r="D609" s="19"/>
      <c r="E609" s="19"/>
      <c r="F609" s="52"/>
      <c r="G609" s="19"/>
      <c r="H609" s="19"/>
      <c r="I609" s="19"/>
      <c r="J609" s="19"/>
      <c r="K609" s="19"/>
      <c r="L609" s="19"/>
      <c r="M609" s="19"/>
      <c r="N609" s="19"/>
      <c r="O609" s="19"/>
      <c r="P609" s="48"/>
      <c r="Q609" s="49"/>
      <c r="R609" s="19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</row>
    <row r="610">
      <c r="A610" s="48"/>
      <c r="B610" s="48"/>
      <c r="C610" s="48"/>
      <c r="D610" s="19"/>
      <c r="E610" s="19"/>
      <c r="F610" s="52"/>
      <c r="G610" s="19"/>
      <c r="H610" s="19"/>
      <c r="I610" s="19"/>
      <c r="J610" s="19"/>
      <c r="K610" s="19"/>
      <c r="L610" s="19"/>
      <c r="M610" s="19"/>
      <c r="N610" s="19"/>
      <c r="O610" s="19"/>
      <c r="P610" s="48"/>
      <c r="Q610" s="49"/>
      <c r="R610" s="19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</row>
    <row r="611">
      <c r="A611" s="48"/>
      <c r="B611" s="48"/>
      <c r="C611" s="48"/>
      <c r="D611" s="19"/>
      <c r="E611" s="19"/>
      <c r="F611" s="52"/>
      <c r="G611" s="19"/>
      <c r="H611" s="19"/>
      <c r="I611" s="19"/>
      <c r="J611" s="19"/>
      <c r="K611" s="19"/>
      <c r="L611" s="19"/>
      <c r="M611" s="19"/>
      <c r="N611" s="19"/>
      <c r="O611" s="19"/>
      <c r="P611" s="48"/>
      <c r="Q611" s="49"/>
      <c r="R611" s="19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</row>
    <row r="612">
      <c r="A612" s="48"/>
      <c r="B612" s="48"/>
      <c r="C612" s="48"/>
      <c r="D612" s="19"/>
      <c r="E612" s="19"/>
      <c r="F612" s="52"/>
      <c r="G612" s="19"/>
      <c r="H612" s="19"/>
      <c r="I612" s="19"/>
      <c r="J612" s="19"/>
      <c r="K612" s="19"/>
      <c r="L612" s="19"/>
      <c r="M612" s="19"/>
      <c r="N612" s="19"/>
      <c r="O612" s="19"/>
      <c r="P612" s="48"/>
      <c r="Q612" s="49"/>
      <c r="R612" s="19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</row>
    <row r="613">
      <c r="A613" s="48"/>
      <c r="B613" s="48"/>
      <c r="C613" s="48"/>
      <c r="D613" s="19"/>
      <c r="E613" s="19"/>
      <c r="F613" s="52"/>
      <c r="G613" s="19"/>
      <c r="H613" s="19"/>
      <c r="I613" s="19"/>
      <c r="J613" s="19"/>
      <c r="K613" s="19"/>
      <c r="L613" s="19"/>
      <c r="M613" s="19"/>
      <c r="N613" s="19"/>
      <c r="O613" s="19"/>
      <c r="P613" s="48"/>
      <c r="Q613" s="49"/>
      <c r="R613" s="19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</row>
    <row r="614">
      <c r="A614" s="48"/>
      <c r="B614" s="48"/>
      <c r="C614" s="48"/>
      <c r="D614" s="19"/>
      <c r="E614" s="19"/>
      <c r="F614" s="52"/>
      <c r="G614" s="19"/>
      <c r="H614" s="19"/>
      <c r="I614" s="19"/>
      <c r="J614" s="19"/>
      <c r="K614" s="19"/>
      <c r="L614" s="19"/>
      <c r="M614" s="19"/>
      <c r="N614" s="19"/>
      <c r="O614" s="19"/>
      <c r="P614" s="48"/>
      <c r="Q614" s="49"/>
      <c r="R614" s="19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</row>
    <row r="615">
      <c r="A615" s="48"/>
      <c r="B615" s="48"/>
      <c r="C615" s="48"/>
      <c r="D615" s="19"/>
      <c r="E615" s="19"/>
      <c r="F615" s="52"/>
      <c r="G615" s="19"/>
      <c r="H615" s="19"/>
      <c r="I615" s="19"/>
      <c r="J615" s="19"/>
      <c r="K615" s="19"/>
      <c r="L615" s="19"/>
      <c r="M615" s="19"/>
      <c r="N615" s="19"/>
      <c r="O615" s="19"/>
      <c r="P615" s="48"/>
      <c r="Q615" s="49"/>
      <c r="R615" s="19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</row>
    <row r="616">
      <c r="A616" s="48"/>
      <c r="B616" s="48"/>
      <c r="C616" s="48"/>
      <c r="D616" s="19"/>
      <c r="E616" s="19"/>
      <c r="F616" s="52"/>
      <c r="G616" s="19"/>
      <c r="H616" s="19"/>
      <c r="I616" s="19"/>
      <c r="J616" s="19"/>
      <c r="K616" s="19"/>
      <c r="L616" s="19"/>
      <c r="M616" s="19"/>
      <c r="N616" s="19"/>
      <c r="O616" s="19"/>
      <c r="P616" s="48"/>
      <c r="Q616" s="49"/>
      <c r="R616" s="19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</row>
    <row r="617">
      <c r="A617" s="48"/>
      <c r="B617" s="48"/>
      <c r="C617" s="48"/>
      <c r="D617" s="19"/>
      <c r="E617" s="19"/>
      <c r="F617" s="52"/>
      <c r="G617" s="19"/>
      <c r="H617" s="19"/>
      <c r="I617" s="19"/>
      <c r="J617" s="19"/>
      <c r="K617" s="19"/>
      <c r="L617" s="19"/>
      <c r="M617" s="19"/>
      <c r="N617" s="19"/>
      <c r="O617" s="19"/>
      <c r="P617" s="48"/>
      <c r="Q617" s="49"/>
      <c r="R617" s="19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</row>
    <row r="618">
      <c r="A618" s="48"/>
      <c r="B618" s="48"/>
      <c r="C618" s="48"/>
      <c r="D618" s="19"/>
      <c r="E618" s="19"/>
      <c r="F618" s="52"/>
      <c r="G618" s="19"/>
      <c r="H618" s="19"/>
      <c r="I618" s="19"/>
      <c r="J618" s="19"/>
      <c r="K618" s="19"/>
      <c r="L618" s="19"/>
      <c r="M618" s="19"/>
      <c r="N618" s="19"/>
      <c r="O618" s="19"/>
      <c r="P618" s="48"/>
      <c r="Q618" s="49"/>
      <c r="R618" s="19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</row>
    <row r="619">
      <c r="A619" s="48"/>
      <c r="B619" s="48"/>
      <c r="C619" s="48"/>
      <c r="D619" s="19"/>
      <c r="E619" s="19"/>
      <c r="F619" s="52"/>
      <c r="G619" s="19"/>
      <c r="H619" s="19"/>
      <c r="I619" s="19"/>
      <c r="J619" s="19"/>
      <c r="K619" s="19"/>
      <c r="L619" s="19"/>
      <c r="M619" s="19"/>
      <c r="N619" s="19"/>
      <c r="O619" s="19"/>
      <c r="P619" s="48"/>
      <c r="Q619" s="49"/>
      <c r="R619" s="19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</row>
    <row r="620">
      <c r="A620" s="48"/>
      <c r="B620" s="48"/>
      <c r="C620" s="48"/>
      <c r="D620" s="19"/>
      <c r="E620" s="19"/>
      <c r="F620" s="52"/>
      <c r="G620" s="19"/>
      <c r="H620" s="19"/>
      <c r="I620" s="19"/>
      <c r="J620" s="19"/>
      <c r="K620" s="19"/>
      <c r="L620" s="19"/>
      <c r="M620" s="19"/>
      <c r="N620" s="19"/>
      <c r="O620" s="19"/>
      <c r="P620" s="48"/>
      <c r="Q620" s="49"/>
      <c r="R620" s="19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</row>
    <row r="621">
      <c r="A621" s="48"/>
      <c r="B621" s="48"/>
      <c r="C621" s="48"/>
      <c r="D621" s="19"/>
      <c r="E621" s="19"/>
      <c r="F621" s="52"/>
      <c r="G621" s="19"/>
      <c r="H621" s="19"/>
      <c r="I621" s="19"/>
      <c r="J621" s="19"/>
      <c r="K621" s="19"/>
      <c r="L621" s="19"/>
      <c r="M621" s="19"/>
      <c r="N621" s="19"/>
      <c r="O621" s="19"/>
      <c r="P621" s="48"/>
      <c r="Q621" s="49"/>
      <c r="R621" s="19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</row>
    <row r="622">
      <c r="A622" s="48"/>
      <c r="B622" s="48"/>
      <c r="C622" s="48"/>
      <c r="D622" s="19"/>
      <c r="E622" s="19"/>
      <c r="F622" s="52"/>
      <c r="G622" s="19"/>
      <c r="H622" s="19"/>
      <c r="I622" s="19"/>
      <c r="J622" s="19"/>
      <c r="K622" s="19"/>
      <c r="L622" s="19"/>
      <c r="M622" s="19"/>
      <c r="N622" s="19"/>
      <c r="O622" s="19"/>
      <c r="P622" s="48"/>
      <c r="Q622" s="49"/>
      <c r="R622" s="19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</row>
    <row r="623">
      <c r="A623" s="48"/>
      <c r="B623" s="48"/>
      <c r="C623" s="48"/>
      <c r="D623" s="19"/>
      <c r="E623" s="19"/>
      <c r="F623" s="52"/>
      <c r="G623" s="19"/>
      <c r="H623" s="19"/>
      <c r="I623" s="19"/>
      <c r="J623" s="19"/>
      <c r="K623" s="19"/>
      <c r="L623" s="19"/>
      <c r="M623" s="19"/>
      <c r="N623" s="19"/>
      <c r="O623" s="19"/>
      <c r="P623" s="48"/>
      <c r="Q623" s="49"/>
      <c r="R623" s="19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</row>
    <row r="624">
      <c r="A624" s="48"/>
      <c r="B624" s="48"/>
      <c r="C624" s="48"/>
      <c r="D624" s="19"/>
      <c r="E624" s="19"/>
      <c r="F624" s="52"/>
      <c r="G624" s="19"/>
      <c r="H624" s="19"/>
      <c r="I624" s="19"/>
      <c r="J624" s="19"/>
      <c r="K624" s="19"/>
      <c r="L624" s="19"/>
      <c r="M624" s="19"/>
      <c r="N624" s="19"/>
      <c r="O624" s="19"/>
      <c r="P624" s="48"/>
      <c r="Q624" s="49"/>
      <c r="R624" s="19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</row>
    <row r="625">
      <c r="A625" s="48"/>
      <c r="B625" s="48"/>
      <c r="C625" s="48"/>
      <c r="D625" s="19"/>
      <c r="E625" s="19"/>
      <c r="F625" s="52"/>
      <c r="G625" s="19"/>
      <c r="H625" s="19"/>
      <c r="I625" s="19"/>
      <c r="J625" s="19"/>
      <c r="K625" s="19"/>
      <c r="L625" s="19"/>
      <c r="M625" s="19"/>
      <c r="N625" s="19"/>
      <c r="O625" s="19"/>
      <c r="P625" s="48"/>
      <c r="Q625" s="49"/>
      <c r="R625" s="19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</row>
    <row r="626">
      <c r="A626" s="48"/>
      <c r="B626" s="48"/>
      <c r="C626" s="48"/>
      <c r="D626" s="19"/>
      <c r="E626" s="19"/>
      <c r="F626" s="52"/>
      <c r="G626" s="19"/>
      <c r="H626" s="19"/>
      <c r="I626" s="19"/>
      <c r="J626" s="19"/>
      <c r="K626" s="19"/>
      <c r="L626" s="19"/>
      <c r="M626" s="19"/>
      <c r="N626" s="19"/>
      <c r="O626" s="19"/>
      <c r="P626" s="48"/>
      <c r="Q626" s="49"/>
      <c r="R626" s="19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</row>
    <row r="627">
      <c r="A627" s="48"/>
      <c r="B627" s="48"/>
      <c r="C627" s="48"/>
      <c r="D627" s="19"/>
      <c r="E627" s="19"/>
      <c r="F627" s="52"/>
      <c r="G627" s="19"/>
      <c r="H627" s="19"/>
      <c r="I627" s="19"/>
      <c r="J627" s="19"/>
      <c r="K627" s="19"/>
      <c r="L627" s="19"/>
      <c r="M627" s="19"/>
      <c r="N627" s="19"/>
      <c r="O627" s="19"/>
      <c r="P627" s="48"/>
      <c r="Q627" s="49"/>
      <c r="R627" s="19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</row>
    <row r="628">
      <c r="A628" s="48"/>
      <c r="B628" s="48"/>
      <c r="C628" s="48"/>
      <c r="D628" s="19"/>
      <c r="E628" s="19"/>
      <c r="F628" s="52"/>
      <c r="G628" s="19"/>
      <c r="H628" s="19"/>
      <c r="I628" s="19"/>
      <c r="J628" s="19"/>
      <c r="K628" s="19"/>
      <c r="L628" s="19"/>
      <c r="M628" s="19"/>
      <c r="N628" s="19"/>
      <c r="O628" s="19"/>
      <c r="P628" s="48"/>
      <c r="Q628" s="49"/>
      <c r="R628" s="19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</row>
    <row r="629">
      <c r="A629" s="48"/>
      <c r="B629" s="48"/>
      <c r="C629" s="48"/>
      <c r="D629" s="19"/>
      <c r="E629" s="19"/>
      <c r="F629" s="52"/>
      <c r="G629" s="19"/>
      <c r="H629" s="19"/>
      <c r="I629" s="19"/>
      <c r="J629" s="19"/>
      <c r="K629" s="19"/>
      <c r="L629" s="19"/>
      <c r="M629" s="19"/>
      <c r="N629" s="19"/>
      <c r="O629" s="19"/>
      <c r="P629" s="48"/>
      <c r="Q629" s="49"/>
      <c r="R629" s="19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</row>
    <row r="630">
      <c r="A630" s="48"/>
      <c r="B630" s="48"/>
      <c r="C630" s="48"/>
      <c r="D630" s="19"/>
      <c r="E630" s="19"/>
      <c r="F630" s="52"/>
      <c r="G630" s="19"/>
      <c r="H630" s="19"/>
      <c r="I630" s="19"/>
      <c r="J630" s="19"/>
      <c r="K630" s="19"/>
      <c r="L630" s="19"/>
      <c r="M630" s="19"/>
      <c r="N630" s="19"/>
      <c r="O630" s="19"/>
      <c r="P630" s="48"/>
      <c r="Q630" s="49"/>
      <c r="R630" s="19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</row>
    <row r="631">
      <c r="A631" s="48"/>
      <c r="B631" s="48"/>
      <c r="C631" s="48"/>
      <c r="D631" s="19"/>
      <c r="E631" s="19"/>
      <c r="F631" s="52"/>
      <c r="G631" s="19"/>
      <c r="H631" s="19"/>
      <c r="I631" s="19"/>
      <c r="J631" s="19"/>
      <c r="K631" s="19"/>
      <c r="L631" s="19"/>
      <c r="M631" s="19"/>
      <c r="N631" s="19"/>
      <c r="O631" s="19"/>
      <c r="P631" s="48"/>
      <c r="Q631" s="49"/>
      <c r="R631" s="19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</row>
    <row r="632">
      <c r="A632" s="48"/>
      <c r="B632" s="48"/>
      <c r="C632" s="48"/>
      <c r="D632" s="19"/>
      <c r="E632" s="19"/>
      <c r="F632" s="52"/>
      <c r="G632" s="19"/>
      <c r="H632" s="19"/>
      <c r="I632" s="19"/>
      <c r="J632" s="19"/>
      <c r="K632" s="19"/>
      <c r="L632" s="19"/>
      <c r="M632" s="19"/>
      <c r="N632" s="19"/>
      <c r="O632" s="19"/>
      <c r="P632" s="48"/>
      <c r="Q632" s="49"/>
      <c r="R632" s="19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</row>
    <row r="633">
      <c r="A633" s="48"/>
      <c r="B633" s="48"/>
      <c r="C633" s="48"/>
      <c r="D633" s="19"/>
      <c r="E633" s="19"/>
      <c r="F633" s="52"/>
      <c r="G633" s="19"/>
      <c r="H633" s="19"/>
      <c r="I633" s="19"/>
      <c r="J633" s="19"/>
      <c r="K633" s="19"/>
      <c r="L633" s="19"/>
      <c r="M633" s="19"/>
      <c r="N633" s="19"/>
      <c r="O633" s="19"/>
      <c r="P633" s="48"/>
      <c r="Q633" s="49"/>
      <c r="R633" s="19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</row>
    <row r="634">
      <c r="A634" s="48"/>
      <c r="B634" s="48"/>
      <c r="C634" s="48"/>
      <c r="D634" s="19"/>
      <c r="E634" s="19"/>
      <c r="F634" s="52"/>
      <c r="G634" s="19"/>
      <c r="H634" s="19"/>
      <c r="I634" s="19"/>
      <c r="J634" s="19"/>
      <c r="K634" s="19"/>
      <c r="L634" s="19"/>
      <c r="M634" s="19"/>
      <c r="N634" s="19"/>
      <c r="O634" s="19"/>
      <c r="P634" s="48"/>
      <c r="Q634" s="49"/>
      <c r="R634" s="19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</row>
    <row r="635">
      <c r="A635" s="48"/>
      <c r="B635" s="48"/>
      <c r="C635" s="48"/>
      <c r="D635" s="19"/>
      <c r="E635" s="19"/>
      <c r="F635" s="52"/>
      <c r="G635" s="19"/>
      <c r="H635" s="19"/>
      <c r="I635" s="19"/>
      <c r="J635" s="19"/>
      <c r="K635" s="19"/>
      <c r="L635" s="19"/>
      <c r="M635" s="19"/>
      <c r="N635" s="19"/>
      <c r="O635" s="19"/>
      <c r="P635" s="48"/>
      <c r="Q635" s="49"/>
      <c r="R635" s="19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</row>
    <row r="636">
      <c r="A636" s="48"/>
      <c r="B636" s="48"/>
      <c r="C636" s="48"/>
      <c r="D636" s="19"/>
      <c r="E636" s="19"/>
      <c r="F636" s="52"/>
      <c r="G636" s="19"/>
      <c r="H636" s="19"/>
      <c r="I636" s="19"/>
      <c r="J636" s="19"/>
      <c r="K636" s="19"/>
      <c r="L636" s="19"/>
      <c r="M636" s="19"/>
      <c r="N636" s="19"/>
      <c r="O636" s="19"/>
      <c r="P636" s="48"/>
      <c r="Q636" s="49"/>
      <c r="R636" s="19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</row>
    <row r="637">
      <c r="A637" s="48"/>
      <c r="B637" s="48"/>
      <c r="C637" s="48"/>
      <c r="D637" s="19"/>
      <c r="E637" s="19"/>
      <c r="F637" s="52"/>
      <c r="G637" s="19"/>
      <c r="H637" s="19"/>
      <c r="I637" s="19"/>
      <c r="J637" s="19"/>
      <c r="K637" s="19"/>
      <c r="L637" s="19"/>
      <c r="M637" s="19"/>
      <c r="N637" s="19"/>
      <c r="O637" s="19"/>
      <c r="P637" s="48"/>
      <c r="Q637" s="49"/>
      <c r="R637" s="19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</row>
    <row r="638">
      <c r="A638" s="48"/>
      <c r="B638" s="48"/>
      <c r="C638" s="48"/>
      <c r="D638" s="19"/>
      <c r="E638" s="19"/>
      <c r="F638" s="52"/>
      <c r="G638" s="19"/>
      <c r="H638" s="19"/>
      <c r="I638" s="19"/>
      <c r="J638" s="19"/>
      <c r="K638" s="19"/>
      <c r="L638" s="19"/>
      <c r="M638" s="19"/>
      <c r="N638" s="19"/>
      <c r="O638" s="19"/>
      <c r="P638" s="48"/>
      <c r="Q638" s="49"/>
      <c r="R638" s="19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</row>
    <row r="639">
      <c r="A639" s="48"/>
      <c r="B639" s="48"/>
      <c r="C639" s="48"/>
      <c r="D639" s="19"/>
      <c r="E639" s="19"/>
      <c r="F639" s="52"/>
      <c r="G639" s="19"/>
      <c r="H639" s="19"/>
      <c r="I639" s="19"/>
      <c r="J639" s="19"/>
      <c r="K639" s="19"/>
      <c r="L639" s="19"/>
      <c r="M639" s="19"/>
      <c r="N639" s="19"/>
      <c r="O639" s="19"/>
      <c r="P639" s="48"/>
      <c r="Q639" s="49"/>
      <c r="R639" s="19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</row>
    <row r="640">
      <c r="A640" s="48"/>
      <c r="B640" s="48"/>
      <c r="C640" s="48"/>
      <c r="D640" s="19"/>
      <c r="E640" s="19"/>
      <c r="F640" s="52"/>
      <c r="G640" s="19"/>
      <c r="H640" s="19"/>
      <c r="I640" s="19"/>
      <c r="J640" s="19"/>
      <c r="K640" s="19"/>
      <c r="L640" s="19"/>
      <c r="M640" s="19"/>
      <c r="N640" s="19"/>
      <c r="O640" s="19"/>
      <c r="P640" s="48"/>
      <c r="Q640" s="49"/>
      <c r="R640" s="19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</row>
    <row r="641">
      <c r="A641" s="48"/>
      <c r="B641" s="48"/>
      <c r="C641" s="48"/>
      <c r="D641" s="19"/>
      <c r="E641" s="19"/>
      <c r="F641" s="52"/>
      <c r="G641" s="19"/>
      <c r="H641" s="19"/>
      <c r="I641" s="19"/>
      <c r="J641" s="19"/>
      <c r="K641" s="19"/>
      <c r="L641" s="19"/>
      <c r="M641" s="19"/>
      <c r="N641" s="19"/>
      <c r="O641" s="19"/>
      <c r="P641" s="48"/>
      <c r="Q641" s="49"/>
      <c r="R641" s="19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</row>
    <row r="642">
      <c r="A642" s="48"/>
      <c r="B642" s="48"/>
      <c r="C642" s="48"/>
      <c r="D642" s="19"/>
      <c r="E642" s="19"/>
      <c r="F642" s="52"/>
      <c r="G642" s="19"/>
      <c r="H642" s="19"/>
      <c r="I642" s="19"/>
      <c r="J642" s="19"/>
      <c r="K642" s="19"/>
      <c r="L642" s="19"/>
      <c r="M642" s="19"/>
      <c r="N642" s="19"/>
      <c r="O642" s="19"/>
      <c r="P642" s="48"/>
      <c r="Q642" s="49"/>
      <c r="R642" s="19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</row>
    <row r="643">
      <c r="A643" s="48"/>
      <c r="B643" s="48"/>
      <c r="C643" s="48"/>
      <c r="D643" s="19"/>
      <c r="E643" s="19"/>
      <c r="F643" s="52"/>
      <c r="G643" s="19"/>
      <c r="H643" s="19"/>
      <c r="I643" s="19"/>
      <c r="J643" s="19"/>
      <c r="K643" s="19"/>
      <c r="L643" s="19"/>
      <c r="M643" s="19"/>
      <c r="N643" s="19"/>
      <c r="O643" s="19"/>
      <c r="P643" s="48"/>
      <c r="Q643" s="49"/>
      <c r="R643" s="19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</row>
    <row r="644">
      <c r="A644" s="48"/>
      <c r="B644" s="48"/>
      <c r="C644" s="48"/>
      <c r="D644" s="19"/>
      <c r="E644" s="19"/>
      <c r="F644" s="52"/>
      <c r="G644" s="19"/>
      <c r="H644" s="19"/>
      <c r="I644" s="19"/>
      <c r="J644" s="19"/>
      <c r="K644" s="19"/>
      <c r="L644" s="19"/>
      <c r="M644" s="19"/>
      <c r="N644" s="19"/>
      <c r="O644" s="19"/>
      <c r="P644" s="48"/>
      <c r="Q644" s="49"/>
      <c r="R644" s="19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</row>
    <row r="645">
      <c r="A645" s="48"/>
      <c r="B645" s="48"/>
      <c r="C645" s="48"/>
      <c r="D645" s="19"/>
      <c r="E645" s="19"/>
      <c r="F645" s="52"/>
      <c r="G645" s="19"/>
      <c r="H645" s="19"/>
      <c r="I645" s="19"/>
      <c r="J645" s="19"/>
      <c r="K645" s="19"/>
      <c r="L645" s="19"/>
      <c r="M645" s="19"/>
      <c r="N645" s="19"/>
      <c r="O645" s="19"/>
      <c r="P645" s="48"/>
      <c r="Q645" s="49"/>
      <c r="R645" s="19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</row>
    <row r="646">
      <c r="A646" s="48"/>
      <c r="B646" s="48"/>
      <c r="C646" s="48"/>
      <c r="D646" s="19"/>
      <c r="E646" s="19"/>
      <c r="F646" s="52"/>
      <c r="G646" s="19"/>
      <c r="H646" s="19"/>
      <c r="I646" s="19"/>
      <c r="J646" s="19"/>
      <c r="K646" s="19"/>
      <c r="L646" s="19"/>
      <c r="M646" s="19"/>
      <c r="N646" s="19"/>
      <c r="O646" s="19"/>
      <c r="P646" s="48"/>
      <c r="Q646" s="49"/>
      <c r="R646" s="19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</row>
    <row r="647">
      <c r="A647" s="48"/>
      <c r="B647" s="48"/>
      <c r="C647" s="48"/>
      <c r="D647" s="19"/>
      <c r="E647" s="19"/>
      <c r="F647" s="52"/>
      <c r="G647" s="19"/>
      <c r="H647" s="19"/>
      <c r="I647" s="19"/>
      <c r="J647" s="19"/>
      <c r="K647" s="19"/>
      <c r="L647" s="19"/>
      <c r="M647" s="19"/>
      <c r="N647" s="19"/>
      <c r="O647" s="19"/>
      <c r="P647" s="48"/>
      <c r="Q647" s="49"/>
      <c r="R647" s="19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</row>
    <row r="648">
      <c r="A648" s="48"/>
      <c r="B648" s="48"/>
      <c r="C648" s="48"/>
      <c r="D648" s="19"/>
      <c r="E648" s="19"/>
      <c r="F648" s="52"/>
      <c r="G648" s="19"/>
      <c r="H648" s="19"/>
      <c r="I648" s="19"/>
      <c r="J648" s="19"/>
      <c r="K648" s="19"/>
      <c r="L648" s="19"/>
      <c r="M648" s="19"/>
      <c r="N648" s="19"/>
      <c r="O648" s="19"/>
      <c r="P648" s="48"/>
      <c r="Q648" s="49"/>
      <c r="R648" s="19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</row>
    <row r="649">
      <c r="A649" s="48"/>
      <c r="B649" s="48"/>
      <c r="C649" s="48"/>
      <c r="D649" s="19"/>
      <c r="E649" s="19"/>
      <c r="F649" s="52"/>
      <c r="G649" s="19"/>
      <c r="H649" s="19"/>
      <c r="I649" s="19"/>
      <c r="J649" s="19"/>
      <c r="K649" s="19"/>
      <c r="L649" s="19"/>
      <c r="M649" s="19"/>
      <c r="N649" s="19"/>
      <c r="O649" s="19"/>
      <c r="P649" s="48"/>
      <c r="Q649" s="49"/>
      <c r="R649" s="19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</row>
    <row r="650">
      <c r="A650" s="48"/>
      <c r="B650" s="48"/>
      <c r="C650" s="48"/>
      <c r="D650" s="19"/>
      <c r="E650" s="19"/>
      <c r="F650" s="52"/>
      <c r="G650" s="19"/>
      <c r="H650" s="19"/>
      <c r="I650" s="19"/>
      <c r="J650" s="19"/>
      <c r="K650" s="19"/>
      <c r="L650" s="19"/>
      <c r="M650" s="19"/>
      <c r="N650" s="19"/>
      <c r="O650" s="19"/>
      <c r="P650" s="48"/>
      <c r="Q650" s="49"/>
      <c r="R650" s="19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</row>
    <row r="651">
      <c r="A651" s="48"/>
      <c r="B651" s="48"/>
      <c r="C651" s="48"/>
      <c r="D651" s="19"/>
      <c r="E651" s="19"/>
      <c r="F651" s="52"/>
      <c r="G651" s="19"/>
      <c r="H651" s="19"/>
      <c r="I651" s="19"/>
      <c r="J651" s="19"/>
      <c r="K651" s="19"/>
      <c r="L651" s="19"/>
      <c r="M651" s="19"/>
      <c r="N651" s="19"/>
      <c r="O651" s="19"/>
      <c r="P651" s="48"/>
      <c r="Q651" s="49"/>
      <c r="R651" s="19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</row>
    <row r="652">
      <c r="A652" s="48"/>
      <c r="B652" s="48"/>
      <c r="C652" s="48"/>
      <c r="D652" s="19"/>
      <c r="E652" s="19"/>
      <c r="F652" s="52"/>
      <c r="G652" s="19"/>
      <c r="H652" s="19"/>
      <c r="I652" s="19"/>
      <c r="J652" s="19"/>
      <c r="K652" s="19"/>
      <c r="L652" s="19"/>
      <c r="M652" s="19"/>
      <c r="N652" s="19"/>
      <c r="O652" s="19"/>
      <c r="P652" s="48"/>
      <c r="Q652" s="49"/>
      <c r="R652" s="19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</row>
    <row r="653">
      <c r="A653" s="48"/>
      <c r="B653" s="48"/>
      <c r="C653" s="48"/>
      <c r="D653" s="19"/>
      <c r="E653" s="19"/>
      <c r="F653" s="52"/>
      <c r="G653" s="19"/>
      <c r="H653" s="19"/>
      <c r="I653" s="19"/>
      <c r="J653" s="19"/>
      <c r="K653" s="19"/>
      <c r="L653" s="19"/>
      <c r="M653" s="19"/>
      <c r="N653" s="19"/>
      <c r="O653" s="19"/>
      <c r="P653" s="48"/>
      <c r="Q653" s="49"/>
      <c r="R653" s="19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</row>
    <row r="654">
      <c r="A654" s="48"/>
      <c r="B654" s="48"/>
      <c r="C654" s="48"/>
      <c r="D654" s="19"/>
      <c r="E654" s="19"/>
      <c r="F654" s="52"/>
      <c r="G654" s="19"/>
      <c r="H654" s="19"/>
      <c r="I654" s="19"/>
      <c r="J654" s="19"/>
      <c r="K654" s="19"/>
      <c r="L654" s="19"/>
      <c r="M654" s="19"/>
      <c r="N654" s="19"/>
      <c r="O654" s="19"/>
      <c r="P654" s="48"/>
      <c r="Q654" s="49"/>
      <c r="R654" s="19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</row>
    <row r="655">
      <c r="A655" s="48"/>
      <c r="B655" s="48"/>
      <c r="C655" s="48"/>
      <c r="D655" s="19"/>
      <c r="E655" s="19"/>
      <c r="F655" s="52"/>
      <c r="G655" s="19"/>
      <c r="H655" s="19"/>
      <c r="I655" s="19"/>
      <c r="J655" s="19"/>
      <c r="K655" s="19"/>
      <c r="L655" s="19"/>
      <c r="M655" s="19"/>
      <c r="N655" s="19"/>
      <c r="O655" s="19"/>
      <c r="P655" s="48"/>
      <c r="Q655" s="49"/>
      <c r="R655" s="19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</row>
    <row r="656">
      <c r="A656" s="48"/>
      <c r="B656" s="48"/>
      <c r="C656" s="48"/>
      <c r="D656" s="19"/>
      <c r="E656" s="19"/>
      <c r="F656" s="52"/>
      <c r="G656" s="19"/>
      <c r="H656" s="19"/>
      <c r="I656" s="19"/>
      <c r="J656" s="19"/>
      <c r="K656" s="19"/>
      <c r="L656" s="19"/>
      <c r="M656" s="19"/>
      <c r="N656" s="19"/>
      <c r="O656" s="19"/>
      <c r="P656" s="48"/>
      <c r="Q656" s="49"/>
      <c r="R656" s="19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</row>
    <row r="657">
      <c r="A657" s="48"/>
      <c r="B657" s="48"/>
      <c r="C657" s="48"/>
      <c r="D657" s="19"/>
      <c r="E657" s="19"/>
      <c r="F657" s="52"/>
      <c r="G657" s="19"/>
      <c r="H657" s="19"/>
      <c r="I657" s="19"/>
      <c r="J657" s="19"/>
      <c r="K657" s="19"/>
      <c r="L657" s="19"/>
      <c r="M657" s="19"/>
      <c r="N657" s="19"/>
      <c r="O657" s="19"/>
      <c r="P657" s="48"/>
      <c r="Q657" s="49"/>
      <c r="R657" s="19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</row>
    <row r="658">
      <c r="A658" s="48"/>
      <c r="B658" s="48"/>
      <c r="C658" s="48"/>
      <c r="D658" s="19"/>
      <c r="E658" s="19"/>
      <c r="F658" s="52"/>
      <c r="G658" s="19"/>
      <c r="H658" s="19"/>
      <c r="I658" s="19"/>
      <c r="J658" s="19"/>
      <c r="K658" s="19"/>
      <c r="L658" s="19"/>
      <c r="M658" s="19"/>
      <c r="N658" s="19"/>
      <c r="O658" s="19"/>
      <c r="P658" s="48"/>
      <c r="Q658" s="49"/>
      <c r="R658" s="19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</row>
    <row r="659">
      <c r="A659" s="48"/>
      <c r="B659" s="48"/>
      <c r="C659" s="48"/>
      <c r="D659" s="19"/>
      <c r="E659" s="19"/>
      <c r="F659" s="52"/>
      <c r="G659" s="19"/>
      <c r="H659" s="19"/>
      <c r="I659" s="19"/>
      <c r="J659" s="19"/>
      <c r="K659" s="19"/>
      <c r="L659" s="19"/>
      <c r="M659" s="19"/>
      <c r="N659" s="19"/>
      <c r="O659" s="19"/>
      <c r="P659" s="48"/>
      <c r="Q659" s="49"/>
      <c r="R659" s="19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</row>
    <row r="660">
      <c r="A660" s="48"/>
      <c r="B660" s="48"/>
      <c r="C660" s="48"/>
      <c r="D660" s="19"/>
      <c r="E660" s="19"/>
      <c r="F660" s="52"/>
      <c r="G660" s="19"/>
      <c r="H660" s="19"/>
      <c r="I660" s="19"/>
      <c r="J660" s="19"/>
      <c r="K660" s="19"/>
      <c r="L660" s="19"/>
      <c r="M660" s="19"/>
      <c r="N660" s="19"/>
      <c r="O660" s="19"/>
      <c r="P660" s="48"/>
      <c r="Q660" s="49"/>
      <c r="R660" s="19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</row>
    <row r="661">
      <c r="A661" s="48"/>
      <c r="B661" s="48"/>
      <c r="C661" s="48"/>
      <c r="D661" s="19"/>
      <c r="E661" s="19"/>
      <c r="F661" s="52"/>
      <c r="G661" s="19"/>
      <c r="H661" s="19"/>
      <c r="I661" s="19"/>
      <c r="J661" s="19"/>
      <c r="K661" s="19"/>
      <c r="L661" s="19"/>
      <c r="M661" s="19"/>
      <c r="N661" s="19"/>
      <c r="O661" s="19"/>
      <c r="P661" s="48"/>
      <c r="Q661" s="49"/>
      <c r="R661" s="19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</row>
    <row r="662">
      <c r="A662" s="48"/>
      <c r="B662" s="48"/>
      <c r="C662" s="48"/>
      <c r="D662" s="19"/>
      <c r="E662" s="19"/>
      <c r="F662" s="52"/>
      <c r="G662" s="19"/>
      <c r="H662" s="19"/>
      <c r="I662" s="19"/>
      <c r="J662" s="19"/>
      <c r="K662" s="19"/>
      <c r="L662" s="19"/>
      <c r="M662" s="19"/>
      <c r="N662" s="19"/>
      <c r="O662" s="19"/>
      <c r="P662" s="48"/>
      <c r="Q662" s="49"/>
      <c r="R662" s="19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</row>
    <row r="663">
      <c r="A663" s="48"/>
      <c r="B663" s="48"/>
      <c r="C663" s="48"/>
      <c r="D663" s="19"/>
      <c r="E663" s="19"/>
      <c r="F663" s="52"/>
      <c r="G663" s="19"/>
      <c r="H663" s="19"/>
      <c r="I663" s="19"/>
      <c r="J663" s="19"/>
      <c r="K663" s="19"/>
      <c r="L663" s="19"/>
      <c r="M663" s="19"/>
      <c r="N663" s="19"/>
      <c r="O663" s="19"/>
      <c r="P663" s="48"/>
      <c r="Q663" s="49"/>
      <c r="R663" s="19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</row>
    <row r="664">
      <c r="A664" s="48"/>
      <c r="B664" s="48"/>
      <c r="C664" s="48"/>
      <c r="D664" s="19"/>
      <c r="E664" s="19"/>
      <c r="F664" s="52"/>
      <c r="G664" s="19"/>
      <c r="H664" s="19"/>
      <c r="I664" s="19"/>
      <c r="J664" s="19"/>
      <c r="K664" s="19"/>
      <c r="L664" s="19"/>
      <c r="M664" s="19"/>
      <c r="N664" s="19"/>
      <c r="O664" s="19"/>
      <c r="P664" s="48"/>
      <c r="Q664" s="49"/>
      <c r="R664" s="19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</row>
    <row r="665">
      <c r="A665" s="48"/>
      <c r="B665" s="48"/>
      <c r="C665" s="48"/>
      <c r="D665" s="19"/>
      <c r="E665" s="19"/>
      <c r="F665" s="52"/>
      <c r="G665" s="19"/>
      <c r="H665" s="19"/>
      <c r="I665" s="19"/>
      <c r="J665" s="19"/>
      <c r="K665" s="19"/>
      <c r="L665" s="19"/>
      <c r="M665" s="19"/>
      <c r="N665" s="19"/>
      <c r="O665" s="19"/>
      <c r="P665" s="48"/>
      <c r="Q665" s="49"/>
      <c r="R665" s="19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</row>
    <row r="666">
      <c r="A666" s="48"/>
      <c r="B666" s="48"/>
      <c r="C666" s="48"/>
      <c r="D666" s="19"/>
      <c r="E666" s="19"/>
      <c r="F666" s="52"/>
      <c r="G666" s="19"/>
      <c r="H666" s="19"/>
      <c r="I666" s="19"/>
      <c r="J666" s="19"/>
      <c r="K666" s="19"/>
      <c r="L666" s="19"/>
      <c r="M666" s="19"/>
      <c r="N666" s="19"/>
      <c r="O666" s="19"/>
      <c r="P666" s="48"/>
      <c r="Q666" s="49"/>
      <c r="R666" s="19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</row>
    <row r="667">
      <c r="A667" s="48"/>
      <c r="B667" s="48"/>
      <c r="C667" s="48"/>
      <c r="D667" s="19"/>
      <c r="E667" s="19"/>
      <c r="F667" s="52"/>
      <c r="G667" s="19"/>
      <c r="H667" s="19"/>
      <c r="I667" s="19"/>
      <c r="J667" s="19"/>
      <c r="K667" s="19"/>
      <c r="L667" s="19"/>
      <c r="M667" s="19"/>
      <c r="N667" s="19"/>
      <c r="O667" s="19"/>
      <c r="P667" s="48"/>
      <c r="Q667" s="49"/>
      <c r="R667" s="19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</row>
    <row r="668">
      <c r="A668" s="48"/>
      <c r="B668" s="48"/>
      <c r="C668" s="48"/>
      <c r="D668" s="19"/>
      <c r="E668" s="19"/>
      <c r="F668" s="52"/>
      <c r="G668" s="19"/>
      <c r="H668" s="19"/>
      <c r="I668" s="19"/>
      <c r="J668" s="19"/>
      <c r="K668" s="19"/>
      <c r="L668" s="19"/>
      <c r="M668" s="19"/>
      <c r="N668" s="19"/>
      <c r="O668" s="19"/>
      <c r="P668" s="48"/>
      <c r="Q668" s="49"/>
      <c r="R668" s="19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</row>
    <row r="669">
      <c r="A669" s="48"/>
      <c r="B669" s="48"/>
      <c r="C669" s="48"/>
      <c r="D669" s="19"/>
      <c r="E669" s="19"/>
      <c r="F669" s="52"/>
      <c r="G669" s="19"/>
      <c r="H669" s="19"/>
      <c r="I669" s="19"/>
      <c r="J669" s="19"/>
      <c r="K669" s="19"/>
      <c r="L669" s="19"/>
      <c r="M669" s="19"/>
      <c r="N669" s="19"/>
      <c r="O669" s="19"/>
      <c r="P669" s="48"/>
      <c r="Q669" s="49"/>
      <c r="R669" s="19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</row>
    <row r="670">
      <c r="A670" s="48"/>
      <c r="B670" s="48"/>
      <c r="C670" s="48"/>
      <c r="D670" s="19"/>
      <c r="E670" s="19"/>
      <c r="F670" s="52"/>
      <c r="G670" s="19"/>
      <c r="H670" s="19"/>
      <c r="I670" s="19"/>
      <c r="J670" s="19"/>
      <c r="K670" s="19"/>
      <c r="L670" s="19"/>
      <c r="M670" s="19"/>
      <c r="N670" s="19"/>
      <c r="O670" s="19"/>
      <c r="P670" s="48"/>
      <c r="Q670" s="49"/>
      <c r="R670" s="19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</row>
    <row r="671">
      <c r="A671" s="48"/>
      <c r="B671" s="48"/>
      <c r="C671" s="48"/>
      <c r="D671" s="19"/>
      <c r="E671" s="19"/>
      <c r="F671" s="52"/>
      <c r="G671" s="19"/>
      <c r="H671" s="19"/>
      <c r="I671" s="19"/>
      <c r="J671" s="19"/>
      <c r="K671" s="19"/>
      <c r="L671" s="19"/>
      <c r="M671" s="19"/>
      <c r="N671" s="19"/>
      <c r="O671" s="19"/>
      <c r="P671" s="48"/>
      <c r="Q671" s="49"/>
      <c r="R671" s="19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</row>
    <row r="672">
      <c r="A672" s="48"/>
      <c r="B672" s="48"/>
      <c r="C672" s="48"/>
      <c r="D672" s="19"/>
      <c r="E672" s="19"/>
      <c r="F672" s="52"/>
      <c r="G672" s="19"/>
      <c r="H672" s="19"/>
      <c r="I672" s="19"/>
      <c r="J672" s="19"/>
      <c r="K672" s="19"/>
      <c r="L672" s="19"/>
      <c r="M672" s="19"/>
      <c r="N672" s="19"/>
      <c r="O672" s="19"/>
      <c r="P672" s="48"/>
      <c r="Q672" s="49"/>
      <c r="R672" s="19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</row>
    <row r="673">
      <c r="A673" s="48"/>
      <c r="B673" s="48"/>
      <c r="C673" s="48"/>
      <c r="D673" s="19"/>
      <c r="E673" s="19"/>
      <c r="F673" s="52"/>
      <c r="G673" s="19"/>
      <c r="H673" s="19"/>
      <c r="I673" s="19"/>
      <c r="J673" s="19"/>
      <c r="K673" s="19"/>
      <c r="L673" s="19"/>
      <c r="M673" s="19"/>
      <c r="N673" s="19"/>
      <c r="O673" s="19"/>
      <c r="P673" s="48"/>
      <c r="Q673" s="49"/>
      <c r="R673" s="19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</row>
    <row r="674">
      <c r="A674" s="48"/>
      <c r="B674" s="48"/>
      <c r="C674" s="48"/>
      <c r="D674" s="19"/>
      <c r="E674" s="19"/>
      <c r="F674" s="52"/>
      <c r="G674" s="19"/>
      <c r="H674" s="19"/>
      <c r="I674" s="19"/>
      <c r="J674" s="19"/>
      <c r="K674" s="19"/>
      <c r="L674" s="19"/>
      <c r="M674" s="19"/>
      <c r="N674" s="19"/>
      <c r="O674" s="19"/>
      <c r="P674" s="48"/>
      <c r="Q674" s="49"/>
      <c r="R674" s="19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</row>
    <row r="675">
      <c r="A675" s="48"/>
      <c r="B675" s="48"/>
      <c r="C675" s="48"/>
      <c r="D675" s="19"/>
      <c r="E675" s="19"/>
      <c r="F675" s="52"/>
      <c r="G675" s="19"/>
      <c r="H675" s="19"/>
      <c r="I675" s="19"/>
      <c r="J675" s="19"/>
      <c r="K675" s="19"/>
      <c r="L675" s="19"/>
      <c r="M675" s="19"/>
      <c r="N675" s="19"/>
      <c r="O675" s="19"/>
      <c r="P675" s="48"/>
      <c r="Q675" s="49"/>
      <c r="R675" s="19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</row>
    <row r="676">
      <c r="A676" s="48"/>
      <c r="B676" s="48"/>
      <c r="C676" s="48"/>
      <c r="D676" s="19"/>
      <c r="E676" s="19"/>
      <c r="F676" s="52"/>
      <c r="G676" s="19"/>
      <c r="H676" s="19"/>
      <c r="I676" s="19"/>
      <c r="J676" s="19"/>
      <c r="K676" s="19"/>
      <c r="L676" s="19"/>
      <c r="M676" s="19"/>
      <c r="N676" s="19"/>
      <c r="O676" s="19"/>
      <c r="P676" s="48"/>
      <c r="Q676" s="49"/>
      <c r="R676" s="19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</row>
    <row r="677">
      <c r="A677" s="48"/>
      <c r="B677" s="48"/>
      <c r="C677" s="48"/>
      <c r="D677" s="19"/>
      <c r="E677" s="19"/>
      <c r="F677" s="52"/>
      <c r="G677" s="19"/>
      <c r="H677" s="19"/>
      <c r="I677" s="19"/>
      <c r="J677" s="19"/>
      <c r="K677" s="19"/>
      <c r="L677" s="19"/>
      <c r="M677" s="19"/>
      <c r="N677" s="19"/>
      <c r="O677" s="19"/>
      <c r="P677" s="48"/>
      <c r="Q677" s="49"/>
      <c r="R677" s="19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</row>
    <row r="678">
      <c r="A678" s="48"/>
      <c r="B678" s="48"/>
      <c r="C678" s="48"/>
      <c r="D678" s="19"/>
      <c r="E678" s="19"/>
      <c r="F678" s="52"/>
      <c r="G678" s="19"/>
      <c r="H678" s="19"/>
      <c r="I678" s="19"/>
      <c r="J678" s="19"/>
      <c r="K678" s="19"/>
      <c r="L678" s="19"/>
      <c r="M678" s="19"/>
      <c r="N678" s="19"/>
      <c r="O678" s="19"/>
      <c r="P678" s="48"/>
      <c r="Q678" s="49"/>
      <c r="R678" s="19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</row>
    <row r="679">
      <c r="A679" s="48"/>
      <c r="B679" s="48"/>
      <c r="C679" s="48"/>
      <c r="D679" s="19"/>
      <c r="E679" s="19"/>
      <c r="F679" s="52"/>
      <c r="G679" s="19"/>
      <c r="H679" s="19"/>
      <c r="I679" s="19"/>
      <c r="J679" s="19"/>
      <c r="K679" s="19"/>
      <c r="L679" s="19"/>
      <c r="M679" s="19"/>
      <c r="N679" s="19"/>
      <c r="O679" s="19"/>
      <c r="P679" s="48"/>
      <c r="Q679" s="49"/>
      <c r="R679" s="19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</row>
    <row r="680">
      <c r="A680" s="48"/>
      <c r="B680" s="48"/>
      <c r="C680" s="48"/>
      <c r="D680" s="19"/>
      <c r="E680" s="19"/>
      <c r="F680" s="52"/>
      <c r="G680" s="19"/>
      <c r="H680" s="19"/>
      <c r="I680" s="19"/>
      <c r="J680" s="19"/>
      <c r="K680" s="19"/>
      <c r="L680" s="19"/>
      <c r="M680" s="19"/>
      <c r="N680" s="19"/>
      <c r="O680" s="19"/>
      <c r="P680" s="48"/>
      <c r="Q680" s="49"/>
      <c r="R680" s="19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</row>
    <row r="681">
      <c r="A681" s="48"/>
      <c r="B681" s="48"/>
      <c r="C681" s="48"/>
      <c r="D681" s="19"/>
      <c r="E681" s="19"/>
      <c r="F681" s="52"/>
      <c r="G681" s="19"/>
      <c r="H681" s="19"/>
      <c r="I681" s="19"/>
      <c r="J681" s="19"/>
      <c r="K681" s="19"/>
      <c r="L681" s="19"/>
      <c r="M681" s="19"/>
      <c r="N681" s="19"/>
      <c r="O681" s="19"/>
      <c r="P681" s="48"/>
      <c r="Q681" s="49"/>
      <c r="R681" s="19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</row>
    <row r="682">
      <c r="A682" s="48"/>
      <c r="B682" s="48"/>
      <c r="C682" s="48"/>
      <c r="D682" s="19"/>
      <c r="E682" s="19"/>
      <c r="F682" s="52"/>
      <c r="G682" s="19"/>
      <c r="H682" s="19"/>
      <c r="I682" s="19"/>
      <c r="J682" s="19"/>
      <c r="K682" s="19"/>
      <c r="L682" s="19"/>
      <c r="M682" s="19"/>
      <c r="N682" s="19"/>
      <c r="O682" s="19"/>
      <c r="P682" s="48"/>
      <c r="Q682" s="49"/>
      <c r="R682" s="19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</row>
    <row r="683">
      <c r="A683" s="48"/>
      <c r="B683" s="48"/>
      <c r="C683" s="48"/>
      <c r="D683" s="19"/>
      <c r="E683" s="19"/>
      <c r="F683" s="52"/>
      <c r="G683" s="19"/>
      <c r="H683" s="19"/>
      <c r="I683" s="19"/>
      <c r="J683" s="19"/>
      <c r="K683" s="19"/>
      <c r="L683" s="19"/>
      <c r="M683" s="19"/>
      <c r="N683" s="19"/>
      <c r="O683" s="19"/>
      <c r="P683" s="48"/>
      <c r="Q683" s="49"/>
      <c r="R683" s="19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</row>
    <row r="684">
      <c r="A684" s="48"/>
      <c r="B684" s="48"/>
      <c r="C684" s="48"/>
      <c r="D684" s="19"/>
      <c r="E684" s="19"/>
      <c r="F684" s="52"/>
      <c r="G684" s="19"/>
      <c r="H684" s="19"/>
      <c r="I684" s="19"/>
      <c r="J684" s="19"/>
      <c r="K684" s="19"/>
      <c r="L684" s="19"/>
      <c r="M684" s="19"/>
      <c r="N684" s="19"/>
      <c r="O684" s="19"/>
      <c r="P684" s="48"/>
      <c r="Q684" s="49"/>
      <c r="R684" s="19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</row>
    <row r="685">
      <c r="A685" s="48"/>
      <c r="B685" s="48"/>
      <c r="C685" s="48"/>
      <c r="D685" s="19"/>
      <c r="E685" s="19"/>
      <c r="F685" s="52"/>
      <c r="G685" s="19"/>
      <c r="H685" s="19"/>
      <c r="I685" s="19"/>
      <c r="J685" s="19"/>
      <c r="K685" s="19"/>
      <c r="L685" s="19"/>
      <c r="M685" s="19"/>
      <c r="N685" s="19"/>
      <c r="O685" s="19"/>
      <c r="P685" s="48"/>
      <c r="Q685" s="49"/>
      <c r="R685" s="19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</row>
    <row r="686">
      <c r="A686" s="48"/>
      <c r="B686" s="48"/>
      <c r="C686" s="48"/>
      <c r="D686" s="19"/>
      <c r="E686" s="19"/>
      <c r="F686" s="52"/>
      <c r="G686" s="19"/>
      <c r="H686" s="19"/>
      <c r="I686" s="19"/>
      <c r="J686" s="19"/>
      <c r="K686" s="19"/>
      <c r="L686" s="19"/>
      <c r="M686" s="19"/>
      <c r="N686" s="19"/>
      <c r="O686" s="19"/>
      <c r="P686" s="48"/>
      <c r="Q686" s="49"/>
      <c r="R686" s="19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</row>
    <row r="687">
      <c r="A687" s="48"/>
      <c r="B687" s="48"/>
      <c r="C687" s="48"/>
      <c r="D687" s="19"/>
      <c r="E687" s="19"/>
      <c r="F687" s="52"/>
      <c r="G687" s="19"/>
      <c r="H687" s="19"/>
      <c r="I687" s="19"/>
      <c r="J687" s="19"/>
      <c r="K687" s="19"/>
      <c r="L687" s="19"/>
      <c r="M687" s="19"/>
      <c r="N687" s="19"/>
      <c r="O687" s="19"/>
      <c r="P687" s="48"/>
      <c r="Q687" s="49"/>
      <c r="R687" s="19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</row>
    <row r="688">
      <c r="A688" s="48"/>
      <c r="B688" s="48"/>
      <c r="C688" s="48"/>
      <c r="D688" s="19"/>
      <c r="E688" s="19"/>
      <c r="F688" s="52"/>
      <c r="G688" s="19"/>
      <c r="H688" s="19"/>
      <c r="I688" s="19"/>
      <c r="J688" s="19"/>
      <c r="K688" s="19"/>
      <c r="L688" s="19"/>
      <c r="M688" s="19"/>
      <c r="N688" s="19"/>
      <c r="O688" s="19"/>
      <c r="P688" s="48"/>
      <c r="Q688" s="49"/>
      <c r="R688" s="19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</row>
    <row r="689">
      <c r="A689" s="48"/>
      <c r="B689" s="48"/>
      <c r="C689" s="48"/>
      <c r="D689" s="19"/>
      <c r="E689" s="19"/>
      <c r="F689" s="52"/>
      <c r="G689" s="19"/>
      <c r="H689" s="19"/>
      <c r="I689" s="19"/>
      <c r="J689" s="19"/>
      <c r="K689" s="19"/>
      <c r="L689" s="19"/>
      <c r="M689" s="19"/>
      <c r="N689" s="19"/>
      <c r="O689" s="19"/>
      <c r="P689" s="48"/>
      <c r="Q689" s="49"/>
      <c r="R689" s="19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</row>
    <row r="690">
      <c r="A690" s="48"/>
      <c r="B690" s="48"/>
      <c r="C690" s="48"/>
      <c r="D690" s="19"/>
      <c r="E690" s="19"/>
      <c r="F690" s="52"/>
      <c r="G690" s="19"/>
      <c r="H690" s="19"/>
      <c r="I690" s="19"/>
      <c r="J690" s="19"/>
      <c r="K690" s="19"/>
      <c r="L690" s="19"/>
      <c r="M690" s="19"/>
      <c r="N690" s="19"/>
      <c r="O690" s="19"/>
      <c r="P690" s="48"/>
      <c r="Q690" s="49"/>
      <c r="R690" s="19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</row>
    <row r="691">
      <c r="A691" s="48"/>
      <c r="B691" s="48"/>
      <c r="C691" s="48"/>
      <c r="D691" s="19"/>
      <c r="E691" s="19"/>
      <c r="F691" s="52"/>
      <c r="G691" s="19"/>
      <c r="H691" s="19"/>
      <c r="I691" s="19"/>
      <c r="J691" s="19"/>
      <c r="K691" s="19"/>
      <c r="L691" s="19"/>
      <c r="M691" s="19"/>
      <c r="N691" s="19"/>
      <c r="O691" s="19"/>
      <c r="P691" s="48"/>
      <c r="Q691" s="49"/>
      <c r="R691" s="19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</row>
    <row r="692">
      <c r="A692" s="48"/>
      <c r="B692" s="48"/>
      <c r="C692" s="48"/>
      <c r="D692" s="19"/>
      <c r="E692" s="19"/>
      <c r="F692" s="52"/>
      <c r="G692" s="19"/>
      <c r="H692" s="19"/>
      <c r="I692" s="19"/>
      <c r="J692" s="19"/>
      <c r="K692" s="19"/>
      <c r="L692" s="19"/>
      <c r="M692" s="19"/>
      <c r="N692" s="19"/>
      <c r="O692" s="19"/>
      <c r="P692" s="48"/>
      <c r="Q692" s="49"/>
      <c r="R692" s="19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</row>
    <row r="693">
      <c r="A693" s="48"/>
      <c r="B693" s="48"/>
      <c r="C693" s="48"/>
      <c r="D693" s="19"/>
      <c r="E693" s="19"/>
      <c r="F693" s="52"/>
      <c r="G693" s="19"/>
      <c r="H693" s="19"/>
      <c r="I693" s="19"/>
      <c r="J693" s="19"/>
      <c r="K693" s="19"/>
      <c r="L693" s="19"/>
      <c r="M693" s="19"/>
      <c r="N693" s="19"/>
      <c r="O693" s="19"/>
      <c r="P693" s="48"/>
      <c r="Q693" s="49"/>
      <c r="R693" s="19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</row>
    <row r="694">
      <c r="A694" s="48"/>
      <c r="B694" s="48"/>
      <c r="C694" s="48"/>
      <c r="D694" s="19"/>
      <c r="E694" s="19"/>
      <c r="F694" s="52"/>
      <c r="G694" s="19"/>
      <c r="H694" s="19"/>
      <c r="I694" s="19"/>
      <c r="J694" s="19"/>
      <c r="K694" s="19"/>
      <c r="L694" s="19"/>
      <c r="M694" s="19"/>
      <c r="N694" s="19"/>
      <c r="O694" s="19"/>
      <c r="P694" s="48"/>
      <c r="Q694" s="49"/>
      <c r="R694" s="19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</row>
    <row r="695">
      <c r="A695" s="48"/>
      <c r="B695" s="48"/>
      <c r="C695" s="48"/>
      <c r="D695" s="19"/>
      <c r="E695" s="19"/>
      <c r="F695" s="52"/>
      <c r="G695" s="19"/>
      <c r="H695" s="19"/>
      <c r="I695" s="19"/>
      <c r="J695" s="19"/>
      <c r="K695" s="19"/>
      <c r="L695" s="19"/>
      <c r="M695" s="19"/>
      <c r="N695" s="19"/>
      <c r="O695" s="19"/>
      <c r="P695" s="48"/>
      <c r="Q695" s="49"/>
      <c r="R695" s="19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</row>
    <row r="696">
      <c r="A696" s="48"/>
      <c r="B696" s="48"/>
      <c r="C696" s="48"/>
      <c r="D696" s="19"/>
      <c r="E696" s="19"/>
      <c r="F696" s="52"/>
      <c r="G696" s="19"/>
      <c r="H696" s="19"/>
      <c r="I696" s="19"/>
      <c r="J696" s="19"/>
      <c r="K696" s="19"/>
      <c r="L696" s="19"/>
      <c r="M696" s="19"/>
      <c r="N696" s="19"/>
      <c r="O696" s="19"/>
      <c r="P696" s="48"/>
      <c r="Q696" s="49"/>
      <c r="R696" s="19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</row>
    <row r="697">
      <c r="A697" s="48"/>
      <c r="B697" s="48"/>
      <c r="C697" s="48"/>
      <c r="D697" s="19"/>
      <c r="E697" s="19"/>
      <c r="F697" s="52"/>
      <c r="G697" s="19"/>
      <c r="H697" s="19"/>
      <c r="I697" s="19"/>
      <c r="J697" s="19"/>
      <c r="K697" s="19"/>
      <c r="L697" s="19"/>
      <c r="M697" s="19"/>
      <c r="N697" s="19"/>
      <c r="O697" s="19"/>
      <c r="P697" s="48"/>
      <c r="Q697" s="49"/>
      <c r="R697" s="19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</row>
    <row r="698">
      <c r="A698" s="48"/>
      <c r="B698" s="48"/>
      <c r="C698" s="48"/>
      <c r="D698" s="19"/>
      <c r="E698" s="19"/>
      <c r="F698" s="52"/>
      <c r="G698" s="19"/>
      <c r="H698" s="19"/>
      <c r="I698" s="19"/>
      <c r="J698" s="19"/>
      <c r="K698" s="19"/>
      <c r="L698" s="19"/>
      <c r="M698" s="19"/>
      <c r="N698" s="19"/>
      <c r="O698" s="19"/>
      <c r="P698" s="48"/>
      <c r="Q698" s="49"/>
      <c r="R698" s="19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</row>
    <row r="699">
      <c r="A699" s="48"/>
      <c r="B699" s="48"/>
      <c r="C699" s="48"/>
      <c r="D699" s="19"/>
      <c r="E699" s="19"/>
      <c r="F699" s="52"/>
      <c r="G699" s="19"/>
      <c r="H699" s="19"/>
      <c r="I699" s="19"/>
      <c r="J699" s="19"/>
      <c r="K699" s="19"/>
      <c r="L699" s="19"/>
      <c r="M699" s="19"/>
      <c r="N699" s="19"/>
      <c r="O699" s="19"/>
      <c r="P699" s="48"/>
      <c r="Q699" s="49"/>
      <c r="R699" s="19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</row>
    <row r="700">
      <c r="A700" s="48"/>
      <c r="B700" s="48"/>
      <c r="C700" s="48"/>
      <c r="D700" s="19"/>
      <c r="E700" s="19"/>
      <c r="F700" s="52"/>
      <c r="G700" s="19"/>
      <c r="H700" s="19"/>
      <c r="I700" s="19"/>
      <c r="J700" s="19"/>
      <c r="K700" s="19"/>
      <c r="L700" s="19"/>
      <c r="M700" s="19"/>
      <c r="N700" s="19"/>
      <c r="O700" s="19"/>
      <c r="P700" s="48"/>
      <c r="Q700" s="49"/>
      <c r="R700" s="19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</row>
    <row r="701">
      <c r="A701" s="48"/>
      <c r="B701" s="48"/>
      <c r="C701" s="48"/>
      <c r="D701" s="19"/>
      <c r="E701" s="19"/>
      <c r="F701" s="52"/>
      <c r="G701" s="19"/>
      <c r="H701" s="19"/>
      <c r="I701" s="19"/>
      <c r="J701" s="19"/>
      <c r="K701" s="19"/>
      <c r="L701" s="19"/>
      <c r="M701" s="19"/>
      <c r="N701" s="19"/>
      <c r="O701" s="19"/>
      <c r="P701" s="48"/>
      <c r="Q701" s="49"/>
      <c r="R701" s="19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</row>
    <row r="702">
      <c r="A702" s="48"/>
      <c r="B702" s="48"/>
      <c r="C702" s="48"/>
      <c r="D702" s="19"/>
      <c r="E702" s="19"/>
      <c r="F702" s="52"/>
      <c r="G702" s="19"/>
      <c r="H702" s="19"/>
      <c r="I702" s="19"/>
      <c r="J702" s="19"/>
      <c r="K702" s="19"/>
      <c r="L702" s="19"/>
      <c r="M702" s="19"/>
      <c r="N702" s="19"/>
      <c r="O702" s="19"/>
      <c r="P702" s="48"/>
      <c r="Q702" s="49"/>
      <c r="R702" s="19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</row>
    <row r="703">
      <c r="A703" s="48"/>
      <c r="B703" s="48"/>
      <c r="C703" s="48"/>
      <c r="D703" s="19"/>
      <c r="E703" s="19"/>
      <c r="F703" s="52"/>
      <c r="G703" s="19"/>
      <c r="H703" s="19"/>
      <c r="I703" s="19"/>
      <c r="J703" s="19"/>
      <c r="K703" s="19"/>
      <c r="L703" s="19"/>
      <c r="M703" s="19"/>
      <c r="N703" s="19"/>
      <c r="O703" s="19"/>
      <c r="P703" s="48"/>
      <c r="Q703" s="49"/>
      <c r="R703" s="19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</row>
    <row r="704">
      <c r="A704" s="48"/>
      <c r="B704" s="48"/>
      <c r="C704" s="48"/>
      <c r="D704" s="19"/>
      <c r="E704" s="19"/>
      <c r="F704" s="52"/>
      <c r="G704" s="19"/>
      <c r="H704" s="19"/>
      <c r="I704" s="19"/>
      <c r="J704" s="19"/>
      <c r="K704" s="19"/>
      <c r="L704" s="19"/>
      <c r="M704" s="19"/>
      <c r="N704" s="19"/>
      <c r="O704" s="19"/>
      <c r="P704" s="48"/>
      <c r="Q704" s="49"/>
      <c r="R704" s="19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</row>
    <row r="705">
      <c r="A705" s="48"/>
      <c r="B705" s="48"/>
      <c r="C705" s="48"/>
      <c r="D705" s="19"/>
      <c r="E705" s="19"/>
      <c r="F705" s="52"/>
      <c r="G705" s="19"/>
      <c r="H705" s="19"/>
      <c r="I705" s="19"/>
      <c r="J705" s="19"/>
      <c r="K705" s="19"/>
      <c r="L705" s="19"/>
      <c r="M705" s="19"/>
      <c r="N705" s="19"/>
      <c r="O705" s="19"/>
      <c r="P705" s="48"/>
      <c r="Q705" s="49"/>
      <c r="R705" s="19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</row>
    <row r="706">
      <c r="A706" s="48"/>
      <c r="B706" s="48"/>
      <c r="C706" s="48"/>
      <c r="D706" s="19"/>
      <c r="E706" s="19"/>
      <c r="F706" s="52"/>
      <c r="G706" s="19"/>
      <c r="H706" s="19"/>
      <c r="I706" s="19"/>
      <c r="J706" s="19"/>
      <c r="K706" s="19"/>
      <c r="L706" s="19"/>
      <c r="M706" s="19"/>
      <c r="N706" s="19"/>
      <c r="O706" s="19"/>
      <c r="P706" s="48"/>
      <c r="Q706" s="49"/>
      <c r="R706" s="19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</row>
    <row r="707">
      <c r="A707" s="48"/>
      <c r="B707" s="48"/>
      <c r="C707" s="48"/>
      <c r="D707" s="19"/>
      <c r="E707" s="19"/>
      <c r="F707" s="52"/>
      <c r="G707" s="19"/>
      <c r="H707" s="19"/>
      <c r="I707" s="19"/>
      <c r="J707" s="19"/>
      <c r="K707" s="19"/>
      <c r="L707" s="19"/>
      <c r="M707" s="19"/>
      <c r="N707" s="19"/>
      <c r="O707" s="19"/>
      <c r="P707" s="48"/>
      <c r="Q707" s="49"/>
      <c r="R707" s="19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</row>
    <row r="708">
      <c r="A708" s="48"/>
      <c r="B708" s="48"/>
      <c r="C708" s="48"/>
      <c r="D708" s="19"/>
      <c r="E708" s="19"/>
      <c r="F708" s="52"/>
      <c r="G708" s="19"/>
      <c r="H708" s="19"/>
      <c r="I708" s="19"/>
      <c r="J708" s="19"/>
      <c r="K708" s="19"/>
      <c r="L708" s="19"/>
      <c r="M708" s="19"/>
      <c r="N708" s="19"/>
      <c r="O708" s="19"/>
      <c r="P708" s="48"/>
      <c r="Q708" s="49"/>
      <c r="R708" s="19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</row>
    <row r="709">
      <c r="A709" s="48"/>
      <c r="B709" s="48"/>
      <c r="C709" s="48"/>
      <c r="D709" s="19"/>
      <c r="E709" s="19"/>
      <c r="F709" s="52"/>
      <c r="G709" s="19"/>
      <c r="H709" s="19"/>
      <c r="I709" s="19"/>
      <c r="J709" s="19"/>
      <c r="K709" s="19"/>
      <c r="L709" s="19"/>
      <c r="M709" s="19"/>
      <c r="N709" s="19"/>
      <c r="O709" s="19"/>
      <c r="P709" s="48"/>
      <c r="Q709" s="49"/>
      <c r="R709" s="19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</row>
    <row r="710">
      <c r="A710" s="48"/>
      <c r="B710" s="48"/>
      <c r="C710" s="48"/>
      <c r="D710" s="19"/>
      <c r="E710" s="19"/>
      <c r="F710" s="52"/>
      <c r="G710" s="19"/>
      <c r="H710" s="19"/>
      <c r="I710" s="19"/>
      <c r="J710" s="19"/>
      <c r="K710" s="19"/>
      <c r="L710" s="19"/>
      <c r="M710" s="19"/>
      <c r="N710" s="19"/>
      <c r="O710" s="19"/>
      <c r="P710" s="48"/>
      <c r="Q710" s="49"/>
      <c r="R710" s="19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</row>
    <row r="711">
      <c r="A711" s="48"/>
      <c r="B711" s="48"/>
      <c r="C711" s="48"/>
      <c r="D711" s="19"/>
      <c r="E711" s="19"/>
      <c r="F711" s="52"/>
      <c r="G711" s="19"/>
      <c r="H711" s="19"/>
      <c r="I711" s="19"/>
      <c r="J711" s="19"/>
      <c r="K711" s="19"/>
      <c r="L711" s="19"/>
      <c r="M711" s="19"/>
      <c r="N711" s="19"/>
      <c r="O711" s="19"/>
      <c r="P711" s="48"/>
      <c r="Q711" s="49"/>
      <c r="R711" s="19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</row>
    <row r="712">
      <c r="A712" s="48"/>
      <c r="B712" s="48"/>
      <c r="C712" s="48"/>
      <c r="D712" s="19"/>
      <c r="E712" s="19"/>
      <c r="F712" s="52"/>
      <c r="G712" s="19"/>
      <c r="H712" s="19"/>
      <c r="I712" s="19"/>
      <c r="J712" s="19"/>
      <c r="K712" s="19"/>
      <c r="L712" s="19"/>
      <c r="M712" s="19"/>
      <c r="N712" s="19"/>
      <c r="O712" s="19"/>
      <c r="P712" s="48"/>
      <c r="Q712" s="49"/>
      <c r="R712" s="19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</row>
    <row r="713">
      <c r="A713" s="48"/>
      <c r="B713" s="48"/>
      <c r="C713" s="48"/>
      <c r="D713" s="19"/>
      <c r="E713" s="19"/>
      <c r="F713" s="52"/>
      <c r="G713" s="19"/>
      <c r="H713" s="19"/>
      <c r="I713" s="19"/>
      <c r="J713" s="19"/>
      <c r="K713" s="19"/>
      <c r="L713" s="19"/>
      <c r="M713" s="19"/>
      <c r="N713" s="19"/>
      <c r="O713" s="19"/>
      <c r="P713" s="48"/>
      <c r="Q713" s="49"/>
      <c r="R713" s="19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</row>
    <row r="714">
      <c r="A714" s="48"/>
      <c r="B714" s="48"/>
      <c r="C714" s="48"/>
      <c r="D714" s="19"/>
      <c r="E714" s="19"/>
      <c r="F714" s="52"/>
      <c r="G714" s="19"/>
      <c r="H714" s="19"/>
      <c r="I714" s="19"/>
      <c r="J714" s="19"/>
      <c r="K714" s="19"/>
      <c r="L714" s="19"/>
      <c r="M714" s="19"/>
      <c r="N714" s="19"/>
      <c r="O714" s="19"/>
      <c r="P714" s="48"/>
      <c r="Q714" s="49"/>
      <c r="R714" s="19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</row>
    <row r="715">
      <c r="A715" s="48"/>
      <c r="B715" s="48"/>
      <c r="C715" s="48"/>
      <c r="D715" s="19"/>
      <c r="E715" s="19"/>
      <c r="F715" s="52"/>
      <c r="G715" s="19"/>
      <c r="H715" s="19"/>
      <c r="I715" s="19"/>
      <c r="J715" s="19"/>
      <c r="K715" s="19"/>
      <c r="L715" s="19"/>
      <c r="M715" s="19"/>
      <c r="N715" s="19"/>
      <c r="O715" s="19"/>
      <c r="P715" s="48"/>
      <c r="Q715" s="49"/>
      <c r="R715" s="19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</row>
    <row r="716">
      <c r="A716" s="48"/>
      <c r="B716" s="48"/>
      <c r="C716" s="48"/>
      <c r="D716" s="19"/>
      <c r="E716" s="19"/>
      <c r="F716" s="52"/>
      <c r="G716" s="19"/>
      <c r="H716" s="19"/>
      <c r="I716" s="19"/>
      <c r="J716" s="19"/>
      <c r="K716" s="19"/>
      <c r="L716" s="19"/>
      <c r="M716" s="19"/>
      <c r="N716" s="19"/>
      <c r="O716" s="19"/>
      <c r="P716" s="48"/>
      <c r="Q716" s="49"/>
      <c r="R716" s="19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</row>
    <row r="717">
      <c r="A717" s="48"/>
      <c r="B717" s="48"/>
      <c r="C717" s="48"/>
      <c r="D717" s="19"/>
      <c r="E717" s="19"/>
      <c r="F717" s="52"/>
      <c r="G717" s="19"/>
      <c r="H717" s="19"/>
      <c r="I717" s="19"/>
      <c r="J717" s="19"/>
      <c r="K717" s="19"/>
      <c r="L717" s="19"/>
      <c r="M717" s="19"/>
      <c r="N717" s="19"/>
      <c r="O717" s="19"/>
      <c r="P717" s="48"/>
      <c r="Q717" s="49"/>
      <c r="R717" s="19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</row>
    <row r="718">
      <c r="A718" s="48"/>
      <c r="B718" s="48"/>
      <c r="C718" s="48"/>
      <c r="D718" s="19"/>
      <c r="E718" s="19"/>
      <c r="F718" s="52"/>
      <c r="G718" s="19"/>
      <c r="H718" s="19"/>
      <c r="I718" s="19"/>
      <c r="J718" s="19"/>
      <c r="K718" s="19"/>
      <c r="L718" s="19"/>
      <c r="M718" s="19"/>
      <c r="N718" s="19"/>
      <c r="O718" s="19"/>
      <c r="P718" s="48"/>
      <c r="Q718" s="49"/>
      <c r="R718" s="19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</row>
    <row r="719">
      <c r="A719" s="48"/>
      <c r="B719" s="48"/>
      <c r="C719" s="48"/>
      <c r="D719" s="19"/>
      <c r="E719" s="19"/>
      <c r="F719" s="52"/>
      <c r="G719" s="19"/>
      <c r="H719" s="19"/>
      <c r="I719" s="19"/>
      <c r="J719" s="19"/>
      <c r="K719" s="19"/>
      <c r="L719" s="19"/>
      <c r="M719" s="19"/>
      <c r="N719" s="19"/>
      <c r="O719" s="19"/>
      <c r="P719" s="48"/>
      <c r="Q719" s="49"/>
      <c r="R719" s="19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</row>
    <row r="720">
      <c r="A720" s="48"/>
      <c r="B720" s="48"/>
      <c r="C720" s="48"/>
      <c r="D720" s="19"/>
      <c r="E720" s="19"/>
      <c r="F720" s="52"/>
      <c r="G720" s="19"/>
      <c r="H720" s="19"/>
      <c r="I720" s="19"/>
      <c r="J720" s="19"/>
      <c r="K720" s="19"/>
      <c r="L720" s="19"/>
      <c r="M720" s="19"/>
      <c r="N720" s="19"/>
      <c r="O720" s="19"/>
      <c r="P720" s="48"/>
      <c r="Q720" s="49"/>
      <c r="R720" s="19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</row>
    <row r="721">
      <c r="A721" s="48"/>
      <c r="B721" s="48"/>
      <c r="C721" s="48"/>
      <c r="D721" s="19"/>
      <c r="E721" s="19"/>
      <c r="F721" s="52"/>
      <c r="G721" s="19"/>
      <c r="H721" s="19"/>
      <c r="I721" s="19"/>
      <c r="J721" s="19"/>
      <c r="K721" s="19"/>
      <c r="L721" s="19"/>
      <c r="M721" s="19"/>
      <c r="N721" s="19"/>
      <c r="O721" s="19"/>
      <c r="P721" s="48"/>
      <c r="Q721" s="49"/>
      <c r="R721" s="19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</row>
    <row r="722">
      <c r="A722" s="48"/>
      <c r="B722" s="48"/>
      <c r="C722" s="48"/>
      <c r="D722" s="19"/>
      <c r="E722" s="19"/>
      <c r="F722" s="52"/>
      <c r="G722" s="19"/>
      <c r="H722" s="19"/>
      <c r="I722" s="19"/>
      <c r="J722" s="19"/>
      <c r="K722" s="19"/>
      <c r="L722" s="19"/>
      <c r="M722" s="19"/>
      <c r="N722" s="19"/>
      <c r="O722" s="19"/>
      <c r="P722" s="48"/>
      <c r="Q722" s="49"/>
      <c r="R722" s="19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</row>
    <row r="723">
      <c r="A723" s="48"/>
      <c r="B723" s="48"/>
      <c r="C723" s="48"/>
      <c r="D723" s="19"/>
      <c r="E723" s="19"/>
      <c r="F723" s="52"/>
      <c r="G723" s="19"/>
      <c r="H723" s="19"/>
      <c r="I723" s="19"/>
      <c r="J723" s="19"/>
      <c r="K723" s="19"/>
      <c r="L723" s="19"/>
      <c r="M723" s="19"/>
      <c r="N723" s="19"/>
      <c r="O723" s="19"/>
      <c r="P723" s="48"/>
      <c r="Q723" s="49"/>
      <c r="R723" s="19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</row>
    <row r="724">
      <c r="A724" s="48"/>
      <c r="B724" s="48"/>
      <c r="C724" s="48"/>
      <c r="D724" s="19"/>
      <c r="E724" s="19"/>
      <c r="F724" s="52"/>
      <c r="G724" s="19"/>
      <c r="H724" s="19"/>
      <c r="I724" s="19"/>
      <c r="J724" s="19"/>
      <c r="K724" s="19"/>
      <c r="L724" s="19"/>
      <c r="M724" s="19"/>
      <c r="N724" s="19"/>
      <c r="O724" s="19"/>
      <c r="P724" s="48"/>
      <c r="Q724" s="49"/>
      <c r="R724" s="19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</row>
    <row r="725">
      <c r="A725" s="48"/>
      <c r="B725" s="48"/>
      <c r="C725" s="48"/>
      <c r="D725" s="19"/>
      <c r="E725" s="19"/>
      <c r="F725" s="52"/>
      <c r="G725" s="19"/>
      <c r="H725" s="19"/>
      <c r="I725" s="19"/>
      <c r="J725" s="19"/>
      <c r="K725" s="19"/>
      <c r="L725" s="19"/>
      <c r="M725" s="19"/>
      <c r="N725" s="19"/>
      <c r="O725" s="19"/>
      <c r="P725" s="48"/>
      <c r="Q725" s="49"/>
      <c r="R725" s="19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</row>
    <row r="726">
      <c r="A726" s="48"/>
      <c r="B726" s="48"/>
      <c r="C726" s="48"/>
      <c r="D726" s="19"/>
      <c r="E726" s="19"/>
      <c r="F726" s="52"/>
      <c r="G726" s="19"/>
      <c r="H726" s="19"/>
      <c r="I726" s="19"/>
      <c r="J726" s="19"/>
      <c r="K726" s="19"/>
      <c r="L726" s="19"/>
      <c r="M726" s="19"/>
      <c r="N726" s="19"/>
      <c r="O726" s="19"/>
      <c r="P726" s="48"/>
      <c r="Q726" s="49"/>
      <c r="R726" s="19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</row>
    <row r="727">
      <c r="A727" s="48"/>
      <c r="B727" s="48"/>
      <c r="C727" s="48"/>
      <c r="D727" s="19"/>
      <c r="E727" s="19"/>
      <c r="F727" s="52"/>
      <c r="G727" s="19"/>
      <c r="H727" s="19"/>
      <c r="I727" s="19"/>
      <c r="J727" s="19"/>
      <c r="K727" s="19"/>
      <c r="L727" s="19"/>
      <c r="M727" s="19"/>
      <c r="N727" s="19"/>
      <c r="O727" s="19"/>
      <c r="P727" s="48"/>
      <c r="Q727" s="49"/>
      <c r="R727" s="19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</row>
    <row r="728">
      <c r="A728" s="48"/>
      <c r="B728" s="48"/>
      <c r="C728" s="48"/>
      <c r="D728" s="19"/>
      <c r="E728" s="19"/>
      <c r="F728" s="52"/>
      <c r="G728" s="19"/>
      <c r="H728" s="19"/>
      <c r="I728" s="19"/>
      <c r="J728" s="19"/>
      <c r="K728" s="19"/>
      <c r="L728" s="19"/>
      <c r="M728" s="19"/>
      <c r="N728" s="19"/>
      <c r="O728" s="19"/>
      <c r="P728" s="48"/>
      <c r="Q728" s="49"/>
      <c r="R728" s="19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</row>
    <row r="729">
      <c r="A729" s="48"/>
      <c r="B729" s="48"/>
      <c r="C729" s="48"/>
      <c r="D729" s="19"/>
      <c r="E729" s="19"/>
      <c r="F729" s="52"/>
      <c r="G729" s="19"/>
      <c r="H729" s="19"/>
      <c r="I729" s="19"/>
      <c r="J729" s="19"/>
      <c r="K729" s="19"/>
      <c r="L729" s="19"/>
      <c r="M729" s="19"/>
      <c r="N729" s="19"/>
      <c r="O729" s="19"/>
      <c r="P729" s="48"/>
      <c r="Q729" s="49"/>
      <c r="R729" s="19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</row>
    <row r="730">
      <c r="A730" s="48"/>
      <c r="B730" s="48"/>
      <c r="C730" s="48"/>
      <c r="D730" s="19"/>
      <c r="E730" s="19"/>
      <c r="F730" s="52"/>
      <c r="G730" s="19"/>
      <c r="H730" s="19"/>
      <c r="I730" s="19"/>
      <c r="J730" s="19"/>
      <c r="K730" s="19"/>
      <c r="L730" s="19"/>
      <c r="M730" s="19"/>
      <c r="N730" s="19"/>
      <c r="O730" s="19"/>
      <c r="P730" s="48"/>
      <c r="Q730" s="49"/>
      <c r="R730" s="19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</row>
    <row r="731">
      <c r="A731" s="48"/>
      <c r="B731" s="48"/>
      <c r="C731" s="48"/>
      <c r="D731" s="19"/>
      <c r="E731" s="19"/>
      <c r="F731" s="52"/>
      <c r="G731" s="19"/>
      <c r="H731" s="19"/>
      <c r="I731" s="19"/>
      <c r="J731" s="19"/>
      <c r="K731" s="19"/>
      <c r="L731" s="19"/>
      <c r="M731" s="19"/>
      <c r="N731" s="19"/>
      <c r="O731" s="19"/>
      <c r="P731" s="48"/>
      <c r="Q731" s="49"/>
      <c r="R731" s="19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</row>
    <row r="732">
      <c r="A732" s="48"/>
      <c r="B732" s="48"/>
      <c r="C732" s="48"/>
      <c r="D732" s="19"/>
      <c r="E732" s="19"/>
      <c r="F732" s="52"/>
      <c r="G732" s="19"/>
      <c r="H732" s="19"/>
      <c r="I732" s="19"/>
      <c r="J732" s="19"/>
      <c r="K732" s="19"/>
      <c r="L732" s="19"/>
      <c r="M732" s="19"/>
      <c r="N732" s="19"/>
      <c r="O732" s="19"/>
      <c r="P732" s="48"/>
      <c r="Q732" s="49"/>
      <c r="R732" s="19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</row>
    <row r="733">
      <c r="A733" s="48"/>
      <c r="B733" s="48"/>
      <c r="C733" s="48"/>
      <c r="D733" s="19"/>
      <c r="E733" s="19"/>
      <c r="F733" s="52"/>
      <c r="G733" s="19"/>
      <c r="H733" s="19"/>
      <c r="I733" s="19"/>
      <c r="J733" s="19"/>
      <c r="K733" s="19"/>
      <c r="L733" s="19"/>
      <c r="M733" s="19"/>
      <c r="N733" s="19"/>
      <c r="O733" s="19"/>
      <c r="P733" s="48"/>
      <c r="Q733" s="49"/>
      <c r="R733" s="19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</row>
    <row r="734">
      <c r="A734" s="48"/>
      <c r="B734" s="48"/>
      <c r="C734" s="48"/>
      <c r="D734" s="19"/>
      <c r="E734" s="19"/>
      <c r="F734" s="52"/>
      <c r="G734" s="19"/>
      <c r="H734" s="19"/>
      <c r="I734" s="19"/>
      <c r="J734" s="19"/>
      <c r="K734" s="19"/>
      <c r="L734" s="19"/>
      <c r="M734" s="19"/>
      <c r="N734" s="19"/>
      <c r="O734" s="19"/>
      <c r="P734" s="48"/>
      <c r="Q734" s="49"/>
      <c r="R734" s="19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</row>
    <row r="735">
      <c r="A735" s="48"/>
      <c r="B735" s="48"/>
      <c r="C735" s="48"/>
      <c r="D735" s="19"/>
      <c r="E735" s="19"/>
      <c r="F735" s="52"/>
      <c r="G735" s="19"/>
      <c r="H735" s="19"/>
      <c r="I735" s="19"/>
      <c r="J735" s="19"/>
      <c r="K735" s="19"/>
      <c r="L735" s="19"/>
      <c r="M735" s="19"/>
      <c r="N735" s="19"/>
      <c r="O735" s="19"/>
      <c r="P735" s="48"/>
      <c r="Q735" s="49"/>
      <c r="R735" s="19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</row>
    <row r="736">
      <c r="A736" s="48"/>
      <c r="B736" s="48"/>
      <c r="C736" s="48"/>
      <c r="D736" s="19"/>
      <c r="E736" s="19"/>
      <c r="F736" s="52"/>
      <c r="G736" s="19"/>
      <c r="H736" s="19"/>
      <c r="I736" s="19"/>
      <c r="J736" s="19"/>
      <c r="K736" s="19"/>
      <c r="L736" s="19"/>
      <c r="M736" s="19"/>
      <c r="N736" s="19"/>
      <c r="O736" s="19"/>
      <c r="P736" s="48"/>
      <c r="Q736" s="49"/>
      <c r="R736" s="19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</row>
    <row r="737">
      <c r="A737" s="48"/>
      <c r="B737" s="48"/>
      <c r="C737" s="48"/>
      <c r="D737" s="19"/>
      <c r="E737" s="19"/>
      <c r="F737" s="52"/>
      <c r="G737" s="19"/>
      <c r="H737" s="19"/>
      <c r="I737" s="19"/>
      <c r="J737" s="19"/>
      <c r="K737" s="19"/>
      <c r="L737" s="19"/>
      <c r="M737" s="19"/>
      <c r="N737" s="19"/>
      <c r="O737" s="19"/>
      <c r="P737" s="48"/>
      <c r="Q737" s="49"/>
      <c r="R737" s="19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</row>
    <row r="738">
      <c r="A738" s="48"/>
      <c r="B738" s="48"/>
      <c r="C738" s="48"/>
      <c r="D738" s="19"/>
      <c r="E738" s="19"/>
      <c r="F738" s="52"/>
      <c r="G738" s="19"/>
      <c r="H738" s="19"/>
      <c r="I738" s="19"/>
      <c r="J738" s="19"/>
      <c r="K738" s="19"/>
      <c r="L738" s="19"/>
      <c r="M738" s="19"/>
      <c r="N738" s="19"/>
      <c r="O738" s="19"/>
      <c r="P738" s="48"/>
      <c r="Q738" s="49"/>
      <c r="R738" s="19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</row>
    <row r="739">
      <c r="A739" s="48"/>
      <c r="B739" s="48"/>
      <c r="C739" s="48"/>
      <c r="D739" s="19"/>
      <c r="E739" s="19"/>
      <c r="F739" s="52"/>
      <c r="G739" s="19"/>
      <c r="H739" s="19"/>
      <c r="I739" s="19"/>
      <c r="J739" s="19"/>
      <c r="K739" s="19"/>
      <c r="L739" s="19"/>
      <c r="M739" s="19"/>
      <c r="N739" s="19"/>
      <c r="O739" s="19"/>
      <c r="P739" s="48"/>
      <c r="Q739" s="49"/>
      <c r="R739" s="19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</row>
    <row r="740">
      <c r="A740" s="48"/>
      <c r="B740" s="48"/>
      <c r="C740" s="48"/>
      <c r="D740" s="19"/>
      <c r="E740" s="19"/>
      <c r="F740" s="52"/>
      <c r="G740" s="19"/>
      <c r="H740" s="19"/>
      <c r="I740" s="19"/>
      <c r="J740" s="19"/>
      <c r="K740" s="19"/>
      <c r="L740" s="19"/>
      <c r="M740" s="19"/>
      <c r="N740" s="19"/>
      <c r="O740" s="19"/>
      <c r="P740" s="48"/>
      <c r="Q740" s="49"/>
      <c r="R740" s="19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</row>
    <row r="741">
      <c r="A741" s="48"/>
      <c r="B741" s="48"/>
      <c r="C741" s="48"/>
      <c r="D741" s="19"/>
      <c r="E741" s="19"/>
      <c r="F741" s="52"/>
      <c r="G741" s="19"/>
      <c r="H741" s="19"/>
      <c r="I741" s="19"/>
      <c r="J741" s="19"/>
      <c r="K741" s="19"/>
      <c r="L741" s="19"/>
      <c r="M741" s="19"/>
      <c r="N741" s="19"/>
      <c r="O741" s="19"/>
      <c r="P741" s="48"/>
      <c r="Q741" s="49"/>
      <c r="R741" s="19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</row>
    <row r="742">
      <c r="A742" s="48"/>
      <c r="B742" s="48"/>
      <c r="C742" s="48"/>
      <c r="D742" s="19"/>
      <c r="E742" s="19"/>
      <c r="F742" s="52"/>
      <c r="G742" s="19"/>
      <c r="H742" s="19"/>
      <c r="I742" s="19"/>
      <c r="J742" s="19"/>
      <c r="K742" s="19"/>
      <c r="L742" s="19"/>
      <c r="M742" s="19"/>
      <c r="N742" s="19"/>
      <c r="O742" s="19"/>
      <c r="P742" s="48"/>
      <c r="Q742" s="49"/>
      <c r="R742" s="19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</row>
    <row r="743">
      <c r="A743" s="48"/>
      <c r="B743" s="48"/>
      <c r="C743" s="48"/>
      <c r="D743" s="19"/>
      <c r="E743" s="19"/>
      <c r="F743" s="52"/>
      <c r="G743" s="19"/>
      <c r="H743" s="19"/>
      <c r="I743" s="19"/>
      <c r="J743" s="19"/>
      <c r="K743" s="19"/>
      <c r="L743" s="19"/>
      <c r="M743" s="19"/>
      <c r="N743" s="19"/>
      <c r="O743" s="19"/>
      <c r="P743" s="48"/>
      <c r="Q743" s="49"/>
      <c r="R743" s="19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</row>
    <row r="744">
      <c r="A744" s="48"/>
      <c r="B744" s="48"/>
      <c r="C744" s="48"/>
      <c r="D744" s="19"/>
      <c r="E744" s="19"/>
      <c r="F744" s="52"/>
      <c r="G744" s="19"/>
      <c r="H744" s="19"/>
      <c r="I744" s="19"/>
      <c r="J744" s="19"/>
      <c r="K744" s="19"/>
      <c r="L744" s="19"/>
      <c r="M744" s="19"/>
      <c r="N744" s="19"/>
      <c r="O744" s="19"/>
      <c r="P744" s="48"/>
      <c r="Q744" s="49"/>
      <c r="R744" s="19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</row>
    <row r="745">
      <c r="A745" s="48"/>
      <c r="B745" s="48"/>
      <c r="C745" s="48"/>
      <c r="D745" s="19"/>
      <c r="E745" s="19"/>
      <c r="F745" s="52"/>
      <c r="G745" s="19"/>
      <c r="H745" s="19"/>
      <c r="I745" s="19"/>
      <c r="J745" s="19"/>
      <c r="K745" s="19"/>
      <c r="L745" s="19"/>
      <c r="M745" s="19"/>
      <c r="N745" s="19"/>
      <c r="O745" s="19"/>
      <c r="P745" s="48"/>
      <c r="Q745" s="49"/>
      <c r="R745" s="19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</row>
    <row r="746">
      <c r="A746" s="48"/>
      <c r="B746" s="48"/>
      <c r="C746" s="48"/>
      <c r="D746" s="19"/>
      <c r="E746" s="19"/>
      <c r="F746" s="52"/>
      <c r="G746" s="19"/>
      <c r="H746" s="19"/>
      <c r="I746" s="19"/>
      <c r="J746" s="19"/>
      <c r="K746" s="19"/>
      <c r="L746" s="19"/>
      <c r="M746" s="19"/>
      <c r="N746" s="19"/>
      <c r="O746" s="19"/>
      <c r="P746" s="48"/>
      <c r="Q746" s="49"/>
      <c r="R746" s="19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</row>
    <row r="747">
      <c r="A747" s="48"/>
      <c r="B747" s="48"/>
      <c r="C747" s="48"/>
      <c r="D747" s="19"/>
      <c r="E747" s="19"/>
      <c r="F747" s="52"/>
      <c r="G747" s="19"/>
      <c r="H747" s="19"/>
      <c r="I747" s="19"/>
      <c r="J747" s="19"/>
      <c r="K747" s="19"/>
      <c r="L747" s="19"/>
      <c r="M747" s="19"/>
      <c r="N747" s="19"/>
      <c r="O747" s="19"/>
      <c r="P747" s="48"/>
      <c r="Q747" s="49"/>
      <c r="R747" s="19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</row>
    <row r="748">
      <c r="A748" s="48"/>
      <c r="B748" s="48"/>
      <c r="C748" s="48"/>
      <c r="D748" s="19"/>
      <c r="E748" s="19"/>
      <c r="F748" s="52"/>
      <c r="G748" s="19"/>
      <c r="H748" s="19"/>
      <c r="I748" s="19"/>
      <c r="J748" s="19"/>
      <c r="K748" s="19"/>
      <c r="L748" s="19"/>
      <c r="M748" s="19"/>
      <c r="N748" s="19"/>
      <c r="O748" s="19"/>
      <c r="P748" s="48"/>
      <c r="Q748" s="49"/>
      <c r="R748" s="19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</row>
    <row r="749">
      <c r="A749" s="48"/>
      <c r="B749" s="48"/>
      <c r="C749" s="48"/>
      <c r="D749" s="19"/>
      <c r="E749" s="19"/>
      <c r="F749" s="52"/>
      <c r="G749" s="19"/>
      <c r="H749" s="19"/>
      <c r="I749" s="19"/>
      <c r="J749" s="19"/>
      <c r="K749" s="19"/>
      <c r="L749" s="19"/>
      <c r="M749" s="19"/>
      <c r="N749" s="19"/>
      <c r="O749" s="19"/>
      <c r="P749" s="48"/>
      <c r="Q749" s="49"/>
      <c r="R749" s="19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</row>
    <row r="750">
      <c r="A750" s="48"/>
      <c r="B750" s="48"/>
      <c r="C750" s="48"/>
      <c r="D750" s="19"/>
      <c r="E750" s="19"/>
      <c r="F750" s="52"/>
      <c r="G750" s="19"/>
      <c r="H750" s="19"/>
      <c r="I750" s="19"/>
      <c r="J750" s="19"/>
      <c r="K750" s="19"/>
      <c r="L750" s="19"/>
      <c r="M750" s="19"/>
      <c r="N750" s="19"/>
      <c r="O750" s="19"/>
      <c r="P750" s="48"/>
      <c r="Q750" s="49"/>
      <c r="R750" s="19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</row>
    <row r="751">
      <c r="A751" s="48"/>
      <c r="B751" s="48"/>
      <c r="C751" s="48"/>
      <c r="D751" s="19"/>
      <c r="E751" s="19"/>
      <c r="F751" s="52"/>
      <c r="G751" s="19"/>
      <c r="H751" s="19"/>
      <c r="I751" s="19"/>
      <c r="J751" s="19"/>
      <c r="K751" s="19"/>
      <c r="L751" s="19"/>
      <c r="M751" s="19"/>
      <c r="N751" s="19"/>
      <c r="O751" s="19"/>
      <c r="P751" s="48"/>
      <c r="Q751" s="49"/>
      <c r="R751" s="19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</row>
    <row r="752">
      <c r="A752" s="48"/>
      <c r="B752" s="48"/>
      <c r="C752" s="48"/>
      <c r="D752" s="19"/>
      <c r="E752" s="19"/>
      <c r="F752" s="52"/>
      <c r="G752" s="19"/>
      <c r="H752" s="19"/>
      <c r="I752" s="19"/>
      <c r="J752" s="19"/>
      <c r="K752" s="19"/>
      <c r="L752" s="19"/>
      <c r="M752" s="19"/>
      <c r="N752" s="19"/>
      <c r="O752" s="19"/>
      <c r="P752" s="48"/>
      <c r="Q752" s="49"/>
      <c r="R752" s="19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</row>
    <row r="753">
      <c r="A753" s="48"/>
      <c r="B753" s="48"/>
      <c r="C753" s="48"/>
      <c r="D753" s="19"/>
      <c r="E753" s="19"/>
      <c r="F753" s="52"/>
      <c r="G753" s="19"/>
      <c r="H753" s="19"/>
      <c r="I753" s="19"/>
      <c r="J753" s="19"/>
      <c r="K753" s="19"/>
      <c r="L753" s="19"/>
      <c r="M753" s="19"/>
      <c r="N753" s="19"/>
      <c r="O753" s="19"/>
      <c r="P753" s="48"/>
      <c r="Q753" s="49"/>
      <c r="R753" s="19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</row>
    <row r="754">
      <c r="A754" s="48"/>
      <c r="B754" s="48"/>
      <c r="C754" s="48"/>
      <c r="D754" s="19"/>
      <c r="E754" s="19"/>
      <c r="F754" s="52"/>
      <c r="G754" s="19"/>
      <c r="H754" s="19"/>
      <c r="I754" s="19"/>
      <c r="J754" s="19"/>
      <c r="K754" s="19"/>
      <c r="L754" s="19"/>
      <c r="M754" s="19"/>
      <c r="N754" s="19"/>
      <c r="O754" s="19"/>
      <c r="P754" s="48"/>
      <c r="Q754" s="49"/>
      <c r="R754" s="19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</row>
    <row r="755">
      <c r="A755" s="48"/>
      <c r="B755" s="48"/>
      <c r="C755" s="48"/>
      <c r="D755" s="19"/>
      <c r="E755" s="19"/>
      <c r="F755" s="52"/>
      <c r="G755" s="19"/>
      <c r="H755" s="19"/>
      <c r="I755" s="19"/>
      <c r="J755" s="19"/>
      <c r="K755" s="19"/>
      <c r="L755" s="19"/>
      <c r="M755" s="19"/>
      <c r="N755" s="19"/>
      <c r="O755" s="19"/>
      <c r="P755" s="48"/>
      <c r="Q755" s="49"/>
      <c r="R755" s="19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</row>
    <row r="756">
      <c r="A756" s="48"/>
      <c r="B756" s="48"/>
      <c r="C756" s="48"/>
      <c r="D756" s="19"/>
      <c r="E756" s="19"/>
      <c r="F756" s="52"/>
      <c r="G756" s="19"/>
      <c r="H756" s="19"/>
      <c r="I756" s="19"/>
      <c r="J756" s="19"/>
      <c r="K756" s="19"/>
      <c r="L756" s="19"/>
      <c r="M756" s="19"/>
      <c r="N756" s="19"/>
      <c r="O756" s="19"/>
      <c r="P756" s="48"/>
      <c r="Q756" s="49"/>
      <c r="R756" s="19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</row>
    <row r="757">
      <c r="A757" s="48"/>
      <c r="B757" s="48"/>
      <c r="C757" s="48"/>
      <c r="D757" s="19"/>
      <c r="E757" s="19"/>
      <c r="F757" s="52"/>
      <c r="G757" s="19"/>
      <c r="H757" s="19"/>
      <c r="I757" s="19"/>
      <c r="J757" s="19"/>
      <c r="K757" s="19"/>
      <c r="L757" s="19"/>
      <c r="M757" s="19"/>
      <c r="N757" s="19"/>
      <c r="O757" s="19"/>
      <c r="P757" s="48"/>
      <c r="Q757" s="49"/>
      <c r="R757" s="19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</row>
    <row r="758">
      <c r="A758" s="48"/>
      <c r="B758" s="48"/>
      <c r="C758" s="48"/>
      <c r="D758" s="19"/>
      <c r="E758" s="19"/>
      <c r="F758" s="52"/>
      <c r="G758" s="19"/>
      <c r="H758" s="19"/>
      <c r="I758" s="19"/>
      <c r="J758" s="19"/>
      <c r="K758" s="19"/>
      <c r="L758" s="19"/>
      <c r="M758" s="19"/>
      <c r="N758" s="19"/>
      <c r="O758" s="19"/>
      <c r="P758" s="48"/>
      <c r="Q758" s="49"/>
      <c r="R758" s="19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</row>
    <row r="759">
      <c r="A759" s="48"/>
      <c r="B759" s="48"/>
      <c r="C759" s="48"/>
      <c r="D759" s="19"/>
      <c r="E759" s="19"/>
      <c r="F759" s="52"/>
      <c r="G759" s="19"/>
      <c r="H759" s="19"/>
      <c r="I759" s="19"/>
      <c r="J759" s="19"/>
      <c r="K759" s="19"/>
      <c r="L759" s="19"/>
      <c r="M759" s="19"/>
      <c r="N759" s="19"/>
      <c r="O759" s="19"/>
      <c r="P759" s="48"/>
      <c r="Q759" s="49"/>
      <c r="R759" s="19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</row>
    <row r="760">
      <c r="A760" s="48"/>
      <c r="B760" s="48"/>
      <c r="C760" s="48"/>
      <c r="D760" s="19"/>
      <c r="E760" s="19"/>
      <c r="F760" s="52"/>
      <c r="G760" s="19"/>
      <c r="H760" s="19"/>
      <c r="I760" s="19"/>
      <c r="J760" s="19"/>
      <c r="K760" s="19"/>
      <c r="L760" s="19"/>
      <c r="M760" s="19"/>
      <c r="N760" s="19"/>
      <c r="O760" s="19"/>
      <c r="P760" s="48"/>
      <c r="Q760" s="49"/>
      <c r="R760" s="19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</row>
    <row r="761">
      <c r="A761" s="48"/>
      <c r="B761" s="48"/>
      <c r="C761" s="48"/>
      <c r="D761" s="19"/>
      <c r="E761" s="19"/>
      <c r="F761" s="52"/>
      <c r="G761" s="19"/>
      <c r="H761" s="19"/>
      <c r="I761" s="19"/>
      <c r="J761" s="19"/>
      <c r="K761" s="19"/>
      <c r="L761" s="19"/>
      <c r="M761" s="19"/>
      <c r="N761" s="19"/>
      <c r="O761" s="19"/>
      <c r="P761" s="48"/>
      <c r="Q761" s="49"/>
      <c r="R761" s="19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</row>
    <row r="762">
      <c r="A762" s="48"/>
      <c r="B762" s="48"/>
      <c r="C762" s="48"/>
      <c r="D762" s="19"/>
      <c r="E762" s="19"/>
      <c r="F762" s="52"/>
      <c r="G762" s="19"/>
      <c r="H762" s="19"/>
      <c r="I762" s="19"/>
      <c r="J762" s="19"/>
      <c r="K762" s="19"/>
      <c r="L762" s="19"/>
      <c r="M762" s="19"/>
      <c r="N762" s="19"/>
      <c r="O762" s="19"/>
      <c r="P762" s="48"/>
      <c r="Q762" s="49"/>
      <c r="R762" s="19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</row>
    <row r="763">
      <c r="A763" s="48"/>
      <c r="B763" s="48"/>
      <c r="C763" s="48"/>
      <c r="D763" s="19"/>
      <c r="E763" s="19"/>
      <c r="F763" s="52"/>
      <c r="G763" s="19"/>
      <c r="H763" s="19"/>
      <c r="I763" s="19"/>
      <c r="J763" s="19"/>
      <c r="K763" s="19"/>
      <c r="L763" s="19"/>
      <c r="M763" s="19"/>
      <c r="N763" s="19"/>
      <c r="O763" s="19"/>
      <c r="P763" s="48"/>
      <c r="Q763" s="49"/>
      <c r="R763" s="19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</row>
    <row r="764">
      <c r="A764" s="48"/>
      <c r="B764" s="48"/>
      <c r="C764" s="48"/>
      <c r="D764" s="19"/>
      <c r="E764" s="19"/>
      <c r="F764" s="52"/>
      <c r="G764" s="19"/>
      <c r="H764" s="19"/>
      <c r="I764" s="19"/>
      <c r="J764" s="19"/>
      <c r="K764" s="19"/>
      <c r="L764" s="19"/>
      <c r="M764" s="19"/>
      <c r="N764" s="19"/>
      <c r="O764" s="19"/>
      <c r="P764" s="48"/>
      <c r="Q764" s="49"/>
      <c r="R764" s="19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</row>
    <row r="765">
      <c r="A765" s="48"/>
      <c r="B765" s="48"/>
      <c r="C765" s="48"/>
      <c r="D765" s="19"/>
      <c r="E765" s="19"/>
      <c r="F765" s="52"/>
      <c r="G765" s="19"/>
      <c r="H765" s="19"/>
      <c r="I765" s="19"/>
      <c r="J765" s="19"/>
      <c r="K765" s="19"/>
      <c r="L765" s="19"/>
      <c r="M765" s="19"/>
      <c r="N765" s="19"/>
      <c r="O765" s="19"/>
      <c r="P765" s="48"/>
      <c r="Q765" s="49"/>
      <c r="R765" s="19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</row>
    <row r="766">
      <c r="A766" s="48"/>
      <c r="B766" s="48"/>
      <c r="C766" s="48"/>
      <c r="D766" s="19"/>
      <c r="E766" s="19"/>
      <c r="F766" s="52"/>
      <c r="G766" s="19"/>
      <c r="H766" s="19"/>
      <c r="I766" s="19"/>
      <c r="J766" s="19"/>
      <c r="K766" s="19"/>
      <c r="L766" s="19"/>
      <c r="M766" s="19"/>
      <c r="N766" s="19"/>
      <c r="O766" s="19"/>
      <c r="P766" s="48"/>
      <c r="Q766" s="49"/>
      <c r="R766" s="19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</row>
    <row r="767">
      <c r="A767" s="48"/>
      <c r="B767" s="48"/>
      <c r="C767" s="48"/>
      <c r="D767" s="19"/>
      <c r="E767" s="19"/>
      <c r="F767" s="52"/>
      <c r="G767" s="19"/>
      <c r="H767" s="19"/>
      <c r="I767" s="19"/>
      <c r="J767" s="19"/>
      <c r="K767" s="19"/>
      <c r="L767" s="19"/>
      <c r="M767" s="19"/>
      <c r="N767" s="19"/>
      <c r="O767" s="19"/>
      <c r="P767" s="48"/>
      <c r="Q767" s="49"/>
      <c r="R767" s="19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</row>
    <row r="768">
      <c r="A768" s="48"/>
      <c r="B768" s="48"/>
      <c r="C768" s="48"/>
      <c r="D768" s="19"/>
      <c r="E768" s="19"/>
      <c r="F768" s="52"/>
      <c r="G768" s="19"/>
      <c r="H768" s="19"/>
      <c r="I768" s="19"/>
      <c r="J768" s="19"/>
      <c r="K768" s="19"/>
      <c r="L768" s="19"/>
      <c r="M768" s="19"/>
      <c r="N768" s="19"/>
      <c r="O768" s="19"/>
      <c r="P768" s="48"/>
      <c r="Q768" s="49"/>
      <c r="R768" s="19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</row>
    <row r="769">
      <c r="A769" s="48"/>
      <c r="B769" s="48"/>
      <c r="C769" s="48"/>
      <c r="D769" s="19"/>
      <c r="E769" s="19"/>
      <c r="F769" s="52"/>
      <c r="G769" s="19"/>
      <c r="H769" s="19"/>
      <c r="I769" s="19"/>
      <c r="J769" s="19"/>
      <c r="K769" s="19"/>
      <c r="L769" s="19"/>
      <c r="M769" s="19"/>
      <c r="N769" s="19"/>
      <c r="O769" s="19"/>
      <c r="P769" s="48"/>
      <c r="Q769" s="49"/>
      <c r="R769" s="19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</row>
    <row r="770">
      <c r="A770" s="48"/>
      <c r="B770" s="48"/>
      <c r="C770" s="48"/>
      <c r="D770" s="19"/>
      <c r="E770" s="19"/>
      <c r="F770" s="52"/>
      <c r="G770" s="19"/>
      <c r="H770" s="19"/>
      <c r="I770" s="19"/>
      <c r="J770" s="19"/>
      <c r="K770" s="19"/>
      <c r="L770" s="19"/>
      <c r="M770" s="19"/>
      <c r="N770" s="19"/>
      <c r="O770" s="19"/>
      <c r="P770" s="48"/>
      <c r="Q770" s="49"/>
      <c r="R770" s="19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</row>
    <row r="771">
      <c r="A771" s="48"/>
      <c r="B771" s="48"/>
      <c r="C771" s="48"/>
      <c r="D771" s="19"/>
      <c r="E771" s="19"/>
      <c r="F771" s="52"/>
      <c r="G771" s="19"/>
      <c r="H771" s="19"/>
      <c r="I771" s="19"/>
      <c r="J771" s="19"/>
      <c r="K771" s="19"/>
      <c r="L771" s="19"/>
      <c r="M771" s="19"/>
      <c r="N771" s="19"/>
      <c r="O771" s="19"/>
      <c r="P771" s="48"/>
      <c r="Q771" s="49"/>
      <c r="R771" s="19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</row>
    <row r="772">
      <c r="A772" s="48"/>
      <c r="B772" s="48"/>
      <c r="C772" s="48"/>
      <c r="D772" s="19"/>
      <c r="E772" s="19"/>
      <c r="F772" s="52"/>
      <c r="G772" s="19"/>
      <c r="H772" s="19"/>
      <c r="I772" s="19"/>
      <c r="J772" s="19"/>
      <c r="K772" s="19"/>
      <c r="L772" s="19"/>
      <c r="M772" s="19"/>
      <c r="N772" s="19"/>
      <c r="O772" s="19"/>
      <c r="P772" s="48"/>
      <c r="Q772" s="49"/>
      <c r="R772" s="19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</row>
    <row r="773">
      <c r="A773" s="48"/>
      <c r="B773" s="48"/>
      <c r="C773" s="48"/>
      <c r="D773" s="19"/>
      <c r="E773" s="19"/>
      <c r="F773" s="52"/>
      <c r="G773" s="19"/>
      <c r="H773" s="19"/>
      <c r="I773" s="19"/>
      <c r="J773" s="19"/>
      <c r="K773" s="19"/>
      <c r="L773" s="19"/>
      <c r="M773" s="19"/>
      <c r="N773" s="19"/>
      <c r="O773" s="19"/>
      <c r="P773" s="48"/>
      <c r="Q773" s="49"/>
      <c r="R773" s="19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</row>
    <row r="774">
      <c r="A774" s="48"/>
      <c r="B774" s="48"/>
      <c r="C774" s="48"/>
      <c r="D774" s="19"/>
      <c r="E774" s="19"/>
      <c r="F774" s="52"/>
      <c r="G774" s="19"/>
      <c r="H774" s="19"/>
      <c r="I774" s="19"/>
      <c r="J774" s="19"/>
      <c r="K774" s="19"/>
      <c r="L774" s="19"/>
      <c r="M774" s="19"/>
      <c r="N774" s="19"/>
      <c r="O774" s="19"/>
      <c r="P774" s="48"/>
      <c r="Q774" s="49"/>
      <c r="R774" s="19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</row>
    <row r="775">
      <c r="A775" s="48"/>
      <c r="B775" s="48"/>
      <c r="C775" s="48"/>
      <c r="D775" s="19"/>
      <c r="E775" s="19"/>
      <c r="F775" s="52"/>
      <c r="G775" s="19"/>
      <c r="H775" s="19"/>
      <c r="I775" s="19"/>
      <c r="J775" s="19"/>
      <c r="K775" s="19"/>
      <c r="L775" s="19"/>
      <c r="M775" s="19"/>
      <c r="N775" s="19"/>
      <c r="O775" s="19"/>
      <c r="P775" s="48"/>
      <c r="Q775" s="49"/>
      <c r="R775" s="19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</row>
    <row r="776">
      <c r="A776" s="48"/>
      <c r="B776" s="48"/>
      <c r="C776" s="48"/>
      <c r="D776" s="19"/>
      <c r="E776" s="19"/>
      <c r="F776" s="52"/>
      <c r="G776" s="19"/>
      <c r="H776" s="19"/>
      <c r="I776" s="19"/>
      <c r="J776" s="19"/>
      <c r="K776" s="19"/>
      <c r="L776" s="19"/>
      <c r="M776" s="19"/>
      <c r="N776" s="19"/>
      <c r="O776" s="19"/>
      <c r="P776" s="48"/>
      <c r="Q776" s="49"/>
      <c r="R776" s="19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</row>
    <row r="777">
      <c r="A777" s="48"/>
      <c r="B777" s="48"/>
      <c r="C777" s="48"/>
      <c r="D777" s="19"/>
      <c r="E777" s="19"/>
      <c r="F777" s="52"/>
      <c r="G777" s="19"/>
      <c r="H777" s="19"/>
      <c r="I777" s="19"/>
      <c r="J777" s="19"/>
      <c r="K777" s="19"/>
      <c r="L777" s="19"/>
      <c r="M777" s="19"/>
      <c r="N777" s="19"/>
      <c r="O777" s="19"/>
      <c r="P777" s="48"/>
      <c r="Q777" s="49"/>
      <c r="R777" s="19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</row>
    <row r="778">
      <c r="A778" s="48"/>
      <c r="B778" s="48"/>
      <c r="C778" s="48"/>
      <c r="D778" s="19"/>
      <c r="E778" s="19"/>
      <c r="F778" s="52"/>
      <c r="G778" s="19"/>
      <c r="H778" s="19"/>
      <c r="I778" s="19"/>
      <c r="J778" s="19"/>
      <c r="K778" s="19"/>
      <c r="L778" s="19"/>
      <c r="M778" s="19"/>
      <c r="N778" s="19"/>
      <c r="O778" s="19"/>
      <c r="P778" s="48"/>
      <c r="Q778" s="49"/>
      <c r="R778" s="19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</row>
    <row r="779">
      <c r="A779" s="48"/>
      <c r="B779" s="48"/>
      <c r="C779" s="48"/>
      <c r="D779" s="19"/>
      <c r="E779" s="19"/>
      <c r="F779" s="52"/>
      <c r="G779" s="19"/>
      <c r="H779" s="19"/>
      <c r="I779" s="19"/>
      <c r="J779" s="19"/>
      <c r="K779" s="19"/>
      <c r="L779" s="19"/>
      <c r="M779" s="19"/>
      <c r="N779" s="19"/>
      <c r="O779" s="19"/>
      <c r="P779" s="48"/>
      <c r="Q779" s="49"/>
      <c r="R779" s="19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</row>
    <row r="780">
      <c r="A780" s="48"/>
      <c r="B780" s="48"/>
      <c r="C780" s="48"/>
      <c r="D780" s="19"/>
      <c r="E780" s="19"/>
      <c r="F780" s="52"/>
      <c r="G780" s="19"/>
      <c r="H780" s="19"/>
      <c r="I780" s="19"/>
      <c r="J780" s="19"/>
      <c r="K780" s="19"/>
      <c r="L780" s="19"/>
      <c r="M780" s="19"/>
      <c r="N780" s="19"/>
      <c r="O780" s="19"/>
      <c r="P780" s="48"/>
      <c r="Q780" s="49"/>
      <c r="R780" s="19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</row>
    <row r="781">
      <c r="A781" s="48"/>
      <c r="B781" s="48"/>
      <c r="C781" s="48"/>
      <c r="D781" s="19"/>
      <c r="E781" s="19"/>
      <c r="F781" s="52"/>
      <c r="G781" s="19"/>
      <c r="H781" s="19"/>
      <c r="I781" s="19"/>
      <c r="J781" s="19"/>
      <c r="K781" s="19"/>
      <c r="L781" s="19"/>
      <c r="M781" s="19"/>
      <c r="N781" s="19"/>
      <c r="O781" s="19"/>
      <c r="P781" s="48"/>
      <c r="Q781" s="49"/>
      <c r="R781" s="19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</row>
    <row r="782">
      <c r="A782" s="48"/>
      <c r="B782" s="48"/>
      <c r="C782" s="48"/>
      <c r="D782" s="19"/>
      <c r="E782" s="19"/>
      <c r="F782" s="52"/>
      <c r="G782" s="19"/>
      <c r="H782" s="19"/>
      <c r="I782" s="19"/>
      <c r="J782" s="19"/>
      <c r="K782" s="19"/>
      <c r="L782" s="19"/>
      <c r="M782" s="19"/>
      <c r="N782" s="19"/>
      <c r="O782" s="19"/>
      <c r="P782" s="48"/>
      <c r="Q782" s="49"/>
      <c r="R782" s="19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</row>
    <row r="783">
      <c r="A783" s="48"/>
      <c r="B783" s="48"/>
      <c r="C783" s="48"/>
      <c r="D783" s="19"/>
      <c r="E783" s="19"/>
      <c r="F783" s="52"/>
      <c r="G783" s="19"/>
      <c r="H783" s="19"/>
      <c r="I783" s="19"/>
      <c r="J783" s="19"/>
      <c r="K783" s="19"/>
      <c r="L783" s="19"/>
      <c r="M783" s="19"/>
      <c r="N783" s="19"/>
      <c r="O783" s="19"/>
      <c r="P783" s="48"/>
      <c r="Q783" s="49"/>
      <c r="R783" s="19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</row>
    <row r="784">
      <c r="A784" s="48"/>
      <c r="B784" s="48"/>
      <c r="C784" s="48"/>
      <c r="D784" s="19"/>
      <c r="E784" s="19"/>
      <c r="F784" s="52"/>
      <c r="G784" s="19"/>
      <c r="H784" s="19"/>
      <c r="I784" s="19"/>
      <c r="J784" s="19"/>
      <c r="K784" s="19"/>
      <c r="L784" s="19"/>
      <c r="M784" s="19"/>
      <c r="N784" s="19"/>
      <c r="O784" s="19"/>
      <c r="P784" s="48"/>
      <c r="Q784" s="49"/>
      <c r="R784" s="19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</row>
    <row r="785">
      <c r="A785" s="48"/>
      <c r="B785" s="48"/>
      <c r="C785" s="48"/>
      <c r="D785" s="19"/>
      <c r="E785" s="19"/>
      <c r="F785" s="52"/>
      <c r="G785" s="19"/>
      <c r="H785" s="19"/>
      <c r="I785" s="19"/>
      <c r="J785" s="19"/>
      <c r="K785" s="19"/>
      <c r="L785" s="19"/>
      <c r="M785" s="19"/>
      <c r="N785" s="19"/>
      <c r="O785" s="19"/>
      <c r="P785" s="48"/>
      <c r="Q785" s="49"/>
      <c r="R785" s="19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</row>
    <row r="786">
      <c r="A786" s="48"/>
      <c r="B786" s="48"/>
      <c r="C786" s="48"/>
      <c r="D786" s="19"/>
      <c r="E786" s="19"/>
      <c r="F786" s="52"/>
      <c r="G786" s="19"/>
      <c r="H786" s="19"/>
      <c r="I786" s="19"/>
      <c r="J786" s="19"/>
      <c r="K786" s="19"/>
      <c r="L786" s="19"/>
      <c r="M786" s="19"/>
      <c r="N786" s="19"/>
      <c r="O786" s="19"/>
      <c r="P786" s="48"/>
      <c r="Q786" s="49"/>
      <c r="R786" s="19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</row>
    <row r="787">
      <c r="A787" s="48"/>
      <c r="B787" s="48"/>
      <c r="C787" s="48"/>
      <c r="D787" s="19"/>
      <c r="E787" s="19"/>
      <c r="F787" s="52"/>
      <c r="G787" s="19"/>
      <c r="H787" s="19"/>
      <c r="I787" s="19"/>
      <c r="J787" s="19"/>
      <c r="K787" s="19"/>
      <c r="L787" s="19"/>
      <c r="M787" s="19"/>
      <c r="N787" s="19"/>
      <c r="O787" s="19"/>
      <c r="P787" s="48"/>
      <c r="Q787" s="49"/>
      <c r="R787" s="19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</row>
    <row r="788">
      <c r="A788" s="48"/>
      <c r="B788" s="48"/>
      <c r="C788" s="48"/>
      <c r="D788" s="19"/>
      <c r="E788" s="19"/>
      <c r="F788" s="52"/>
      <c r="G788" s="19"/>
      <c r="H788" s="19"/>
      <c r="I788" s="19"/>
      <c r="J788" s="19"/>
      <c r="K788" s="19"/>
      <c r="L788" s="19"/>
      <c r="M788" s="19"/>
      <c r="N788" s="19"/>
      <c r="O788" s="19"/>
      <c r="P788" s="48"/>
      <c r="Q788" s="49"/>
      <c r="R788" s="19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</row>
    <row r="789">
      <c r="A789" s="48"/>
      <c r="B789" s="48"/>
      <c r="C789" s="48"/>
      <c r="D789" s="19"/>
      <c r="E789" s="19"/>
      <c r="F789" s="52"/>
      <c r="G789" s="19"/>
      <c r="H789" s="19"/>
      <c r="I789" s="19"/>
      <c r="J789" s="19"/>
      <c r="K789" s="19"/>
      <c r="L789" s="19"/>
      <c r="M789" s="19"/>
      <c r="N789" s="19"/>
      <c r="O789" s="19"/>
      <c r="P789" s="48"/>
      <c r="Q789" s="49"/>
      <c r="R789" s="19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</row>
    <row r="790">
      <c r="A790" s="48"/>
      <c r="B790" s="48"/>
      <c r="C790" s="48"/>
      <c r="D790" s="19"/>
      <c r="E790" s="19"/>
      <c r="F790" s="52"/>
      <c r="G790" s="19"/>
      <c r="H790" s="19"/>
      <c r="I790" s="19"/>
      <c r="J790" s="19"/>
      <c r="K790" s="19"/>
      <c r="L790" s="19"/>
      <c r="M790" s="19"/>
      <c r="N790" s="19"/>
      <c r="O790" s="19"/>
      <c r="P790" s="48"/>
      <c r="Q790" s="49"/>
      <c r="R790" s="19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</row>
    <row r="791">
      <c r="A791" s="48"/>
      <c r="B791" s="48"/>
      <c r="C791" s="48"/>
      <c r="D791" s="19"/>
      <c r="E791" s="19"/>
      <c r="F791" s="52"/>
      <c r="G791" s="19"/>
      <c r="H791" s="19"/>
      <c r="I791" s="19"/>
      <c r="J791" s="19"/>
      <c r="K791" s="19"/>
      <c r="L791" s="19"/>
      <c r="M791" s="19"/>
      <c r="N791" s="19"/>
      <c r="O791" s="19"/>
      <c r="P791" s="48"/>
      <c r="Q791" s="49"/>
      <c r="R791" s="19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</row>
    <row r="792">
      <c r="A792" s="48"/>
      <c r="B792" s="48"/>
      <c r="C792" s="48"/>
      <c r="D792" s="19"/>
      <c r="E792" s="19"/>
      <c r="F792" s="52"/>
      <c r="G792" s="19"/>
      <c r="H792" s="19"/>
      <c r="I792" s="19"/>
      <c r="J792" s="19"/>
      <c r="K792" s="19"/>
      <c r="L792" s="19"/>
      <c r="M792" s="19"/>
      <c r="N792" s="19"/>
      <c r="O792" s="19"/>
      <c r="P792" s="48"/>
      <c r="Q792" s="49"/>
      <c r="R792" s="19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</row>
    <row r="793">
      <c r="A793" s="48"/>
      <c r="B793" s="48"/>
      <c r="C793" s="48"/>
      <c r="D793" s="19"/>
      <c r="E793" s="19"/>
      <c r="F793" s="52"/>
      <c r="G793" s="19"/>
      <c r="H793" s="19"/>
      <c r="I793" s="19"/>
      <c r="J793" s="19"/>
      <c r="K793" s="19"/>
      <c r="L793" s="19"/>
      <c r="M793" s="19"/>
      <c r="N793" s="19"/>
      <c r="O793" s="19"/>
      <c r="P793" s="48"/>
      <c r="Q793" s="49"/>
      <c r="R793" s="19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</row>
    <row r="794">
      <c r="A794" s="48"/>
      <c r="B794" s="48"/>
      <c r="C794" s="48"/>
      <c r="D794" s="19"/>
      <c r="E794" s="19"/>
      <c r="F794" s="52"/>
      <c r="G794" s="19"/>
      <c r="H794" s="19"/>
      <c r="I794" s="19"/>
      <c r="J794" s="19"/>
      <c r="K794" s="19"/>
      <c r="L794" s="19"/>
      <c r="M794" s="19"/>
      <c r="N794" s="19"/>
      <c r="O794" s="19"/>
      <c r="P794" s="48"/>
      <c r="Q794" s="49"/>
      <c r="R794" s="19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</row>
    <row r="795">
      <c r="A795" s="48"/>
      <c r="B795" s="48"/>
      <c r="C795" s="48"/>
      <c r="D795" s="19"/>
      <c r="E795" s="19"/>
      <c r="F795" s="52"/>
      <c r="G795" s="19"/>
      <c r="H795" s="19"/>
      <c r="I795" s="19"/>
      <c r="J795" s="19"/>
      <c r="K795" s="19"/>
      <c r="L795" s="19"/>
      <c r="M795" s="19"/>
      <c r="N795" s="19"/>
      <c r="O795" s="19"/>
      <c r="P795" s="48"/>
      <c r="Q795" s="49"/>
      <c r="R795" s="19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</row>
    <row r="796">
      <c r="A796" s="48"/>
      <c r="B796" s="48"/>
      <c r="C796" s="48"/>
      <c r="D796" s="19"/>
      <c r="E796" s="19"/>
      <c r="F796" s="52"/>
      <c r="G796" s="19"/>
      <c r="H796" s="19"/>
      <c r="I796" s="19"/>
      <c r="J796" s="19"/>
      <c r="K796" s="19"/>
      <c r="L796" s="19"/>
      <c r="M796" s="19"/>
      <c r="N796" s="19"/>
      <c r="O796" s="19"/>
      <c r="P796" s="48"/>
      <c r="Q796" s="49"/>
      <c r="R796" s="19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</row>
    <row r="797">
      <c r="A797" s="48"/>
      <c r="B797" s="48"/>
      <c r="C797" s="48"/>
      <c r="D797" s="19"/>
      <c r="E797" s="19"/>
      <c r="F797" s="52"/>
      <c r="G797" s="19"/>
      <c r="H797" s="19"/>
      <c r="I797" s="19"/>
      <c r="J797" s="19"/>
      <c r="K797" s="19"/>
      <c r="L797" s="19"/>
      <c r="M797" s="19"/>
      <c r="N797" s="19"/>
      <c r="O797" s="19"/>
      <c r="P797" s="48"/>
      <c r="Q797" s="49"/>
      <c r="R797" s="19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</row>
    <row r="798">
      <c r="A798" s="48"/>
      <c r="B798" s="48"/>
      <c r="C798" s="48"/>
      <c r="D798" s="19"/>
      <c r="E798" s="19"/>
      <c r="F798" s="52"/>
      <c r="G798" s="19"/>
      <c r="H798" s="19"/>
      <c r="I798" s="19"/>
      <c r="J798" s="19"/>
      <c r="K798" s="19"/>
      <c r="L798" s="19"/>
      <c r="M798" s="19"/>
      <c r="N798" s="19"/>
      <c r="O798" s="19"/>
      <c r="P798" s="48"/>
      <c r="Q798" s="49"/>
      <c r="R798" s="19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</row>
    <row r="799">
      <c r="A799" s="48"/>
      <c r="B799" s="48"/>
      <c r="C799" s="48"/>
      <c r="D799" s="19"/>
      <c r="E799" s="19"/>
      <c r="F799" s="52"/>
      <c r="G799" s="19"/>
      <c r="H799" s="19"/>
      <c r="I799" s="19"/>
      <c r="J799" s="19"/>
      <c r="K799" s="19"/>
      <c r="L799" s="19"/>
      <c r="M799" s="19"/>
      <c r="N799" s="19"/>
      <c r="O799" s="19"/>
      <c r="P799" s="48"/>
      <c r="Q799" s="49"/>
      <c r="R799" s="19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</row>
    <row r="800">
      <c r="A800" s="48"/>
      <c r="B800" s="48"/>
      <c r="C800" s="48"/>
      <c r="D800" s="19"/>
      <c r="E800" s="19"/>
      <c r="F800" s="52"/>
      <c r="G800" s="19"/>
      <c r="H800" s="19"/>
      <c r="I800" s="19"/>
      <c r="J800" s="19"/>
      <c r="K800" s="19"/>
      <c r="L800" s="19"/>
      <c r="M800" s="19"/>
      <c r="N800" s="19"/>
      <c r="O800" s="19"/>
      <c r="P800" s="48"/>
      <c r="Q800" s="49"/>
      <c r="R800" s="19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</row>
    <row r="801">
      <c r="A801" s="48"/>
      <c r="B801" s="48"/>
      <c r="C801" s="48"/>
      <c r="D801" s="19"/>
      <c r="E801" s="19"/>
      <c r="F801" s="52"/>
      <c r="G801" s="19"/>
      <c r="H801" s="19"/>
      <c r="I801" s="19"/>
      <c r="J801" s="19"/>
      <c r="K801" s="19"/>
      <c r="L801" s="19"/>
      <c r="M801" s="19"/>
      <c r="N801" s="19"/>
      <c r="O801" s="19"/>
      <c r="P801" s="48"/>
      <c r="Q801" s="49"/>
      <c r="R801" s="19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</row>
    <row r="802">
      <c r="A802" s="48"/>
      <c r="B802" s="48"/>
      <c r="C802" s="48"/>
      <c r="D802" s="19"/>
      <c r="E802" s="19"/>
      <c r="F802" s="52"/>
      <c r="G802" s="19"/>
      <c r="H802" s="19"/>
      <c r="I802" s="19"/>
      <c r="J802" s="19"/>
      <c r="K802" s="19"/>
      <c r="L802" s="19"/>
      <c r="M802" s="19"/>
      <c r="N802" s="19"/>
      <c r="O802" s="19"/>
      <c r="P802" s="48"/>
      <c r="Q802" s="49"/>
      <c r="R802" s="19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</row>
    <row r="803">
      <c r="A803" s="48"/>
      <c r="B803" s="48"/>
      <c r="C803" s="48"/>
      <c r="D803" s="19"/>
      <c r="E803" s="19"/>
      <c r="F803" s="52"/>
      <c r="G803" s="19"/>
      <c r="H803" s="19"/>
      <c r="I803" s="19"/>
      <c r="J803" s="19"/>
      <c r="K803" s="19"/>
      <c r="L803" s="19"/>
      <c r="M803" s="19"/>
      <c r="N803" s="19"/>
      <c r="O803" s="19"/>
      <c r="P803" s="48"/>
      <c r="Q803" s="49"/>
      <c r="R803" s="19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</row>
    <row r="804">
      <c r="A804" s="48"/>
      <c r="B804" s="48"/>
      <c r="C804" s="48"/>
      <c r="D804" s="19"/>
      <c r="E804" s="19"/>
      <c r="F804" s="52"/>
      <c r="G804" s="19"/>
      <c r="H804" s="19"/>
      <c r="I804" s="19"/>
      <c r="J804" s="19"/>
      <c r="K804" s="19"/>
      <c r="L804" s="19"/>
      <c r="M804" s="19"/>
      <c r="N804" s="19"/>
      <c r="O804" s="19"/>
      <c r="P804" s="48"/>
      <c r="Q804" s="49"/>
      <c r="R804" s="19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</row>
    <row r="805">
      <c r="A805" s="48"/>
      <c r="B805" s="48"/>
      <c r="C805" s="48"/>
      <c r="D805" s="19"/>
      <c r="E805" s="19"/>
      <c r="F805" s="52"/>
      <c r="G805" s="19"/>
      <c r="H805" s="19"/>
      <c r="I805" s="19"/>
      <c r="J805" s="19"/>
      <c r="K805" s="19"/>
      <c r="L805" s="19"/>
      <c r="M805" s="19"/>
      <c r="N805" s="19"/>
      <c r="O805" s="19"/>
      <c r="P805" s="48"/>
      <c r="Q805" s="49"/>
      <c r="R805" s="19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</row>
    <row r="806">
      <c r="A806" s="48"/>
      <c r="B806" s="48"/>
      <c r="C806" s="48"/>
      <c r="D806" s="19"/>
      <c r="E806" s="19"/>
      <c r="F806" s="52"/>
      <c r="G806" s="19"/>
      <c r="H806" s="19"/>
      <c r="I806" s="19"/>
      <c r="J806" s="19"/>
      <c r="K806" s="19"/>
      <c r="L806" s="19"/>
      <c r="M806" s="19"/>
      <c r="N806" s="19"/>
      <c r="O806" s="19"/>
      <c r="P806" s="48"/>
      <c r="Q806" s="49"/>
      <c r="R806" s="19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</row>
    <row r="807">
      <c r="A807" s="48"/>
      <c r="B807" s="48"/>
      <c r="C807" s="48"/>
      <c r="D807" s="19"/>
      <c r="E807" s="19"/>
      <c r="F807" s="52"/>
      <c r="G807" s="19"/>
      <c r="H807" s="19"/>
      <c r="I807" s="19"/>
      <c r="J807" s="19"/>
      <c r="K807" s="19"/>
      <c r="L807" s="19"/>
      <c r="M807" s="19"/>
      <c r="N807" s="19"/>
      <c r="O807" s="19"/>
      <c r="P807" s="48"/>
      <c r="Q807" s="49"/>
      <c r="R807" s="19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</row>
    <row r="808">
      <c r="A808" s="48"/>
      <c r="B808" s="48"/>
      <c r="C808" s="48"/>
      <c r="D808" s="19"/>
      <c r="E808" s="19"/>
      <c r="F808" s="52"/>
      <c r="G808" s="19"/>
      <c r="H808" s="19"/>
      <c r="I808" s="19"/>
      <c r="J808" s="19"/>
      <c r="K808" s="19"/>
      <c r="L808" s="19"/>
      <c r="M808" s="19"/>
      <c r="N808" s="19"/>
      <c r="O808" s="19"/>
      <c r="P808" s="48"/>
      <c r="Q808" s="49"/>
      <c r="R808" s="19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</row>
    <row r="809">
      <c r="A809" s="48"/>
      <c r="B809" s="48"/>
      <c r="C809" s="48"/>
      <c r="D809" s="19"/>
      <c r="E809" s="19"/>
      <c r="F809" s="52"/>
      <c r="G809" s="19"/>
      <c r="H809" s="19"/>
      <c r="I809" s="19"/>
      <c r="J809" s="19"/>
      <c r="K809" s="19"/>
      <c r="L809" s="19"/>
      <c r="M809" s="19"/>
      <c r="N809" s="19"/>
      <c r="O809" s="19"/>
      <c r="P809" s="48"/>
      <c r="Q809" s="49"/>
      <c r="R809" s="19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</row>
    <row r="810">
      <c r="A810" s="48"/>
      <c r="B810" s="48"/>
      <c r="C810" s="48"/>
      <c r="D810" s="19"/>
      <c r="E810" s="19"/>
      <c r="F810" s="52"/>
      <c r="G810" s="19"/>
      <c r="H810" s="19"/>
      <c r="I810" s="19"/>
      <c r="J810" s="19"/>
      <c r="K810" s="19"/>
      <c r="L810" s="19"/>
      <c r="M810" s="19"/>
      <c r="N810" s="19"/>
      <c r="O810" s="19"/>
      <c r="P810" s="48"/>
      <c r="Q810" s="49"/>
      <c r="R810" s="19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</row>
    <row r="811">
      <c r="A811" s="48"/>
      <c r="B811" s="48"/>
      <c r="C811" s="48"/>
      <c r="D811" s="19"/>
      <c r="E811" s="19"/>
      <c r="F811" s="52"/>
      <c r="G811" s="19"/>
      <c r="H811" s="19"/>
      <c r="I811" s="19"/>
      <c r="J811" s="19"/>
      <c r="K811" s="19"/>
      <c r="L811" s="19"/>
      <c r="M811" s="19"/>
      <c r="N811" s="19"/>
      <c r="O811" s="19"/>
      <c r="P811" s="48"/>
      <c r="Q811" s="49"/>
      <c r="R811" s="19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</row>
    <row r="812">
      <c r="A812" s="48"/>
      <c r="B812" s="48"/>
      <c r="C812" s="48"/>
      <c r="D812" s="19"/>
      <c r="E812" s="19"/>
      <c r="F812" s="52"/>
      <c r="G812" s="19"/>
      <c r="H812" s="19"/>
      <c r="I812" s="19"/>
      <c r="J812" s="19"/>
      <c r="K812" s="19"/>
      <c r="L812" s="19"/>
      <c r="M812" s="19"/>
      <c r="N812" s="19"/>
      <c r="O812" s="19"/>
      <c r="P812" s="48"/>
      <c r="Q812" s="49"/>
      <c r="R812" s="19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</row>
    <row r="813">
      <c r="A813" s="48"/>
      <c r="B813" s="48"/>
      <c r="C813" s="48"/>
      <c r="D813" s="19"/>
      <c r="E813" s="19"/>
      <c r="F813" s="52"/>
      <c r="G813" s="19"/>
      <c r="H813" s="19"/>
      <c r="I813" s="19"/>
      <c r="J813" s="19"/>
      <c r="K813" s="19"/>
      <c r="L813" s="19"/>
      <c r="M813" s="19"/>
      <c r="N813" s="19"/>
      <c r="O813" s="19"/>
      <c r="P813" s="48"/>
      <c r="Q813" s="49"/>
      <c r="R813" s="19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</row>
    <row r="814">
      <c r="A814" s="48"/>
      <c r="B814" s="48"/>
      <c r="C814" s="48"/>
      <c r="D814" s="19"/>
      <c r="E814" s="19"/>
      <c r="F814" s="52"/>
      <c r="G814" s="19"/>
      <c r="H814" s="19"/>
      <c r="I814" s="19"/>
      <c r="J814" s="19"/>
      <c r="K814" s="19"/>
      <c r="L814" s="19"/>
      <c r="M814" s="19"/>
      <c r="N814" s="19"/>
      <c r="O814" s="19"/>
      <c r="P814" s="48"/>
      <c r="Q814" s="49"/>
      <c r="R814" s="19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</row>
    <row r="815">
      <c r="A815" s="48"/>
      <c r="B815" s="48"/>
      <c r="C815" s="48"/>
      <c r="D815" s="19"/>
      <c r="E815" s="19"/>
      <c r="F815" s="52"/>
      <c r="G815" s="19"/>
      <c r="H815" s="19"/>
      <c r="I815" s="19"/>
      <c r="J815" s="19"/>
      <c r="K815" s="19"/>
      <c r="L815" s="19"/>
      <c r="M815" s="19"/>
      <c r="N815" s="19"/>
      <c r="O815" s="19"/>
      <c r="P815" s="48"/>
      <c r="Q815" s="49"/>
      <c r="R815" s="19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</row>
    <row r="816">
      <c r="A816" s="48"/>
      <c r="B816" s="48"/>
      <c r="C816" s="48"/>
      <c r="D816" s="19"/>
      <c r="E816" s="19"/>
      <c r="F816" s="52"/>
      <c r="G816" s="19"/>
      <c r="H816" s="19"/>
      <c r="I816" s="19"/>
      <c r="J816" s="19"/>
      <c r="K816" s="19"/>
      <c r="L816" s="19"/>
      <c r="M816" s="19"/>
      <c r="N816" s="19"/>
      <c r="O816" s="19"/>
      <c r="P816" s="48"/>
      <c r="Q816" s="49"/>
      <c r="R816" s="19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</row>
    <row r="817">
      <c r="A817" s="48"/>
      <c r="B817" s="48"/>
      <c r="C817" s="48"/>
      <c r="D817" s="19"/>
      <c r="E817" s="19"/>
      <c r="F817" s="52"/>
      <c r="G817" s="19"/>
      <c r="H817" s="19"/>
      <c r="I817" s="19"/>
      <c r="J817" s="19"/>
      <c r="K817" s="19"/>
      <c r="L817" s="19"/>
      <c r="M817" s="19"/>
      <c r="N817" s="19"/>
      <c r="O817" s="19"/>
      <c r="P817" s="48"/>
      <c r="Q817" s="49"/>
      <c r="R817" s="19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</row>
    <row r="818">
      <c r="A818" s="48"/>
      <c r="B818" s="48"/>
      <c r="C818" s="48"/>
      <c r="D818" s="19"/>
      <c r="E818" s="19"/>
      <c r="F818" s="52"/>
      <c r="G818" s="19"/>
      <c r="H818" s="19"/>
      <c r="I818" s="19"/>
      <c r="J818" s="19"/>
      <c r="K818" s="19"/>
      <c r="L818" s="19"/>
      <c r="M818" s="19"/>
      <c r="N818" s="19"/>
      <c r="O818" s="19"/>
      <c r="P818" s="48"/>
      <c r="Q818" s="49"/>
      <c r="R818" s="19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</row>
    <row r="819">
      <c r="A819" s="48"/>
      <c r="B819" s="48"/>
      <c r="C819" s="48"/>
      <c r="D819" s="19"/>
      <c r="E819" s="19"/>
      <c r="F819" s="52"/>
      <c r="G819" s="19"/>
      <c r="H819" s="19"/>
      <c r="I819" s="19"/>
      <c r="J819" s="19"/>
      <c r="K819" s="19"/>
      <c r="L819" s="19"/>
      <c r="M819" s="19"/>
      <c r="N819" s="19"/>
      <c r="O819" s="19"/>
      <c r="P819" s="48"/>
      <c r="Q819" s="49"/>
      <c r="R819" s="19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</row>
    <row r="820">
      <c r="A820" s="48"/>
      <c r="B820" s="48"/>
      <c r="C820" s="48"/>
      <c r="D820" s="19"/>
      <c r="E820" s="19"/>
      <c r="F820" s="52"/>
      <c r="G820" s="19"/>
      <c r="H820" s="19"/>
      <c r="I820" s="19"/>
      <c r="J820" s="19"/>
      <c r="K820" s="19"/>
      <c r="L820" s="19"/>
      <c r="M820" s="19"/>
      <c r="N820" s="19"/>
      <c r="O820" s="19"/>
      <c r="P820" s="48"/>
      <c r="Q820" s="49"/>
      <c r="R820" s="19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</row>
    <row r="821">
      <c r="A821" s="48"/>
      <c r="B821" s="48"/>
      <c r="C821" s="48"/>
      <c r="D821" s="19"/>
      <c r="E821" s="19"/>
      <c r="F821" s="52"/>
      <c r="G821" s="19"/>
      <c r="H821" s="19"/>
      <c r="I821" s="19"/>
      <c r="J821" s="19"/>
      <c r="K821" s="19"/>
      <c r="L821" s="19"/>
      <c r="M821" s="19"/>
      <c r="N821" s="19"/>
      <c r="O821" s="19"/>
      <c r="P821" s="48"/>
      <c r="Q821" s="49"/>
      <c r="R821" s="19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</row>
    <row r="822">
      <c r="A822" s="48"/>
      <c r="B822" s="48"/>
      <c r="C822" s="48"/>
      <c r="D822" s="19"/>
      <c r="E822" s="19"/>
      <c r="F822" s="52"/>
      <c r="G822" s="19"/>
      <c r="H822" s="19"/>
      <c r="I822" s="19"/>
      <c r="J822" s="19"/>
      <c r="K822" s="19"/>
      <c r="L822" s="19"/>
      <c r="M822" s="19"/>
      <c r="N822" s="19"/>
      <c r="O822" s="19"/>
      <c r="P822" s="48"/>
      <c r="Q822" s="49"/>
      <c r="R822" s="19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</row>
    <row r="823">
      <c r="A823" s="48"/>
      <c r="B823" s="48"/>
      <c r="C823" s="48"/>
      <c r="D823" s="19"/>
      <c r="E823" s="19"/>
      <c r="F823" s="52"/>
      <c r="G823" s="19"/>
      <c r="H823" s="19"/>
      <c r="I823" s="19"/>
      <c r="J823" s="19"/>
      <c r="K823" s="19"/>
      <c r="L823" s="19"/>
      <c r="M823" s="19"/>
      <c r="N823" s="19"/>
      <c r="O823" s="19"/>
      <c r="P823" s="48"/>
      <c r="Q823" s="49"/>
      <c r="R823" s="19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</row>
    <row r="824">
      <c r="A824" s="48"/>
      <c r="B824" s="48"/>
      <c r="C824" s="48"/>
      <c r="D824" s="19"/>
      <c r="E824" s="19"/>
      <c r="F824" s="52"/>
      <c r="G824" s="19"/>
      <c r="H824" s="19"/>
      <c r="I824" s="19"/>
      <c r="J824" s="19"/>
      <c r="K824" s="19"/>
      <c r="L824" s="19"/>
      <c r="M824" s="19"/>
      <c r="N824" s="19"/>
      <c r="O824" s="19"/>
      <c r="P824" s="48"/>
      <c r="Q824" s="49"/>
      <c r="R824" s="19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</row>
    <row r="825">
      <c r="A825" s="48"/>
      <c r="B825" s="48"/>
      <c r="C825" s="48"/>
      <c r="D825" s="19"/>
      <c r="E825" s="19"/>
      <c r="F825" s="52"/>
      <c r="G825" s="19"/>
      <c r="H825" s="19"/>
      <c r="I825" s="19"/>
      <c r="J825" s="19"/>
      <c r="K825" s="19"/>
      <c r="L825" s="19"/>
      <c r="M825" s="19"/>
      <c r="N825" s="19"/>
      <c r="O825" s="19"/>
      <c r="P825" s="48"/>
      <c r="Q825" s="49"/>
      <c r="R825" s="19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</row>
    <row r="826">
      <c r="A826" s="48"/>
      <c r="B826" s="48"/>
      <c r="C826" s="48"/>
      <c r="D826" s="19"/>
      <c r="E826" s="19"/>
      <c r="F826" s="52"/>
      <c r="G826" s="19"/>
      <c r="H826" s="19"/>
      <c r="I826" s="19"/>
      <c r="J826" s="19"/>
      <c r="K826" s="19"/>
      <c r="L826" s="19"/>
      <c r="M826" s="19"/>
      <c r="N826" s="19"/>
      <c r="O826" s="19"/>
      <c r="P826" s="48"/>
      <c r="Q826" s="49"/>
      <c r="R826" s="19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</row>
    <row r="827">
      <c r="A827" s="48"/>
      <c r="B827" s="48"/>
      <c r="C827" s="48"/>
      <c r="D827" s="19"/>
      <c r="E827" s="19"/>
      <c r="F827" s="52"/>
      <c r="G827" s="19"/>
      <c r="H827" s="19"/>
      <c r="I827" s="19"/>
      <c r="J827" s="19"/>
      <c r="K827" s="19"/>
      <c r="L827" s="19"/>
      <c r="M827" s="19"/>
      <c r="N827" s="19"/>
      <c r="O827" s="19"/>
      <c r="P827" s="48"/>
      <c r="Q827" s="49"/>
      <c r="R827" s="19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</row>
    <row r="828">
      <c r="A828" s="48"/>
      <c r="B828" s="48"/>
      <c r="C828" s="48"/>
      <c r="D828" s="19"/>
      <c r="E828" s="19"/>
      <c r="F828" s="52"/>
      <c r="G828" s="19"/>
      <c r="H828" s="19"/>
      <c r="I828" s="19"/>
      <c r="J828" s="19"/>
      <c r="K828" s="19"/>
      <c r="L828" s="19"/>
      <c r="M828" s="19"/>
      <c r="N828" s="19"/>
      <c r="O828" s="19"/>
      <c r="P828" s="48"/>
      <c r="Q828" s="49"/>
      <c r="R828" s="19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</row>
    <row r="829">
      <c r="A829" s="48"/>
      <c r="B829" s="48"/>
      <c r="C829" s="48"/>
      <c r="D829" s="19"/>
      <c r="E829" s="19"/>
      <c r="F829" s="52"/>
      <c r="G829" s="19"/>
      <c r="H829" s="19"/>
      <c r="I829" s="19"/>
      <c r="J829" s="19"/>
      <c r="K829" s="19"/>
      <c r="L829" s="19"/>
      <c r="M829" s="19"/>
      <c r="N829" s="19"/>
      <c r="O829" s="19"/>
      <c r="P829" s="48"/>
      <c r="Q829" s="49"/>
      <c r="R829" s="19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</row>
    <row r="830">
      <c r="A830" s="48"/>
      <c r="B830" s="48"/>
      <c r="C830" s="48"/>
      <c r="D830" s="19"/>
      <c r="E830" s="19"/>
      <c r="F830" s="52"/>
      <c r="G830" s="19"/>
      <c r="H830" s="19"/>
      <c r="I830" s="19"/>
      <c r="J830" s="19"/>
      <c r="K830" s="19"/>
      <c r="L830" s="19"/>
      <c r="M830" s="19"/>
      <c r="N830" s="19"/>
      <c r="O830" s="19"/>
      <c r="P830" s="48"/>
      <c r="Q830" s="49"/>
      <c r="R830" s="19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</row>
    <row r="831">
      <c r="A831" s="48"/>
      <c r="B831" s="48"/>
      <c r="C831" s="48"/>
      <c r="D831" s="19"/>
      <c r="E831" s="19"/>
      <c r="F831" s="52"/>
      <c r="G831" s="19"/>
      <c r="H831" s="19"/>
      <c r="I831" s="19"/>
      <c r="J831" s="19"/>
      <c r="K831" s="19"/>
      <c r="L831" s="19"/>
      <c r="M831" s="19"/>
      <c r="N831" s="19"/>
      <c r="O831" s="19"/>
      <c r="P831" s="48"/>
      <c r="Q831" s="49"/>
      <c r="R831" s="19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</row>
    <row r="832">
      <c r="A832" s="48"/>
      <c r="B832" s="48"/>
      <c r="C832" s="48"/>
      <c r="D832" s="19"/>
      <c r="E832" s="19"/>
      <c r="F832" s="52"/>
      <c r="G832" s="19"/>
      <c r="H832" s="19"/>
      <c r="I832" s="19"/>
      <c r="J832" s="19"/>
      <c r="K832" s="19"/>
      <c r="L832" s="19"/>
      <c r="M832" s="19"/>
      <c r="N832" s="19"/>
      <c r="O832" s="19"/>
      <c r="P832" s="48"/>
      <c r="Q832" s="49"/>
      <c r="R832" s="19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</row>
    <row r="833">
      <c r="A833" s="48"/>
      <c r="B833" s="48"/>
      <c r="C833" s="48"/>
      <c r="D833" s="19"/>
      <c r="E833" s="19"/>
      <c r="F833" s="52"/>
      <c r="G833" s="19"/>
      <c r="H833" s="19"/>
      <c r="I833" s="19"/>
      <c r="J833" s="19"/>
      <c r="K833" s="19"/>
      <c r="L833" s="19"/>
      <c r="M833" s="19"/>
      <c r="N833" s="19"/>
      <c r="O833" s="19"/>
      <c r="P833" s="48"/>
      <c r="Q833" s="49"/>
      <c r="R833" s="19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</row>
    <row r="834">
      <c r="A834" s="48"/>
      <c r="B834" s="48"/>
      <c r="C834" s="48"/>
      <c r="D834" s="19"/>
      <c r="E834" s="19"/>
      <c r="F834" s="52"/>
      <c r="G834" s="19"/>
      <c r="H834" s="19"/>
      <c r="I834" s="19"/>
      <c r="J834" s="19"/>
      <c r="K834" s="19"/>
      <c r="L834" s="19"/>
      <c r="M834" s="19"/>
      <c r="N834" s="19"/>
      <c r="O834" s="19"/>
      <c r="P834" s="48"/>
      <c r="Q834" s="49"/>
      <c r="R834" s="19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</row>
    <row r="835">
      <c r="A835" s="48"/>
      <c r="B835" s="48"/>
      <c r="C835" s="48"/>
      <c r="D835" s="19"/>
      <c r="E835" s="19"/>
      <c r="F835" s="52"/>
      <c r="G835" s="19"/>
      <c r="H835" s="19"/>
      <c r="I835" s="19"/>
      <c r="J835" s="19"/>
      <c r="K835" s="19"/>
      <c r="L835" s="19"/>
      <c r="M835" s="19"/>
      <c r="N835" s="19"/>
      <c r="O835" s="19"/>
      <c r="P835" s="48"/>
      <c r="Q835" s="49"/>
      <c r="R835" s="19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</row>
    <row r="836">
      <c r="A836" s="48"/>
      <c r="B836" s="48"/>
      <c r="C836" s="48"/>
      <c r="D836" s="19"/>
      <c r="E836" s="19"/>
      <c r="F836" s="52"/>
      <c r="G836" s="19"/>
      <c r="H836" s="19"/>
      <c r="I836" s="19"/>
      <c r="J836" s="19"/>
      <c r="K836" s="19"/>
      <c r="L836" s="19"/>
      <c r="M836" s="19"/>
      <c r="N836" s="19"/>
      <c r="O836" s="19"/>
      <c r="P836" s="48"/>
      <c r="Q836" s="49"/>
      <c r="R836" s="19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</row>
    <row r="837">
      <c r="A837" s="48"/>
      <c r="B837" s="48"/>
      <c r="C837" s="48"/>
      <c r="D837" s="19"/>
      <c r="E837" s="19"/>
      <c r="F837" s="52"/>
      <c r="G837" s="19"/>
      <c r="H837" s="19"/>
      <c r="I837" s="19"/>
      <c r="J837" s="19"/>
      <c r="K837" s="19"/>
      <c r="L837" s="19"/>
      <c r="M837" s="19"/>
      <c r="N837" s="19"/>
      <c r="O837" s="19"/>
      <c r="P837" s="48"/>
      <c r="Q837" s="49"/>
      <c r="R837" s="19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</row>
    <row r="838">
      <c r="A838" s="48"/>
      <c r="B838" s="48"/>
      <c r="C838" s="48"/>
      <c r="D838" s="19"/>
      <c r="E838" s="19"/>
      <c r="F838" s="52"/>
      <c r="G838" s="19"/>
      <c r="H838" s="19"/>
      <c r="I838" s="19"/>
      <c r="J838" s="19"/>
      <c r="K838" s="19"/>
      <c r="L838" s="19"/>
      <c r="M838" s="19"/>
      <c r="N838" s="19"/>
      <c r="O838" s="19"/>
      <c r="P838" s="48"/>
      <c r="Q838" s="49"/>
      <c r="R838" s="19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</row>
    <row r="839">
      <c r="A839" s="48"/>
      <c r="B839" s="48"/>
      <c r="C839" s="48"/>
      <c r="D839" s="19"/>
      <c r="E839" s="19"/>
      <c r="F839" s="52"/>
      <c r="G839" s="19"/>
      <c r="H839" s="19"/>
      <c r="I839" s="19"/>
      <c r="J839" s="19"/>
      <c r="K839" s="19"/>
      <c r="L839" s="19"/>
      <c r="M839" s="19"/>
      <c r="N839" s="19"/>
      <c r="O839" s="19"/>
      <c r="P839" s="48"/>
      <c r="Q839" s="49"/>
      <c r="R839" s="19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</row>
    <row r="840">
      <c r="A840" s="48"/>
      <c r="B840" s="48"/>
      <c r="C840" s="48"/>
      <c r="D840" s="19"/>
      <c r="E840" s="19"/>
      <c r="F840" s="52"/>
      <c r="G840" s="19"/>
      <c r="H840" s="19"/>
      <c r="I840" s="19"/>
      <c r="J840" s="19"/>
      <c r="K840" s="19"/>
      <c r="L840" s="19"/>
      <c r="M840" s="19"/>
      <c r="N840" s="19"/>
      <c r="O840" s="19"/>
      <c r="P840" s="48"/>
      <c r="Q840" s="49"/>
      <c r="R840" s="19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</row>
    <row r="841">
      <c r="A841" s="48"/>
      <c r="B841" s="48"/>
      <c r="C841" s="48"/>
      <c r="D841" s="19"/>
      <c r="E841" s="19"/>
      <c r="F841" s="52"/>
      <c r="G841" s="19"/>
      <c r="H841" s="19"/>
      <c r="I841" s="19"/>
      <c r="J841" s="19"/>
      <c r="K841" s="19"/>
      <c r="L841" s="19"/>
      <c r="M841" s="19"/>
      <c r="N841" s="19"/>
      <c r="O841" s="19"/>
      <c r="P841" s="48"/>
      <c r="Q841" s="49"/>
      <c r="R841" s="19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</row>
    <row r="842">
      <c r="A842" s="48"/>
      <c r="B842" s="48"/>
      <c r="C842" s="48"/>
      <c r="D842" s="19"/>
      <c r="E842" s="19"/>
      <c r="F842" s="52"/>
      <c r="G842" s="19"/>
      <c r="H842" s="19"/>
      <c r="I842" s="19"/>
      <c r="J842" s="19"/>
      <c r="K842" s="19"/>
      <c r="L842" s="19"/>
      <c r="M842" s="19"/>
      <c r="N842" s="19"/>
      <c r="O842" s="19"/>
      <c r="P842" s="48"/>
      <c r="Q842" s="49"/>
      <c r="R842" s="19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</row>
    <row r="843">
      <c r="A843" s="48"/>
      <c r="B843" s="48"/>
      <c r="C843" s="48"/>
      <c r="D843" s="19"/>
      <c r="E843" s="19"/>
      <c r="F843" s="52"/>
      <c r="G843" s="19"/>
      <c r="H843" s="19"/>
      <c r="I843" s="19"/>
      <c r="J843" s="19"/>
      <c r="K843" s="19"/>
      <c r="L843" s="19"/>
      <c r="M843" s="19"/>
      <c r="N843" s="19"/>
      <c r="O843" s="19"/>
      <c r="P843" s="48"/>
      <c r="Q843" s="49"/>
      <c r="R843" s="19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</row>
    <row r="844">
      <c r="A844" s="48"/>
      <c r="B844" s="48"/>
      <c r="C844" s="48"/>
      <c r="D844" s="19"/>
      <c r="E844" s="19"/>
      <c r="F844" s="52"/>
      <c r="G844" s="19"/>
      <c r="H844" s="19"/>
      <c r="I844" s="19"/>
      <c r="J844" s="19"/>
      <c r="K844" s="19"/>
      <c r="L844" s="19"/>
      <c r="M844" s="19"/>
      <c r="N844" s="19"/>
      <c r="O844" s="19"/>
      <c r="P844" s="48"/>
      <c r="Q844" s="49"/>
      <c r="R844" s="19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</row>
    <row r="845">
      <c r="A845" s="48"/>
      <c r="B845" s="48"/>
      <c r="C845" s="48"/>
      <c r="D845" s="19"/>
      <c r="E845" s="19"/>
      <c r="F845" s="52"/>
      <c r="G845" s="19"/>
      <c r="H845" s="19"/>
      <c r="I845" s="19"/>
      <c r="J845" s="19"/>
      <c r="K845" s="19"/>
      <c r="L845" s="19"/>
      <c r="M845" s="19"/>
      <c r="N845" s="19"/>
      <c r="O845" s="19"/>
      <c r="P845" s="48"/>
      <c r="Q845" s="49"/>
      <c r="R845" s="19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</row>
    <row r="846">
      <c r="A846" s="48"/>
      <c r="B846" s="48"/>
      <c r="C846" s="48"/>
      <c r="D846" s="19"/>
      <c r="E846" s="19"/>
      <c r="F846" s="52"/>
      <c r="G846" s="19"/>
      <c r="H846" s="19"/>
      <c r="I846" s="19"/>
      <c r="J846" s="19"/>
      <c r="K846" s="19"/>
      <c r="L846" s="19"/>
      <c r="M846" s="19"/>
      <c r="N846" s="19"/>
      <c r="O846" s="19"/>
      <c r="P846" s="48"/>
      <c r="Q846" s="49"/>
      <c r="R846" s="19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</row>
    <row r="847">
      <c r="A847" s="48"/>
      <c r="B847" s="48"/>
      <c r="C847" s="48"/>
      <c r="D847" s="19"/>
      <c r="E847" s="19"/>
      <c r="F847" s="52"/>
      <c r="G847" s="19"/>
      <c r="H847" s="19"/>
      <c r="I847" s="19"/>
      <c r="J847" s="19"/>
      <c r="K847" s="19"/>
      <c r="L847" s="19"/>
      <c r="M847" s="19"/>
      <c r="N847" s="19"/>
      <c r="O847" s="19"/>
      <c r="P847" s="48"/>
      <c r="Q847" s="49"/>
      <c r="R847" s="19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</row>
    <row r="848">
      <c r="A848" s="48"/>
      <c r="B848" s="48"/>
      <c r="C848" s="48"/>
      <c r="D848" s="19"/>
      <c r="E848" s="19"/>
      <c r="F848" s="52"/>
      <c r="G848" s="19"/>
      <c r="H848" s="19"/>
      <c r="I848" s="19"/>
      <c r="J848" s="19"/>
      <c r="K848" s="19"/>
      <c r="L848" s="19"/>
      <c r="M848" s="19"/>
      <c r="N848" s="19"/>
      <c r="O848" s="19"/>
      <c r="P848" s="48"/>
      <c r="Q848" s="49"/>
      <c r="R848" s="19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</row>
    <row r="849">
      <c r="A849" s="48"/>
      <c r="B849" s="48"/>
      <c r="C849" s="48"/>
      <c r="D849" s="19"/>
      <c r="E849" s="19"/>
      <c r="F849" s="52"/>
      <c r="G849" s="19"/>
      <c r="H849" s="19"/>
      <c r="I849" s="19"/>
      <c r="J849" s="19"/>
      <c r="K849" s="19"/>
      <c r="L849" s="19"/>
      <c r="M849" s="19"/>
      <c r="N849" s="19"/>
      <c r="O849" s="19"/>
      <c r="P849" s="48"/>
      <c r="Q849" s="49"/>
      <c r="R849" s="19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</row>
    <row r="850">
      <c r="A850" s="48"/>
      <c r="B850" s="48"/>
      <c r="C850" s="48"/>
      <c r="D850" s="19"/>
      <c r="E850" s="19"/>
      <c r="F850" s="52"/>
      <c r="G850" s="19"/>
      <c r="H850" s="19"/>
      <c r="I850" s="19"/>
      <c r="J850" s="19"/>
      <c r="K850" s="19"/>
      <c r="L850" s="19"/>
      <c r="M850" s="19"/>
      <c r="N850" s="19"/>
      <c r="O850" s="19"/>
      <c r="P850" s="48"/>
      <c r="Q850" s="49"/>
      <c r="R850" s="19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</row>
    <row r="851">
      <c r="A851" s="48"/>
      <c r="B851" s="48"/>
      <c r="C851" s="48"/>
      <c r="D851" s="19"/>
      <c r="E851" s="19"/>
      <c r="F851" s="52"/>
      <c r="G851" s="19"/>
      <c r="H851" s="19"/>
      <c r="I851" s="19"/>
      <c r="J851" s="19"/>
      <c r="K851" s="19"/>
      <c r="L851" s="19"/>
      <c r="M851" s="19"/>
      <c r="N851" s="19"/>
      <c r="O851" s="19"/>
      <c r="P851" s="48"/>
      <c r="Q851" s="49"/>
      <c r="R851" s="19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</row>
    <row r="852">
      <c r="A852" s="48"/>
      <c r="B852" s="48"/>
      <c r="C852" s="48"/>
      <c r="D852" s="19"/>
      <c r="E852" s="19"/>
      <c r="F852" s="52"/>
      <c r="G852" s="19"/>
      <c r="H852" s="19"/>
      <c r="I852" s="19"/>
      <c r="J852" s="19"/>
      <c r="K852" s="19"/>
      <c r="L852" s="19"/>
      <c r="M852" s="19"/>
      <c r="N852" s="19"/>
      <c r="O852" s="19"/>
      <c r="P852" s="48"/>
      <c r="Q852" s="49"/>
      <c r="R852" s="19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</row>
    <row r="853">
      <c r="A853" s="48"/>
      <c r="B853" s="48"/>
      <c r="C853" s="48"/>
      <c r="D853" s="19"/>
      <c r="E853" s="19"/>
      <c r="F853" s="52"/>
      <c r="G853" s="19"/>
      <c r="H853" s="19"/>
      <c r="I853" s="19"/>
      <c r="J853" s="19"/>
      <c r="K853" s="19"/>
      <c r="L853" s="19"/>
      <c r="M853" s="19"/>
      <c r="N853" s="19"/>
      <c r="O853" s="19"/>
      <c r="P853" s="48"/>
      <c r="Q853" s="49"/>
      <c r="R853" s="19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</row>
    <row r="854">
      <c r="A854" s="48"/>
      <c r="B854" s="48"/>
      <c r="C854" s="48"/>
      <c r="D854" s="19"/>
      <c r="E854" s="19"/>
      <c r="F854" s="52"/>
      <c r="G854" s="19"/>
      <c r="H854" s="19"/>
      <c r="I854" s="19"/>
      <c r="J854" s="19"/>
      <c r="K854" s="19"/>
      <c r="L854" s="19"/>
      <c r="M854" s="19"/>
      <c r="N854" s="19"/>
      <c r="O854" s="19"/>
      <c r="P854" s="48"/>
      <c r="Q854" s="49"/>
      <c r="R854" s="19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</row>
    <row r="855">
      <c r="A855" s="48"/>
      <c r="B855" s="48"/>
      <c r="C855" s="48"/>
      <c r="D855" s="19"/>
      <c r="E855" s="19"/>
      <c r="F855" s="52"/>
      <c r="G855" s="19"/>
      <c r="H855" s="19"/>
      <c r="I855" s="19"/>
      <c r="J855" s="19"/>
      <c r="K855" s="19"/>
      <c r="L855" s="19"/>
      <c r="M855" s="19"/>
      <c r="N855" s="19"/>
      <c r="O855" s="19"/>
      <c r="P855" s="48"/>
      <c r="Q855" s="49"/>
      <c r="R855" s="19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</row>
    <row r="856">
      <c r="A856" s="48"/>
      <c r="B856" s="48"/>
      <c r="C856" s="48"/>
      <c r="D856" s="19"/>
      <c r="E856" s="19"/>
      <c r="F856" s="52"/>
      <c r="G856" s="19"/>
      <c r="H856" s="19"/>
      <c r="I856" s="19"/>
      <c r="J856" s="19"/>
      <c r="K856" s="19"/>
      <c r="L856" s="19"/>
      <c r="M856" s="19"/>
      <c r="N856" s="19"/>
      <c r="O856" s="19"/>
      <c r="P856" s="48"/>
      <c r="Q856" s="49"/>
      <c r="R856" s="19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</row>
    <row r="857">
      <c r="A857" s="48"/>
      <c r="B857" s="48"/>
      <c r="C857" s="48"/>
      <c r="D857" s="19"/>
      <c r="E857" s="19"/>
      <c r="F857" s="52"/>
      <c r="G857" s="19"/>
      <c r="H857" s="19"/>
      <c r="I857" s="19"/>
      <c r="J857" s="19"/>
      <c r="K857" s="19"/>
      <c r="L857" s="19"/>
      <c r="M857" s="19"/>
      <c r="N857" s="19"/>
      <c r="O857" s="19"/>
      <c r="P857" s="48"/>
      <c r="Q857" s="49"/>
      <c r="R857" s="19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</row>
    <row r="858">
      <c r="A858" s="48"/>
      <c r="B858" s="48"/>
      <c r="C858" s="48"/>
      <c r="D858" s="19"/>
      <c r="E858" s="19"/>
      <c r="F858" s="52"/>
      <c r="G858" s="19"/>
      <c r="H858" s="19"/>
      <c r="I858" s="19"/>
      <c r="J858" s="19"/>
      <c r="K858" s="19"/>
      <c r="L858" s="19"/>
      <c r="M858" s="19"/>
      <c r="N858" s="19"/>
      <c r="O858" s="19"/>
      <c r="P858" s="48"/>
      <c r="Q858" s="49"/>
      <c r="R858" s="19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</row>
    <row r="859">
      <c r="A859" s="48"/>
      <c r="B859" s="48"/>
      <c r="C859" s="48"/>
      <c r="D859" s="19"/>
      <c r="E859" s="19"/>
      <c r="F859" s="52"/>
      <c r="G859" s="19"/>
      <c r="H859" s="19"/>
      <c r="I859" s="19"/>
      <c r="J859" s="19"/>
      <c r="K859" s="19"/>
      <c r="L859" s="19"/>
      <c r="M859" s="19"/>
      <c r="N859" s="19"/>
      <c r="O859" s="19"/>
      <c r="P859" s="48"/>
      <c r="Q859" s="49"/>
      <c r="R859" s="19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</row>
    <row r="860">
      <c r="A860" s="48"/>
      <c r="B860" s="48"/>
      <c r="C860" s="48"/>
      <c r="D860" s="19"/>
      <c r="E860" s="19"/>
      <c r="F860" s="52"/>
      <c r="G860" s="19"/>
      <c r="H860" s="19"/>
      <c r="I860" s="19"/>
      <c r="J860" s="19"/>
      <c r="K860" s="19"/>
      <c r="L860" s="19"/>
      <c r="M860" s="19"/>
      <c r="N860" s="19"/>
      <c r="O860" s="19"/>
      <c r="P860" s="48"/>
      <c r="Q860" s="49"/>
      <c r="R860" s="19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</row>
    <row r="861">
      <c r="A861" s="48"/>
      <c r="B861" s="48"/>
      <c r="C861" s="48"/>
      <c r="D861" s="19"/>
      <c r="E861" s="19"/>
      <c r="F861" s="52"/>
      <c r="G861" s="19"/>
      <c r="H861" s="19"/>
      <c r="I861" s="19"/>
      <c r="J861" s="19"/>
      <c r="K861" s="19"/>
      <c r="L861" s="19"/>
      <c r="M861" s="19"/>
      <c r="N861" s="19"/>
      <c r="O861" s="19"/>
      <c r="P861" s="48"/>
      <c r="Q861" s="49"/>
      <c r="R861" s="19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</row>
    <row r="862">
      <c r="A862" s="48"/>
      <c r="B862" s="48"/>
      <c r="C862" s="48"/>
      <c r="D862" s="19"/>
      <c r="E862" s="19"/>
      <c r="F862" s="52"/>
      <c r="G862" s="19"/>
      <c r="H862" s="19"/>
      <c r="I862" s="19"/>
      <c r="J862" s="19"/>
      <c r="K862" s="19"/>
      <c r="L862" s="19"/>
      <c r="M862" s="19"/>
      <c r="N862" s="19"/>
      <c r="O862" s="19"/>
      <c r="P862" s="48"/>
      <c r="Q862" s="49"/>
      <c r="R862" s="19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</row>
    <row r="863">
      <c r="A863" s="48"/>
      <c r="B863" s="48"/>
      <c r="C863" s="48"/>
      <c r="D863" s="19"/>
      <c r="E863" s="19"/>
      <c r="F863" s="52"/>
      <c r="G863" s="19"/>
      <c r="H863" s="19"/>
      <c r="I863" s="19"/>
      <c r="J863" s="19"/>
      <c r="K863" s="19"/>
      <c r="L863" s="19"/>
      <c r="M863" s="19"/>
      <c r="N863" s="19"/>
      <c r="O863" s="19"/>
      <c r="P863" s="48"/>
      <c r="Q863" s="49"/>
      <c r="R863" s="19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</row>
    <row r="864">
      <c r="A864" s="48"/>
      <c r="B864" s="48"/>
      <c r="C864" s="48"/>
      <c r="D864" s="19"/>
      <c r="E864" s="19"/>
      <c r="F864" s="52"/>
      <c r="G864" s="19"/>
      <c r="H864" s="19"/>
      <c r="I864" s="19"/>
      <c r="J864" s="19"/>
      <c r="K864" s="19"/>
      <c r="L864" s="19"/>
      <c r="M864" s="19"/>
      <c r="N864" s="19"/>
      <c r="O864" s="19"/>
      <c r="P864" s="48"/>
      <c r="Q864" s="49"/>
      <c r="R864" s="19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</row>
    <row r="865">
      <c r="A865" s="48"/>
      <c r="B865" s="48"/>
      <c r="C865" s="48"/>
      <c r="D865" s="19"/>
      <c r="E865" s="19"/>
      <c r="F865" s="52"/>
      <c r="G865" s="19"/>
      <c r="H865" s="19"/>
      <c r="I865" s="19"/>
      <c r="J865" s="19"/>
      <c r="K865" s="19"/>
      <c r="L865" s="19"/>
      <c r="M865" s="19"/>
      <c r="N865" s="19"/>
      <c r="O865" s="19"/>
      <c r="P865" s="48"/>
      <c r="Q865" s="49"/>
      <c r="R865" s="19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</row>
    <row r="866">
      <c r="A866" s="48"/>
      <c r="B866" s="48"/>
      <c r="C866" s="48"/>
      <c r="D866" s="19"/>
      <c r="E866" s="19"/>
      <c r="F866" s="52"/>
      <c r="G866" s="19"/>
      <c r="H866" s="19"/>
      <c r="I866" s="19"/>
      <c r="J866" s="19"/>
      <c r="K866" s="19"/>
      <c r="L866" s="19"/>
      <c r="M866" s="19"/>
      <c r="N866" s="19"/>
      <c r="O866" s="19"/>
      <c r="P866" s="48"/>
      <c r="Q866" s="49"/>
      <c r="R866" s="19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</row>
    <row r="867">
      <c r="A867" s="48"/>
      <c r="B867" s="48"/>
      <c r="C867" s="48"/>
      <c r="D867" s="19"/>
      <c r="E867" s="19"/>
      <c r="F867" s="52"/>
      <c r="G867" s="19"/>
      <c r="H867" s="19"/>
      <c r="I867" s="19"/>
      <c r="J867" s="19"/>
      <c r="K867" s="19"/>
      <c r="L867" s="19"/>
      <c r="M867" s="19"/>
      <c r="N867" s="19"/>
      <c r="O867" s="19"/>
      <c r="P867" s="48"/>
      <c r="Q867" s="49"/>
      <c r="R867" s="19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</row>
    <row r="868">
      <c r="A868" s="48"/>
      <c r="B868" s="48"/>
      <c r="C868" s="48"/>
      <c r="D868" s="19"/>
      <c r="E868" s="19"/>
      <c r="F868" s="52"/>
      <c r="G868" s="19"/>
      <c r="H868" s="19"/>
      <c r="I868" s="19"/>
      <c r="J868" s="19"/>
      <c r="K868" s="19"/>
      <c r="L868" s="19"/>
      <c r="M868" s="19"/>
      <c r="N868" s="19"/>
      <c r="O868" s="19"/>
      <c r="P868" s="48"/>
      <c r="Q868" s="49"/>
      <c r="R868" s="19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</row>
    <row r="869">
      <c r="A869" s="48"/>
      <c r="B869" s="48"/>
      <c r="C869" s="48"/>
      <c r="D869" s="19"/>
      <c r="E869" s="19"/>
      <c r="F869" s="52"/>
      <c r="G869" s="19"/>
      <c r="H869" s="19"/>
      <c r="I869" s="19"/>
      <c r="J869" s="19"/>
      <c r="K869" s="19"/>
      <c r="L869" s="19"/>
      <c r="M869" s="19"/>
      <c r="N869" s="19"/>
      <c r="O869" s="19"/>
      <c r="P869" s="48"/>
      <c r="Q869" s="49"/>
      <c r="R869" s="19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</row>
    <row r="870">
      <c r="A870" s="48"/>
      <c r="B870" s="48"/>
      <c r="C870" s="48"/>
      <c r="D870" s="19"/>
      <c r="E870" s="19"/>
      <c r="F870" s="52"/>
      <c r="G870" s="19"/>
      <c r="H870" s="19"/>
      <c r="I870" s="19"/>
      <c r="J870" s="19"/>
      <c r="K870" s="19"/>
      <c r="L870" s="19"/>
      <c r="M870" s="19"/>
      <c r="N870" s="19"/>
      <c r="O870" s="19"/>
      <c r="P870" s="48"/>
      <c r="Q870" s="49"/>
      <c r="R870" s="19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</row>
    <row r="871">
      <c r="A871" s="48"/>
      <c r="B871" s="48"/>
      <c r="C871" s="48"/>
      <c r="D871" s="19"/>
      <c r="E871" s="19"/>
      <c r="F871" s="52"/>
      <c r="G871" s="19"/>
      <c r="H871" s="19"/>
      <c r="I871" s="19"/>
      <c r="J871" s="19"/>
      <c r="K871" s="19"/>
      <c r="L871" s="19"/>
      <c r="M871" s="19"/>
      <c r="N871" s="19"/>
      <c r="O871" s="19"/>
      <c r="P871" s="48"/>
      <c r="Q871" s="49"/>
      <c r="R871" s="19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</row>
    <row r="872">
      <c r="A872" s="48"/>
      <c r="B872" s="48"/>
      <c r="C872" s="48"/>
      <c r="D872" s="19"/>
      <c r="E872" s="19"/>
      <c r="F872" s="52"/>
      <c r="G872" s="19"/>
      <c r="H872" s="19"/>
      <c r="I872" s="19"/>
      <c r="J872" s="19"/>
      <c r="K872" s="19"/>
      <c r="L872" s="19"/>
      <c r="M872" s="19"/>
      <c r="N872" s="19"/>
      <c r="O872" s="19"/>
      <c r="P872" s="48"/>
      <c r="Q872" s="49"/>
      <c r="R872" s="19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</row>
    <row r="873">
      <c r="A873" s="48"/>
      <c r="B873" s="48"/>
      <c r="C873" s="48"/>
      <c r="D873" s="19"/>
      <c r="E873" s="19"/>
      <c r="F873" s="52"/>
      <c r="G873" s="19"/>
      <c r="H873" s="19"/>
      <c r="I873" s="19"/>
      <c r="J873" s="19"/>
      <c r="K873" s="19"/>
      <c r="L873" s="19"/>
      <c r="M873" s="19"/>
      <c r="N873" s="19"/>
      <c r="O873" s="19"/>
      <c r="P873" s="48"/>
      <c r="Q873" s="49"/>
      <c r="R873" s="19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</row>
    <row r="874">
      <c r="A874" s="48"/>
      <c r="B874" s="48"/>
      <c r="C874" s="48"/>
      <c r="D874" s="19"/>
      <c r="E874" s="19"/>
      <c r="F874" s="52"/>
      <c r="G874" s="19"/>
      <c r="H874" s="19"/>
      <c r="I874" s="19"/>
      <c r="J874" s="19"/>
      <c r="K874" s="19"/>
      <c r="L874" s="19"/>
      <c r="M874" s="19"/>
      <c r="N874" s="19"/>
      <c r="O874" s="19"/>
      <c r="P874" s="48"/>
      <c r="Q874" s="49"/>
      <c r="R874" s="19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</row>
    <row r="875">
      <c r="A875" s="48"/>
      <c r="B875" s="48"/>
      <c r="C875" s="48"/>
      <c r="D875" s="19"/>
      <c r="E875" s="19"/>
      <c r="F875" s="52"/>
      <c r="G875" s="19"/>
      <c r="H875" s="19"/>
      <c r="I875" s="19"/>
      <c r="J875" s="19"/>
      <c r="K875" s="19"/>
      <c r="L875" s="19"/>
      <c r="M875" s="19"/>
      <c r="N875" s="19"/>
      <c r="O875" s="19"/>
      <c r="P875" s="48"/>
      <c r="Q875" s="49"/>
      <c r="R875" s="19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</row>
    <row r="876">
      <c r="A876" s="48"/>
      <c r="B876" s="48"/>
      <c r="C876" s="48"/>
      <c r="D876" s="19"/>
      <c r="E876" s="19"/>
      <c r="F876" s="52"/>
      <c r="G876" s="19"/>
      <c r="H876" s="19"/>
      <c r="I876" s="19"/>
      <c r="J876" s="19"/>
      <c r="K876" s="19"/>
      <c r="L876" s="19"/>
      <c r="M876" s="19"/>
      <c r="N876" s="19"/>
      <c r="O876" s="19"/>
      <c r="P876" s="48"/>
      <c r="Q876" s="49"/>
      <c r="R876" s="19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</row>
    <row r="877">
      <c r="A877" s="48"/>
      <c r="B877" s="48"/>
      <c r="C877" s="48"/>
      <c r="D877" s="19"/>
      <c r="E877" s="19"/>
      <c r="F877" s="52"/>
      <c r="G877" s="19"/>
      <c r="H877" s="19"/>
      <c r="I877" s="19"/>
      <c r="J877" s="19"/>
      <c r="K877" s="19"/>
      <c r="L877" s="19"/>
      <c r="M877" s="19"/>
      <c r="N877" s="19"/>
      <c r="O877" s="19"/>
      <c r="P877" s="48"/>
      <c r="Q877" s="49"/>
      <c r="R877" s="19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</row>
    <row r="878">
      <c r="A878" s="48"/>
      <c r="B878" s="48"/>
      <c r="C878" s="48"/>
      <c r="D878" s="19"/>
      <c r="E878" s="19"/>
      <c r="F878" s="52"/>
      <c r="G878" s="19"/>
      <c r="H878" s="19"/>
      <c r="I878" s="19"/>
      <c r="J878" s="19"/>
      <c r="K878" s="19"/>
      <c r="L878" s="19"/>
      <c r="M878" s="19"/>
      <c r="N878" s="19"/>
      <c r="O878" s="19"/>
      <c r="P878" s="48"/>
      <c r="Q878" s="49"/>
      <c r="R878" s="19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</row>
    <row r="879">
      <c r="A879" s="48"/>
      <c r="B879" s="48"/>
      <c r="C879" s="48"/>
      <c r="D879" s="19"/>
      <c r="E879" s="19"/>
      <c r="F879" s="52"/>
      <c r="G879" s="19"/>
      <c r="H879" s="19"/>
      <c r="I879" s="19"/>
      <c r="J879" s="19"/>
      <c r="K879" s="19"/>
      <c r="L879" s="19"/>
      <c r="M879" s="19"/>
      <c r="N879" s="19"/>
      <c r="O879" s="19"/>
      <c r="P879" s="48"/>
      <c r="Q879" s="49"/>
      <c r="R879" s="19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</row>
    <row r="880">
      <c r="A880" s="48"/>
      <c r="B880" s="48"/>
      <c r="C880" s="48"/>
      <c r="D880" s="19"/>
      <c r="E880" s="19"/>
      <c r="F880" s="52"/>
      <c r="G880" s="19"/>
      <c r="H880" s="19"/>
      <c r="I880" s="19"/>
      <c r="J880" s="19"/>
      <c r="K880" s="19"/>
      <c r="L880" s="19"/>
      <c r="M880" s="19"/>
      <c r="N880" s="19"/>
      <c r="O880" s="19"/>
      <c r="P880" s="48"/>
      <c r="Q880" s="49"/>
      <c r="R880" s="19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</row>
    <row r="881">
      <c r="A881" s="48"/>
      <c r="B881" s="48"/>
      <c r="C881" s="48"/>
      <c r="D881" s="19"/>
      <c r="E881" s="19"/>
      <c r="F881" s="52"/>
      <c r="G881" s="19"/>
      <c r="H881" s="19"/>
      <c r="I881" s="19"/>
      <c r="J881" s="19"/>
      <c r="K881" s="19"/>
      <c r="L881" s="19"/>
      <c r="M881" s="19"/>
      <c r="N881" s="19"/>
      <c r="O881" s="19"/>
      <c r="P881" s="48"/>
      <c r="Q881" s="49"/>
      <c r="R881" s="19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</row>
    <row r="882">
      <c r="A882" s="48"/>
      <c r="B882" s="48"/>
      <c r="C882" s="48"/>
      <c r="D882" s="19"/>
      <c r="E882" s="19"/>
      <c r="F882" s="52"/>
      <c r="G882" s="19"/>
      <c r="H882" s="19"/>
      <c r="I882" s="19"/>
      <c r="J882" s="19"/>
      <c r="K882" s="19"/>
      <c r="L882" s="19"/>
      <c r="M882" s="19"/>
      <c r="N882" s="19"/>
      <c r="O882" s="19"/>
      <c r="P882" s="48"/>
      <c r="Q882" s="49"/>
      <c r="R882" s="19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</row>
    <row r="883">
      <c r="A883" s="48"/>
      <c r="B883" s="48"/>
      <c r="C883" s="48"/>
      <c r="D883" s="19"/>
      <c r="E883" s="19"/>
      <c r="F883" s="52"/>
      <c r="G883" s="19"/>
      <c r="H883" s="19"/>
      <c r="I883" s="19"/>
      <c r="J883" s="19"/>
      <c r="K883" s="19"/>
      <c r="L883" s="19"/>
      <c r="M883" s="19"/>
      <c r="N883" s="19"/>
      <c r="O883" s="19"/>
      <c r="P883" s="48"/>
      <c r="Q883" s="49"/>
      <c r="R883" s="19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</row>
    <row r="884">
      <c r="A884" s="48"/>
      <c r="B884" s="48"/>
      <c r="C884" s="48"/>
      <c r="D884" s="19"/>
      <c r="E884" s="19"/>
      <c r="F884" s="52"/>
      <c r="G884" s="19"/>
      <c r="H884" s="19"/>
      <c r="I884" s="19"/>
      <c r="J884" s="19"/>
      <c r="K884" s="19"/>
      <c r="L884" s="19"/>
      <c r="M884" s="19"/>
      <c r="N884" s="19"/>
      <c r="O884" s="19"/>
      <c r="P884" s="48"/>
      <c r="Q884" s="49"/>
      <c r="R884" s="19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</row>
    <row r="885">
      <c r="A885" s="48"/>
      <c r="B885" s="48"/>
      <c r="C885" s="48"/>
      <c r="D885" s="19"/>
      <c r="E885" s="19"/>
      <c r="F885" s="52"/>
      <c r="G885" s="19"/>
      <c r="H885" s="19"/>
      <c r="I885" s="19"/>
      <c r="J885" s="19"/>
      <c r="K885" s="19"/>
      <c r="L885" s="19"/>
      <c r="M885" s="19"/>
      <c r="N885" s="19"/>
      <c r="O885" s="19"/>
      <c r="P885" s="48"/>
      <c r="Q885" s="49"/>
      <c r="R885" s="19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</row>
    <row r="886">
      <c r="A886" s="48"/>
      <c r="B886" s="48"/>
      <c r="C886" s="48"/>
      <c r="D886" s="19"/>
      <c r="E886" s="19"/>
      <c r="F886" s="52"/>
      <c r="G886" s="19"/>
      <c r="H886" s="19"/>
      <c r="I886" s="19"/>
      <c r="J886" s="19"/>
      <c r="K886" s="19"/>
      <c r="L886" s="19"/>
      <c r="M886" s="19"/>
      <c r="N886" s="19"/>
      <c r="O886" s="19"/>
      <c r="P886" s="48"/>
      <c r="Q886" s="49"/>
      <c r="R886" s="19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</row>
    <row r="887">
      <c r="A887" s="48"/>
      <c r="B887" s="48"/>
      <c r="C887" s="48"/>
      <c r="D887" s="19"/>
      <c r="E887" s="19"/>
      <c r="F887" s="52"/>
      <c r="G887" s="19"/>
      <c r="H887" s="19"/>
      <c r="I887" s="19"/>
      <c r="J887" s="19"/>
      <c r="K887" s="19"/>
      <c r="L887" s="19"/>
      <c r="M887" s="19"/>
      <c r="N887" s="19"/>
      <c r="O887" s="19"/>
      <c r="P887" s="48"/>
      <c r="Q887" s="49"/>
      <c r="R887" s="19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</row>
    <row r="888">
      <c r="A888" s="48"/>
      <c r="B888" s="48"/>
      <c r="C888" s="48"/>
      <c r="D888" s="19"/>
      <c r="E888" s="19"/>
      <c r="F888" s="52"/>
      <c r="G888" s="19"/>
      <c r="H888" s="19"/>
      <c r="I888" s="19"/>
      <c r="J888" s="19"/>
      <c r="K888" s="19"/>
      <c r="L888" s="19"/>
      <c r="M888" s="19"/>
      <c r="N888" s="19"/>
      <c r="O888" s="19"/>
      <c r="P888" s="48"/>
      <c r="Q888" s="49"/>
      <c r="R888" s="19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</row>
    <row r="889">
      <c r="A889" s="48"/>
      <c r="B889" s="48"/>
      <c r="C889" s="48"/>
      <c r="D889" s="19"/>
      <c r="E889" s="19"/>
      <c r="F889" s="52"/>
      <c r="G889" s="19"/>
      <c r="H889" s="19"/>
      <c r="I889" s="19"/>
      <c r="J889" s="19"/>
      <c r="K889" s="19"/>
      <c r="L889" s="19"/>
      <c r="M889" s="19"/>
      <c r="N889" s="19"/>
      <c r="O889" s="19"/>
      <c r="P889" s="48"/>
      <c r="Q889" s="49"/>
      <c r="R889" s="19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</row>
    <row r="890">
      <c r="A890" s="48"/>
      <c r="B890" s="48"/>
      <c r="C890" s="48"/>
      <c r="D890" s="19"/>
      <c r="E890" s="19"/>
      <c r="F890" s="52"/>
      <c r="G890" s="19"/>
      <c r="H890" s="19"/>
      <c r="I890" s="19"/>
      <c r="J890" s="19"/>
      <c r="K890" s="19"/>
      <c r="L890" s="19"/>
      <c r="M890" s="19"/>
      <c r="N890" s="19"/>
      <c r="O890" s="19"/>
      <c r="P890" s="48"/>
      <c r="Q890" s="49"/>
      <c r="R890" s="19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</row>
    <row r="891">
      <c r="A891" s="48"/>
      <c r="B891" s="48"/>
      <c r="C891" s="48"/>
      <c r="D891" s="19"/>
      <c r="E891" s="19"/>
      <c r="F891" s="52"/>
      <c r="G891" s="19"/>
      <c r="H891" s="19"/>
      <c r="I891" s="19"/>
      <c r="J891" s="19"/>
      <c r="K891" s="19"/>
      <c r="L891" s="19"/>
      <c r="M891" s="19"/>
      <c r="N891" s="19"/>
      <c r="O891" s="19"/>
      <c r="P891" s="48"/>
      <c r="Q891" s="49"/>
      <c r="R891" s="19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</row>
    <row r="892">
      <c r="A892" s="48"/>
      <c r="B892" s="48"/>
      <c r="C892" s="48"/>
      <c r="D892" s="19"/>
      <c r="E892" s="19"/>
      <c r="F892" s="52"/>
      <c r="G892" s="19"/>
      <c r="H892" s="19"/>
      <c r="I892" s="19"/>
      <c r="J892" s="19"/>
      <c r="K892" s="19"/>
      <c r="L892" s="19"/>
      <c r="M892" s="19"/>
      <c r="N892" s="19"/>
      <c r="O892" s="19"/>
      <c r="P892" s="48"/>
      <c r="Q892" s="49"/>
      <c r="R892" s="19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</row>
    <row r="893">
      <c r="A893" s="48"/>
      <c r="B893" s="48"/>
      <c r="C893" s="48"/>
      <c r="D893" s="19"/>
      <c r="E893" s="19"/>
      <c r="F893" s="52"/>
      <c r="G893" s="19"/>
      <c r="H893" s="19"/>
      <c r="I893" s="19"/>
      <c r="J893" s="19"/>
      <c r="K893" s="19"/>
      <c r="L893" s="19"/>
      <c r="M893" s="19"/>
      <c r="N893" s="19"/>
      <c r="O893" s="19"/>
      <c r="P893" s="48"/>
      <c r="Q893" s="49"/>
      <c r="R893" s="19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</row>
    <row r="894">
      <c r="A894" s="48"/>
      <c r="B894" s="48"/>
      <c r="C894" s="48"/>
      <c r="D894" s="19"/>
      <c r="E894" s="19"/>
      <c r="F894" s="52"/>
      <c r="G894" s="19"/>
      <c r="H894" s="19"/>
      <c r="I894" s="19"/>
      <c r="J894" s="19"/>
      <c r="K894" s="19"/>
      <c r="L894" s="19"/>
      <c r="M894" s="19"/>
      <c r="N894" s="19"/>
      <c r="O894" s="19"/>
      <c r="P894" s="48"/>
      <c r="Q894" s="49"/>
      <c r="R894" s="19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</row>
    <row r="895">
      <c r="A895" s="48"/>
      <c r="B895" s="48"/>
      <c r="C895" s="48"/>
      <c r="D895" s="19"/>
      <c r="E895" s="19"/>
      <c r="F895" s="52"/>
      <c r="G895" s="19"/>
      <c r="H895" s="19"/>
      <c r="I895" s="19"/>
      <c r="J895" s="19"/>
      <c r="K895" s="19"/>
      <c r="L895" s="19"/>
      <c r="M895" s="19"/>
      <c r="N895" s="19"/>
      <c r="O895" s="19"/>
      <c r="P895" s="48"/>
      <c r="Q895" s="49"/>
      <c r="R895" s="19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</row>
    <row r="896">
      <c r="A896" s="48"/>
      <c r="B896" s="48"/>
      <c r="C896" s="48"/>
      <c r="D896" s="19"/>
      <c r="E896" s="19"/>
      <c r="F896" s="52"/>
      <c r="G896" s="19"/>
      <c r="H896" s="19"/>
      <c r="I896" s="19"/>
      <c r="J896" s="19"/>
      <c r="K896" s="19"/>
      <c r="L896" s="19"/>
      <c r="M896" s="19"/>
      <c r="N896" s="19"/>
      <c r="O896" s="19"/>
      <c r="P896" s="48"/>
      <c r="Q896" s="49"/>
      <c r="R896" s="19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</row>
    <row r="897">
      <c r="A897" s="48"/>
      <c r="B897" s="48"/>
      <c r="C897" s="48"/>
      <c r="D897" s="19"/>
      <c r="E897" s="19"/>
      <c r="F897" s="52"/>
      <c r="G897" s="19"/>
      <c r="H897" s="19"/>
      <c r="I897" s="19"/>
      <c r="J897" s="19"/>
      <c r="K897" s="19"/>
      <c r="L897" s="19"/>
      <c r="M897" s="19"/>
      <c r="N897" s="19"/>
      <c r="O897" s="19"/>
      <c r="P897" s="48"/>
      <c r="Q897" s="49"/>
      <c r="R897" s="19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</row>
    <row r="898">
      <c r="A898" s="48"/>
      <c r="B898" s="48"/>
      <c r="C898" s="48"/>
      <c r="D898" s="19"/>
      <c r="E898" s="19"/>
      <c r="F898" s="52"/>
      <c r="G898" s="19"/>
      <c r="H898" s="19"/>
      <c r="I898" s="19"/>
      <c r="J898" s="19"/>
      <c r="K898" s="19"/>
      <c r="L898" s="19"/>
      <c r="M898" s="19"/>
      <c r="N898" s="19"/>
      <c r="O898" s="19"/>
      <c r="P898" s="48"/>
      <c r="Q898" s="49"/>
      <c r="R898" s="19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</row>
    <row r="899">
      <c r="A899" s="48"/>
      <c r="B899" s="48"/>
      <c r="C899" s="48"/>
      <c r="D899" s="19"/>
      <c r="E899" s="19"/>
      <c r="F899" s="52"/>
      <c r="G899" s="19"/>
      <c r="H899" s="19"/>
      <c r="I899" s="19"/>
      <c r="J899" s="19"/>
      <c r="K899" s="19"/>
      <c r="L899" s="19"/>
      <c r="M899" s="19"/>
      <c r="N899" s="19"/>
      <c r="O899" s="19"/>
      <c r="P899" s="48"/>
      <c r="Q899" s="49"/>
      <c r="R899" s="19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</row>
    <row r="900">
      <c r="A900" s="48"/>
      <c r="B900" s="48"/>
      <c r="C900" s="48"/>
      <c r="D900" s="19"/>
      <c r="E900" s="19"/>
      <c r="F900" s="52"/>
      <c r="G900" s="19"/>
      <c r="H900" s="19"/>
      <c r="I900" s="19"/>
      <c r="J900" s="19"/>
      <c r="K900" s="19"/>
      <c r="L900" s="19"/>
      <c r="M900" s="19"/>
      <c r="N900" s="19"/>
      <c r="O900" s="19"/>
      <c r="P900" s="48"/>
      <c r="Q900" s="49"/>
      <c r="R900" s="19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</row>
    <row r="901">
      <c r="A901" s="48"/>
      <c r="B901" s="48"/>
      <c r="C901" s="48"/>
      <c r="D901" s="19"/>
      <c r="E901" s="19"/>
      <c r="F901" s="52"/>
      <c r="G901" s="19"/>
      <c r="H901" s="19"/>
      <c r="I901" s="19"/>
      <c r="J901" s="19"/>
      <c r="K901" s="19"/>
      <c r="L901" s="19"/>
      <c r="M901" s="19"/>
      <c r="N901" s="19"/>
      <c r="O901" s="19"/>
      <c r="P901" s="48"/>
      <c r="Q901" s="49"/>
      <c r="R901" s="19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</row>
    <row r="902">
      <c r="A902" s="48"/>
      <c r="B902" s="48"/>
      <c r="C902" s="48"/>
      <c r="D902" s="19"/>
      <c r="E902" s="19"/>
      <c r="F902" s="52"/>
      <c r="G902" s="19"/>
      <c r="H902" s="19"/>
      <c r="I902" s="19"/>
      <c r="J902" s="19"/>
      <c r="K902" s="19"/>
      <c r="L902" s="19"/>
      <c r="M902" s="19"/>
      <c r="N902" s="19"/>
      <c r="O902" s="19"/>
      <c r="P902" s="48"/>
      <c r="Q902" s="49"/>
      <c r="R902" s="19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</row>
    <row r="903">
      <c r="A903" s="48"/>
      <c r="B903" s="48"/>
      <c r="C903" s="48"/>
      <c r="D903" s="19"/>
      <c r="E903" s="19"/>
      <c r="F903" s="52"/>
      <c r="G903" s="19"/>
      <c r="H903" s="19"/>
      <c r="I903" s="19"/>
      <c r="J903" s="19"/>
      <c r="K903" s="19"/>
      <c r="L903" s="19"/>
      <c r="M903" s="19"/>
      <c r="N903" s="19"/>
      <c r="O903" s="19"/>
      <c r="P903" s="48"/>
      <c r="Q903" s="49"/>
      <c r="R903" s="19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</row>
    <row r="904">
      <c r="A904" s="48"/>
      <c r="B904" s="48"/>
      <c r="C904" s="48"/>
      <c r="D904" s="19"/>
      <c r="E904" s="19"/>
      <c r="F904" s="52"/>
      <c r="G904" s="19"/>
      <c r="H904" s="19"/>
      <c r="I904" s="19"/>
      <c r="J904" s="19"/>
      <c r="K904" s="19"/>
      <c r="L904" s="19"/>
      <c r="M904" s="19"/>
      <c r="N904" s="19"/>
      <c r="O904" s="19"/>
      <c r="P904" s="48"/>
      <c r="Q904" s="49"/>
      <c r="R904" s="19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</row>
    <row r="905">
      <c r="A905" s="48"/>
      <c r="B905" s="48"/>
      <c r="C905" s="48"/>
      <c r="D905" s="19"/>
      <c r="E905" s="19"/>
      <c r="F905" s="52"/>
      <c r="G905" s="19"/>
      <c r="H905" s="19"/>
      <c r="I905" s="19"/>
      <c r="J905" s="19"/>
      <c r="K905" s="19"/>
      <c r="L905" s="19"/>
      <c r="M905" s="19"/>
      <c r="N905" s="19"/>
      <c r="O905" s="19"/>
      <c r="P905" s="48"/>
      <c r="Q905" s="49"/>
      <c r="R905" s="19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</row>
    <row r="906">
      <c r="A906" s="48"/>
      <c r="B906" s="48"/>
      <c r="C906" s="48"/>
      <c r="D906" s="19"/>
      <c r="E906" s="19"/>
      <c r="F906" s="52"/>
      <c r="G906" s="19"/>
      <c r="H906" s="19"/>
      <c r="I906" s="19"/>
      <c r="J906" s="19"/>
      <c r="K906" s="19"/>
      <c r="L906" s="19"/>
      <c r="M906" s="19"/>
      <c r="N906" s="19"/>
      <c r="O906" s="19"/>
      <c r="P906" s="48"/>
      <c r="Q906" s="49"/>
      <c r="R906" s="19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</row>
    <row r="907">
      <c r="A907" s="48"/>
      <c r="B907" s="48"/>
      <c r="C907" s="48"/>
      <c r="D907" s="19"/>
      <c r="E907" s="19"/>
      <c r="F907" s="52"/>
      <c r="G907" s="19"/>
      <c r="H907" s="19"/>
      <c r="I907" s="19"/>
      <c r="J907" s="19"/>
      <c r="K907" s="19"/>
      <c r="L907" s="19"/>
      <c r="M907" s="19"/>
      <c r="N907" s="19"/>
      <c r="O907" s="19"/>
      <c r="P907" s="48"/>
      <c r="Q907" s="49"/>
      <c r="R907" s="19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</row>
    <row r="908">
      <c r="A908" s="48"/>
      <c r="B908" s="48"/>
      <c r="C908" s="48"/>
      <c r="D908" s="19"/>
      <c r="E908" s="19"/>
      <c r="F908" s="52"/>
      <c r="G908" s="19"/>
      <c r="H908" s="19"/>
      <c r="I908" s="19"/>
      <c r="J908" s="19"/>
      <c r="K908" s="19"/>
      <c r="L908" s="19"/>
      <c r="M908" s="19"/>
      <c r="N908" s="19"/>
      <c r="O908" s="19"/>
      <c r="P908" s="48"/>
      <c r="Q908" s="49"/>
      <c r="R908" s="19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</row>
    <row r="909">
      <c r="A909" s="48"/>
      <c r="B909" s="48"/>
      <c r="C909" s="48"/>
      <c r="D909" s="19"/>
      <c r="E909" s="19"/>
      <c r="F909" s="52"/>
      <c r="G909" s="19"/>
      <c r="H909" s="19"/>
      <c r="I909" s="19"/>
      <c r="J909" s="19"/>
      <c r="K909" s="19"/>
      <c r="L909" s="19"/>
      <c r="M909" s="19"/>
      <c r="N909" s="19"/>
      <c r="O909" s="19"/>
      <c r="P909" s="48"/>
      <c r="Q909" s="49"/>
      <c r="R909" s="19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</row>
    <row r="910">
      <c r="A910" s="48"/>
      <c r="B910" s="48"/>
      <c r="C910" s="48"/>
      <c r="D910" s="19"/>
      <c r="E910" s="19"/>
      <c r="F910" s="52"/>
      <c r="G910" s="19"/>
      <c r="H910" s="19"/>
      <c r="I910" s="19"/>
      <c r="J910" s="19"/>
      <c r="K910" s="19"/>
      <c r="L910" s="19"/>
      <c r="M910" s="19"/>
      <c r="N910" s="19"/>
      <c r="O910" s="19"/>
      <c r="P910" s="48"/>
      <c r="Q910" s="49"/>
      <c r="R910" s="19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</row>
    <row r="911">
      <c r="A911" s="48"/>
      <c r="B911" s="48"/>
      <c r="C911" s="48"/>
      <c r="D911" s="19"/>
      <c r="E911" s="19"/>
      <c r="F911" s="52"/>
      <c r="G911" s="19"/>
      <c r="H911" s="19"/>
      <c r="I911" s="19"/>
      <c r="J911" s="19"/>
      <c r="K911" s="19"/>
      <c r="L911" s="19"/>
      <c r="M911" s="19"/>
      <c r="N911" s="19"/>
      <c r="O911" s="19"/>
      <c r="P911" s="48"/>
      <c r="Q911" s="49"/>
      <c r="R911" s="19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</row>
    <row r="912">
      <c r="A912" s="48"/>
      <c r="B912" s="48"/>
      <c r="C912" s="48"/>
      <c r="D912" s="19"/>
      <c r="E912" s="19"/>
      <c r="F912" s="52"/>
      <c r="G912" s="19"/>
      <c r="H912" s="19"/>
      <c r="I912" s="19"/>
      <c r="J912" s="19"/>
      <c r="K912" s="19"/>
      <c r="L912" s="19"/>
      <c r="M912" s="19"/>
      <c r="N912" s="19"/>
      <c r="O912" s="19"/>
      <c r="P912" s="48"/>
      <c r="Q912" s="49"/>
      <c r="R912" s="19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</row>
    <row r="913">
      <c r="A913" s="48"/>
      <c r="B913" s="48"/>
      <c r="C913" s="48"/>
      <c r="D913" s="19"/>
      <c r="E913" s="19"/>
      <c r="F913" s="52"/>
      <c r="G913" s="19"/>
      <c r="H913" s="19"/>
      <c r="I913" s="19"/>
      <c r="J913" s="19"/>
      <c r="K913" s="19"/>
      <c r="L913" s="19"/>
      <c r="M913" s="19"/>
      <c r="N913" s="19"/>
      <c r="O913" s="19"/>
      <c r="P913" s="48"/>
      <c r="Q913" s="49"/>
      <c r="R913" s="19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</row>
    <row r="914">
      <c r="A914" s="48"/>
      <c r="B914" s="48"/>
      <c r="C914" s="48"/>
      <c r="D914" s="19"/>
      <c r="E914" s="19"/>
      <c r="F914" s="52"/>
      <c r="G914" s="19"/>
      <c r="H914" s="19"/>
      <c r="I914" s="19"/>
      <c r="J914" s="19"/>
      <c r="K914" s="19"/>
      <c r="L914" s="19"/>
      <c r="M914" s="19"/>
      <c r="N914" s="19"/>
      <c r="O914" s="19"/>
      <c r="P914" s="48"/>
      <c r="Q914" s="49"/>
      <c r="R914" s="19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</row>
    <row r="915">
      <c r="A915" s="48"/>
      <c r="B915" s="48"/>
      <c r="C915" s="48"/>
      <c r="D915" s="19"/>
      <c r="E915" s="19"/>
      <c r="F915" s="52"/>
      <c r="G915" s="19"/>
      <c r="H915" s="19"/>
      <c r="I915" s="19"/>
      <c r="J915" s="19"/>
      <c r="K915" s="19"/>
      <c r="L915" s="19"/>
      <c r="M915" s="19"/>
      <c r="N915" s="19"/>
      <c r="O915" s="19"/>
      <c r="P915" s="48"/>
      <c r="Q915" s="49"/>
      <c r="R915" s="19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</row>
    <row r="916">
      <c r="A916" s="48"/>
      <c r="B916" s="48"/>
      <c r="C916" s="48"/>
      <c r="D916" s="19"/>
      <c r="E916" s="19"/>
      <c r="F916" s="52"/>
      <c r="G916" s="19"/>
      <c r="H916" s="19"/>
      <c r="I916" s="19"/>
      <c r="J916" s="19"/>
      <c r="K916" s="19"/>
      <c r="L916" s="19"/>
      <c r="M916" s="19"/>
      <c r="N916" s="19"/>
      <c r="O916" s="19"/>
      <c r="P916" s="48"/>
      <c r="Q916" s="49"/>
      <c r="R916" s="19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</row>
    <row r="917">
      <c r="A917" s="48"/>
      <c r="B917" s="48"/>
      <c r="C917" s="48"/>
      <c r="D917" s="19"/>
      <c r="E917" s="19"/>
      <c r="F917" s="52"/>
      <c r="G917" s="19"/>
      <c r="H917" s="19"/>
      <c r="I917" s="19"/>
      <c r="J917" s="19"/>
      <c r="K917" s="19"/>
      <c r="L917" s="19"/>
      <c r="M917" s="19"/>
      <c r="N917" s="19"/>
      <c r="O917" s="19"/>
      <c r="P917" s="48"/>
      <c r="Q917" s="49"/>
      <c r="R917" s="19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</row>
    <row r="918">
      <c r="A918" s="48"/>
      <c r="B918" s="48"/>
      <c r="C918" s="48"/>
      <c r="D918" s="19"/>
      <c r="E918" s="19"/>
      <c r="F918" s="52"/>
      <c r="G918" s="19"/>
      <c r="H918" s="19"/>
      <c r="I918" s="19"/>
      <c r="J918" s="19"/>
      <c r="K918" s="19"/>
      <c r="L918" s="19"/>
      <c r="M918" s="19"/>
      <c r="N918" s="19"/>
      <c r="O918" s="19"/>
      <c r="P918" s="48"/>
      <c r="Q918" s="49"/>
      <c r="R918" s="19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</row>
    <row r="919">
      <c r="A919" s="48"/>
      <c r="B919" s="48"/>
      <c r="C919" s="48"/>
      <c r="D919" s="19"/>
      <c r="E919" s="19"/>
      <c r="F919" s="52"/>
      <c r="G919" s="19"/>
      <c r="H919" s="19"/>
      <c r="I919" s="19"/>
      <c r="J919" s="19"/>
      <c r="K919" s="19"/>
      <c r="L919" s="19"/>
      <c r="M919" s="19"/>
      <c r="N919" s="19"/>
      <c r="O919" s="19"/>
      <c r="P919" s="48"/>
      <c r="Q919" s="49"/>
      <c r="R919" s="19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</row>
    <row r="920">
      <c r="A920" s="48"/>
      <c r="B920" s="48"/>
      <c r="C920" s="48"/>
      <c r="D920" s="19"/>
      <c r="E920" s="19"/>
      <c r="F920" s="52"/>
      <c r="G920" s="19"/>
      <c r="H920" s="19"/>
      <c r="I920" s="19"/>
      <c r="J920" s="19"/>
      <c r="K920" s="19"/>
      <c r="L920" s="19"/>
      <c r="M920" s="19"/>
      <c r="N920" s="19"/>
      <c r="O920" s="19"/>
      <c r="P920" s="48"/>
      <c r="Q920" s="49"/>
      <c r="R920" s="19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</row>
    <row r="921">
      <c r="A921" s="48"/>
      <c r="B921" s="48"/>
      <c r="C921" s="48"/>
      <c r="D921" s="19"/>
      <c r="E921" s="19"/>
      <c r="F921" s="52"/>
      <c r="G921" s="19"/>
      <c r="H921" s="19"/>
      <c r="I921" s="19"/>
      <c r="J921" s="19"/>
      <c r="K921" s="19"/>
      <c r="L921" s="19"/>
      <c r="M921" s="19"/>
      <c r="N921" s="19"/>
      <c r="O921" s="19"/>
      <c r="P921" s="48"/>
      <c r="Q921" s="49"/>
      <c r="R921" s="19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</row>
    <row r="922">
      <c r="A922" s="48"/>
      <c r="B922" s="48"/>
      <c r="C922" s="48"/>
      <c r="D922" s="19"/>
      <c r="E922" s="19"/>
      <c r="F922" s="52"/>
      <c r="G922" s="19"/>
      <c r="H922" s="19"/>
      <c r="I922" s="19"/>
      <c r="J922" s="19"/>
      <c r="K922" s="19"/>
      <c r="L922" s="19"/>
      <c r="M922" s="19"/>
      <c r="N922" s="19"/>
      <c r="O922" s="19"/>
      <c r="P922" s="48"/>
      <c r="Q922" s="49"/>
      <c r="R922" s="19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</row>
    <row r="923">
      <c r="A923" s="48"/>
      <c r="B923" s="48"/>
      <c r="C923" s="48"/>
      <c r="D923" s="19"/>
      <c r="E923" s="19"/>
      <c r="F923" s="52"/>
      <c r="G923" s="19"/>
      <c r="H923" s="19"/>
      <c r="I923" s="19"/>
      <c r="J923" s="19"/>
      <c r="K923" s="19"/>
      <c r="L923" s="19"/>
      <c r="M923" s="19"/>
      <c r="N923" s="19"/>
      <c r="O923" s="19"/>
      <c r="P923" s="48"/>
      <c r="Q923" s="49"/>
      <c r="R923" s="19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</row>
    <row r="924">
      <c r="A924" s="48"/>
      <c r="B924" s="48"/>
      <c r="C924" s="48"/>
      <c r="D924" s="19"/>
      <c r="E924" s="19"/>
      <c r="F924" s="52"/>
      <c r="G924" s="19"/>
      <c r="H924" s="19"/>
      <c r="I924" s="19"/>
      <c r="J924" s="19"/>
      <c r="K924" s="19"/>
      <c r="L924" s="19"/>
      <c r="M924" s="19"/>
      <c r="N924" s="19"/>
      <c r="O924" s="19"/>
      <c r="P924" s="48"/>
      <c r="Q924" s="49"/>
      <c r="R924" s="19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</row>
    <row r="925">
      <c r="A925" s="48"/>
      <c r="B925" s="48"/>
      <c r="C925" s="48"/>
      <c r="D925" s="19"/>
      <c r="E925" s="19"/>
      <c r="F925" s="52"/>
      <c r="G925" s="19"/>
      <c r="H925" s="19"/>
      <c r="I925" s="19"/>
      <c r="J925" s="19"/>
      <c r="K925" s="19"/>
      <c r="L925" s="19"/>
      <c r="M925" s="19"/>
      <c r="N925" s="19"/>
      <c r="O925" s="19"/>
      <c r="P925" s="48"/>
      <c r="Q925" s="49"/>
      <c r="R925" s="19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</row>
    <row r="926">
      <c r="A926" s="48"/>
      <c r="B926" s="48"/>
      <c r="C926" s="48"/>
      <c r="D926" s="19"/>
      <c r="E926" s="19"/>
      <c r="F926" s="52"/>
      <c r="G926" s="19"/>
      <c r="H926" s="19"/>
      <c r="I926" s="19"/>
      <c r="J926" s="19"/>
      <c r="K926" s="19"/>
      <c r="L926" s="19"/>
      <c r="M926" s="19"/>
      <c r="N926" s="19"/>
      <c r="O926" s="19"/>
      <c r="P926" s="48"/>
      <c r="Q926" s="49"/>
      <c r="R926" s="19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</row>
    <row r="927">
      <c r="A927" s="48"/>
      <c r="B927" s="48"/>
      <c r="C927" s="48"/>
      <c r="D927" s="19"/>
      <c r="E927" s="19"/>
      <c r="F927" s="52"/>
      <c r="G927" s="19"/>
      <c r="H927" s="19"/>
      <c r="I927" s="19"/>
      <c r="J927" s="19"/>
      <c r="K927" s="19"/>
      <c r="L927" s="19"/>
      <c r="M927" s="19"/>
      <c r="N927" s="19"/>
      <c r="O927" s="19"/>
      <c r="P927" s="48"/>
      <c r="Q927" s="49"/>
      <c r="R927" s="19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</row>
    <row r="928">
      <c r="A928" s="48"/>
      <c r="B928" s="48"/>
      <c r="C928" s="48"/>
      <c r="D928" s="19"/>
      <c r="E928" s="19"/>
      <c r="F928" s="52"/>
      <c r="G928" s="19"/>
      <c r="H928" s="19"/>
      <c r="I928" s="19"/>
      <c r="J928" s="19"/>
      <c r="K928" s="19"/>
      <c r="L928" s="19"/>
      <c r="M928" s="19"/>
      <c r="N928" s="19"/>
      <c r="O928" s="19"/>
      <c r="P928" s="48"/>
      <c r="Q928" s="49"/>
      <c r="R928" s="19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</row>
    <row r="929">
      <c r="A929" s="48"/>
      <c r="B929" s="48"/>
      <c r="C929" s="48"/>
      <c r="D929" s="19"/>
      <c r="E929" s="19"/>
      <c r="F929" s="52"/>
      <c r="G929" s="19"/>
      <c r="H929" s="19"/>
      <c r="I929" s="19"/>
      <c r="J929" s="19"/>
      <c r="K929" s="19"/>
      <c r="L929" s="19"/>
      <c r="M929" s="19"/>
      <c r="N929" s="19"/>
      <c r="O929" s="19"/>
      <c r="P929" s="48"/>
      <c r="Q929" s="49"/>
      <c r="R929" s="19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</row>
    <row r="930">
      <c r="A930" s="48"/>
      <c r="B930" s="48"/>
      <c r="C930" s="48"/>
      <c r="D930" s="19"/>
      <c r="E930" s="19"/>
      <c r="F930" s="52"/>
      <c r="G930" s="19"/>
      <c r="H930" s="19"/>
      <c r="I930" s="19"/>
      <c r="J930" s="19"/>
      <c r="K930" s="19"/>
      <c r="L930" s="19"/>
      <c r="M930" s="19"/>
      <c r="N930" s="19"/>
      <c r="O930" s="19"/>
      <c r="P930" s="48"/>
      <c r="Q930" s="49"/>
      <c r="R930" s="19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</row>
    <row r="931">
      <c r="A931" s="48"/>
      <c r="B931" s="48"/>
      <c r="C931" s="48"/>
      <c r="D931" s="19"/>
      <c r="E931" s="19"/>
      <c r="F931" s="52"/>
      <c r="G931" s="19"/>
      <c r="H931" s="19"/>
      <c r="I931" s="19"/>
      <c r="J931" s="19"/>
      <c r="K931" s="19"/>
      <c r="L931" s="19"/>
      <c r="M931" s="19"/>
      <c r="N931" s="19"/>
      <c r="O931" s="19"/>
      <c r="P931" s="48"/>
      <c r="Q931" s="49"/>
      <c r="R931" s="19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</row>
    <row r="932">
      <c r="A932" s="48"/>
      <c r="B932" s="48"/>
      <c r="C932" s="48"/>
      <c r="D932" s="19"/>
      <c r="E932" s="19"/>
      <c r="F932" s="52"/>
      <c r="G932" s="19"/>
      <c r="H932" s="19"/>
      <c r="I932" s="19"/>
      <c r="J932" s="19"/>
      <c r="K932" s="19"/>
      <c r="L932" s="19"/>
      <c r="M932" s="19"/>
      <c r="N932" s="19"/>
      <c r="O932" s="19"/>
      <c r="P932" s="48"/>
      <c r="Q932" s="49"/>
      <c r="R932" s="19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</row>
    <row r="933">
      <c r="A933" s="48"/>
      <c r="B933" s="48"/>
      <c r="C933" s="48"/>
      <c r="D933" s="19"/>
      <c r="E933" s="19"/>
      <c r="F933" s="52"/>
      <c r="G933" s="19"/>
      <c r="H933" s="19"/>
      <c r="I933" s="19"/>
      <c r="J933" s="19"/>
      <c r="K933" s="19"/>
      <c r="L933" s="19"/>
      <c r="M933" s="19"/>
      <c r="N933" s="19"/>
      <c r="O933" s="19"/>
      <c r="P933" s="48"/>
      <c r="Q933" s="49"/>
      <c r="R933" s="19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</row>
    <row r="934">
      <c r="A934" s="48"/>
      <c r="B934" s="48"/>
      <c r="C934" s="48"/>
      <c r="D934" s="19"/>
      <c r="E934" s="19"/>
      <c r="F934" s="52"/>
      <c r="G934" s="19"/>
      <c r="H934" s="19"/>
      <c r="I934" s="19"/>
      <c r="J934" s="19"/>
      <c r="K934" s="19"/>
      <c r="L934" s="19"/>
      <c r="M934" s="19"/>
      <c r="N934" s="19"/>
      <c r="O934" s="19"/>
      <c r="P934" s="48"/>
      <c r="Q934" s="49"/>
      <c r="R934" s="19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</row>
    <row r="935">
      <c r="A935" s="48"/>
      <c r="B935" s="48"/>
      <c r="C935" s="48"/>
      <c r="D935" s="19"/>
      <c r="E935" s="19"/>
      <c r="F935" s="52"/>
      <c r="G935" s="19"/>
      <c r="H935" s="19"/>
      <c r="I935" s="19"/>
      <c r="J935" s="19"/>
      <c r="K935" s="19"/>
      <c r="L935" s="19"/>
      <c r="M935" s="19"/>
      <c r="N935" s="19"/>
      <c r="O935" s="19"/>
      <c r="P935" s="48"/>
      <c r="Q935" s="49"/>
      <c r="R935" s="19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</row>
    <row r="936">
      <c r="A936" s="48"/>
      <c r="B936" s="48"/>
      <c r="C936" s="48"/>
      <c r="D936" s="19"/>
      <c r="E936" s="19"/>
      <c r="F936" s="52"/>
      <c r="G936" s="19"/>
      <c r="H936" s="19"/>
      <c r="I936" s="19"/>
      <c r="J936" s="19"/>
      <c r="K936" s="19"/>
      <c r="L936" s="19"/>
      <c r="M936" s="19"/>
      <c r="N936" s="19"/>
      <c r="O936" s="19"/>
      <c r="P936" s="48"/>
      <c r="Q936" s="49"/>
      <c r="R936" s="19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</row>
    <row r="937">
      <c r="A937" s="48"/>
      <c r="B937" s="48"/>
      <c r="C937" s="48"/>
      <c r="D937" s="19"/>
      <c r="E937" s="19"/>
      <c r="F937" s="52"/>
      <c r="G937" s="19"/>
      <c r="H937" s="19"/>
      <c r="I937" s="19"/>
      <c r="J937" s="19"/>
      <c r="K937" s="19"/>
      <c r="L937" s="19"/>
      <c r="M937" s="19"/>
      <c r="N937" s="19"/>
      <c r="O937" s="19"/>
      <c r="P937" s="48"/>
      <c r="Q937" s="49"/>
      <c r="R937" s="19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</row>
    <row r="938">
      <c r="A938" s="48"/>
      <c r="B938" s="48"/>
      <c r="C938" s="48"/>
      <c r="D938" s="19"/>
      <c r="E938" s="19"/>
      <c r="F938" s="52"/>
      <c r="G938" s="19"/>
      <c r="H938" s="19"/>
      <c r="I938" s="19"/>
      <c r="J938" s="19"/>
      <c r="K938" s="19"/>
      <c r="L938" s="19"/>
      <c r="M938" s="19"/>
      <c r="N938" s="19"/>
      <c r="O938" s="19"/>
      <c r="P938" s="48"/>
      <c r="Q938" s="49"/>
      <c r="R938" s="19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</row>
    <row r="939">
      <c r="A939" s="48"/>
      <c r="B939" s="48"/>
      <c r="C939" s="48"/>
      <c r="D939" s="19"/>
      <c r="E939" s="19"/>
      <c r="F939" s="52"/>
      <c r="G939" s="19"/>
      <c r="H939" s="19"/>
      <c r="I939" s="19"/>
      <c r="J939" s="19"/>
      <c r="K939" s="19"/>
      <c r="L939" s="19"/>
      <c r="M939" s="19"/>
      <c r="N939" s="19"/>
      <c r="O939" s="19"/>
      <c r="P939" s="48"/>
      <c r="Q939" s="49"/>
      <c r="R939" s="19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</row>
    <row r="940">
      <c r="A940" s="48"/>
      <c r="B940" s="48"/>
      <c r="C940" s="48"/>
      <c r="D940" s="19"/>
      <c r="E940" s="19"/>
      <c r="F940" s="52"/>
      <c r="G940" s="19"/>
      <c r="H940" s="19"/>
      <c r="I940" s="19"/>
      <c r="J940" s="19"/>
      <c r="K940" s="19"/>
      <c r="L940" s="19"/>
      <c r="M940" s="19"/>
      <c r="N940" s="19"/>
      <c r="O940" s="19"/>
      <c r="P940" s="48"/>
      <c r="Q940" s="49"/>
      <c r="R940" s="19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</row>
    <row r="941">
      <c r="A941" s="48"/>
      <c r="B941" s="48"/>
      <c r="C941" s="48"/>
      <c r="D941" s="19"/>
      <c r="E941" s="19"/>
      <c r="F941" s="52"/>
      <c r="G941" s="19"/>
      <c r="H941" s="19"/>
      <c r="I941" s="19"/>
      <c r="J941" s="19"/>
      <c r="K941" s="19"/>
      <c r="L941" s="19"/>
      <c r="M941" s="19"/>
      <c r="N941" s="19"/>
      <c r="O941" s="19"/>
      <c r="P941" s="48"/>
      <c r="Q941" s="49"/>
      <c r="R941" s="19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</row>
    <row r="942">
      <c r="A942" s="48"/>
      <c r="B942" s="48"/>
      <c r="C942" s="48"/>
      <c r="D942" s="19"/>
      <c r="E942" s="19"/>
      <c r="F942" s="52"/>
      <c r="G942" s="19"/>
      <c r="H942" s="19"/>
      <c r="I942" s="19"/>
      <c r="J942" s="19"/>
      <c r="K942" s="19"/>
      <c r="L942" s="19"/>
      <c r="M942" s="19"/>
      <c r="N942" s="19"/>
      <c r="O942" s="19"/>
      <c r="P942" s="48"/>
      <c r="Q942" s="49"/>
      <c r="R942" s="19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</row>
    <row r="943">
      <c r="A943" s="48"/>
      <c r="B943" s="48"/>
      <c r="C943" s="48"/>
      <c r="D943" s="19"/>
      <c r="E943" s="19"/>
      <c r="F943" s="52"/>
      <c r="G943" s="19"/>
      <c r="H943" s="19"/>
      <c r="I943" s="19"/>
      <c r="J943" s="19"/>
      <c r="K943" s="19"/>
      <c r="L943" s="19"/>
      <c r="M943" s="19"/>
      <c r="N943" s="19"/>
      <c r="O943" s="19"/>
      <c r="P943" s="48"/>
      <c r="Q943" s="49"/>
      <c r="R943" s="19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</row>
    <row r="944">
      <c r="A944" s="48"/>
      <c r="B944" s="48"/>
      <c r="C944" s="48"/>
      <c r="D944" s="19"/>
      <c r="E944" s="19"/>
      <c r="F944" s="52"/>
      <c r="G944" s="19"/>
      <c r="H944" s="19"/>
      <c r="I944" s="19"/>
      <c r="J944" s="19"/>
      <c r="K944" s="19"/>
      <c r="L944" s="19"/>
      <c r="M944" s="19"/>
      <c r="N944" s="19"/>
      <c r="O944" s="19"/>
      <c r="P944" s="48"/>
      <c r="Q944" s="49"/>
      <c r="R944" s="19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</row>
    <row r="945">
      <c r="A945" s="48"/>
      <c r="B945" s="48"/>
      <c r="C945" s="48"/>
      <c r="D945" s="19"/>
      <c r="E945" s="19"/>
      <c r="F945" s="52"/>
      <c r="G945" s="19"/>
      <c r="H945" s="19"/>
      <c r="I945" s="19"/>
      <c r="J945" s="19"/>
      <c r="K945" s="19"/>
      <c r="L945" s="19"/>
      <c r="M945" s="19"/>
      <c r="N945" s="19"/>
      <c r="O945" s="19"/>
      <c r="P945" s="48"/>
      <c r="Q945" s="49"/>
      <c r="R945" s="19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</row>
    <row r="946">
      <c r="A946" s="48"/>
      <c r="B946" s="48"/>
      <c r="C946" s="48"/>
      <c r="D946" s="19"/>
      <c r="E946" s="19"/>
      <c r="F946" s="52"/>
      <c r="G946" s="19"/>
      <c r="H946" s="19"/>
      <c r="I946" s="19"/>
      <c r="J946" s="19"/>
      <c r="K946" s="19"/>
      <c r="L946" s="19"/>
      <c r="M946" s="19"/>
      <c r="N946" s="19"/>
      <c r="O946" s="19"/>
      <c r="P946" s="48"/>
      <c r="Q946" s="49"/>
      <c r="R946" s="19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</row>
    <row r="947">
      <c r="A947" s="48"/>
      <c r="B947" s="48"/>
      <c r="C947" s="48"/>
      <c r="D947" s="19"/>
      <c r="E947" s="19"/>
      <c r="F947" s="52"/>
      <c r="G947" s="19"/>
      <c r="H947" s="19"/>
      <c r="I947" s="19"/>
      <c r="J947" s="19"/>
      <c r="K947" s="19"/>
      <c r="L947" s="19"/>
      <c r="M947" s="19"/>
      <c r="N947" s="19"/>
      <c r="O947" s="19"/>
      <c r="P947" s="48"/>
      <c r="Q947" s="49"/>
      <c r="R947" s="19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</row>
    <row r="948">
      <c r="A948" s="48"/>
      <c r="B948" s="48"/>
      <c r="C948" s="48"/>
      <c r="D948" s="19"/>
      <c r="E948" s="19"/>
      <c r="F948" s="52"/>
      <c r="G948" s="19"/>
      <c r="H948" s="19"/>
      <c r="I948" s="19"/>
      <c r="J948" s="19"/>
      <c r="K948" s="19"/>
      <c r="L948" s="19"/>
      <c r="M948" s="19"/>
      <c r="N948" s="19"/>
      <c r="O948" s="19"/>
      <c r="P948" s="48"/>
      <c r="Q948" s="49"/>
      <c r="R948" s="19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</row>
    <row r="949">
      <c r="A949" s="48"/>
      <c r="B949" s="48"/>
      <c r="C949" s="48"/>
      <c r="D949" s="19"/>
      <c r="E949" s="19"/>
      <c r="F949" s="52"/>
      <c r="G949" s="19"/>
      <c r="H949" s="19"/>
      <c r="I949" s="19"/>
      <c r="J949" s="19"/>
      <c r="K949" s="19"/>
      <c r="L949" s="19"/>
      <c r="M949" s="19"/>
      <c r="N949" s="19"/>
      <c r="O949" s="19"/>
      <c r="P949" s="48"/>
      <c r="Q949" s="49"/>
      <c r="R949" s="19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</row>
    <row r="950">
      <c r="A950" s="48"/>
      <c r="B950" s="48"/>
      <c r="C950" s="48"/>
      <c r="D950" s="19"/>
      <c r="E950" s="19"/>
      <c r="F950" s="52"/>
      <c r="G950" s="19"/>
      <c r="H950" s="19"/>
      <c r="I950" s="19"/>
      <c r="J950" s="19"/>
      <c r="K950" s="19"/>
      <c r="L950" s="19"/>
      <c r="M950" s="19"/>
      <c r="N950" s="19"/>
      <c r="O950" s="19"/>
      <c r="P950" s="48"/>
      <c r="Q950" s="49"/>
      <c r="R950" s="19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</row>
    <row r="951">
      <c r="A951" s="48"/>
      <c r="B951" s="48"/>
      <c r="C951" s="48"/>
      <c r="D951" s="19"/>
      <c r="E951" s="19"/>
      <c r="F951" s="52"/>
      <c r="G951" s="19"/>
      <c r="H951" s="19"/>
      <c r="I951" s="19"/>
      <c r="J951" s="19"/>
      <c r="K951" s="19"/>
      <c r="L951" s="19"/>
      <c r="M951" s="19"/>
      <c r="N951" s="19"/>
      <c r="O951" s="19"/>
      <c r="P951" s="48"/>
      <c r="Q951" s="49"/>
      <c r="R951" s="19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</row>
    <row r="952">
      <c r="A952" s="48"/>
      <c r="B952" s="48"/>
      <c r="C952" s="48"/>
      <c r="D952" s="19"/>
      <c r="E952" s="19"/>
      <c r="F952" s="52"/>
      <c r="G952" s="19"/>
      <c r="H952" s="19"/>
      <c r="I952" s="19"/>
      <c r="J952" s="19"/>
      <c r="K952" s="19"/>
      <c r="L952" s="19"/>
      <c r="M952" s="19"/>
      <c r="N952" s="19"/>
      <c r="O952" s="19"/>
      <c r="P952" s="48"/>
      <c r="Q952" s="49"/>
      <c r="R952" s="19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</row>
    <row r="953">
      <c r="A953" s="48"/>
      <c r="B953" s="48"/>
      <c r="C953" s="48"/>
      <c r="D953" s="19"/>
      <c r="E953" s="19"/>
      <c r="F953" s="52"/>
      <c r="G953" s="19"/>
      <c r="H953" s="19"/>
      <c r="I953" s="19"/>
      <c r="J953" s="19"/>
      <c r="K953" s="19"/>
      <c r="L953" s="19"/>
      <c r="M953" s="19"/>
      <c r="N953" s="19"/>
      <c r="O953" s="19"/>
      <c r="P953" s="48"/>
      <c r="Q953" s="49"/>
      <c r="R953" s="19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</row>
    <row r="954">
      <c r="A954" s="48"/>
      <c r="B954" s="48"/>
      <c r="C954" s="48"/>
      <c r="D954" s="19"/>
      <c r="E954" s="19"/>
      <c r="F954" s="52"/>
      <c r="G954" s="19"/>
      <c r="H954" s="19"/>
      <c r="I954" s="19"/>
      <c r="J954" s="19"/>
      <c r="K954" s="19"/>
      <c r="L954" s="19"/>
      <c r="M954" s="19"/>
      <c r="N954" s="19"/>
      <c r="O954" s="19"/>
      <c r="P954" s="48"/>
      <c r="Q954" s="49"/>
      <c r="R954" s="19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</row>
    <row r="955">
      <c r="A955" s="48"/>
      <c r="B955" s="48"/>
      <c r="C955" s="48"/>
      <c r="D955" s="19"/>
      <c r="E955" s="19"/>
      <c r="F955" s="52"/>
      <c r="G955" s="19"/>
      <c r="H955" s="19"/>
      <c r="I955" s="19"/>
      <c r="J955" s="19"/>
      <c r="K955" s="19"/>
      <c r="L955" s="19"/>
      <c r="M955" s="19"/>
      <c r="N955" s="19"/>
      <c r="O955" s="19"/>
      <c r="P955" s="48"/>
      <c r="Q955" s="49"/>
      <c r="R955" s="19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</row>
    <row r="956">
      <c r="A956" s="48"/>
      <c r="B956" s="48"/>
      <c r="C956" s="48"/>
      <c r="D956" s="19"/>
      <c r="E956" s="19"/>
      <c r="F956" s="52"/>
      <c r="G956" s="19"/>
      <c r="H956" s="19"/>
      <c r="I956" s="19"/>
      <c r="J956" s="19"/>
      <c r="K956" s="19"/>
      <c r="L956" s="19"/>
      <c r="M956" s="19"/>
      <c r="N956" s="19"/>
      <c r="O956" s="19"/>
      <c r="P956" s="48"/>
      <c r="Q956" s="49"/>
      <c r="R956" s="19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</row>
    <row r="957">
      <c r="A957" s="48"/>
      <c r="B957" s="48"/>
      <c r="C957" s="48"/>
      <c r="D957" s="19"/>
      <c r="E957" s="19"/>
      <c r="F957" s="52"/>
      <c r="G957" s="19"/>
      <c r="H957" s="19"/>
      <c r="I957" s="19"/>
      <c r="J957" s="19"/>
      <c r="K957" s="19"/>
      <c r="L957" s="19"/>
      <c r="M957" s="19"/>
      <c r="N957" s="19"/>
      <c r="O957" s="19"/>
      <c r="P957" s="48"/>
      <c r="Q957" s="49"/>
      <c r="R957" s="19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</row>
    <row r="958">
      <c r="A958" s="48"/>
      <c r="B958" s="48"/>
      <c r="C958" s="48"/>
      <c r="D958" s="19"/>
      <c r="E958" s="19"/>
      <c r="F958" s="52"/>
      <c r="G958" s="19"/>
      <c r="H958" s="19"/>
      <c r="I958" s="19"/>
      <c r="J958" s="19"/>
      <c r="K958" s="19"/>
      <c r="L958" s="19"/>
      <c r="M958" s="19"/>
      <c r="N958" s="19"/>
      <c r="O958" s="19"/>
      <c r="P958" s="48"/>
      <c r="Q958" s="49"/>
      <c r="R958" s="19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</row>
    <row r="959">
      <c r="A959" s="48"/>
      <c r="B959" s="48"/>
      <c r="C959" s="48"/>
      <c r="D959" s="19"/>
      <c r="E959" s="19"/>
      <c r="F959" s="52"/>
      <c r="G959" s="19"/>
      <c r="H959" s="19"/>
      <c r="I959" s="19"/>
      <c r="J959" s="19"/>
      <c r="K959" s="19"/>
      <c r="L959" s="19"/>
      <c r="M959" s="19"/>
      <c r="N959" s="19"/>
      <c r="O959" s="19"/>
      <c r="P959" s="48"/>
      <c r="Q959" s="49"/>
      <c r="R959" s="19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</row>
    <row r="960">
      <c r="A960" s="48"/>
      <c r="B960" s="48"/>
      <c r="C960" s="48"/>
      <c r="D960" s="19"/>
      <c r="E960" s="19"/>
      <c r="F960" s="52"/>
      <c r="G960" s="19"/>
      <c r="H960" s="19"/>
      <c r="I960" s="19"/>
      <c r="J960" s="19"/>
      <c r="K960" s="19"/>
      <c r="L960" s="19"/>
      <c r="M960" s="19"/>
      <c r="N960" s="19"/>
      <c r="O960" s="19"/>
      <c r="P960" s="48"/>
      <c r="Q960" s="49"/>
      <c r="R960" s="19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</row>
    <row r="961">
      <c r="A961" s="48"/>
      <c r="B961" s="48"/>
      <c r="C961" s="48"/>
      <c r="D961" s="19"/>
      <c r="E961" s="19"/>
      <c r="F961" s="52"/>
      <c r="G961" s="19"/>
      <c r="H961" s="19"/>
      <c r="I961" s="19"/>
      <c r="J961" s="19"/>
      <c r="K961" s="19"/>
      <c r="L961" s="19"/>
      <c r="M961" s="19"/>
      <c r="N961" s="19"/>
      <c r="O961" s="19"/>
      <c r="P961" s="48"/>
      <c r="Q961" s="49"/>
      <c r="R961" s="19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</row>
    <row r="962">
      <c r="A962" s="48"/>
      <c r="B962" s="48"/>
      <c r="C962" s="48"/>
      <c r="D962" s="19"/>
      <c r="E962" s="19"/>
      <c r="F962" s="52"/>
      <c r="G962" s="19"/>
      <c r="H962" s="19"/>
      <c r="I962" s="19"/>
      <c r="J962" s="19"/>
      <c r="K962" s="19"/>
      <c r="L962" s="19"/>
      <c r="M962" s="19"/>
      <c r="N962" s="19"/>
      <c r="O962" s="19"/>
      <c r="P962" s="48"/>
      <c r="Q962" s="49"/>
      <c r="R962" s="19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</row>
    <row r="963">
      <c r="A963" s="48"/>
      <c r="B963" s="48"/>
      <c r="C963" s="48"/>
      <c r="D963" s="19"/>
      <c r="E963" s="19"/>
      <c r="F963" s="52"/>
      <c r="G963" s="19"/>
      <c r="H963" s="19"/>
      <c r="I963" s="19"/>
      <c r="J963" s="19"/>
      <c r="K963" s="19"/>
      <c r="L963" s="19"/>
      <c r="M963" s="19"/>
      <c r="N963" s="19"/>
      <c r="O963" s="19"/>
      <c r="P963" s="48"/>
      <c r="Q963" s="49"/>
      <c r="R963" s="19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</row>
    <row r="964">
      <c r="A964" s="48"/>
      <c r="B964" s="48"/>
      <c r="C964" s="48"/>
      <c r="D964" s="19"/>
      <c r="E964" s="19"/>
      <c r="F964" s="52"/>
      <c r="G964" s="19"/>
      <c r="H964" s="19"/>
      <c r="I964" s="19"/>
      <c r="J964" s="19"/>
      <c r="K964" s="19"/>
      <c r="L964" s="19"/>
      <c r="M964" s="19"/>
      <c r="N964" s="19"/>
      <c r="O964" s="19"/>
      <c r="P964" s="48"/>
      <c r="Q964" s="49"/>
      <c r="R964" s="19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</row>
    <row r="965">
      <c r="A965" s="48"/>
      <c r="B965" s="48"/>
      <c r="C965" s="48"/>
      <c r="D965" s="19"/>
      <c r="E965" s="19"/>
      <c r="F965" s="52"/>
      <c r="G965" s="19"/>
      <c r="H965" s="19"/>
      <c r="I965" s="19"/>
      <c r="J965" s="19"/>
      <c r="K965" s="19"/>
      <c r="L965" s="19"/>
      <c r="M965" s="19"/>
      <c r="N965" s="19"/>
      <c r="O965" s="19"/>
      <c r="P965" s="48"/>
      <c r="Q965" s="49"/>
      <c r="R965" s="19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</row>
    <row r="966">
      <c r="A966" s="48"/>
      <c r="B966" s="48"/>
      <c r="C966" s="48"/>
      <c r="D966" s="19"/>
      <c r="E966" s="19"/>
      <c r="F966" s="52"/>
      <c r="G966" s="19"/>
      <c r="H966" s="19"/>
      <c r="I966" s="19"/>
      <c r="J966" s="19"/>
      <c r="K966" s="19"/>
      <c r="L966" s="19"/>
      <c r="M966" s="19"/>
      <c r="N966" s="19"/>
      <c r="O966" s="19"/>
      <c r="P966" s="48"/>
      <c r="Q966" s="49"/>
      <c r="R966" s="19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</row>
    <row r="967">
      <c r="A967" s="48"/>
      <c r="B967" s="48"/>
      <c r="C967" s="48"/>
      <c r="D967" s="19"/>
      <c r="E967" s="19"/>
      <c r="F967" s="52"/>
      <c r="G967" s="19"/>
      <c r="H967" s="19"/>
      <c r="I967" s="19"/>
      <c r="J967" s="19"/>
      <c r="K967" s="19"/>
      <c r="L967" s="19"/>
      <c r="M967" s="19"/>
      <c r="N967" s="19"/>
      <c r="O967" s="19"/>
      <c r="P967" s="48"/>
      <c r="Q967" s="49"/>
      <c r="R967" s="19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</row>
    <row r="968">
      <c r="A968" s="48"/>
      <c r="B968" s="48"/>
      <c r="C968" s="48"/>
      <c r="D968" s="19"/>
      <c r="E968" s="19"/>
      <c r="F968" s="52"/>
      <c r="G968" s="19"/>
      <c r="H968" s="19"/>
      <c r="I968" s="19"/>
      <c r="J968" s="19"/>
      <c r="K968" s="19"/>
      <c r="L968" s="19"/>
      <c r="M968" s="19"/>
      <c r="N968" s="19"/>
      <c r="O968" s="19"/>
      <c r="P968" s="48"/>
      <c r="Q968" s="49"/>
      <c r="R968" s="19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</row>
    <row r="969">
      <c r="A969" s="48"/>
      <c r="B969" s="48"/>
      <c r="C969" s="48"/>
      <c r="D969" s="19"/>
      <c r="E969" s="19"/>
      <c r="F969" s="52"/>
      <c r="G969" s="19"/>
      <c r="H969" s="19"/>
      <c r="I969" s="19"/>
      <c r="J969" s="19"/>
      <c r="K969" s="19"/>
      <c r="L969" s="19"/>
      <c r="M969" s="19"/>
      <c r="N969" s="19"/>
      <c r="O969" s="19"/>
      <c r="P969" s="48"/>
      <c r="Q969" s="49"/>
      <c r="R969" s="19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</row>
    <row r="970">
      <c r="A970" s="48"/>
      <c r="B970" s="48"/>
      <c r="C970" s="48"/>
      <c r="D970" s="19"/>
      <c r="E970" s="19"/>
      <c r="F970" s="52"/>
      <c r="G970" s="19"/>
      <c r="H970" s="19"/>
      <c r="I970" s="19"/>
      <c r="J970" s="19"/>
      <c r="K970" s="19"/>
      <c r="L970" s="19"/>
      <c r="M970" s="19"/>
      <c r="N970" s="19"/>
      <c r="O970" s="19"/>
      <c r="P970" s="48"/>
      <c r="Q970" s="49"/>
      <c r="R970" s="19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</row>
    <row r="971">
      <c r="A971" s="48"/>
      <c r="B971" s="48"/>
      <c r="C971" s="48"/>
      <c r="D971" s="19"/>
      <c r="E971" s="19"/>
      <c r="F971" s="52"/>
      <c r="G971" s="19"/>
      <c r="H971" s="19"/>
      <c r="I971" s="19"/>
      <c r="J971" s="19"/>
      <c r="K971" s="19"/>
      <c r="L971" s="19"/>
      <c r="M971" s="19"/>
      <c r="N971" s="19"/>
      <c r="O971" s="19"/>
      <c r="P971" s="48"/>
      <c r="Q971" s="49"/>
      <c r="R971" s="19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</row>
    <row r="972">
      <c r="A972" s="48"/>
      <c r="B972" s="48"/>
      <c r="C972" s="48"/>
      <c r="D972" s="19"/>
      <c r="E972" s="19"/>
      <c r="F972" s="52"/>
      <c r="G972" s="19"/>
      <c r="H972" s="19"/>
      <c r="I972" s="19"/>
      <c r="J972" s="19"/>
      <c r="K972" s="19"/>
      <c r="L972" s="19"/>
      <c r="M972" s="19"/>
      <c r="N972" s="19"/>
      <c r="O972" s="19"/>
      <c r="P972" s="48"/>
      <c r="Q972" s="49"/>
      <c r="R972" s="19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</row>
    <row r="973">
      <c r="A973" s="48"/>
      <c r="B973" s="48"/>
      <c r="C973" s="48"/>
      <c r="D973" s="19"/>
      <c r="E973" s="19"/>
      <c r="F973" s="52"/>
      <c r="G973" s="19"/>
      <c r="H973" s="19"/>
      <c r="I973" s="19"/>
      <c r="J973" s="19"/>
      <c r="K973" s="19"/>
      <c r="L973" s="19"/>
      <c r="M973" s="19"/>
      <c r="N973" s="19"/>
      <c r="O973" s="19"/>
      <c r="P973" s="48"/>
      <c r="Q973" s="49"/>
      <c r="R973" s="19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</row>
    <row r="974">
      <c r="A974" s="48"/>
      <c r="B974" s="48"/>
      <c r="C974" s="48"/>
      <c r="D974" s="19"/>
      <c r="E974" s="19"/>
      <c r="F974" s="52"/>
      <c r="G974" s="19"/>
      <c r="H974" s="19"/>
      <c r="I974" s="19"/>
      <c r="J974" s="19"/>
      <c r="K974" s="19"/>
      <c r="L974" s="19"/>
      <c r="M974" s="19"/>
      <c r="N974" s="19"/>
      <c r="O974" s="19"/>
      <c r="P974" s="48"/>
      <c r="Q974" s="49"/>
      <c r="R974" s="19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</row>
    <row r="975">
      <c r="A975" s="48"/>
      <c r="B975" s="48"/>
      <c r="C975" s="48"/>
      <c r="D975" s="19"/>
      <c r="E975" s="19"/>
      <c r="F975" s="52"/>
      <c r="G975" s="19"/>
      <c r="H975" s="19"/>
      <c r="I975" s="19"/>
      <c r="J975" s="19"/>
      <c r="K975" s="19"/>
      <c r="L975" s="19"/>
      <c r="M975" s="19"/>
      <c r="N975" s="19"/>
      <c r="O975" s="19"/>
      <c r="P975" s="48"/>
      <c r="Q975" s="49"/>
      <c r="R975" s="19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</row>
    <row r="976">
      <c r="A976" s="48"/>
      <c r="B976" s="48"/>
      <c r="C976" s="48"/>
      <c r="D976" s="19"/>
      <c r="E976" s="19"/>
      <c r="F976" s="52"/>
      <c r="G976" s="19"/>
      <c r="H976" s="19"/>
      <c r="I976" s="19"/>
      <c r="J976" s="19"/>
      <c r="K976" s="19"/>
      <c r="L976" s="19"/>
      <c r="M976" s="19"/>
      <c r="N976" s="19"/>
      <c r="O976" s="19"/>
      <c r="P976" s="48"/>
      <c r="Q976" s="49"/>
      <c r="R976" s="19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</row>
    <row r="977">
      <c r="A977" s="48"/>
      <c r="B977" s="48"/>
      <c r="C977" s="48"/>
      <c r="D977" s="19"/>
      <c r="E977" s="19"/>
      <c r="F977" s="52"/>
      <c r="G977" s="19"/>
      <c r="H977" s="19"/>
      <c r="I977" s="19"/>
      <c r="J977" s="19"/>
      <c r="K977" s="19"/>
      <c r="L977" s="19"/>
      <c r="M977" s="19"/>
      <c r="N977" s="19"/>
      <c r="O977" s="19"/>
      <c r="P977" s="48"/>
      <c r="Q977" s="49"/>
      <c r="R977" s="19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</row>
    <row r="978">
      <c r="A978" s="48"/>
      <c r="B978" s="48"/>
      <c r="C978" s="48"/>
      <c r="D978" s="19"/>
      <c r="E978" s="19"/>
      <c r="F978" s="52"/>
      <c r="G978" s="19"/>
      <c r="H978" s="19"/>
      <c r="I978" s="19"/>
      <c r="J978" s="19"/>
      <c r="K978" s="19"/>
      <c r="L978" s="19"/>
      <c r="M978" s="19"/>
      <c r="N978" s="19"/>
      <c r="O978" s="19"/>
      <c r="P978" s="48"/>
      <c r="Q978" s="49"/>
      <c r="R978" s="19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</row>
    <row r="979">
      <c r="A979" s="48"/>
      <c r="B979" s="48"/>
      <c r="C979" s="48"/>
      <c r="D979" s="19"/>
      <c r="E979" s="19"/>
      <c r="F979" s="52"/>
      <c r="G979" s="19"/>
      <c r="H979" s="19"/>
      <c r="I979" s="19"/>
      <c r="J979" s="19"/>
      <c r="K979" s="19"/>
      <c r="L979" s="19"/>
      <c r="M979" s="19"/>
      <c r="N979" s="19"/>
      <c r="O979" s="19"/>
      <c r="P979" s="48"/>
      <c r="Q979" s="49"/>
      <c r="R979" s="19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</row>
    <row r="980">
      <c r="A980" s="48"/>
      <c r="B980" s="48"/>
      <c r="C980" s="48"/>
      <c r="D980" s="19"/>
      <c r="E980" s="19"/>
      <c r="F980" s="52"/>
      <c r="G980" s="19"/>
      <c r="H980" s="19"/>
      <c r="I980" s="19"/>
      <c r="J980" s="19"/>
      <c r="K980" s="19"/>
      <c r="L980" s="19"/>
      <c r="M980" s="19"/>
      <c r="N980" s="19"/>
      <c r="O980" s="19"/>
      <c r="P980" s="48"/>
      <c r="Q980" s="49"/>
      <c r="R980" s="19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</row>
    <row r="981">
      <c r="A981" s="48"/>
      <c r="B981" s="48"/>
      <c r="C981" s="48"/>
      <c r="D981" s="19"/>
      <c r="E981" s="19"/>
      <c r="F981" s="52"/>
      <c r="G981" s="19"/>
      <c r="H981" s="19"/>
      <c r="I981" s="19"/>
      <c r="J981" s="19"/>
      <c r="K981" s="19"/>
      <c r="L981" s="19"/>
      <c r="M981" s="19"/>
      <c r="N981" s="19"/>
      <c r="O981" s="19"/>
      <c r="P981" s="48"/>
      <c r="Q981" s="49"/>
      <c r="R981" s="19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</row>
    <row r="982">
      <c r="A982" s="48"/>
      <c r="B982" s="48"/>
      <c r="C982" s="48"/>
      <c r="D982" s="19"/>
      <c r="E982" s="19"/>
      <c r="F982" s="52"/>
      <c r="G982" s="19"/>
      <c r="H982" s="19"/>
      <c r="I982" s="19"/>
      <c r="J982" s="19"/>
      <c r="K982" s="19"/>
      <c r="L982" s="19"/>
      <c r="M982" s="19"/>
      <c r="N982" s="19"/>
      <c r="O982" s="19"/>
      <c r="P982" s="48"/>
      <c r="Q982" s="49"/>
      <c r="R982" s="19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</row>
    <row r="983">
      <c r="A983" s="48"/>
      <c r="B983" s="48"/>
      <c r="C983" s="48"/>
      <c r="D983" s="19"/>
      <c r="E983" s="19"/>
      <c r="F983" s="52"/>
      <c r="G983" s="19"/>
      <c r="H983" s="19"/>
      <c r="I983" s="19"/>
      <c r="J983" s="19"/>
      <c r="K983" s="19"/>
      <c r="L983" s="19"/>
      <c r="M983" s="19"/>
      <c r="N983" s="19"/>
      <c r="O983" s="19"/>
      <c r="P983" s="48"/>
      <c r="Q983" s="49"/>
      <c r="R983" s="19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</row>
    <row r="984">
      <c r="A984" s="48"/>
      <c r="B984" s="48"/>
      <c r="C984" s="48"/>
      <c r="D984" s="19"/>
      <c r="E984" s="19"/>
      <c r="F984" s="52"/>
      <c r="G984" s="19"/>
      <c r="H984" s="19"/>
      <c r="I984" s="19"/>
      <c r="J984" s="19"/>
      <c r="K984" s="19"/>
      <c r="L984" s="19"/>
      <c r="M984" s="19"/>
      <c r="N984" s="19"/>
      <c r="O984" s="19"/>
      <c r="P984" s="48"/>
      <c r="Q984" s="49"/>
      <c r="R984" s="19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</row>
    <row r="985">
      <c r="A985" s="48"/>
      <c r="B985" s="48"/>
      <c r="C985" s="48"/>
      <c r="D985" s="19"/>
      <c r="E985" s="19"/>
      <c r="F985" s="52"/>
      <c r="G985" s="19"/>
      <c r="H985" s="19"/>
      <c r="I985" s="19"/>
      <c r="J985" s="19"/>
      <c r="K985" s="19"/>
      <c r="L985" s="19"/>
      <c r="M985" s="19"/>
      <c r="N985" s="19"/>
      <c r="O985" s="19"/>
      <c r="P985" s="48"/>
      <c r="Q985" s="49"/>
      <c r="R985" s="19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</row>
    <row r="986">
      <c r="A986" s="48"/>
      <c r="B986" s="48"/>
      <c r="C986" s="48"/>
      <c r="D986" s="19"/>
      <c r="E986" s="19"/>
      <c r="F986" s="52"/>
      <c r="G986" s="19"/>
      <c r="H986" s="19"/>
      <c r="I986" s="19"/>
      <c r="J986" s="19"/>
      <c r="K986" s="19"/>
      <c r="L986" s="19"/>
      <c r="M986" s="19"/>
      <c r="N986" s="19"/>
      <c r="O986" s="19"/>
      <c r="P986" s="48"/>
      <c r="Q986" s="49"/>
      <c r="R986" s="19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</row>
    <row r="987">
      <c r="A987" s="48"/>
      <c r="B987" s="48"/>
      <c r="C987" s="48"/>
      <c r="D987" s="19"/>
      <c r="E987" s="19"/>
      <c r="F987" s="52"/>
      <c r="G987" s="19"/>
      <c r="H987" s="19"/>
      <c r="I987" s="19"/>
      <c r="J987" s="19"/>
      <c r="K987" s="19"/>
      <c r="L987" s="19"/>
      <c r="M987" s="19"/>
      <c r="N987" s="19"/>
      <c r="O987" s="19"/>
      <c r="P987" s="48"/>
      <c r="Q987" s="49"/>
      <c r="R987" s="19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</row>
    <row r="988">
      <c r="A988" s="48"/>
      <c r="B988" s="48"/>
      <c r="C988" s="48"/>
      <c r="D988" s="19"/>
      <c r="E988" s="19"/>
      <c r="F988" s="52"/>
      <c r="G988" s="19"/>
      <c r="H988" s="19"/>
      <c r="I988" s="19"/>
      <c r="J988" s="19"/>
      <c r="K988" s="19"/>
      <c r="L988" s="19"/>
      <c r="M988" s="19"/>
      <c r="N988" s="19"/>
      <c r="O988" s="19"/>
      <c r="P988" s="48"/>
      <c r="Q988" s="49"/>
      <c r="R988" s="19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</row>
    <row r="989">
      <c r="A989" s="48"/>
      <c r="B989" s="48"/>
      <c r="C989" s="48"/>
      <c r="D989" s="19"/>
      <c r="E989" s="19"/>
      <c r="F989" s="52"/>
      <c r="G989" s="19"/>
      <c r="H989" s="19"/>
      <c r="I989" s="19"/>
      <c r="J989" s="19"/>
      <c r="K989" s="19"/>
      <c r="L989" s="19"/>
      <c r="M989" s="19"/>
      <c r="N989" s="19"/>
      <c r="O989" s="19"/>
      <c r="P989" s="48"/>
      <c r="Q989" s="49"/>
      <c r="R989" s="19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</row>
    <row r="990">
      <c r="A990" s="48"/>
      <c r="B990" s="48"/>
      <c r="C990" s="48"/>
      <c r="D990" s="19"/>
      <c r="E990" s="19"/>
      <c r="F990" s="52"/>
      <c r="G990" s="19"/>
      <c r="H990" s="19"/>
      <c r="I990" s="19"/>
      <c r="J990" s="19"/>
      <c r="K990" s="19"/>
      <c r="L990" s="19"/>
      <c r="M990" s="19"/>
      <c r="N990" s="19"/>
      <c r="O990" s="19"/>
      <c r="P990" s="48"/>
      <c r="Q990" s="49"/>
      <c r="R990" s="19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</row>
    <row r="991">
      <c r="A991" s="48"/>
      <c r="B991" s="48"/>
      <c r="C991" s="48"/>
      <c r="D991" s="19"/>
      <c r="E991" s="19"/>
      <c r="F991" s="52"/>
      <c r="G991" s="19"/>
      <c r="H991" s="19"/>
      <c r="I991" s="19"/>
      <c r="J991" s="19"/>
      <c r="K991" s="19"/>
      <c r="L991" s="19"/>
      <c r="M991" s="19"/>
      <c r="N991" s="19"/>
      <c r="O991" s="19"/>
      <c r="P991" s="48"/>
      <c r="Q991" s="49"/>
      <c r="R991" s="19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</row>
    <row r="992">
      <c r="A992" s="48"/>
      <c r="B992" s="48"/>
      <c r="C992" s="48"/>
      <c r="D992" s="19"/>
      <c r="E992" s="19"/>
      <c r="F992" s="52"/>
      <c r="G992" s="19"/>
      <c r="H992" s="19"/>
      <c r="I992" s="19"/>
      <c r="J992" s="19"/>
      <c r="K992" s="19"/>
      <c r="L992" s="19"/>
      <c r="M992" s="19"/>
      <c r="N992" s="19"/>
      <c r="O992" s="19"/>
      <c r="P992" s="48"/>
      <c r="Q992" s="49"/>
      <c r="R992" s="19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</row>
    <row r="993">
      <c r="A993" s="48"/>
      <c r="B993" s="48"/>
      <c r="C993" s="48"/>
      <c r="D993" s="19"/>
      <c r="E993" s="19"/>
      <c r="F993" s="52"/>
      <c r="G993" s="19"/>
      <c r="H993" s="19"/>
      <c r="I993" s="19"/>
      <c r="J993" s="19"/>
      <c r="K993" s="19"/>
      <c r="L993" s="19"/>
      <c r="M993" s="19"/>
      <c r="N993" s="19"/>
      <c r="O993" s="19"/>
      <c r="P993" s="48"/>
      <c r="Q993" s="49"/>
      <c r="R993" s="19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</row>
    <row r="994">
      <c r="A994" s="48"/>
      <c r="B994" s="48"/>
      <c r="C994" s="48"/>
      <c r="D994" s="19"/>
      <c r="E994" s="19"/>
      <c r="F994" s="52"/>
      <c r="G994" s="19"/>
      <c r="H994" s="19"/>
      <c r="I994" s="19"/>
      <c r="J994" s="19"/>
      <c r="K994" s="19"/>
      <c r="L994" s="19"/>
      <c r="M994" s="19"/>
      <c r="N994" s="19"/>
      <c r="O994" s="19"/>
      <c r="P994" s="48"/>
      <c r="Q994" s="49"/>
      <c r="R994" s="19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</row>
    <row r="995">
      <c r="A995" s="48"/>
      <c r="B995" s="48"/>
      <c r="C995" s="48"/>
      <c r="D995" s="19"/>
      <c r="E995" s="19"/>
      <c r="F995" s="52"/>
      <c r="G995" s="19"/>
      <c r="H995" s="19"/>
      <c r="I995" s="19"/>
      <c r="J995" s="19"/>
      <c r="K995" s="19"/>
      <c r="L995" s="19"/>
      <c r="M995" s="19"/>
      <c r="N995" s="19"/>
      <c r="O995" s="19"/>
      <c r="P995" s="48"/>
      <c r="Q995" s="49"/>
      <c r="R995" s="19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</row>
    <row r="996">
      <c r="A996" s="48"/>
      <c r="B996" s="48"/>
      <c r="C996" s="48"/>
      <c r="D996" s="19"/>
      <c r="E996" s="19"/>
      <c r="F996" s="52"/>
      <c r="G996" s="19"/>
      <c r="H996" s="19"/>
      <c r="I996" s="19"/>
      <c r="J996" s="19"/>
      <c r="K996" s="19"/>
      <c r="L996" s="19"/>
      <c r="M996" s="19"/>
      <c r="N996" s="19"/>
      <c r="O996" s="19"/>
      <c r="P996" s="48"/>
      <c r="Q996" s="49"/>
      <c r="R996" s="19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</row>
    <row r="997">
      <c r="A997" s="48"/>
      <c r="B997" s="48"/>
      <c r="C997" s="48"/>
      <c r="D997" s="19"/>
      <c r="E997" s="19"/>
      <c r="F997" s="52"/>
      <c r="G997" s="19"/>
      <c r="H997" s="19"/>
      <c r="I997" s="19"/>
      <c r="J997" s="19"/>
      <c r="K997" s="19"/>
      <c r="L997" s="19"/>
      <c r="M997" s="19"/>
      <c r="N997" s="19"/>
      <c r="O997" s="19"/>
      <c r="P997" s="48"/>
      <c r="Q997" s="49"/>
      <c r="R997" s="19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</row>
    <row r="998">
      <c r="A998" s="48"/>
      <c r="B998" s="48"/>
      <c r="C998" s="48"/>
      <c r="D998" s="19"/>
      <c r="E998" s="19"/>
      <c r="F998" s="52"/>
      <c r="G998" s="19"/>
      <c r="H998" s="19"/>
      <c r="I998" s="19"/>
      <c r="J998" s="19"/>
      <c r="K998" s="19"/>
      <c r="L998" s="19"/>
      <c r="M998" s="19"/>
      <c r="N998" s="19"/>
      <c r="O998" s="19"/>
      <c r="P998" s="48"/>
      <c r="Q998" s="49"/>
      <c r="R998" s="19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</row>
    <row r="999">
      <c r="A999" s="48"/>
      <c r="B999" s="48"/>
      <c r="C999" s="48"/>
      <c r="D999" s="19"/>
      <c r="E999" s="19"/>
      <c r="F999" s="52"/>
      <c r="G999" s="19"/>
      <c r="H999" s="19"/>
      <c r="I999" s="19"/>
      <c r="J999" s="19"/>
      <c r="K999" s="19"/>
      <c r="L999" s="19"/>
      <c r="M999" s="19"/>
      <c r="N999" s="19"/>
      <c r="O999" s="19"/>
      <c r="P999" s="48"/>
      <c r="Q999" s="49"/>
      <c r="R999" s="19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</row>
    <row r="1000">
      <c r="A1000" s="48"/>
      <c r="B1000" s="48"/>
      <c r="C1000" s="48"/>
      <c r="D1000" s="19"/>
      <c r="E1000" s="19"/>
      <c r="F1000" s="52"/>
      <c r="G1000" s="19"/>
      <c r="H1000" s="19"/>
      <c r="I1000" s="19"/>
      <c r="J1000" s="19"/>
      <c r="K1000" s="19"/>
      <c r="L1000" s="19"/>
      <c r="M1000" s="19"/>
      <c r="N1000" s="19"/>
      <c r="O1000" s="19"/>
      <c r="P1000" s="48"/>
      <c r="Q1000" s="49"/>
      <c r="R1000" s="19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</row>
    <row r="1001">
      <c r="A1001" s="48"/>
      <c r="B1001" s="48"/>
      <c r="C1001" s="48"/>
      <c r="D1001" s="19"/>
      <c r="E1001" s="19"/>
      <c r="F1001" s="52"/>
      <c r="G1001" s="19"/>
      <c r="H1001" s="19"/>
      <c r="I1001" s="19"/>
      <c r="J1001" s="19"/>
      <c r="K1001" s="19"/>
      <c r="L1001" s="19"/>
      <c r="M1001" s="19"/>
      <c r="N1001" s="19"/>
      <c r="O1001" s="19"/>
      <c r="P1001" s="48"/>
      <c r="Q1001" s="49"/>
      <c r="R1001" s="19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  <c r="AE1001" s="51"/>
      <c r="AF1001" s="51"/>
      <c r="AG1001" s="51"/>
      <c r="AH1001" s="51"/>
      <c r="AI1001" s="51"/>
    </row>
    <row r="1002">
      <c r="A1002" s="48"/>
      <c r="B1002" s="48"/>
      <c r="C1002" s="48"/>
      <c r="D1002" s="19"/>
      <c r="E1002" s="19"/>
      <c r="F1002" s="52"/>
      <c r="G1002" s="19"/>
      <c r="H1002" s="19"/>
      <c r="I1002" s="19"/>
      <c r="J1002" s="19"/>
      <c r="K1002" s="19"/>
      <c r="L1002" s="19"/>
      <c r="M1002" s="19"/>
      <c r="N1002" s="19"/>
      <c r="O1002" s="19"/>
      <c r="P1002" s="48"/>
      <c r="Q1002" s="49"/>
      <c r="R1002" s="19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  <c r="AE1002" s="51"/>
      <c r="AF1002" s="51"/>
      <c r="AG1002" s="51"/>
      <c r="AH1002" s="51"/>
      <c r="AI1002" s="51"/>
    </row>
    <row r="1003">
      <c r="A1003" s="48"/>
      <c r="B1003" s="48"/>
      <c r="C1003" s="48"/>
      <c r="D1003" s="19"/>
      <c r="E1003" s="19"/>
      <c r="F1003" s="52"/>
      <c r="G1003" s="19"/>
      <c r="H1003" s="19"/>
      <c r="I1003" s="19"/>
      <c r="J1003" s="19"/>
      <c r="K1003" s="19"/>
      <c r="L1003" s="19"/>
      <c r="M1003" s="19"/>
      <c r="N1003" s="19"/>
      <c r="O1003" s="19"/>
      <c r="P1003" s="48"/>
      <c r="Q1003" s="49"/>
      <c r="R1003" s="19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  <c r="AE1003" s="51"/>
      <c r="AF1003" s="51"/>
      <c r="AG1003" s="51"/>
      <c r="AH1003" s="51"/>
      <c r="AI1003" s="51"/>
    </row>
  </sheetData>
  <autoFilter ref="$B$4:$AF$561">
    <filterColumn colId="7">
      <filters>
        <filter val="AUT"/>
        <filter val="REC"/>
      </filters>
    </filterColumn>
    <sortState ref="B4:AF561">
      <sortCondition ref="G4:G561"/>
    </sortState>
  </autoFilter>
  <mergeCells count="5">
    <mergeCell ref="B1:C1"/>
    <mergeCell ref="B2:C2"/>
    <mergeCell ref="B3:J3"/>
    <mergeCell ref="L3:R3"/>
    <mergeCell ref="T3:AI3"/>
  </mergeCells>
  <conditionalFormatting sqref="J5:J561">
    <cfRule type="cellIs" dxfId="0" priority="1" operator="greaterThanOrEqual">
      <formula>110</formula>
    </cfRule>
  </conditionalFormatting>
  <conditionalFormatting sqref="J5:J561">
    <cfRule type="cellIs" dxfId="1" priority="2" operator="between">
      <formula>109</formula>
      <formula>80</formula>
    </cfRule>
  </conditionalFormatting>
  <conditionalFormatting sqref="J5:J561">
    <cfRule type="cellIs" dxfId="2" priority="3" operator="lessThan">
      <formula>80</formula>
    </cfRule>
  </conditionalFormatting>
  <conditionalFormatting sqref="J5:J561">
    <cfRule type="cellIs" dxfId="2" priority="4" operator="lessThan">
      <formula>80</formula>
    </cfRule>
  </conditionalFormatting>
  <conditionalFormatting sqref="L5:L513">
    <cfRule type="cellIs" dxfId="0" priority="5" operator="greaterThan">
      <formula>110</formula>
    </cfRule>
  </conditionalFormatting>
  <conditionalFormatting sqref="L5:L513">
    <cfRule type="cellIs" dxfId="2" priority="6" operator="lessThan">
      <formula>110</formula>
    </cfRule>
  </conditionalFormatting>
  <conditionalFormatting sqref="G1:G1003">
    <cfRule type="expression" dxfId="3" priority="7">
      <formula>G1&gt;46204.0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8" width="20.63"/>
    <col customWidth="1" min="9" max="9" width="14.38"/>
    <col customWidth="1" min="11" max="11" width="28.13"/>
    <col customWidth="1" min="29" max="29" width="21.88"/>
  </cols>
  <sheetData>
    <row r="1">
      <c r="A1" s="54" t="s">
        <v>1288</v>
      </c>
      <c r="B1" s="55" t="s">
        <v>1289</v>
      </c>
      <c r="C1" s="50" t="s">
        <v>1290</v>
      </c>
      <c r="D1" s="48"/>
      <c r="E1" s="48"/>
      <c r="F1" s="48"/>
      <c r="G1" s="48"/>
      <c r="H1" s="48"/>
      <c r="I1" s="48"/>
      <c r="J1" s="48"/>
      <c r="K1" s="48"/>
      <c r="L1" s="56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</row>
    <row r="2">
      <c r="A2" s="57" t="s">
        <v>1291</v>
      </c>
      <c r="B2" s="50" t="s">
        <v>298</v>
      </c>
      <c r="C2" s="50" t="s">
        <v>1292</v>
      </c>
      <c r="D2" s="50" t="s">
        <v>10</v>
      </c>
      <c r="E2" s="50" t="s">
        <v>1293</v>
      </c>
      <c r="F2" s="50" t="s">
        <v>1294</v>
      </c>
      <c r="G2" s="50" t="s">
        <v>1295</v>
      </c>
      <c r="H2" s="50" t="s">
        <v>1296</v>
      </c>
      <c r="I2" s="50" t="s">
        <v>4</v>
      </c>
      <c r="J2" s="50" t="s">
        <v>6</v>
      </c>
      <c r="K2" s="50" t="s">
        <v>299</v>
      </c>
      <c r="L2" s="58" t="s">
        <v>300</v>
      </c>
      <c r="M2" s="50" t="s">
        <v>1297</v>
      </c>
      <c r="N2" s="50" t="s">
        <v>1298</v>
      </c>
      <c r="O2" s="50" t="s">
        <v>1299</v>
      </c>
      <c r="P2" s="50" t="s">
        <v>1300</v>
      </c>
      <c r="Q2" s="50" t="s">
        <v>1301</v>
      </c>
      <c r="R2" s="50" t="s">
        <v>1302</v>
      </c>
      <c r="S2" s="50" t="s">
        <v>1303</v>
      </c>
      <c r="T2" s="50" t="s">
        <v>1304</v>
      </c>
      <c r="U2" s="50" t="s">
        <v>1305</v>
      </c>
      <c r="V2" s="50" t="s">
        <v>1306</v>
      </c>
      <c r="W2" s="50" t="s">
        <v>1307</v>
      </c>
      <c r="X2" s="50" t="s">
        <v>1308</v>
      </c>
      <c r="Y2" s="50" t="s">
        <v>1309</v>
      </c>
      <c r="Z2" s="50" t="s">
        <v>1310</v>
      </c>
      <c r="AA2" s="50" t="s">
        <v>302</v>
      </c>
      <c r="AB2" s="50" t="s">
        <v>1311</v>
      </c>
      <c r="AC2" s="50" t="s">
        <v>1312</v>
      </c>
      <c r="AD2" s="50" t="s">
        <v>1313</v>
      </c>
      <c r="AE2" s="48"/>
      <c r="AF2" s="48"/>
      <c r="AG2" s="48"/>
    </row>
    <row r="3">
      <c r="A3" s="47">
        <f>COUNTIF('Histórico'!$B:$B,B3)</f>
        <v>1</v>
      </c>
      <c r="B3" s="47" t="s">
        <v>329</v>
      </c>
      <c r="C3" s="48"/>
      <c r="D3" s="50" t="s">
        <v>1314</v>
      </c>
      <c r="E3" s="50" t="s">
        <v>1315</v>
      </c>
      <c r="F3" s="59">
        <v>45698.0</v>
      </c>
      <c r="G3" s="50" t="s">
        <v>1316</v>
      </c>
      <c r="H3" s="59">
        <v>45698.0</v>
      </c>
      <c r="I3" s="47" t="s">
        <v>1317</v>
      </c>
      <c r="J3" s="47" t="s">
        <v>1318</v>
      </c>
      <c r="K3" s="47" t="s">
        <v>1319</v>
      </c>
      <c r="L3" s="60" t="s">
        <v>1320</v>
      </c>
      <c r="M3" s="48"/>
      <c r="N3" s="48"/>
      <c r="O3" s="48"/>
      <c r="P3" s="48"/>
      <c r="Q3" s="50">
        <v>1.0</v>
      </c>
      <c r="R3" s="59">
        <v>45694.0</v>
      </c>
      <c r="S3" s="59">
        <v>45700.0</v>
      </c>
      <c r="T3" s="59">
        <v>45698.0</v>
      </c>
      <c r="U3" s="48"/>
      <c r="V3" s="50" t="s">
        <v>1321</v>
      </c>
      <c r="W3" s="48"/>
      <c r="X3" s="50" t="s">
        <v>12</v>
      </c>
      <c r="Y3" s="50" t="s">
        <v>1322</v>
      </c>
      <c r="Z3" s="50">
        <v>3.040205095E9</v>
      </c>
      <c r="AA3" s="50" t="s">
        <v>12</v>
      </c>
      <c r="AB3" s="50" t="s">
        <v>1322</v>
      </c>
      <c r="AC3" s="50" t="s">
        <v>1323</v>
      </c>
      <c r="AD3" s="48"/>
      <c r="AE3" s="48"/>
      <c r="AF3" s="48"/>
      <c r="AG3" s="48"/>
    </row>
    <row r="4">
      <c r="A4" s="47">
        <f>COUNTIF('Histórico'!$B:$B,B4)</f>
        <v>1</v>
      </c>
      <c r="B4" s="47" t="s">
        <v>331</v>
      </c>
      <c r="C4" s="48"/>
      <c r="D4" s="50" t="s">
        <v>1314</v>
      </c>
      <c r="E4" s="50" t="s">
        <v>1315</v>
      </c>
      <c r="F4" s="59">
        <v>45714.0</v>
      </c>
      <c r="G4" s="50" t="s">
        <v>1316</v>
      </c>
      <c r="H4" s="59">
        <v>45714.0</v>
      </c>
      <c r="I4" s="47" t="s">
        <v>1324</v>
      </c>
      <c r="J4" s="47" t="s">
        <v>1325</v>
      </c>
      <c r="K4" s="47" t="s">
        <v>1326</v>
      </c>
      <c r="L4" s="60" t="s">
        <v>1327</v>
      </c>
      <c r="M4" s="48"/>
      <c r="N4" s="48"/>
      <c r="O4" s="48"/>
      <c r="P4" s="48"/>
      <c r="Q4" s="50">
        <v>1.0</v>
      </c>
      <c r="R4" s="59">
        <v>45713.0</v>
      </c>
      <c r="S4" s="59">
        <v>45719.0</v>
      </c>
      <c r="T4" s="59">
        <v>45714.0</v>
      </c>
      <c r="U4" s="48"/>
      <c r="V4" s="50" t="s">
        <v>1321</v>
      </c>
      <c r="W4" s="48"/>
      <c r="X4" s="50" t="s">
        <v>12</v>
      </c>
      <c r="Y4" s="50" t="s">
        <v>1322</v>
      </c>
      <c r="Z4" s="50">
        <v>3.04030802E9</v>
      </c>
      <c r="AA4" s="50" t="s">
        <v>14</v>
      </c>
      <c r="AB4" s="50" t="s">
        <v>1328</v>
      </c>
      <c r="AC4" s="50" t="s">
        <v>1329</v>
      </c>
      <c r="AD4" s="48"/>
      <c r="AE4" s="48"/>
      <c r="AF4" s="48"/>
      <c r="AG4" s="48"/>
    </row>
    <row r="5">
      <c r="A5" s="47">
        <f>COUNTIF('Histórico'!$B:$B,B5)</f>
        <v>1</v>
      </c>
      <c r="B5" s="47" t="s">
        <v>333</v>
      </c>
      <c r="C5" s="48"/>
      <c r="D5" s="50" t="s">
        <v>1314</v>
      </c>
      <c r="E5" s="50" t="s">
        <v>1315</v>
      </c>
      <c r="F5" s="59">
        <v>45714.0</v>
      </c>
      <c r="G5" s="50" t="s">
        <v>1316</v>
      </c>
      <c r="H5" s="59">
        <v>45714.0</v>
      </c>
      <c r="I5" s="47" t="s">
        <v>1324</v>
      </c>
      <c r="J5" s="47" t="s">
        <v>1325</v>
      </c>
      <c r="K5" s="47" t="s">
        <v>1326</v>
      </c>
      <c r="L5" s="60" t="s">
        <v>1330</v>
      </c>
      <c r="M5" s="48"/>
      <c r="N5" s="48"/>
      <c r="O5" s="48"/>
      <c r="P5" s="48"/>
      <c r="Q5" s="50">
        <v>1.0</v>
      </c>
      <c r="R5" s="59">
        <v>45713.0</v>
      </c>
      <c r="S5" s="59">
        <v>45719.0</v>
      </c>
      <c r="T5" s="59">
        <v>45714.0</v>
      </c>
      <c r="U5" s="48"/>
      <c r="V5" s="50" t="s">
        <v>1321</v>
      </c>
      <c r="W5" s="48"/>
      <c r="X5" s="50" t="s">
        <v>12</v>
      </c>
      <c r="Y5" s="50" t="s">
        <v>1322</v>
      </c>
      <c r="Z5" s="50">
        <v>3.040309304E9</v>
      </c>
      <c r="AA5" s="50" t="s">
        <v>16</v>
      </c>
      <c r="AB5" s="50" t="s">
        <v>1331</v>
      </c>
      <c r="AC5" s="50" t="s">
        <v>1332</v>
      </c>
      <c r="AD5" s="48"/>
      <c r="AE5" s="48"/>
      <c r="AF5" s="48"/>
      <c r="AG5" s="48"/>
    </row>
    <row r="6">
      <c r="A6" s="47">
        <f>COUNTIF('Histórico'!$B:$B,B6)</f>
        <v>1</v>
      </c>
      <c r="B6" s="47" t="s">
        <v>335</v>
      </c>
      <c r="C6" s="48"/>
      <c r="D6" s="50" t="s">
        <v>1314</v>
      </c>
      <c r="E6" s="50" t="s">
        <v>1315</v>
      </c>
      <c r="F6" s="59">
        <v>45714.0</v>
      </c>
      <c r="G6" s="50" t="s">
        <v>1316</v>
      </c>
      <c r="H6" s="59">
        <v>45714.0</v>
      </c>
      <c r="I6" s="47" t="s">
        <v>1333</v>
      </c>
      <c r="J6" s="47" t="s">
        <v>724</v>
      </c>
      <c r="K6" s="47" t="s">
        <v>1334</v>
      </c>
      <c r="L6" s="60" t="s">
        <v>1335</v>
      </c>
      <c r="M6" s="48"/>
      <c r="N6" s="48"/>
      <c r="O6" s="48"/>
      <c r="P6" s="48"/>
      <c r="Q6" s="50">
        <v>1.0</v>
      </c>
      <c r="R6" s="59">
        <v>45713.0</v>
      </c>
      <c r="S6" s="59">
        <v>45964.0</v>
      </c>
      <c r="T6" s="59">
        <v>45714.0</v>
      </c>
      <c r="U6" s="48"/>
      <c r="V6" s="50" t="s">
        <v>1321</v>
      </c>
      <c r="W6" s="48"/>
      <c r="X6" s="50" t="s">
        <v>12</v>
      </c>
      <c r="Y6" s="50" t="s">
        <v>1322</v>
      </c>
      <c r="Z6" s="50">
        <v>3.040310537E9</v>
      </c>
      <c r="AA6" s="50" t="s">
        <v>12</v>
      </c>
      <c r="AB6" s="50" t="s">
        <v>1322</v>
      </c>
      <c r="AC6" s="50" t="s">
        <v>1336</v>
      </c>
      <c r="AD6" s="48"/>
      <c r="AE6" s="48"/>
      <c r="AF6" s="48"/>
      <c r="AG6" s="48"/>
    </row>
    <row r="7">
      <c r="A7" s="47">
        <f>COUNTIF('Histórico'!$B:$B,B7)</f>
        <v>1</v>
      </c>
      <c r="B7" s="47" t="s">
        <v>337</v>
      </c>
      <c r="C7" s="48"/>
      <c r="D7" s="50" t="s">
        <v>1314</v>
      </c>
      <c r="E7" s="50" t="s">
        <v>1315</v>
      </c>
      <c r="F7" s="59">
        <v>45736.0</v>
      </c>
      <c r="G7" s="50" t="s">
        <v>1316</v>
      </c>
      <c r="H7" s="59">
        <v>45736.0</v>
      </c>
      <c r="I7" s="47" t="s">
        <v>1337</v>
      </c>
      <c r="J7" s="47" t="s">
        <v>1338</v>
      </c>
      <c r="K7" s="47" t="s">
        <v>1339</v>
      </c>
      <c r="L7" s="60" t="s">
        <v>1340</v>
      </c>
      <c r="M7" s="48"/>
      <c r="N7" s="48"/>
      <c r="O7" s="48"/>
      <c r="P7" s="48"/>
      <c r="Q7" s="50">
        <v>1.0</v>
      </c>
      <c r="R7" s="59">
        <v>45730.0</v>
      </c>
      <c r="S7" s="59">
        <v>45736.0</v>
      </c>
      <c r="T7" s="59">
        <v>45736.0</v>
      </c>
      <c r="U7" s="48"/>
      <c r="V7" s="50" t="s">
        <v>1321</v>
      </c>
      <c r="W7" s="47"/>
      <c r="X7" s="50" t="s">
        <v>12</v>
      </c>
      <c r="Y7" s="50" t="s">
        <v>1322</v>
      </c>
      <c r="Z7" s="50">
        <v>3.040310142E9</v>
      </c>
      <c r="AA7" s="50" t="s">
        <v>16</v>
      </c>
      <c r="AB7" s="50" t="s">
        <v>1331</v>
      </c>
      <c r="AC7" s="50" t="s">
        <v>1332</v>
      </c>
      <c r="AD7" s="48"/>
      <c r="AE7" s="48"/>
      <c r="AF7" s="48"/>
      <c r="AG7" s="48"/>
    </row>
    <row r="8">
      <c r="A8" s="47">
        <f>COUNTIF('Histórico'!$B:$B,B8)</f>
        <v>1</v>
      </c>
      <c r="B8" s="47" t="s">
        <v>347</v>
      </c>
      <c r="C8" s="48"/>
      <c r="D8" s="50" t="s">
        <v>1314</v>
      </c>
      <c r="E8" s="50" t="s">
        <v>1315</v>
      </c>
      <c r="F8" s="59">
        <v>45736.0</v>
      </c>
      <c r="G8" s="50" t="s">
        <v>1316</v>
      </c>
      <c r="H8" s="59">
        <v>45736.0</v>
      </c>
      <c r="I8" s="47" t="s">
        <v>109</v>
      </c>
      <c r="J8" s="47" t="s">
        <v>1341</v>
      </c>
      <c r="K8" s="47" t="s">
        <v>110</v>
      </c>
      <c r="L8" s="60" t="s">
        <v>1342</v>
      </c>
      <c r="M8" s="48"/>
      <c r="N8" s="48"/>
      <c r="O8" s="48"/>
      <c r="P8" s="48"/>
      <c r="Q8" s="50">
        <v>1.0</v>
      </c>
      <c r="R8" s="59">
        <v>45730.0</v>
      </c>
      <c r="S8" s="59">
        <v>45736.0</v>
      </c>
      <c r="T8" s="59">
        <v>45736.0</v>
      </c>
      <c r="U8" s="48"/>
      <c r="V8" s="50" t="s">
        <v>1321</v>
      </c>
      <c r="W8" s="47"/>
      <c r="X8" s="50" t="s">
        <v>12</v>
      </c>
      <c r="Y8" s="50" t="s">
        <v>1322</v>
      </c>
      <c r="Z8" s="50">
        <v>3.040309199E9</v>
      </c>
      <c r="AA8" s="50" t="s">
        <v>17</v>
      </c>
      <c r="AB8" s="50" t="s">
        <v>1343</v>
      </c>
      <c r="AC8" s="50" t="s">
        <v>1344</v>
      </c>
      <c r="AD8" s="48"/>
      <c r="AE8" s="48"/>
      <c r="AF8" s="48"/>
      <c r="AG8" s="48"/>
    </row>
    <row r="9">
      <c r="A9" s="47">
        <f>COUNTIF('Histórico'!$B:$B,B9)</f>
        <v>1</v>
      </c>
      <c r="B9" s="47" t="s">
        <v>343</v>
      </c>
      <c r="C9" s="48"/>
      <c r="D9" s="50" t="s">
        <v>1314</v>
      </c>
      <c r="E9" s="50" t="s">
        <v>1315</v>
      </c>
      <c r="F9" s="59">
        <v>45736.0</v>
      </c>
      <c r="G9" s="50" t="s">
        <v>1316</v>
      </c>
      <c r="H9" s="59">
        <v>45736.0</v>
      </c>
      <c r="I9" s="47" t="s">
        <v>167</v>
      </c>
      <c r="J9" s="47" t="s">
        <v>1345</v>
      </c>
      <c r="K9" s="47" t="s">
        <v>168</v>
      </c>
      <c r="L9" s="60" t="s">
        <v>1346</v>
      </c>
      <c r="M9" s="48"/>
      <c r="N9" s="48"/>
      <c r="O9" s="48"/>
      <c r="P9" s="48"/>
      <c r="Q9" s="50">
        <v>1.0</v>
      </c>
      <c r="R9" s="59">
        <v>45730.0</v>
      </c>
      <c r="S9" s="61">
        <v>45981.0</v>
      </c>
      <c r="T9" s="59">
        <v>45736.0</v>
      </c>
      <c r="U9" s="48"/>
      <c r="V9" s="50" t="s">
        <v>1347</v>
      </c>
      <c r="W9" s="50">
        <v>3.04250073785E11</v>
      </c>
      <c r="X9" s="50" t="s">
        <v>12</v>
      </c>
      <c r="Y9" s="50" t="s">
        <v>1322</v>
      </c>
      <c r="Z9" s="50">
        <v>3.040307586E9</v>
      </c>
      <c r="AA9" s="50" t="s">
        <v>15</v>
      </c>
      <c r="AB9" s="50" t="s">
        <v>1348</v>
      </c>
      <c r="AC9" s="50" t="s">
        <v>1349</v>
      </c>
      <c r="AD9" s="48"/>
      <c r="AE9" s="48"/>
      <c r="AF9" s="48"/>
      <c r="AG9" s="48"/>
    </row>
    <row r="10">
      <c r="A10" s="47">
        <f>COUNTIF('Histórico'!$B:$B,B10)</f>
        <v>1</v>
      </c>
      <c r="B10" s="47" t="s">
        <v>345</v>
      </c>
      <c r="C10" s="48"/>
      <c r="D10" s="50" t="s">
        <v>1314</v>
      </c>
      <c r="E10" s="50" t="s">
        <v>1315</v>
      </c>
      <c r="F10" s="59">
        <v>45736.0</v>
      </c>
      <c r="G10" s="50" t="s">
        <v>1316</v>
      </c>
      <c r="H10" s="59">
        <v>45736.0</v>
      </c>
      <c r="I10" s="47" t="s">
        <v>167</v>
      </c>
      <c r="J10" s="47" t="s">
        <v>1345</v>
      </c>
      <c r="K10" s="47" t="s">
        <v>168</v>
      </c>
      <c r="L10" s="60" t="s">
        <v>1350</v>
      </c>
      <c r="M10" s="48"/>
      <c r="N10" s="48"/>
      <c r="O10" s="48"/>
      <c r="P10" s="48"/>
      <c r="Q10" s="50">
        <v>1.0</v>
      </c>
      <c r="R10" s="59">
        <v>45730.0</v>
      </c>
      <c r="S10" s="61">
        <v>45981.0</v>
      </c>
      <c r="T10" s="59">
        <v>45736.0</v>
      </c>
      <c r="U10" s="48"/>
      <c r="V10" s="50" t="s">
        <v>1347</v>
      </c>
      <c r="W10" s="50">
        <v>3.13250016538E11</v>
      </c>
      <c r="X10" s="50" t="s">
        <v>12</v>
      </c>
      <c r="Y10" s="50" t="s">
        <v>1322</v>
      </c>
      <c r="Z10" s="50">
        <v>3.040304272E9</v>
      </c>
      <c r="AA10" s="50" t="s">
        <v>17</v>
      </c>
      <c r="AB10" s="50" t="s">
        <v>1343</v>
      </c>
      <c r="AC10" s="50" t="s">
        <v>1344</v>
      </c>
      <c r="AD10" s="48"/>
      <c r="AE10" s="48"/>
      <c r="AF10" s="48"/>
      <c r="AG10" s="48"/>
    </row>
    <row r="11">
      <c r="A11" s="47">
        <f>COUNTIF('Histórico'!$B:$B,B11)</f>
        <v>1</v>
      </c>
      <c r="B11" s="47" t="s">
        <v>339</v>
      </c>
      <c r="C11" s="48"/>
      <c r="D11" s="50" t="s">
        <v>1314</v>
      </c>
      <c r="E11" s="50" t="s">
        <v>1315</v>
      </c>
      <c r="F11" s="59">
        <v>45736.0</v>
      </c>
      <c r="G11" s="50" t="s">
        <v>1316</v>
      </c>
      <c r="H11" s="59">
        <v>45736.0</v>
      </c>
      <c r="I11" s="47" t="s">
        <v>109</v>
      </c>
      <c r="J11" s="47" t="s">
        <v>1341</v>
      </c>
      <c r="K11" s="47" t="s">
        <v>110</v>
      </c>
      <c r="L11" s="60" t="s">
        <v>1351</v>
      </c>
      <c r="M11" s="48"/>
      <c r="N11" s="48"/>
      <c r="O11" s="48"/>
      <c r="P11" s="48"/>
      <c r="Q11" s="50">
        <v>1.0</v>
      </c>
      <c r="R11" s="59">
        <v>45730.0</v>
      </c>
      <c r="S11" s="59">
        <v>45757.0</v>
      </c>
      <c r="T11" s="59">
        <v>45736.0</v>
      </c>
      <c r="U11" s="48"/>
      <c r="V11" s="50" t="s">
        <v>1321</v>
      </c>
      <c r="W11" s="50"/>
      <c r="X11" s="50" t="s">
        <v>12</v>
      </c>
      <c r="Y11" s="50" t="s">
        <v>1322</v>
      </c>
      <c r="Z11" s="50">
        <v>3.04030642E9</v>
      </c>
      <c r="AA11" s="50" t="s">
        <v>1352</v>
      </c>
      <c r="AB11" s="50" t="s">
        <v>1353</v>
      </c>
      <c r="AC11" s="50" t="s">
        <v>1354</v>
      </c>
      <c r="AD11" s="48"/>
      <c r="AE11" s="48"/>
      <c r="AF11" s="48"/>
      <c r="AG11" s="48"/>
    </row>
    <row r="12">
      <c r="A12" s="47">
        <f>COUNTIF('Histórico'!$B:$B,B12)</f>
        <v>1</v>
      </c>
      <c r="B12" s="47" t="s">
        <v>353</v>
      </c>
      <c r="C12" s="48"/>
      <c r="D12" s="50" t="s">
        <v>1314</v>
      </c>
      <c r="E12" s="50" t="s">
        <v>1315</v>
      </c>
      <c r="F12" s="59">
        <v>45736.0</v>
      </c>
      <c r="G12" s="50" t="s">
        <v>1316</v>
      </c>
      <c r="H12" s="59">
        <v>45736.0</v>
      </c>
      <c r="I12" s="47" t="s">
        <v>1355</v>
      </c>
      <c r="J12" s="47" t="s">
        <v>1356</v>
      </c>
      <c r="K12" s="47" t="s">
        <v>1357</v>
      </c>
      <c r="L12" s="60" t="s">
        <v>1358</v>
      </c>
      <c r="M12" s="48"/>
      <c r="N12" s="48"/>
      <c r="O12" s="48"/>
      <c r="P12" s="48"/>
      <c r="Q12" s="50">
        <v>1.0</v>
      </c>
      <c r="R12" s="59">
        <v>45730.0</v>
      </c>
      <c r="S12" s="59">
        <v>45736.0</v>
      </c>
      <c r="T12" s="59">
        <v>45736.0</v>
      </c>
      <c r="U12" s="48"/>
      <c r="V12" s="50" t="s">
        <v>1321</v>
      </c>
      <c r="W12" s="50"/>
      <c r="X12" s="50" t="s">
        <v>12</v>
      </c>
      <c r="Y12" s="50" t="s">
        <v>1322</v>
      </c>
      <c r="Z12" s="50">
        <v>3.040310112E9</v>
      </c>
      <c r="AA12" s="50" t="s">
        <v>24</v>
      </c>
      <c r="AB12" s="50" t="s">
        <v>1359</v>
      </c>
      <c r="AC12" s="50" t="s">
        <v>1360</v>
      </c>
      <c r="AD12" s="48"/>
      <c r="AE12" s="48"/>
      <c r="AF12" s="48"/>
      <c r="AG12" s="48"/>
    </row>
    <row r="13">
      <c r="A13" s="47">
        <f>COUNTIF('Histórico'!$B:$B,B13)</f>
        <v>1</v>
      </c>
      <c r="B13" s="47" t="s">
        <v>349</v>
      </c>
      <c r="C13" s="48"/>
      <c r="D13" s="50" t="s">
        <v>1314</v>
      </c>
      <c r="E13" s="50" t="s">
        <v>1315</v>
      </c>
      <c r="F13" s="59">
        <v>45736.0</v>
      </c>
      <c r="G13" s="50" t="s">
        <v>1316</v>
      </c>
      <c r="H13" s="59">
        <v>45736.0</v>
      </c>
      <c r="I13" s="47" t="s">
        <v>1361</v>
      </c>
      <c r="J13" s="47" t="s">
        <v>48</v>
      </c>
      <c r="K13" s="47" t="s">
        <v>1362</v>
      </c>
      <c r="L13" s="60" t="s">
        <v>1363</v>
      </c>
      <c r="M13" s="48"/>
      <c r="N13" s="48"/>
      <c r="O13" s="48"/>
      <c r="P13" s="48"/>
      <c r="Q13" s="50">
        <v>1.0</v>
      </c>
      <c r="R13" s="59">
        <v>45730.0</v>
      </c>
      <c r="S13" s="61">
        <v>45981.0</v>
      </c>
      <c r="T13" s="59">
        <v>45736.0</v>
      </c>
      <c r="U13" s="48"/>
      <c r="V13" s="50" t="s">
        <v>1347</v>
      </c>
      <c r="W13" s="50">
        <v>3.13250017551E11</v>
      </c>
      <c r="X13" s="50" t="s">
        <v>12</v>
      </c>
      <c r="Y13" s="50" t="s">
        <v>1322</v>
      </c>
      <c r="Z13" s="50">
        <v>3.040239627E9</v>
      </c>
      <c r="AA13" s="50" t="s">
        <v>1364</v>
      </c>
      <c r="AB13" s="50" t="s">
        <v>1365</v>
      </c>
      <c r="AC13" s="50" t="s">
        <v>1366</v>
      </c>
      <c r="AD13" s="48"/>
      <c r="AE13" s="48"/>
      <c r="AF13" s="48"/>
      <c r="AG13" s="48"/>
    </row>
    <row r="14">
      <c r="A14" s="47">
        <f>COUNTIF('Histórico'!$B:$B,B14)</f>
        <v>1</v>
      </c>
      <c r="B14" s="47" t="s">
        <v>357</v>
      </c>
      <c r="C14" s="48"/>
      <c r="D14" s="50" t="s">
        <v>1314</v>
      </c>
      <c r="E14" s="50" t="s">
        <v>1315</v>
      </c>
      <c r="F14" s="59">
        <v>45736.0</v>
      </c>
      <c r="G14" s="50" t="s">
        <v>1316</v>
      </c>
      <c r="H14" s="59">
        <v>45736.0</v>
      </c>
      <c r="I14" s="47" t="s">
        <v>107</v>
      </c>
      <c r="J14" s="47" t="s">
        <v>48</v>
      </c>
      <c r="K14" s="47" t="s">
        <v>1367</v>
      </c>
      <c r="L14" s="60" t="s">
        <v>1368</v>
      </c>
      <c r="M14" s="48"/>
      <c r="N14" s="48"/>
      <c r="O14" s="48"/>
      <c r="P14" s="48"/>
      <c r="Q14" s="50">
        <v>1.0</v>
      </c>
      <c r="R14" s="59">
        <v>45730.0</v>
      </c>
      <c r="S14" s="59">
        <v>45736.0</v>
      </c>
      <c r="T14" s="59">
        <v>45736.0</v>
      </c>
      <c r="U14" s="48"/>
      <c r="V14" s="50" t="s">
        <v>1321</v>
      </c>
      <c r="W14" s="50"/>
      <c r="X14" s="50" t="s">
        <v>12</v>
      </c>
      <c r="Y14" s="50" t="s">
        <v>1322</v>
      </c>
      <c r="Z14" s="50">
        <v>3.040309916E9</v>
      </c>
      <c r="AA14" s="50" t="s">
        <v>12</v>
      </c>
      <c r="AB14" s="50" t="s">
        <v>1322</v>
      </c>
      <c r="AC14" s="50" t="s">
        <v>1369</v>
      </c>
      <c r="AD14" s="48"/>
      <c r="AE14" s="48"/>
      <c r="AF14" s="48"/>
      <c r="AG14" s="48"/>
    </row>
    <row r="15">
      <c r="A15" s="47">
        <f>COUNTIF('Histórico'!$B:$B,B15)</f>
        <v>1</v>
      </c>
      <c r="B15" s="47" t="s">
        <v>359</v>
      </c>
      <c r="C15" s="48"/>
      <c r="D15" s="50" t="s">
        <v>1314</v>
      </c>
      <c r="E15" s="50" t="s">
        <v>1315</v>
      </c>
      <c r="F15" s="59">
        <v>45736.0</v>
      </c>
      <c r="G15" s="50" t="s">
        <v>1316</v>
      </c>
      <c r="H15" s="59">
        <v>45736.0</v>
      </c>
      <c r="I15" s="47" t="s">
        <v>171</v>
      </c>
      <c r="J15" s="47" t="s">
        <v>48</v>
      </c>
      <c r="K15" s="47" t="s">
        <v>1370</v>
      </c>
      <c r="L15" s="60" t="s">
        <v>1371</v>
      </c>
      <c r="M15" s="48"/>
      <c r="N15" s="48"/>
      <c r="O15" s="48"/>
      <c r="P15" s="48"/>
      <c r="Q15" s="50">
        <v>1.0</v>
      </c>
      <c r="R15" s="59">
        <v>45730.0</v>
      </c>
      <c r="S15" s="61">
        <v>45981.0</v>
      </c>
      <c r="T15" s="59">
        <v>45736.0</v>
      </c>
      <c r="U15" s="48"/>
      <c r="V15" s="50" t="s">
        <v>1321</v>
      </c>
      <c r="W15" s="47"/>
      <c r="X15" s="50" t="s">
        <v>12</v>
      </c>
      <c r="Y15" s="50" t="s">
        <v>1322</v>
      </c>
      <c r="Z15" s="50">
        <v>3.040233376E9</v>
      </c>
      <c r="AA15" s="50" t="s">
        <v>1372</v>
      </c>
      <c r="AB15" s="50" t="s">
        <v>1373</v>
      </c>
      <c r="AC15" s="50" t="s">
        <v>1374</v>
      </c>
      <c r="AD15" s="48"/>
      <c r="AE15" s="48"/>
      <c r="AF15" s="48"/>
      <c r="AG15" s="48"/>
    </row>
    <row r="16">
      <c r="A16" s="47">
        <f>COUNTIF('Histórico'!$B:$B,B16)</f>
        <v>1</v>
      </c>
      <c r="B16" s="47" t="s">
        <v>361</v>
      </c>
      <c r="C16" s="48"/>
      <c r="D16" s="50" t="s">
        <v>1314</v>
      </c>
      <c r="E16" s="50" t="s">
        <v>1315</v>
      </c>
      <c r="F16" s="59">
        <v>45736.0</v>
      </c>
      <c r="G16" s="50" t="s">
        <v>1316</v>
      </c>
      <c r="H16" s="59">
        <v>45736.0</v>
      </c>
      <c r="I16" s="47" t="s">
        <v>171</v>
      </c>
      <c r="J16" s="47" t="s">
        <v>48</v>
      </c>
      <c r="K16" s="47" t="s">
        <v>1370</v>
      </c>
      <c r="L16" s="60" t="s">
        <v>1375</v>
      </c>
      <c r="M16" s="48"/>
      <c r="N16" s="48"/>
      <c r="O16" s="48"/>
      <c r="P16" s="48"/>
      <c r="Q16" s="50">
        <v>1.0</v>
      </c>
      <c r="R16" s="59">
        <v>45730.0</v>
      </c>
      <c r="S16" s="61">
        <v>45981.0</v>
      </c>
      <c r="T16" s="59">
        <v>45736.0</v>
      </c>
      <c r="U16" s="48"/>
      <c r="V16" s="50" t="s">
        <v>1321</v>
      </c>
      <c r="W16" s="47"/>
      <c r="X16" s="50" t="s">
        <v>12</v>
      </c>
      <c r="Y16" s="50" t="s">
        <v>1322</v>
      </c>
      <c r="Z16" s="50">
        <v>3.040242891E9</v>
      </c>
      <c r="AA16" s="50" t="s">
        <v>1376</v>
      </c>
      <c r="AB16" s="50" t="s">
        <v>1377</v>
      </c>
      <c r="AC16" s="50" t="s">
        <v>1378</v>
      </c>
      <c r="AD16" s="48"/>
      <c r="AE16" s="48"/>
      <c r="AF16" s="48"/>
      <c r="AG16" s="48"/>
    </row>
    <row r="17">
      <c r="A17" s="47">
        <f>COUNTIF('Histórico'!$B:$B,B17)</f>
        <v>1</v>
      </c>
      <c r="B17" s="47" t="s">
        <v>370</v>
      </c>
      <c r="C17" s="48"/>
      <c r="D17" s="50" t="s">
        <v>1314</v>
      </c>
      <c r="E17" s="50" t="s">
        <v>1315</v>
      </c>
      <c r="F17" s="59">
        <v>45736.0</v>
      </c>
      <c r="G17" s="50" t="s">
        <v>1316</v>
      </c>
      <c r="H17" s="59">
        <v>45736.0</v>
      </c>
      <c r="I17" s="47" t="s">
        <v>1317</v>
      </c>
      <c r="J17" s="47" t="s">
        <v>1318</v>
      </c>
      <c r="K17" s="47" t="s">
        <v>1319</v>
      </c>
      <c r="L17" s="60" t="s">
        <v>1379</v>
      </c>
      <c r="M17" s="48"/>
      <c r="N17" s="48"/>
      <c r="O17" s="48"/>
      <c r="P17" s="48"/>
      <c r="Q17" s="50">
        <v>1.0</v>
      </c>
      <c r="R17" s="59">
        <v>45729.0</v>
      </c>
      <c r="S17" s="59">
        <v>45735.0</v>
      </c>
      <c r="T17" s="59">
        <v>45736.0</v>
      </c>
      <c r="U17" s="48"/>
      <c r="V17" s="50" t="s">
        <v>1321</v>
      </c>
      <c r="W17" s="48"/>
      <c r="X17" s="50" t="s">
        <v>12</v>
      </c>
      <c r="Y17" s="50" t="s">
        <v>1322</v>
      </c>
      <c r="Z17" s="50">
        <v>3.040235688E9</v>
      </c>
      <c r="AA17" s="50" t="s">
        <v>1376</v>
      </c>
      <c r="AB17" s="50" t="s">
        <v>1380</v>
      </c>
      <c r="AC17" s="50" t="s">
        <v>1381</v>
      </c>
      <c r="AD17" s="48"/>
      <c r="AE17" s="48"/>
      <c r="AF17" s="48"/>
      <c r="AG17" s="48"/>
    </row>
    <row r="18">
      <c r="A18" s="47">
        <f>COUNTIF('Histórico'!$B:$B,B18)</f>
        <v>1</v>
      </c>
      <c r="B18" s="47" t="s">
        <v>372</v>
      </c>
      <c r="C18" s="48"/>
      <c r="D18" s="50" t="s">
        <v>1314</v>
      </c>
      <c r="E18" s="50" t="s">
        <v>1315</v>
      </c>
      <c r="F18" s="59">
        <v>45736.0</v>
      </c>
      <c r="G18" s="50" t="s">
        <v>1316</v>
      </c>
      <c r="H18" s="59">
        <v>45736.0</v>
      </c>
      <c r="I18" s="47" t="s">
        <v>1317</v>
      </c>
      <c r="J18" s="47" t="s">
        <v>1318</v>
      </c>
      <c r="K18" s="47" t="s">
        <v>1319</v>
      </c>
      <c r="L18" s="60" t="s">
        <v>1382</v>
      </c>
      <c r="M18" s="48"/>
      <c r="N18" s="48"/>
      <c r="O18" s="48"/>
      <c r="P18" s="48"/>
      <c r="Q18" s="50">
        <v>1.0</v>
      </c>
      <c r="R18" s="59">
        <v>45729.0</v>
      </c>
      <c r="S18" s="59">
        <v>45735.0</v>
      </c>
      <c r="T18" s="59">
        <v>45736.0</v>
      </c>
      <c r="U18" s="48"/>
      <c r="V18" s="50" t="s">
        <v>1321</v>
      </c>
      <c r="W18" s="48"/>
      <c r="X18" s="50" t="s">
        <v>12</v>
      </c>
      <c r="Y18" s="50" t="s">
        <v>1322</v>
      </c>
      <c r="Z18" s="50">
        <v>3.040262311E9</v>
      </c>
      <c r="AA18" s="50" t="s">
        <v>21</v>
      </c>
      <c r="AB18" s="50" t="s">
        <v>1359</v>
      </c>
      <c r="AC18" s="50" t="s">
        <v>1383</v>
      </c>
      <c r="AD18" s="48"/>
      <c r="AE18" s="48"/>
      <c r="AF18" s="48"/>
      <c r="AG18" s="48"/>
    </row>
    <row r="19">
      <c r="A19" s="47">
        <f>COUNTIF('Histórico'!$B:$B,B19)</f>
        <v>1</v>
      </c>
      <c r="B19" s="47" t="s">
        <v>365</v>
      </c>
      <c r="C19" s="48"/>
      <c r="D19" s="50" t="s">
        <v>1314</v>
      </c>
      <c r="E19" s="50" t="s">
        <v>1315</v>
      </c>
      <c r="F19" s="59">
        <v>45736.0</v>
      </c>
      <c r="G19" s="50" t="s">
        <v>1316</v>
      </c>
      <c r="H19" s="59">
        <v>45736.0</v>
      </c>
      <c r="I19" s="47" t="s">
        <v>129</v>
      </c>
      <c r="J19" s="47" t="s">
        <v>1318</v>
      </c>
      <c r="K19" s="47" t="s">
        <v>130</v>
      </c>
      <c r="L19" s="60" t="s">
        <v>1384</v>
      </c>
      <c r="M19" s="48"/>
      <c r="N19" s="48"/>
      <c r="O19" s="48"/>
      <c r="P19" s="48"/>
      <c r="Q19" s="50">
        <v>1.0</v>
      </c>
      <c r="R19" s="59">
        <v>45729.0</v>
      </c>
      <c r="S19" s="59">
        <v>45735.0</v>
      </c>
      <c r="T19" s="59">
        <v>45736.0</v>
      </c>
      <c r="U19" s="48"/>
      <c r="V19" s="50" t="s">
        <v>1321</v>
      </c>
      <c r="W19" s="48"/>
      <c r="X19" s="50" t="s">
        <v>12</v>
      </c>
      <c r="Y19" s="50" t="s">
        <v>1322</v>
      </c>
      <c r="Z19" s="50">
        <v>3.040293359E9</v>
      </c>
      <c r="AA19" s="50" t="s">
        <v>12</v>
      </c>
      <c r="AB19" s="50" t="s">
        <v>1385</v>
      </c>
      <c r="AC19" s="50" t="s">
        <v>1386</v>
      </c>
      <c r="AD19" s="48"/>
      <c r="AE19" s="48"/>
      <c r="AF19" s="48"/>
      <c r="AG19" s="48"/>
    </row>
    <row r="20">
      <c r="A20" s="47">
        <f>COUNTIF('Histórico'!$B:$B,B20)</f>
        <v>1</v>
      </c>
      <c r="B20" s="47" t="s">
        <v>378</v>
      </c>
      <c r="C20" s="48"/>
      <c r="D20" s="50" t="s">
        <v>1314</v>
      </c>
      <c r="E20" s="50" t="s">
        <v>1315</v>
      </c>
      <c r="F20" s="59">
        <v>45736.0</v>
      </c>
      <c r="G20" s="50" t="s">
        <v>1316</v>
      </c>
      <c r="H20" s="59">
        <v>45736.0</v>
      </c>
      <c r="I20" s="47" t="s">
        <v>1387</v>
      </c>
      <c r="J20" s="47" t="s">
        <v>1318</v>
      </c>
      <c r="K20" s="47" t="s">
        <v>1388</v>
      </c>
      <c r="L20" s="60" t="s">
        <v>1389</v>
      </c>
      <c r="M20" s="48"/>
      <c r="N20" s="48"/>
      <c r="O20" s="48"/>
      <c r="P20" s="48"/>
      <c r="Q20" s="50">
        <v>1.0</v>
      </c>
      <c r="R20" s="59">
        <v>45729.0</v>
      </c>
      <c r="S20" s="59">
        <v>45735.0</v>
      </c>
      <c r="T20" s="59">
        <v>45736.0</v>
      </c>
      <c r="U20" s="48"/>
      <c r="V20" s="50" t="s">
        <v>1321</v>
      </c>
      <c r="W20" s="48"/>
      <c r="X20" s="50" t="s">
        <v>12</v>
      </c>
      <c r="Y20" s="50" t="s">
        <v>1322</v>
      </c>
      <c r="Z20" s="50">
        <v>3.040310542E9</v>
      </c>
      <c r="AA20" s="50" t="s">
        <v>12</v>
      </c>
      <c r="AB20" s="50" t="s">
        <v>1322</v>
      </c>
      <c r="AC20" s="50" t="s">
        <v>1336</v>
      </c>
      <c r="AD20" s="48"/>
      <c r="AE20" s="48"/>
      <c r="AF20" s="48"/>
      <c r="AG20" s="48"/>
    </row>
    <row r="21">
      <c r="A21" s="47">
        <f>COUNTIF('Histórico'!$B:$B,B21)</f>
        <v>1</v>
      </c>
      <c r="B21" s="47" t="s">
        <v>380</v>
      </c>
      <c r="C21" s="48"/>
      <c r="D21" s="50" t="s">
        <v>1314</v>
      </c>
      <c r="E21" s="50" t="s">
        <v>1315</v>
      </c>
      <c r="F21" s="59">
        <v>45736.0</v>
      </c>
      <c r="G21" s="50" t="s">
        <v>1316</v>
      </c>
      <c r="H21" s="59">
        <v>45736.0</v>
      </c>
      <c r="I21" s="47" t="s">
        <v>115</v>
      </c>
      <c r="J21" s="47" t="s">
        <v>1318</v>
      </c>
      <c r="K21" s="47" t="s">
        <v>1390</v>
      </c>
      <c r="L21" s="60" t="s">
        <v>1391</v>
      </c>
      <c r="M21" s="48"/>
      <c r="N21" s="48"/>
      <c r="O21" s="48"/>
      <c r="P21" s="48"/>
      <c r="Q21" s="50">
        <v>1.0</v>
      </c>
      <c r="R21" s="59">
        <v>45729.0</v>
      </c>
      <c r="S21" s="59">
        <v>45735.0</v>
      </c>
      <c r="T21" s="59">
        <v>45736.0</v>
      </c>
      <c r="U21" s="48"/>
      <c r="V21" s="50" t="s">
        <v>1321</v>
      </c>
      <c r="W21" s="48"/>
      <c r="X21" s="50" t="s">
        <v>12</v>
      </c>
      <c r="Y21" s="50" t="s">
        <v>1322</v>
      </c>
      <c r="Z21" s="50">
        <v>3.04022812E9</v>
      </c>
      <c r="AA21" s="50" t="s">
        <v>12</v>
      </c>
      <c r="AB21" s="50" t="s">
        <v>1392</v>
      </c>
      <c r="AC21" s="50" t="s">
        <v>1393</v>
      </c>
      <c r="AD21" s="48"/>
      <c r="AE21" s="48"/>
      <c r="AF21" s="48"/>
      <c r="AG21" s="48"/>
    </row>
    <row r="22">
      <c r="A22" s="47">
        <f>COUNTIF('Histórico'!$B:$B,B22)</f>
        <v>1</v>
      </c>
      <c r="B22" s="47" t="s">
        <v>386</v>
      </c>
      <c r="C22" s="48"/>
      <c r="D22" s="50" t="s">
        <v>1314</v>
      </c>
      <c r="E22" s="50" t="s">
        <v>1315</v>
      </c>
      <c r="F22" s="59">
        <v>45736.0</v>
      </c>
      <c r="G22" s="50" t="s">
        <v>1316</v>
      </c>
      <c r="H22" s="59">
        <v>45736.0</v>
      </c>
      <c r="I22" s="47" t="s">
        <v>1394</v>
      </c>
      <c r="J22" s="47" t="s">
        <v>1395</v>
      </c>
      <c r="K22" s="47" t="s">
        <v>1396</v>
      </c>
      <c r="L22" s="60" t="s">
        <v>411</v>
      </c>
      <c r="M22" s="48"/>
      <c r="N22" s="48"/>
      <c r="O22" s="48"/>
      <c r="P22" s="48"/>
      <c r="Q22" s="50">
        <v>1.0</v>
      </c>
      <c r="R22" s="59">
        <v>45729.0</v>
      </c>
      <c r="S22" s="61">
        <v>45974.0</v>
      </c>
      <c r="T22" s="59">
        <v>45736.0</v>
      </c>
      <c r="U22" s="48"/>
      <c r="V22" s="50" t="s">
        <v>1321</v>
      </c>
      <c r="W22" s="47"/>
      <c r="X22" s="50" t="s">
        <v>12</v>
      </c>
      <c r="Y22" s="50" t="s">
        <v>1322</v>
      </c>
      <c r="Z22" s="50">
        <v>3.040301283E9</v>
      </c>
      <c r="AA22" s="50" t="s">
        <v>24</v>
      </c>
      <c r="AB22" s="50" t="s">
        <v>1359</v>
      </c>
      <c r="AC22" s="50" t="s">
        <v>1397</v>
      </c>
      <c r="AD22" s="48"/>
      <c r="AE22" s="48"/>
      <c r="AF22" s="48"/>
      <c r="AG22" s="48"/>
    </row>
    <row r="23">
      <c r="A23" s="47">
        <f>COUNTIF('Histórico'!$B:$B,B23)</f>
        <v>1</v>
      </c>
      <c r="B23" s="47" t="s">
        <v>390</v>
      </c>
      <c r="C23" s="48"/>
      <c r="D23" s="50" t="s">
        <v>1314</v>
      </c>
      <c r="E23" s="50" t="s">
        <v>1315</v>
      </c>
      <c r="F23" s="59">
        <v>45736.0</v>
      </c>
      <c r="G23" s="50" t="s">
        <v>1316</v>
      </c>
      <c r="H23" s="59">
        <v>45736.0</v>
      </c>
      <c r="I23" s="47" t="s">
        <v>1398</v>
      </c>
      <c r="J23" s="47" t="s">
        <v>1399</v>
      </c>
      <c r="K23" s="47" t="s">
        <v>1400</v>
      </c>
      <c r="L23" s="60" t="s">
        <v>1401</v>
      </c>
      <c r="M23" s="48"/>
      <c r="N23" s="48"/>
      <c r="O23" s="48"/>
      <c r="P23" s="48"/>
      <c r="Q23" s="50">
        <v>1.0</v>
      </c>
      <c r="R23" s="59">
        <v>45729.0</v>
      </c>
      <c r="S23" s="61">
        <v>45980.0</v>
      </c>
      <c r="T23" s="59">
        <v>45736.0</v>
      </c>
      <c r="U23" s="48"/>
      <c r="V23" s="50" t="s">
        <v>1321</v>
      </c>
      <c r="W23" s="48"/>
      <c r="X23" s="50" t="s">
        <v>12</v>
      </c>
      <c r="Y23" s="50" t="s">
        <v>1322</v>
      </c>
      <c r="Z23" s="50">
        <v>3.040307832E9</v>
      </c>
      <c r="AA23" s="50" t="s">
        <v>19</v>
      </c>
      <c r="AB23" s="50" t="s">
        <v>1402</v>
      </c>
      <c r="AC23" s="50" t="s">
        <v>1403</v>
      </c>
      <c r="AD23" s="48"/>
      <c r="AE23" s="48"/>
      <c r="AF23" s="48"/>
      <c r="AG23" s="48"/>
    </row>
    <row r="24">
      <c r="A24" s="47">
        <f>COUNTIF('Histórico'!$B:$B,B24)</f>
        <v>1</v>
      </c>
      <c r="B24" s="47" t="s">
        <v>404</v>
      </c>
      <c r="C24" s="48"/>
      <c r="D24" s="50" t="s">
        <v>1314</v>
      </c>
      <c r="E24" s="50" t="s">
        <v>1315</v>
      </c>
      <c r="F24" s="59">
        <v>45736.0</v>
      </c>
      <c r="G24" s="50" t="s">
        <v>1316</v>
      </c>
      <c r="H24" s="59">
        <v>45736.0</v>
      </c>
      <c r="I24" s="47" t="s">
        <v>1404</v>
      </c>
      <c r="J24" s="47" t="s">
        <v>48</v>
      </c>
      <c r="K24" s="47" t="s">
        <v>1405</v>
      </c>
      <c r="L24" s="60"/>
      <c r="M24" s="48"/>
      <c r="N24" s="48"/>
      <c r="O24" s="48"/>
      <c r="P24" s="48"/>
      <c r="Q24" s="50">
        <v>1.0</v>
      </c>
      <c r="R24" s="59">
        <v>45729.0</v>
      </c>
      <c r="S24" s="59">
        <v>45735.0</v>
      </c>
      <c r="T24" s="59">
        <v>45736.0</v>
      </c>
      <c r="U24" s="48"/>
      <c r="V24" s="50" t="s">
        <v>1347</v>
      </c>
      <c r="W24" s="50">
        <v>3.13250016672E11</v>
      </c>
      <c r="X24" s="50" t="s">
        <v>12</v>
      </c>
      <c r="Y24" s="50" t="s">
        <v>1322</v>
      </c>
      <c r="Z24" s="50">
        <v>3.040281041E9</v>
      </c>
      <c r="AA24" s="50" t="s">
        <v>17</v>
      </c>
      <c r="AB24" s="50" t="s">
        <v>1406</v>
      </c>
      <c r="AC24" s="50" t="s">
        <v>1407</v>
      </c>
      <c r="AD24" s="48"/>
      <c r="AE24" s="48"/>
      <c r="AF24" s="48"/>
      <c r="AG24" s="48"/>
    </row>
    <row r="25">
      <c r="A25" s="47">
        <f>COUNTIF('Histórico'!$B:$B,B25)</f>
        <v>1</v>
      </c>
      <c r="B25" s="47" t="s">
        <v>414</v>
      </c>
      <c r="C25" s="48"/>
      <c r="D25" s="50" t="s">
        <v>1314</v>
      </c>
      <c r="E25" s="50" t="s">
        <v>1315</v>
      </c>
      <c r="F25" s="59">
        <v>45769.0</v>
      </c>
      <c r="G25" s="50" t="s">
        <v>1316</v>
      </c>
      <c r="H25" s="59">
        <v>45769.0</v>
      </c>
      <c r="I25" s="47" t="s">
        <v>131</v>
      </c>
      <c r="J25" s="47" t="s">
        <v>48</v>
      </c>
      <c r="K25" s="47" t="s">
        <v>1408</v>
      </c>
      <c r="L25" s="60" t="s">
        <v>1409</v>
      </c>
      <c r="M25" s="48"/>
      <c r="N25" s="48"/>
      <c r="O25" s="48"/>
      <c r="P25" s="48"/>
      <c r="Q25" s="50">
        <v>1.0</v>
      </c>
      <c r="R25" s="59">
        <v>45762.0</v>
      </c>
      <c r="S25" s="59">
        <v>45770.0</v>
      </c>
      <c r="T25" s="59">
        <v>45769.0</v>
      </c>
      <c r="U25" s="48"/>
      <c r="V25" s="50" t="s">
        <v>1321</v>
      </c>
      <c r="W25" s="50"/>
      <c r="X25" s="50" t="s">
        <v>12</v>
      </c>
      <c r="Y25" s="50" t="s">
        <v>1322</v>
      </c>
      <c r="Z25" s="50">
        <v>3.04021637E9</v>
      </c>
      <c r="AA25" s="50" t="s">
        <v>12</v>
      </c>
      <c r="AB25" s="50" t="s">
        <v>1385</v>
      </c>
      <c r="AC25" s="50" t="s">
        <v>1410</v>
      </c>
      <c r="AD25" s="48"/>
      <c r="AE25" s="48"/>
      <c r="AF25" s="48"/>
      <c r="AG25" s="48"/>
    </row>
    <row r="26">
      <c r="A26" s="47">
        <f>COUNTIF('Histórico'!$B:$B,B26)</f>
        <v>1</v>
      </c>
      <c r="B26" s="47" t="s">
        <v>426</v>
      </c>
      <c r="C26" s="48"/>
      <c r="D26" s="50" t="s">
        <v>1314</v>
      </c>
      <c r="E26" s="50" t="s">
        <v>1315</v>
      </c>
      <c r="F26" s="59">
        <v>45769.0</v>
      </c>
      <c r="G26" s="50" t="s">
        <v>1316</v>
      </c>
      <c r="H26" s="59">
        <v>45769.0</v>
      </c>
      <c r="I26" s="47" t="s">
        <v>238</v>
      </c>
      <c r="J26" s="47" t="s">
        <v>1318</v>
      </c>
      <c r="K26" s="47" t="s">
        <v>239</v>
      </c>
      <c r="L26" s="60" t="s">
        <v>1411</v>
      </c>
      <c r="M26" s="48"/>
      <c r="N26" s="48"/>
      <c r="O26" s="48"/>
      <c r="P26" s="48"/>
      <c r="Q26" s="50">
        <v>1.0</v>
      </c>
      <c r="R26" s="59">
        <v>45762.0</v>
      </c>
      <c r="S26" s="61">
        <v>45984.0</v>
      </c>
      <c r="T26" s="59">
        <v>45769.0</v>
      </c>
      <c r="U26" s="48"/>
      <c r="V26" s="50" t="s">
        <v>1321</v>
      </c>
      <c r="W26" s="50"/>
      <c r="X26" s="50" t="s">
        <v>12</v>
      </c>
      <c r="Y26" s="50" t="s">
        <v>1322</v>
      </c>
      <c r="Z26" s="50">
        <v>3.040310113E9</v>
      </c>
      <c r="AA26" s="50" t="s">
        <v>24</v>
      </c>
      <c r="AB26" s="50" t="s">
        <v>1359</v>
      </c>
      <c r="AC26" s="50" t="s">
        <v>1360</v>
      </c>
      <c r="AD26" s="48"/>
      <c r="AE26" s="48"/>
      <c r="AF26" s="48"/>
      <c r="AG26" s="48"/>
    </row>
    <row r="27">
      <c r="A27" s="47">
        <f>COUNTIF('Histórico'!$B:$B,B27)</f>
        <v>1</v>
      </c>
      <c r="B27" s="47" t="s">
        <v>420</v>
      </c>
      <c r="C27" s="48"/>
      <c r="D27" s="50" t="s">
        <v>1314</v>
      </c>
      <c r="E27" s="50" t="s">
        <v>1315</v>
      </c>
      <c r="F27" s="59">
        <v>45769.0</v>
      </c>
      <c r="G27" s="50" t="s">
        <v>1316</v>
      </c>
      <c r="H27" s="59">
        <v>45769.0</v>
      </c>
      <c r="I27" s="47" t="s">
        <v>97</v>
      </c>
      <c r="J27" s="47" t="s">
        <v>1318</v>
      </c>
      <c r="K27" s="47" t="s">
        <v>1412</v>
      </c>
      <c r="L27" s="60" t="s">
        <v>1413</v>
      </c>
      <c r="M27" s="48"/>
      <c r="N27" s="48"/>
      <c r="O27" s="48"/>
      <c r="P27" s="48"/>
      <c r="Q27" s="50">
        <v>1.0</v>
      </c>
      <c r="R27" s="59">
        <v>45762.0</v>
      </c>
      <c r="S27" s="59">
        <v>45770.0</v>
      </c>
      <c r="T27" s="59">
        <v>45769.0</v>
      </c>
      <c r="U27" s="48"/>
      <c r="V27" s="50" t="s">
        <v>1321</v>
      </c>
      <c r="W27" s="48"/>
      <c r="X27" s="50" t="s">
        <v>12</v>
      </c>
      <c r="Y27" s="50" t="s">
        <v>1322</v>
      </c>
      <c r="Z27" s="50">
        <v>3.040306523E9</v>
      </c>
      <c r="AA27" s="50" t="s">
        <v>24</v>
      </c>
      <c r="AB27" s="50" t="s">
        <v>1359</v>
      </c>
      <c r="AC27" s="50" t="s">
        <v>1360</v>
      </c>
      <c r="AD27" s="48"/>
      <c r="AE27" s="48"/>
      <c r="AF27" s="48"/>
      <c r="AG27" s="48"/>
    </row>
    <row r="28">
      <c r="A28" s="47">
        <f>COUNTIF('Histórico'!$B:$B,B28)</f>
        <v>1</v>
      </c>
      <c r="B28" s="47" t="s">
        <v>418</v>
      </c>
      <c r="C28" s="48"/>
      <c r="D28" s="50" t="s">
        <v>1314</v>
      </c>
      <c r="E28" s="50" t="s">
        <v>1315</v>
      </c>
      <c r="F28" s="59">
        <v>45769.0</v>
      </c>
      <c r="G28" s="50" t="s">
        <v>1316</v>
      </c>
      <c r="H28" s="59">
        <v>45769.0</v>
      </c>
      <c r="I28" s="47" t="s">
        <v>97</v>
      </c>
      <c r="J28" s="47" t="s">
        <v>1318</v>
      </c>
      <c r="K28" s="47" t="s">
        <v>1412</v>
      </c>
      <c r="L28" s="60" t="s">
        <v>1414</v>
      </c>
      <c r="M28" s="48"/>
      <c r="N28" s="48"/>
      <c r="O28" s="48"/>
      <c r="P28" s="48"/>
      <c r="Q28" s="50">
        <v>1.0</v>
      </c>
      <c r="R28" s="59">
        <v>45762.0</v>
      </c>
      <c r="S28" s="59">
        <v>45770.0</v>
      </c>
      <c r="T28" s="59">
        <v>45769.0</v>
      </c>
      <c r="U28" s="48"/>
      <c r="V28" s="50" t="s">
        <v>1321</v>
      </c>
      <c r="W28" s="48"/>
      <c r="X28" s="50" t="s">
        <v>12</v>
      </c>
      <c r="Y28" s="50" t="s">
        <v>1322</v>
      </c>
      <c r="Z28" s="50">
        <v>3.04025329E9</v>
      </c>
      <c r="AA28" s="50" t="s">
        <v>1415</v>
      </c>
      <c r="AB28" s="50" t="s">
        <v>1416</v>
      </c>
      <c r="AC28" s="50" t="s">
        <v>1417</v>
      </c>
      <c r="AD28" s="48"/>
      <c r="AE28" s="48"/>
      <c r="AF28" s="48"/>
      <c r="AG28" s="48"/>
    </row>
    <row r="29">
      <c r="A29" s="47">
        <f>COUNTIF('Histórico'!$B:$B,B29)</f>
        <v>1</v>
      </c>
      <c r="B29" s="47" t="s">
        <v>416</v>
      </c>
      <c r="C29" s="48"/>
      <c r="D29" s="50" t="s">
        <v>1314</v>
      </c>
      <c r="E29" s="50" t="s">
        <v>1315</v>
      </c>
      <c r="F29" s="59">
        <v>45769.0</v>
      </c>
      <c r="G29" s="50" t="s">
        <v>1316</v>
      </c>
      <c r="H29" s="59">
        <v>45769.0</v>
      </c>
      <c r="I29" s="47" t="s">
        <v>127</v>
      </c>
      <c r="J29" s="47" t="s">
        <v>232</v>
      </c>
      <c r="K29" s="47" t="s">
        <v>128</v>
      </c>
      <c r="L29" s="60" t="s">
        <v>1418</v>
      </c>
      <c r="M29" s="48"/>
      <c r="N29" s="48"/>
      <c r="O29" s="48"/>
      <c r="P29" s="48"/>
      <c r="Q29" s="50">
        <v>1.0</v>
      </c>
      <c r="R29" s="59">
        <v>45762.0</v>
      </c>
      <c r="S29" s="61">
        <v>45984.0</v>
      </c>
      <c r="T29" s="59">
        <v>45769.0</v>
      </c>
      <c r="U29" s="48"/>
      <c r="V29" s="50" t="s">
        <v>1321</v>
      </c>
      <c r="W29" s="48"/>
      <c r="X29" s="50" t="s">
        <v>12</v>
      </c>
      <c r="Y29" s="50" t="s">
        <v>1322</v>
      </c>
      <c r="Z29" s="50">
        <v>3.040294707E9</v>
      </c>
      <c r="AA29" s="50" t="s">
        <v>16</v>
      </c>
      <c r="AB29" s="50" t="s">
        <v>1331</v>
      </c>
      <c r="AC29" s="50" t="s">
        <v>1419</v>
      </c>
      <c r="AD29" s="48"/>
      <c r="AE29" s="48"/>
      <c r="AF29" s="48"/>
      <c r="AG29" s="48"/>
    </row>
    <row r="30">
      <c r="A30" s="47">
        <f>COUNTIF('Histórico'!$B:$B,B30)</f>
        <v>1</v>
      </c>
      <c r="B30" s="47" t="s">
        <v>422</v>
      </c>
      <c r="C30" s="48"/>
      <c r="D30" s="50" t="s">
        <v>1314</v>
      </c>
      <c r="E30" s="50" t="s">
        <v>1315</v>
      </c>
      <c r="F30" s="59">
        <v>45769.0</v>
      </c>
      <c r="G30" s="50" t="s">
        <v>1316</v>
      </c>
      <c r="H30" s="59">
        <v>45769.0</v>
      </c>
      <c r="I30" s="47" t="s">
        <v>97</v>
      </c>
      <c r="J30" s="47" t="s">
        <v>1318</v>
      </c>
      <c r="K30" s="47" t="s">
        <v>1412</v>
      </c>
      <c r="L30" s="60" t="s">
        <v>1420</v>
      </c>
      <c r="M30" s="48"/>
      <c r="N30" s="48"/>
      <c r="O30" s="48"/>
      <c r="P30" s="48"/>
      <c r="Q30" s="50">
        <v>1.0</v>
      </c>
      <c r="R30" s="59">
        <v>45762.0</v>
      </c>
      <c r="S30" s="59">
        <v>45770.0</v>
      </c>
      <c r="T30" s="59">
        <v>45769.0</v>
      </c>
      <c r="U30" s="48"/>
      <c r="V30" s="50" t="s">
        <v>1321</v>
      </c>
      <c r="W30" s="48"/>
      <c r="X30" s="50" t="s">
        <v>12</v>
      </c>
      <c r="Y30" s="50" t="s">
        <v>1322</v>
      </c>
      <c r="Z30" s="50">
        <v>3.040308557E9</v>
      </c>
      <c r="AA30" s="50" t="s">
        <v>24</v>
      </c>
      <c r="AB30" s="50" t="s">
        <v>1359</v>
      </c>
      <c r="AC30" s="50" t="s">
        <v>1360</v>
      </c>
      <c r="AD30" s="48"/>
      <c r="AE30" s="48"/>
      <c r="AF30" s="48"/>
      <c r="AG30" s="48"/>
    </row>
    <row r="31">
      <c r="A31" s="47">
        <f>COUNTIF('Histórico'!$B:$B,B31)</f>
        <v>1</v>
      </c>
      <c r="B31" s="47" t="s">
        <v>432</v>
      </c>
      <c r="C31" s="48"/>
      <c r="D31" s="50" t="s">
        <v>1314</v>
      </c>
      <c r="E31" s="50" t="s">
        <v>1315</v>
      </c>
      <c r="F31" s="59">
        <v>45769.0</v>
      </c>
      <c r="G31" s="50" t="s">
        <v>1316</v>
      </c>
      <c r="H31" s="59">
        <v>45769.0</v>
      </c>
      <c r="I31" s="47" t="s">
        <v>1421</v>
      </c>
      <c r="J31" s="47" t="s">
        <v>1318</v>
      </c>
      <c r="K31" s="47" t="s">
        <v>1422</v>
      </c>
      <c r="L31" s="60" t="s">
        <v>1423</v>
      </c>
      <c r="M31" s="48"/>
      <c r="N31" s="48"/>
      <c r="O31" s="48"/>
      <c r="P31" s="48"/>
      <c r="Q31" s="50">
        <v>1.0</v>
      </c>
      <c r="R31" s="59">
        <v>45762.0</v>
      </c>
      <c r="S31" s="59">
        <v>45770.0</v>
      </c>
      <c r="T31" s="59">
        <v>45769.0</v>
      </c>
      <c r="U31" s="48"/>
      <c r="V31" s="50" t="s">
        <v>1321</v>
      </c>
      <c r="W31" s="48"/>
      <c r="X31" s="50" t="s">
        <v>12</v>
      </c>
      <c r="Y31" s="50" t="s">
        <v>1322</v>
      </c>
      <c r="Z31" s="50">
        <v>3.040311368E9</v>
      </c>
      <c r="AA31" s="50" t="s">
        <v>12</v>
      </c>
      <c r="AB31" s="50" t="s">
        <v>1322</v>
      </c>
      <c r="AC31" s="50" t="s">
        <v>1336</v>
      </c>
      <c r="AD31" s="48"/>
      <c r="AE31" s="48"/>
      <c r="AF31" s="48"/>
      <c r="AG31" s="48"/>
    </row>
    <row r="32">
      <c r="A32" s="47">
        <f>COUNTIF('Histórico'!$B:$B,B32)</f>
        <v>1</v>
      </c>
      <c r="B32" s="47" t="s">
        <v>434</v>
      </c>
      <c r="C32" s="48"/>
      <c r="D32" s="50" t="s">
        <v>1314</v>
      </c>
      <c r="E32" s="50" t="s">
        <v>1315</v>
      </c>
      <c r="F32" s="59">
        <v>45769.0</v>
      </c>
      <c r="G32" s="50" t="s">
        <v>1316</v>
      </c>
      <c r="H32" s="59">
        <v>45769.0</v>
      </c>
      <c r="I32" s="47" t="s">
        <v>1421</v>
      </c>
      <c r="J32" s="47" t="s">
        <v>1318</v>
      </c>
      <c r="K32" s="47" t="s">
        <v>1422</v>
      </c>
      <c r="L32" s="60" t="s">
        <v>1424</v>
      </c>
      <c r="M32" s="48"/>
      <c r="N32" s="48"/>
      <c r="O32" s="48"/>
      <c r="P32" s="48"/>
      <c r="Q32" s="50">
        <v>1.0</v>
      </c>
      <c r="R32" s="59">
        <v>45762.0</v>
      </c>
      <c r="S32" s="59">
        <v>45770.0</v>
      </c>
      <c r="T32" s="59">
        <v>45769.0</v>
      </c>
      <c r="U32" s="48"/>
      <c r="V32" s="50" t="s">
        <v>1321</v>
      </c>
      <c r="W32" s="47"/>
      <c r="X32" s="50" t="s">
        <v>12</v>
      </c>
      <c r="Y32" s="50" t="s">
        <v>1322</v>
      </c>
      <c r="Z32" s="50">
        <v>3.040277219E9</v>
      </c>
      <c r="AA32" s="50" t="s">
        <v>1425</v>
      </c>
      <c r="AB32" s="50" t="s">
        <v>1426</v>
      </c>
      <c r="AC32" s="50" t="s">
        <v>1427</v>
      </c>
      <c r="AD32" s="48"/>
      <c r="AE32" s="48"/>
      <c r="AF32" s="48"/>
      <c r="AG32" s="48"/>
    </row>
    <row r="33">
      <c r="A33" s="47">
        <f>COUNTIF('Histórico'!$B:$B,B33)</f>
        <v>1</v>
      </c>
      <c r="B33" s="47" t="s">
        <v>430</v>
      </c>
      <c r="C33" s="48"/>
      <c r="D33" s="50" t="s">
        <v>1314</v>
      </c>
      <c r="E33" s="50" t="s">
        <v>1315</v>
      </c>
      <c r="F33" s="59">
        <v>45769.0</v>
      </c>
      <c r="G33" s="50" t="s">
        <v>1316</v>
      </c>
      <c r="H33" s="59">
        <v>45769.0</v>
      </c>
      <c r="I33" s="47" t="s">
        <v>1421</v>
      </c>
      <c r="J33" s="47" t="s">
        <v>1318</v>
      </c>
      <c r="K33" s="47" t="s">
        <v>1422</v>
      </c>
      <c r="L33" s="60" t="s">
        <v>1428</v>
      </c>
      <c r="M33" s="48"/>
      <c r="N33" s="48"/>
      <c r="O33" s="48"/>
      <c r="P33" s="48"/>
      <c r="Q33" s="50">
        <v>1.0</v>
      </c>
      <c r="R33" s="59">
        <v>45762.0</v>
      </c>
      <c r="S33" s="59">
        <v>45770.0</v>
      </c>
      <c r="T33" s="59">
        <v>45769.0</v>
      </c>
      <c r="U33" s="48"/>
      <c r="V33" s="50" t="s">
        <v>1321</v>
      </c>
      <c r="W33" s="48"/>
      <c r="X33" s="50" t="s">
        <v>12</v>
      </c>
      <c r="Y33" s="50" t="s">
        <v>1322</v>
      </c>
      <c r="Z33" s="50">
        <v>3.040311455E9</v>
      </c>
      <c r="AA33" s="50" t="s">
        <v>17</v>
      </c>
      <c r="AB33" s="50" t="s">
        <v>1343</v>
      </c>
      <c r="AC33" s="50" t="s">
        <v>1344</v>
      </c>
      <c r="AD33" s="48"/>
      <c r="AE33" s="48"/>
      <c r="AF33" s="48"/>
      <c r="AG33" s="48"/>
    </row>
    <row r="34">
      <c r="A34" s="47">
        <f>COUNTIF('Histórico'!$B:$B,B34)</f>
        <v>1</v>
      </c>
      <c r="B34" s="47" t="s">
        <v>453</v>
      </c>
      <c r="C34" s="48"/>
      <c r="D34" s="50" t="s">
        <v>1314</v>
      </c>
      <c r="E34" s="50" t="s">
        <v>1315</v>
      </c>
      <c r="F34" s="59">
        <v>45799.0</v>
      </c>
      <c r="G34" s="50" t="s">
        <v>1316</v>
      </c>
      <c r="H34" s="59">
        <v>45799.0</v>
      </c>
      <c r="I34" s="47" t="s">
        <v>207</v>
      </c>
      <c r="J34" s="47" t="s">
        <v>48</v>
      </c>
      <c r="K34" s="47" t="s">
        <v>208</v>
      </c>
      <c r="L34" s="60" t="s">
        <v>1429</v>
      </c>
      <c r="M34" s="48"/>
      <c r="N34" s="48"/>
      <c r="O34" s="48"/>
      <c r="P34" s="48"/>
      <c r="Q34" s="50">
        <v>1.0</v>
      </c>
      <c r="R34" s="59">
        <v>45796.0</v>
      </c>
      <c r="S34" s="61">
        <v>45984.0</v>
      </c>
      <c r="T34" s="59">
        <v>45799.0</v>
      </c>
      <c r="U34" s="48"/>
      <c r="V34" s="50" t="s">
        <v>1321</v>
      </c>
      <c r="W34" s="48"/>
      <c r="X34" s="50" t="s">
        <v>12</v>
      </c>
      <c r="Y34" s="50" t="s">
        <v>1322</v>
      </c>
      <c r="Z34" s="50">
        <v>3.040307826E9</v>
      </c>
      <c r="AA34" s="50" t="s">
        <v>19</v>
      </c>
      <c r="AB34" s="50" t="s">
        <v>1402</v>
      </c>
      <c r="AC34" s="50" t="s">
        <v>1403</v>
      </c>
      <c r="AD34" s="48"/>
      <c r="AE34" s="48"/>
      <c r="AF34" s="48"/>
      <c r="AG34" s="48"/>
    </row>
    <row r="35">
      <c r="A35" s="47">
        <f>COUNTIF('Histórico'!$B:$B,B35)</f>
        <v>1</v>
      </c>
      <c r="B35" s="47" t="s">
        <v>455</v>
      </c>
      <c r="C35" s="48"/>
      <c r="D35" s="50" t="s">
        <v>1314</v>
      </c>
      <c r="E35" s="50" t="s">
        <v>1315</v>
      </c>
      <c r="F35" s="59">
        <v>45799.0</v>
      </c>
      <c r="G35" s="50" t="s">
        <v>1316</v>
      </c>
      <c r="H35" s="59">
        <v>45799.0</v>
      </c>
      <c r="I35" s="47" t="s">
        <v>1398</v>
      </c>
      <c r="J35" s="47" t="s">
        <v>1399</v>
      </c>
      <c r="K35" s="47" t="s">
        <v>1400</v>
      </c>
      <c r="L35" s="60" t="s">
        <v>330</v>
      </c>
      <c r="M35" s="48"/>
      <c r="N35" s="48"/>
      <c r="O35" s="48"/>
      <c r="P35" s="48"/>
      <c r="Q35" s="50">
        <v>1.0</v>
      </c>
      <c r="R35" s="59">
        <v>45796.0</v>
      </c>
      <c r="S35" s="61">
        <v>45984.0</v>
      </c>
      <c r="T35" s="59">
        <v>45799.0</v>
      </c>
      <c r="U35" s="48"/>
      <c r="V35" s="50" t="s">
        <v>1347</v>
      </c>
      <c r="W35" s="50">
        <v>3.96250014613E11</v>
      </c>
      <c r="X35" s="50" t="s">
        <v>12</v>
      </c>
      <c r="Y35" s="50" t="s">
        <v>1322</v>
      </c>
      <c r="Z35" s="50">
        <v>3.040310145E9</v>
      </c>
      <c r="AA35" s="50" t="s">
        <v>1352</v>
      </c>
      <c r="AB35" s="50" t="s">
        <v>1430</v>
      </c>
      <c r="AC35" s="50" t="s">
        <v>1431</v>
      </c>
      <c r="AD35" s="48"/>
      <c r="AE35" s="48"/>
      <c r="AF35" s="48"/>
      <c r="AG35" s="48"/>
    </row>
    <row r="36">
      <c r="A36" s="47">
        <f>COUNTIF('Histórico'!$B:$B,B36)</f>
        <v>1</v>
      </c>
      <c r="B36" s="47" t="s">
        <v>469</v>
      </c>
      <c r="C36" s="48"/>
      <c r="D36" s="50" t="s">
        <v>1314</v>
      </c>
      <c r="E36" s="50" t="s">
        <v>1315</v>
      </c>
      <c r="F36" s="59">
        <v>45803.0</v>
      </c>
      <c r="G36" s="50" t="s">
        <v>1316</v>
      </c>
      <c r="H36" s="59">
        <v>45803.0</v>
      </c>
      <c r="I36" s="47" t="s">
        <v>63</v>
      </c>
      <c r="J36" s="47" t="s">
        <v>1395</v>
      </c>
      <c r="K36" s="47" t="s">
        <v>1432</v>
      </c>
      <c r="L36" s="60" t="s">
        <v>1433</v>
      </c>
      <c r="M36" s="48"/>
      <c r="N36" s="48"/>
      <c r="O36" s="48"/>
      <c r="P36" s="48"/>
      <c r="Q36" s="50">
        <v>1.0</v>
      </c>
      <c r="R36" s="59">
        <v>45800.0</v>
      </c>
      <c r="S36" s="61">
        <v>45990.0</v>
      </c>
      <c r="T36" s="59">
        <v>45803.0</v>
      </c>
      <c r="U36" s="48"/>
      <c r="V36" s="50" t="s">
        <v>1321</v>
      </c>
      <c r="W36" s="48"/>
      <c r="X36" s="50" t="s">
        <v>12</v>
      </c>
      <c r="Y36" s="50" t="s">
        <v>1322</v>
      </c>
      <c r="Z36" s="50">
        <v>3.040313477E9</v>
      </c>
      <c r="AA36" s="50" t="s">
        <v>12</v>
      </c>
      <c r="AB36" s="50" t="s">
        <v>1322</v>
      </c>
      <c r="AC36" s="50" t="s">
        <v>1434</v>
      </c>
      <c r="AD36" s="48"/>
      <c r="AE36" s="48"/>
      <c r="AF36" s="48"/>
      <c r="AG36" s="48"/>
    </row>
    <row r="37">
      <c r="A37" s="47">
        <f>COUNTIF('Histórico'!$B:$B,B37)</f>
        <v>1</v>
      </c>
      <c r="B37" s="47" t="s">
        <v>473</v>
      </c>
      <c r="C37" s="48"/>
      <c r="D37" s="50" t="s">
        <v>1314</v>
      </c>
      <c r="E37" s="50" t="s">
        <v>1315</v>
      </c>
      <c r="F37" s="59">
        <v>45803.0</v>
      </c>
      <c r="G37" s="50" t="s">
        <v>1316</v>
      </c>
      <c r="H37" s="59">
        <v>45803.0</v>
      </c>
      <c r="I37" s="47" t="s">
        <v>63</v>
      </c>
      <c r="J37" s="47" t="s">
        <v>1395</v>
      </c>
      <c r="K37" s="47" t="s">
        <v>1432</v>
      </c>
      <c r="L37" s="60" t="s">
        <v>1435</v>
      </c>
      <c r="M37" s="48"/>
      <c r="N37" s="48"/>
      <c r="O37" s="48"/>
      <c r="P37" s="48"/>
      <c r="Q37" s="50">
        <v>1.0</v>
      </c>
      <c r="R37" s="59">
        <v>45800.0</v>
      </c>
      <c r="S37" s="61">
        <v>45990.0</v>
      </c>
      <c r="T37" s="59">
        <v>45803.0</v>
      </c>
      <c r="U37" s="48"/>
      <c r="V37" s="50" t="s">
        <v>1321</v>
      </c>
      <c r="W37" s="48"/>
      <c r="X37" s="50" t="s">
        <v>12</v>
      </c>
      <c r="Y37" s="50" t="s">
        <v>1322</v>
      </c>
      <c r="Z37" s="50">
        <v>3.040313478E9</v>
      </c>
      <c r="AA37" s="50" t="s">
        <v>12</v>
      </c>
      <c r="AB37" s="50" t="s">
        <v>1322</v>
      </c>
      <c r="AC37" s="50" t="s">
        <v>1434</v>
      </c>
      <c r="AD37" s="48"/>
      <c r="AE37" s="48"/>
      <c r="AF37" s="48"/>
      <c r="AG37" s="48"/>
    </row>
    <row r="38">
      <c r="A38" s="47">
        <f>COUNTIF('Histórico'!$B:$B,B38)</f>
        <v>1</v>
      </c>
      <c r="B38" s="47" t="s">
        <v>479</v>
      </c>
      <c r="C38" s="48"/>
      <c r="D38" s="50" t="s">
        <v>1314</v>
      </c>
      <c r="E38" s="50" t="s">
        <v>1315</v>
      </c>
      <c r="F38" s="59">
        <v>45803.0</v>
      </c>
      <c r="G38" s="50" t="s">
        <v>1316</v>
      </c>
      <c r="H38" s="59">
        <v>45803.0</v>
      </c>
      <c r="I38" s="47" t="s">
        <v>1436</v>
      </c>
      <c r="J38" s="47" t="s">
        <v>1395</v>
      </c>
      <c r="K38" s="47" t="s">
        <v>1437</v>
      </c>
      <c r="L38" s="60" t="s">
        <v>425</v>
      </c>
      <c r="M38" s="48"/>
      <c r="N38" s="48"/>
      <c r="O38" s="48"/>
      <c r="P38" s="48"/>
      <c r="Q38" s="50">
        <v>1.0</v>
      </c>
      <c r="R38" s="59">
        <v>45800.0</v>
      </c>
      <c r="S38" s="61">
        <v>45984.0</v>
      </c>
      <c r="T38" s="59">
        <v>45803.0</v>
      </c>
      <c r="U38" s="48"/>
      <c r="V38" s="50" t="s">
        <v>1321</v>
      </c>
      <c r="W38" s="50"/>
      <c r="X38" s="50" t="s">
        <v>12</v>
      </c>
      <c r="Y38" s="50" t="s">
        <v>1322</v>
      </c>
      <c r="Z38" s="50">
        <v>3.04031348E9</v>
      </c>
      <c r="AA38" s="50" t="s">
        <v>12</v>
      </c>
      <c r="AB38" s="50" t="s">
        <v>1322</v>
      </c>
      <c r="AC38" s="50" t="s">
        <v>1434</v>
      </c>
      <c r="AD38" s="48"/>
      <c r="AE38" s="48"/>
      <c r="AF38" s="48"/>
      <c r="AG38" s="48"/>
    </row>
    <row r="39">
      <c r="A39" s="47">
        <f>COUNTIF('Histórico'!$B:$B,B39)</f>
        <v>1</v>
      </c>
      <c r="B39" s="47" t="s">
        <v>485</v>
      </c>
      <c r="C39" s="48"/>
      <c r="D39" s="50" t="s">
        <v>1314</v>
      </c>
      <c r="E39" s="50" t="s">
        <v>1315</v>
      </c>
      <c r="F39" s="59">
        <v>45803.0</v>
      </c>
      <c r="G39" s="50" t="s">
        <v>1316</v>
      </c>
      <c r="H39" s="59">
        <v>45803.0</v>
      </c>
      <c r="I39" s="47" t="s">
        <v>61</v>
      </c>
      <c r="J39" s="47" t="s">
        <v>1399</v>
      </c>
      <c r="K39" s="47" t="s">
        <v>1438</v>
      </c>
      <c r="L39" s="60" t="s">
        <v>391</v>
      </c>
      <c r="M39" s="48"/>
      <c r="N39" s="48"/>
      <c r="O39" s="48"/>
      <c r="P39" s="48"/>
      <c r="Q39" s="50">
        <v>1.0</v>
      </c>
      <c r="R39" s="59">
        <v>45800.0</v>
      </c>
      <c r="S39" s="61">
        <v>45990.0</v>
      </c>
      <c r="T39" s="59">
        <v>45803.0</v>
      </c>
      <c r="U39" s="48"/>
      <c r="V39" s="50" t="s">
        <v>1321</v>
      </c>
      <c r="W39" s="47"/>
      <c r="X39" s="50" t="s">
        <v>12</v>
      </c>
      <c r="Y39" s="50" t="s">
        <v>1322</v>
      </c>
      <c r="Z39" s="50">
        <v>3.040311452E9</v>
      </c>
      <c r="AA39" s="50" t="s">
        <v>22</v>
      </c>
      <c r="AB39" s="50" t="s">
        <v>1439</v>
      </c>
      <c r="AC39" s="50" t="s">
        <v>1440</v>
      </c>
      <c r="AD39" s="48"/>
      <c r="AE39" s="48"/>
      <c r="AF39" s="48"/>
      <c r="AG39" s="48"/>
    </row>
    <row r="40">
      <c r="A40" s="47">
        <f>COUNTIF('Histórico'!$B:$B,B40)</f>
        <v>1</v>
      </c>
      <c r="B40" s="47" t="s">
        <v>491</v>
      </c>
      <c r="C40" s="48"/>
      <c r="D40" s="50" t="s">
        <v>1314</v>
      </c>
      <c r="E40" s="50" t="s">
        <v>1315</v>
      </c>
      <c r="F40" s="59">
        <v>45813.0</v>
      </c>
      <c r="G40" s="50" t="s">
        <v>1316</v>
      </c>
      <c r="H40" s="59">
        <v>45813.0</v>
      </c>
      <c r="I40" s="47" t="s">
        <v>1421</v>
      </c>
      <c r="J40" s="47" t="s">
        <v>1318</v>
      </c>
      <c r="K40" s="47" t="s">
        <v>1422</v>
      </c>
      <c r="L40" s="60" t="s">
        <v>1441</v>
      </c>
      <c r="M40" s="48"/>
      <c r="N40" s="48"/>
      <c r="O40" s="48"/>
      <c r="P40" s="48"/>
      <c r="Q40" s="50">
        <v>1.0</v>
      </c>
      <c r="R40" s="59">
        <v>45812.0</v>
      </c>
      <c r="S40" s="59">
        <v>45818.0</v>
      </c>
      <c r="T40" s="59">
        <v>45813.0</v>
      </c>
      <c r="U40" s="48"/>
      <c r="V40" s="50" t="s">
        <v>1321</v>
      </c>
      <c r="W40" s="47"/>
      <c r="X40" s="50" t="s">
        <v>12</v>
      </c>
      <c r="Y40" s="50" t="s">
        <v>1322</v>
      </c>
      <c r="Z40" s="50">
        <v>3.040172638E9</v>
      </c>
      <c r="AA40" s="50" t="s">
        <v>1442</v>
      </c>
      <c r="AB40" s="50" t="s">
        <v>1443</v>
      </c>
      <c r="AC40" s="50" t="s">
        <v>1444</v>
      </c>
      <c r="AD40" s="48"/>
      <c r="AE40" s="48"/>
      <c r="AF40" s="48"/>
      <c r="AG40" s="48"/>
    </row>
    <row r="41">
      <c r="A41" s="47">
        <f>COUNTIF('Histórico'!$B:$B,B41)</f>
        <v>1</v>
      </c>
      <c r="B41" s="47" t="s">
        <v>497</v>
      </c>
      <c r="C41" s="48"/>
      <c r="D41" s="50" t="s">
        <v>1314</v>
      </c>
      <c r="E41" s="50" t="s">
        <v>1315</v>
      </c>
      <c r="F41" s="59">
        <v>45813.0</v>
      </c>
      <c r="G41" s="50" t="s">
        <v>1316</v>
      </c>
      <c r="H41" s="59">
        <v>45813.0</v>
      </c>
      <c r="I41" s="47" t="s">
        <v>1445</v>
      </c>
      <c r="J41" s="47" t="s">
        <v>48</v>
      </c>
      <c r="K41" s="47" t="s">
        <v>1446</v>
      </c>
      <c r="L41" s="60" t="s">
        <v>912</v>
      </c>
      <c r="M41" s="48"/>
      <c r="N41" s="48"/>
      <c r="O41" s="48"/>
      <c r="P41" s="48"/>
      <c r="Q41" s="50">
        <v>1.0</v>
      </c>
      <c r="R41" s="59">
        <v>45812.0</v>
      </c>
      <c r="S41" s="61">
        <v>45971.0</v>
      </c>
      <c r="T41" s="59">
        <v>45813.0</v>
      </c>
      <c r="U41" s="48"/>
      <c r="V41" s="50" t="s">
        <v>1321</v>
      </c>
      <c r="W41" s="48"/>
      <c r="X41" s="50" t="s">
        <v>12</v>
      </c>
      <c r="Y41" s="50" t="s">
        <v>1322</v>
      </c>
      <c r="Z41" s="50">
        <v>3.040313068E9</v>
      </c>
      <c r="AA41" s="50" t="s">
        <v>13</v>
      </c>
      <c r="AB41" s="50" t="s">
        <v>1447</v>
      </c>
      <c r="AC41" s="50" t="s">
        <v>1448</v>
      </c>
      <c r="AD41" s="48"/>
      <c r="AE41" s="48"/>
      <c r="AF41" s="48"/>
      <c r="AG41" s="48"/>
    </row>
    <row r="42">
      <c r="A42" s="47">
        <f>COUNTIF('Histórico'!$B:$B,B42)</f>
        <v>1</v>
      </c>
      <c r="B42" s="47" t="s">
        <v>495</v>
      </c>
      <c r="C42" s="48"/>
      <c r="D42" s="50" t="s">
        <v>1314</v>
      </c>
      <c r="E42" s="50" t="s">
        <v>1315</v>
      </c>
      <c r="F42" s="59">
        <v>45813.0</v>
      </c>
      <c r="G42" s="50" t="s">
        <v>1316</v>
      </c>
      <c r="H42" s="59">
        <v>45813.0</v>
      </c>
      <c r="I42" s="47" t="s">
        <v>109</v>
      </c>
      <c r="J42" s="47" t="s">
        <v>1341</v>
      </c>
      <c r="K42" s="47" t="s">
        <v>110</v>
      </c>
      <c r="L42" s="60" t="s">
        <v>1449</v>
      </c>
      <c r="M42" s="48"/>
      <c r="N42" s="48"/>
      <c r="O42" s="48"/>
      <c r="P42" s="48"/>
      <c r="Q42" s="50">
        <v>1.0</v>
      </c>
      <c r="R42" s="59">
        <v>45812.0</v>
      </c>
      <c r="S42" s="59">
        <v>45818.0</v>
      </c>
      <c r="T42" s="59">
        <v>45813.0</v>
      </c>
      <c r="U42" s="48"/>
      <c r="V42" s="50" t="s">
        <v>1347</v>
      </c>
      <c r="W42" s="50">
        <v>3.13250016763E11</v>
      </c>
      <c r="X42" s="50" t="s">
        <v>12</v>
      </c>
      <c r="Y42" s="50" t="s">
        <v>1322</v>
      </c>
      <c r="Z42" s="50">
        <v>3.040313472E9</v>
      </c>
      <c r="AA42" s="50" t="s">
        <v>12</v>
      </c>
      <c r="AB42" s="50" t="s">
        <v>1322</v>
      </c>
      <c r="AC42" s="50" t="s">
        <v>1369</v>
      </c>
      <c r="AD42" s="48"/>
      <c r="AE42" s="48"/>
      <c r="AF42" s="48"/>
      <c r="AG42" s="48"/>
    </row>
    <row r="43">
      <c r="A43" s="47">
        <f>COUNTIF('Histórico'!$B:$B,B43)</f>
        <v>1</v>
      </c>
      <c r="B43" s="47" t="s">
        <v>501</v>
      </c>
      <c r="C43" s="48"/>
      <c r="D43" s="50" t="s">
        <v>1314</v>
      </c>
      <c r="E43" s="50" t="s">
        <v>1315</v>
      </c>
      <c r="F43" s="59">
        <v>45813.0</v>
      </c>
      <c r="G43" s="50" t="s">
        <v>1316</v>
      </c>
      <c r="H43" s="59">
        <v>45813.0</v>
      </c>
      <c r="I43" s="47" t="s">
        <v>109</v>
      </c>
      <c r="J43" s="47" t="s">
        <v>1341</v>
      </c>
      <c r="K43" s="47" t="s">
        <v>110</v>
      </c>
      <c r="L43" s="60" t="s">
        <v>722</v>
      </c>
      <c r="M43" s="48"/>
      <c r="N43" s="48"/>
      <c r="O43" s="48"/>
      <c r="P43" s="48"/>
      <c r="Q43" s="50">
        <v>1.0</v>
      </c>
      <c r="R43" s="59">
        <v>45812.0</v>
      </c>
      <c r="S43" s="59">
        <v>45818.0</v>
      </c>
      <c r="T43" s="59">
        <v>45813.0</v>
      </c>
      <c r="U43" s="48"/>
      <c r="V43" s="50" t="s">
        <v>1321</v>
      </c>
      <c r="W43" s="48"/>
      <c r="X43" s="50" t="s">
        <v>12</v>
      </c>
      <c r="Y43" s="50" t="s">
        <v>1322</v>
      </c>
      <c r="Z43" s="50">
        <v>3.040309276E9</v>
      </c>
      <c r="AA43" s="50" t="s">
        <v>16</v>
      </c>
      <c r="AB43" s="50" t="s">
        <v>1331</v>
      </c>
      <c r="AC43" s="50" t="s">
        <v>1450</v>
      </c>
      <c r="AD43" s="48"/>
      <c r="AE43" s="48"/>
      <c r="AF43" s="48"/>
      <c r="AG43" s="48"/>
    </row>
    <row r="44">
      <c r="A44" s="47">
        <f>COUNTIF('Histórico'!$B:$B,B44)</f>
        <v>1</v>
      </c>
      <c r="B44" s="47" t="s">
        <v>499</v>
      </c>
      <c r="C44" s="48"/>
      <c r="D44" s="50" t="s">
        <v>1314</v>
      </c>
      <c r="E44" s="50" t="s">
        <v>1315</v>
      </c>
      <c r="F44" s="59">
        <v>45813.0</v>
      </c>
      <c r="G44" s="50" t="s">
        <v>1316</v>
      </c>
      <c r="H44" s="59">
        <v>45813.0</v>
      </c>
      <c r="I44" s="47" t="s">
        <v>109</v>
      </c>
      <c r="J44" s="47" t="s">
        <v>1341</v>
      </c>
      <c r="K44" s="47" t="s">
        <v>110</v>
      </c>
      <c r="L44" s="60" t="s">
        <v>1451</v>
      </c>
      <c r="M44" s="48"/>
      <c r="N44" s="48"/>
      <c r="O44" s="48"/>
      <c r="P44" s="48"/>
      <c r="Q44" s="50">
        <v>1.0</v>
      </c>
      <c r="R44" s="59">
        <v>45812.0</v>
      </c>
      <c r="S44" s="59">
        <v>45818.0</v>
      </c>
      <c r="T44" s="59">
        <v>45813.0</v>
      </c>
      <c r="U44" s="48"/>
      <c r="V44" s="50" t="s">
        <v>1347</v>
      </c>
      <c r="W44" s="50">
        <v>3.0425007378E11</v>
      </c>
      <c r="X44" s="50" t="s">
        <v>12</v>
      </c>
      <c r="Y44" s="50" t="s">
        <v>1322</v>
      </c>
      <c r="Z44" s="50">
        <v>3.040309286E9</v>
      </c>
      <c r="AA44" s="50" t="s">
        <v>16</v>
      </c>
      <c r="AB44" s="50" t="s">
        <v>1331</v>
      </c>
      <c r="AC44" s="50" t="s">
        <v>1452</v>
      </c>
      <c r="AD44" s="48"/>
      <c r="AE44" s="48"/>
      <c r="AF44" s="48"/>
      <c r="AG44" s="48"/>
    </row>
    <row r="45">
      <c r="A45" s="47">
        <f>COUNTIF('Histórico'!$B:$B,B45)</f>
        <v>1</v>
      </c>
      <c r="B45" s="47" t="s">
        <v>507</v>
      </c>
      <c r="C45" s="48"/>
      <c r="D45" s="50" t="s">
        <v>1314</v>
      </c>
      <c r="E45" s="50" t="s">
        <v>1315</v>
      </c>
      <c r="F45" s="59">
        <v>45831.0</v>
      </c>
      <c r="G45" s="50" t="s">
        <v>1316</v>
      </c>
      <c r="H45" s="59">
        <v>45831.0</v>
      </c>
      <c r="I45" s="47" t="s">
        <v>1453</v>
      </c>
      <c r="J45" s="47" t="s">
        <v>1454</v>
      </c>
      <c r="K45" s="47" t="s">
        <v>1455</v>
      </c>
      <c r="L45" s="60" t="s">
        <v>1456</v>
      </c>
      <c r="M45" s="48"/>
      <c r="N45" s="48"/>
      <c r="O45" s="48"/>
      <c r="P45" s="48"/>
      <c r="Q45" s="50">
        <v>1.0</v>
      </c>
      <c r="R45" s="59">
        <v>45825.0</v>
      </c>
      <c r="S45" s="61">
        <v>45984.0</v>
      </c>
      <c r="T45" s="59">
        <v>45831.0</v>
      </c>
      <c r="U45" s="48"/>
      <c r="V45" s="50" t="s">
        <v>1321</v>
      </c>
      <c r="W45" s="48"/>
      <c r="X45" s="50" t="s">
        <v>12</v>
      </c>
      <c r="Y45" s="50" t="s">
        <v>1322</v>
      </c>
      <c r="Z45" s="50">
        <v>3.040313462E9</v>
      </c>
      <c r="AA45" s="50" t="s">
        <v>12</v>
      </c>
      <c r="AB45" s="50" t="s">
        <v>1322</v>
      </c>
      <c r="AC45" s="50" t="s">
        <v>1369</v>
      </c>
      <c r="AD45" s="48"/>
      <c r="AE45" s="48"/>
      <c r="AF45" s="48"/>
      <c r="AG45" s="48"/>
    </row>
    <row r="46">
      <c r="A46" s="47">
        <f>COUNTIF('Histórico'!$B:$B,B46)</f>
        <v>1</v>
      </c>
      <c r="B46" s="47" t="s">
        <v>519</v>
      </c>
      <c r="C46" s="48"/>
      <c r="D46" s="50" t="s">
        <v>1314</v>
      </c>
      <c r="E46" s="50" t="s">
        <v>1315</v>
      </c>
      <c r="F46" s="59">
        <v>45831.0</v>
      </c>
      <c r="G46" s="50" t="s">
        <v>1316</v>
      </c>
      <c r="H46" s="59">
        <v>45831.0</v>
      </c>
      <c r="I46" s="47" t="s">
        <v>109</v>
      </c>
      <c r="J46" s="47" t="s">
        <v>1341</v>
      </c>
      <c r="K46" s="47" t="s">
        <v>110</v>
      </c>
      <c r="L46" s="60" t="s">
        <v>1457</v>
      </c>
      <c r="M46" s="48"/>
      <c r="N46" s="48"/>
      <c r="O46" s="48"/>
      <c r="P46" s="48"/>
      <c r="Q46" s="50">
        <v>1.0</v>
      </c>
      <c r="R46" s="59">
        <v>45825.0</v>
      </c>
      <c r="S46" s="59">
        <v>45831.0</v>
      </c>
      <c r="T46" s="59">
        <v>45831.0</v>
      </c>
      <c r="U46" s="48"/>
      <c r="V46" s="50" t="s">
        <v>1347</v>
      </c>
      <c r="W46" s="50">
        <v>3.13250016762E11</v>
      </c>
      <c r="X46" s="50" t="s">
        <v>12</v>
      </c>
      <c r="Y46" s="50" t="s">
        <v>1322</v>
      </c>
      <c r="Z46" s="50">
        <v>3.040314952E9</v>
      </c>
      <c r="AA46" s="50" t="s">
        <v>17</v>
      </c>
      <c r="AB46" s="50" t="s">
        <v>1458</v>
      </c>
      <c r="AC46" s="50" t="s">
        <v>1459</v>
      </c>
      <c r="AD46" s="48"/>
      <c r="AE46" s="48"/>
      <c r="AF46" s="48"/>
      <c r="AG46" s="48"/>
    </row>
    <row r="47">
      <c r="A47" s="47">
        <f>COUNTIF('Histórico'!$B:$B,B47)</f>
        <v>1</v>
      </c>
      <c r="B47" s="47" t="s">
        <v>515</v>
      </c>
      <c r="C47" s="48"/>
      <c r="D47" s="50" t="s">
        <v>1314</v>
      </c>
      <c r="E47" s="50" t="s">
        <v>1315</v>
      </c>
      <c r="F47" s="59">
        <v>45831.0</v>
      </c>
      <c r="G47" s="50" t="s">
        <v>1316</v>
      </c>
      <c r="H47" s="59">
        <v>45831.0</v>
      </c>
      <c r="I47" s="47" t="s">
        <v>1460</v>
      </c>
      <c r="J47" s="47" t="s">
        <v>1345</v>
      </c>
      <c r="K47" s="47" t="s">
        <v>1461</v>
      </c>
      <c r="L47" s="60" t="s">
        <v>1462</v>
      </c>
      <c r="M47" s="48"/>
      <c r="N47" s="48"/>
      <c r="O47" s="48"/>
      <c r="P47" s="48"/>
      <c r="Q47" s="50">
        <v>1.0</v>
      </c>
      <c r="R47" s="59">
        <v>45825.0</v>
      </c>
      <c r="S47" s="59">
        <v>45831.0</v>
      </c>
      <c r="T47" s="59">
        <v>45831.0</v>
      </c>
      <c r="U47" s="48"/>
      <c r="V47" s="50" t="s">
        <v>1347</v>
      </c>
      <c r="W47" s="50">
        <v>3.04250073784E11</v>
      </c>
      <c r="X47" s="50" t="s">
        <v>12</v>
      </c>
      <c r="Y47" s="50" t="s">
        <v>1322</v>
      </c>
      <c r="Z47" s="50">
        <v>3.040265315E9</v>
      </c>
      <c r="AA47" s="50" t="s">
        <v>1463</v>
      </c>
      <c r="AB47" s="50" t="s">
        <v>1464</v>
      </c>
      <c r="AC47" s="50" t="s">
        <v>1465</v>
      </c>
      <c r="AD47" s="48"/>
      <c r="AE47" s="48"/>
      <c r="AF47" s="48"/>
      <c r="AG47" s="48"/>
    </row>
    <row r="48">
      <c r="A48" s="47">
        <f>COUNTIF('Histórico'!$B:$B,B48)</f>
        <v>1</v>
      </c>
      <c r="B48" s="47" t="s">
        <v>521</v>
      </c>
      <c r="C48" s="48"/>
      <c r="D48" s="50" t="s">
        <v>1314</v>
      </c>
      <c r="E48" s="50" t="s">
        <v>1315</v>
      </c>
      <c r="F48" s="59">
        <v>45840.0</v>
      </c>
      <c r="G48" s="50" t="s">
        <v>1316</v>
      </c>
      <c r="H48" s="59">
        <v>45840.0</v>
      </c>
      <c r="I48" s="47" t="s">
        <v>1466</v>
      </c>
      <c r="J48" s="47" t="s">
        <v>1467</v>
      </c>
      <c r="K48" s="47" t="s">
        <v>1468</v>
      </c>
      <c r="L48" s="60" t="s">
        <v>1469</v>
      </c>
      <c r="M48" s="48"/>
      <c r="N48" s="48"/>
      <c r="O48" s="48"/>
      <c r="P48" s="48"/>
      <c r="Q48" s="50">
        <v>1.0</v>
      </c>
      <c r="R48" s="59">
        <v>45838.0</v>
      </c>
      <c r="S48" s="59">
        <v>45965.0</v>
      </c>
      <c r="T48" s="59">
        <v>45840.0</v>
      </c>
      <c r="U48" s="48"/>
      <c r="V48" s="50" t="s">
        <v>1347</v>
      </c>
      <c r="W48" s="50">
        <v>3.04250073783E11</v>
      </c>
      <c r="X48" s="50" t="s">
        <v>12</v>
      </c>
      <c r="Y48" s="50" t="s">
        <v>1322</v>
      </c>
      <c r="Z48" s="50">
        <v>3.040308014E9</v>
      </c>
      <c r="AA48" s="50" t="s">
        <v>14</v>
      </c>
      <c r="AB48" s="50" t="s">
        <v>1470</v>
      </c>
      <c r="AC48" s="50" t="s">
        <v>1471</v>
      </c>
      <c r="AD48" s="48"/>
      <c r="AE48" s="48"/>
      <c r="AF48" s="48"/>
      <c r="AG48" s="48"/>
    </row>
    <row r="49">
      <c r="A49" s="47">
        <f>COUNTIF('Histórico'!$B:$B,B49)</f>
        <v>1</v>
      </c>
      <c r="B49" s="47" t="s">
        <v>523</v>
      </c>
      <c r="C49" s="48"/>
      <c r="D49" s="50" t="s">
        <v>1314</v>
      </c>
      <c r="E49" s="50" t="s">
        <v>1315</v>
      </c>
      <c r="F49" s="59">
        <v>45840.0</v>
      </c>
      <c r="G49" s="50" t="s">
        <v>1316</v>
      </c>
      <c r="H49" s="59">
        <v>45840.0</v>
      </c>
      <c r="I49" s="47" t="s">
        <v>115</v>
      </c>
      <c r="J49" s="47" t="s">
        <v>1318</v>
      </c>
      <c r="K49" s="47" t="s">
        <v>1390</v>
      </c>
      <c r="L49" s="60" t="s">
        <v>1472</v>
      </c>
      <c r="M49" s="48"/>
      <c r="N49" s="48"/>
      <c r="O49" s="48"/>
      <c r="P49" s="48"/>
      <c r="Q49" s="50">
        <v>1.0</v>
      </c>
      <c r="R49" s="59">
        <v>45838.0</v>
      </c>
      <c r="S49" s="59">
        <v>45842.0</v>
      </c>
      <c r="T49" s="59">
        <v>45840.0</v>
      </c>
      <c r="U49" s="48"/>
      <c r="V49" s="50" t="s">
        <v>1321</v>
      </c>
      <c r="W49" s="50"/>
      <c r="X49" s="50" t="s">
        <v>12</v>
      </c>
      <c r="Y49" s="50" t="s">
        <v>1322</v>
      </c>
      <c r="Z49" s="50">
        <v>3.040233408E9</v>
      </c>
      <c r="AA49" s="50" t="s">
        <v>1376</v>
      </c>
      <c r="AB49" s="50" t="s">
        <v>1380</v>
      </c>
      <c r="AC49" s="50" t="s">
        <v>1473</v>
      </c>
      <c r="AD49" s="48"/>
      <c r="AE49" s="48"/>
      <c r="AF49" s="48"/>
      <c r="AG49" s="48"/>
    </row>
    <row r="50">
      <c r="A50" s="47">
        <f>COUNTIF('Histórico'!$B:$B,B50)</f>
        <v>1</v>
      </c>
      <c r="B50" s="47" t="s">
        <v>545</v>
      </c>
      <c r="C50" s="48"/>
      <c r="D50" s="50" t="s">
        <v>1314</v>
      </c>
      <c r="E50" s="50" t="s">
        <v>1315</v>
      </c>
      <c r="F50" s="59">
        <v>45840.0</v>
      </c>
      <c r="G50" s="50" t="s">
        <v>1316</v>
      </c>
      <c r="H50" s="59">
        <v>45840.0</v>
      </c>
      <c r="I50" s="47" t="s">
        <v>69</v>
      </c>
      <c r="J50" s="47" t="s">
        <v>48</v>
      </c>
      <c r="K50" s="47" t="s">
        <v>1474</v>
      </c>
      <c r="L50" s="60" t="s">
        <v>1475</v>
      </c>
      <c r="M50" s="48"/>
      <c r="N50" s="48"/>
      <c r="O50" s="48"/>
      <c r="P50" s="48"/>
      <c r="Q50" s="50">
        <v>1.0</v>
      </c>
      <c r="R50" s="59">
        <v>45838.0</v>
      </c>
      <c r="S50" s="59">
        <v>45965.0</v>
      </c>
      <c r="T50" s="59">
        <v>45840.0</v>
      </c>
      <c r="U50" s="48"/>
      <c r="V50" s="50" t="s">
        <v>1347</v>
      </c>
      <c r="W50" s="50">
        <v>3.04250073773E11</v>
      </c>
      <c r="X50" s="50" t="s">
        <v>12</v>
      </c>
      <c r="Y50" s="50" t="s">
        <v>1322</v>
      </c>
      <c r="Z50" s="50">
        <v>3.040220403E9</v>
      </c>
      <c r="AA50" s="50" t="s">
        <v>12</v>
      </c>
      <c r="AB50" s="50" t="s">
        <v>1476</v>
      </c>
      <c r="AC50" s="50" t="s">
        <v>1393</v>
      </c>
      <c r="AD50" s="48"/>
      <c r="AE50" s="48"/>
      <c r="AF50" s="48"/>
      <c r="AG50" s="48"/>
    </row>
    <row r="51">
      <c r="A51" s="47">
        <f>COUNTIF('Histórico'!$B:$B,B51)</f>
        <v>1</v>
      </c>
      <c r="B51" s="47" t="s">
        <v>541</v>
      </c>
      <c r="C51" s="48"/>
      <c r="D51" s="50" t="s">
        <v>1314</v>
      </c>
      <c r="E51" s="50" t="s">
        <v>1315</v>
      </c>
      <c r="F51" s="59">
        <v>45840.0</v>
      </c>
      <c r="G51" s="50" t="s">
        <v>1316</v>
      </c>
      <c r="H51" s="59">
        <v>45840.0</v>
      </c>
      <c r="I51" s="47" t="s">
        <v>1477</v>
      </c>
      <c r="J51" s="47" t="s">
        <v>48</v>
      </c>
      <c r="K51" s="47" t="s">
        <v>1478</v>
      </c>
      <c r="L51" s="60" t="s">
        <v>1479</v>
      </c>
      <c r="M51" s="48"/>
      <c r="N51" s="48"/>
      <c r="O51" s="48"/>
      <c r="P51" s="48"/>
      <c r="Q51" s="50">
        <v>1.0</v>
      </c>
      <c r="R51" s="59">
        <v>45838.0</v>
      </c>
      <c r="S51" s="59">
        <v>45965.0</v>
      </c>
      <c r="T51" s="59">
        <v>45840.0</v>
      </c>
      <c r="U51" s="48"/>
      <c r="V51" s="50" t="s">
        <v>1321</v>
      </c>
      <c r="W51" s="47"/>
      <c r="X51" s="50" t="s">
        <v>12</v>
      </c>
      <c r="Y51" s="50" t="s">
        <v>1322</v>
      </c>
      <c r="Z51" s="50">
        <v>3.040145273E9</v>
      </c>
      <c r="AA51" s="50" t="s">
        <v>12</v>
      </c>
      <c r="AB51" s="50" t="s">
        <v>1322</v>
      </c>
      <c r="AC51" s="50" t="s">
        <v>1480</v>
      </c>
      <c r="AD51" s="48"/>
      <c r="AE51" s="48"/>
      <c r="AF51" s="48"/>
      <c r="AG51" s="48"/>
    </row>
    <row r="52">
      <c r="A52" s="47">
        <f>COUNTIF('Histórico'!$B:$B,B52)</f>
        <v>1</v>
      </c>
      <c r="B52" s="47" t="s">
        <v>539</v>
      </c>
      <c r="C52" s="48"/>
      <c r="D52" s="50" t="s">
        <v>1314</v>
      </c>
      <c r="E52" s="50" t="s">
        <v>1315</v>
      </c>
      <c r="F52" s="59">
        <v>45840.0</v>
      </c>
      <c r="G52" s="50" t="s">
        <v>1316</v>
      </c>
      <c r="H52" s="59">
        <v>45840.0</v>
      </c>
      <c r="I52" s="47" t="s">
        <v>1477</v>
      </c>
      <c r="J52" s="47" t="s">
        <v>48</v>
      </c>
      <c r="K52" s="47" t="s">
        <v>1478</v>
      </c>
      <c r="L52" s="60" t="s">
        <v>1481</v>
      </c>
      <c r="M52" s="48"/>
      <c r="N52" s="48"/>
      <c r="O52" s="48"/>
      <c r="P52" s="48"/>
      <c r="Q52" s="50">
        <v>1.0</v>
      </c>
      <c r="R52" s="59">
        <v>45838.0</v>
      </c>
      <c r="S52" s="59">
        <v>45965.0</v>
      </c>
      <c r="T52" s="59">
        <v>45840.0</v>
      </c>
      <c r="U52" s="48"/>
      <c r="V52" s="50" t="s">
        <v>1321</v>
      </c>
      <c r="W52" s="48"/>
      <c r="X52" s="50" t="s">
        <v>12</v>
      </c>
      <c r="Y52" s="50" t="s">
        <v>1322</v>
      </c>
      <c r="Z52" s="50">
        <v>3.040279379E9</v>
      </c>
      <c r="AA52" s="50" t="s">
        <v>13</v>
      </c>
      <c r="AB52" s="50" t="s">
        <v>1377</v>
      </c>
      <c r="AC52" s="50" t="s">
        <v>1482</v>
      </c>
      <c r="AD52" s="48"/>
      <c r="AE52" s="48"/>
      <c r="AF52" s="48"/>
      <c r="AG52" s="48"/>
    </row>
    <row r="53">
      <c r="A53" s="47">
        <f>COUNTIF('Histórico'!$B:$B,B53)</f>
        <v>1</v>
      </c>
      <c r="B53" s="47" t="s">
        <v>543</v>
      </c>
      <c r="C53" s="48"/>
      <c r="D53" s="50" t="s">
        <v>1314</v>
      </c>
      <c r="E53" s="50" t="s">
        <v>1315</v>
      </c>
      <c r="F53" s="59">
        <v>45840.0</v>
      </c>
      <c r="G53" s="50" t="s">
        <v>1316</v>
      </c>
      <c r="H53" s="59">
        <v>45840.0</v>
      </c>
      <c r="I53" s="47" t="s">
        <v>69</v>
      </c>
      <c r="J53" s="47" t="s">
        <v>48</v>
      </c>
      <c r="K53" s="47" t="s">
        <v>1474</v>
      </c>
      <c r="L53" s="60" t="s">
        <v>1483</v>
      </c>
      <c r="M53" s="48"/>
      <c r="N53" s="48"/>
      <c r="O53" s="48"/>
      <c r="P53" s="48"/>
      <c r="Q53" s="50">
        <v>1.0</v>
      </c>
      <c r="R53" s="59">
        <v>45838.0</v>
      </c>
      <c r="S53" s="59">
        <v>45965.0</v>
      </c>
      <c r="T53" s="59">
        <v>45840.0</v>
      </c>
      <c r="U53" s="48"/>
      <c r="V53" s="50" t="s">
        <v>1347</v>
      </c>
      <c r="W53" s="50">
        <v>3.132600176E11</v>
      </c>
      <c r="X53" s="50" t="s">
        <v>12</v>
      </c>
      <c r="Y53" s="50" t="s">
        <v>1322</v>
      </c>
      <c r="Z53" s="50">
        <v>3.040220402E9</v>
      </c>
      <c r="AA53" s="50" t="s">
        <v>12</v>
      </c>
      <c r="AB53" s="50" t="s">
        <v>1476</v>
      </c>
      <c r="AC53" s="50" t="s">
        <v>1393</v>
      </c>
      <c r="AD53" s="48"/>
      <c r="AE53" s="48"/>
      <c r="AF53" s="48"/>
      <c r="AG53" s="48"/>
    </row>
    <row r="54">
      <c r="A54" s="47">
        <f>COUNTIF('Histórico'!$B:$B,B54)</f>
        <v>1</v>
      </c>
      <c r="B54" s="47" t="s">
        <v>557</v>
      </c>
      <c r="C54" s="48"/>
      <c r="D54" s="50" t="s">
        <v>1314</v>
      </c>
      <c r="E54" s="50" t="s">
        <v>1315</v>
      </c>
      <c r="F54" s="59">
        <v>45840.0</v>
      </c>
      <c r="G54" s="50" t="s">
        <v>1316</v>
      </c>
      <c r="H54" s="59">
        <v>45840.0</v>
      </c>
      <c r="I54" s="47" t="s">
        <v>1324</v>
      </c>
      <c r="J54" s="47" t="s">
        <v>1484</v>
      </c>
      <c r="K54" s="47" t="s">
        <v>1326</v>
      </c>
      <c r="L54" s="60" t="s">
        <v>1485</v>
      </c>
      <c r="M54" s="48"/>
      <c r="N54" s="48"/>
      <c r="O54" s="48"/>
      <c r="P54" s="48"/>
      <c r="Q54" s="50">
        <v>1.0</v>
      </c>
      <c r="R54" s="59">
        <v>45838.0</v>
      </c>
      <c r="S54" s="59">
        <v>45965.0</v>
      </c>
      <c r="T54" s="59">
        <v>45840.0</v>
      </c>
      <c r="U54" s="48"/>
      <c r="V54" s="50" t="s">
        <v>1321</v>
      </c>
      <c r="W54" s="50"/>
      <c r="X54" s="50" t="s">
        <v>12</v>
      </c>
      <c r="Y54" s="50" t="s">
        <v>1322</v>
      </c>
      <c r="Z54" s="50">
        <v>3.040287605E9</v>
      </c>
      <c r="AA54" s="50" t="s">
        <v>16</v>
      </c>
      <c r="AB54" s="50" t="s">
        <v>1331</v>
      </c>
      <c r="AC54" s="50" t="s">
        <v>1486</v>
      </c>
      <c r="AD54" s="48"/>
      <c r="AE54" s="48"/>
      <c r="AF54" s="48"/>
      <c r="AG54" s="48"/>
    </row>
    <row r="55">
      <c r="A55" s="47">
        <f>COUNTIF('Histórico'!$B:$B,B55)</f>
        <v>1</v>
      </c>
      <c r="B55" s="47" t="s">
        <v>559</v>
      </c>
      <c r="C55" s="48"/>
      <c r="D55" s="50" t="s">
        <v>1314</v>
      </c>
      <c r="E55" s="50" t="s">
        <v>1315</v>
      </c>
      <c r="F55" s="59">
        <v>45840.0</v>
      </c>
      <c r="G55" s="50" t="s">
        <v>1316</v>
      </c>
      <c r="H55" s="59">
        <v>45840.0</v>
      </c>
      <c r="I55" s="47" t="s">
        <v>1324</v>
      </c>
      <c r="J55" s="47" t="s">
        <v>1325</v>
      </c>
      <c r="K55" s="47" t="s">
        <v>1326</v>
      </c>
      <c r="L55" s="60" t="s">
        <v>1487</v>
      </c>
      <c r="M55" s="48"/>
      <c r="N55" s="48"/>
      <c r="O55" s="48"/>
      <c r="P55" s="48"/>
      <c r="Q55" s="50">
        <v>1.0</v>
      </c>
      <c r="R55" s="59">
        <v>45838.0</v>
      </c>
      <c r="S55" s="59">
        <v>45842.0</v>
      </c>
      <c r="T55" s="59">
        <v>45840.0</v>
      </c>
      <c r="U55" s="48"/>
      <c r="V55" s="50" t="s">
        <v>1321</v>
      </c>
      <c r="W55" s="50"/>
      <c r="X55" s="50" t="s">
        <v>12</v>
      </c>
      <c r="Y55" s="50" t="s">
        <v>1322</v>
      </c>
      <c r="Z55" s="50">
        <v>3.040302697E9</v>
      </c>
      <c r="AA55" s="50" t="s">
        <v>16</v>
      </c>
      <c r="AB55" s="50" t="s">
        <v>1331</v>
      </c>
      <c r="AC55" s="50" t="s">
        <v>1486</v>
      </c>
      <c r="AD55" s="48"/>
      <c r="AE55" s="48"/>
      <c r="AF55" s="48"/>
      <c r="AG55" s="48"/>
    </row>
    <row r="56">
      <c r="A56" s="47">
        <f>COUNTIF('Histórico'!$B:$B,B56)</f>
        <v>1</v>
      </c>
      <c r="B56" s="47" t="s">
        <v>561</v>
      </c>
      <c r="C56" s="48"/>
      <c r="D56" s="50" t="s">
        <v>1314</v>
      </c>
      <c r="E56" s="50" t="s">
        <v>1315</v>
      </c>
      <c r="F56" s="59">
        <v>45840.0</v>
      </c>
      <c r="G56" s="50" t="s">
        <v>1316</v>
      </c>
      <c r="H56" s="59">
        <v>45840.0</v>
      </c>
      <c r="I56" s="47" t="s">
        <v>1324</v>
      </c>
      <c r="J56" s="47" t="s">
        <v>1488</v>
      </c>
      <c r="K56" s="47" t="s">
        <v>1489</v>
      </c>
      <c r="L56" s="60" t="s">
        <v>1490</v>
      </c>
      <c r="M56" s="48"/>
      <c r="N56" s="48"/>
      <c r="O56" s="48"/>
      <c r="P56" s="48"/>
      <c r="Q56" s="50">
        <v>1.0</v>
      </c>
      <c r="R56" s="59">
        <v>45838.0</v>
      </c>
      <c r="S56" s="59">
        <v>45965.0</v>
      </c>
      <c r="T56" s="59">
        <v>45840.0</v>
      </c>
      <c r="U56" s="48"/>
      <c r="V56" s="50" t="s">
        <v>1321</v>
      </c>
      <c r="W56" s="50"/>
      <c r="X56" s="50" t="s">
        <v>12</v>
      </c>
      <c r="Y56" s="50" t="s">
        <v>1322</v>
      </c>
      <c r="Z56" s="50">
        <v>3.040292325E9</v>
      </c>
      <c r="AA56" s="50" t="s">
        <v>1491</v>
      </c>
      <c r="AB56" s="50" t="s">
        <v>1492</v>
      </c>
      <c r="AC56" s="50" t="s">
        <v>1493</v>
      </c>
      <c r="AD56" s="48"/>
      <c r="AE56" s="48"/>
      <c r="AF56" s="48"/>
      <c r="AG56" s="48"/>
    </row>
    <row r="57">
      <c r="A57" s="47">
        <f>COUNTIF('Histórico'!$B:$B,B57)</f>
        <v>1</v>
      </c>
      <c r="B57" s="47" t="s">
        <v>565</v>
      </c>
      <c r="C57" s="48"/>
      <c r="D57" s="50" t="s">
        <v>1314</v>
      </c>
      <c r="E57" s="50" t="s">
        <v>1315</v>
      </c>
      <c r="F57" s="59">
        <v>45840.0</v>
      </c>
      <c r="G57" s="50" t="s">
        <v>1316</v>
      </c>
      <c r="H57" s="59">
        <v>45840.0</v>
      </c>
      <c r="I57" s="47" t="s">
        <v>1324</v>
      </c>
      <c r="J57" s="47" t="s">
        <v>1325</v>
      </c>
      <c r="K57" s="47" t="s">
        <v>1326</v>
      </c>
      <c r="L57" s="60" t="s">
        <v>1494</v>
      </c>
      <c r="M57" s="48"/>
      <c r="N57" s="48"/>
      <c r="O57" s="48"/>
      <c r="P57" s="48"/>
      <c r="Q57" s="50">
        <v>1.0</v>
      </c>
      <c r="R57" s="59">
        <v>45838.0</v>
      </c>
      <c r="S57" s="59">
        <v>45842.0</v>
      </c>
      <c r="T57" s="59">
        <v>45840.0</v>
      </c>
      <c r="U57" s="48"/>
      <c r="V57" s="50" t="s">
        <v>1321</v>
      </c>
      <c r="W57" s="47"/>
      <c r="X57" s="50" t="s">
        <v>12</v>
      </c>
      <c r="Y57" s="50" t="s">
        <v>1322</v>
      </c>
      <c r="Z57" s="50">
        <v>3.040287606E9</v>
      </c>
      <c r="AA57" s="50" t="s">
        <v>16</v>
      </c>
      <c r="AB57" s="50" t="s">
        <v>1331</v>
      </c>
      <c r="AC57" s="50" t="s">
        <v>1486</v>
      </c>
      <c r="AD57" s="48"/>
      <c r="AE57" s="48"/>
      <c r="AF57" s="48"/>
      <c r="AG57" s="48"/>
    </row>
    <row r="58">
      <c r="A58" s="47">
        <f>COUNTIF('Histórico'!$B:$B,B58)</f>
        <v>1</v>
      </c>
      <c r="B58" s="47" t="s">
        <v>567</v>
      </c>
      <c r="C58" s="48"/>
      <c r="D58" s="50" t="s">
        <v>1314</v>
      </c>
      <c r="E58" s="50" t="s">
        <v>1315</v>
      </c>
      <c r="F58" s="59">
        <v>45840.0</v>
      </c>
      <c r="G58" s="50" t="s">
        <v>1316</v>
      </c>
      <c r="H58" s="59">
        <v>45840.0</v>
      </c>
      <c r="I58" s="47" t="s">
        <v>1324</v>
      </c>
      <c r="J58" s="47" t="s">
        <v>1325</v>
      </c>
      <c r="K58" s="47" t="s">
        <v>1326</v>
      </c>
      <c r="L58" s="60" t="s">
        <v>1495</v>
      </c>
      <c r="M58" s="48"/>
      <c r="N58" s="48"/>
      <c r="O58" s="48"/>
      <c r="P58" s="48"/>
      <c r="Q58" s="50">
        <v>1.0</v>
      </c>
      <c r="R58" s="59">
        <v>45838.0</v>
      </c>
      <c r="S58" s="59">
        <v>45842.0</v>
      </c>
      <c r="T58" s="59">
        <v>45840.0</v>
      </c>
      <c r="U58" s="48"/>
      <c r="V58" s="50" t="s">
        <v>1321</v>
      </c>
      <c r="W58" s="50"/>
      <c r="X58" s="50" t="s">
        <v>12</v>
      </c>
      <c r="Y58" s="50" t="s">
        <v>1322</v>
      </c>
      <c r="Z58" s="50">
        <v>3.040285494E9</v>
      </c>
      <c r="AA58" s="50" t="s">
        <v>1491</v>
      </c>
      <c r="AB58" s="50" t="s">
        <v>1492</v>
      </c>
      <c r="AC58" s="50" t="s">
        <v>1493</v>
      </c>
      <c r="AD58" s="48"/>
      <c r="AE58" s="48"/>
      <c r="AF58" s="48"/>
      <c r="AG58" s="48"/>
    </row>
    <row r="59">
      <c r="A59" s="47">
        <f>COUNTIF('Histórico'!$B:$B,B59)</f>
        <v>1</v>
      </c>
      <c r="B59" s="47" t="s">
        <v>563</v>
      </c>
      <c r="C59" s="48"/>
      <c r="D59" s="50" t="s">
        <v>1314</v>
      </c>
      <c r="E59" s="50" t="s">
        <v>1315</v>
      </c>
      <c r="F59" s="59">
        <v>45840.0</v>
      </c>
      <c r="G59" s="50" t="s">
        <v>1316</v>
      </c>
      <c r="H59" s="59">
        <v>45840.0</v>
      </c>
      <c r="I59" s="47" t="s">
        <v>1324</v>
      </c>
      <c r="J59" s="47" t="s">
        <v>1488</v>
      </c>
      <c r="K59" s="47" t="s">
        <v>1489</v>
      </c>
      <c r="L59" s="60" t="s">
        <v>1496</v>
      </c>
      <c r="M59" s="48"/>
      <c r="N59" s="48"/>
      <c r="O59" s="48"/>
      <c r="P59" s="48"/>
      <c r="Q59" s="50">
        <v>1.0</v>
      </c>
      <c r="R59" s="59">
        <v>45838.0</v>
      </c>
      <c r="S59" s="59">
        <v>45965.0</v>
      </c>
      <c r="T59" s="59">
        <v>45840.0</v>
      </c>
      <c r="U59" s="48"/>
      <c r="V59" s="50" t="s">
        <v>1321</v>
      </c>
      <c r="W59" s="47"/>
      <c r="X59" s="50" t="s">
        <v>12</v>
      </c>
      <c r="Y59" s="50" t="s">
        <v>1322</v>
      </c>
      <c r="Z59" s="50">
        <v>3.040288467E9</v>
      </c>
      <c r="AA59" s="50" t="s">
        <v>16</v>
      </c>
      <c r="AB59" s="50" t="s">
        <v>1331</v>
      </c>
      <c r="AC59" s="50" t="s">
        <v>1419</v>
      </c>
      <c r="AD59" s="48"/>
      <c r="AE59" s="48"/>
      <c r="AF59" s="48"/>
      <c r="AG59" s="48"/>
    </row>
    <row r="60">
      <c r="A60" s="47">
        <f>COUNTIF('Histórico'!$B:$B,B60)</f>
        <v>1</v>
      </c>
      <c r="B60" s="47" t="s">
        <v>569</v>
      </c>
      <c r="C60" s="48"/>
      <c r="D60" s="50" t="s">
        <v>1314</v>
      </c>
      <c r="E60" s="50" t="s">
        <v>1315</v>
      </c>
      <c r="F60" s="59">
        <v>45849.0</v>
      </c>
      <c r="G60" s="50" t="s">
        <v>1316</v>
      </c>
      <c r="H60" s="59">
        <v>45849.0</v>
      </c>
      <c r="I60" s="47" t="s">
        <v>127</v>
      </c>
      <c r="J60" s="47" t="s">
        <v>232</v>
      </c>
      <c r="K60" s="47" t="s">
        <v>128</v>
      </c>
      <c r="L60" s="60" t="s">
        <v>1497</v>
      </c>
      <c r="M60" s="48"/>
      <c r="N60" s="48"/>
      <c r="O60" s="48"/>
      <c r="P60" s="48"/>
      <c r="Q60" s="50">
        <v>1.0</v>
      </c>
      <c r="R60" s="59">
        <v>45848.0</v>
      </c>
      <c r="S60" s="61">
        <v>45977.0</v>
      </c>
      <c r="T60" s="59">
        <v>45849.0</v>
      </c>
      <c r="U60" s="48"/>
      <c r="V60" s="50" t="s">
        <v>1321</v>
      </c>
      <c r="W60" s="47"/>
      <c r="X60" s="50" t="s">
        <v>12</v>
      </c>
      <c r="Y60" s="50" t="s">
        <v>1322</v>
      </c>
      <c r="Z60" s="50">
        <v>3.040299343E9</v>
      </c>
      <c r="AA60" s="50" t="s">
        <v>16</v>
      </c>
      <c r="AB60" s="50" t="s">
        <v>1331</v>
      </c>
      <c r="AC60" s="50" t="s">
        <v>1486</v>
      </c>
      <c r="AD60" s="48"/>
      <c r="AE60" s="48"/>
      <c r="AF60" s="48"/>
      <c r="AG60" s="48"/>
    </row>
    <row r="61">
      <c r="A61" s="47">
        <f>COUNTIF('Histórico'!$B:$B,B61)</f>
        <v>1</v>
      </c>
      <c r="B61" s="47" t="s">
        <v>571</v>
      </c>
      <c r="C61" s="48"/>
      <c r="D61" s="50" t="s">
        <v>1314</v>
      </c>
      <c r="E61" s="50" t="s">
        <v>1315</v>
      </c>
      <c r="F61" s="59">
        <v>45849.0</v>
      </c>
      <c r="G61" s="50" t="s">
        <v>1316</v>
      </c>
      <c r="H61" s="59">
        <v>45849.0</v>
      </c>
      <c r="I61" s="47" t="s">
        <v>145</v>
      </c>
      <c r="J61" s="47" t="s">
        <v>1498</v>
      </c>
      <c r="K61" s="47" t="s">
        <v>146</v>
      </c>
      <c r="L61" s="60" t="s">
        <v>1499</v>
      </c>
      <c r="M61" s="48"/>
      <c r="N61" s="48"/>
      <c r="O61" s="48"/>
      <c r="P61" s="48"/>
      <c r="Q61" s="50">
        <v>1.0</v>
      </c>
      <c r="R61" s="59">
        <v>45848.0</v>
      </c>
      <c r="S61" s="59">
        <v>45938.0</v>
      </c>
      <c r="T61" s="59">
        <v>45849.0</v>
      </c>
      <c r="U61" s="48"/>
      <c r="V61" s="50" t="s">
        <v>1321</v>
      </c>
      <c r="W61" s="48"/>
      <c r="X61" s="50" t="s">
        <v>12</v>
      </c>
      <c r="Y61" s="50" t="s">
        <v>1322</v>
      </c>
      <c r="Z61" s="50">
        <v>3.04031272E9</v>
      </c>
      <c r="AA61" s="50" t="s">
        <v>1500</v>
      </c>
      <c r="AB61" s="50" t="s">
        <v>1501</v>
      </c>
      <c r="AC61" s="50" t="s">
        <v>1502</v>
      </c>
      <c r="AD61" s="48"/>
      <c r="AE61" s="48"/>
      <c r="AF61" s="48"/>
      <c r="AG61" s="48"/>
    </row>
    <row r="62">
      <c r="A62" s="47">
        <f>COUNTIF('Histórico'!$B:$B,B62)</f>
        <v>1</v>
      </c>
      <c r="B62" s="47" t="s">
        <v>575</v>
      </c>
      <c r="C62" s="48"/>
      <c r="D62" s="50" t="s">
        <v>1314</v>
      </c>
      <c r="E62" s="50" t="s">
        <v>1315</v>
      </c>
      <c r="F62" s="59">
        <v>45853.0</v>
      </c>
      <c r="G62" s="50" t="s">
        <v>1316</v>
      </c>
      <c r="H62" s="59">
        <v>45853.0</v>
      </c>
      <c r="I62" s="47" t="s">
        <v>79</v>
      </c>
      <c r="J62" s="47" t="s">
        <v>1503</v>
      </c>
      <c r="K62" s="47" t="s">
        <v>1504</v>
      </c>
      <c r="L62" s="60" t="s">
        <v>798</v>
      </c>
      <c r="M62" s="48"/>
      <c r="N62" s="48"/>
      <c r="O62" s="48"/>
      <c r="P62" s="48"/>
      <c r="Q62" s="50">
        <v>1.0</v>
      </c>
      <c r="R62" s="59">
        <v>45852.0</v>
      </c>
      <c r="S62" s="61">
        <v>45979.0</v>
      </c>
      <c r="T62" s="59">
        <v>45853.0</v>
      </c>
      <c r="U62" s="48"/>
      <c r="V62" s="50" t="s">
        <v>1347</v>
      </c>
      <c r="W62" s="50">
        <v>3.13250016635E11</v>
      </c>
      <c r="X62" s="50" t="s">
        <v>12</v>
      </c>
      <c r="Y62" s="50" t="s">
        <v>1322</v>
      </c>
      <c r="Z62" s="50">
        <v>3.040315236E9</v>
      </c>
      <c r="AA62" s="50" t="s">
        <v>12</v>
      </c>
      <c r="AB62" s="50" t="s">
        <v>1322</v>
      </c>
      <c r="AC62" s="50" t="s">
        <v>1369</v>
      </c>
      <c r="AD62" s="48"/>
      <c r="AE62" s="48"/>
      <c r="AF62" s="48"/>
      <c r="AG62" s="48"/>
    </row>
    <row r="63">
      <c r="A63" s="47">
        <f>COUNTIF('Histórico'!$B:$B,B63)</f>
        <v>1</v>
      </c>
      <c r="B63" s="47" t="s">
        <v>577</v>
      </c>
      <c r="C63" s="48"/>
      <c r="D63" s="50" t="s">
        <v>1314</v>
      </c>
      <c r="E63" s="50" t="s">
        <v>1315</v>
      </c>
      <c r="F63" s="59">
        <v>45855.0</v>
      </c>
      <c r="G63" s="50" t="s">
        <v>1316</v>
      </c>
      <c r="H63" s="59">
        <v>45855.0</v>
      </c>
      <c r="I63" s="47" t="s">
        <v>123</v>
      </c>
      <c r="J63" s="47" t="s">
        <v>1505</v>
      </c>
      <c r="K63" s="47" t="s">
        <v>1506</v>
      </c>
      <c r="L63" s="60" t="s">
        <v>1507</v>
      </c>
      <c r="M63" s="48"/>
      <c r="N63" s="48"/>
      <c r="O63" s="48"/>
      <c r="P63" s="48"/>
      <c r="Q63" s="50">
        <v>1.0</v>
      </c>
      <c r="R63" s="59">
        <v>45854.0</v>
      </c>
      <c r="S63" s="59">
        <v>45860.0</v>
      </c>
      <c r="T63" s="59">
        <v>45855.0</v>
      </c>
      <c r="U63" s="48"/>
      <c r="V63" s="50" t="s">
        <v>1321</v>
      </c>
      <c r="W63" s="50"/>
      <c r="X63" s="50" t="s">
        <v>12</v>
      </c>
      <c r="Y63" s="50" t="s">
        <v>1322</v>
      </c>
      <c r="Z63" s="50">
        <v>3.040290764E9</v>
      </c>
      <c r="AA63" s="50" t="s">
        <v>17</v>
      </c>
      <c r="AB63" s="50" t="s">
        <v>1343</v>
      </c>
      <c r="AC63" s="50" t="s">
        <v>1508</v>
      </c>
      <c r="AD63" s="48"/>
      <c r="AE63" s="48"/>
      <c r="AF63" s="48"/>
      <c r="AG63" s="48"/>
    </row>
    <row r="64">
      <c r="A64" s="47">
        <f>COUNTIF('Histórico'!$B:$B,B64)</f>
        <v>1</v>
      </c>
      <c r="B64" s="47" t="s">
        <v>583</v>
      </c>
      <c r="C64" s="48"/>
      <c r="D64" s="50" t="s">
        <v>1314</v>
      </c>
      <c r="E64" s="50" t="s">
        <v>1315</v>
      </c>
      <c r="F64" s="59">
        <v>45869.0</v>
      </c>
      <c r="G64" s="50" t="s">
        <v>1316</v>
      </c>
      <c r="H64" s="59">
        <v>45869.0</v>
      </c>
      <c r="I64" s="47" t="s">
        <v>163</v>
      </c>
      <c r="J64" s="47" t="s">
        <v>1509</v>
      </c>
      <c r="K64" s="47" t="s">
        <v>1510</v>
      </c>
      <c r="L64" s="60" t="s">
        <v>1511</v>
      </c>
      <c r="M64" s="48"/>
      <c r="N64" s="48"/>
      <c r="O64" s="48"/>
      <c r="P64" s="48"/>
      <c r="Q64" s="50">
        <v>1.0</v>
      </c>
      <c r="R64" s="59">
        <v>45868.0</v>
      </c>
      <c r="S64" s="59">
        <v>45966.0</v>
      </c>
      <c r="T64" s="59">
        <v>45869.0</v>
      </c>
      <c r="U64" s="48"/>
      <c r="V64" s="50" t="s">
        <v>1321</v>
      </c>
      <c r="W64" s="50"/>
      <c r="X64" s="50" t="s">
        <v>12</v>
      </c>
      <c r="Y64" s="50" t="s">
        <v>1322</v>
      </c>
      <c r="Z64" s="50">
        <v>3.040309896E9</v>
      </c>
      <c r="AA64" s="50" t="s">
        <v>12</v>
      </c>
      <c r="AB64" s="50" t="s">
        <v>1322</v>
      </c>
      <c r="AC64" s="50" t="s">
        <v>1369</v>
      </c>
      <c r="AD64" s="48"/>
      <c r="AE64" s="48"/>
      <c r="AF64" s="48"/>
      <c r="AG64" s="48"/>
    </row>
    <row r="65">
      <c r="A65" s="47">
        <f>COUNTIF('Histórico'!$B:$B,B65)</f>
        <v>1</v>
      </c>
      <c r="B65" s="47" t="s">
        <v>585</v>
      </c>
      <c r="C65" s="48"/>
      <c r="D65" s="50" t="s">
        <v>1314</v>
      </c>
      <c r="E65" s="50" t="s">
        <v>1315</v>
      </c>
      <c r="F65" s="59">
        <v>45869.0</v>
      </c>
      <c r="G65" s="50" t="s">
        <v>1316</v>
      </c>
      <c r="H65" s="59">
        <v>45869.0</v>
      </c>
      <c r="I65" s="47" t="s">
        <v>183</v>
      </c>
      <c r="J65" s="47" t="s">
        <v>232</v>
      </c>
      <c r="K65" s="47" t="s">
        <v>184</v>
      </c>
      <c r="L65" s="60" t="s">
        <v>1512</v>
      </c>
      <c r="M65" s="48"/>
      <c r="N65" s="48"/>
      <c r="O65" s="48"/>
      <c r="P65" s="48"/>
      <c r="Q65" s="50">
        <v>1.0</v>
      </c>
      <c r="R65" s="59">
        <v>45658.0</v>
      </c>
      <c r="S65" s="59">
        <v>45962.0</v>
      </c>
      <c r="T65" s="59">
        <v>45869.0</v>
      </c>
      <c r="U65" s="48"/>
      <c r="V65" s="50" t="s">
        <v>1347</v>
      </c>
      <c r="W65" s="50">
        <v>3.13250017121E11</v>
      </c>
      <c r="X65" s="50" t="s">
        <v>12</v>
      </c>
      <c r="Y65" s="50" t="s">
        <v>1322</v>
      </c>
      <c r="Z65" s="50">
        <v>3.040302771E9</v>
      </c>
      <c r="AA65" s="50" t="s">
        <v>20</v>
      </c>
      <c r="AB65" s="50" t="s">
        <v>1513</v>
      </c>
      <c r="AC65" s="50" t="s">
        <v>1514</v>
      </c>
      <c r="AD65" s="48"/>
      <c r="AE65" s="48"/>
      <c r="AF65" s="48"/>
      <c r="AG65" s="48"/>
    </row>
    <row r="66">
      <c r="A66" s="47">
        <f>COUNTIF('Histórico'!$B:$B,B66)</f>
        <v>1</v>
      </c>
      <c r="B66" s="47" t="s">
        <v>591</v>
      </c>
      <c r="C66" s="48"/>
      <c r="D66" s="50" t="s">
        <v>1314</v>
      </c>
      <c r="E66" s="50" t="s">
        <v>1315</v>
      </c>
      <c r="F66" s="59">
        <v>45869.0</v>
      </c>
      <c r="G66" s="50" t="s">
        <v>1316</v>
      </c>
      <c r="H66" s="59">
        <v>45869.0</v>
      </c>
      <c r="I66" s="47" t="s">
        <v>183</v>
      </c>
      <c r="J66" s="47" t="s">
        <v>232</v>
      </c>
      <c r="K66" s="47" t="s">
        <v>184</v>
      </c>
      <c r="L66" s="60" t="s">
        <v>1515</v>
      </c>
      <c r="M66" s="48"/>
      <c r="N66" s="48"/>
      <c r="O66" s="48"/>
      <c r="P66" s="48"/>
      <c r="Q66" s="50">
        <v>1.0</v>
      </c>
      <c r="R66" s="59">
        <v>45658.0</v>
      </c>
      <c r="S66" s="59">
        <v>45962.0</v>
      </c>
      <c r="T66" s="59">
        <v>45869.0</v>
      </c>
      <c r="U66" s="48"/>
      <c r="V66" s="50" t="s">
        <v>1321</v>
      </c>
      <c r="W66" s="48"/>
      <c r="X66" s="50" t="s">
        <v>12</v>
      </c>
      <c r="Y66" s="50" t="s">
        <v>1322</v>
      </c>
      <c r="Z66" s="50">
        <v>3.04030277E9</v>
      </c>
      <c r="AA66" s="50" t="s">
        <v>20</v>
      </c>
      <c r="AB66" s="50" t="s">
        <v>1513</v>
      </c>
      <c r="AC66" s="50" t="s">
        <v>1516</v>
      </c>
      <c r="AD66" s="48"/>
      <c r="AE66" s="48"/>
      <c r="AF66" s="48"/>
      <c r="AG66" s="48"/>
    </row>
    <row r="67">
      <c r="A67" s="47">
        <f>COUNTIF('Histórico'!$B:$B,B67)</f>
        <v>1</v>
      </c>
      <c r="B67" s="47" t="s">
        <v>587</v>
      </c>
      <c r="C67" s="48"/>
      <c r="D67" s="50" t="s">
        <v>1314</v>
      </c>
      <c r="E67" s="50" t="s">
        <v>1315</v>
      </c>
      <c r="F67" s="59">
        <v>45869.0</v>
      </c>
      <c r="G67" s="50" t="s">
        <v>1316</v>
      </c>
      <c r="H67" s="59">
        <v>45869.0</v>
      </c>
      <c r="I67" s="47" t="s">
        <v>161</v>
      </c>
      <c r="J67" s="47" t="s">
        <v>232</v>
      </c>
      <c r="K67" s="47" t="s">
        <v>162</v>
      </c>
      <c r="L67" s="60" t="s">
        <v>1517</v>
      </c>
      <c r="M67" s="48"/>
      <c r="N67" s="48"/>
      <c r="O67" s="48"/>
      <c r="P67" s="48"/>
      <c r="Q67" s="50">
        <v>1.0</v>
      </c>
      <c r="R67" s="59">
        <v>45868.0</v>
      </c>
      <c r="S67" s="59">
        <v>45874.0</v>
      </c>
      <c r="T67" s="59">
        <v>45869.0</v>
      </c>
      <c r="U67" s="48"/>
      <c r="V67" s="50" t="s">
        <v>1321</v>
      </c>
      <c r="W67" s="47"/>
      <c r="X67" s="50" t="s">
        <v>12</v>
      </c>
      <c r="Y67" s="50" t="s">
        <v>1322</v>
      </c>
      <c r="Z67" s="50">
        <v>3.040301262E9</v>
      </c>
      <c r="AA67" s="50" t="s">
        <v>13</v>
      </c>
      <c r="AB67" s="50" t="s">
        <v>1380</v>
      </c>
      <c r="AC67" s="50" t="s">
        <v>1518</v>
      </c>
      <c r="AD67" s="48"/>
      <c r="AE67" s="48"/>
      <c r="AF67" s="48"/>
      <c r="AG67" s="48"/>
    </row>
    <row r="68">
      <c r="A68" s="47">
        <f>COUNTIF('Histórico'!$B:$B,B68)</f>
        <v>1</v>
      </c>
      <c r="B68" s="47" t="s">
        <v>595</v>
      </c>
      <c r="C68" s="48"/>
      <c r="D68" s="50" t="s">
        <v>1314</v>
      </c>
      <c r="E68" s="50" t="s">
        <v>1315</v>
      </c>
      <c r="F68" s="59">
        <v>45882.0</v>
      </c>
      <c r="G68" s="50" t="s">
        <v>1316</v>
      </c>
      <c r="H68" s="59">
        <v>45882.0</v>
      </c>
      <c r="I68" s="47" t="s">
        <v>1519</v>
      </c>
      <c r="J68" s="47" t="s">
        <v>1318</v>
      </c>
      <c r="K68" s="47" t="s">
        <v>1520</v>
      </c>
      <c r="L68" s="60" t="s">
        <v>1521</v>
      </c>
      <c r="M68" s="48"/>
      <c r="N68" s="48"/>
      <c r="O68" s="48"/>
      <c r="P68" s="48"/>
      <c r="Q68" s="50">
        <v>1.0</v>
      </c>
      <c r="R68" s="59">
        <v>45876.0</v>
      </c>
      <c r="S68" s="61">
        <v>45974.0</v>
      </c>
      <c r="T68" s="59">
        <v>45882.0</v>
      </c>
      <c r="U68" s="48"/>
      <c r="V68" s="50" t="s">
        <v>1321</v>
      </c>
      <c r="W68" s="48"/>
      <c r="X68" s="50" t="s">
        <v>12</v>
      </c>
      <c r="Y68" s="50" t="s">
        <v>1322</v>
      </c>
      <c r="Z68" s="50">
        <v>3.040179095E9</v>
      </c>
      <c r="AA68" s="50" t="s">
        <v>24</v>
      </c>
      <c r="AB68" s="50" t="s">
        <v>1359</v>
      </c>
      <c r="AC68" s="50" t="s">
        <v>1522</v>
      </c>
      <c r="AD68" s="48"/>
      <c r="AE68" s="48"/>
      <c r="AF68" s="48"/>
      <c r="AG68" s="48"/>
    </row>
    <row r="69">
      <c r="A69" s="47">
        <f>COUNTIF('Histórico'!$B:$B,B69)</f>
        <v>1</v>
      </c>
      <c r="B69" s="47" t="s">
        <v>603</v>
      </c>
      <c r="C69" s="48"/>
      <c r="D69" s="50" t="s">
        <v>1314</v>
      </c>
      <c r="E69" s="50" t="s">
        <v>1315</v>
      </c>
      <c r="F69" s="59">
        <v>45891.0</v>
      </c>
      <c r="G69" s="50" t="s">
        <v>1316</v>
      </c>
      <c r="H69" s="59">
        <v>45891.0</v>
      </c>
      <c r="I69" s="47" t="s">
        <v>1523</v>
      </c>
      <c r="J69" s="47" t="s">
        <v>1524</v>
      </c>
      <c r="K69" s="47" t="s">
        <v>1525</v>
      </c>
      <c r="L69" s="60" t="s">
        <v>1526</v>
      </c>
      <c r="M69" s="48"/>
      <c r="N69" s="48"/>
      <c r="O69" s="48"/>
      <c r="P69" s="48"/>
      <c r="Q69" s="50">
        <v>1.0</v>
      </c>
      <c r="R69" s="59">
        <v>45888.0</v>
      </c>
      <c r="S69" s="61">
        <v>45986.0</v>
      </c>
      <c r="T69" s="59">
        <v>45891.0</v>
      </c>
      <c r="U69" s="48"/>
      <c r="V69" s="50" t="s">
        <v>1321</v>
      </c>
      <c r="W69" s="47"/>
      <c r="X69" s="50" t="s">
        <v>12</v>
      </c>
      <c r="Y69" s="50" t="s">
        <v>1322</v>
      </c>
      <c r="Z69" s="50">
        <v>3.040316753E9</v>
      </c>
      <c r="AA69" s="50" t="s">
        <v>12</v>
      </c>
      <c r="AB69" s="50" t="s">
        <v>1322</v>
      </c>
      <c r="AC69" s="50" t="s">
        <v>1369</v>
      </c>
      <c r="AD69" s="48"/>
      <c r="AE69" s="48"/>
      <c r="AF69" s="48"/>
      <c r="AG69" s="48"/>
    </row>
    <row r="70">
      <c r="A70" s="47">
        <f>COUNTIF('Histórico'!$B:$B,B70)</f>
        <v>1</v>
      </c>
      <c r="B70" s="47" t="s">
        <v>627</v>
      </c>
      <c r="C70" s="48"/>
      <c r="D70" s="50" t="s">
        <v>1314</v>
      </c>
      <c r="E70" s="50" t="s">
        <v>1315</v>
      </c>
      <c r="F70" s="59">
        <v>45891.0</v>
      </c>
      <c r="G70" s="50" t="s">
        <v>1316</v>
      </c>
      <c r="H70" s="59">
        <v>45891.0</v>
      </c>
      <c r="I70" s="47" t="s">
        <v>1398</v>
      </c>
      <c r="J70" s="47" t="s">
        <v>1399</v>
      </c>
      <c r="K70" s="47" t="s">
        <v>1400</v>
      </c>
      <c r="L70" s="60" t="s">
        <v>1527</v>
      </c>
      <c r="M70" s="48"/>
      <c r="N70" s="48"/>
      <c r="O70" s="48"/>
      <c r="P70" s="48"/>
      <c r="Q70" s="50">
        <v>1.0</v>
      </c>
      <c r="R70" s="59">
        <v>45658.0</v>
      </c>
      <c r="S70" s="61">
        <v>45991.0</v>
      </c>
      <c r="T70" s="59">
        <v>45891.0</v>
      </c>
      <c r="U70" s="48"/>
      <c r="V70" s="50" t="s">
        <v>1347</v>
      </c>
      <c r="W70" s="50">
        <v>3.13250016833E11</v>
      </c>
      <c r="X70" s="50" t="s">
        <v>12</v>
      </c>
      <c r="Y70" s="50" t="s">
        <v>1322</v>
      </c>
      <c r="Z70" s="50">
        <v>3.04024507E9</v>
      </c>
      <c r="AA70" s="50" t="s">
        <v>1364</v>
      </c>
      <c r="AB70" s="50" t="s">
        <v>1528</v>
      </c>
      <c r="AC70" s="50" t="s">
        <v>1529</v>
      </c>
      <c r="AD70" s="48"/>
      <c r="AE70" s="48"/>
      <c r="AF70" s="48"/>
      <c r="AG70" s="48"/>
    </row>
    <row r="71">
      <c r="A71" s="47">
        <f>COUNTIF('Histórico'!$B:$B,B71)</f>
        <v>1</v>
      </c>
      <c r="B71" s="47" t="s">
        <v>639</v>
      </c>
      <c r="C71" s="48"/>
      <c r="D71" s="50" t="s">
        <v>1314</v>
      </c>
      <c r="E71" s="50" t="s">
        <v>1315</v>
      </c>
      <c r="F71" s="59">
        <v>45891.0</v>
      </c>
      <c r="G71" s="50" t="s">
        <v>1316</v>
      </c>
      <c r="H71" s="59">
        <v>45891.0</v>
      </c>
      <c r="I71" s="47" t="s">
        <v>181</v>
      </c>
      <c r="J71" s="47" t="s">
        <v>232</v>
      </c>
      <c r="K71" s="47" t="s">
        <v>1530</v>
      </c>
      <c r="L71" s="60" t="s">
        <v>1531</v>
      </c>
      <c r="M71" s="48"/>
      <c r="N71" s="48"/>
      <c r="O71" s="48"/>
      <c r="P71" s="48"/>
      <c r="Q71" s="50">
        <v>1.0</v>
      </c>
      <c r="R71" s="59">
        <v>45890.0</v>
      </c>
      <c r="S71" s="59">
        <v>45896.0</v>
      </c>
      <c r="T71" s="59">
        <v>45891.0</v>
      </c>
      <c r="U71" s="48"/>
      <c r="V71" s="50" t="s">
        <v>1321</v>
      </c>
      <c r="W71" s="48"/>
      <c r="X71" s="50" t="s">
        <v>12</v>
      </c>
      <c r="Y71" s="50" t="s">
        <v>1322</v>
      </c>
      <c r="Z71" s="50">
        <v>3.040272872E9</v>
      </c>
      <c r="AA71" s="50" t="s">
        <v>12</v>
      </c>
      <c r="AB71" s="50" t="s">
        <v>1322</v>
      </c>
      <c r="AC71" s="50" t="s">
        <v>1323</v>
      </c>
      <c r="AD71" s="48"/>
      <c r="AE71" s="48"/>
      <c r="AF71" s="48"/>
      <c r="AG71" s="48"/>
    </row>
    <row r="72">
      <c r="A72" s="47">
        <f>COUNTIF('Histórico'!$B:$B,B72)</f>
        <v>1</v>
      </c>
      <c r="B72" s="47" t="s">
        <v>637</v>
      </c>
      <c r="C72" s="48"/>
      <c r="D72" s="50" t="s">
        <v>1314</v>
      </c>
      <c r="E72" s="50" t="s">
        <v>1315</v>
      </c>
      <c r="F72" s="59">
        <v>45891.0</v>
      </c>
      <c r="G72" s="50" t="s">
        <v>1316</v>
      </c>
      <c r="H72" s="59">
        <v>45891.0</v>
      </c>
      <c r="I72" s="47" t="s">
        <v>181</v>
      </c>
      <c r="J72" s="47" t="s">
        <v>232</v>
      </c>
      <c r="K72" s="47" t="s">
        <v>1530</v>
      </c>
      <c r="L72" s="60" t="s">
        <v>1532</v>
      </c>
      <c r="M72" s="48"/>
      <c r="N72" s="48"/>
      <c r="O72" s="48"/>
      <c r="P72" s="48"/>
      <c r="Q72" s="50">
        <v>1.0</v>
      </c>
      <c r="R72" s="59">
        <v>45890.0</v>
      </c>
      <c r="S72" s="59">
        <v>45896.0</v>
      </c>
      <c r="T72" s="59">
        <v>45891.0</v>
      </c>
      <c r="U72" s="48"/>
      <c r="V72" s="50" t="s">
        <v>1321</v>
      </c>
      <c r="W72" s="47"/>
      <c r="X72" s="50" t="s">
        <v>12</v>
      </c>
      <c r="Y72" s="50" t="s">
        <v>1322</v>
      </c>
      <c r="Z72" s="50">
        <v>3.040281704E9</v>
      </c>
      <c r="AA72" s="50" t="s">
        <v>16</v>
      </c>
      <c r="AB72" s="50" t="s">
        <v>1331</v>
      </c>
      <c r="AC72" s="50" t="s">
        <v>1486</v>
      </c>
      <c r="AD72" s="48"/>
      <c r="AE72" s="48"/>
      <c r="AF72" s="48"/>
      <c r="AG72" s="48"/>
    </row>
    <row r="73">
      <c r="A73" s="47">
        <f>COUNTIF('Histórico'!$B:$B,B73)</f>
        <v>1</v>
      </c>
      <c r="B73" s="47" t="s">
        <v>641</v>
      </c>
      <c r="C73" s="48"/>
      <c r="D73" s="50" t="s">
        <v>1314</v>
      </c>
      <c r="E73" s="50" t="s">
        <v>1315</v>
      </c>
      <c r="F73" s="59">
        <v>45891.0</v>
      </c>
      <c r="G73" s="50" t="s">
        <v>1316</v>
      </c>
      <c r="H73" s="59">
        <v>45891.0</v>
      </c>
      <c r="I73" s="47" t="s">
        <v>161</v>
      </c>
      <c r="J73" s="47" t="s">
        <v>232</v>
      </c>
      <c r="K73" s="47" t="s">
        <v>162</v>
      </c>
      <c r="L73" s="60" t="s">
        <v>1533</v>
      </c>
      <c r="M73" s="48"/>
      <c r="N73" s="48"/>
      <c r="O73" s="48"/>
      <c r="P73" s="48"/>
      <c r="Q73" s="50">
        <v>1.0</v>
      </c>
      <c r="R73" s="59">
        <v>45890.0</v>
      </c>
      <c r="S73" s="59">
        <v>45890.0</v>
      </c>
      <c r="T73" s="59">
        <v>45891.0</v>
      </c>
      <c r="U73" s="48"/>
      <c r="V73" s="50" t="s">
        <v>1321</v>
      </c>
      <c r="W73" s="47"/>
      <c r="X73" s="50" t="s">
        <v>12</v>
      </c>
      <c r="Y73" s="50" t="s">
        <v>1322</v>
      </c>
      <c r="Z73" s="50">
        <v>3.04031055E9</v>
      </c>
      <c r="AA73" s="50" t="s">
        <v>12</v>
      </c>
      <c r="AB73" s="50" t="s">
        <v>1322</v>
      </c>
      <c r="AC73" s="50" t="s">
        <v>1336</v>
      </c>
      <c r="AD73" s="48"/>
      <c r="AE73" s="48"/>
      <c r="AF73" s="48"/>
      <c r="AG73" s="48"/>
    </row>
    <row r="74">
      <c r="A74" s="47">
        <f>COUNTIF('Histórico'!$B:$B,B74)</f>
        <v>1</v>
      </c>
      <c r="B74" s="47" t="s">
        <v>643</v>
      </c>
      <c r="C74" s="48"/>
      <c r="D74" s="50" t="s">
        <v>1314</v>
      </c>
      <c r="E74" s="50" t="s">
        <v>1315</v>
      </c>
      <c r="F74" s="59">
        <v>45894.0</v>
      </c>
      <c r="G74" s="50" t="s">
        <v>1316</v>
      </c>
      <c r="H74" s="59">
        <v>45894.0</v>
      </c>
      <c r="I74" s="47" t="s">
        <v>1534</v>
      </c>
      <c r="J74" s="47" t="s">
        <v>724</v>
      </c>
      <c r="K74" s="47" t="s">
        <v>1535</v>
      </c>
      <c r="L74" s="60" t="s">
        <v>1536</v>
      </c>
      <c r="M74" s="48"/>
      <c r="N74" s="48"/>
      <c r="O74" s="48"/>
      <c r="P74" s="48"/>
      <c r="Q74" s="50">
        <v>1.0</v>
      </c>
      <c r="R74" s="59">
        <v>45888.0</v>
      </c>
      <c r="S74" s="61">
        <v>45986.0</v>
      </c>
      <c r="T74" s="59">
        <v>45894.0</v>
      </c>
      <c r="U74" s="48"/>
      <c r="V74" s="50" t="s">
        <v>1321</v>
      </c>
      <c r="W74" s="50"/>
      <c r="X74" s="50" t="s">
        <v>12</v>
      </c>
      <c r="Y74" s="50" t="s">
        <v>1322</v>
      </c>
      <c r="Z74" s="50">
        <v>3.040317809E9</v>
      </c>
      <c r="AA74" s="50" t="s">
        <v>1500</v>
      </c>
      <c r="AB74" s="50" t="s">
        <v>1537</v>
      </c>
      <c r="AC74" s="50" t="s">
        <v>1538</v>
      </c>
      <c r="AD74" s="48"/>
      <c r="AE74" s="48"/>
      <c r="AF74" s="48"/>
      <c r="AG74" s="48"/>
    </row>
    <row r="75">
      <c r="A75" s="47">
        <f>COUNTIF('Histórico'!$B:$B,B75)</f>
        <v>1</v>
      </c>
      <c r="B75" s="47" t="s">
        <v>645</v>
      </c>
      <c r="C75" s="48"/>
      <c r="D75" s="50" t="s">
        <v>1314</v>
      </c>
      <c r="E75" s="50" t="s">
        <v>1315</v>
      </c>
      <c r="F75" s="59">
        <v>45894.0</v>
      </c>
      <c r="G75" s="50" t="s">
        <v>1316</v>
      </c>
      <c r="H75" s="59">
        <v>45894.0</v>
      </c>
      <c r="I75" s="47" t="s">
        <v>63</v>
      </c>
      <c r="J75" s="47" t="s">
        <v>1395</v>
      </c>
      <c r="K75" s="47" t="s">
        <v>1432</v>
      </c>
      <c r="L75" s="60" t="s">
        <v>1539</v>
      </c>
      <c r="M75" s="48"/>
      <c r="N75" s="48"/>
      <c r="O75" s="48"/>
      <c r="P75" s="48"/>
      <c r="Q75" s="50">
        <v>1.0</v>
      </c>
      <c r="R75" s="59">
        <v>45888.0</v>
      </c>
      <c r="S75" s="61">
        <v>45986.0</v>
      </c>
      <c r="T75" s="59">
        <v>45894.0</v>
      </c>
      <c r="U75" s="48"/>
      <c r="V75" s="50" t="s">
        <v>1321</v>
      </c>
      <c r="W75" s="48"/>
      <c r="X75" s="50" t="s">
        <v>12</v>
      </c>
      <c r="Y75" s="50" t="s">
        <v>1322</v>
      </c>
      <c r="Z75" s="50">
        <v>3.040317305E9</v>
      </c>
      <c r="AA75" s="50" t="s">
        <v>12</v>
      </c>
      <c r="AB75" s="50" t="s">
        <v>1322</v>
      </c>
      <c r="AC75" s="50" t="s">
        <v>1434</v>
      </c>
      <c r="AD75" s="48"/>
      <c r="AE75" s="48"/>
      <c r="AF75" s="48"/>
      <c r="AG75" s="48"/>
    </row>
    <row r="76">
      <c r="A76" s="47">
        <f>COUNTIF('Histórico'!$B:$B,B76)</f>
        <v>1</v>
      </c>
      <c r="B76" s="47" t="s">
        <v>647</v>
      </c>
      <c r="C76" s="48"/>
      <c r="D76" s="50" t="s">
        <v>1314</v>
      </c>
      <c r="E76" s="50" t="s">
        <v>1315</v>
      </c>
      <c r="F76" s="59">
        <v>45898.0</v>
      </c>
      <c r="G76" s="50" t="s">
        <v>1316</v>
      </c>
      <c r="H76" s="59">
        <v>45898.0</v>
      </c>
      <c r="I76" s="47" t="s">
        <v>155</v>
      </c>
      <c r="J76" s="47" t="s">
        <v>232</v>
      </c>
      <c r="K76" s="47" t="s">
        <v>156</v>
      </c>
      <c r="L76" s="60" t="s">
        <v>1540</v>
      </c>
      <c r="M76" s="48"/>
      <c r="N76" s="48"/>
      <c r="O76" s="48"/>
      <c r="P76" s="48"/>
      <c r="Q76" s="50">
        <v>1.0</v>
      </c>
      <c r="R76" s="59">
        <v>45898.0</v>
      </c>
      <c r="S76" s="59">
        <v>45965.0</v>
      </c>
      <c r="T76" s="59">
        <v>45898.0</v>
      </c>
      <c r="U76" s="48"/>
      <c r="V76" s="50" t="s">
        <v>1321</v>
      </c>
      <c r="W76" s="48"/>
      <c r="X76" s="50" t="s">
        <v>12</v>
      </c>
      <c r="Y76" s="50" t="s">
        <v>1322</v>
      </c>
      <c r="Z76" s="50">
        <v>3.040295438E9</v>
      </c>
      <c r="AA76" s="50" t="s">
        <v>13</v>
      </c>
      <c r="AB76" s="50" t="s">
        <v>1380</v>
      </c>
      <c r="AC76" s="50" t="s">
        <v>1541</v>
      </c>
      <c r="AD76" s="48"/>
      <c r="AE76" s="48"/>
      <c r="AF76" s="48"/>
      <c r="AG76" s="48"/>
    </row>
    <row r="77">
      <c r="A77" s="47">
        <f>COUNTIF('Histórico'!$B:$B,B77)</f>
        <v>1</v>
      </c>
      <c r="B77" s="47" t="s">
        <v>649</v>
      </c>
      <c r="C77" s="48"/>
      <c r="D77" s="50" t="s">
        <v>1314</v>
      </c>
      <c r="E77" s="50" t="s">
        <v>1315</v>
      </c>
      <c r="F77" s="59">
        <v>45898.0</v>
      </c>
      <c r="G77" s="50" t="s">
        <v>1316</v>
      </c>
      <c r="H77" s="59">
        <v>45898.0</v>
      </c>
      <c r="I77" s="47" t="s">
        <v>155</v>
      </c>
      <c r="J77" s="47" t="s">
        <v>232</v>
      </c>
      <c r="K77" s="47" t="s">
        <v>156</v>
      </c>
      <c r="L77" s="60" t="s">
        <v>1542</v>
      </c>
      <c r="M77" s="48"/>
      <c r="N77" s="48"/>
      <c r="O77" s="48"/>
      <c r="P77" s="48"/>
      <c r="Q77" s="50">
        <v>1.0</v>
      </c>
      <c r="R77" s="59">
        <v>45898.0</v>
      </c>
      <c r="S77" s="59">
        <v>45965.0</v>
      </c>
      <c r="T77" s="59">
        <v>45898.0</v>
      </c>
      <c r="U77" s="48"/>
      <c r="V77" s="50" t="s">
        <v>1347</v>
      </c>
      <c r="W77" s="50">
        <v>3.1325001663E11</v>
      </c>
      <c r="X77" s="50" t="s">
        <v>12</v>
      </c>
      <c r="Y77" s="50" t="s">
        <v>1322</v>
      </c>
      <c r="Z77" s="50">
        <v>3.040297381E9</v>
      </c>
      <c r="AA77" s="50" t="s">
        <v>13</v>
      </c>
      <c r="AB77" s="50" t="s">
        <v>1380</v>
      </c>
      <c r="AC77" s="50" t="s">
        <v>1543</v>
      </c>
      <c r="AD77" s="48"/>
      <c r="AE77" s="48"/>
      <c r="AF77" s="48"/>
      <c r="AG77" s="48"/>
    </row>
    <row r="78">
      <c r="A78" s="47">
        <f>COUNTIF('Histórico'!$B:$B,B78)</f>
        <v>1</v>
      </c>
      <c r="B78" s="47" t="s">
        <v>665</v>
      </c>
      <c r="C78" s="48"/>
      <c r="D78" s="50" t="s">
        <v>1314</v>
      </c>
      <c r="E78" s="50" t="s">
        <v>1315</v>
      </c>
      <c r="F78" s="59">
        <v>45917.0</v>
      </c>
      <c r="G78" s="50" t="s">
        <v>1316</v>
      </c>
      <c r="H78" s="59">
        <v>45917.0</v>
      </c>
      <c r="I78" s="47" t="s">
        <v>1544</v>
      </c>
      <c r="J78" s="47" t="s">
        <v>1545</v>
      </c>
      <c r="K78" s="47" t="s">
        <v>1546</v>
      </c>
      <c r="L78" s="60" t="s">
        <v>1547</v>
      </c>
      <c r="M78" s="48"/>
      <c r="N78" s="48"/>
      <c r="O78" s="48"/>
      <c r="P78" s="48"/>
      <c r="Q78" s="50">
        <v>1.0</v>
      </c>
      <c r="R78" s="59">
        <v>45910.0</v>
      </c>
      <c r="S78" s="59">
        <v>45916.0</v>
      </c>
      <c r="T78" s="59">
        <v>45917.0</v>
      </c>
      <c r="U78" s="48"/>
      <c r="V78" s="50" t="s">
        <v>1321</v>
      </c>
      <c r="W78" s="48"/>
      <c r="X78" s="50" t="s">
        <v>12</v>
      </c>
      <c r="Y78" s="50" t="s">
        <v>1322</v>
      </c>
      <c r="Z78" s="50">
        <v>3.040315167E9</v>
      </c>
      <c r="AA78" s="50" t="s">
        <v>1500</v>
      </c>
      <c r="AB78" s="50" t="s">
        <v>1537</v>
      </c>
      <c r="AC78" s="50" t="s">
        <v>1548</v>
      </c>
      <c r="AD78" s="48"/>
      <c r="AE78" s="48"/>
      <c r="AF78" s="48"/>
      <c r="AG78" s="48"/>
    </row>
    <row r="79">
      <c r="A79" s="47">
        <f>COUNTIF('Histórico'!$B:$B,B79)</f>
        <v>1</v>
      </c>
      <c r="B79" s="47" t="s">
        <v>677</v>
      </c>
      <c r="C79" s="48"/>
      <c r="D79" s="50" t="s">
        <v>1314</v>
      </c>
      <c r="E79" s="50" t="s">
        <v>1315</v>
      </c>
      <c r="F79" s="59">
        <v>45917.0</v>
      </c>
      <c r="G79" s="50" t="s">
        <v>1316</v>
      </c>
      <c r="H79" s="59">
        <v>45917.0</v>
      </c>
      <c r="I79" s="47" t="s">
        <v>1398</v>
      </c>
      <c r="J79" s="47" t="s">
        <v>1399</v>
      </c>
      <c r="K79" s="47" t="s">
        <v>1400</v>
      </c>
      <c r="L79" s="60" t="s">
        <v>1549</v>
      </c>
      <c r="M79" s="48"/>
      <c r="N79" s="48"/>
      <c r="O79" s="48"/>
      <c r="P79" s="48"/>
      <c r="Q79" s="50">
        <v>1.0</v>
      </c>
      <c r="R79" s="59">
        <v>45658.0</v>
      </c>
      <c r="S79" s="61">
        <v>45991.0</v>
      </c>
      <c r="T79" s="59">
        <v>45917.0</v>
      </c>
      <c r="U79" s="48"/>
      <c r="V79" s="50" t="s">
        <v>1321</v>
      </c>
      <c r="W79" s="48"/>
      <c r="X79" s="50" t="s">
        <v>12</v>
      </c>
      <c r="Y79" s="50" t="s">
        <v>1322</v>
      </c>
      <c r="Z79" s="50">
        <v>3.040318928E9</v>
      </c>
      <c r="AA79" s="50" t="s">
        <v>20</v>
      </c>
      <c r="AB79" s="50" t="s">
        <v>1439</v>
      </c>
      <c r="AC79" s="50" t="s">
        <v>1550</v>
      </c>
      <c r="AD79" s="48"/>
      <c r="AE79" s="48"/>
      <c r="AF79" s="48"/>
      <c r="AG79" s="48"/>
    </row>
    <row r="80">
      <c r="A80" s="47">
        <f>COUNTIF('Histórico'!$B:$B,B80)</f>
        <v>1</v>
      </c>
      <c r="B80" s="47" t="s">
        <v>681</v>
      </c>
      <c r="C80" s="48"/>
      <c r="D80" s="50" t="s">
        <v>1314</v>
      </c>
      <c r="E80" s="50" t="s">
        <v>1315</v>
      </c>
      <c r="F80" s="59">
        <v>45917.0</v>
      </c>
      <c r="G80" s="50" t="s">
        <v>1316</v>
      </c>
      <c r="H80" s="59">
        <v>45917.0</v>
      </c>
      <c r="I80" s="47" t="s">
        <v>1398</v>
      </c>
      <c r="J80" s="47" t="s">
        <v>1399</v>
      </c>
      <c r="K80" s="47" t="s">
        <v>1400</v>
      </c>
      <c r="L80" s="60" t="s">
        <v>982</v>
      </c>
      <c r="M80" s="48"/>
      <c r="N80" s="48"/>
      <c r="O80" s="48"/>
      <c r="P80" s="48"/>
      <c r="Q80" s="50">
        <v>1.0</v>
      </c>
      <c r="R80" s="59">
        <v>45658.0</v>
      </c>
      <c r="S80" s="61">
        <v>45991.0</v>
      </c>
      <c r="T80" s="59">
        <v>45917.0</v>
      </c>
      <c r="U80" s="48"/>
      <c r="V80" s="50" t="s">
        <v>1321</v>
      </c>
      <c r="W80" s="47"/>
      <c r="X80" s="50" t="s">
        <v>12</v>
      </c>
      <c r="Y80" s="50" t="s">
        <v>1322</v>
      </c>
      <c r="Z80" s="50">
        <v>3.040318561E9</v>
      </c>
      <c r="AA80" s="50" t="s">
        <v>16</v>
      </c>
      <c r="AB80" s="50" t="s">
        <v>1551</v>
      </c>
      <c r="AC80" s="50" t="s">
        <v>1552</v>
      </c>
      <c r="AD80" s="48"/>
      <c r="AE80" s="48"/>
      <c r="AF80" s="48"/>
      <c r="AG80" s="48"/>
    </row>
    <row r="81">
      <c r="A81" s="47">
        <f>COUNTIF('Histórico'!$B:$B,B81)</f>
        <v>1</v>
      </c>
      <c r="B81" s="47" t="s">
        <v>679</v>
      </c>
      <c r="C81" s="48"/>
      <c r="D81" s="50" t="s">
        <v>1314</v>
      </c>
      <c r="E81" s="50" t="s">
        <v>1315</v>
      </c>
      <c r="F81" s="59">
        <v>45917.0</v>
      </c>
      <c r="G81" s="50" t="s">
        <v>1316</v>
      </c>
      <c r="H81" s="59">
        <v>45917.0</v>
      </c>
      <c r="I81" s="47" t="s">
        <v>1398</v>
      </c>
      <c r="J81" s="47" t="s">
        <v>1399</v>
      </c>
      <c r="K81" s="47" t="s">
        <v>1400</v>
      </c>
      <c r="L81" s="60" t="s">
        <v>328</v>
      </c>
      <c r="M81" s="48"/>
      <c r="N81" s="48"/>
      <c r="O81" s="48"/>
      <c r="P81" s="48"/>
      <c r="Q81" s="50">
        <v>1.0</v>
      </c>
      <c r="R81" s="59">
        <v>45658.0</v>
      </c>
      <c r="S81" s="61">
        <v>45991.0</v>
      </c>
      <c r="T81" s="59">
        <v>45917.0</v>
      </c>
      <c r="U81" s="48"/>
      <c r="V81" s="50" t="s">
        <v>1321</v>
      </c>
      <c r="W81" s="47"/>
      <c r="X81" s="50" t="s">
        <v>12</v>
      </c>
      <c r="Y81" s="50" t="s">
        <v>1322</v>
      </c>
      <c r="Z81" s="50">
        <v>3.040318877E9</v>
      </c>
      <c r="AA81" s="50" t="s">
        <v>17</v>
      </c>
      <c r="AB81" s="50" t="s">
        <v>1553</v>
      </c>
      <c r="AC81" s="50" t="s">
        <v>1554</v>
      </c>
      <c r="AD81" s="48"/>
      <c r="AE81" s="48"/>
      <c r="AF81" s="48"/>
      <c r="AG81" s="48"/>
    </row>
    <row r="82">
      <c r="A82" s="47">
        <f>COUNTIF('Histórico'!$B:$B,B82)</f>
        <v>1</v>
      </c>
      <c r="B82" s="47" t="s">
        <v>693</v>
      </c>
      <c r="C82" s="48"/>
      <c r="D82" s="50" t="s">
        <v>1314</v>
      </c>
      <c r="E82" s="50" t="s">
        <v>1315</v>
      </c>
      <c r="F82" s="59">
        <v>45937.0</v>
      </c>
      <c r="G82" s="50" t="s">
        <v>1316</v>
      </c>
      <c r="H82" s="59">
        <v>45937.0</v>
      </c>
      <c r="I82" s="47" t="s">
        <v>181</v>
      </c>
      <c r="J82" s="47" t="s">
        <v>232</v>
      </c>
      <c r="K82" s="47" t="s">
        <v>1530</v>
      </c>
      <c r="L82" s="60" t="s">
        <v>1555</v>
      </c>
      <c r="M82" s="48"/>
      <c r="N82" s="48"/>
      <c r="O82" s="48"/>
      <c r="P82" s="48"/>
      <c r="Q82" s="50">
        <v>1.0</v>
      </c>
      <c r="R82" s="59">
        <v>45936.0</v>
      </c>
      <c r="S82" s="61">
        <v>45940.0</v>
      </c>
      <c r="T82" s="59">
        <v>45937.0</v>
      </c>
      <c r="U82" s="48"/>
      <c r="V82" s="50" t="s">
        <v>1321</v>
      </c>
      <c r="W82" s="48"/>
      <c r="X82" s="50" t="s">
        <v>12</v>
      </c>
      <c r="Y82" s="50" t="s">
        <v>1322</v>
      </c>
      <c r="Z82" s="50">
        <v>3.040285493E9</v>
      </c>
      <c r="AA82" s="50" t="s">
        <v>1491</v>
      </c>
      <c r="AB82" s="50" t="s">
        <v>1492</v>
      </c>
      <c r="AC82" s="50" t="s">
        <v>1493</v>
      </c>
      <c r="AD82" s="48"/>
      <c r="AE82" s="48"/>
      <c r="AF82" s="48"/>
      <c r="AG82" s="48"/>
    </row>
    <row r="83">
      <c r="A83" s="47">
        <f>COUNTIF('Histórico'!$B:$B,B83)</f>
        <v>1</v>
      </c>
      <c r="B83" s="47" t="s">
        <v>687</v>
      </c>
      <c r="C83" s="48"/>
      <c r="D83" s="50" t="s">
        <v>1314</v>
      </c>
      <c r="E83" s="50" t="s">
        <v>1315</v>
      </c>
      <c r="F83" s="59">
        <v>45937.0</v>
      </c>
      <c r="G83" s="50" t="s">
        <v>1316</v>
      </c>
      <c r="H83" s="59">
        <v>45937.0</v>
      </c>
      <c r="I83" s="47" t="s">
        <v>1523</v>
      </c>
      <c r="J83" s="47" t="s">
        <v>1524</v>
      </c>
      <c r="K83" s="47" t="s">
        <v>1525</v>
      </c>
      <c r="L83" s="60" t="s">
        <v>1556</v>
      </c>
      <c r="M83" s="48"/>
      <c r="N83" s="48"/>
      <c r="O83" s="48"/>
      <c r="P83" s="48"/>
      <c r="Q83" s="50">
        <v>1.0</v>
      </c>
      <c r="R83" s="59">
        <v>45936.0</v>
      </c>
      <c r="S83" s="61">
        <v>45971.0</v>
      </c>
      <c r="T83" s="59">
        <v>45937.0</v>
      </c>
      <c r="U83" s="48"/>
      <c r="V83" s="50" t="s">
        <v>1321</v>
      </c>
      <c r="W83" s="50"/>
      <c r="X83" s="50" t="s">
        <v>12</v>
      </c>
      <c r="Y83" s="50" t="s">
        <v>1322</v>
      </c>
      <c r="Z83" s="50">
        <v>3.040278924E9</v>
      </c>
      <c r="AA83" s="50" t="s">
        <v>16</v>
      </c>
      <c r="AB83" s="50" t="s">
        <v>1402</v>
      </c>
      <c r="AC83" s="50" t="s">
        <v>1557</v>
      </c>
      <c r="AD83" s="48"/>
      <c r="AE83" s="48"/>
      <c r="AF83" s="48"/>
      <c r="AG83" s="48"/>
    </row>
    <row r="84">
      <c r="A84" s="47">
        <f>COUNTIF('Histórico'!$B:$B,B84)</f>
        <v>1</v>
      </c>
      <c r="B84" s="47" t="s">
        <v>683</v>
      </c>
      <c r="C84" s="48"/>
      <c r="D84" s="50" t="s">
        <v>1314</v>
      </c>
      <c r="E84" s="50" t="s">
        <v>1315</v>
      </c>
      <c r="F84" s="59">
        <v>45937.0</v>
      </c>
      <c r="G84" s="50" t="s">
        <v>1316</v>
      </c>
      <c r="H84" s="59">
        <v>45937.0</v>
      </c>
      <c r="I84" s="47" t="s">
        <v>1523</v>
      </c>
      <c r="J84" s="47" t="s">
        <v>1524</v>
      </c>
      <c r="K84" s="47" t="s">
        <v>1525</v>
      </c>
      <c r="L84" s="60" t="s">
        <v>1558</v>
      </c>
      <c r="M84" s="48"/>
      <c r="N84" s="48"/>
      <c r="O84" s="48"/>
      <c r="P84" s="48"/>
      <c r="Q84" s="50">
        <v>1.0</v>
      </c>
      <c r="R84" s="59">
        <v>45936.0</v>
      </c>
      <c r="S84" s="61">
        <v>45971.0</v>
      </c>
      <c r="T84" s="59">
        <v>45937.0</v>
      </c>
      <c r="U84" s="48"/>
      <c r="V84" s="50" t="s">
        <v>1321</v>
      </c>
      <c r="W84" s="50"/>
      <c r="X84" s="50" t="s">
        <v>12</v>
      </c>
      <c r="Y84" s="50" t="s">
        <v>1322</v>
      </c>
      <c r="Z84" s="50">
        <v>3.040253457E9</v>
      </c>
      <c r="AA84" s="50" t="s">
        <v>12</v>
      </c>
      <c r="AB84" s="50" t="s">
        <v>1385</v>
      </c>
      <c r="AC84" s="50" t="s">
        <v>1559</v>
      </c>
      <c r="AD84" s="48"/>
      <c r="AE84" s="48"/>
      <c r="AF84" s="48"/>
      <c r="AG84" s="48"/>
    </row>
    <row r="85">
      <c r="A85" s="47">
        <f>COUNTIF('Histórico'!$B:$B,B85)</f>
        <v>1</v>
      </c>
      <c r="B85" s="47" t="s">
        <v>695</v>
      </c>
      <c r="C85" s="48"/>
      <c r="D85" s="50" t="s">
        <v>1314</v>
      </c>
      <c r="E85" s="50" t="s">
        <v>1315</v>
      </c>
      <c r="F85" s="59">
        <v>45939.0</v>
      </c>
      <c r="G85" s="50" t="s">
        <v>1316</v>
      </c>
      <c r="H85" s="59">
        <v>45939.0</v>
      </c>
      <c r="I85" s="47" t="s">
        <v>1560</v>
      </c>
      <c r="J85" s="47" t="s">
        <v>48</v>
      </c>
      <c r="K85" s="47" t="s">
        <v>1561</v>
      </c>
      <c r="L85" s="60"/>
      <c r="M85" s="48"/>
      <c r="N85" s="48"/>
      <c r="O85" s="48"/>
      <c r="P85" s="48"/>
      <c r="Q85" s="50">
        <v>1.0</v>
      </c>
      <c r="R85" s="59">
        <v>45938.0</v>
      </c>
      <c r="S85" s="61">
        <v>45944.0</v>
      </c>
      <c r="T85" s="59">
        <v>45939.0</v>
      </c>
      <c r="U85" s="48"/>
      <c r="V85" s="50" t="s">
        <v>1321</v>
      </c>
      <c r="W85" s="50"/>
      <c r="X85" s="50" t="s">
        <v>12</v>
      </c>
      <c r="Y85" s="50" t="s">
        <v>1322</v>
      </c>
      <c r="Z85" s="50">
        <v>3.04031824E9</v>
      </c>
      <c r="AA85" s="50" t="s">
        <v>1500</v>
      </c>
      <c r="AB85" s="50" t="s">
        <v>1537</v>
      </c>
      <c r="AC85" s="50" t="s">
        <v>1562</v>
      </c>
      <c r="AD85" s="48"/>
      <c r="AE85" s="48"/>
      <c r="AF85" s="48"/>
      <c r="AG85" s="48"/>
    </row>
    <row r="86">
      <c r="A86" s="47">
        <f>COUNTIF('Histórico'!$B:$B,B86)</f>
        <v>1</v>
      </c>
      <c r="B86" s="47" t="s">
        <v>701</v>
      </c>
      <c r="C86" s="48"/>
      <c r="D86" s="50" t="s">
        <v>1314</v>
      </c>
      <c r="E86" s="50" t="s">
        <v>1315</v>
      </c>
      <c r="F86" s="59">
        <v>45939.0</v>
      </c>
      <c r="G86" s="50" t="s">
        <v>1316</v>
      </c>
      <c r="H86" s="59">
        <v>45939.0</v>
      </c>
      <c r="I86" s="47" t="s">
        <v>181</v>
      </c>
      <c r="J86" s="47" t="s">
        <v>232</v>
      </c>
      <c r="K86" s="47" t="s">
        <v>1530</v>
      </c>
      <c r="L86" s="60" t="s">
        <v>1563</v>
      </c>
      <c r="M86" s="48"/>
      <c r="N86" s="48"/>
      <c r="O86" s="48"/>
      <c r="P86" s="48"/>
      <c r="Q86" s="50">
        <v>1.0</v>
      </c>
      <c r="R86" s="59">
        <v>45938.0</v>
      </c>
      <c r="S86" s="61">
        <v>45944.0</v>
      </c>
      <c r="T86" s="59">
        <v>45939.0</v>
      </c>
      <c r="U86" s="48"/>
      <c r="V86" s="50" t="s">
        <v>1347</v>
      </c>
      <c r="W86" s="50">
        <v>3.13250017124E11</v>
      </c>
      <c r="X86" s="50" t="s">
        <v>12</v>
      </c>
      <c r="Y86" s="50" t="s">
        <v>1322</v>
      </c>
      <c r="Z86" s="50">
        <v>3.040317799E9</v>
      </c>
      <c r="AA86" s="50" t="s">
        <v>13</v>
      </c>
      <c r="AB86" s="50" t="s">
        <v>1380</v>
      </c>
      <c r="AC86" s="50" t="s">
        <v>1564</v>
      </c>
      <c r="AD86" s="48"/>
      <c r="AE86" s="48"/>
      <c r="AF86" s="48"/>
      <c r="AG86" s="48"/>
    </row>
    <row r="87">
      <c r="A87" s="47">
        <f>COUNTIF('Histórico'!$B:$B,B87)</f>
        <v>1</v>
      </c>
      <c r="B87" s="47" t="s">
        <v>699</v>
      </c>
      <c r="C87" s="48"/>
      <c r="D87" s="50" t="s">
        <v>1314</v>
      </c>
      <c r="E87" s="50" t="s">
        <v>1315</v>
      </c>
      <c r="F87" s="59">
        <v>45939.0</v>
      </c>
      <c r="G87" s="50" t="s">
        <v>1316</v>
      </c>
      <c r="H87" s="59">
        <v>45939.0</v>
      </c>
      <c r="I87" s="47" t="s">
        <v>181</v>
      </c>
      <c r="J87" s="47" t="s">
        <v>232</v>
      </c>
      <c r="K87" s="47" t="s">
        <v>1530</v>
      </c>
      <c r="L87" s="60" t="s">
        <v>1565</v>
      </c>
      <c r="M87" s="48"/>
      <c r="N87" s="48"/>
      <c r="O87" s="48"/>
      <c r="P87" s="48"/>
      <c r="Q87" s="50">
        <v>1.0</v>
      </c>
      <c r="R87" s="59">
        <v>45938.0</v>
      </c>
      <c r="S87" s="61">
        <v>45944.0</v>
      </c>
      <c r="T87" s="59">
        <v>45939.0</v>
      </c>
      <c r="U87" s="48"/>
      <c r="V87" s="50" t="s">
        <v>1321</v>
      </c>
      <c r="W87" s="47"/>
      <c r="X87" s="50" t="s">
        <v>12</v>
      </c>
      <c r="Y87" s="50" t="s">
        <v>1322</v>
      </c>
      <c r="Z87" s="50">
        <v>3.040303444E9</v>
      </c>
      <c r="AA87" s="50" t="s">
        <v>1352</v>
      </c>
      <c r="AB87" s="50" t="s">
        <v>1353</v>
      </c>
      <c r="AC87" s="50" t="s">
        <v>1566</v>
      </c>
      <c r="AD87" s="48"/>
      <c r="AE87" s="48"/>
      <c r="AF87" s="48"/>
      <c r="AG87" s="48"/>
    </row>
    <row r="88">
      <c r="A88" s="47">
        <f>COUNTIF('Histórico'!$B:$B,B88)</f>
        <v>1</v>
      </c>
      <c r="B88" s="47" t="s">
        <v>697</v>
      </c>
      <c r="C88" s="48"/>
      <c r="D88" s="50" t="s">
        <v>1314</v>
      </c>
      <c r="E88" s="50" t="s">
        <v>1315</v>
      </c>
      <c r="F88" s="59">
        <v>45939.0</v>
      </c>
      <c r="G88" s="50" t="s">
        <v>1316</v>
      </c>
      <c r="H88" s="59">
        <v>45939.0</v>
      </c>
      <c r="I88" s="47" t="s">
        <v>181</v>
      </c>
      <c r="J88" s="47" t="s">
        <v>232</v>
      </c>
      <c r="K88" s="47" t="s">
        <v>1530</v>
      </c>
      <c r="L88" s="60" t="s">
        <v>1567</v>
      </c>
      <c r="M88" s="48"/>
      <c r="N88" s="48"/>
      <c r="O88" s="48"/>
      <c r="P88" s="48"/>
      <c r="Q88" s="50">
        <v>1.0</v>
      </c>
      <c r="R88" s="59">
        <v>45938.0</v>
      </c>
      <c r="S88" s="61">
        <v>45944.0</v>
      </c>
      <c r="T88" s="59">
        <v>45939.0</v>
      </c>
      <c r="U88" s="48"/>
      <c r="V88" s="50" t="s">
        <v>1321</v>
      </c>
      <c r="W88" s="47"/>
      <c r="X88" s="50" t="s">
        <v>12</v>
      </c>
      <c r="Y88" s="50" t="s">
        <v>1322</v>
      </c>
      <c r="Z88" s="50">
        <v>3.040295895E9</v>
      </c>
      <c r="AA88" s="50" t="s">
        <v>1491</v>
      </c>
      <c r="AB88" s="50" t="s">
        <v>1492</v>
      </c>
      <c r="AC88" s="50" t="s">
        <v>1493</v>
      </c>
      <c r="AD88" s="48"/>
      <c r="AE88" s="48"/>
      <c r="AF88" s="48"/>
      <c r="AG88" s="48"/>
    </row>
    <row r="89">
      <c r="A89" s="47">
        <f>COUNTIF('Histórico'!$B:$B,B89)</f>
        <v>1</v>
      </c>
      <c r="B89" s="47" t="s">
        <v>703</v>
      </c>
      <c r="C89" s="48"/>
      <c r="D89" s="50" t="s">
        <v>1314</v>
      </c>
      <c r="E89" s="50" t="s">
        <v>1315</v>
      </c>
      <c r="F89" s="61">
        <v>45946.0</v>
      </c>
      <c r="G89" s="50" t="s">
        <v>1316</v>
      </c>
      <c r="H89" s="61">
        <v>45946.0</v>
      </c>
      <c r="I89" s="47" t="s">
        <v>211</v>
      </c>
      <c r="J89" s="47" t="s">
        <v>1318</v>
      </c>
      <c r="K89" s="47" t="s">
        <v>1568</v>
      </c>
      <c r="L89" s="60" t="s">
        <v>1569</v>
      </c>
      <c r="M89" s="48"/>
      <c r="N89" s="48"/>
      <c r="O89" s="48"/>
      <c r="P89" s="48"/>
      <c r="Q89" s="50">
        <v>1.0</v>
      </c>
      <c r="R89" s="61">
        <v>45946.0</v>
      </c>
      <c r="S89" s="61">
        <v>45952.0</v>
      </c>
      <c r="T89" s="61">
        <v>45946.0</v>
      </c>
      <c r="U89" s="48"/>
      <c r="V89" s="50" t="s">
        <v>1321</v>
      </c>
      <c r="W89" s="47"/>
      <c r="X89" s="50" t="s">
        <v>12</v>
      </c>
      <c r="Y89" s="50" t="s">
        <v>1322</v>
      </c>
      <c r="Z89" s="50">
        <v>3.040312898E9</v>
      </c>
      <c r="AA89" s="50" t="s">
        <v>12</v>
      </c>
      <c r="AB89" s="50" t="s">
        <v>1322</v>
      </c>
      <c r="AC89" s="50" t="s">
        <v>1434</v>
      </c>
      <c r="AD89" s="48"/>
      <c r="AE89" s="48"/>
      <c r="AF89" s="48"/>
      <c r="AG89" s="48"/>
    </row>
    <row r="90">
      <c r="A90" s="47">
        <f>COUNTIF('Histórico'!$B:$B,B90)</f>
        <v>1</v>
      </c>
      <c r="B90" s="47" t="s">
        <v>707</v>
      </c>
      <c r="C90" s="48"/>
      <c r="D90" s="50" t="s">
        <v>1314</v>
      </c>
      <c r="E90" s="50" t="s">
        <v>1315</v>
      </c>
      <c r="F90" s="59">
        <v>45965.0</v>
      </c>
      <c r="G90" s="50" t="s">
        <v>1316</v>
      </c>
      <c r="H90" s="59">
        <v>45965.0</v>
      </c>
      <c r="I90" s="47" t="s">
        <v>1317</v>
      </c>
      <c r="J90" s="47" t="s">
        <v>1570</v>
      </c>
      <c r="K90" s="47" t="s">
        <v>1571</v>
      </c>
      <c r="L90" s="60" t="s">
        <v>1572</v>
      </c>
      <c r="M90" s="48"/>
      <c r="N90" s="48"/>
      <c r="O90" s="48"/>
      <c r="P90" s="48"/>
      <c r="Q90" s="50">
        <v>1.0</v>
      </c>
      <c r="R90" s="59">
        <v>45965.0</v>
      </c>
      <c r="S90" s="61">
        <v>45971.0</v>
      </c>
      <c r="T90" s="59">
        <v>45965.0</v>
      </c>
      <c r="U90" s="48"/>
      <c r="V90" s="50" t="s">
        <v>1321</v>
      </c>
      <c r="W90" s="48"/>
      <c r="X90" s="50" t="s">
        <v>12</v>
      </c>
      <c r="Y90" s="50" t="s">
        <v>1322</v>
      </c>
      <c r="Z90" s="50">
        <v>3.04029076E9</v>
      </c>
      <c r="AA90" s="50" t="s">
        <v>17</v>
      </c>
      <c r="AB90" s="50" t="s">
        <v>1343</v>
      </c>
      <c r="AC90" s="50" t="s">
        <v>1508</v>
      </c>
      <c r="AD90" s="48"/>
      <c r="AE90" s="48"/>
      <c r="AF90" s="48"/>
      <c r="AG90" s="48"/>
    </row>
    <row r="91">
      <c r="A91" s="47">
        <f>COUNTIF('Histórico'!$B:$B,B91)</f>
        <v>1</v>
      </c>
      <c r="B91" s="47" t="s">
        <v>705</v>
      </c>
      <c r="C91" s="48"/>
      <c r="D91" s="50" t="s">
        <v>1314</v>
      </c>
      <c r="E91" s="50" t="s">
        <v>1315</v>
      </c>
      <c r="F91" s="59">
        <v>45965.0</v>
      </c>
      <c r="G91" s="50" t="s">
        <v>1316</v>
      </c>
      <c r="H91" s="59">
        <v>45965.0</v>
      </c>
      <c r="I91" s="47" t="s">
        <v>1317</v>
      </c>
      <c r="J91" s="47" t="s">
        <v>1570</v>
      </c>
      <c r="K91" s="47" t="s">
        <v>1571</v>
      </c>
      <c r="L91" s="60" t="s">
        <v>1573</v>
      </c>
      <c r="M91" s="48"/>
      <c r="N91" s="48"/>
      <c r="O91" s="48"/>
      <c r="P91" s="48"/>
      <c r="Q91" s="50">
        <v>1.0</v>
      </c>
      <c r="R91" s="59">
        <v>45965.0</v>
      </c>
      <c r="S91" s="61">
        <v>45971.0</v>
      </c>
      <c r="T91" s="59">
        <v>45965.0</v>
      </c>
      <c r="U91" s="48"/>
      <c r="V91" s="50" t="s">
        <v>1321</v>
      </c>
      <c r="W91" s="50"/>
      <c r="X91" s="50" t="s">
        <v>12</v>
      </c>
      <c r="Y91" s="50" t="s">
        <v>1322</v>
      </c>
      <c r="Z91" s="50">
        <v>3.040311489E9</v>
      </c>
      <c r="AA91" s="50" t="s">
        <v>13</v>
      </c>
      <c r="AB91" s="50" t="s">
        <v>1380</v>
      </c>
      <c r="AC91" s="50" t="s">
        <v>1574</v>
      </c>
      <c r="AD91" s="48"/>
      <c r="AE91" s="48"/>
      <c r="AF91" s="48"/>
      <c r="AG91" s="48"/>
    </row>
    <row r="92">
      <c r="A92" s="47">
        <f>COUNTIF('Histórico'!$B:$B,B92)</f>
        <v>1</v>
      </c>
      <c r="B92" s="47" t="s">
        <v>709</v>
      </c>
      <c r="C92" s="48"/>
      <c r="D92" s="50" t="s">
        <v>1314</v>
      </c>
      <c r="E92" s="50" t="s">
        <v>1315</v>
      </c>
      <c r="F92" s="59">
        <v>45967.0</v>
      </c>
      <c r="G92" s="50" t="s">
        <v>1316</v>
      </c>
      <c r="H92" s="59">
        <v>45967.0</v>
      </c>
      <c r="I92" s="47" t="s">
        <v>105</v>
      </c>
      <c r="J92" s="47" t="s">
        <v>1318</v>
      </c>
      <c r="K92" s="47" t="s">
        <v>106</v>
      </c>
      <c r="L92" s="60" t="s">
        <v>1575</v>
      </c>
      <c r="M92" s="48"/>
      <c r="N92" s="48"/>
      <c r="O92" s="48"/>
      <c r="P92" s="48"/>
      <c r="Q92" s="50">
        <v>1.0</v>
      </c>
      <c r="R92" s="59">
        <v>45967.0</v>
      </c>
      <c r="S92" s="61">
        <v>45973.0</v>
      </c>
      <c r="T92" s="59">
        <v>45967.0</v>
      </c>
      <c r="U92" s="48"/>
      <c r="V92" s="50" t="s">
        <v>1321</v>
      </c>
      <c r="W92" s="47"/>
      <c r="X92" s="50" t="s">
        <v>12</v>
      </c>
      <c r="Y92" s="50" t="s">
        <v>1322</v>
      </c>
      <c r="Z92" s="50">
        <v>3.040308555E9</v>
      </c>
      <c r="AA92" s="50" t="s">
        <v>24</v>
      </c>
      <c r="AB92" s="50" t="s">
        <v>1359</v>
      </c>
      <c r="AC92" s="50" t="s">
        <v>1360</v>
      </c>
      <c r="AD92" s="48"/>
      <c r="AE92" s="48"/>
      <c r="AF92" s="48"/>
      <c r="AG92" s="48"/>
    </row>
    <row r="93">
      <c r="A93" s="47">
        <f>COUNTIF('Histórico'!$B:$B,B93)</f>
        <v>1</v>
      </c>
      <c r="B93" s="47" t="s">
        <v>711</v>
      </c>
      <c r="C93" s="48"/>
      <c r="D93" s="50" t="s">
        <v>1314</v>
      </c>
      <c r="E93" s="50" t="s">
        <v>1315</v>
      </c>
      <c r="F93" s="59">
        <v>45968.0</v>
      </c>
      <c r="G93" s="50" t="s">
        <v>1316</v>
      </c>
      <c r="H93" s="59">
        <v>45968.0</v>
      </c>
      <c r="I93" s="47" t="s">
        <v>1576</v>
      </c>
      <c r="J93" s="47" t="s">
        <v>1577</v>
      </c>
      <c r="K93" s="47" t="s">
        <v>1578</v>
      </c>
      <c r="L93" s="60" t="s">
        <v>1579</v>
      </c>
      <c r="M93" s="48"/>
      <c r="N93" s="48"/>
      <c r="O93" s="48"/>
      <c r="P93" s="48"/>
      <c r="Q93" s="50">
        <v>1.0</v>
      </c>
      <c r="R93" s="59">
        <v>45965.0</v>
      </c>
      <c r="S93" s="61">
        <v>45971.0</v>
      </c>
      <c r="T93" s="59">
        <v>45968.0</v>
      </c>
      <c r="U93" s="48"/>
      <c r="V93" s="50" t="s">
        <v>1321</v>
      </c>
      <c r="W93" s="50"/>
      <c r="X93" s="50" t="s">
        <v>12</v>
      </c>
      <c r="Y93" s="50" t="s">
        <v>1322</v>
      </c>
      <c r="Z93" s="50">
        <v>3.040310543E9</v>
      </c>
      <c r="AA93" s="50" t="s">
        <v>12</v>
      </c>
      <c r="AB93" s="50" t="s">
        <v>1322</v>
      </c>
      <c r="AC93" s="50" t="s">
        <v>1336</v>
      </c>
      <c r="AD93" s="48"/>
      <c r="AE93" s="48"/>
      <c r="AF93" s="48"/>
      <c r="AG93" s="48"/>
    </row>
    <row r="94">
      <c r="A94" s="47">
        <f>COUNTIF('Histórico'!$B:$B,B94)</f>
        <v>1</v>
      </c>
      <c r="B94" s="47" t="s">
        <v>713</v>
      </c>
      <c r="C94" s="48"/>
      <c r="D94" s="50" t="s">
        <v>1314</v>
      </c>
      <c r="E94" s="50" t="s">
        <v>1315</v>
      </c>
      <c r="F94" s="59">
        <v>45968.0</v>
      </c>
      <c r="G94" s="50" t="s">
        <v>1316</v>
      </c>
      <c r="H94" s="59">
        <v>45968.0</v>
      </c>
      <c r="I94" s="47" t="s">
        <v>1436</v>
      </c>
      <c r="J94" s="47" t="s">
        <v>1395</v>
      </c>
      <c r="K94" s="47" t="s">
        <v>1437</v>
      </c>
      <c r="L94" s="60" t="s">
        <v>340</v>
      </c>
      <c r="M94" s="48"/>
      <c r="N94" s="48"/>
      <c r="O94" s="48"/>
      <c r="P94" s="48"/>
      <c r="Q94" s="50">
        <v>1.0</v>
      </c>
      <c r="R94" s="59">
        <v>45965.0</v>
      </c>
      <c r="S94" s="61">
        <v>45971.0</v>
      </c>
      <c r="T94" s="59">
        <v>45968.0</v>
      </c>
      <c r="U94" s="48"/>
      <c r="V94" s="50" t="s">
        <v>1321</v>
      </c>
      <c r="W94" s="47"/>
      <c r="X94" s="50" t="s">
        <v>12</v>
      </c>
      <c r="Y94" s="50" t="s">
        <v>1322</v>
      </c>
      <c r="Z94" s="50">
        <v>3.040319447E9</v>
      </c>
      <c r="AA94" s="50" t="s">
        <v>17</v>
      </c>
      <c r="AB94" s="50" t="s">
        <v>1553</v>
      </c>
      <c r="AC94" s="50" t="s">
        <v>1554</v>
      </c>
      <c r="AD94" s="48"/>
      <c r="AE94" s="48"/>
      <c r="AF94" s="48"/>
      <c r="AG94" s="48"/>
    </row>
    <row r="95">
      <c r="A95" s="47">
        <f>COUNTIF('Histórico'!$B:$B,B95)</f>
        <v>1</v>
      </c>
      <c r="B95" s="47" t="s">
        <v>725</v>
      </c>
      <c r="C95" s="48"/>
      <c r="D95" s="50" t="s">
        <v>1314</v>
      </c>
      <c r="E95" s="50" t="s">
        <v>1315</v>
      </c>
      <c r="F95" s="61">
        <v>45979.0</v>
      </c>
      <c r="G95" s="50" t="s">
        <v>1316</v>
      </c>
      <c r="H95" s="61">
        <v>45979.0</v>
      </c>
      <c r="I95" s="47" t="s">
        <v>1580</v>
      </c>
      <c r="J95" s="47" t="s">
        <v>1581</v>
      </c>
      <c r="K95" s="47" t="s">
        <v>146</v>
      </c>
      <c r="L95" s="60" t="s">
        <v>1582</v>
      </c>
      <c r="M95" s="48"/>
      <c r="N95" s="48"/>
      <c r="O95" s="48"/>
      <c r="P95" s="48"/>
      <c r="Q95" s="50">
        <v>1.0</v>
      </c>
      <c r="R95" s="61">
        <v>45978.0</v>
      </c>
      <c r="S95" s="59">
        <v>46128.0</v>
      </c>
      <c r="T95" s="61">
        <v>45979.0</v>
      </c>
      <c r="U95" s="48"/>
      <c r="V95" s="50" t="s">
        <v>1321</v>
      </c>
      <c r="W95" s="47"/>
      <c r="X95" s="50" t="s">
        <v>12</v>
      </c>
      <c r="Y95" s="50" t="s">
        <v>1322</v>
      </c>
      <c r="Z95" s="50">
        <v>3.040301307E9</v>
      </c>
      <c r="AA95" s="50" t="s">
        <v>1500</v>
      </c>
      <c r="AB95" s="50" t="s">
        <v>1501</v>
      </c>
      <c r="AC95" s="50" t="s">
        <v>1502</v>
      </c>
      <c r="AD95" s="48"/>
      <c r="AE95" s="48"/>
      <c r="AF95" s="48"/>
      <c r="AG95" s="48"/>
    </row>
    <row r="96">
      <c r="A96" s="47">
        <f>COUNTIF('Histórico'!$B:$B,B96)</f>
        <v>1</v>
      </c>
      <c r="B96" s="47" t="s">
        <v>731</v>
      </c>
      <c r="C96" s="48"/>
      <c r="D96" s="50" t="s">
        <v>1314</v>
      </c>
      <c r="E96" s="50" t="s">
        <v>1315</v>
      </c>
      <c r="F96" s="61">
        <v>45986.0</v>
      </c>
      <c r="G96" s="50" t="s">
        <v>1316</v>
      </c>
      <c r="H96" s="61">
        <v>45986.0</v>
      </c>
      <c r="I96" s="47" t="s">
        <v>133</v>
      </c>
      <c r="J96" s="47" t="s">
        <v>48</v>
      </c>
      <c r="K96" s="47" t="s">
        <v>134</v>
      </c>
      <c r="L96" s="60" t="s">
        <v>1583</v>
      </c>
      <c r="M96" s="48"/>
      <c r="N96" s="48"/>
      <c r="O96" s="48"/>
      <c r="P96" s="48"/>
      <c r="Q96" s="50">
        <v>1.0</v>
      </c>
      <c r="R96" s="61">
        <v>45986.0</v>
      </c>
      <c r="S96" s="59">
        <v>45992.0</v>
      </c>
      <c r="T96" s="61">
        <v>45986.0</v>
      </c>
      <c r="U96" s="48"/>
      <c r="V96" s="50" t="s">
        <v>1321</v>
      </c>
      <c r="W96" s="47"/>
      <c r="X96" s="50" t="s">
        <v>12</v>
      </c>
      <c r="Y96" s="50" t="s">
        <v>1322</v>
      </c>
      <c r="Z96" s="50">
        <v>3.040285255E9</v>
      </c>
      <c r="AA96" s="50" t="s">
        <v>15</v>
      </c>
      <c r="AB96" s="50" t="s">
        <v>1348</v>
      </c>
      <c r="AC96" s="50" t="s">
        <v>1584</v>
      </c>
      <c r="AD96" s="48"/>
      <c r="AE96" s="48"/>
      <c r="AF96" s="48"/>
      <c r="AG96" s="48"/>
    </row>
    <row r="97">
      <c r="A97" s="47">
        <f>COUNTIF('Histórico'!$B:$B,B97)</f>
        <v>1</v>
      </c>
      <c r="B97" s="47" t="s">
        <v>729</v>
      </c>
      <c r="C97" s="48"/>
      <c r="D97" s="50" t="s">
        <v>1314</v>
      </c>
      <c r="E97" s="50" t="s">
        <v>1315</v>
      </c>
      <c r="F97" s="61">
        <v>45986.0</v>
      </c>
      <c r="G97" s="50" t="s">
        <v>1316</v>
      </c>
      <c r="H97" s="61">
        <v>45986.0</v>
      </c>
      <c r="I97" s="47" t="s">
        <v>133</v>
      </c>
      <c r="J97" s="47" t="s">
        <v>48</v>
      </c>
      <c r="K97" s="47" t="s">
        <v>134</v>
      </c>
      <c r="L97" s="60" t="s">
        <v>1585</v>
      </c>
      <c r="M97" s="48"/>
      <c r="N97" s="48"/>
      <c r="O97" s="48"/>
      <c r="P97" s="48"/>
      <c r="Q97" s="50">
        <v>1.0</v>
      </c>
      <c r="R97" s="61">
        <v>45986.0</v>
      </c>
      <c r="S97" s="59">
        <v>45992.0</v>
      </c>
      <c r="T97" s="61">
        <v>45986.0</v>
      </c>
      <c r="U97" s="48"/>
      <c r="V97" s="50" t="s">
        <v>1321</v>
      </c>
      <c r="W97" s="47"/>
      <c r="X97" s="50" t="s">
        <v>12</v>
      </c>
      <c r="Y97" s="50" t="s">
        <v>1322</v>
      </c>
      <c r="Z97" s="50">
        <v>3.040312875E9</v>
      </c>
      <c r="AA97" s="50" t="s">
        <v>12</v>
      </c>
      <c r="AB97" s="50" t="s">
        <v>1322</v>
      </c>
      <c r="AC97" s="50" t="s">
        <v>1434</v>
      </c>
      <c r="AD97" s="48"/>
      <c r="AE97" s="48"/>
      <c r="AF97" s="48"/>
      <c r="AG97" s="48"/>
    </row>
    <row r="98">
      <c r="A98" s="47">
        <f>COUNTIF('Histórico'!$B:$B,B98)</f>
        <v>1</v>
      </c>
      <c r="B98" s="47" t="s">
        <v>737</v>
      </c>
      <c r="C98" s="48"/>
      <c r="D98" s="50" t="s">
        <v>1314</v>
      </c>
      <c r="E98" s="50" t="s">
        <v>1315</v>
      </c>
      <c r="F98" s="61">
        <v>45986.0</v>
      </c>
      <c r="G98" s="50" t="s">
        <v>1316</v>
      </c>
      <c r="H98" s="61">
        <v>45986.0</v>
      </c>
      <c r="I98" s="47" t="s">
        <v>260</v>
      </c>
      <c r="J98" s="47" t="s">
        <v>1318</v>
      </c>
      <c r="K98" s="47" t="s">
        <v>1586</v>
      </c>
      <c r="L98" s="60" t="s">
        <v>1587</v>
      </c>
      <c r="M98" s="48"/>
      <c r="N98" s="48"/>
      <c r="O98" s="48"/>
      <c r="P98" s="48"/>
      <c r="Q98" s="50">
        <v>1.0</v>
      </c>
      <c r="R98" s="61">
        <v>45986.0</v>
      </c>
      <c r="S98" s="59">
        <v>45992.0</v>
      </c>
      <c r="T98" s="61">
        <v>45986.0</v>
      </c>
      <c r="U98" s="48"/>
      <c r="V98" s="50" t="s">
        <v>1321</v>
      </c>
      <c r="W98" s="47"/>
      <c r="X98" s="50" t="s">
        <v>12</v>
      </c>
      <c r="Y98" s="50" t="s">
        <v>1322</v>
      </c>
      <c r="Z98" s="50">
        <v>3.04030424E9</v>
      </c>
      <c r="AA98" s="50" t="s">
        <v>12</v>
      </c>
      <c r="AB98" s="50" t="s">
        <v>1385</v>
      </c>
      <c r="AC98" s="50" t="s">
        <v>1588</v>
      </c>
      <c r="AD98" s="48"/>
      <c r="AE98" s="48"/>
      <c r="AF98" s="48"/>
      <c r="AG98" s="48"/>
    </row>
    <row r="99">
      <c r="A99" s="47">
        <f>COUNTIF('Histórico'!$B:$B,B99)</f>
        <v>1</v>
      </c>
      <c r="B99" s="47" t="s">
        <v>735</v>
      </c>
      <c r="C99" s="48"/>
      <c r="D99" s="50" t="s">
        <v>1314</v>
      </c>
      <c r="E99" s="50" t="s">
        <v>1315</v>
      </c>
      <c r="F99" s="61">
        <v>45986.0</v>
      </c>
      <c r="G99" s="50" t="s">
        <v>1316</v>
      </c>
      <c r="H99" s="61">
        <v>45986.0</v>
      </c>
      <c r="I99" s="47" t="s">
        <v>260</v>
      </c>
      <c r="J99" s="47" t="s">
        <v>1318</v>
      </c>
      <c r="K99" s="47" t="s">
        <v>1586</v>
      </c>
      <c r="L99" s="60" t="s">
        <v>1589</v>
      </c>
      <c r="M99" s="48"/>
      <c r="N99" s="48"/>
      <c r="O99" s="48"/>
      <c r="P99" s="48"/>
      <c r="Q99" s="50">
        <v>1.0</v>
      </c>
      <c r="R99" s="61">
        <v>45986.0</v>
      </c>
      <c r="S99" s="59">
        <v>45992.0</v>
      </c>
      <c r="T99" s="61">
        <v>45986.0</v>
      </c>
      <c r="U99" s="48"/>
      <c r="V99" s="50" t="s">
        <v>1321</v>
      </c>
      <c r="W99" s="48"/>
      <c r="X99" s="50" t="s">
        <v>12</v>
      </c>
      <c r="Y99" s="50" t="s">
        <v>1322</v>
      </c>
      <c r="Z99" s="50">
        <v>3.040316668E9</v>
      </c>
      <c r="AA99" s="50" t="s">
        <v>12</v>
      </c>
      <c r="AB99" s="50" t="s">
        <v>1322</v>
      </c>
      <c r="AC99" s="50" t="s">
        <v>1369</v>
      </c>
      <c r="AD99" s="48"/>
      <c r="AE99" s="48"/>
      <c r="AF99" s="48"/>
      <c r="AG99" s="48"/>
    </row>
    <row r="100">
      <c r="A100" s="47">
        <f>COUNTIF('Histórico'!$B:$B,B100)</f>
        <v>1</v>
      </c>
      <c r="B100" s="47" t="s">
        <v>741</v>
      </c>
      <c r="C100" s="48"/>
      <c r="D100" s="50" t="s">
        <v>1314</v>
      </c>
      <c r="E100" s="50" t="s">
        <v>1315</v>
      </c>
      <c r="F100" s="61">
        <v>45986.0</v>
      </c>
      <c r="G100" s="50" t="s">
        <v>1316</v>
      </c>
      <c r="H100" s="61">
        <v>45986.0</v>
      </c>
      <c r="I100" s="47" t="s">
        <v>1590</v>
      </c>
      <c r="J100" s="47" t="s">
        <v>1318</v>
      </c>
      <c r="K100" s="47" t="s">
        <v>1591</v>
      </c>
      <c r="L100" s="60" t="s">
        <v>1592</v>
      </c>
      <c r="M100" s="48"/>
      <c r="N100" s="48"/>
      <c r="O100" s="48"/>
      <c r="P100" s="48"/>
      <c r="Q100" s="50">
        <v>1.0</v>
      </c>
      <c r="R100" s="61">
        <v>45986.0</v>
      </c>
      <c r="S100" s="59">
        <v>45992.0</v>
      </c>
      <c r="T100" s="61">
        <v>45986.0</v>
      </c>
      <c r="U100" s="48"/>
      <c r="V100" s="50" t="s">
        <v>1321</v>
      </c>
      <c r="W100" s="50"/>
      <c r="X100" s="50" t="s">
        <v>12</v>
      </c>
      <c r="Y100" s="50" t="s">
        <v>1322</v>
      </c>
      <c r="Z100" s="50">
        <v>3.040289327E9</v>
      </c>
      <c r="AA100" s="50" t="s">
        <v>17</v>
      </c>
      <c r="AB100" s="50" t="s">
        <v>1343</v>
      </c>
      <c r="AC100" s="50" t="s">
        <v>1593</v>
      </c>
      <c r="AD100" s="48"/>
      <c r="AE100" s="48"/>
      <c r="AF100" s="48"/>
      <c r="AG100" s="48"/>
    </row>
    <row r="101">
      <c r="A101" s="47">
        <f>COUNTIF('Histórico'!$B:$B,B101)</f>
        <v>1</v>
      </c>
      <c r="B101" s="47" t="s">
        <v>743</v>
      </c>
      <c r="C101" s="48"/>
      <c r="D101" s="50" t="s">
        <v>1314</v>
      </c>
      <c r="E101" s="50" t="s">
        <v>1315</v>
      </c>
      <c r="F101" s="61">
        <v>45986.0</v>
      </c>
      <c r="G101" s="50" t="s">
        <v>1316</v>
      </c>
      <c r="H101" s="61">
        <v>45986.0</v>
      </c>
      <c r="I101" s="47" t="s">
        <v>1590</v>
      </c>
      <c r="J101" s="47" t="s">
        <v>1318</v>
      </c>
      <c r="K101" s="47" t="s">
        <v>1591</v>
      </c>
      <c r="L101" s="60" t="s">
        <v>1594</v>
      </c>
      <c r="M101" s="48"/>
      <c r="N101" s="48"/>
      <c r="O101" s="48"/>
      <c r="P101" s="48"/>
      <c r="Q101" s="50">
        <v>1.0</v>
      </c>
      <c r="R101" s="61">
        <v>45986.0</v>
      </c>
      <c r="S101" s="59">
        <v>45992.0</v>
      </c>
      <c r="T101" s="61">
        <v>45986.0</v>
      </c>
      <c r="U101" s="48"/>
      <c r="V101" s="50" t="s">
        <v>1321</v>
      </c>
      <c r="W101" s="48"/>
      <c r="X101" s="50" t="s">
        <v>12</v>
      </c>
      <c r="Y101" s="50" t="s">
        <v>1322</v>
      </c>
      <c r="Z101" s="50">
        <v>3.040288563E9</v>
      </c>
      <c r="AA101" s="50" t="s">
        <v>24</v>
      </c>
      <c r="AB101" s="50" t="s">
        <v>1359</v>
      </c>
      <c r="AC101" s="50" t="s">
        <v>1360</v>
      </c>
      <c r="AD101" s="48"/>
      <c r="AE101" s="48"/>
      <c r="AF101" s="48"/>
      <c r="AG101" s="48"/>
    </row>
    <row r="102">
      <c r="A102" s="47">
        <f>COUNTIF('Histórico'!$B:$B,B102)</f>
        <v>1</v>
      </c>
      <c r="B102" s="47" t="s">
        <v>745</v>
      </c>
      <c r="C102" s="48"/>
      <c r="D102" s="50" t="s">
        <v>1314</v>
      </c>
      <c r="E102" s="50" t="s">
        <v>1315</v>
      </c>
      <c r="F102" s="59">
        <v>46000.0</v>
      </c>
      <c r="G102" s="50" t="s">
        <v>1316</v>
      </c>
      <c r="H102" s="59">
        <v>46000.0</v>
      </c>
      <c r="I102" s="47" t="s">
        <v>127</v>
      </c>
      <c r="J102" s="47" t="s">
        <v>232</v>
      </c>
      <c r="K102" s="47" t="s">
        <v>128</v>
      </c>
      <c r="L102" s="60" t="s">
        <v>1595</v>
      </c>
      <c r="M102" s="48"/>
      <c r="N102" s="48"/>
      <c r="O102" s="48"/>
      <c r="P102" s="48"/>
      <c r="Q102" s="50">
        <v>1.0</v>
      </c>
      <c r="R102" s="59">
        <v>45996.0</v>
      </c>
      <c r="S102" s="61">
        <v>46002.0</v>
      </c>
      <c r="T102" s="59">
        <v>46000.0</v>
      </c>
      <c r="U102" s="48"/>
      <c r="V102" s="50" t="s">
        <v>1321</v>
      </c>
      <c r="W102" s="48"/>
      <c r="X102" s="50" t="s">
        <v>12</v>
      </c>
      <c r="Y102" s="50" t="s">
        <v>1322</v>
      </c>
      <c r="Z102" s="50">
        <v>3.040312886E9</v>
      </c>
      <c r="AA102" s="50" t="s">
        <v>12</v>
      </c>
      <c r="AB102" s="50" t="s">
        <v>1322</v>
      </c>
      <c r="AC102" s="50" t="s">
        <v>1434</v>
      </c>
      <c r="AD102" s="48"/>
      <c r="AE102" s="48"/>
      <c r="AF102" s="48"/>
      <c r="AG102" s="48"/>
    </row>
    <row r="103">
      <c r="A103" s="47">
        <f>COUNTIF('Histórico'!$B:$B,B103)</f>
        <v>1</v>
      </c>
      <c r="B103" s="47" t="s">
        <v>747</v>
      </c>
      <c r="C103" s="48"/>
      <c r="D103" s="50" t="s">
        <v>1314</v>
      </c>
      <c r="E103" s="50" t="s">
        <v>1315</v>
      </c>
      <c r="F103" s="59">
        <v>46000.0</v>
      </c>
      <c r="G103" s="50" t="s">
        <v>1316</v>
      </c>
      <c r="H103" s="59">
        <v>46000.0</v>
      </c>
      <c r="I103" s="47" t="s">
        <v>1596</v>
      </c>
      <c r="J103" s="47" t="s">
        <v>1597</v>
      </c>
      <c r="K103" s="47" t="s">
        <v>1598</v>
      </c>
      <c r="L103" s="60" t="s">
        <v>1599</v>
      </c>
      <c r="M103" s="48"/>
      <c r="N103" s="48"/>
      <c r="O103" s="48"/>
      <c r="P103" s="48"/>
      <c r="Q103" s="50">
        <v>1.0</v>
      </c>
      <c r="R103" s="59">
        <v>45996.0</v>
      </c>
      <c r="S103" s="61">
        <v>46002.0</v>
      </c>
      <c r="T103" s="59">
        <v>46000.0</v>
      </c>
      <c r="U103" s="48"/>
      <c r="V103" s="50" t="s">
        <v>1321</v>
      </c>
      <c r="W103" s="47"/>
      <c r="X103" s="50" t="s">
        <v>12</v>
      </c>
      <c r="Y103" s="50" t="s">
        <v>1322</v>
      </c>
      <c r="Z103" s="50">
        <v>3.040317039E9</v>
      </c>
      <c r="AA103" s="50" t="s">
        <v>12</v>
      </c>
      <c r="AB103" s="50" t="s">
        <v>1322</v>
      </c>
      <c r="AC103" s="50" t="s">
        <v>1369</v>
      </c>
      <c r="AD103" s="48"/>
      <c r="AE103" s="48"/>
      <c r="AF103" s="48"/>
      <c r="AG103" s="48"/>
    </row>
    <row r="104">
      <c r="A104" s="47">
        <f>COUNTIF('Histórico'!$B:$B,B104)</f>
        <v>1</v>
      </c>
      <c r="B104" s="47" t="s">
        <v>757</v>
      </c>
      <c r="C104" s="48"/>
      <c r="D104" s="50" t="s">
        <v>1314</v>
      </c>
      <c r="E104" s="50" t="s">
        <v>1315</v>
      </c>
      <c r="F104" s="61">
        <v>46007.0</v>
      </c>
      <c r="G104" s="50" t="s">
        <v>1316</v>
      </c>
      <c r="H104" s="61">
        <v>46007.0</v>
      </c>
      <c r="I104" s="47" t="s">
        <v>279</v>
      </c>
      <c r="J104" s="47" t="s">
        <v>48</v>
      </c>
      <c r="K104" s="47" t="s">
        <v>280</v>
      </c>
      <c r="L104" s="60" t="s">
        <v>1600</v>
      </c>
      <c r="M104" s="48"/>
      <c r="N104" s="48"/>
      <c r="O104" s="48"/>
      <c r="P104" s="48"/>
      <c r="Q104" s="50">
        <v>1.0</v>
      </c>
      <c r="R104" s="59">
        <v>46000.0</v>
      </c>
      <c r="S104" s="61">
        <v>46006.0</v>
      </c>
      <c r="T104" s="61">
        <v>46007.0</v>
      </c>
      <c r="U104" s="48"/>
      <c r="V104" s="50" t="s">
        <v>1321</v>
      </c>
      <c r="W104" s="48"/>
      <c r="X104" s="50" t="s">
        <v>12</v>
      </c>
      <c r="Y104" s="50" t="s">
        <v>1322</v>
      </c>
      <c r="Z104" s="50">
        <v>3.040310549E9</v>
      </c>
      <c r="AA104" s="50" t="s">
        <v>12</v>
      </c>
      <c r="AB104" s="50" t="s">
        <v>1322</v>
      </c>
      <c r="AC104" s="50" t="s">
        <v>1336</v>
      </c>
      <c r="AD104" s="48"/>
      <c r="AE104" s="48"/>
      <c r="AF104" s="48"/>
      <c r="AG104" s="48"/>
    </row>
    <row r="105">
      <c r="A105" s="47">
        <f>COUNTIF('Histórico'!$B:$B,B105)</f>
        <v>1</v>
      </c>
      <c r="B105" s="47" t="s">
        <v>753</v>
      </c>
      <c r="C105" s="48"/>
      <c r="D105" s="50" t="s">
        <v>1314</v>
      </c>
      <c r="E105" s="50" t="s">
        <v>1315</v>
      </c>
      <c r="F105" s="61">
        <v>46007.0</v>
      </c>
      <c r="G105" s="50" t="s">
        <v>1316</v>
      </c>
      <c r="H105" s="61">
        <v>46007.0</v>
      </c>
      <c r="I105" s="47" t="s">
        <v>279</v>
      </c>
      <c r="J105" s="47" t="s">
        <v>48</v>
      </c>
      <c r="K105" s="47" t="s">
        <v>280</v>
      </c>
      <c r="L105" s="60" t="s">
        <v>1601</v>
      </c>
      <c r="M105" s="48"/>
      <c r="N105" s="48"/>
      <c r="O105" s="48"/>
      <c r="P105" s="48"/>
      <c r="Q105" s="50">
        <v>1.0</v>
      </c>
      <c r="R105" s="59">
        <v>46000.0</v>
      </c>
      <c r="S105" s="61">
        <v>46006.0</v>
      </c>
      <c r="T105" s="61">
        <v>46007.0</v>
      </c>
      <c r="U105" s="48"/>
      <c r="V105" s="50" t="s">
        <v>1321</v>
      </c>
      <c r="W105" s="48"/>
      <c r="X105" s="50" t="s">
        <v>12</v>
      </c>
      <c r="Y105" s="50" t="s">
        <v>1322</v>
      </c>
      <c r="Z105" s="50">
        <v>3.040310548E9</v>
      </c>
      <c r="AA105" s="50" t="s">
        <v>12</v>
      </c>
      <c r="AB105" s="50" t="s">
        <v>1322</v>
      </c>
      <c r="AC105" s="50" t="s">
        <v>1336</v>
      </c>
      <c r="AD105" s="48"/>
      <c r="AE105" s="48"/>
      <c r="AF105" s="48"/>
      <c r="AG105" s="48"/>
    </row>
    <row r="106">
      <c r="A106" s="47">
        <f>COUNTIF('Histórico'!$B:$B,B106)</f>
        <v>1</v>
      </c>
      <c r="B106" s="47" t="s">
        <v>755</v>
      </c>
      <c r="C106" s="48"/>
      <c r="D106" s="50" t="s">
        <v>1314</v>
      </c>
      <c r="E106" s="50" t="s">
        <v>1315</v>
      </c>
      <c r="F106" s="61">
        <v>46007.0</v>
      </c>
      <c r="G106" s="50" t="s">
        <v>1316</v>
      </c>
      <c r="H106" s="61">
        <v>46007.0</v>
      </c>
      <c r="I106" s="47" t="s">
        <v>1602</v>
      </c>
      <c r="J106" s="47" t="s">
        <v>1318</v>
      </c>
      <c r="K106" s="47" t="s">
        <v>1603</v>
      </c>
      <c r="L106" s="60" t="s">
        <v>1604</v>
      </c>
      <c r="M106" s="48"/>
      <c r="N106" s="48"/>
      <c r="O106" s="48"/>
      <c r="P106" s="48"/>
      <c r="Q106" s="50">
        <v>1.0</v>
      </c>
      <c r="R106" s="59">
        <v>46000.0</v>
      </c>
      <c r="S106" s="61">
        <v>46006.0</v>
      </c>
      <c r="T106" s="61">
        <v>46007.0</v>
      </c>
      <c r="U106" s="48"/>
      <c r="V106" s="50" t="s">
        <v>1321</v>
      </c>
      <c r="W106" s="50"/>
      <c r="X106" s="50" t="s">
        <v>12</v>
      </c>
      <c r="Y106" s="50" t="s">
        <v>1322</v>
      </c>
      <c r="Z106" s="50">
        <v>3.040320858E9</v>
      </c>
      <c r="AA106" s="50" t="s">
        <v>17</v>
      </c>
      <c r="AB106" s="50" t="s">
        <v>1458</v>
      </c>
      <c r="AC106" s="50" t="s">
        <v>1605</v>
      </c>
      <c r="AD106" s="48"/>
      <c r="AE106" s="48"/>
      <c r="AF106" s="48"/>
      <c r="AG106" s="48"/>
    </row>
    <row r="107">
      <c r="A107" s="47">
        <f>COUNTIF('Histórico'!$B:$B,B107)</f>
        <v>1</v>
      </c>
      <c r="B107" s="47" t="s">
        <v>761</v>
      </c>
      <c r="C107" s="48"/>
      <c r="D107" s="50" t="s">
        <v>1314</v>
      </c>
      <c r="E107" s="50" t="s">
        <v>1315</v>
      </c>
      <c r="F107" s="61">
        <v>46010.0</v>
      </c>
      <c r="G107" s="50" t="s">
        <v>1316</v>
      </c>
      <c r="H107" s="61">
        <v>46010.0</v>
      </c>
      <c r="I107" s="47" t="s">
        <v>1606</v>
      </c>
      <c r="J107" s="47" t="s">
        <v>48</v>
      </c>
      <c r="K107" s="47" t="s">
        <v>168</v>
      </c>
      <c r="L107" s="60" t="s">
        <v>1607</v>
      </c>
      <c r="M107" s="48"/>
      <c r="N107" s="48"/>
      <c r="O107" s="48"/>
      <c r="P107" s="48"/>
      <c r="Q107" s="50">
        <v>1.0</v>
      </c>
      <c r="R107" s="61">
        <v>46010.0</v>
      </c>
      <c r="S107" s="59">
        <v>46029.0</v>
      </c>
      <c r="T107" s="61">
        <v>46010.0</v>
      </c>
      <c r="U107" s="48"/>
      <c r="V107" s="50" t="s">
        <v>1321</v>
      </c>
      <c r="W107" s="47"/>
      <c r="X107" s="50" t="s">
        <v>12</v>
      </c>
      <c r="Y107" s="50" t="s">
        <v>1322</v>
      </c>
      <c r="Z107" s="50">
        <v>3.040297631E9</v>
      </c>
      <c r="AA107" s="50" t="s">
        <v>17</v>
      </c>
      <c r="AB107" s="50" t="s">
        <v>1343</v>
      </c>
      <c r="AC107" s="50" t="s">
        <v>1344</v>
      </c>
      <c r="AD107" s="48"/>
      <c r="AE107" s="48"/>
      <c r="AF107" s="48"/>
      <c r="AG107" s="48"/>
    </row>
    <row r="108">
      <c r="A108" s="47">
        <f>COUNTIF('Histórico'!$B:$B,B108)</f>
        <v>1</v>
      </c>
      <c r="B108" s="47" t="s">
        <v>763</v>
      </c>
      <c r="C108" s="48"/>
      <c r="D108" s="50" t="s">
        <v>1314</v>
      </c>
      <c r="E108" s="50" t="s">
        <v>1315</v>
      </c>
      <c r="F108" s="61">
        <v>46010.0</v>
      </c>
      <c r="G108" s="50" t="s">
        <v>1316</v>
      </c>
      <c r="H108" s="61">
        <v>46010.0</v>
      </c>
      <c r="I108" s="47" t="s">
        <v>1608</v>
      </c>
      <c r="J108" s="47" t="s">
        <v>1609</v>
      </c>
      <c r="K108" s="47" t="s">
        <v>1610</v>
      </c>
      <c r="L108" s="60" t="s">
        <v>1611</v>
      </c>
      <c r="M108" s="48"/>
      <c r="N108" s="48"/>
      <c r="O108" s="48"/>
      <c r="P108" s="48"/>
      <c r="Q108" s="50">
        <v>1.0</v>
      </c>
      <c r="R108" s="61">
        <v>46010.0</v>
      </c>
      <c r="S108" s="59">
        <v>46029.0</v>
      </c>
      <c r="T108" s="61">
        <v>46010.0</v>
      </c>
      <c r="U108" s="48"/>
      <c r="V108" s="50" t="s">
        <v>1321</v>
      </c>
      <c r="W108" s="50"/>
      <c r="X108" s="50" t="s">
        <v>12</v>
      </c>
      <c r="Y108" s="50" t="s">
        <v>1322</v>
      </c>
      <c r="Z108" s="50">
        <v>3.040316656E9</v>
      </c>
      <c r="AA108" s="50" t="s">
        <v>12</v>
      </c>
      <c r="AB108" s="50" t="s">
        <v>1322</v>
      </c>
      <c r="AC108" s="50" t="s">
        <v>1434</v>
      </c>
      <c r="AD108" s="48"/>
      <c r="AE108" s="48"/>
      <c r="AF108" s="48"/>
      <c r="AG108" s="48"/>
    </row>
    <row r="109">
      <c r="A109" s="47">
        <f>COUNTIF('Histórico'!$B:$B,B109)</f>
        <v>1</v>
      </c>
      <c r="B109" s="47" t="s">
        <v>767</v>
      </c>
      <c r="C109" s="48"/>
      <c r="D109" s="50" t="s">
        <v>1314</v>
      </c>
      <c r="E109" s="50" t="s">
        <v>1315</v>
      </c>
      <c r="F109" s="61">
        <v>46010.0</v>
      </c>
      <c r="G109" s="50" t="s">
        <v>1316</v>
      </c>
      <c r="H109" s="61">
        <v>46010.0</v>
      </c>
      <c r="I109" s="47" t="s">
        <v>1612</v>
      </c>
      <c r="J109" s="47" t="s">
        <v>48</v>
      </c>
      <c r="K109" s="47" t="s">
        <v>1613</v>
      </c>
      <c r="L109" s="60" t="s">
        <v>1614</v>
      </c>
      <c r="M109" s="48"/>
      <c r="N109" s="48"/>
      <c r="O109" s="48"/>
      <c r="P109" s="48"/>
      <c r="Q109" s="50">
        <v>1.0</v>
      </c>
      <c r="R109" s="59">
        <v>45962.0</v>
      </c>
      <c r="S109" s="59">
        <v>46054.0</v>
      </c>
      <c r="T109" s="61">
        <v>46010.0</v>
      </c>
      <c r="U109" s="48"/>
      <c r="V109" s="50" t="s">
        <v>1321</v>
      </c>
      <c r="W109" s="47"/>
      <c r="X109" s="50" t="s">
        <v>12</v>
      </c>
      <c r="Y109" s="50" t="s">
        <v>1322</v>
      </c>
      <c r="Z109" s="50">
        <v>3.040309287E9</v>
      </c>
      <c r="AA109" s="50" t="s">
        <v>16</v>
      </c>
      <c r="AB109" s="50" t="s">
        <v>1331</v>
      </c>
      <c r="AC109" s="50" t="s">
        <v>1615</v>
      </c>
      <c r="AD109" s="48"/>
      <c r="AE109" s="48"/>
      <c r="AF109" s="48"/>
      <c r="AG109" s="48"/>
    </row>
    <row r="110">
      <c r="A110" s="47">
        <f>COUNTIF('Histórico'!$B:$B,B110)</f>
        <v>1</v>
      </c>
      <c r="B110" s="47" t="s">
        <v>795</v>
      </c>
      <c r="C110" s="48"/>
      <c r="D110" s="50" t="s">
        <v>1314</v>
      </c>
      <c r="E110" s="50" t="s">
        <v>1315</v>
      </c>
      <c r="F110" s="59">
        <v>46028.0</v>
      </c>
      <c r="G110" s="50" t="s">
        <v>1316</v>
      </c>
      <c r="H110" s="59">
        <v>46028.0</v>
      </c>
      <c r="I110" s="47" t="s">
        <v>1596</v>
      </c>
      <c r="J110" s="47" t="s">
        <v>1597</v>
      </c>
      <c r="K110" s="47" t="s">
        <v>1598</v>
      </c>
      <c r="L110" s="60" t="s">
        <v>1616</v>
      </c>
      <c r="M110" s="48"/>
      <c r="N110" s="48"/>
      <c r="O110" s="48"/>
      <c r="P110" s="48"/>
      <c r="Q110" s="50">
        <v>1.0</v>
      </c>
      <c r="R110" s="61">
        <v>46014.0</v>
      </c>
      <c r="S110" s="59">
        <v>46030.0</v>
      </c>
      <c r="T110" s="59">
        <v>46028.0</v>
      </c>
      <c r="U110" s="48"/>
      <c r="V110" s="50" t="s">
        <v>1321</v>
      </c>
      <c r="W110" s="48"/>
      <c r="X110" s="50" t="s">
        <v>12</v>
      </c>
      <c r="Y110" s="50" t="s">
        <v>1322</v>
      </c>
      <c r="Z110" s="50">
        <v>3.04031704E9</v>
      </c>
      <c r="AA110" s="50" t="s">
        <v>12</v>
      </c>
      <c r="AB110" s="50" t="s">
        <v>1322</v>
      </c>
      <c r="AC110" s="50" t="s">
        <v>1369</v>
      </c>
      <c r="AD110" s="48"/>
      <c r="AE110" s="48"/>
      <c r="AF110" s="48"/>
      <c r="AG110" s="48"/>
    </row>
    <row r="111">
      <c r="A111" s="47">
        <f>COUNTIF('Histórico'!$B:$B,B111)</f>
        <v>1</v>
      </c>
      <c r="B111" s="47" t="s">
        <v>789</v>
      </c>
      <c r="C111" s="48"/>
      <c r="D111" s="50" t="s">
        <v>1314</v>
      </c>
      <c r="E111" s="50" t="s">
        <v>1315</v>
      </c>
      <c r="F111" s="59">
        <v>46028.0</v>
      </c>
      <c r="G111" s="50" t="s">
        <v>1316</v>
      </c>
      <c r="H111" s="59">
        <v>46028.0</v>
      </c>
      <c r="I111" s="47" t="s">
        <v>1596</v>
      </c>
      <c r="J111" s="47" t="s">
        <v>1597</v>
      </c>
      <c r="K111" s="47" t="s">
        <v>1598</v>
      </c>
      <c r="L111" s="60" t="s">
        <v>1617</v>
      </c>
      <c r="M111" s="48"/>
      <c r="N111" s="48"/>
      <c r="O111" s="48"/>
      <c r="P111" s="48"/>
      <c r="Q111" s="50">
        <v>1.0</v>
      </c>
      <c r="R111" s="61">
        <v>46014.0</v>
      </c>
      <c r="S111" s="59">
        <v>46030.0</v>
      </c>
      <c r="T111" s="59">
        <v>46028.0</v>
      </c>
      <c r="U111" s="48"/>
      <c r="V111" s="50" t="s">
        <v>1321</v>
      </c>
      <c r="W111" s="48"/>
      <c r="X111" s="50" t="s">
        <v>12</v>
      </c>
      <c r="Y111" s="50" t="s">
        <v>1322</v>
      </c>
      <c r="Z111" s="50">
        <v>3.040317044E9</v>
      </c>
      <c r="AA111" s="50" t="s">
        <v>12</v>
      </c>
      <c r="AB111" s="50" t="s">
        <v>1322</v>
      </c>
      <c r="AC111" s="50" t="s">
        <v>1369</v>
      </c>
      <c r="AD111" s="48"/>
      <c r="AE111" s="48"/>
      <c r="AF111" s="48"/>
      <c r="AG111" s="48"/>
    </row>
    <row r="112">
      <c r="A112" s="47">
        <f>COUNTIF('Histórico'!$B:$B,B112)</f>
        <v>1</v>
      </c>
      <c r="B112" s="47" t="s">
        <v>797</v>
      </c>
      <c r="C112" s="48"/>
      <c r="D112" s="50" t="s">
        <v>1314</v>
      </c>
      <c r="E112" s="50" t="s">
        <v>1315</v>
      </c>
      <c r="F112" s="59">
        <v>46028.0</v>
      </c>
      <c r="G112" s="50" t="s">
        <v>1316</v>
      </c>
      <c r="H112" s="59">
        <v>46028.0</v>
      </c>
      <c r="I112" s="47" t="s">
        <v>1596</v>
      </c>
      <c r="J112" s="47" t="s">
        <v>1597</v>
      </c>
      <c r="K112" s="47" t="s">
        <v>1598</v>
      </c>
      <c r="L112" s="60" t="s">
        <v>1618</v>
      </c>
      <c r="M112" s="48"/>
      <c r="N112" s="48"/>
      <c r="O112" s="48"/>
      <c r="P112" s="48"/>
      <c r="Q112" s="50">
        <v>1.0</v>
      </c>
      <c r="R112" s="61">
        <v>46014.0</v>
      </c>
      <c r="S112" s="59">
        <v>46030.0</v>
      </c>
      <c r="T112" s="59">
        <v>46028.0</v>
      </c>
      <c r="U112" s="48"/>
      <c r="V112" s="50" t="s">
        <v>1321</v>
      </c>
      <c r="W112" s="47"/>
      <c r="X112" s="50" t="s">
        <v>12</v>
      </c>
      <c r="Y112" s="50" t="s">
        <v>1322</v>
      </c>
      <c r="Z112" s="50">
        <v>3.040317041E9</v>
      </c>
      <c r="AA112" s="50" t="s">
        <v>12</v>
      </c>
      <c r="AB112" s="50" t="s">
        <v>1322</v>
      </c>
      <c r="AC112" s="50" t="s">
        <v>1369</v>
      </c>
      <c r="AD112" s="48"/>
      <c r="AE112" s="48"/>
      <c r="AF112" s="48"/>
      <c r="AG112" s="48"/>
    </row>
    <row r="113">
      <c r="A113" s="47">
        <f>COUNTIF('Histórico'!$B:$B,B113)</f>
        <v>1</v>
      </c>
      <c r="B113" s="47" t="s">
        <v>787</v>
      </c>
      <c r="C113" s="48"/>
      <c r="D113" s="50" t="s">
        <v>1314</v>
      </c>
      <c r="E113" s="50" t="s">
        <v>1315</v>
      </c>
      <c r="F113" s="59">
        <v>46028.0</v>
      </c>
      <c r="G113" s="50" t="s">
        <v>1316</v>
      </c>
      <c r="H113" s="59">
        <v>46028.0</v>
      </c>
      <c r="I113" s="47" t="s">
        <v>1596</v>
      </c>
      <c r="J113" s="47" t="s">
        <v>1597</v>
      </c>
      <c r="K113" s="47" t="s">
        <v>1598</v>
      </c>
      <c r="L113" s="60" t="s">
        <v>1619</v>
      </c>
      <c r="M113" s="48"/>
      <c r="N113" s="48"/>
      <c r="O113" s="48"/>
      <c r="P113" s="48"/>
      <c r="Q113" s="50">
        <v>1.0</v>
      </c>
      <c r="R113" s="61">
        <v>46014.0</v>
      </c>
      <c r="S113" s="59">
        <v>46030.0</v>
      </c>
      <c r="T113" s="59">
        <v>46028.0</v>
      </c>
      <c r="U113" s="48"/>
      <c r="V113" s="50" t="s">
        <v>1321</v>
      </c>
      <c r="W113" s="47"/>
      <c r="X113" s="50" t="s">
        <v>12</v>
      </c>
      <c r="Y113" s="50" t="s">
        <v>1322</v>
      </c>
      <c r="Z113" s="50">
        <v>3.040317122E9</v>
      </c>
      <c r="AA113" s="50" t="s">
        <v>12</v>
      </c>
      <c r="AB113" s="50" t="s">
        <v>1322</v>
      </c>
      <c r="AC113" s="50" t="s">
        <v>1369</v>
      </c>
      <c r="AD113" s="48"/>
      <c r="AE113" s="48"/>
      <c r="AF113" s="48"/>
      <c r="AG113" s="48"/>
    </row>
    <row r="114">
      <c r="A114" s="47">
        <f>COUNTIF('Histórico'!$B:$B,B114)</f>
        <v>1</v>
      </c>
      <c r="B114" s="47" t="s">
        <v>799</v>
      </c>
      <c r="C114" s="48"/>
      <c r="D114" s="50" t="s">
        <v>1314</v>
      </c>
      <c r="E114" s="50" t="s">
        <v>1315</v>
      </c>
      <c r="F114" s="59">
        <v>46028.0</v>
      </c>
      <c r="G114" s="50" t="s">
        <v>1316</v>
      </c>
      <c r="H114" s="59">
        <v>46028.0</v>
      </c>
      <c r="I114" s="47" t="s">
        <v>1361</v>
      </c>
      <c r="J114" s="47" t="s">
        <v>48</v>
      </c>
      <c r="K114" s="47" t="s">
        <v>1362</v>
      </c>
      <c r="L114" s="60" t="s">
        <v>1620</v>
      </c>
      <c r="M114" s="48"/>
      <c r="N114" s="48"/>
      <c r="O114" s="48"/>
      <c r="P114" s="48"/>
      <c r="Q114" s="50">
        <v>1.0</v>
      </c>
      <c r="R114" s="59">
        <v>46028.0</v>
      </c>
      <c r="S114" s="59">
        <v>46034.0</v>
      </c>
      <c r="T114" s="59">
        <v>46028.0</v>
      </c>
      <c r="U114" s="48"/>
      <c r="V114" s="50" t="s">
        <v>1321</v>
      </c>
      <c r="W114" s="48"/>
      <c r="X114" s="50" t="s">
        <v>12</v>
      </c>
      <c r="Y114" s="50" t="s">
        <v>1322</v>
      </c>
      <c r="Z114" s="50">
        <v>3.040098935E9</v>
      </c>
      <c r="AA114" s="50" t="s">
        <v>1621</v>
      </c>
      <c r="AB114" s="50" t="s">
        <v>1622</v>
      </c>
      <c r="AC114" s="50" t="s">
        <v>1623</v>
      </c>
      <c r="AD114" s="48"/>
      <c r="AE114" s="48"/>
      <c r="AF114" s="48"/>
      <c r="AG114" s="48"/>
    </row>
    <row r="115">
      <c r="A115" s="47">
        <f>COUNTIF('Histórico'!$B:$B,B115)</f>
        <v>1</v>
      </c>
      <c r="B115" s="47" t="s">
        <v>805</v>
      </c>
      <c r="C115" s="48"/>
      <c r="D115" s="50" t="s">
        <v>1314</v>
      </c>
      <c r="E115" s="50" t="s">
        <v>1315</v>
      </c>
      <c r="F115" s="59">
        <v>46036.0</v>
      </c>
      <c r="G115" s="50" t="s">
        <v>1316</v>
      </c>
      <c r="H115" s="59">
        <v>46036.0</v>
      </c>
      <c r="I115" s="47" t="s">
        <v>1624</v>
      </c>
      <c r="J115" s="47" t="s">
        <v>1545</v>
      </c>
      <c r="K115" s="47" t="s">
        <v>1625</v>
      </c>
      <c r="L115" s="60" t="s">
        <v>1626</v>
      </c>
      <c r="M115" s="48"/>
      <c r="N115" s="48"/>
      <c r="O115" s="48"/>
      <c r="P115" s="48"/>
      <c r="Q115" s="50">
        <v>1.0</v>
      </c>
      <c r="R115" s="59">
        <v>46035.0</v>
      </c>
      <c r="S115" s="59">
        <v>46041.0</v>
      </c>
      <c r="T115" s="59">
        <v>46036.0</v>
      </c>
      <c r="U115" s="48"/>
      <c r="V115" s="50" t="s">
        <v>1321</v>
      </c>
      <c r="W115" s="48"/>
      <c r="X115" s="50" t="s">
        <v>12</v>
      </c>
      <c r="Y115" s="50" t="s">
        <v>1322</v>
      </c>
      <c r="Z115" s="50">
        <v>3.04032319E9</v>
      </c>
      <c r="AA115" s="50" t="s">
        <v>1500</v>
      </c>
      <c r="AB115" s="50" t="s">
        <v>1537</v>
      </c>
      <c r="AC115" s="50" t="s">
        <v>1627</v>
      </c>
      <c r="AD115" s="48"/>
      <c r="AE115" s="48"/>
      <c r="AF115" s="48"/>
      <c r="AG115" s="48"/>
    </row>
    <row r="116">
      <c r="A116" s="47">
        <f>COUNTIF('Histórico'!$B:$B,B116)</f>
        <v>1</v>
      </c>
      <c r="B116" s="47" t="s">
        <v>811</v>
      </c>
      <c r="C116" s="48"/>
      <c r="D116" s="50" t="s">
        <v>1314</v>
      </c>
      <c r="E116" s="50" t="s">
        <v>1315</v>
      </c>
      <c r="F116" s="59">
        <v>46036.0</v>
      </c>
      <c r="G116" s="50" t="s">
        <v>1316</v>
      </c>
      <c r="H116" s="59">
        <v>46036.0</v>
      </c>
      <c r="I116" s="47" t="s">
        <v>1628</v>
      </c>
      <c r="J116" s="47" t="s">
        <v>1545</v>
      </c>
      <c r="K116" s="47" t="s">
        <v>1546</v>
      </c>
      <c r="L116" s="60" t="s">
        <v>1629</v>
      </c>
      <c r="M116" s="48"/>
      <c r="N116" s="48"/>
      <c r="O116" s="48"/>
      <c r="P116" s="48"/>
      <c r="Q116" s="50">
        <v>1.0</v>
      </c>
      <c r="R116" s="59">
        <v>46035.0</v>
      </c>
      <c r="S116" s="59">
        <v>46041.0</v>
      </c>
      <c r="T116" s="59">
        <v>46036.0</v>
      </c>
      <c r="U116" s="48"/>
      <c r="V116" s="50" t="s">
        <v>1321</v>
      </c>
      <c r="W116" s="47"/>
      <c r="X116" s="50" t="s">
        <v>12</v>
      </c>
      <c r="Y116" s="50" t="s">
        <v>1322</v>
      </c>
      <c r="Z116" s="50">
        <v>3.040323192E9</v>
      </c>
      <c r="AA116" s="50" t="s">
        <v>1500</v>
      </c>
      <c r="AB116" s="50" t="s">
        <v>1537</v>
      </c>
      <c r="AC116" s="50" t="s">
        <v>1630</v>
      </c>
      <c r="AD116" s="48"/>
      <c r="AE116" s="48"/>
      <c r="AF116" s="48"/>
      <c r="AG116" s="48"/>
    </row>
    <row r="117">
      <c r="A117" s="47">
        <f>COUNTIF('Histórico'!$B:$B,B117)</f>
        <v>1</v>
      </c>
      <c r="B117" s="47" t="s">
        <v>815</v>
      </c>
      <c r="C117" s="48"/>
      <c r="D117" s="50" t="s">
        <v>1314</v>
      </c>
      <c r="E117" s="50" t="s">
        <v>1315</v>
      </c>
      <c r="F117" s="59">
        <v>46048.0</v>
      </c>
      <c r="G117" s="50" t="s">
        <v>1316</v>
      </c>
      <c r="H117" s="59">
        <v>46048.0</v>
      </c>
      <c r="I117" s="47" t="s">
        <v>1631</v>
      </c>
      <c r="J117" s="47" t="s">
        <v>1318</v>
      </c>
      <c r="K117" s="47" t="s">
        <v>1632</v>
      </c>
      <c r="L117" s="60" t="s">
        <v>1633</v>
      </c>
      <c r="M117" s="48"/>
      <c r="N117" s="48"/>
      <c r="O117" s="48"/>
      <c r="P117" s="48"/>
      <c r="Q117" s="50">
        <v>1.0</v>
      </c>
      <c r="R117" s="59">
        <v>46048.0</v>
      </c>
      <c r="S117" s="59">
        <v>46052.0</v>
      </c>
      <c r="T117" s="59">
        <v>46048.0</v>
      </c>
      <c r="U117" s="48"/>
      <c r="V117" s="50" t="s">
        <v>1321</v>
      </c>
      <c r="W117" s="48"/>
      <c r="X117" s="50" t="s">
        <v>12</v>
      </c>
      <c r="Y117" s="50" t="s">
        <v>1322</v>
      </c>
      <c r="Z117" s="50">
        <v>3.040293522E9</v>
      </c>
      <c r="AA117" s="50" t="s">
        <v>25</v>
      </c>
      <c r="AB117" s="50" t="s">
        <v>1359</v>
      </c>
      <c r="AC117" s="50" t="s">
        <v>1634</v>
      </c>
      <c r="AD117" s="48"/>
      <c r="AE117" s="48"/>
      <c r="AF117" s="48"/>
      <c r="AG117" s="48"/>
    </row>
    <row r="118">
      <c r="A118" s="47">
        <f>COUNTIF('Histórico'!$B:$B,B118)</f>
        <v>1</v>
      </c>
      <c r="B118" s="47" t="s">
        <v>817</v>
      </c>
      <c r="C118" s="48"/>
      <c r="D118" s="50" t="s">
        <v>1314</v>
      </c>
      <c r="E118" s="50" t="s">
        <v>1315</v>
      </c>
      <c r="F118" s="59">
        <v>46048.0</v>
      </c>
      <c r="G118" s="50" t="s">
        <v>1316</v>
      </c>
      <c r="H118" s="59">
        <v>46048.0</v>
      </c>
      <c r="I118" s="47" t="s">
        <v>1631</v>
      </c>
      <c r="J118" s="47" t="s">
        <v>1318</v>
      </c>
      <c r="K118" s="47" t="s">
        <v>1632</v>
      </c>
      <c r="L118" s="60" t="s">
        <v>1635</v>
      </c>
      <c r="M118" s="48"/>
      <c r="N118" s="48"/>
      <c r="O118" s="48"/>
      <c r="P118" s="48"/>
      <c r="Q118" s="50">
        <v>1.0</v>
      </c>
      <c r="R118" s="59">
        <v>46048.0</v>
      </c>
      <c r="S118" s="59">
        <v>46052.0</v>
      </c>
      <c r="T118" s="59">
        <v>46048.0</v>
      </c>
      <c r="U118" s="48"/>
      <c r="V118" s="50" t="s">
        <v>1321</v>
      </c>
      <c r="W118" s="48"/>
      <c r="X118" s="50" t="s">
        <v>12</v>
      </c>
      <c r="Y118" s="50" t="s">
        <v>1322</v>
      </c>
      <c r="Z118" s="50">
        <v>3.0403129E9</v>
      </c>
      <c r="AA118" s="50" t="s">
        <v>12</v>
      </c>
      <c r="AB118" s="50" t="s">
        <v>1322</v>
      </c>
      <c r="AC118" s="50" t="s">
        <v>1434</v>
      </c>
      <c r="AD118" s="48"/>
      <c r="AE118" s="48"/>
      <c r="AF118" s="48"/>
      <c r="AG118" s="48"/>
    </row>
    <row r="119">
      <c r="A119" s="47">
        <f>COUNTIF('Histórico'!$B:$B,B119)</f>
        <v>1</v>
      </c>
      <c r="B119" s="47" t="s">
        <v>825</v>
      </c>
      <c r="C119" s="48"/>
      <c r="D119" s="50" t="s">
        <v>1314</v>
      </c>
      <c r="E119" s="50" t="s">
        <v>1315</v>
      </c>
      <c r="F119" s="59">
        <v>46050.0</v>
      </c>
      <c r="G119" s="50" t="s">
        <v>1316</v>
      </c>
      <c r="H119" s="59">
        <v>46050.0</v>
      </c>
      <c r="I119" s="47" t="s">
        <v>1398</v>
      </c>
      <c r="J119" s="47" t="s">
        <v>1399</v>
      </c>
      <c r="K119" s="47" t="s">
        <v>1400</v>
      </c>
      <c r="L119" s="60" t="s">
        <v>1636</v>
      </c>
      <c r="M119" s="48"/>
      <c r="N119" s="48"/>
      <c r="O119" s="48"/>
      <c r="P119" s="48"/>
      <c r="Q119" s="50">
        <v>1.0</v>
      </c>
      <c r="R119" s="59">
        <v>45962.0</v>
      </c>
      <c r="S119" s="61">
        <v>45991.0</v>
      </c>
      <c r="T119" s="59">
        <v>46050.0</v>
      </c>
      <c r="U119" s="48"/>
      <c r="V119" s="50" t="s">
        <v>1321</v>
      </c>
      <c r="W119" s="48"/>
      <c r="X119" s="50" t="s">
        <v>12</v>
      </c>
      <c r="Y119" s="50" t="s">
        <v>1322</v>
      </c>
      <c r="Z119" s="50">
        <v>3.040322989E9</v>
      </c>
      <c r="AA119" s="50" t="s">
        <v>1352</v>
      </c>
      <c r="AB119" s="50" t="s">
        <v>1430</v>
      </c>
      <c r="AC119" s="50" t="s">
        <v>1637</v>
      </c>
      <c r="AD119" s="48"/>
      <c r="AE119" s="48"/>
      <c r="AF119" s="48"/>
      <c r="AG119" s="48"/>
    </row>
    <row r="120">
      <c r="A120" s="47">
        <f>COUNTIF('Histórico'!$B:$B,B120)</f>
        <v>1</v>
      </c>
      <c r="B120" s="47" t="s">
        <v>835</v>
      </c>
      <c r="C120" s="48"/>
      <c r="D120" s="50" t="s">
        <v>1314</v>
      </c>
      <c r="E120" s="50" t="s">
        <v>1315</v>
      </c>
      <c r="F120" s="59">
        <v>46063.0</v>
      </c>
      <c r="G120" s="50" t="s">
        <v>1316</v>
      </c>
      <c r="H120" s="59">
        <v>46063.0</v>
      </c>
      <c r="I120" s="47" t="s">
        <v>1638</v>
      </c>
      <c r="J120" s="47" t="s">
        <v>48</v>
      </c>
      <c r="K120" s="47" t="s">
        <v>1639</v>
      </c>
      <c r="L120" s="60" t="s">
        <v>1640</v>
      </c>
      <c r="M120" s="48"/>
      <c r="N120" s="48"/>
      <c r="O120" s="48"/>
      <c r="P120" s="48"/>
      <c r="Q120" s="50">
        <v>1.0</v>
      </c>
      <c r="R120" s="59">
        <v>46059.0</v>
      </c>
      <c r="S120" s="59">
        <v>46065.0</v>
      </c>
      <c r="T120" s="59">
        <v>46063.0</v>
      </c>
      <c r="U120" s="48"/>
      <c r="V120" s="50" t="s">
        <v>1321</v>
      </c>
      <c r="W120" s="48"/>
      <c r="X120" s="50" t="s">
        <v>12</v>
      </c>
      <c r="Y120" s="50" t="s">
        <v>1322</v>
      </c>
      <c r="Z120" s="50">
        <v>3.040319124E9</v>
      </c>
      <c r="AA120" s="50" t="s">
        <v>15</v>
      </c>
      <c r="AB120" s="50" t="s">
        <v>1348</v>
      </c>
      <c r="AC120" s="50" t="s">
        <v>1641</v>
      </c>
      <c r="AD120" s="48"/>
      <c r="AE120" s="48"/>
      <c r="AF120" s="48"/>
      <c r="AG120" s="48"/>
    </row>
    <row r="121">
      <c r="A121" s="47">
        <f>COUNTIF('Histórico'!$B:$B,B121)</f>
        <v>1</v>
      </c>
      <c r="B121" s="47" t="s">
        <v>833</v>
      </c>
      <c r="C121" s="48"/>
      <c r="D121" s="50" t="s">
        <v>1314</v>
      </c>
      <c r="E121" s="50" t="s">
        <v>1315</v>
      </c>
      <c r="F121" s="59">
        <v>46063.0</v>
      </c>
      <c r="G121" s="50" t="s">
        <v>1316</v>
      </c>
      <c r="H121" s="59">
        <v>46063.0</v>
      </c>
      <c r="I121" s="47" t="s">
        <v>1642</v>
      </c>
      <c r="J121" s="47" t="s">
        <v>1356</v>
      </c>
      <c r="K121" s="47" t="s">
        <v>1643</v>
      </c>
      <c r="L121" s="60" t="s">
        <v>1644</v>
      </c>
      <c r="M121" s="48"/>
      <c r="N121" s="48"/>
      <c r="O121" s="48"/>
      <c r="P121" s="48"/>
      <c r="Q121" s="50">
        <v>1.0</v>
      </c>
      <c r="R121" s="59">
        <v>46059.0</v>
      </c>
      <c r="S121" s="59">
        <v>46065.0</v>
      </c>
      <c r="T121" s="59">
        <v>46063.0</v>
      </c>
      <c r="U121" s="48"/>
      <c r="V121" s="50" t="s">
        <v>1347</v>
      </c>
      <c r="W121" s="50">
        <v>3.96250015382E11</v>
      </c>
      <c r="X121" s="50" t="s">
        <v>12</v>
      </c>
      <c r="Y121" s="50" t="s">
        <v>1322</v>
      </c>
      <c r="Z121" s="50">
        <v>3.040236465E9</v>
      </c>
      <c r="AA121" s="50" t="s">
        <v>1463</v>
      </c>
      <c r="AB121" s="50" t="s">
        <v>1464</v>
      </c>
      <c r="AC121" s="50" t="s">
        <v>1645</v>
      </c>
      <c r="AD121" s="48"/>
      <c r="AE121" s="48"/>
      <c r="AF121" s="48"/>
      <c r="AG121" s="48"/>
    </row>
    <row r="122">
      <c r="A122" s="47">
        <f>COUNTIF('Histórico'!$B:$B,B122)</f>
        <v>1</v>
      </c>
      <c r="B122" s="47" t="s">
        <v>839</v>
      </c>
      <c r="C122" s="48"/>
      <c r="D122" s="50" t="s">
        <v>1314</v>
      </c>
      <c r="E122" s="50" t="s">
        <v>1315</v>
      </c>
      <c r="F122" s="59">
        <v>46063.0</v>
      </c>
      <c r="G122" s="50" t="s">
        <v>1316</v>
      </c>
      <c r="H122" s="59">
        <v>46063.0</v>
      </c>
      <c r="I122" s="47" t="s">
        <v>1646</v>
      </c>
      <c r="J122" s="47" t="s">
        <v>232</v>
      </c>
      <c r="K122" s="47" t="s">
        <v>1647</v>
      </c>
      <c r="L122" s="60" t="s">
        <v>1648</v>
      </c>
      <c r="M122" s="48"/>
      <c r="N122" s="48"/>
      <c r="O122" s="48"/>
      <c r="P122" s="48"/>
      <c r="Q122" s="50">
        <v>1.0</v>
      </c>
      <c r="R122" s="59">
        <v>46059.0</v>
      </c>
      <c r="S122" s="59">
        <v>46065.0</v>
      </c>
      <c r="T122" s="59">
        <v>46063.0</v>
      </c>
      <c r="U122" s="48"/>
      <c r="V122" s="50" t="s">
        <v>1321</v>
      </c>
      <c r="W122" s="48"/>
      <c r="X122" s="50" t="s">
        <v>12</v>
      </c>
      <c r="Y122" s="50" t="s">
        <v>1322</v>
      </c>
      <c r="Z122" s="50">
        <v>3.0403033E9</v>
      </c>
      <c r="AA122" s="50" t="s">
        <v>20</v>
      </c>
      <c r="AB122" s="50" t="s">
        <v>1649</v>
      </c>
      <c r="AC122" s="50" t="s">
        <v>1650</v>
      </c>
      <c r="AD122" s="48"/>
      <c r="AE122" s="48"/>
      <c r="AF122" s="48"/>
      <c r="AG122" s="48"/>
    </row>
    <row r="123">
      <c r="A123" s="47">
        <f>COUNTIF('Histórico'!$B:$B,B123)</f>
        <v>1</v>
      </c>
      <c r="B123" s="47" t="s">
        <v>849</v>
      </c>
      <c r="C123" s="48"/>
      <c r="D123" s="50" t="s">
        <v>1314</v>
      </c>
      <c r="E123" s="50" t="s">
        <v>1315</v>
      </c>
      <c r="F123" s="59">
        <v>46063.0</v>
      </c>
      <c r="G123" s="50" t="s">
        <v>1316</v>
      </c>
      <c r="H123" s="59">
        <v>46063.0</v>
      </c>
      <c r="I123" s="47" t="s">
        <v>119</v>
      </c>
      <c r="J123" s="47" t="s">
        <v>1318</v>
      </c>
      <c r="K123" s="47" t="s">
        <v>120</v>
      </c>
      <c r="L123" s="60" t="s">
        <v>1651</v>
      </c>
      <c r="M123" s="48"/>
      <c r="N123" s="48"/>
      <c r="O123" s="48"/>
      <c r="P123" s="48"/>
      <c r="Q123" s="50">
        <v>1.0</v>
      </c>
      <c r="R123" s="59">
        <v>46059.0</v>
      </c>
      <c r="S123" s="59">
        <v>46065.0</v>
      </c>
      <c r="T123" s="59">
        <v>46063.0</v>
      </c>
      <c r="U123" s="48"/>
      <c r="V123" s="50" t="s">
        <v>1321</v>
      </c>
      <c r="W123" s="48"/>
      <c r="X123" s="50" t="s">
        <v>12</v>
      </c>
      <c r="Y123" s="50" t="s">
        <v>1322</v>
      </c>
      <c r="Z123" s="50">
        <v>3.040318046E9</v>
      </c>
      <c r="AA123" s="50" t="s">
        <v>17</v>
      </c>
      <c r="AB123" s="50" t="s">
        <v>1458</v>
      </c>
      <c r="AC123" s="50" t="s">
        <v>1605</v>
      </c>
      <c r="AD123" s="48"/>
      <c r="AE123" s="48"/>
      <c r="AF123" s="48"/>
      <c r="AG123" s="48"/>
    </row>
    <row r="124">
      <c r="A124" s="47">
        <f>COUNTIF('Histórico'!$B:$B,B124)</f>
        <v>1</v>
      </c>
      <c r="B124" s="47" t="s">
        <v>857</v>
      </c>
      <c r="C124" s="48"/>
      <c r="D124" s="50" t="s">
        <v>1314</v>
      </c>
      <c r="E124" s="50" t="s">
        <v>1315</v>
      </c>
      <c r="F124" s="59">
        <v>46063.0</v>
      </c>
      <c r="G124" s="50" t="s">
        <v>1316</v>
      </c>
      <c r="H124" s="59">
        <v>46063.0</v>
      </c>
      <c r="I124" s="47" t="s">
        <v>1652</v>
      </c>
      <c r="J124" s="47" t="s">
        <v>1318</v>
      </c>
      <c r="K124" s="47" t="s">
        <v>1653</v>
      </c>
      <c r="L124" s="60" t="s">
        <v>1654</v>
      </c>
      <c r="M124" s="48"/>
      <c r="N124" s="48"/>
      <c r="O124" s="48"/>
      <c r="P124" s="48"/>
      <c r="Q124" s="50">
        <v>1.0</v>
      </c>
      <c r="R124" s="59">
        <v>46059.0</v>
      </c>
      <c r="S124" s="59">
        <v>46065.0</v>
      </c>
      <c r="T124" s="59">
        <v>46063.0</v>
      </c>
      <c r="U124" s="48"/>
      <c r="V124" s="50" t="s">
        <v>1321</v>
      </c>
      <c r="W124" s="48"/>
      <c r="X124" s="50" t="s">
        <v>12</v>
      </c>
      <c r="Y124" s="50" t="s">
        <v>1322</v>
      </c>
      <c r="Z124" s="50">
        <v>3.040290696E9</v>
      </c>
      <c r="AA124" s="50" t="s">
        <v>19</v>
      </c>
      <c r="AB124" s="50" t="s">
        <v>1402</v>
      </c>
      <c r="AC124" s="50" t="s">
        <v>1655</v>
      </c>
      <c r="AD124" s="48"/>
      <c r="AE124" s="48"/>
      <c r="AF124" s="48"/>
      <c r="AG124" s="48"/>
    </row>
    <row r="125">
      <c r="A125" s="47">
        <f>COUNTIF('Histórico'!$B:$B,B125)</f>
        <v>1</v>
      </c>
      <c r="B125" s="47" t="s">
        <v>861</v>
      </c>
      <c r="C125" s="48"/>
      <c r="D125" s="50" t="s">
        <v>1314</v>
      </c>
      <c r="E125" s="50" t="s">
        <v>1315</v>
      </c>
      <c r="F125" s="59">
        <v>46063.0</v>
      </c>
      <c r="G125" s="50" t="s">
        <v>1316</v>
      </c>
      <c r="H125" s="59">
        <v>46063.0</v>
      </c>
      <c r="I125" s="47" t="s">
        <v>199</v>
      </c>
      <c r="J125" s="47" t="s">
        <v>1318</v>
      </c>
      <c r="K125" s="47" t="s">
        <v>200</v>
      </c>
      <c r="L125" s="60" t="s">
        <v>1656</v>
      </c>
      <c r="M125" s="48"/>
      <c r="N125" s="48"/>
      <c r="O125" s="48"/>
      <c r="P125" s="48"/>
      <c r="Q125" s="50">
        <v>1.0</v>
      </c>
      <c r="R125" s="59">
        <v>46059.0</v>
      </c>
      <c r="S125" s="59">
        <v>46065.0</v>
      </c>
      <c r="T125" s="59">
        <v>46063.0</v>
      </c>
      <c r="U125" s="48"/>
      <c r="V125" s="50" t="s">
        <v>1321</v>
      </c>
      <c r="W125" s="47"/>
      <c r="X125" s="50" t="s">
        <v>12</v>
      </c>
      <c r="Y125" s="50" t="s">
        <v>1322</v>
      </c>
      <c r="Z125" s="50">
        <v>3.040313103E9</v>
      </c>
      <c r="AA125" s="50" t="s">
        <v>12</v>
      </c>
      <c r="AB125" s="50" t="s">
        <v>1322</v>
      </c>
      <c r="AC125" s="50" t="s">
        <v>1336</v>
      </c>
      <c r="AD125" s="48"/>
      <c r="AE125" s="48"/>
      <c r="AF125" s="48"/>
      <c r="AG125" s="48"/>
    </row>
    <row r="126">
      <c r="A126" s="47">
        <f>COUNTIF('Histórico'!$B:$B,B126)</f>
        <v>1</v>
      </c>
      <c r="B126" s="47" t="s">
        <v>863</v>
      </c>
      <c r="C126" s="48"/>
      <c r="D126" s="50" t="s">
        <v>1314</v>
      </c>
      <c r="E126" s="50" t="s">
        <v>1315</v>
      </c>
      <c r="F126" s="59">
        <v>46063.0</v>
      </c>
      <c r="G126" s="50" t="s">
        <v>1316</v>
      </c>
      <c r="H126" s="59">
        <v>46063.0</v>
      </c>
      <c r="I126" s="47" t="s">
        <v>121</v>
      </c>
      <c r="J126" s="47" t="s">
        <v>1318</v>
      </c>
      <c r="K126" s="47" t="s">
        <v>122</v>
      </c>
      <c r="L126" s="60" t="s">
        <v>1657</v>
      </c>
      <c r="M126" s="48"/>
      <c r="N126" s="48"/>
      <c r="O126" s="48"/>
      <c r="P126" s="48"/>
      <c r="Q126" s="50">
        <v>1.0</v>
      </c>
      <c r="R126" s="59">
        <v>46059.0</v>
      </c>
      <c r="S126" s="59">
        <v>46065.0</v>
      </c>
      <c r="T126" s="59">
        <v>46063.0</v>
      </c>
      <c r="U126" s="48"/>
      <c r="V126" s="50" t="s">
        <v>1321</v>
      </c>
      <c r="W126" s="47"/>
      <c r="X126" s="50" t="s">
        <v>12</v>
      </c>
      <c r="Y126" s="50" t="s">
        <v>1322</v>
      </c>
      <c r="Z126" s="50">
        <v>3.040313099E9</v>
      </c>
      <c r="AA126" s="50" t="s">
        <v>12</v>
      </c>
      <c r="AB126" s="50" t="s">
        <v>1322</v>
      </c>
      <c r="AC126" s="50" t="s">
        <v>1434</v>
      </c>
      <c r="AD126" s="48"/>
      <c r="AE126" s="48"/>
      <c r="AF126" s="48"/>
      <c r="AG126" s="48"/>
    </row>
    <row r="127">
      <c r="A127" s="47">
        <f>COUNTIF('Histórico'!$B:$B,B127)</f>
        <v>1</v>
      </c>
      <c r="B127" s="47" t="s">
        <v>867</v>
      </c>
      <c r="C127" s="48"/>
      <c r="D127" s="50" t="s">
        <v>1314</v>
      </c>
      <c r="E127" s="50" t="s">
        <v>1315</v>
      </c>
      <c r="F127" s="59">
        <v>46063.0</v>
      </c>
      <c r="G127" s="50" t="s">
        <v>1316</v>
      </c>
      <c r="H127" s="59">
        <v>46063.0</v>
      </c>
      <c r="I127" s="47" t="s">
        <v>1658</v>
      </c>
      <c r="J127" s="47" t="s">
        <v>1318</v>
      </c>
      <c r="K127" s="47" t="s">
        <v>90</v>
      </c>
      <c r="L127" s="60" t="s">
        <v>1659</v>
      </c>
      <c r="M127" s="48"/>
      <c r="N127" s="48"/>
      <c r="O127" s="48"/>
      <c r="P127" s="48"/>
      <c r="Q127" s="50">
        <v>1.0</v>
      </c>
      <c r="R127" s="59">
        <v>46059.0</v>
      </c>
      <c r="S127" s="59">
        <v>46059.0</v>
      </c>
      <c r="T127" s="59">
        <v>46063.0</v>
      </c>
      <c r="U127" s="48"/>
      <c r="V127" s="50" t="s">
        <v>1321</v>
      </c>
      <c r="W127" s="47"/>
      <c r="X127" s="50" t="s">
        <v>12</v>
      </c>
      <c r="Y127" s="50" t="s">
        <v>1322</v>
      </c>
      <c r="Z127" s="50">
        <v>3.040235957E9</v>
      </c>
      <c r="AA127" s="50" t="s">
        <v>1660</v>
      </c>
      <c r="AB127" s="50" t="s">
        <v>1328</v>
      </c>
      <c r="AC127" s="50" t="s">
        <v>1661</v>
      </c>
      <c r="AD127" s="48"/>
      <c r="AE127" s="48"/>
      <c r="AF127" s="48"/>
      <c r="AG127" s="48"/>
    </row>
    <row r="128">
      <c r="A128" s="47">
        <f>COUNTIF('Histórico'!$B:$B,B128)</f>
        <v>1</v>
      </c>
      <c r="B128" s="47" t="s">
        <v>869</v>
      </c>
      <c r="C128" s="48"/>
      <c r="D128" s="50" t="s">
        <v>1314</v>
      </c>
      <c r="E128" s="50" t="s">
        <v>1315</v>
      </c>
      <c r="F128" s="59">
        <v>46063.0</v>
      </c>
      <c r="G128" s="50" t="s">
        <v>1316</v>
      </c>
      <c r="H128" s="59">
        <v>46063.0</v>
      </c>
      <c r="I128" s="47" t="s">
        <v>1519</v>
      </c>
      <c r="J128" s="47" t="s">
        <v>1318</v>
      </c>
      <c r="K128" s="47" t="s">
        <v>1520</v>
      </c>
      <c r="L128" s="60" t="s">
        <v>1662</v>
      </c>
      <c r="M128" s="48"/>
      <c r="N128" s="48"/>
      <c r="O128" s="48"/>
      <c r="P128" s="48"/>
      <c r="Q128" s="50">
        <v>1.0</v>
      </c>
      <c r="R128" s="59">
        <v>46059.0</v>
      </c>
      <c r="S128" s="59">
        <v>46065.0</v>
      </c>
      <c r="T128" s="59">
        <v>46063.0</v>
      </c>
      <c r="U128" s="48"/>
      <c r="V128" s="50" t="s">
        <v>1321</v>
      </c>
      <c r="W128" s="47"/>
      <c r="X128" s="50" t="s">
        <v>12</v>
      </c>
      <c r="Y128" s="50" t="s">
        <v>1322</v>
      </c>
      <c r="Z128" s="50">
        <v>3.040213471E9</v>
      </c>
      <c r="AA128" s="50" t="s">
        <v>1415</v>
      </c>
      <c r="AB128" s="50" t="s">
        <v>1663</v>
      </c>
      <c r="AC128" s="50" t="s">
        <v>1664</v>
      </c>
      <c r="AD128" s="48"/>
      <c r="AE128" s="48"/>
      <c r="AF128" s="48"/>
      <c r="AG128" s="48"/>
    </row>
    <row r="129">
      <c r="A129" s="47">
        <f>COUNTIF('Histórico'!$B:$B,B129)</f>
        <v>1</v>
      </c>
      <c r="B129" s="47" t="s">
        <v>865</v>
      </c>
      <c r="C129" s="48"/>
      <c r="D129" s="50" t="s">
        <v>1314</v>
      </c>
      <c r="E129" s="50" t="s">
        <v>1315</v>
      </c>
      <c r="F129" s="59">
        <v>46063.0</v>
      </c>
      <c r="G129" s="50" t="s">
        <v>1316</v>
      </c>
      <c r="H129" s="59">
        <v>46063.0</v>
      </c>
      <c r="I129" s="47" t="s">
        <v>1665</v>
      </c>
      <c r="J129" s="47" t="s">
        <v>1666</v>
      </c>
      <c r="K129" s="47" t="s">
        <v>1667</v>
      </c>
      <c r="L129" s="60"/>
      <c r="M129" s="48"/>
      <c r="N129" s="48"/>
      <c r="O129" s="48"/>
      <c r="P129" s="48"/>
      <c r="Q129" s="50">
        <v>1.0</v>
      </c>
      <c r="R129" s="59">
        <v>46059.0</v>
      </c>
      <c r="S129" s="59">
        <v>46065.0</v>
      </c>
      <c r="T129" s="59">
        <v>46063.0</v>
      </c>
      <c r="U129" s="48"/>
      <c r="V129" s="50" t="s">
        <v>1321</v>
      </c>
      <c r="W129" s="47"/>
      <c r="X129" s="50" t="s">
        <v>12</v>
      </c>
      <c r="Y129" s="50" t="s">
        <v>1322</v>
      </c>
      <c r="Z129" s="50">
        <v>3.040290772E9</v>
      </c>
      <c r="AA129" s="50" t="s">
        <v>16</v>
      </c>
      <c r="AB129" s="50" t="s">
        <v>1668</v>
      </c>
      <c r="AC129" s="50" t="s">
        <v>1669</v>
      </c>
      <c r="AD129" s="48"/>
      <c r="AE129" s="48"/>
      <c r="AF129" s="48"/>
      <c r="AG129" s="48"/>
    </row>
    <row r="130">
      <c r="A130" s="47">
        <f>COUNTIF('Histórico'!$B:$B,B130)</f>
        <v>1</v>
      </c>
      <c r="B130" s="47" t="s">
        <v>879</v>
      </c>
      <c r="C130" s="48"/>
      <c r="D130" s="50" t="s">
        <v>1314</v>
      </c>
      <c r="E130" s="50" t="s">
        <v>1315</v>
      </c>
      <c r="F130" s="59">
        <v>46063.0</v>
      </c>
      <c r="G130" s="50" t="s">
        <v>1316</v>
      </c>
      <c r="H130" s="59">
        <v>46063.0</v>
      </c>
      <c r="I130" s="47" t="s">
        <v>1670</v>
      </c>
      <c r="J130" s="47" t="s">
        <v>48</v>
      </c>
      <c r="K130" s="47" t="s">
        <v>1671</v>
      </c>
      <c r="L130" s="60" t="s">
        <v>1672</v>
      </c>
      <c r="M130" s="48"/>
      <c r="N130" s="48"/>
      <c r="O130" s="48"/>
      <c r="P130" s="48"/>
      <c r="Q130" s="50">
        <v>1.0</v>
      </c>
      <c r="R130" s="59">
        <v>46059.0</v>
      </c>
      <c r="S130" s="59">
        <v>46065.0</v>
      </c>
      <c r="T130" s="59">
        <v>46063.0</v>
      </c>
      <c r="U130" s="48"/>
      <c r="V130" s="50" t="s">
        <v>1321</v>
      </c>
      <c r="W130" s="48"/>
      <c r="X130" s="50" t="s">
        <v>12</v>
      </c>
      <c r="Y130" s="50" t="s">
        <v>1322</v>
      </c>
      <c r="Z130" s="50">
        <v>3.040319739E9</v>
      </c>
      <c r="AA130" s="50" t="s">
        <v>17</v>
      </c>
      <c r="AB130" s="50" t="s">
        <v>1553</v>
      </c>
      <c r="AC130" s="50" t="s">
        <v>1554</v>
      </c>
      <c r="AD130" s="48"/>
      <c r="AE130" s="48"/>
      <c r="AF130" s="48"/>
      <c r="AG130" s="48"/>
    </row>
    <row r="131">
      <c r="A131" s="47">
        <f>COUNTIF('Histórico'!$B:$B,B131)</f>
        <v>1</v>
      </c>
      <c r="B131" s="47" t="s">
        <v>881</v>
      </c>
      <c r="C131" s="48"/>
      <c r="D131" s="50" t="s">
        <v>1314</v>
      </c>
      <c r="E131" s="50" t="s">
        <v>1315</v>
      </c>
      <c r="F131" s="59">
        <v>46063.0</v>
      </c>
      <c r="G131" s="50" t="s">
        <v>1316</v>
      </c>
      <c r="H131" s="59">
        <v>46063.0</v>
      </c>
      <c r="I131" s="47" t="s">
        <v>1673</v>
      </c>
      <c r="J131" s="47" t="s">
        <v>1524</v>
      </c>
      <c r="K131" s="47" t="s">
        <v>1674</v>
      </c>
      <c r="L131" s="60" t="s">
        <v>1675</v>
      </c>
      <c r="M131" s="48"/>
      <c r="N131" s="48"/>
      <c r="O131" s="48"/>
      <c r="P131" s="48"/>
      <c r="Q131" s="50">
        <v>1.0</v>
      </c>
      <c r="R131" s="59">
        <v>46059.0</v>
      </c>
      <c r="S131" s="59">
        <v>46089.0</v>
      </c>
      <c r="T131" s="59">
        <v>46063.0</v>
      </c>
      <c r="U131" s="48"/>
      <c r="V131" s="50" t="s">
        <v>1321</v>
      </c>
      <c r="W131" s="47"/>
      <c r="X131" s="50" t="s">
        <v>12</v>
      </c>
      <c r="Y131" s="50" t="s">
        <v>1322</v>
      </c>
      <c r="Z131" s="50">
        <v>3.040317907E9</v>
      </c>
      <c r="AA131" s="50" t="s">
        <v>1500</v>
      </c>
      <c r="AB131" s="50" t="s">
        <v>1537</v>
      </c>
      <c r="AC131" s="50" t="s">
        <v>1502</v>
      </c>
      <c r="AD131" s="48"/>
      <c r="AE131" s="48"/>
      <c r="AF131" s="48"/>
      <c r="AG131" s="48"/>
    </row>
    <row r="132">
      <c r="A132" s="47">
        <f>COUNTIF('Histórico'!$B:$B,B132)</f>
        <v>1</v>
      </c>
      <c r="B132" s="47" t="s">
        <v>883</v>
      </c>
      <c r="C132" s="48"/>
      <c r="D132" s="50" t="s">
        <v>1314</v>
      </c>
      <c r="E132" s="50" t="s">
        <v>1315</v>
      </c>
      <c r="F132" s="59">
        <v>46077.0</v>
      </c>
      <c r="G132" s="50" t="s">
        <v>1316</v>
      </c>
      <c r="H132" s="59">
        <v>46077.0</v>
      </c>
      <c r="I132" s="47" t="s">
        <v>1676</v>
      </c>
      <c r="J132" s="47" t="s">
        <v>1509</v>
      </c>
      <c r="K132" s="47" t="s">
        <v>1677</v>
      </c>
      <c r="L132" s="60" t="s">
        <v>1678</v>
      </c>
      <c r="M132" s="48"/>
      <c r="N132" s="48"/>
      <c r="O132" s="48"/>
      <c r="P132" s="48"/>
      <c r="Q132" s="50">
        <v>1.0</v>
      </c>
      <c r="R132" s="59">
        <v>46076.0</v>
      </c>
      <c r="S132" s="59">
        <v>46080.0</v>
      </c>
      <c r="T132" s="59">
        <v>46077.0</v>
      </c>
      <c r="U132" s="48"/>
      <c r="V132" s="50" t="s">
        <v>1321</v>
      </c>
      <c r="W132" s="48"/>
      <c r="X132" s="50" t="s">
        <v>12</v>
      </c>
      <c r="Y132" s="50" t="s">
        <v>1322</v>
      </c>
      <c r="Z132" s="50">
        <v>3.040295557E9</v>
      </c>
      <c r="AA132" s="50" t="s">
        <v>16</v>
      </c>
      <c r="AB132" s="50" t="s">
        <v>1331</v>
      </c>
      <c r="AC132" s="50" t="s">
        <v>1679</v>
      </c>
      <c r="AD132" s="48"/>
      <c r="AE132" s="48"/>
      <c r="AF132" s="48"/>
      <c r="AG132" s="48"/>
    </row>
    <row r="133">
      <c r="A133" s="47">
        <f>COUNTIF('Histórico'!$B:$B,B133)</f>
        <v>1</v>
      </c>
      <c r="B133" s="47" t="s">
        <v>885</v>
      </c>
      <c r="C133" s="48"/>
      <c r="D133" s="50" t="s">
        <v>1314</v>
      </c>
      <c r="E133" s="50" t="s">
        <v>1315</v>
      </c>
      <c r="F133" s="59">
        <v>46077.0</v>
      </c>
      <c r="G133" s="50" t="s">
        <v>1316</v>
      </c>
      <c r="H133" s="59">
        <v>46077.0</v>
      </c>
      <c r="I133" s="47" t="s">
        <v>1676</v>
      </c>
      <c r="J133" s="47" t="s">
        <v>1509</v>
      </c>
      <c r="K133" s="47" t="s">
        <v>1677</v>
      </c>
      <c r="L133" s="60" t="s">
        <v>1680</v>
      </c>
      <c r="M133" s="48"/>
      <c r="N133" s="48"/>
      <c r="O133" s="48"/>
      <c r="P133" s="48"/>
      <c r="Q133" s="50">
        <v>1.0</v>
      </c>
      <c r="R133" s="59">
        <v>46076.0</v>
      </c>
      <c r="S133" s="59">
        <v>46080.0</v>
      </c>
      <c r="T133" s="59">
        <v>46077.0</v>
      </c>
      <c r="U133" s="48"/>
      <c r="V133" s="50" t="s">
        <v>1321</v>
      </c>
      <c r="W133" s="48"/>
      <c r="X133" s="50" t="s">
        <v>12</v>
      </c>
      <c r="Y133" s="50" t="s">
        <v>1322</v>
      </c>
      <c r="Z133" s="50">
        <v>3.040298638E9</v>
      </c>
      <c r="AA133" s="50" t="s">
        <v>13</v>
      </c>
      <c r="AB133" s="50" t="s">
        <v>1377</v>
      </c>
      <c r="AC133" s="50" t="s">
        <v>1681</v>
      </c>
      <c r="AD133" s="48"/>
      <c r="AE133" s="48"/>
      <c r="AF133" s="48"/>
      <c r="AG133" s="48"/>
    </row>
    <row r="134">
      <c r="A134" s="47">
        <f>COUNTIF('Histórico'!$B:$B,B134)</f>
        <v>1</v>
      </c>
      <c r="B134" s="47" t="s">
        <v>887</v>
      </c>
      <c r="C134" s="48"/>
      <c r="D134" s="50" t="s">
        <v>1314</v>
      </c>
      <c r="E134" s="50" t="s">
        <v>1315</v>
      </c>
      <c r="F134" s="59">
        <v>46085.0</v>
      </c>
      <c r="G134" s="50" t="s">
        <v>1316</v>
      </c>
      <c r="H134" s="59">
        <v>46085.0</v>
      </c>
      <c r="I134" s="47" t="s">
        <v>1682</v>
      </c>
      <c r="J134" s="47" t="s">
        <v>48</v>
      </c>
      <c r="K134" s="47" t="s">
        <v>168</v>
      </c>
      <c r="L134" s="60" t="s">
        <v>1683</v>
      </c>
      <c r="M134" s="48"/>
      <c r="N134" s="48"/>
      <c r="O134" s="48"/>
      <c r="P134" s="48"/>
      <c r="Q134" s="50">
        <v>1.0</v>
      </c>
      <c r="R134" s="59">
        <v>46084.0</v>
      </c>
      <c r="S134" s="59">
        <v>46090.0</v>
      </c>
      <c r="T134" s="59">
        <v>46085.0</v>
      </c>
      <c r="U134" s="48"/>
      <c r="V134" s="50" t="s">
        <v>1321</v>
      </c>
      <c r="W134" s="50"/>
      <c r="X134" s="50" t="s">
        <v>12</v>
      </c>
      <c r="Y134" s="50" t="s">
        <v>1322</v>
      </c>
      <c r="Z134" s="50">
        <v>3.040318072E9</v>
      </c>
      <c r="AA134" s="50" t="s">
        <v>13</v>
      </c>
      <c r="AB134" s="50" t="s">
        <v>1377</v>
      </c>
      <c r="AC134" s="50" t="s">
        <v>1684</v>
      </c>
      <c r="AD134" s="48"/>
      <c r="AE134" s="48"/>
      <c r="AF134" s="48"/>
      <c r="AG134" s="48"/>
    </row>
    <row r="135">
      <c r="A135" s="47">
        <f>COUNTIF('Histórico'!$B:$B,B135)</f>
        <v>1</v>
      </c>
      <c r="B135" s="47" t="s">
        <v>889</v>
      </c>
      <c r="C135" s="48"/>
      <c r="D135" s="50" t="s">
        <v>1314</v>
      </c>
      <c r="E135" s="50" t="s">
        <v>1315</v>
      </c>
      <c r="F135" s="59">
        <v>46085.0</v>
      </c>
      <c r="G135" s="50" t="s">
        <v>1316</v>
      </c>
      <c r="H135" s="59">
        <v>46085.0</v>
      </c>
      <c r="I135" s="47" t="s">
        <v>1682</v>
      </c>
      <c r="J135" s="47" t="s">
        <v>48</v>
      </c>
      <c r="K135" s="47" t="s">
        <v>168</v>
      </c>
      <c r="L135" s="60" t="s">
        <v>1685</v>
      </c>
      <c r="M135" s="48"/>
      <c r="N135" s="48"/>
      <c r="O135" s="48"/>
      <c r="P135" s="48"/>
      <c r="Q135" s="50">
        <v>1.0</v>
      </c>
      <c r="R135" s="59">
        <v>46084.0</v>
      </c>
      <c r="S135" s="59">
        <v>46090.0</v>
      </c>
      <c r="T135" s="59">
        <v>46085.0</v>
      </c>
      <c r="U135" s="48"/>
      <c r="V135" s="50" t="s">
        <v>1321</v>
      </c>
      <c r="W135" s="47"/>
      <c r="X135" s="50" t="s">
        <v>12</v>
      </c>
      <c r="Y135" s="50" t="s">
        <v>1322</v>
      </c>
      <c r="Z135" s="50">
        <v>3.040323058E9</v>
      </c>
      <c r="AA135" s="50" t="s">
        <v>13</v>
      </c>
      <c r="AB135" s="50" t="s">
        <v>1377</v>
      </c>
      <c r="AC135" s="50" t="s">
        <v>1686</v>
      </c>
      <c r="AD135" s="48"/>
      <c r="AE135" s="48"/>
      <c r="AF135" s="48"/>
      <c r="AG135" s="48"/>
    </row>
    <row r="136">
      <c r="A136" s="47">
        <f>COUNTIF('Histórico'!$B:$B,B136)</f>
        <v>1</v>
      </c>
      <c r="B136" s="47" t="s">
        <v>891</v>
      </c>
      <c r="C136" s="48"/>
      <c r="D136" s="50" t="s">
        <v>1314</v>
      </c>
      <c r="E136" s="50" t="s">
        <v>1315</v>
      </c>
      <c r="F136" s="59">
        <v>46090.0</v>
      </c>
      <c r="G136" s="50" t="s">
        <v>1316</v>
      </c>
      <c r="H136" s="59">
        <v>46090.0</v>
      </c>
      <c r="I136" s="47" t="s">
        <v>1333</v>
      </c>
      <c r="J136" s="47" t="s">
        <v>724</v>
      </c>
      <c r="K136" s="47" t="s">
        <v>1334</v>
      </c>
      <c r="L136" s="60" t="s">
        <v>1687</v>
      </c>
      <c r="M136" s="48"/>
      <c r="N136" s="48"/>
      <c r="O136" s="48"/>
      <c r="P136" s="48"/>
      <c r="Q136" s="50">
        <v>1.0</v>
      </c>
      <c r="R136" s="59">
        <v>46084.0</v>
      </c>
      <c r="S136" s="59">
        <v>46090.0</v>
      </c>
      <c r="T136" s="59">
        <v>46090.0</v>
      </c>
      <c r="U136" s="48"/>
      <c r="V136" s="50" t="s">
        <v>1321</v>
      </c>
      <c r="W136" s="48"/>
      <c r="X136" s="50" t="s">
        <v>12</v>
      </c>
      <c r="Y136" s="50" t="s">
        <v>1322</v>
      </c>
      <c r="Z136" s="50">
        <v>3.040323964E9</v>
      </c>
      <c r="AA136" s="50" t="s">
        <v>12</v>
      </c>
      <c r="AB136" s="50" t="s">
        <v>1322</v>
      </c>
      <c r="AC136" s="50" t="s">
        <v>1369</v>
      </c>
      <c r="AD136" s="48"/>
      <c r="AE136" s="48"/>
      <c r="AF136" s="48"/>
      <c r="AG136" s="48"/>
    </row>
    <row r="137">
      <c r="A137" s="47">
        <f>COUNTIF('Histórico'!$B:$B,B137)</f>
        <v>1</v>
      </c>
      <c r="B137" s="47" t="s">
        <v>909</v>
      </c>
      <c r="C137" s="48"/>
      <c r="D137" s="50" t="s">
        <v>1314</v>
      </c>
      <c r="E137" s="50" t="s">
        <v>1315</v>
      </c>
      <c r="F137" s="59">
        <v>46107.0</v>
      </c>
      <c r="G137" s="50" t="s">
        <v>1316</v>
      </c>
      <c r="H137" s="59">
        <v>46107.0</v>
      </c>
      <c r="I137" s="47" t="s">
        <v>167</v>
      </c>
      <c r="J137" s="47" t="s">
        <v>1345</v>
      </c>
      <c r="K137" s="47" t="s">
        <v>168</v>
      </c>
      <c r="L137" s="60" t="s">
        <v>1688</v>
      </c>
      <c r="M137" s="48"/>
      <c r="N137" s="48"/>
      <c r="O137" s="48"/>
      <c r="P137" s="48"/>
      <c r="Q137" s="50">
        <v>1.0</v>
      </c>
      <c r="R137" s="59">
        <v>46105.0</v>
      </c>
      <c r="S137" s="59">
        <v>46111.0</v>
      </c>
      <c r="T137" s="59">
        <v>46107.0</v>
      </c>
      <c r="U137" s="48"/>
      <c r="V137" s="50" t="s">
        <v>1321</v>
      </c>
      <c r="W137" s="48"/>
      <c r="X137" s="50" t="s">
        <v>12</v>
      </c>
      <c r="Y137" s="50" t="s">
        <v>1322</v>
      </c>
      <c r="Z137" s="50">
        <v>3.040323917E9</v>
      </c>
      <c r="AA137" s="50" t="s">
        <v>17</v>
      </c>
      <c r="AB137" s="50" t="s">
        <v>1458</v>
      </c>
      <c r="AC137" s="50" t="s">
        <v>1689</v>
      </c>
      <c r="AD137" s="48"/>
      <c r="AE137" s="48"/>
      <c r="AF137" s="48"/>
      <c r="AG137" s="48"/>
    </row>
    <row r="138">
      <c r="A138" s="47">
        <f>COUNTIF('Histórico'!$B:$B,B138)</f>
        <v>1</v>
      </c>
      <c r="B138" s="47" t="s">
        <v>911</v>
      </c>
      <c r="C138" s="48"/>
      <c r="D138" s="50" t="s">
        <v>1314</v>
      </c>
      <c r="E138" s="50" t="s">
        <v>1315</v>
      </c>
      <c r="F138" s="59">
        <v>46112.0</v>
      </c>
      <c r="G138" s="50" t="s">
        <v>1316</v>
      </c>
      <c r="H138" s="59">
        <v>46112.0</v>
      </c>
      <c r="I138" s="47" t="s">
        <v>83</v>
      </c>
      <c r="J138" s="47" t="s">
        <v>1318</v>
      </c>
      <c r="K138" s="47" t="s">
        <v>84</v>
      </c>
      <c r="L138" s="60" t="s">
        <v>1690</v>
      </c>
      <c r="M138" s="48"/>
      <c r="N138" s="48"/>
      <c r="O138" s="48"/>
      <c r="P138" s="48"/>
      <c r="Q138" s="50">
        <v>1.0</v>
      </c>
      <c r="R138" s="59">
        <v>46108.0</v>
      </c>
      <c r="S138" s="59">
        <v>46114.0</v>
      </c>
      <c r="T138" s="59">
        <v>46112.0</v>
      </c>
      <c r="U138" s="48"/>
      <c r="V138" s="50" t="s">
        <v>1321</v>
      </c>
      <c r="W138" s="50"/>
      <c r="X138" s="50" t="s">
        <v>12</v>
      </c>
      <c r="Y138" s="50" t="s">
        <v>1322</v>
      </c>
      <c r="Z138" s="50">
        <v>3.040238083E9</v>
      </c>
      <c r="AA138" s="50" t="s">
        <v>1376</v>
      </c>
      <c r="AB138" s="50" t="s">
        <v>1380</v>
      </c>
      <c r="AC138" s="50" t="s">
        <v>1473</v>
      </c>
      <c r="AD138" s="48"/>
      <c r="AE138" s="48"/>
      <c r="AF138" s="48"/>
      <c r="AG138" s="48"/>
    </row>
    <row r="139">
      <c r="A139" s="47">
        <f>COUNTIF('Histórico'!$B:$B,B139)</f>
        <v>1</v>
      </c>
      <c r="B139" s="47" t="s">
        <v>913</v>
      </c>
      <c r="C139" s="48"/>
      <c r="D139" s="50" t="s">
        <v>1314</v>
      </c>
      <c r="E139" s="50" t="s">
        <v>1315</v>
      </c>
      <c r="F139" s="59">
        <v>46125.0</v>
      </c>
      <c r="G139" s="50" t="s">
        <v>1316</v>
      </c>
      <c r="H139" s="59">
        <v>46125.0</v>
      </c>
      <c r="I139" s="47" t="s">
        <v>1691</v>
      </c>
      <c r="J139" s="47" t="s">
        <v>1692</v>
      </c>
      <c r="K139" s="47" t="s">
        <v>1693</v>
      </c>
      <c r="L139" s="60" t="s">
        <v>1694</v>
      </c>
      <c r="M139" s="48"/>
      <c r="N139" s="48"/>
      <c r="O139" s="48"/>
      <c r="P139" s="48"/>
      <c r="Q139" s="50">
        <v>1.0</v>
      </c>
      <c r="R139" s="59">
        <v>46120.0</v>
      </c>
      <c r="S139" s="59">
        <v>46126.0</v>
      </c>
      <c r="T139" s="59">
        <v>46125.0</v>
      </c>
      <c r="U139" s="48"/>
      <c r="V139" s="50" t="s">
        <v>1321</v>
      </c>
      <c r="W139" s="50"/>
      <c r="X139" s="50" t="s">
        <v>12</v>
      </c>
      <c r="Y139" s="50" t="s">
        <v>1322</v>
      </c>
      <c r="Z139" s="50">
        <v>3.040269806E9</v>
      </c>
      <c r="AA139" s="50" t="s">
        <v>1372</v>
      </c>
      <c r="AB139" s="50" t="s">
        <v>1695</v>
      </c>
      <c r="AC139" s="50" t="s">
        <v>1696</v>
      </c>
      <c r="AD139" s="48"/>
      <c r="AE139" s="48"/>
      <c r="AF139" s="48"/>
      <c r="AG139" s="48"/>
    </row>
    <row r="140">
      <c r="A140" s="47">
        <f>COUNTIF('Histórico'!$B:$B,B140)</f>
        <v>1</v>
      </c>
      <c r="B140" s="47" t="s">
        <v>923</v>
      </c>
      <c r="C140" s="48"/>
      <c r="D140" s="50" t="s">
        <v>1314</v>
      </c>
      <c r="E140" s="50" t="s">
        <v>1315</v>
      </c>
      <c r="F140" s="59">
        <v>46125.0</v>
      </c>
      <c r="G140" s="50" t="s">
        <v>1316</v>
      </c>
      <c r="H140" s="59">
        <v>46125.0</v>
      </c>
      <c r="I140" s="47" t="s">
        <v>161</v>
      </c>
      <c r="J140" s="47" t="s">
        <v>232</v>
      </c>
      <c r="K140" s="47" t="s">
        <v>162</v>
      </c>
      <c r="L140" s="60" t="s">
        <v>1697</v>
      </c>
      <c r="M140" s="48"/>
      <c r="N140" s="48"/>
      <c r="O140" s="48"/>
      <c r="P140" s="48"/>
      <c r="Q140" s="50">
        <v>1.0</v>
      </c>
      <c r="R140" s="59">
        <v>46121.0</v>
      </c>
      <c r="S140" s="59">
        <v>46127.0</v>
      </c>
      <c r="T140" s="59">
        <v>46125.0</v>
      </c>
      <c r="U140" s="48"/>
      <c r="V140" s="50" t="s">
        <v>1321</v>
      </c>
      <c r="W140" s="47"/>
      <c r="X140" s="50" t="s">
        <v>12</v>
      </c>
      <c r="Y140" s="50" t="s">
        <v>1322</v>
      </c>
      <c r="Z140" s="50">
        <v>3.04031986E9</v>
      </c>
      <c r="AA140" s="50" t="s">
        <v>16</v>
      </c>
      <c r="AB140" s="50" t="s">
        <v>1331</v>
      </c>
      <c r="AC140" s="50" t="s">
        <v>1486</v>
      </c>
      <c r="AD140" s="48"/>
      <c r="AE140" s="48"/>
      <c r="AF140" s="48"/>
      <c r="AG140" s="48"/>
    </row>
    <row r="141">
      <c r="A141" s="47">
        <f>COUNTIF('Histórico'!$B:$B,B141)</f>
        <v>1</v>
      </c>
      <c r="B141" s="47" t="s">
        <v>915</v>
      </c>
      <c r="C141" s="48"/>
      <c r="D141" s="50" t="s">
        <v>1314</v>
      </c>
      <c r="E141" s="50" t="s">
        <v>1315</v>
      </c>
      <c r="F141" s="59">
        <v>46125.0</v>
      </c>
      <c r="G141" s="50" t="s">
        <v>1316</v>
      </c>
      <c r="H141" s="59">
        <v>46125.0</v>
      </c>
      <c r="I141" s="47" t="s">
        <v>1698</v>
      </c>
      <c r="J141" s="47" t="s">
        <v>1699</v>
      </c>
      <c r="K141" s="47" t="s">
        <v>1700</v>
      </c>
      <c r="L141" s="60" t="s">
        <v>1701</v>
      </c>
      <c r="M141" s="48"/>
      <c r="N141" s="48"/>
      <c r="O141" s="48"/>
      <c r="P141" s="48"/>
      <c r="Q141" s="50">
        <v>1.0</v>
      </c>
      <c r="R141" s="59">
        <v>46120.0</v>
      </c>
      <c r="S141" s="59">
        <v>46126.0</v>
      </c>
      <c r="T141" s="59">
        <v>46125.0</v>
      </c>
      <c r="U141" s="48"/>
      <c r="V141" s="50" t="s">
        <v>1321</v>
      </c>
      <c r="W141" s="50"/>
      <c r="X141" s="50" t="s">
        <v>12</v>
      </c>
      <c r="Y141" s="50" t="s">
        <v>1322</v>
      </c>
      <c r="Z141" s="50">
        <v>3.04030408E9</v>
      </c>
      <c r="AA141" s="50" t="s">
        <v>17</v>
      </c>
      <c r="AB141" s="50" t="s">
        <v>1702</v>
      </c>
      <c r="AC141" s="50" t="s">
        <v>1703</v>
      </c>
      <c r="AD141" s="48"/>
      <c r="AE141" s="48"/>
      <c r="AF141" s="48"/>
      <c r="AG141" s="48"/>
    </row>
    <row r="142">
      <c r="A142" s="47">
        <f>COUNTIF('Histórico'!$B:$B,B142)</f>
        <v>1</v>
      </c>
      <c r="B142" s="47" t="s">
        <v>933</v>
      </c>
      <c r="C142" s="48"/>
      <c r="D142" s="50" t="s">
        <v>1314</v>
      </c>
      <c r="E142" s="50" t="s">
        <v>1315</v>
      </c>
      <c r="F142" s="59">
        <v>46125.0</v>
      </c>
      <c r="G142" s="50" t="s">
        <v>1316</v>
      </c>
      <c r="H142" s="59">
        <v>46125.0</v>
      </c>
      <c r="I142" s="47" t="s">
        <v>105</v>
      </c>
      <c r="J142" s="47" t="s">
        <v>1318</v>
      </c>
      <c r="K142" s="47" t="s">
        <v>106</v>
      </c>
      <c r="L142" s="60" t="s">
        <v>1704</v>
      </c>
      <c r="M142" s="48"/>
      <c r="N142" s="48"/>
      <c r="O142" s="48"/>
      <c r="P142" s="48"/>
      <c r="Q142" s="50">
        <v>1.0</v>
      </c>
      <c r="R142" s="59">
        <v>46120.0</v>
      </c>
      <c r="S142" s="59">
        <v>46126.0</v>
      </c>
      <c r="T142" s="59">
        <v>46125.0</v>
      </c>
      <c r="U142" s="48"/>
      <c r="V142" s="50" t="s">
        <v>1321</v>
      </c>
      <c r="W142" s="47"/>
      <c r="X142" s="50" t="s">
        <v>12</v>
      </c>
      <c r="Y142" s="50" t="s">
        <v>1322</v>
      </c>
      <c r="Z142" s="50">
        <v>3.040321987E9</v>
      </c>
      <c r="AA142" s="50" t="s">
        <v>24</v>
      </c>
      <c r="AB142" s="50" t="s">
        <v>1359</v>
      </c>
      <c r="AC142" s="50" t="s">
        <v>1705</v>
      </c>
      <c r="AD142" s="48"/>
      <c r="AE142" s="48"/>
      <c r="AF142" s="48"/>
      <c r="AG142" s="48"/>
    </row>
    <row r="143">
      <c r="A143" s="47">
        <f>COUNTIF('Histórico'!$B:$B,B143)</f>
        <v>1</v>
      </c>
      <c r="B143" s="47" t="s">
        <v>931</v>
      </c>
      <c r="C143" s="48"/>
      <c r="D143" s="50" t="s">
        <v>1314</v>
      </c>
      <c r="E143" s="50" t="s">
        <v>1315</v>
      </c>
      <c r="F143" s="59">
        <v>46125.0</v>
      </c>
      <c r="G143" s="50" t="s">
        <v>1316</v>
      </c>
      <c r="H143" s="59">
        <v>46125.0</v>
      </c>
      <c r="I143" s="47" t="s">
        <v>111</v>
      </c>
      <c r="J143" s="47" t="s">
        <v>1318</v>
      </c>
      <c r="K143" s="47" t="s">
        <v>112</v>
      </c>
      <c r="L143" s="60" t="s">
        <v>1706</v>
      </c>
      <c r="M143" s="48"/>
      <c r="N143" s="48"/>
      <c r="O143" s="48"/>
      <c r="P143" s="48"/>
      <c r="Q143" s="50">
        <v>1.0</v>
      </c>
      <c r="R143" s="59">
        <v>45962.0</v>
      </c>
      <c r="S143" s="59">
        <v>46023.0</v>
      </c>
      <c r="T143" s="59">
        <v>46125.0</v>
      </c>
      <c r="U143" s="48"/>
      <c r="V143" s="50" t="s">
        <v>1321</v>
      </c>
      <c r="W143" s="47"/>
      <c r="X143" s="50" t="s">
        <v>12</v>
      </c>
      <c r="Y143" s="50" t="s">
        <v>1322</v>
      </c>
      <c r="Z143" s="50">
        <v>3.040297382E9</v>
      </c>
      <c r="AA143" s="50" t="s">
        <v>13</v>
      </c>
      <c r="AB143" s="50" t="s">
        <v>1380</v>
      </c>
      <c r="AC143" s="50" t="s">
        <v>1543</v>
      </c>
      <c r="AD143" s="48"/>
      <c r="AE143" s="48"/>
      <c r="AF143" s="48"/>
      <c r="AG143" s="48"/>
    </row>
    <row r="144">
      <c r="A144" s="47">
        <f>COUNTIF('Histórico'!$B:$B,B144)</f>
        <v>1</v>
      </c>
      <c r="B144" s="47" t="s">
        <v>935</v>
      </c>
      <c r="C144" s="48"/>
      <c r="D144" s="50" t="s">
        <v>1314</v>
      </c>
      <c r="E144" s="50" t="s">
        <v>1315</v>
      </c>
      <c r="F144" s="59">
        <v>46125.0</v>
      </c>
      <c r="G144" s="50" t="s">
        <v>1316</v>
      </c>
      <c r="H144" s="59">
        <v>46125.0</v>
      </c>
      <c r="I144" s="47" t="s">
        <v>1707</v>
      </c>
      <c r="J144" s="47" t="s">
        <v>1318</v>
      </c>
      <c r="K144" s="47" t="s">
        <v>1708</v>
      </c>
      <c r="L144" s="60" t="s">
        <v>1709</v>
      </c>
      <c r="M144" s="48"/>
      <c r="N144" s="48"/>
      <c r="O144" s="48"/>
      <c r="P144" s="48"/>
      <c r="Q144" s="50">
        <v>1.0</v>
      </c>
      <c r="R144" s="59">
        <v>46120.0</v>
      </c>
      <c r="S144" s="59">
        <v>46126.0</v>
      </c>
      <c r="T144" s="59">
        <v>46125.0</v>
      </c>
      <c r="U144" s="48"/>
      <c r="V144" s="50" t="s">
        <v>1321</v>
      </c>
      <c r="W144" s="48"/>
      <c r="X144" s="50" t="s">
        <v>12</v>
      </c>
      <c r="Y144" s="50" t="s">
        <v>1322</v>
      </c>
      <c r="Z144" s="50">
        <v>3.040210847E9</v>
      </c>
      <c r="AA144" s="50" t="s">
        <v>1425</v>
      </c>
      <c r="AB144" s="50" t="s">
        <v>1710</v>
      </c>
      <c r="AC144" s="50" t="s">
        <v>1711</v>
      </c>
      <c r="AD144" s="48"/>
      <c r="AE144" s="48"/>
      <c r="AF144" s="48"/>
      <c r="AG144" s="48"/>
    </row>
    <row r="145">
      <c r="A145" s="47">
        <f>COUNTIF('Histórico'!$B:$B,B145)</f>
        <v>1</v>
      </c>
      <c r="B145" s="47" t="s">
        <v>937</v>
      </c>
      <c r="C145" s="48"/>
      <c r="D145" s="50" t="s">
        <v>1314</v>
      </c>
      <c r="E145" s="50" t="s">
        <v>1315</v>
      </c>
      <c r="F145" s="59">
        <v>46125.0</v>
      </c>
      <c r="G145" s="50" t="s">
        <v>1316</v>
      </c>
      <c r="H145" s="59">
        <v>46125.0</v>
      </c>
      <c r="I145" s="47" t="s">
        <v>1590</v>
      </c>
      <c r="J145" s="47" t="s">
        <v>1318</v>
      </c>
      <c r="K145" s="47" t="s">
        <v>1591</v>
      </c>
      <c r="L145" s="60" t="s">
        <v>1712</v>
      </c>
      <c r="M145" s="48"/>
      <c r="N145" s="48"/>
      <c r="O145" s="48"/>
      <c r="P145" s="48"/>
      <c r="Q145" s="50">
        <v>1.0</v>
      </c>
      <c r="R145" s="59">
        <v>46120.0</v>
      </c>
      <c r="S145" s="59">
        <v>46126.0</v>
      </c>
      <c r="T145" s="59">
        <v>46125.0</v>
      </c>
      <c r="U145" s="48"/>
      <c r="V145" s="50" t="s">
        <v>1321</v>
      </c>
      <c r="W145" s="50"/>
      <c r="X145" s="50" t="s">
        <v>12</v>
      </c>
      <c r="Y145" s="50" t="s">
        <v>1322</v>
      </c>
      <c r="Z145" s="50">
        <v>3.040308025E9</v>
      </c>
      <c r="AA145" s="50" t="s">
        <v>14</v>
      </c>
      <c r="AB145" s="50" t="s">
        <v>1328</v>
      </c>
      <c r="AC145" s="50" t="s">
        <v>1329</v>
      </c>
      <c r="AD145" s="48"/>
      <c r="AE145" s="48"/>
      <c r="AF145" s="48"/>
      <c r="AG145" s="48"/>
    </row>
    <row r="146">
      <c r="A146" s="47">
        <f>COUNTIF('Histórico'!$B:$B,B146)</f>
        <v>1</v>
      </c>
      <c r="B146" s="47" t="s">
        <v>943</v>
      </c>
      <c r="C146" s="48"/>
      <c r="D146" s="50" t="s">
        <v>1314</v>
      </c>
      <c r="E146" s="50" t="s">
        <v>1315</v>
      </c>
      <c r="F146" s="59">
        <v>46125.0</v>
      </c>
      <c r="G146" s="50" t="s">
        <v>1316</v>
      </c>
      <c r="H146" s="59">
        <v>46125.0</v>
      </c>
      <c r="I146" s="47" t="s">
        <v>1590</v>
      </c>
      <c r="J146" s="47" t="s">
        <v>1318</v>
      </c>
      <c r="K146" s="47" t="s">
        <v>1591</v>
      </c>
      <c r="L146" s="60" t="s">
        <v>1713</v>
      </c>
      <c r="M146" s="48"/>
      <c r="N146" s="48"/>
      <c r="O146" s="48"/>
      <c r="P146" s="48"/>
      <c r="Q146" s="50">
        <v>1.0</v>
      </c>
      <c r="R146" s="59">
        <v>46121.0</v>
      </c>
      <c r="S146" s="59">
        <v>46127.0</v>
      </c>
      <c r="T146" s="59">
        <v>46125.0</v>
      </c>
      <c r="U146" s="48"/>
      <c r="V146" s="50" t="s">
        <v>1321</v>
      </c>
      <c r="W146" s="47"/>
      <c r="X146" s="50" t="s">
        <v>12</v>
      </c>
      <c r="Y146" s="50" t="s">
        <v>1322</v>
      </c>
      <c r="Z146" s="50">
        <v>3.040308559E9</v>
      </c>
      <c r="AA146" s="50" t="s">
        <v>24</v>
      </c>
      <c r="AB146" s="50" t="s">
        <v>1359</v>
      </c>
      <c r="AC146" s="50" t="s">
        <v>1360</v>
      </c>
      <c r="AD146" s="48"/>
      <c r="AE146" s="48"/>
      <c r="AF146" s="48"/>
      <c r="AG146" s="48"/>
    </row>
    <row r="147">
      <c r="A147" s="47">
        <f>COUNTIF('Histórico'!$B:$B,B147)</f>
        <v>1</v>
      </c>
      <c r="B147" s="47" t="s">
        <v>939</v>
      </c>
      <c r="C147" s="48"/>
      <c r="D147" s="50" t="s">
        <v>1314</v>
      </c>
      <c r="E147" s="50" t="s">
        <v>1315</v>
      </c>
      <c r="F147" s="59">
        <v>46125.0</v>
      </c>
      <c r="G147" s="50" t="s">
        <v>1316</v>
      </c>
      <c r="H147" s="59">
        <v>46125.0</v>
      </c>
      <c r="I147" s="47" t="s">
        <v>1590</v>
      </c>
      <c r="J147" s="47" t="s">
        <v>1318</v>
      </c>
      <c r="K147" s="47" t="s">
        <v>1591</v>
      </c>
      <c r="L147" s="60" t="s">
        <v>1714</v>
      </c>
      <c r="M147" s="48"/>
      <c r="N147" s="48"/>
      <c r="O147" s="48"/>
      <c r="P147" s="48"/>
      <c r="Q147" s="50">
        <v>1.0</v>
      </c>
      <c r="R147" s="59">
        <v>46121.0</v>
      </c>
      <c r="S147" s="59">
        <v>46127.0</v>
      </c>
      <c r="T147" s="59">
        <v>46125.0</v>
      </c>
      <c r="U147" s="48"/>
      <c r="V147" s="50" t="s">
        <v>1321</v>
      </c>
      <c r="W147" s="47"/>
      <c r="X147" s="50" t="s">
        <v>12</v>
      </c>
      <c r="Y147" s="50" t="s">
        <v>1322</v>
      </c>
      <c r="Z147" s="50">
        <v>3.04030977E9</v>
      </c>
      <c r="AA147" s="50" t="s">
        <v>14</v>
      </c>
      <c r="AB147" s="50" t="s">
        <v>1328</v>
      </c>
      <c r="AC147" s="50" t="s">
        <v>1715</v>
      </c>
      <c r="AD147" s="48"/>
      <c r="AE147" s="48"/>
      <c r="AF147" s="48"/>
      <c r="AG147" s="48"/>
    </row>
    <row r="148">
      <c r="A148" s="47">
        <f>COUNTIF('Histórico'!$B:$B,B148)</f>
        <v>1</v>
      </c>
      <c r="B148" s="47" t="s">
        <v>949</v>
      </c>
      <c r="C148" s="48"/>
      <c r="D148" s="50" t="s">
        <v>1314</v>
      </c>
      <c r="E148" s="50" t="s">
        <v>1315</v>
      </c>
      <c r="F148" s="59">
        <v>46125.0</v>
      </c>
      <c r="G148" s="50" t="s">
        <v>1316</v>
      </c>
      <c r="H148" s="59">
        <v>46125.0</v>
      </c>
      <c r="I148" s="47" t="s">
        <v>151</v>
      </c>
      <c r="J148" s="47" t="s">
        <v>1318</v>
      </c>
      <c r="K148" s="47" t="s">
        <v>152</v>
      </c>
      <c r="L148" s="60" t="s">
        <v>1716</v>
      </c>
      <c r="M148" s="48"/>
      <c r="N148" s="48"/>
      <c r="O148" s="48"/>
      <c r="P148" s="48"/>
      <c r="Q148" s="50">
        <v>1.0</v>
      </c>
      <c r="R148" s="59">
        <v>46121.0</v>
      </c>
      <c r="S148" s="59">
        <v>46127.0</v>
      </c>
      <c r="T148" s="59">
        <v>46125.0</v>
      </c>
      <c r="U148" s="48"/>
      <c r="V148" s="50" t="s">
        <v>1321</v>
      </c>
      <c r="W148" s="47"/>
      <c r="X148" s="50" t="s">
        <v>12</v>
      </c>
      <c r="Y148" s="50" t="s">
        <v>1322</v>
      </c>
      <c r="Z148" s="50">
        <v>3.040324062E9</v>
      </c>
      <c r="AA148" s="50" t="s">
        <v>17</v>
      </c>
      <c r="AB148" s="50" t="s">
        <v>1458</v>
      </c>
      <c r="AC148" s="50" t="s">
        <v>1689</v>
      </c>
      <c r="AD148" s="48"/>
      <c r="AE148" s="48"/>
      <c r="AF148" s="48"/>
      <c r="AG148" s="48"/>
    </row>
    <row r="149">
      <c r="A149" s="47">
        <f>COUNTIF('Histórico'!$B:$B,B149)</f>
        <v>1</v>
      </c>
      <c r="B149" s="47" t="s">
        <v>967</v>
      </c>
      <c r="C149" s="48"/>
      <c r="D149" s="50" t="s">
        <v>1314</v>
      </c>
      <c r="E149" s="50" t="s">
        <v>1315</v>
      </c>
      <c r="F149" s="59">
        <v>46125.0</v>
      </c>
      <c r="G149" s="50" t="s">
        <v>1316</v>
      </c>
      <c r="H149" s="59">
        <v>46125.0</v>
      </c>
      <c r="I149" s="47" t="s">
        <v>81</v>
      </c>
      <c r="J149" s="47" t="s">
        <v>1717</v>
      </c>
      <c r="K149" s="47" t="s">
        <v>1718</v>
      </c>
      <c r="L149" s="60" t="s">
        <v>1719</v>
      </c>
      <c r="M149" s="48"/>
      <c r="N149" s="48"/>
      <c r="O149" s="48"/>
      <c r="P149" s="48"/>
      <c r="Q149" s="50">
        <v>1.0</v>
      </c>
      <c r="R149" s="59">
        <v>46119.0</v>
      </c>
      <c r="S149" s="59">
        <v>46125.0</v>
      </c>
      <c r="T149" s="59">
        <v>46125.0</v>
      </c>
      <c r="U149" s="48"/>
      <c r="V149" s="50" t="s">
        <v>1321</v>
      </c>
      <c r="W149" s="47"/>
      <c r="X149" s="50" t="s">
        <v>12</v>
      </c>
      <c r="Y149" s="50" t="s">
        <v>1322</v>
      </c>
      <c r="Z149" s="50">
        <v>3.040316987E9</v>
      </c>
      <c r="AA149" s="50" t="s">
        <v>12</v>
      </c>
      <c r="AB149" s="50" t="s">
        <v>1322</v>
      </c>
      <c r="AC149" s="50" t="s">
        <v>1369</v>
      </c>
      <c r="AD149" s="48"/>
      <c r="AE149" s="48"/>
      <c r="AF149" s="48"/>
      <c r="AG149" s="48"/>
    </row>
    <row r="150">
      <c r="A150" s="47">
        <f>COUNTIF('Histórico'!$B:$B,B150)</f>
        <v>1</v>
      </c>
      <c r="B150" s="47" t="s">
        <v>969</v>
      </c>
      <c r="C150" s="48"/>
      <c r="D150" s="50" t="s">
        <v>1314</v>
      </c>
      <c r="E150" s="50" t="s">
        <v>1315</v>
      </c>
      <c r="F150" s="59">
        <v>46125.0</v>
      </c>
      <c r="G150" s="50" t="s">
        <v>1316</v>
      </c>
      <c r="H150" s="59">
        <v>46125.0</v>
      </c>
      <c r="I150" s="47" t="s">
        <v>189</v>
      </c>
      <c r="J150" s="47" t="s">
        <v>1720</v>
      </c>
      <c r="K150" s="47" t="s">
        <v>1721</v>
      </c>
      <c r="L150" s="60" t="s">
        <v>1722</v>
      </c>
      <c r="M150" s="48"/>
      <c r="N150" s="48"/>
      <c r="O150" s="48"/>
      <c r="P150" s="48"/>
      <c r="Q150" s="50">
        <v>1.0</v>
      </c>
      <c r="R150" s="59">
        <v>46121.0</v>
      </c>
      <c r="S150" s="59">
        <v>46127.0</v>
      </c>
      <c r="T150" s="59">
        <v>46125.0</v>
      </c>
      <c r="U150" s="48"/>
      <c r="V150" s="50" t="s">
        <v>1321</v>
      </c>
      <c r="W150" s="47"/>
      <c r="X150" s="50" t="s">
        <v>12</v>
      </c>
      <c r="Y150" s="50" t="s">
        <v>1322</v>
      </c>
      <c r="Z150" s="50">
        <v>3.040321931E9</v>
      </c>
      <c r="AA150" s="50" t="s">
        <v>12</v>
      </c>
      <c r="AB150" s="50" t="s">
        <v>1385</v>
      </c>
      <c r="AC150" s="50" t="s">
        <v>1723</v>
      </c>
      <c r="AD150" s="48"/>
      <c r="AE150" s="48"/>
      <c r="AF150" s="48"/>
      <c r="AG150" s="48"/>
    </row>
    <row r="151">
      <c r="A151" s="47">
        <f>COUNTIF('Histórico'!$B:$B,B151)</f>
        <v>1</v>
      </c>
      <c r="B151" s="47" t="s">
        <v>977</v>
      </c>
      <c r="C151" s="48"/>
      <c r="D151" s="50" t="s">
        <v>1314</v>
      </c>
      <c r="E151" s="50" t="s">
        <v>1315</v>
      </c>
      <c r="F151" s="59">
        <v>46125.0</v>
      </c>
      <c r="G151" s="50" t="s">
        <v>1316</v>
      </c>
      <c r="H151" s="59">
        <v>46125.0</v>
      </c>
      <c r="I151" s="47" t="s">
        <v>1724</v>
      </c>
      <c r="J151" s="47" t="s">
        <v>48</v>
      </c>
      <c r="K151" s="47" t="s">
        <v>1725</v>
      </c>
      <c r="L151" s="60" t="s">
        <v>1726</v>
      </c>
      <c r="M151" s="48"/>
      <c r="N151" s="48"/>
      <c r="O151" s="48"/>
      <c r="P151" s="48"/>
      <c r="Q151" s="50">
        <v>1.0</v>
      </c>
      <c r="R151" s="59">
        <v>46120.0</v>
      </c>
      <c r="S151" s="59">
        <v>46126.0</v>
      </c>
      <c r="T151" s="59">
        <v>46125.0</v>
      </c>
      <c r="U151" s="48"/>
      <c r="V151" s="50" t="s">
        <v>1321</v>
      </c>
      <c r="W151" s="50"/>
      <c r="X151" s="50" t="s">
        <v>12</v>
      </c>
      <c r="Y151" s="50" t="s">
        <v>1322</v>
      </c>
      <c r="Z151" s="50">
        <v>3.040318925E9</v>
      </c>
      <c r="AA151" s="50" t="s">
        <v>20</v>
      </c>
      <c r="AB151" s="50" t="s">
        <v>1439</v>
      </c>
      <c r="AC151" s="50" t="s">
        <v>1727</v>
      </c>
      <c r="AD151" s="48"/>
      <c r="AE151" s="48"/>
      <c r="AF151" s="48"/>
      <c r="AG151" s="48"/>
    </row>
    <row r="152">
      <c r="A152" s="47">
        <f>COUNTIF('Histórico'!$B:$B,B152)</f>
        <v>1</v>
      </c>
      <c r="B152" s="47" t="s">
        <v>981</v>
      </c>
      <c r="C152" s="48"/>
      <c r="D152" s="50" t="s">
        <v>1314</v>
      </c>
      <c r="E152" s="50" t="s">
        <v>1315</v>
      </c>
      <c r="F152" s="59">
        <v>46125.0</v>
      </c>
      <c r="G152" s="50" t="s">
        <v>1316</v>
      </c>
      <c r="H152" s="59">
        <v>46125.0</v>
      </c>
      <c r="I152" s="47" t="s">
        <v>1724</v>
      </c>
      <c r="J152" s="47" t="s">
        <v>48</v>
      </c>
      <c r="K152" s="47" t="s">
        <v>1725</v>
      </c>
      <c r="L152" s="60" t="s">
        <v>1728</v>
      </c>
      <c r="M152" s="48"/>
      <c r="N152" s="48"/>
      <c r="O152" s="48"/>
      <c r="P152" s="48"/>
      <c r="Q152" s="50">
        <v>1.0</v>
      </c>
      <c r="R152" s="59">
        <v>46120.0</v>
      </c>
      <c r="S152" s="59">
        <v>46163.0</v>
      </c>
      <c r="T152" s="59">
        <v>46125.0</v>
      </c>
      <c r="U152" s="48"/>
      <c r="V152" s="50" t="s">
        <v>1321</v>
      </c>
      <c r="W152" s="48"/>
      <c r="X152" s="50" t="s">
        <v>12</v>
      </c>
      <c r="Y152" s="50" t="s">
        <v>1322</v>
      </c>
      <c r="Z152" s="50">
        <v>3.040324257E9</v>
      </c>
      <c r="AA152" s="50" t="s">
        <v>14</v>
      </c>
      <c r="AB152" s="50" t="s">
        <v>1447</v>
      </c>
      <c r="AC152" s="50" t="s">
        <v>1729</v>
      </c>
      <c r="AD152" s="48"/>
      <c r="AE152" s="48"/>
      <c r="AF152" s="48"/>
      <c r="AG152" s="48"/>
    </row>
    <row r="153">
      <c r="A153" s="47">
        <f>COUNTIF('Histórico'!$B:$B,B153)</f>
        <v>1</v>
      </c>
      <c r="B153" s="47" t="s">
        <v>983</v>
      </c>
      <c r="C153" s="48"/>
      <c r="D153" s="50" t="s">
        <v>1314</v>
      </c>
      <c r="E153" s="50" t="s">
        <v>1315</v>
      </c>
      <c r="F153" s="59">
        <v>46125.0</v>
      </c>
      <c r="G153" s="50" t="s">
        <v>1316</v>
      </c>
      <c r="H153" s="59">
        <v>46125.0</v>
      </c>
      <c r="I153" s="47" t="s">
        <v>1724</v>
      </c>
      <c r="J153" s="47" t="s">
        <v>48</v>
      </c>
      <c r="K153" s="47" t="s">
        <v>1725</v>
      </c>
      <c r="L153" s="60" t="s">
        <v>1730</v>
      </c>
      <c r="M153" s="48"/>
      <c r="N153" s="48"/>
      <c r="O153" s="48"/>
      <c r="P153" s="48"/>
      <c r="Q153" s="50">
        <v>1.0</v>
      </c>
      <c r="R153" s="59">
        <v>46120.0</v>
      </c>
      <c r="S153" s="59">
        <v>46163.0</v>
      </c>
      <c r="T153" s="59">
        <v>46125.0</v>
      </c>
      <c r="U153" s="48"/>
      <c r="V153" s="50" t="s">
        <v>1321</v>
      </c>
      <c r="W153" s="48"/>
      <c r="X153" s="50" t="s">
        <v>12</v>
      </c>
      <c r="Y153" s="50" t="s">
        <v>1322</v>
      </c>
      <c r="Z153" s="50">
        <v>3.040324258E9</v>
      </c>
      <c r="AA153" s="50" t="s">
        <v>14</v>
      </c>
      <c r="AB153" s="50" t="s">
        <v>1447</v>
      </c>
      <c r="AC153" s="50" t="s">
        <v>1729</v>
      </c>
      <c r="AD153" s="48"/>
      <c r="AE153" s="48"/>
      <c r="AF153" s="48"/>
      <c r="AG153" s="48"/>
    </row>
    <row r="154">
      <c r="A154" s="47">
        <f>COUNTIF('Histórico'!$B:$B,B154)</f>
        <v>1</v>
      </c>
      <c r="B154" s="47" t="s">
        <v>985</v>
      </c>
      <c r="C154" s="48"/>
      <c r="D154" s="50" t="s">
        <v>1314</v>
      </c>
      <c r="E154" s="50" t="s">
        <v>1315</v>
      </c>
      <c r="F154" s="59">
        <v>46125.0</v>
      </c>
      <c r="G154" s="50" t="s">
        <v>1316</v>
      </c>
      <c r="H154" s="59">
        <v>46125.0</v>
      </c>
      <c r="I154" s="47" t="s">
        <v>1724</v>
      </c>
      <c r="J154" s="47" t="s">
        <v>48</v>
      </c>
      <c r="K154" s="47" t="s">
        <v>1725</v>
      </c>
      <c r="L154" s="60" t="s">
        <v>1731</v>
      </c>
      <c r="M154" s="48"/>
      <c r="N154" s="48"/>
      <c r="O154" s="48"/>
      <c r="P154" s="48"/>
      <c r="Q154" s="50">
        <v>1.0</v>
      </c>
      <c r="R154" s="59">
        <v>46120.0</v>
      </c>
      <c r="S154" s="59">
        <v>46126.0</v>
      </c>
      <c r="T154" s="59">
        <v>46125.0</v>
      </c>
      <c r="U154" s="48"/>
      <c r="V154" s="50" t="s">
        <v>1321</v>
      </c>
      <c r="W154" s="48"/>
      <c r="X154" s="50" t="s">
        <v>12</v>
      </c>
      <c r="Y154" s="50" t="s">
        <v>1322</v>
      </c>
      <c r="Z154" s="50">
        <v>3.040313459E9</v>
      </c>
      <c r="AA154" s="50" t="s">
        <v>12</v>
      </c>
      <c r="AB154" s="50" t="s">
        <v>1322</v>
      </c>
      <c r="AC154" s="50" t="s">
        <v>1369</v>
      </c>
      <c r="AD154" s="48"/>
      <c r="AE154" s="48"/>
      <c r="AF154" s="48"/>
      <c r="AG154" s="48"/>
    </row>
    <row r="155">
      <c r="A155" s="47">
        <f>COUNTIF('Histórico'!$B:$B,B155)</f>
        <v>1</v>
      </c>
      <c r="B155" s="47" t="s">
        <v>987</v>
      </c>
      <c r="C155" s="48"/>
      <c r="D155" s="50" t="s">
        <v>1314</v>
      </c>
      <c r="E155" s="50" t="s">
        <v>1315</v>
      </c>
      <c r="F155" s="59">
        <v>46125.0</v>
      </c>
      <c r="G155" s="50" t="s">
        <v>1316</v>
      </c>
      <c r="H155" s="59">
        <v>46125.0</v>
      </c>
      <c r="I155" s="47" t="s">
        <v>1724</v>
      </c>
      <c r="J155" s="47" t="s">
        <v>48</v>
      </c>
      <c r="K155" s="47" t="s">
        <v>1725</v>
      </c>
      <c r="L155" s="60" t="s">
        <v>1732</v>
      </c>
      <c r="M155" s="48"/>
      <c r="N155" s="48"/>
      <c r="O155" s="48"/>
      <c r="P155" s="48"/>
      <c r="Q155" s="50">
        <v>1.0</v>
      </c>
      <c r="R155" s="59">
        <v>46120.0</v>
      </c>
      <c r="S155" s="59">
        <v>46126.0</v>
      </c>
      <c r="T155" s="59">
        <v>46125.0</v>
      </c>
      <c r="U155" s="48"/>
      <c r="V155" s="50" t="s">
        <v>1321</v>
      </c>
      <c r="W155" s="50"/>
      <c r="X155" s="50" t="s">
        <v>12</v>
      </c>
      <c r="Y155" s="50" t="s">
        <v>1322</v>
      </c>
      <c r="Z155" s="50">
        <v>3.040313458E9</v>
      </c>
      <c r="AA155" s="50" t="s">
        <v>12</v>
      </c>
      <c r="AB155" s="50" t="s">
        <v>1322</v>
      </c>
      <c r="AC155" s="50" t="s">
        <v>1369</v>
      </c>
      <c r="AD155" s="48"/>
      <c r="AE155" s="48"/>
      <c r="AF155" s="48"/>
      <c r="AG155" s="48"/>
    </row>
    <row r="156">
      <c r="A156" s="47">
        <f>COUNTIF('Histórico'!$B:$B,B156)</f>
        <v>1</v>
      </c>
      <c r="B156" s="47" t="s">
        <v>971</v>
      </c>
      <c r="C156" s="48"/>
      <c r="D156" s="50" t="s">
        <v>1314</v>
      </c>
      <c r="E156" s="50" t="s">
        <v>1315</v>
      </c>
      <c r="F156" s="59">
        <v>46125.0</v>
      </c>
      <c r="G156" s="50" t="s">
        <v>1316</v>
      </c>
      <c r="H156" s="59">
        <v>46125.0</v>
      </c>
      <c r="I156" s="47" t="s">
        <v>1724</v>
      </c>
      <c r="J156" s="47" t="s">
        <v>48</v>
      </c>
      <c r="K156" s="47" t="s">
        <v>1725</v>
      </c>
      <c r="L156" s="60" t="s">
        <v>1733</v>
      </c>
      <c r="M156" s="48"/>
      <c r="N156" s="48"/>
      <c r="O156" s="48"/>
      <c r="P156" s="48"/>
      <c r="Q156" s="50">
        <v>1.0</v>
      </c>
      <c r="R156" s="59">
        <v>46120.0</v>
      </c>
      <c r="S156" s="59">
        <v>46126.0</v>
      </c>
      <c r="T156" s="59">
        <v>46125.0</v>
      </c>
      <c r="U156" s="48"/>
      <c r="V156" s="50" t="s">
        <v>1347</v>
      </c>
      <c r="W156" s="50">
        <v>3.04250073749E11</v>
      </c>
      <c r="X156" s="50" t="s">
        <v>12</v>
      </c>
      <c r="Y156" s="50" t="s">
        <v>1322</v>
      </c>
      <c r="Z156" s="50">
        <v>3.040311759E9</v>
      </c>
      <c r="AA156" s="50" t="s">
        <v>16</v>
      </c>
      <c r="AB156" s="50" t="s">
        <v>1551</v>
      </c>
      <c r="AC156" s="50" t="s">
        <v>1552</v>
      </c>
      <c r="AD156" s="48"/>
      <c r="AE156" s="48"/>
      <c r="AF156" s="48"/>
      <c r="AG156" s="48"/>
    </row>
    <row r="157">
      <c r="A157" s="47">
        <f>COUNTIF('Histórico'!$B:$B,B157)</f>
        <v>1</v>
      </c>
      <c r="B157" s="47" t="s">
        <v>989</v>
      </c>
      <c r="C157" s="48"/>
      <c r="D157" s="50" t="s">
        <v>1314</v>
      </c>
      <c r="E157" s="50" t="s">
        <v>1315</v>
      </c>
      <c r="F157" s="59">
        <v>46125.0</v>
      </c>
      <c r="G157" s="50" t="s">
        <v>1316</v>
      </c>
      <c r="H157" s="59">
        <v>46125.0</v>
      </c>
      <c r="I157" s="47" t="s">
        <v>1734</v>
      </c>
      <c r="J157" s="47" t="s">
        <v>1545</v>
      </c>
      <c r="K157" s="47" t="s">
        <v>1735</v>
      </c>
      <c r="L157" s="60" t="s">
        <v>1736</v>
      </c>
      <c r="M157" s="48"/>
      <c r="N157" s="48"/>
      <c r="O157" s="48"/>
      <c r="P157" s="48"/>
      <c r="Q157" s="50">
        <v>1.0</v>
      </c>
      <c r="R157" s="59">
        <v>46120.0</v>
      </c>
      <c r="S157" s="59">
        <v>46126.0</v>
      </c>
      <c r="T157" s="59">
        <v>46125.0</v>
      </c>
      <c r="U157" s="48"/>
      <c r="V157" s="50" t="s">
        <v>1321</v>
      </c>
      <c r="W157" s="47"/>
      <c r="X157" s="50" t="s">
        <v>12</v>
      </c>
      <c r="Y157" s="50" t="s">
        <v>1322</v>
      </c>
      <c r="Z157" s="50">
        <v>3.040323388E9</v>
      </c>
      <c r="AA157" s="50" t="s">
        <v>12</v>
      </c>
      <c r="AB157" s="50" t="s">
        <v>1322</v>
      </c>
      <c r="AC157" s="50" t="s">
        <v>1369</v>
      </c>
      <c r="AD157" s="48"/>
      <c r="AE157" s="48"/>
      <c r="AF157" s="48"/>
      <c r="AG157" s="48"/>
    </row>
    <row r="158">
      <c r="A158" s="47">
        <f>COUNTIF('Histórico'!$B:$B,B158)</f>
        <v>1</v>
      </c>
      <c r="B158" s="47" t="s">
        <v>991</v>
      </c>
      <c r="C158" s="48"/>
      <c r="D158" s="50" t="s">
        <v>1314</v>
      </c>
      <c r="E158" s="50" t="s">
        <v>1315</v>
      </c>
      <c r="F158" s="59">
        <v>46125.0</v>
      </c>
      <c r="G158" s="50" t="s">
        <v>1316</v>
      </c>
      <c r="H158" s="59">
        <v>46125.0</v>
      </c>
      <c r="I158" s="47" t="s">
        <v>1355</v>
      </c>
      <c r="J158" s="47" t="s">
        <v>1356</v>
      </c>
      <c r="K158" s="47" t="s">
        <v>1357</v>
      </c>
      <c r="L158" s="60" t="s">
        <v>1737</v>
      </c>
      <c r="M158" s="48"/>
      <c r="N158" s="48"/>
      <c r="O158" s="48"/>
      <c r="P158" s="48"/>
      <c r="Q158" s="50">
        <v>1.0</v>
      </c>
      <c r="R158" s="59">
        <v>46121.0</v>
      </c>
      <c r="S158" s="59">
        <v>46127.0</v>
      </c>
      <c r="T158" s="59">
        <v>46125.0</v>
      </c>
      <c r="U158" s="48"/>
      <c r="V158" s="50" t="s">
        <v>1321</v>
      </c>
      <c r="W158" s="48"/>
      <c r="X158" s="50" t="s">
        <v>12</v>
      </c>
      <c r="Y158" s="50" t="s">
        <v>1322</v>
      </c>
      <c r="Z158" s="50">
        <v>3.040315567E9</v>
      </c>
      <c r="AA158" s="50" t="s">
        <v>12</v>
      </c>
      <c r="AB158" s="50" t="s">
        <v>1322</v>
      </c>
      <c r="AC158" s="50" t="s">
        <v>1434</v>
      </c>
      <c r="AD158" s="48"/>
      <c r="AE158" s="48"/>
      <c r="AF158" s="48"/>
      <c r="AG158" s="48"/>
    </row>
    <row r="159">
      <c r="A159" s="47">
        <f>COUNTIF('Histórico'!$B:$B,B159)</f>
        <v>1</v>
      </c>
      <c r="B159" s="47" t="s">
        <v>993</v>
      </c>
      <c r="C159" s="48"/>
      <c r="D159" s="50" t="s">
        <v>1314</v>
      </c>
      <c r="E159" s="50" t="s">
        <v>1315</v>
      </c>
      <c r="F159" s="59">
        <v>46125.0</v>
      </c>
      <c r="G159" s="50" t="s">
        <v>1316</v>
      </c>
      <c r="H159" s="59">
        <v>46125.0</v>
      </c>
      <c r="I159" s="47" t="s">
        <v>227</v>
      </c>
      <c r="J159" s="47" t="s">
        <v>1345</v>
      </c>
      <c r="K159" s="47" t="s">
        <v>1738</v>
      </c>
      <c r="L159" s="60" t="s">
        <v>722</v>
      </c>
      <c r="M159" s="48"/>
      <c r="N159" s="48"/>
      <c r="O159" s="48"/>
      <c r="P159" s="48"/>
      <c r="Q159" s="50">
        <v>1.0</v>
      </c>
      <c r="R159" s="59">
        <v>46121.0</v>
      </c>
      <c r="S159" s="59">
        <v>46127.0</v>
      </c>
      <c r="T159" s="59">
        <v>46125.0</v>
      </c>
      <c r="U159" s="48"/>
      <c r="V159" s="50" t="s">
        <v>1321</v>
      </c>
      <c r="W159" s="47"/>
      <c r="X159" s="50" t="s">
        <v>12</v>
      </c>
      <c r="Y159" s="50" t="s">
        <v>1322</v>
      </c>
      <c r="Z159" s="50">
        <v>3.040310038E9</v>
      </c>
      <c r="AA159" s="50" t="s">
        <v>16</v>
      </c>
      <c r="AB159" s="50" t="s">
        <v>1331</v>
      </c>
      <c r="AC159" s="50" t="s">
        <v>1450</v>
      </c>
      <c r="AD159" s="48"/>
      <c r="AE159" s="48"/>
      <c r="AF159" s="48"/>
      <c r="AG159" s="48"/>
    </row>
    <row r="160">
      <c r="A160" s="47">
        <f>COUNTIF('Histórico'!$B:$B,B160)</f>
        <v>1</v>
      </c>
      <c r="B160" s="47" t="s">
        <v>995</v>
      </c>
      <c r="C160" s="48"/>
      <c r="D160" s="50" t="s">
        <v>1314</v>
      </c>
      <c r="E160" s="50" t="s">
        <v>1315</v>
      </c>
      <c r="F160" s="59">
        <v>46125.0</v>
      </c>
      <c r="G160" s="50" t="s">
        <v>1316</v>
      </c>
      <c r="H160" s="59">
        <v>46125.0</v>
      </c>
      <c r="I160" s="47" t="s">
        <v>227</v>
      </c>
      <c r="J160" s="47" t="s">
        <v>1345</v>
      </c>
      <c r="K160" s="47" t="s">
        <v>1738</v>
      </c>
      <c r="L160" s="60" t="s">
        <v>1739</v>
      </c>
      <c r="M160" s="48"/>
      <c r="N160" s="48"/>
      <c r="O160" s="48"/>
      <c r="P160" s="48"/>
      <c r="Q160" s="50">
        <v>1.0</v>
      </c>
      <c r="R160" s="59">
        <v>46121.0</v>
      </c>
      <c r="S160" s="59">
        <v>46127.0</v>
      </c>
      <c r="T160" s="59">
        <v>46125.0</v>
      </c>
      <c r="U160" s="48"/>
      <c r="V160" s="50" t="s">
        <v>1321</v>
      </c>
      <c r="W160" s="48"/>
      <c r="X160" s="50" t="s">
        <v>12</v>
      </c>
      <c r="Y160" s="50" t="s">
        <v>1322</v>
      </c>
      <c r="Z160" s="50">
        <v>3.040311325E9</v>
      </c>
      <c r="AA160" s="50" t="s">
        <v>17</v>
      </c>
      <c r="AB160" s="50" t="s">
        <v>1458</v>
      </c>
      <c r="AC160" s="50" t="s">
        <v>1459</v>
      </c>
      <c r="AD160" s="48"/>
      <c r="AE160" s="48"/>
      <c r="AF160" s="48"/>
      <c r="AG160" s="48"/>
    </row>
    <row r="161">
      <c r="A161" s="47">
        <f>COUNTIF('Histórico'!$B:$B,B161)</f>
        <v>1</v>
      </c>
      <c r="B161" s="47" t="s">
        <v>1007</v>
      </c>
      <c r="C161" s="48"/>
      <c r="D161" s="50" t="s">
        <v>1314</v>
      </c>
      <c r="E161" s="50" t="s">
        <v>1315</v>
      </c>
      <c r="F161" s="59">
        <v>46142.0</v>
      </c>
      <c r="G161" s="50" t="s">
        <v>1316</v>
      </c>
      <c r="H161" s="59">
        <v>46142.0</v>
      </c>
      <c r="I161" s="47" t="s">
        <v>1477</v>
      </c>
      <c r="J161" s="47" t="s">
        <v>48</v>
      </c>
      <c r="K161" s="47" t="s">
        <v>1478</v>
      </c>
      <c r="L161" s="60" t="s">
        <v>1740</v>
      </c>
      <c r="M161" s="48"/>
      <c r="N161" s="48"/>
      <c r="O161" s="48"/>
      <c r="P161" s="48"/>
      <c r="Q161" s="50">
        <v>1.0</v>
      </c>
      <c r="R161" s="59">
        <v>46140.0</v>
      </c>
      <c r="S161" s="59">
        <v>46147.0</v>
      </c>
      <c r="T161" s="59">
        <v>46142.0</v>
      </c>
      <c r="U161" s="48"/>
      <c r="V161" s="50" t="s">
        <v>1321</v>
      </c>
      <c r="W161" s="48"/>
      <c r="X161" s="50" t="s">
        <v>12</v>
      </c>
      <c r="Y161" s="50" t="s">
        <v>1322</v>
      </c>
      <c r="Z161" s="50">
        <v>3.040111096E9</v>
      </c>
      <c r="AA161" s="50" t="s">
        <v>12</v>
      </c>
      <c r="AB161" s="50" t="s">
        <v>1537</v>
      </c>
      <c r="AC161" s="50" t="s">
        <v>1741</v>
      </c>
      <c r="AD161" s="48"/>
      <c r="AE161" s="48"/>
      <c r="AF161" s="48"/>
      <c r="AG161" s="48"/>
    </row>
    <row r="162">
      <c r="A162" s="47">
        <f>COUNTIF('Histórico'!$B:$B,B162)</f>
        <v>1</v>
      </c>
      <c r="B162" s="47" t="s">
        <v>1009</v>
      </c>
      <c r="C162" s="48"/>
      <c r="D162" s="50" t="s">
        <v>1314</v>
      </c>
      <c r="E162" s="50" t="s">
        <v>1315</v>
      </c>
      <c r="F162" s="59">
        <v>46142.0</v>
      </c>
      <c r="G162" s="50" t="s">
        <v>1316</v>
      </c>
      <c r="H162" s="59">
        <v>46142.0</v>
      </c>
      <c r="I162" s="47" t="s">
        <v>1477</v>
      </c>
      <c r="J162" s="47" t="s">
        <v>48</v>
      </c>
      <c r="K162" s="47" t="s">
        <v>1478</v>
      </c>
      <c r="L162" s="60" t="s">
        <v>1742</v>
      </c>
      <c r="M162" s="48"/>
      <c r="N162" s="48"/>
      <c r="O162" s="48"/>
      <c r="P162" s="48"/>
      <c r="Q162" s="50">
        <v>1.0</v>
      </c>
      <c r="R162" s="59">
        <v>46140.0</v>
      </c>
      <c r="S162" s="59">
        <v>46147.0</v>
      </c>
      <c r="T162" s="59">
        <v>46142.0</v>
      </c>
      <c r="U162" s="48"/>
      <c r="V162" s="50" t="s">
        <v>1321</v>
      </c>
      <c r="W162" s="48"/>
      <c r="X162" s="50" t="s">
        <v>12</v>
      </c>
      <c r="Y162" s="50" t="s">
        <v>1322</v>
      </c>
      <c r="Z162" s="50">
        <v>3.040144137E9</v>
      </c>
      <c r="AA162" s="50" t="s">
        <v>1743</v>
      </c>
      <c r="AB162" s="50" t="s">
        <v>1744</v>
      </c>
      <c r="AC162" s="50" t="s">
        <v>1366</v>
      </c>
      <c r="AD162" s="48"/>
      <c r="AE162" s="48"/>
      <c r="AF162" s="48"/>
      <c r="AG162" s="48"/>
    </row>
    <row r="163">
      <c r="A163" s="47">
        <f>COUNTIF('Histórico'!$B:$B,B163)</f>
        <v>1</v>
      </c>
      <c r="B163" s="47" t="s">
        <v>1011</v>
      </c>
      <c r="C163" s="48"/>
      <c r="D163" s="50" t="s">
        <v>1314</v>
      </c>
      <c r="E163" s="50" t="s">
        <v>1315</v>
      </c>
      <c r="F163" s="59">
        <v>46142.0</v>
      </c>
      <c r="G163" s="50" t="s">
        <v>1316</v>
      </c>
      <c r="H163" s="59">
        <v>46142.0</v>
      </c>
      <c r="I163" s="47" t="s">
        <v>1745</v>
      </c>
      <c r="J163" s="47" t="s">
        <v>1318</v>
      </c>
      <c r="K163" s="47" t="s">
        <v>1746</v>
      </c>
      <c r="L163" s="60" t="s">
        <v>1747</v>
      </c>
      <c r="M163" s="48"/>
      <c r="N163" s="48"/>
      <c r="O163" s="48"/>
      <c r="P163" s="48"/>
      <c r="Q163" s="50">
        <v>1.0</v>
      </c>
      <c r="R163" s="59">
        <v>46140.0</v>
      </c>
      <c r="S163" s="59">
        <v>46147.0</v>
      </c>
      <c r="T163" s="59">
        <v>46142.0</v>
      </c>
      <c r="U163" s="48"/>
      <c r="V163" s="50" t="s">
        <v>1321</v>
      </c>
      <c r="W163" s="48"/>
      <c r="X163" s="50" t="s">
        <v>12</v>
      </c>
      <c r="Y163" s="50" t="s">
        <v>1322</v>
      </c>
      <c r="Z163" s="50">
        <v>3.040309923E9</v>
      </c>
      <c r="AA163" s="50" t="s">
        <v>12</v>
      </c>
      <c r="AB163" s="50" t="s">
        <v>1322</v>
      </c>
      <c r="AC163" s="50" t="s">
        <v>1369</v>
      </c>
      <c r="AD163" s="48"/>
      <c r="AE163" s="48"/>
      <c r="AF163" s="48"/>
      <c r="AG163" s="48"/>
    </row>
    <row r="164">
      <c r="A164" s="47">
        <f>COUNTIF('Histórico'!$B:$B,B164)</f>
        <v>1</v>
      </c>
      <c r="B164" s="47" t="s">
        <v>1017</v>
      </c>
      <c r="C164" s="48"/>
      <c r="D164" s="50" t="s">
        <v>1314</v>
      </c>
      <c r="E164" s="50" t="s">
        <v>1315</v>
      </c>
      <c r="F164" s="59">
        <v>46142.0</v>
      </c>
      <c r="G164" s="50" t="s">
        <v>1316</v>
      </c>
      <c r="H164" s="59">
        <v>46142.0</v>
      </c>
      <c r="I164" s="47" t="s">
        <v>129</v>
      </c>
      <c r="J164" s="47" t="s">
        <v>1318</v>
      </c>
      <c r="K164" s="47" t="s">
        <v>130</v>
      </c>
      <c r="L164" s="60" t="s">
        <v>1748</v>
      </c>
      <c r="M164" s="48"/>
      <c r="N164" s="48"/>
      <c r="O164" s="48"/>
      <c r="P164" s="48"/>
      <c r="Q164" s="50">
        <v>1.0</v>
      </c>
      <c r="R164" s="59">
        <v>46140.0</v>
      </c>
      <c r="S164" s="59">
        <v>46147.0</v>
      </c>
      <c r="T164" s="59">
        <v>46142.0</v>
      </c>
      <c r="U164" s="48"/>
      <c r="V164" s="50" t="s">
        <v>1347</v>
      </c>
      <c r="W164" s="50">
        <v>3.04250073782E11</v>
      </c>
      <c r="X164" s="50" t="s">
        <v>12</v>
      </c>
      <c r="Y164" s="50" t="s">
        <v>1322</v>
      </c>
      <c r="Z164" s="50">
        <v>3.040308554E9</v>
      </c>
      <c r="AA164" s="50" t="s">
        <v>24</v>
      </c>
      <c r="AB164" s="50" t="s">
        <v>1359</v>
      </c>
      <c r="AC164" s="50" t="s">
        <v>1360</v>
      </c>
      <c r="AD164" s="48"/>
      <c r="AE164" s="48"/>
      <c r="AF164" s="48"/>
      <c r="AG164" s="48"/>
    </row>
    <row r="165">
      <c r="A165" s="47">
        <f>COUNTIF('Histórico'!$B:$B,B165)</f>
        <v>1</v>
      </c>
      <c r="B165" s="47" t="s">
        <v>1023</v>
      </c>
      <c r="C165" s="48"/>
      <c r="D165" s="50" t="s">
        <v>1314</v>
      </c>
      <c r="E165" s="50" t="s">
        <v>1315</v>
      </c>
      <c r="F165" s="59">
        <v>46142.0</v>
      </c>
      <c r="G165" s="50" t="s">
        <v>1316</v>
      </c>
      <c r="H165" s="59">
        <v>46142.0</v>
      </c>
      <c r="I165" s="47" t="s">
        <v>129</v>
      </c>
      <c r="J165" s="47" t="s">
        <v>1318</v>
      </c>
      <c r="K165" s="47" t="s">
        <v>130</v>
      </c>
      <c r="L165" s="60" t="s">
        <v>1749</v>
      </c>
      <c r="M165" s="48"/>
      <c r="N165" s="48"/>
      <c r="O165" s="48"/>
      <c r="P165" s="48"/>
      <c r="Q165" s="50">
        <v>1.0</v>
      </c>
      <c r="R165" s="59">
        <v>46140.0</v>
      </c>
      <c r="S165" s="59">
        <v>46147.0</v>
      </c>
      <c r="T165" s="59">
        <v>46142.0</v>
      </c>
      <c r="U165" s="48"/>
      <c r="V165" s="50" t="s">
        <v>1321</v>
      </c>
      <c r="W165" s="47"/>
      <c r="X165" s="50" t="s">
        <v>12</v>
      </c>
      <c r="Y165" s="50" t="s">
        <v>1322</v>
      </c>
      <c r="Z165" s="50">
        <v>3.040316939E9</v>
      </c>
      <c r="AA165" s="50" t="s">
        <v>17</v>
      </c>
      <c r="AB165" s="50" t="s">
        <v>1458</v>
      </c>
      <c r="AC165" s="50" t="s">
        <v>1459</v>
      </c>
      <c r="AD165" s="48"/>
      <c r="AE165" s="48"/>
      <c r="AF165" s="48"/>
      <c r="AG165" s="48"/>
    </row>
    <row r="166">
      <c r="A166" s="47">
        <f>COUNTIF('Histórico'!$B:$B,B166)</f>
        <v>1</v>
      </c>
      <c r="B166" s="47" t="s">
        <v>1027</v>
      </c>
      <c r="C166" s="48"/>
      <c r="D166" s="50" t="s">
        <v>1314</v>
      </c>
      <c r="E166" s="50" t="s">
        <v>1315</v>
      </c>
      <c r="F166" s="59">
        <v>46142.0</v>
      </c>
      <c r="G166" s="50" t="s">
        <v>1316</v>
      </c>
      <c r="H166" s="59">
        <v>46142.0</v>
      </c>
      <c r="I166" s="47" t="s">
        <v>1745</v>
      </c>
      <c r="J166" s="47" t="s">
        <v>1318</v>
      </c>
      <c r="K166" s="47" t="s">
        <v>1746</v>
      </c>
      <c r="L166" s="60" t="s">
        <v>1750</v>
      </c>
      <c r="M166" s="48"/>
      <c r="N166" s="48"/>
      <c r="O166" s="48"/>
      <c r="P166" s="48"/>
      <c r="Q166" s="50">
        <v>1.0</v>
      </c>
      <c r="R166" s="59">
        <v>46140.0</v>
      </c>
      <c r="S166" s="59">
        <v>46147.0</v>
      </c>
      <c r="T166" s="59">
        <v>46142.0</v>
      </c>
      <c r="U166" s="48"/>
      <c r="V166" s="50" t="s">
        <v>1321</v>
      </c>
      <c r="W166" s="48"/>
      <c r="X166" s="50" t="s">
        <v>12</v>
      </c>
      <c r="Y166" s="50" t="s">
        <v>1322</v>
      </c>
      <c r="Z166" s="50">
        <v>3.040309924E9</v>
      </c>
      <c r="AA166" s="50" t="s">
        <v>12</v>
      </c>
      <c r="AB166" s="50" t="s">
        <v>1322</v>
      </c>
      <c r="AC166" s="50" t="s">
        <v>1369</v>
      </c>
      <c r="AD166" s="48"/>
      <c r="AE166" s="48"/>
      <c r="AF166" s="48"/>
      <c r="AG166" s="48"/>
    </row>
    <row r="167">
      <c r="A167" s="47">
        <f>COUNTIF('Histórico'!$B:$B,B167)</f>
        <v>1</v>
      </c>
      <c r="B167" s="47" t="s">
        <v>1025</v>
      </c>
      <c r="C167" s="48"/>
      <c r="D167" s="50" t="s">
        <v>1314</v>
      </c>
      <c r="E167" s="50" t="s">
        <v>1315</v>
      </c>
      <c r="F167" s="59">
        <v>46142.0</v>
      </c>
      <c r="G167" s="50" t="s">
        <v>1316</v>
      </c>
      <c r="H167" s="59">
        <v>46142.0</v>
      </c>
      <c r="I167" s="47" t="s">
        <v>95</v>
      </c>
      <c r="J167" s="47" t="s">
        <v>1318</v>
      </c>
      <c r="K167" s="47" t="s">
        <v>1751</v>
      </c>
      <c r="L167" s="60" t="s">
        <v>1752</v>
      </c>
      <c r="M167" s="48"/>
      <c r="N167" s="48"/>
      <c r="O167" s="48"/>
      <c r="P167" s="48"/>
      <c r="Q167" s="50">
        <v>1.0</v>
      </c>
      <c r="R167" s="59">
        <v>45962.0</v>
      </c>
      <c r="S167" s="59">
        <v>46023.0</v>
      </c>
      <c r="T167" s="59">
        <v>46142.0</v>
      </c>
      <c r="U167" s="48"/>
      <c r="V167" s="50" t="s">
        <v>1321</v>
      </c>
      <c r="W167" s="47"/>
      <c r="X167" s="50" t="s">
        <v>12</v>
      </c>
      <c r="Y167" s="50" t="s">
        <v>1322</v>
      </c>
      <c r="Z167" s="50">
        <v>3.040199902E9</v>
      </c>
      <c r="AA167" s="50" t="s">
        <v>12</v>
      </c>
      <c r="AB167" s="50" t="s">
        <v>1322</v>
      </c>
      <c r="AC167" s="50" t="s">
        <v>1369</v>
      </c>
      <c r="AD167" s="48"/>
      <c r="AE167" s="48"/>
      <c r="AF167" s="48"/>
      <c r="AG167" s="48"/>
    </row>
    <row r="168">
      <c r="A168" s="47">
        <f>COUNTIF('Histórico'!$B:$B,B168)</f>
        <v>1</v>
      </c>
      <c r="B168" s="47" t="s">
        <v>1029</v>
      </c>
      <c r="C168" s="48"/>
      <c r="D168" s="50" t="s">
        <v>1314</v>
      </c>
      <c r="E168" s="50" t="s">
        <v>1315</v>
      </c>
      <c r="F168" s="59">
        <v>46142.0</v>
      </c>
      <c r="G168" s="50" t="s">
        <v>1316</v>
      </c>
      <c r="H168" s="59">
        <v>46142.0</v>
      </c>
      <c r="I168" s="47" t="s">
        <v>131</v>
      </c>
      <c r="J168" s="47" t="s">
        <v>48</v>
      </c>
      <c r="K168" s="47" t="s">
        <v>1408</v>
      </c>
      <c r="L168" s="60" t="s">
        <v>1753</v>
      </c>
      <c r="M168" s="48"/>
      <c r="N168" s="48"/>
      <c r="O168" s="48"/>
      <c r="P168" s="48"/>
      <c r="Q168" s="50">
        <v>1.0</v>
      </c>
      <c r="R168" s="59">
        <v>46140.0</v>
      </c>
      <c r="S168" s="59">
        <v>46147.0</v>
      </c>
      <c r="T168" s="59">
        <v>46142.0</v>
      </c>
      <c r="U168" s="48"/>
      <c r="V168" s="50" t="s">
        <v>1321</v>
      </c>
      <c r="W168" s="50"/>
      <c r="X168" s="50" t="s">
        <v>12</v>
      </c>
      <c r="Y168" s="50" t="s">
        <v>1322</v>
      </c>
      <c r="Z168" s="50">
        <v>3.040312962E9</v>
      </c>
      <c r="AA168" s="50" t="s">
        <v>12</v>
      </c>
      <c r="AB168" s="50" t="s">
        <v>1322</v>
      </c>
      <c r="AC168" s="50" t="s">
        <v>1336</v>
      </c>
      <c r="AD168" s="48"/>
      <c r="AE168" s="48"/>
      <c r="AF168" s="48"/>
      <c r="AG168" s="48"/>
    </row>
    <row r="169">
      <c r="A169" s="47">
        <f>COUNTIF('Histórico'!$B:$B,B169)</f>
        <v>1</v>
      </c>
      <c r="B169" s="47" t="s">
        <v>1031</v>
      </c>
      <c r="C169" s="48"/>
      <c r="D169" s="50" t="s">
        <v>1314</v>
      </c>
      <c r="E169" s="50" t="s">
        <v>1315</v>
      </c>
      <c r="F169" s="59">
        <v>46142.0</v>
      </c>
      <c r="G169" s="50" t="s">
        <v>1316</v>
      </c>
      <c r="H169" s="59">
        <v>46142.0</v>
      </c>
      <c r="I169" s="47" t="s">
        <v>131</v>
      </c>
      <c r="J169" s="47" t="s">
        <v>48</v>
      </c>
      <c r="K169" s="47" t="s">
        <v>1408</v>
      </c>
      <c r="L169" s="60" t="s">
        <v>1754</v>
      </c>
      <c r="M169" s="48"/>
      <c r="N169" s="48"/>
      <c r="O169" s="48"/>
      <c r="P169" s="48"/>
      <c r="Q169" s="50">
        <v>1.0</v>
      </c>
      <c r="R169" s="59">
        <v>46140.0</v>
      </c>
      <c r="S169" s="59">
        <v>46147.0</v>
      </c>
      <c r="T169" s="59">
        <v>46142.0</v>
      </c>
      <c r="U169" s="48"/>
      <c r="V169" s="50" t="s">
        <v>1321</v>
      </c>
      <c r="W169" s="48"/>
      <c r="X169" s="50" t="s">
        <v>12</v>
      </c>
      <c r="Y169" s="50" t="s">
        <v>1322</v>
      </c>
      <c r="Z169" s="50">
        <v>3.040312963E9</v>
      </c>
      <c r="AA169" s="50" t="s">
        <v>12</v>
      </c>
      <c r="AB169" s="50" t="s">
        <v>1322</v>
      </c>
      <c r="AC169" s="50" t="s">
        <v>1336</v>
      </c>
      <c r="AD169" s="48"/>
      <c r="AE169" s="48"/>
      <c r="AF169" s="48"/>
      <c r="AG169" s="48"/>
    </row>
    <row r="170">
      <c r="A170" s="47">
        <f>COUNTIF('Histórico'!$B:$B,B170)</f>
        <v>1</v>
      </c>
      <c r="B170" s="47" t="s">
        <v>1033</v>
      </c>
      <c r="C170" s="48"/>
      <c r="D170" s="50" t="s">
        <v>1314</v>
      </c>
      <c r="E170" s="50" t="s">
        <v>1315</v>
      </c>
      <c r="F170" s="59">
        <v>46142.0</v>
      </c>
      <c r="G170" s="50" t="s">
        <v>1316</v>
      </c>
      <c r="H170" s="59">
        <v>46142.0</v>
      </c>
      <c r="I170" s="47" t="s">
        <v>87</v>
      </c>
      <c r="J170" s="47" t="s">
        <v>48</v>
      </c>
      <c r="K170" s="47" t="s">
        <v>88</v>
      </c>
      <c r="L170" s="60" t="s">
        <v>1755</v>
      </c>
      <c r="M170" s="48"/>
      <c r="N170" s="48"/>
      <c r="O170" s="48"/>
      <c r="P170" s="48"/>
      <c r="Q170" s="50">
        <v>1.0</v>
      </c>
      <c r="R170" s="59">
        <v>46140.0</v>
      </c>
      <c r="S170" s="59">
        <v>46147.0</v>
      </c>
      <c r="T170" s="59">
        <v>46142.0</v>
      </c>
      <c r="U170" s="48"/>
      <c r="V170" s="50" t="s">
        <v>1321</v>
      </c>
      <c r="W170" s="48"/>
      <c r="X170" s="50" t="s">
        <v>12</v>
      </c>
      <c r="Y170" s="50" t="s">
        <v>1322</v>
      </c>
      <c r="Z170" s="50">
        <v>3.040312431E9</v>
      </c>
      <c r="AA170" s="50" t="s">
        <v>17</v>
      </c>
      <c r="AB170" s="50" t="s">
        <v>1343</v>
      </c>
      <c r="AC170" s="50" t="s">
        <v>1344</v>
      </c>
      <c r="AD170" s="48"/>
      <c r="AE170" s="48"/>
      <c r="AF170" s="48"/>
      <c r="AG170" s="48"/>
    </row>
    <row r="171">
      <c r="A171" s="47">
        <f>COUNTIF('Histórico'!$B:$B,B171)</f>
        <v>1</v>
      </c>
      <c r="B171" s="47" t="s">
        <v>1035</v>
      </c>
      <c r="C171" s="48"/>
      <c r="D171" s="50" t="s">
        <v>1314</v>
      </c>
      <c r="E171" s="50" t="s">
        <v>1315</v>
      </c>
      <c r="F171" s="59">
        <v>46142.0</v>
      </c>
      <c r="G171" s="50" t="s">
        <v>1316</v>
      </c>
      <c r="H171" s="59">
        <v>46142.0</v>
      </c>
      <c r="I171" s="47" t="s">
        <v>95</v>
      </c>
      <c r="J171" s="47" t="s">
        <v>1318</v>
      </c>
      <c r="K171" s="47" t="s">
        <v>1751</v>
      </c>
      <c r="L171" s="60" t="s">
        <v>1756</v>
      </c>
      <c r="M171" s="48"/>
      <c r="N171" s="48"/>
      <c r="O171" s="48"/>
      <c r="P171" s="48"/>
      <c r="Q171" s="50">
        <v>1.0</v>
      </c>
      <c r="R171" s="59">
        <v>46023.0</v>
      </c>
      <c r="S171" s="59">
        <v>46082.0</v>
      </c>
      <c r="T171" s="59">
        <v>46142.0</v>
      </c>
      <c r="U171" s="48"/>
      <c r="V171" s="50" t="s">
        <v>1321</v>
      </c>
      <c r="W171" s="50"/>
      <c r="X171" s="50" t="s">
        <v>12</v>
      </c>
      <c r="Y171" s="50" t="s">
        <v>1322</v>
      </c>
      <c r="Z171" s="50">
        <v>3.04024698E9</v>
      </c>
      <c r="AA171" s="50" t="s">
        <v>1376</v>
      </c>
      <c r="AB171" s="50" t="s">
        <v>1380</v>
      </c>
      <c r="AC171" s="50" t="s">
        <v>1473</v>
      </c>
      <c r="AD171" s="48"/>
      <c r="AE171" s="48"/>
      <c r="AF171" s="48"/>
      <c r="AG171" s="48"/>
    </row>
    <row r="172">
      <c r="A172" s="47">
        <f>COUNTIF('Histórico'!$B:$B,B172)</f>
        <v>1</v>
      </c>
      <c r="B172" s="47" t="s">
        <v>1037</v>
      </c>
      <c r="C172" s="48"/>
      <c r="D172" s="50" t="s">
        <v>1314</v>
      </c>
      <c r="E172" s="50" t="s">
        <v>1315</v>
      </c>
      <c r="F172" s="59">
        <v>46142.0</v>
      </c>
      <c r="G172" s="50" t="s">
        <v>1316</v>
      </c>
      <c r="H172" s="59">
        <v>46142.0</v>
      </c>
      <c r="I172" s="47" t="s">
        <v>1745</v>
      </c>
      <c r="J172" s="47" t="s">
        <v>1318</v>
      </c>
      <c r="K172" s="47" t="s">
        <v>1746</v>
      </c>
      <c r="L172" s="60" t="s">
        <v>1757</v>
      </c>
      <c r="M172" s="48"/>
      <c r="N172" s="48"/>
      <c r="O172" s="48"/>
      <c r="P172" s="48"/>
      <c r="Q172" s="50">
        <v>1.0</v>
      </c>
      <c r="R172" s="59">
        <v>46140.0</v>
      </c>
      <c r="S172" s="59">
        <v>46147.0</v>
      </c>
      <c r="T172" s="59">
        <v>46142.0</v>
      </c>
      <c r="U172" s="48"/>
      <c r="V172" s="50" t="s">
        <v>1321</v>
      </c>
      <c r="W172" s="47"/>
      <c r="X172" s="50" t="s">
        <v>12</v>
      </c>
      <c r="Y172" s="50" t="s">
        <v>1322</v>
      </c>
      <c r="Z172" s="50">
        <v>3.040311258E9</v>
      </c>
      <c r="AA172" s="50" t="s">
        <v>12</v>
      </c>
      <c r="AB172" s="50" t="s">
        <v>1385</v>
      </c>
      <c r="AC172" s="50" t="s">
        <v>1758</v>
      </c>
      <c r="AD172" s="48"/>
      <c r="AE172" s="48"/>
      <c r="AF172" s="48"/>
      <c r="AG172" s="48"/>
    </row>
    <row r="173">
      <c r="A173" s="47">
        <f>COUNTIF('Histórico'!$B:$B,B173)</f>
        <v>1</v>
      </c>
      <c r="B173" s="47" t="s">
        <v>1053</v>
      </c>
      <c r="C173" s="48"/>
      <c r="D173" s="50" t="s">
        <v>1314</v>
      </c>
      <c r="E173" s="50" t="s">
        <v>1315</v>
      </c>
      <c r="F173" s="59">
        <v>46142.0</v>
      </c>
      <c r="G173" s="50" t="s">
        <v>1316</v>
      </c>
      <c r="H173" s="59">
        <v>46142.0</v>
      </c>
      <c r="I173" s="47" t="s">
        <v>1759</v>
      </c>
      <c r="J173" s="47" t="s">
        <v>48</v>
      </c>
      <c r="K173" s="47" t="s">
        <v>88</v>
      </c>
      <c r="L173" s="60" t="s">
        <v>1760</v>
      </c>
      <c r="M173" s="48"/>
      <c r="N173" s="48"/>
      <c r="O173" s="48"/>
      <c r="P173" s="48"/>
      <c r="Q173" s="50">
        <v>1.0</v>
      </c>
      <c r="R173" s="59">
        <v>46140.0</v>
      </c>
      <c r="S173" s="59">
        <v>46147.0</v>
      </c>
      <c r="T173" s="59">
        <v>46142.0</v>
      </c>
      <c r="U173" s="48"/>
      <c r="V173" s="50" t="s">
        <v>1321</v>
      </c>
      <c r="W173" s="48"/>
      <c r="X173" s="50" t="s">
        <v>12</v>
      </c>
      <c r="Y173" s="50" t="s">
        <v>1322</v>
      </c>
      <c r="Z173" s="50">
        <v>3.040324489E9</v>
      </c>
      <c r="AA173" s="50" t="s">
        <v>14</v>
      </c>
      <c r="AB173" s="50" t="s">
        <v>1470</v>
      </c>
      <c r="AC173" s="50" t="s">
        <v>1471</v>
      </c>
      <c r="AD173" s="48"/>
      <c r="AE173" s="48"/>
      <c r="AF173" s="48"/>
      <c r="AG173" s="48"/>
    </row>
    <row r="174">
      <c r="A174" s="47">
        <f>COUNTIF('Histórico'!$B:$B,B174)</f>
        <v>1</v>
      </c>
      <c r="B174" s="47" t="s">
        <v>1051</v>
      </c>
      <c r="C174" s="48"/>
      <c r="D174" s="50" t="s">
        <v>1314</v>
      </c>
      <c r="E174" s="50" t="s">
        <v>1315</v>
      </c>
      <c r="F174" s="59">
        <v>46142.0</v>
      </c>
      <c r="G174" s="50" t="s">
        <v>1316</v>
      </c>
      <c r="H174" s="59">
        <v>46142.0</v>
      </c>
      <c r="I174" s="47" t="s">
        <v>1759</v>
      </c>
      <c r="J174" s="47" t="s">
        <v>48</v>
      </c>
      <c r="K174" s="47" t="s">
        <v>88</v>
      </c>
      <c r="L174" s="60" t="s">
        <v>1761</v>
      </c>
      <c r="M174" s="48"/>
      <c r="N174" s="48"/>
      <c r="O174" s="48"/>
      <c r="P174" s="48"/>
      <c r="Q174" s="50">
        <v>1.0</v>
      </c>
      <c r="R174" s="59">
        <v>46140.0</v>
      </c>
      <c r="S174" s="59">
        <v>46147.0</v>
      </c>
      <c r="T174" s="59">
        <v>46142.0</v>
      </c>
      <c r="U174" s="48"/>
      <c r="V174" s="50" t="s">
        <v>1321</v>
      </c>
      <c r="W174" s="48"/>
      <c r="X174" s="50" t="s">
        <v>12</v>
      </c>
      <c r="Y174" s="50" t="s">
        <v>1322</v>
      </c>
      <c r="Z174" s="50">
        <v>3.04032449E9</v>
      </c>
      <c r="AA174" s="50" t="s">
        <v>14</v>
      </c>
      <c r="AB174" s="50" t="s">
        <v>1470</v>
      </c>
      <c r="AC174" s="50" t="s">
        <v>1471</v>
      </c>
      <c r="AD174" s="48"/>
      <c r="AE174" s="48"/>
      <c r="AF174" s="48"/>
      <c r="AG174" s="48"/>
    </row>
    <row r="175">
      <c r="A175" s="47">
        <f>COUNTIF('Histórico'!$B:$B,B175)</f>
        <v>1</v>
      </c>
      <c r="B175" s="47" t="s">
        <v>1049</v>
      </c>
      <c r="C175" s="48"/>
      <c r="D175" s="50" t="s">
        <v>1314</v>
      </c>
      <c r="E175" s="50" t="s">
        <v>1315</v>
      </c>
      <c r="F175" s="59">
        <v>46142.0</v>
      </c>
      <c r="G175" s="50" t="s">
        <v>1316</v>
      </c>
      <c r="H175" s="59">
        <v>46142.0</v>
      </c>
      <c r="I175" s="47" t="s">
        <v>1759</v>
      </c>
      <c r="J175" s="47" t="s">
        <v>48</v>
      </c>
      <c r="K175" s="47" t="s">
        <v>88</v>
      </c>
      <c r="L175" s="60" t="s">
        <v>1762</v>
      </c>
      <c r="M175" s="48"/>
      <c r="N175" s="48"/>
      <c r="O175" s="48"/>
      <c r="P175" s="48"/>
      <c r="Q175" s="50">
        <v>1.0</v>
      </c>
      <c r="R175" s="59">
        <v>46140.0</v>
      </c>
      <c r="S175" s="59">
        <v>46147.0</v>
      </c>
      <c r="T175" s="59">
        <v>46142.0</v>
      </c>
      <c r="U175" s="48"/>
      <c r="V175" s="50" t="s">
        <v>1321</v>
      </c>
      <c r="W175" s="48"/>
      <c r="X175" s="50" t="s">
        <v>12</v>
      </c>
      <c r="Y175" s="50" t="s">
        <v>1322</v>
      </c>
      <c r="Z175" s="50">
        <v>3.04032601E9</v>
      </c>
      <c r="AA175" s="50" t="s">
        <v>12</v>
      </c>
      <c r="AB175" s="50" t="s">
        <v>1322</v>
      </c>
      <c r="AC175" s="50" t="s">
        <v>1336</v>
      </c>
      <c r="AD175" s="48"/>
      <c r="AE175" s="48"/>
      <c r="AF175" s="48"/>
      <c r="AG175" s="48"/>
    </row>
    <row r="176">
      <c r="A176" s="47">
        <f>COUNTIF('Histórico'!$B:$B,B176)</f>
        <v>1</v>
      </c>
      <c r="B176" s="47" t="s">
        <v>1055</v>
      </c>
      <c r="C176" s="48"/>
      <c r="D176" s="50" t="s">
        <v>1314</v>
      </c>
      <c r="E176" s="50" t="s">
        <v>1315</v>
      </c>
      <c r="F176" s="59">
        <v>46142.0</v>
      </c>
      <c r="G176" s="50" t="s">
        <v>1316</v>
      </c>
      <c r="H176" s="59">
        <v>46142.0</v>
      </c>
      <c r="I176" s="47" t="s">
        <v>1759</v>
      </c>
      <c r="J176" s="47" t="s">
        <v>48</v>
      </c>
      <c r="K176" s="47" t="s">
        <v>88</v>
      </c>
      <c r="L176" s="60" t="s">
        <v>1763</v>
      </c>
      <c r="M176" s="48"/>
      <c r="N176" s="48"/>
      <c r="O176" s="48"/>
      <c r="P176" s="48"/>
      <c r="Q176" s="50">
        <v>1.0</v>
      </c>
      <c r="R176" s="59">
        <v>46140.0</v>
      </c>
      <c r="S176" s="59">
        <v>46147.0</v>
      </c>
      <c r="T176" s="59">
        <v>46142.0</v>
      </c>
      <c r="U176" s="48"/>
      <c r="V176" s="50" t="s">
        <v>1321</v>
      </c>
      <c r="W176" s="48"/>
      <c r="X176" s="50" t="s">
        <v>12</v>
      </c>
      <c r="Y176" s="50" t="s">
        <v>1322</v>
      </c>
      <c r="Z176" s="50">
        <v>3.040326011E9</v>
      </c>
      <c r="AA176" s="50" t="s">
        <v>12</v>
      </c>
      <c r="AB176" s="50" t="s">
        <v>1322</v>
      </c>
      <c r="AC176" s="50" t="s">
        <v>1336</v>
      </c>
      <c r="AD176" s="48"/>
      <c r="AE176" s="48"/>
      <c r="AF176" s="48"/>
      <c r="AG176" s="48"/>
    </row>
    <row r="177">
      <c r="A177" s="47">
        <f>COUNTIF('Histórico'!$B:$B,B177)</f>
        <v>1</v>
      </c>
      <c r="B177" s="47" t="s">
        <v>1047</v>
      </c>
      <c r="C177" s="48"/>
      <c r="D177" s="50" t="s">
        <v>1314</v>
      </c>
      <c r="E177" s="50" t="s">
        <v>1315</v>
      </c>
      <c r="F177" s="59">
        <v>46142.0</v>
      </c>
      <c r="G177" s="50" t="s">
        <v>1316</v>
      </c>
      <c r="H177" s="59">
        <v>46142.0</v>
      </c>
      <c r="I177" s="47" t="s">
        <v>1759</v>
      </c>
      <c r="J177" s="47" t="s">
        <v>48</v>
      </c>
      <c r="K177" s="47" t="s">
        <v>88</v>
      </c>
      <c r="L177" s="60" t="s">
        <v>1764</v>
      </c>
      <c r="M177" s="48"/>
      <c r="N177" s="48"/>
      <c r="O177" s="48"/>
      <c r="P177" s="48"/>
      <c r="Q177" s="50">
        <v>1.0</v>
      </c>
      <c r="R177" s="59">
        <v>46140.0</v>
      </c>
      <c r="S177" s="59">
        <v>46147.0</v>
      </c>
      <c r="T177" s="59">
        <v>46142.0</v>
      </c>
      <c r="U177" s="48"/>
      <c r="V177" s="50" t="s">
        <v>1321</v>
      </c>
      <c r="W177" s="48"/>
      <c r="X177" s="50" t="s">
        <v>12</v>
      </c>
      <c r="Y177" s="50" t="s">
        <v>1322</v>
      </c>
      <c r="Z177" s="50">
        <v>3.040326012E9</v>
      </c>
      <c r="AA177" s="50" t="s">
        <v>12</v>
      </c>
      <c r="AB177" s="50" t="s">
        <v>1322</v>
      </c>
      <c r="AC177" s="50" t="s">
        <v>1336</v>
      </c>
      <c r="AD177" s="48"/>
      <c r="AE177" s="48"/>
      <c r="AF177" s="48"/>
      <c r="AG177" s="48"/>
    </row>
    <row r="178">
      <c r="A178" s="47">
        <f>COUNTIF('Histórico'!$B:$B,B178)</f>
        <v>1</v>
      </c>
      <c r="B178" s="47" t="s">
        <v>1041</v>
      </c>
      <c r="C178" s="48"/>
      <c r="D178" s="50" t="s">
        <v>1314</v>
      </c>
      <c r="E178" s="50" t="s">
        <v>1315</v>
      </c>
      <c r="F178" s="59">
        <v>46142.0</v>
      </c>
      <c r="G178" s="50" t="s">
        <v>1316</v>
      </c>
      <c r="H178" s="59">
        <v>46142.0</v>
      </c>
      <c r="I178" s="47" t="s">
        <v>1765</v>
      </c>
      <c r="J178" s="47" t="s">
        <v>232</v>
      </c>
      <c r="K178" s="47" t="s">
        <v>1766</v>
      </c>
      <c r="L178" s="60" t="s">
        <v>1767</v>
      </c>
      <c r="M178" s="48"/>
      <c r="N178" s="48"/>
      <c r="O178" s="48"/>
      <c r="P178" s="48"/>
      <c r="Q178" s="50">
        <v>1.0</v>
      </c>
      <c r="R178" s="59">
        <v>46140.0</v>
      </c>
      <c r="S178" s="59">
        <v>46147.0</v>
      </c>
      <c r="T178" s="59">
        <v>46142.0</v>
      </c>
      <c r="U178" s="48"/>
      <c r="V178" s="50" t="s">
        <v>1321</v>
      </c>
      <c r="W178" s="47"/>
      <c r="X178" s="50" t="s">
        <v>12</v>
      </c>
      <c r="Y178" s="50" t="s">
        <v>1322</v>
      </c>
      <c r="Z178" s="50">
        <v>3.040300102E9</v>
      </c>
      <c r="AA178" s="50" t="s">
        <v>1352</v>
      </c>
      <c r="AB178" s="50" t="s">
        <v>1353</v>
      </c>
      <c r="AC178" s="50" t="s">
        <v>1566</v>
      </c>
      <c r="AD178" s="48"/>
      <c r="AE178" s="48"/>
      <c r="AF178" s="48"/>
      <c r="AG178" s="48"/>
    </row>
    <row r="179">
      <c r="A179" s="47">
        <f>COUNTIF('Histórico'!$B:$B,B179)</f>
        <v>1</v>
      </c>
      <c r="B179" s="47" t="s">
        <v>1057</v>
      </c>
      <c r="C179" s="48"/>
      <c r="D179" s="50" t="s">
        <v>1314</v>
      </c>
      <c r="E179" s="50" t="s">
        <v>1315</v>
      </c>
      <c r="F179" s="59">
        <v>46142.0</v>
      </c>
      <c r="G179" s="50" t="s">
        <v>1316</v>
      </c>
      <c r="H179" s="59">
        <v>46142.0</v>
      </c>
      <c r="I179" s="47" t="s">
        <v>131</v>
      </c>
      <c r="J179" s="47" t="s">
        <v>48</v>
      </c>
      <c r="K179" s="47" t="s">
        <v>1408</v>
      </c>
      <c r="L179" s="60" t="s">
        <v>1768</v>
      </c>
      <c r="M179" s="48"/>
      <c r="N179" s="48"/>
      <c r="O179" s="48"/>
      <c r="P179" s="48"/>
      <c r="Q179" s="50">
        <v>1.0</v>
      </c>
      <c r="R179" s="59">
        <v>46140.0</v>
      </c>
      <c r="S179" s="59">
        <v>46147.0</v>
      </c>
      <c r="T179" s="59">
        <v>46142.0</v>
      </c>
      <c r="U179" s="48"/>
      <c r="V179" s="50" t="s">
        <v>1321</v>
      </c>
      <c r="W179" s="48"/>
      <c r="X179" s="50" t="s">
        <v>12</v>
      </c>
      <c r="Y179" s="50" t="s">
        <v>1322</v>
      </c>
      <c r="Z179" s="50">
        <v>3.040312965E9</v>
      </c>
      <c r="AA179" s="50" t="s">
        <v>12</v>
      </c>
      <c r="AB179" s="50" t="s">
        <v>1322</v>
      </c>
      <c r="AC179" s="50" t="s">
        <v>1336</v>
      </c>
      <c r="AD179" s="48"/>
      <c r="AE179" s="48"/>
      <c r="AF179" s="48"/>
      <c r="AG179" s="48"/>
    </row>
    <row r="180">
      <c r="A180" s="47">
        <f>COUNTIF('Histórico'!$B:$B,B180)</f>
        <v>1</v>
      </c>
      <c r="B180" s="47" t="s">
        <v>1063</v>
      </c>
      <c r="C180" s="48"/>
      <c r="D180" s="50" t="s">
        <v>1314</v>
      </c>
      <c r="E180" s="50" t="s">
        <v>1315</v>
      </c>
      <c r="F180" s="59">
        <v>46148.0</v>
      </c>
      <c r="G180" s="50" t="s">
        <v>1316</v>
      </c>
      <c r="H180" s="59">
        <v>46148.0</v>
      </c>
      <c r="I180" s="47" t="s">
        <v>1421</v>
      </c>
      <c r="J180" s="47" t="s">
        <v>1318</v>
      </c>
      <c r="K180" s="47" t="s">
        <v>1422</v>
      </c>
      <c r="L180" s="60" t="s">
        <v>1769</v>
      </c>
      <c r="M180" s="48"/>
      <c r="N180" s="48"/>
      <c r="O180" s="48"/>
      <c r="P180" s="48"/>
      <c r="Q180" s="50">
        <v>1.0</v>
      </c>
      <c r="R180" s="59">
        <v>46147.0</v>
      </c>
      <c r="S180" s="59">
        <v>46174.0</v>
      </c>
      <c r="T180" s="59">
        <v>46148.0</v>
      </c>
      <c r="U180" s="48"/>
      <c r="V180" s="50" t="s">
        <v>1321</v>
      </c>
      <c r="W180" s="48"/>
      <c r="X180" s="50" t="s">
        <v>12</v>
      </c>
      <c r="Y180" s="50" t="s">
        <v>1322</v>
      </c>
      <c r="Z180" s="50">
        <v>3.040317879E9</v>
      </c>
      <c r="AA180" s="50" t="s">
        <v>1500</v>
      </c>
      <c r="AB180" s="50" t="s">
        <v>1537</v>
      </c>
      <c r="AC180" s="50" t="s">
        <v>1770</v>
      </c>
      <c r="AD180" s="48"/>
      <c r="AE180" s="48"/>
      <c r="AF180" s="48"/>
      <c r="AG180" s="48"/>
    </row>
    <row r="181">
      <c r="A181" s="47">
        <f>COUNTIF('Histórico'!$B:$B,B181)</f>
        <v>1</v>
      </c>
      <c r="B181" s="47" t="s">
        <v>1069</v>
      </c>
      <c r="C181" s="48"/>
      <c r="D181" s="50" t="s">
        <v>1314</v>
      </c>
      <c r="E181" s="50" t="s">
        <v>1315</v>
      </c>
      <c r="F181" s="59">
        <v>46148.0</v>
      </c>
      <c r="G181" s="50" t="s">
        <v>1316</v>
      </c>
      <c r="H181" s="59">
        <v>46148.0</v>
      </c>
      <c r="I181" s="47" t="s">
        <v>1745</v>
      </c>
      <c r="J181" s="47" t="s">
        <v>1318</v>
      </c>
      <c r="K181" s="47" t="s">
        <v>1746</v>
      </c>
      <c r="L181" s="60" t="s">
        <v>1771</v>
      </c>
      <c r="M181" s="48"/>
      <c r="N181" s="48"/>
      <c r="O181" s="48"/>
      <c r="P181" s="48"/>
      <c r="Q181" s="50">
        <v>1.0</v>
      </c>
      <c r="R181" s="59">
        <v>46147.0</v>
      </c>
      <c r="S181" s="59">
        <v>46153.0</v>
      </c>
      <c r="T181" s="59">
        <v>46148.0</v>
      </c>
      <c r="U181" s="48"/>
      <c r="V181" s="50" t="s">
        <v>1321</v>
      </c>
      <c r="W181" s="47"/>
      <c r="X181" s="50" t="s">
        <v>12</v>
      </c>
      <c r="Y181" s="50" t="s">
        <v>1322</v>
      </c>
      <c r="Z181" s="50">
        <v>3.040323016E9</v>
      </c>
      <c r="AA181" s="50" t="s">
        <v>14</v>
      </c>
      <c r="AB181" s="50" t="s">
        <v>1328</v>
      </c>
      <c r="AC181" s="50" t="s">
        <v>1772</v>
      </c>
      <c r="AD181" s="48"/>
      <c r="AE181" s="48"/>
      <c r="AF181" s="48"/>
      <c r="AG181" s="48"/>
    </row>
    <row r="182">
      <c r="A182" s="47">
        <f>COUNTIF('Histórico'!$B:$B,B182)</f>
        <v>1</v>
      </c>
      <c r="B182" s="47" t="s">
        <v>1067</v>
      </c>
      <c r="C182" s="48"/>
      <c r="D182" s="50" t="s">
        <v>1314</v>
      </c>
      <c r="E182" s="50" t="s">
        <v>1315</v>
      </c>
      <c r="F182" s="59">
        <v>46148.0</v>
      </c>
      <c r="G182" s="50" t="s">
        <v>1316</v>
      </c>
      <c r="H182" s="59">
        <v>46148.0</v>
      </c>
      <c r="I182" s="47" t="s">
        <v>1745</v>
      </c>
      <c r="J182" s="47" t="s">
        <v>1318</v>
      </c>
      <c r="K182" s="47" t="s">
        <v>1746</v>
      </c>
      <c r="L182" s="60" t="s">
        <v>1773</v>
      </c>
      <c r="M182" s="48"/>
      <c r="N182" s="48"/>
      <c r="O182" s="48"/>
      <c r="P182" s="48"/>
      <c r="Q182" s="50">
        <v>1.0</v>
      </c>
      <c r="R182" s="59">
        <v>46147.0</v>
      </c>
      <c r="S182" s="59">
        <v>46153.0</v>
      </c>
      <c r="T182" s="59">
        <v>46148.0</v>
      </c>
      <c r="U182" s="48"/>
      <c r="V182" s="50" t="s">
        <v>1321</v>
      </c>
      <c r="W182" s="48"/>
      <c r="X182" s="50" t="s">
        <v>12</v>
      </c>
      <c r="Y182" s="50" t="s">
        <v>1322</v>
      </c>
      <c r="Z182" s="50">
        <v>3.040314519E9</v>
      </c>
      <c r="AA182" s="50" t="s">
        <v>22</v>
      </c>
      <c r="AB182" s="50" t="s">
        <v>1513</v>
      </c>
      <c r="AC182" s="50" t="s">
        <v>1774</v>
      </c>
      <c r="AD182" s="48"/>
      <c r="AE182" s="48"/>
      <c r="AF182" s="48"/>
      <c r="AG182" s="48"/>
    </row>
    <row r="183">
      <c r="A183" s="47">
        <f>COUNTIF('Histórico'!$B:$B,B183)</f>
        <v>1</v>
      </c>
      <c r="B183" s="47" t="s">
        <v>1065</v>
      </c>
      <c r="C183" s="48"/>
      <c r="D183" s="50" t="s">
        <v>1314</v>
      </c>
      <c r="E183" s="50" t="s">
        <v>1315</v>
      </c>
      <c r="F183" s="59">
        <v>46148.0</v>
      </c>
      <c r="G183" s="50" t="s">
        <v>1316</v>
      </c>
      <c r="H183" s="59">
        <v>46148.0</v>
      </c>
      <c r="I183" s="47" t="s">
        <v>1745</v>
      </c>
      <c r="J183" s="47" t="s">
        <v>1318</v>
      </c>
      <c r="K183" s="47" t="s">
        <v>1746</v>
      </c>
      <c r="L183" s="60" t="s">
        <v>1775</v>
      </c>
      <c r="M183" s="48"/>
      <c r="N183" s="48"/>
      <c r="O183" s="48"/>
      <c r="P183" s="48"/>
      <c r="Q183" s="50">
        <v>1.0</v>
      </c>
      <c r="R183" s="59">
        <v>46147.0</v>
      </c>
      <c r="S183" s="59">
        <v>46153.0</v>
      </c>
      <c r="T183" s="59">
        <v>46148.0</v>
      </c>
      <c r="U183" s="48"/>
      <c r="V183" s="50" t="s">
        <v>1321</v>
      </c>
      <c r="W183" s="48"/>
      <c r="X183" s="50" t="s">
        <v>12</v>
      </c>
      <c r="Y183" s="50" t="s">
        <v>1322</v>
      </c>
      <c r="Z183" s="50">
        <v>3.040315566E9</v>
      </c>
      <c r="AA183" s="50" t="s">
        <v>12</v>
      </c>
      <c r="AB183" s="50" t="s">
        <v>1322</v>
      </c>
      <c r="AC183" s="50" t="s">
        <v>1434</v>
      </c>
      <c r="AD183" s="48"/>
      <c r="AE183" s="48"/>
      <c r="AF183" s="48"/>
      <c r="AG183" s="48"/>
    </row>
    <row r="184">
      <c r="A184" s="47">
        <f>COUNTIF('Histórico'!$B:$B,B184)</f>
        <v>1</v>
      </c>
      <c r="B184" s="47" t="s">
        <v>1073</v>
      </c>
      <c r="C184" s="48"/>
      <c r="D184" s="50" t="s">
        <v>1314</v>
      </c>
      <c r="E184" s="50" t="s">
        <v>1315</v>
      </c>
      <c r="F184" s="59">
        <v>46149.0</v>
      </c>
      <c r="G184" s="50" t="s">
        <v>1316</v>
      </c>
      <c r="H184" s="59">
        <v>46149.0</v>
      </c>
      <c r="I184" s="47" t="s">
        <v>143</v>
      </c>
      <c r="J184" s="47" t="s">
        <v>1545</v>
      </c>
      <c r="K184" s="47" t="s">
        <v>1625</v>
      </c>
      <c r="L184" s="60" t="s">
        <v>1776</v>
      </c>
      <c r="M184" s="48"/>
      <c r="N184" s="48"/>
      <c r="O184" s="48"/>
      <c r="P184" s="48"/>
      <c r="Q184" s="50">
        <v>1.0</v>
      </c>
      <c r="R184" s="59">
        <v>46148.0</v>
      </c>
      <c r="S184" s="59">
        <v>46154.0</v>
      </c>
      <c r="T184" s="59">
        <v>46149.0</v>
      </c>
      <c r="U184" s="48"/>
      <c r="V184" s="50" t="s">
        <v>1321</v>
      </c>
      <c r="W184" s="48"/>
      <c r="X184" s="50" t="s">
        <v>12</v>
      </c>
      <c r="Y184" s="50" t="s">
        <v>1322</v>
      </c>
      <c r="Z184" s="50">
        <v>3.040326318E9</v>
      </c>
      <c r="AA184" s="50" t="s">
        <v>12</v>
      </c>
      <c r="AB184" s="50" t="s">
        <v>1322</v>
      </c>
      <c r="AC184" s="50" t="s">
        <v>1336</v>
      </c>
      <c r="AD184" s="48"/>
      <c r="AE184" s="48"/>
      <c r="AF184" s="48"/>
      <c r="AG184" s="48"/>
    </row>
    <row r="185">
      <c r="A185" s="47">
        <f>COUNTIF('Histórico'!$B:$B,B185)</f>
        <v>1</v>
      </c>
      <c r="B185" s="47" t="s">
        <v>1075</v>
      </c>
      <c r="C185" s="48"/>
      <c r="D185" s="50" t="s">
        <v>1314</v>
      </c>
      <c r="E185" s="50" t="s">
        <v>1315</v>
      </c>
      <c r="F185" s="59">
        <v>46149.0</v>
      </c>
      <c r="G185" s="50" t="s">
        <v>1316</v>
      </c>
      <c r="H185" s="59">
        <v>46149.0</v>
      </c>
      <c r="I185" s="47" t="s">
        <v>143</v>
      </c>
      <c r="J185" s="47" t="s">
        <v>1545</v>
      </c>
      <c r="K185" s="47" t="s">
        <v>1625</v>
      </c>
      <c r="L185" s="60" t="s">
        <v>1777</v>
      </c>
      <c r="M185" s="48"/>
      <c r="N185" s="48"/>
      <c r="O185" s="48"/>
      <c r="P185" s="48"/>
      <c r="Q185" s="50">
        <v>1.0</v>
      </c>
      <c r="R185" s="59">
        <v>46148.0</v>
      </c>
      <c r="S185" s="59">
        <v>46154.0</v>
      </c>
      <c r="T185" s="59">
        <v>46149.0</v>
      </c>
      <c r="U185" s="48"/>
      <c r="V185" s="50" t="s">
        <v>1321</v>
      </c>
      <c r="W185" s="48"/>
      <c r="X185" s="50" t="s">
        <v>12</v>
      </c>
      <c r="Y185" s="50" t="s">
        <v>1322</v>
      </c>
      <c r="Z185" s="50">
        <v>3.040326319E9</v>
      </c>
      <c r="AA185" s="50" t="s">
        <v>12</v>
      </c>
      <c r="AB185" s="50" t="s">
        <v>1322</v>
      </c>
      <c r="AC185" s="50" t="s">
        <v>1336</v>
      </c>
      <c r="AD185" s="48"/>
      <c r="AE185" s="48"/>
      <c r="AF185" s="48"/>
      <c r="AG185" s="48"/>
    </row>
    <row r="186">
      <c r="A186" s="47">
        <f>COUNTIF('Histórico'!$B:$B,B186)</f>
        <v>1</v>
      </c>
      <c r="B186" s="47" t="s">
        <v>1077</v>
      </c>
      <c r="C186" s="48"/>
      <c r="D186" s="50" t="s">
        <v>1314</v>
      </c>
      <c r="E186" s="50" t="s">
        <v>1315</v>
      </c>
      <c r="F186" s="59">
        <v>46154.0</v>
      </c>
      <c r="G186" s="50" t="s">
        <v>1316</v>
      </c>
      <c r="H186" s="59">
        <v>46154.0</v>
      </c>
      <c r="I186" s="47" t="s">
        <v>137</v>
      </c>
      <c r="J186" s="47" t="s">
        <v>1318</v>
      </c>
      <c r="K186" s="47" t="s">
        <v>1778</v>
      </c>
      <c r="L186" s="60" t="s">
        <v>1779</v>
      </c>
      <c r="M186" s="48"/>
      <c r="N186" s="48"/>
      <c r="O186" s="48"/>
      <c r="P186" s="48"/>
      <c r="Q186" s="50">
        <v>1.0</v>
      </c>
      <c r="R186" s="59">
        <v>45962.0</v>
      </c>
      <c r="S186" s="59">
        <v>46054.0</v>
      </c>
      <c r="T186" s="59">
        <v>46154.0</v>
      </c>
      <c r="U186" s="48"/>
      <c r="V186" s="50" t="s">
        <v>1321</v>
      </c>
      <c r="W186" s="48"/>
      <c r="X186" s="50" t="s">
        <v>12</v>
      </c>
      <c r="Y186" s="50" t="s">
        <v>1322</v>
      </c>
      <c r="Z186" s="50">
        <v>3.040258407E9</v>
      </c>
      <c r="AA186" s="50" t="s">
        <v>1372</v>
      </c>
      <c r="AB186" s="50" t="s">
        <v>1348</v>
      </c>
      <c r="AC186" s="50" t="s">
        <v>1780</v>
      </c>
      <c r="AD186" s="48"/>
      <c r="AE186" s="48"/>
      <c r="AF186" s="48"/>
      <c r="AG186" s="48"/>
    </row>
    <row r="187">
      <c r="A187" s="47">
        <f>COUNTIF('Histórico'!$B:$B,B187)</f>
        <v>1</v>
      </c>
      <c r="B187" s="47" t="s">
        <v>1079</v>
      </c>
      <c r="C187" s="48"/>
      <c r="D187" s="50" t="s">
        <v>1314</v>
      </c>
      <c r="E187" s="50" t="s">
        <v>1315</v>
      </c>
      <c r="F187" s="59">
        <v>46154.0</v>
      </c>
      <c r="G187" s="50" t="s">
        <v>1316</v>
      </c>
      <c r="H187" s="59">
        <v>46154.0</v>
      </c>
      <c r="I187" s="47" t="s">
        <v>1781</v>
      </c>
      <c r="J187" s="47" t="s">
        <v>1318</v>
      </c>
      <c r="K187" s="47" t="s">
        <v>1782</v>
      </c>
      <c r="L187" s="60" t="s">
        <v>1783</v>
      </c>
      <c r="M187" s="48"/>
      <c r="N187" s="48"/>
      <c r="O187" s="48"/>
      <c r="P187" s="48"/>
      <c r="Q187" s="50">
        <v>1.0</v>
      </c>
      <c r="R187" s="59">
        <v>46153.0</v>
      </c>
      <c r="S187" s="59">
        <v>46157.0</v>
      </c>
      <c r="T187" s="59">
        <v>46154.0</v>
      </c>
      <c r="U187" s="48"/>
      <c r="V187" s="50" t="s">
        <v>1321</v>
      </c>
      <c r="W187" s="48"/>
      <c r="X187" s="50" t="s">
        <v>12</v>
      </c>
      <c r="Y187" s="50" t="s">
        <v>1322</v>
      </c>
      <c r="Z187" s="50">
        <v>3.040284801E9</v>
      </c>
      <c r="AA187" s="50" t="s">
        <v>13</v>
      </c>
      <c r="AB187" s="50" t="s">
        <v>1380</v>
      </c>
      <c r="AC187" s="50" t="s">
        <v>1541</v>
      </c>
      <c r="AD187" s="48"/>
      <c r="AE187" s="48"/>
      <c r="AF187" s="48"/>
      <c r="AG187" s="48"/>
    </row>
    <row r="188">
      <c r="A188" s="47">
        <f>COUNTIF('Histórico'!$B:$B,B188)</f>
        <v>1</v>
      </c>
      <c r="B188" s="47" t="s">
        <v>1083</v>
      </c>
      <c r="C188" s="48"/>
      <c r="D188" s="50" t="s">
        <v>1314</v>
      </c>
      <c r="E188" s="50" t="s">
        <v>1315</v>
      </c>
      <c r="F188" s="59">
        <v>46154.0</v>
      </c>
      <c r="G188" s="50" t="s">
        <v>1316</v>
      </c>
      <c r="H188" s="59">
        <v>46154.0</v>
      </c>
      <c r="I188" s="47" t="s">
        <v>1781</v>
      </c>
      <c r="J188" s="47" t="s">
        <v>1318</v>
      </c>
      <c r="K188" s="47" t="s">
        <v>1782</v>
      </c>
      <c r="L188" s="60" t="s">
        <v>1784</v>
      </c>
      <c r="M188" s="48"/>
      <c r="N188" s="48"/>
      <c r="O188" s="48"/>
      <c r="P188" s="48"/>
      <c r="Q188" s="50">
        <v>1.0</v>
      </c>
      <c r="R188" s="59">
        <v>46153.0</v>
      </c>
      <c r="S188" s="59">
        <v>46157.0</v>
      </c>
      <c r="T188" s="59">
        <v>46154.0</v>
      </c>
      <c r="U188" s="48"/>
      <c r="V188" s="50" t="s">
        <v>1321</v>
      </c>
      <c r="W188" s="48"/>
      <c r="X188" s="50" t="s">
        <v>12</v>
      </c>
      <c r="Y188" s="50" t="s">
        <v>1322</v>
      </c>
      <c r="Z188" s="50">
        <v>3.040297976E9</v>
      </c>
      <c r="AA188" s="50" t="s">
        <v>13</v>
      </c>
      <c r="AB188" s="50" t="s">
        <v>1380</v>
      </c>
      <c r="AC188" s="50" t="s">
        <v>1541</v>
      </c>
      <c r="AD188" s="48"/>
      <c r="AE188" s="48"/>
      <c r="AF188" s="48"/>
      <c r="AG188" s="48"/>
    </row>
    <row r="189">
      <c r="A189" s="47">
        <f>COUNTIF('Histórico'!$B:$B,B189)</f>
        <v>1</v>
      </c>
      <c r="B189" s="47" t="s">
        <v>1085</v>
      </c>
      <c r="C189" s="48"/>
      <c r="D189" s="50" t="s">
        <v>1314</v>
      </c>
      <c r="E189" s="50" t="s">
        <v>1315</v>
      </c>
      <c r="F189" s="59">
        <v>46154.0</v>
      </c>
      <c r="G189" s="50" t="s">
        <v>1316</v>
      </c>
      <c r="H189" s="59">
        <v>46154.0</v>
      </c>
      <c r="I189" s="47" t="s">
        <v>149</v>
      </c>
      <c r="J189" s="47" t="s">
        <v>1318</v>
      </c>
      <c r="K189" s="47" t="s">
        <v>1785</v>
      </c>
      <c r="L189" s="60" t="s">
        <v>1786</v>
      </c>
      <c r="M189" s="48"/>
      <c r="N189" s="48"/>
      <c r="O189" s="48"/>
      <c r="P189" s="48"/>
      <c r="Q189" s="50">
        <v>1.0</v>
      </c>
      <c r="R189" s="59">
        <v>46153.0</v>
      </c>
      <c r="S189" s="59">
        <v>46157.0</v>
      </c>
      <c r="T189" s="59">
        <v>46154.0</v>
      </c>
      <c r="U189" s="48"/>
      <c r="V189" s="50" t="s">
        <v>1321</v>
      </c>
      <c r="W189" s="48"/>
      <c r="X189" s="50" t="s">
        <v>12</v>
      </c>
      <c r="Y189" s="50" t="s">
        <v>1322</v>
      </c>
      <c r="Z189" s="50">
        <v>3.04031366E9</v>
      </c>
      <c r="AA189" s="50" t="s">
        <v>12</v>
      </c>
      <c r="AB189" s="50" t="s">
        <v>1322</v>
      </c>
      <c r="AC189" s="50" t="s">
        <v>1434</v>
      </c>
      <c r="AD189" s="48"/>
      <c r="AE189" s="48"/>
      <c r="AF189" s="48"/>
      <c r="AG189" s="48"/>
    </row>
    <row r="190">
      <c r="A190" s="47">
        <f>COUNTIF('Histórico'!$B:$B,B190)</f>
        <v>1</v>
      </c>
      <c r="B190" s="47" t="s">
        <v>1089</v>
      </c>
      <c r="C190" s="48"/>
      <c r="D190" s="50" t="s">
        <v>1314</v>
      </c>
      <c r="E190" s="50" t="s">
        <v>1315</v>
      </c>
      <c r="F190" s="59">
        <v>46154.0</v>
      </c>
      <c r="G190" s="50" t="s">
        <v>1316</v>
      </c>
      <c r="H190" s="59">
        <v>46154.0</v>
      </c>
      <c r="I190" s="47" t="s">
        <v>149</v>
      </c>
      <c r="J190" s="47" t="s">
        <v>1318</v>
      </c>
      <c r="K190" s="47" t="s">
        <v>1785</v>
      </c>
      <c r="L190" s="60" t="s">
        <v>1787</v>
      </c>
      <c r="M190" s="48"/>
      <c r="N190" s="48"/>
      <c r="O190" s="48"/>
      <c r="P190" s="48"/>
      <c r="Q190" s="50">
        <v>1.0</v>
      </c>
      <c r="R190" s="59">
        <v>46153.0</v>
      </c>
      <c r="S190" s="59">
        <v>46157.0</v>
      </c>
      <c r="T190" s="59">
        <v>46154.0</v>
      </c>
      <c r="U190" s="48"/>
      <c r="V190" s="50" t="s">
        <v>1321</v>
      </c>
      <c r="W190" s="50"/>
      <c r="X190" s="50" t="s">
        <v>12</v>
      </c>
      <c r="Y190" s="50" t="s">
        <v>1322</v>
      </c>
      <c r="Z190" s="50">
        <v>3.04031297E9</v>
      </c>
      <c r="AA190" s="50" t="s">
        <v>12</v>
      </c>
      <c r="AB190" s="50" t="s">
        <v>1322</v>
      </c>
      <c r="AC190" s="50" t="s">
        <v>1336</v>
      </c>
      <c r="AD190" s="48"/>
      <c r="AE190" s="48"/>
      <c r="AF190" s="48"/>
      <c r="AG190" s="48"/>
    </row>
    <row r="191">
      <c r="A191" s="47">
        <f>COUNTIF('Histórico'!$B:$B,B191)</f>
        <v>1</v>
      </c>
      <c r="B191" s="47" t="s">
        <v>1087</v>
      </c>
      <c r="C191" s="48"/>
      <c r="D191" s="50" t="s">
        <v>1314</v>
      </c>
      <c r="E191" s="50" t="s">
        <v>1315</v>
      </c>
      <c r="F191" s="59">
        <v>46154.0</v>
      </c>
      <c r="G191" s="50" t="s">
        <v>1316</v>
      </c>
      <c r="H191" s="59">
        <v>46154.0</v>
      </c>
      <c r="I191" s="47" t="s">
        <v>149</v>
      </c>
      <c r="J191" s="47" t="s">
        <v>1318</v>
      </c>
      <c r="K191" s="47" t="s">
        <v>1785</v>
      </c>
      <c r="L191" s="60" t="s">
        <v>1788</v>
      </c>
      <c r="M191" s="48"/>
      <c r="N191" s="48"/>
      <c r="O191" s="48"/>
      <c r="P191" s="48"/>
      <c r="Q191" s="50">
        <v>1.0</v>
      </c>
      <c r="R191" s="59">
        <v>46153.0</v>
      </c>
      <c r="S191" s="59">
        <v>46157.0</v>
      </c>
      <c r="T191" s="59">
        <v>46154.0</v>
      </c>
      <c r="U191" s="48"/>
      <c r="V191" s="50" t="s">
        <v>1321</v>
      </c>
      <c r="W191" s="47"/>
      <c r="X191" s="50" t="s">
        <v>12</v>
      </c>
      <c r="Y191" s="50" t="s">
        <v>1322</v>
      </c>
      <c r="Z191" s="50">
        <v>3.040310539E9</v>
      </c>
      <c r="AA191" s="50" t="s">
        <v>12</v>
      </c>
      <c r="AB191" s="50" t="s">
        <v>1322</v>
      </c>
      <c r="AC191" s="50" t="s">
        <v>1336</v>
      </c>
      <c r="AD191" s="48"/>
      <c r="AE191" s="48"/>
      <c r="AF191" s="48"/>
      <c r="AG191" s="48"/>
    </row>
    <row r="192">
      <c r="A192" s="47">
        <f>COUNTIF('Histórico'!$B:$B,B192)</f>
        <v>1</v>
      </c>
      <c r="B192" s="47" t="s">
        <v>1091</v>
      </c>
      <c r="C192" s="48"/>
      <c r="D192" s="50" t="s">
        <v>1314</v>
      </c>
      <c r="E192" s="50" t="s">
        <v>1315</v>
      </c>
      <c r="F192" s="59">
        <v>46154.0</v>
      </c>
      <c r="G192" s="50" t="s">
        <v>1316</v>
      </c>
      <c r="H192" s="59">
        <v>46154.0</v>
      </c>
      <c r="I192" s="47" t="s">
        <v>1789</v>
      </c>
      <c r="J192" s="47" t="s">
        <v>48</v>
      </c>
      <c r="K192" s="47" t="s">
        <v>1790</v>
      </c>
      <c r="L192" s="60" t="s">
        <v>1791</v>
      </c>
      <c r="M192" s="48"/>
      <c r="N192" s="48"/>
      <c r="O192" s="48"/>
      <c r="P192" s="48"/>
      <c r="Q192" s="50">
        <v>1.0</v>
      </c>
      <c r="R192" s="59">
        <v>46148.0</v>
      </c>
      <c r="S192" s="59">
        <v>46154.0</v>
      </c>
      <c r="T192" s="59">
        <v>46154.0</v>
      </c>
      <c r="U192" s="48"/>
      <c r="V192" s="50" t="s">
        <v>1321</v>
      </c>
      <c r="W192" s="48"/>
      <c r="X192" s="50" t="s">
        <v>12</v>
      </c>
      <c r="Y192" s="50" t="s">
        <v>1322</v>
      </c>
      <c r="Z192" s="50">
        <v>3.04030648E9</v>
      </c>
      <c r="AA192" s="50" t="s">
        <v>13</v>
      </c>
      <c r="AB192" s="50" t="s">
        <v>1377</v>
      </c>
      <c r="AC192" s="50" t="s">
        <v>1792</v>
      </c>
      <c r="AD192" s="48"/>
      <c r="AE192" s="48"/>
      <c r="AF192" s="48"/>
      <c r="AG192" s="48"/>
    </row>
    <row r="193">
      <c r="A193" s="47">
        <f>COUNTIF('Histórico'!$B:$B,B193)</f>
        <v>1</v>
      </c>
      <c r="B193" s="47" t="s">
        <v>1093</v>
      </c>
      <c r="C193" s="48"/>
      <c r="D193" s="50" t="s">
        <v>1314</v>
      </c>
      <c r="E193" s="50" t="s">
        <v>1315</v>
      </c>
      <c r="F193" s="59">
        <v>46154.0</v>
      </c>
      <c r="G193" s="50" t="s">
        <v>1316</v>
      </c>
      <c r="H193" s="59">
        <v>46154.0</v>
      </c>
      <c r="I193" s="47" t="s">
        <v>1789</v>
      </c>
      <c r="J193" s="47" t="s">
        <v>48</v>
      </c>
      <c r="K193" s="47" t="s">
        <v>1790</v>
      </c>
      <c r="L193" s="60" t="s">
        <v>1793</v>
      </c>
      <c r="M193" s="48"/>
      <c r="N193" s="48"/>
      <c r="O193" s="48"/>
      <c r="P193" s="48"/>
      <c r="Q193" s="50">
        <v>1.0</v>
      </c>
      <c r="R193" s="59">
        <v>46148.0</v>
      </c>
      <c r="S193" s="59">
        <v>46154.0</v>
      </c>
      <c r="T193" s="59">
        <v>46154.0</v>
      </c>
      <c r="U193" s="48"/>
      <c r="V193" s="50" t="s">
        <v>1321</v>
      </c>
      <c r="W193" s="48"/>
      <c r="X193" s="50" t="s">
        <v>12</v>
      </c>
      <c r="Y193" s="50" t="s">
        <v>1322</v>
      </c>
      <c r="Z193" s="50">
        <v>3.040312972E9</v>
      </c>
      <c r="AA193" s="50" t="s">
        <v>12</v>
      </c>
      <c r="AB193" s="50" t="s">
        <v>1322</v>
      </c>
      <c r="AC193" s="50" t="s">
        <v>1336</v>
      </c>
      <c r="AD193" s="48"/>
      <c r="AE193" s="48"/>
      <c r="AF193" s="48"/>
      <c r="AG193" s="48"/>
    </row>
    <row r="194">
      <c r="A194" s="47">
        <f>COUNTIF('Histórico'!$B:$B,B194)</f>
        <v>1</v>
      </c>
      <c r="B194" s="47" t="s">
        <v>1095</v>
      </c>
      <c r="C194" s="48"/>
      <c r="D194" s="50" t="s">
        <v>1314</v>
      </c>
      <c r="E194" s="50" t="s">
        <v>1315</v>
      </c>
      <c r="F194" s="59">
        <v>46164.0</v>
      </c>
      <c r="G194" s="50" t="s">
        <v>1316</v>
      </c>
      <c r="H194" s="59">
        <v>46164.0</v>
      </c>
      <c r="I194" s="47" t="s">
        <v>1724</v>
      </c>
      <c r="J194" s="47" t="s">
        <v>48</v>
      </c>
      <c r="K194" s="47" t="s">
        <v>1725</v>
      </c>
      <c r="L194" s="60" t="s">
        <v>1794</v>
      </c>
      <c r="M194" s="48"/>
      <c r="N194" s="48"/>
      <c r="O194" s="48"/>
      <c r="P194" s="48"/>
      <c r="Q194" s="50">
        <v>1.0</v>
      </c>
      <c r="R194" s="59">
        <v>46160.0</v>
      </c>
      <c r="S194" s="59">
        <v>46164.0</v>
      </c>
      <c r="T194" s="59">
        <v>46164.0</v>
      </c>
      <c r="U194" s="48"/>
      <c r="V194" s="50" t="s">
        <v>1321</v>
      </c>
      <c r="W194" s="47"/>
      <c r="X194" s="50" t="s">
        <v>12</v>
      </c>
      <c r="Y194" s="50" t="s">
        <v>1322</v>
      </c>
      <c r="Z194" s="50">
        <v>3.040325494E9</v>
      </c>
      <c r="AA194" s="50" t="s">
        <v>21</v>
      </c>
      <c r="AB194" s="50" t="s">
        <v>1359</v>
      </c>
      <c r="AC194" s="50" t="s">
        <v>1795</v>
      </c>
      <c r="AD194" s="48"/>
      <c r="AE194" s="48"/>
      <c r="AF194" s="48"/>
      <c r="AG194" s="48"/>
    </row>
    <row r="195">
      <c r="A195" s="47">
        <f>COUNTIF('Histórico'!$B:$B,B195)</f>
        <v>1</v>
      </c>
      <c r="B195" s="47" t="s">
        <v>1127</v>
      </c>
      <c r="C195" s="48"/>
      <c r="D195" s="50" t="s">
        <v>1314</v>
      </c>
      <c r="E195" s="50" t="s">
        <v>1315</v>
      </c>
      <c r="F195" s="59">
        <v>46171.0</v>
      </c>
      <c r="G195" s="50" t="s">
        <v>1316</v>
      </c>
      <c r="H195" s="59">
        <v>46171.0</v>
      </c>
      <c r="I195" s="47" t="s">
        <v>1590</v>
      </c>
      <c r="J195" s="47" t="s">
        <v>1318</v>
      </c>
      <c r="K195" s="47" t="s">
        <v>1591</v>
      </c>
      <c r="L195" s="60" t="s">
        <v>1796</v>
      </c>
      <c r="M195" s="48"/>
      <c r="N195" s="48"/>
      <c r="O195" s="48"/>
      <c r="P195" s="48"/>
      <c r="Q195" s="50">
        <v>1.0</v>
      </c>
      <c r="R195" s="59">
        <v>46156.0</v>
      </c>
      <c r="S195" s="59">
        <v>46162.0</v>
      </c>
      <c r="T195" s="59">
        <v>46171.0</v>
      </c>
      <c r="U195" s="48"/>
      <c r="V195" s="50" t="s">
        <v>1321</v>
      </c>
      <c r="W195" s="48"/>
      <c r="X195" s="50" t="s">
        <v>12</v>
      </c>
      <c r="Y195" s="50" t="s">
        <v>1322</v>
      </c>
      <c r="Z195" s="50">
        <v>3.040313698E9</v>
      </c>
      <c r="AA195" s="50" t="s">
        <v>13</v>
      </c>
      <c r="AB195" s="50" t="s">
        <v>1377</v>
      </c>
      <c r="AC195" s="50" t="s">
        <v>1797</v>
      </c>
      <c r="AD195" s="48"/>
      <c r="AE195" s="48"/>
      <c r="AF195" s="48"/>
      <c r="AG195" s="48"/>
    </row>
    <row r="196">
      <c r="A196" s="47">
        <f>COUNTIF('Histórico'!$B:$B,B196)</f>
        <v>1</v>
      </c>
      <c r="B196" s="47" t="s">
        <v>1101</v>
      </c>
      <c r="C196" s="48"/>
      <c r="D196" s="50" t="s">
        <v>1314</v>
      </c>
      <c r="E196" s="50" t="s">
        <v>1315</v>
      </c>
      <c r="F196" s="59">
        <v>46171.0</v>
      </c>
      <c r="G196" s="50" t="s">
        <v>1316</v>
      </c>
      <c r="H196" s="59">
        <v>46171.0</v>
      </c>
      <c r="I196" s="47" t="s">
        <v>1745</v>
      </c>
      <c r="J196" s="47" t="s">
        <v>1318</v>
      </c>
      <c r="K196" s="47" t="s">
        <v>1746</v>
      </c>
      <c r="L196" s="60" t="s">
        <v>1798</v>
      </c>
      <c r="M196" s="48"/>
      <c r="N196" s="48"/>
      <c r="O196" s="48"/>
      <c r="P196" s="48"/>
      <c r="Q196" s="50">
        <v>1.0</v>
      </c>
      <c r="R196" s="59">
        <v>46169.0</v>
      </c>
      <c r="S196" s="59">
        <v>46175.0</v>
      </c>
      <c r="T196" s="59">
        <v>46171.0</v>
      </c>
      <c r="U196" s="48"/>
      <c r="V196" s="50" t="s">
        <v>1321</v>
      </c>
      <c r="W196" s="47"/>
      <c r="X196" s="50" t="s">
        <v>12</v>
      </c>
      <c r="Y196" s="50" t="s">
        <v>1322</v>
      </c>
      <c r="Z196" s="50">
        <v>3.040317884E9</v>
      </c>
      <c r="AA196" s="50" t="s">
        <v>1500</v>
      </c>
      <c r="AB196" s="50" t="s">
        <v>1537</v>
      </c>
      <c r="AC196" s="50" t="s">
        <v>1473</v>
      </c>
      <c r="AD196" s="48"/>
      <c r="AE196" s="48"/>
      <c r="AF196" s="48"/>
      <c r="AG196" s="48"/>
    </row>
    <row r="197">
      <c r="A197" s="47">
        <f>COUNTIF('Histórico'!$B:$B,B197)</f>
        <v>1</v>
      </c>
      <c r="B197" s="47" t="s">
        <v>1131</v>
      </c>
      <c r="C197" s="48"/>
      <c r="D197" s="50" t="s">
        <v>1314</v>
      </c>
      <c r="E197" s="50" t="s">
        <v>1315</v>
      </c>
      <c r="F197" s="59">
        <v>46171.0</v>
      </c>
      <c r="G197" s="50" t="s">
        <v>1316</v>
      </c>
      <c r="H197" s="59">
        <v>46171.0</v>
      </c>
      <c r="I197" s="47" t="s">
        <v>1590</v>
      </c>
      <c r="J197" s="47" t="s">
        <v>1318</v>
      </c>
      <c r="K197" s="47" t="s">
        <v>1591</v>
      </c>
      <c r="L197" s="60" t="s">
        <v>1799</v>
      </c>
      <c r="M197" s="48"/>
      <c r="N197" s="48"/>
      <c r="O197" s="48"/>
      <c r="P197" s="48"/>
      <c r="Q197" s="50">
        <v>1.0</v>
      </c>
      <c r="R197" s="59">
        <v>46156.0</v>
      </c>
      <c r="S197" s="59">
        <v>46162.0</v>
      </c>
      <c r="T197" s="59">
        <v>46171.0</v>
      </c>
      <c r="U197" s="48"/>
      <c r="V197" s="50" t="s">
        <v>1321</v>
      </c>
      <c r="W197" s="47"/>
      <c r="X197" s="50" t="s">
        <v>12</v>
      </c>
      <c r="Y197" s="50" t="s">
        <v>1322</v>
      </c>
      <c r="Z197" s="50">
        <v>3.040317882E9</v>
      </c>
      <c r="AA197" s="50" t="s">
        <v>1500</v>
      </c>
      <c r="AB197" s="50" t="s">
        <v>1537</v>
      </c>
      <c r="AC197" s="50" t="s">
        <v>1800</v>
      </c>
      <c r="AD197" s="48"/>
      <c r="AE197" s="48"/>
      <c r="AF197" s="48"/>
      <c r="AG197" s="48"/>
    </row>
    <row r="198">
      <c r="A198" s="47">
        <f>COUNTIF('Histórico'!$B:$B,B198)</f>
        <v>1</v>
      </c>
      <c r="B198" s="47" t="s">
        <v>1099</v>
      </c>
      <c r="C198" s="48"/>
      <c r="D198" s="50" t="s">
        <v>1314</v>
      </c>
      <c r="E198" s="50" t="s">
        <v>1315</v>
      </c>
      <c r="F198" s="59">
        <v>46171.0</v>
      </c>
      <c r="G198" s="50" t="s">
        <v>1316</v>
      </c>
      <c r="H198" s="59">
        <v>46171.0</v>
      </c>
      <c r="I198" s="47" t="s">
        <v>1745</v>
      </c>
      <c r="J198" s="47" t="s">
        <v>1318</v>
      </c>
      <c r="K198" s="47" t="s">
        <v>1746</v>
      </c>
      <c r="L198" s="60" t="s">
        <v>1801</v>
      </c>
      <c r="M198" s="48"/>
      <c r="N198" s="48"/>
      <c r="O198" s="48"/>
      <c r="P198" s="48"/>
      <c r="Q198" s="50">
        <v>1.0</v>
      </c>
      <c r="R198" s="59">
        <v>46169.0</v>
      </c>
      <c r="S198" s="59">
        <v>46175.0</v>
      </c>
      <c r="T198" s="59">
        <v>46171.0</v>
      </c>
      <c r="U198" s="48"/>
      <c r="V198" s="50" t="s">
        <v>1321</v>
      </c>
      <c r="W198" s="47"/>
      <c r="X198" s="50" t="s">
        <v>12</v>
      </c>
      <c r="Y198" s="50" t="s">
        <v>1322</v>
      </c>
      <c r="Z198" s="50">
        <v>3.040315568E9</v>
      </c>
      <c r="AA198" s="50" t="s">
        <v>12</v>
      </c>
      <c r="AB198" s="50" t="s">
        <v>1322</v>
      </c>
      <c r="AC198" s="50" t="s">
        <v>1434</v>
      </c>
      <c r="AD198" s="48"/>
      <c r="AE198" s="48"/>
      <c r="AF198" s="48"/>
      <c r="AG198" s="48"/>
    </row>
    <row r="199">
      <c r="A199" s="47">
        <f>COUNTIF('Histórico'!$B:$B,B199)</f>
        <v>1</v>
      </c>
      <c r="B199" s="47" t="s">
        <v>1103</v>
      </c>
      <c r="C199" s="48"/>
      <c r="D199" s="50" t="s">
        <v>1314</v>
      </c>
      <c r="E199" s="50" t="s">
        <v>1315</v>
      </c>
      <c r="F199" s="59">
        <v>46171.0</v>
      </c>
      <c r="G199" s="50" t="s">
        <v>1316</v>
      </c>
      <c r="H199" s="59">
        <v>46171.0</v>
      </c>
      <c r="I199" s="47" t="s">
        <v>129</v>
      </c>
      <c r="J199" s="47" t="s">
        <v>1318</v>
      </c>
      <c r="K199" s="47" t="s">
        <v>130</v>
      </c>
      <c r="L199" s="60" t="s">
        <v>1802</v>
      </c>
      <c r="M199" s="48"/>
      <c r="N199" s="48"/>
      <c r="O199" s="48"/>
      <c r="P199" s="48"/>
      <c r="Q199" s="50">
        <v>1.0</v>
      </c>
      <c r="R199" s="59">
        <v>46169.0</v>
      </c>
      <c r="S199" s="59">
        <v>46175.0</v>
      </c>
      <c r="T199" s="59">
        <v>46171.0</v>
      </c>
      <c r="U199" s="48"/>
      <c r="V199" s="50" t="s">
        <v>1321</v>
      </c>
      <c r="W199" s="48"/>
      <c r="X199" s="50" t="s">
        <v>12</v>
      </c>
      <c r="Y199" s="50" t="s">
        <v>1322</v>
      </c>
      <c r="Z199" s="50">
        <v>3.040327373E9</v>
      </c>
      <c r="AA199" s="50" t="s">
        <v>12</v>
      </c>
      <c r="AB199" s="50" t="s">
        <v>1322</v>
      </c>
      <c r="AC199" s="50" t="s">
        <v>1369</v>
      </c>
      <c r="AD199" s="50" t="s">
        <v>1803</v>
      </c>
      <c r="AE199" s="48"/>
      <c r="AF199" s="48"/>
      <c r="AG199" s="48"/>
    </row>
    <row r="200">
      <c r="A200" s="47">
        <f>COUNTIF('Histórico'!$B:$B,B200)</f>
        <v>1</v>
      </c>
      <c r="B200" s="47" t="s">
        <v>1133</v>
      </c>
      <c r="C200" s="48"/>
      <c r="D200" s="50" t="s">
        <v>1314</v>
      </c>
      <c r="E200" s="50" t="s">
        <v>1315</v>
      </c>
      <c r="F200" s="59">
        <v>46171.0</v>
      </c>
      <c r="G200" s="50" t="s">
        <v>1316</v>
      </c>
      <c r="H200" s="59">
        <v>46171.0</v>
      </c>
      <c r="I200" s="47" t="s">
        <v>123</v>
      </c>
      <c r="J200" s="47" t="s">
        <v>1318</v>
      </c>
      <c r="K200" s="47" t="s">
        <v>1506</v>
      </c>
      <c r="L200" s="60" t="s">
        <v>1804</v>
      </c>
      <c r="M200" s="48"/>
      <c r="N200" s="48"/>
      <c r="O200" s="48"/>
      <c r="P200" s="48"/>
      <c r="Q200" s="50">
        <v>1.0</v>
      </c>
      <c r="R200" s="59">
        <v>46156.0</v>
      </c>
      <c r="S200" s="59">
        <v>46162.0</v>
      </c>
      <c r="T200" s="59">
        <v>46171.0</v>
      </c>
      <c r="U200" s="48"/>
      <c r="V200" s="50" t="s">
        <v>1321</v>
      </c>
      <c r="W200" s="47"/>
      <c r="X200" s="50" t="s">
        <v>12</v>
      </c>
      <c r="Y200" s="50" t="s">
        <v>1322</v>
      </c>
      <c r="Z200" s="50">
        <v>3.040313689E9</v>
      </c>
      <c r="AA200" s="50" t="s">
        <v>12</v>
      </c>
      <c r="AB200" s="50" t="s">
        <v>1322</v>
      </c>
      <c r="AC200" s="50" t="s">
        <v>1434</v>
      </c>
      <c r="AD200" s="48"/>
      <c r="AE200" s="48"/>
      <c r="AF200" s="48"/>
      <c r="AG200" s="48"/>
    </row>
    <row r="201">
      <c r="A201" s="47">
        <f>COUNTIF('Histórico'!$B:$B,B201)</f>
        <v>1</v>
      </c>
      <c r="B201" s="47" t="s">
        <v>1105</v>
      </c>
      <c r="C201" s="48"/>
      <c r="D201" s="50" t="s">
        <v>1314</v>
      </c>
      <c r="E201" s="50" t="s">
        <v>1315</v>
      </c>
      <c r="F201" s="59">
        <v>46171.0</v>
      </c>
      <c r="G201" s="50" t="s">
        <v>1316</v>
      </c>
      <c r="H201" s="59">
        <v>46171.0</v>
      </c>
      <c r="I201" s="47" t="s">
        <v>1805</v>
      </c>
      <c r="J201" s="47" t="s">
        <v>1806</v>
      </c>
      <c r="K201" s="47" t="s">
        <v>1718</v>
      </c>
      <c r="L201" s="60" t="s">
        <v>1807</v>
      </c>
      <c r="M201" s="48"/>
      <c r="N201" s="48"/>
      <c r="O201" s="48"/>
      <c r="P201" s="48"/>
      <c r="Q201" s="50">
        <v>1.0</v>
      </c>
      <c r="R201" s="59">
        <v>46169.0</v>
      </c>
      <c r="S201" s="59">
        <v>46175.0</v>
      </c>
      <c r="T201" s="59">
        <v>46171.0</v>
      </c>
      <c r="U201" s="48"/>
      <c r="V201" s="50" t="s">
        <v>1321</v>
      </c>
      <c r="W201" s="48"/>
      <c r="X201" s="50" t="s">
        <v>12</v>
      </c>
      <c r="Y201" s="50" t="s">
        <v>1322</v>
      </c>
      <c r="Z201" s="50">
        <v>3.040314544E9</v>
      </c>
      <c r="AA201" s="50" t="s">
        <v>16</v>
      </c>
      <c r="AB201" s="50" t="s">
        <v>1331</v>
      </c>
      <c r="AC201" s="50" t="s">
        <v>1615</v>
      </c>
      <c r="AD201" s="48"/>
      <c r="AE201" s="48"/>
      <c r="AF201" s="48"/>
      <c r="AG201" s="48"/>
    </row>
    <row r="202">
      <c r="A202" s="47">
        <f>COUNTIF('Histórico'!$B:$B,B202)</f>
        <v>1</v>
      </c>
      <c r="B202" s="47" t="s">
        <v>1135</v>
      </c>
      <c r="C202" s="48"/>
      <c r="D202" s="50" t="s">
        <v>1314</v>
      </c>
      <c r="E202" s="50" t="s">
        <v>1315</v>
      </c>
      <c r="F202" s="59">
        <v>46171.0</v>
      </c>
      <c r="G202" s="50" t="s">
        <v>1316</v>
      </c>
      <c r="H202" s="59">
        <v>46171.0</v>
      </c>
      <c r="I202" s="47" t="s">
        <v>123</v>
      </c>
      <c r="J202" s="47" t="s">
        <v>1318</v>
      </c>
      <c r="K202" s="47" t="s">
        <v>1506</v>
      </c>
      <c r="L202" s="60" t="s">
        <v>1808</v>
      </c>
      <c r="M202" s="48"/>
      <c r="N202" s="48"/>
      <c r="O202" s="48"/>
      <c r="P202" s="48"/>
      <c r="Q202" s="50">
        <v>1.0</v>
      </c>
      <c r="R202" s="59">
        <v>46156.0</v>
      </c>
      <c r="S202" s="59">
        <v>46162.0</v>
      </c>
      <c r="T202" s="59">
        <v>46171.0</v>
      </c>
      <c r="U202" s="48"/>
      <c r="V202" s="50" t="s">
        <v>1321</v>
      </c>
      <c r="W202" s="50"/>
      <c r="X202" s="50" t="s">
        <v>12</v>
      </c>
      <c r="Y202" s="50" t="s">
        <v>1322</v>
      </c>
      <c r="Z202" s="50">
        <v>3.040316665E9</v>
      </c>
      <c r="AA202" s="50" t="s">
        <v>12</v>
      </c>
      <c r="AB202" s="50" t="s">
        <v>1322</v>
      </c>
      <c r="AC202" s="50" t="s">
        <v>1434</v>
      </c>
      <c r="AD202" s="48"/>
      <c r="AE202" s="48"/>
      <c r="AF202" s="48"/>
      <c r="AG202" s="48"/>
    </row>
    <row r="203">
      <c r="A203" s="47">
        <f>COUNTIF('Histórico'!$B:$B,B203)</f>
        <v>1</v>
      </c>
      <c r="B203" s="47" t="s">
        <v>1138</v>
      </c>
      <c r="C203" s="48"/>
      <c r="D203" s="50" t="s">
        <v>1314</v>
      </c>
      <c r="E203" s="50" t="s">
        <v>1315</v>
      </c>
      <c r="F203" s="59">
        <v>46183.0</v>
      </c>
      <c r="G203" s="50" t="s">
        <v>1316</v>
      </c>
      <c r="H203" s="59">
        <v>46183.0</v>
      </c>
      <c r="I203" s="47" t="s">
        <v>129</v>
      </c>
      <c r="J203" s="47" t="s">
        <v>1318</v>
      </c>
      <c r="K203" s="47" t="s">
        <v>130</v>
      </c>
      <c r="L203" s="60" t="s">
        <v>1809</v>
      </c>
      <c r="M203" s="48"/>
      <c r="N203" s="48"/>
      <c r="O203" s="48"/>
      <c r="P203" s="48"/>
      <c r="Q203" s="50">
        <v>1.0</v>
      </c>
      <c r="R203" s="59">
        <v>46183.0</v>
      </c>
      <c r="S203" s="59">
        <v>46189.0</v>
      </c>
      <c r="T203" s="59">
        <v>46183.0</v>
      </c>
      <c r="U203" s="48"/>
      <c r="V203" s="50" t="s">
        <v>1321</v>
      </c>
      <c r="W203" s="48"/>
      <c r="X203" s="50" t="s">
        <v>12</v>
      </c>
      <c r="Y203" s="50" t="s">
        <v>1322</v>
      </c>
      <c r="Z203" s="50">
        <v>3.040324059E9</v>
      </c>
      <c r="AA203" s="50" t="s">
        <v>17</v>
      </c>
      <c r="AB203" s="50" t="s">
        <v>1458</v>
      </c>
      <c r="AC203" s="50" t="s">
        <v>1810</v>
      </c>
      <c r="AD203" s="48"/>
      <c r="AE203" s="48"/>
      <c r="AF203" s="48"/>
      <c r="AG203" s="48"/>
    </row>
    <row r="204">
      <c r="A204" s="47">
        <f>COUNTIF('Histórico'!$B:$B,B204)</f>
        <v>1</v>
      </c>
      <c r="B204" s="47" t="s">
        <v>1141</v>
      </c>
      <c r="C204" s="48"/>
      <c r="D204" s="50" t="s">
        <v>1314</v>
      </c>
      <c r="E204" s="50" t="s">
        <v>1315</v>
      </c>
      <c r="F204" s="59">
        <v>46183.0</v>
      </c>
      <c r="G204" s="50" t="s">
        <v>1316</v>
      </c>
      <c r="H204" s="59">
        <v>46183.0</v>
      </c>
      <c r="I204" s="47" t="s">
        <v>129</v>
      </c>
      <c r="J204" s="47" t="s">
        <v>1318</v>
      </c>
      <c r="K204" s="47" t="s">
        <v>130</v>
      </c>
      <c r="L204" s="60" t="s">
        <v>1811</v>
      </c>
      <c r="M204" s="48"/>
      <c r="N204" s="48"/>
      <c r="O204" s="48"/>
      <c r="P204" s="48"/>
      <c r="Q204" s="50">
        <v>1.0</v>
      </c>
      <c r="R204" s="59">
        <v>46183.0</v>
      </c>
      <c r="S204" s="59">
        <v>46189.0</v>
      </c>
      <c r="T204" s="59">
        <v>46183.0</v>
      </c>
      <c r="U204" s="48"/>
      <c r="V204" s="50" t="s">
        <v>1321</v>
      </c>
      <c r="W204" s="48"/>
      <c r="X204" s="50" t="s">
        <v>12</v>
      </c>
      <c r="Y204" s="50" t="s">
        <v>1322</v>
      </c>
      <c r="Z204" s="50">
        <v>3.040317877E9</v>
      </c>
      <c r="AA204" s="50" t="s">
        <v>1500</v>
      </c>
      <c r="AB204" s="50" t="s">
        <v>1537</v>
      </c>
      <c r="AC204" s="50" t="s">
        <v>1427</v>
      </c>
      <c r="AD204" s="48"/>
      <c r="AE204" s="48"/>
      <c r="AF204" s="48"/>
      <c r="AG204" s="48"/>
    </row>
    <row r="205">
      <c r="A205" s="47">
        <f>COUNTIF('Histórico'!$B:$B,B205)</f>
        <v>1</v>
      </c>
      <c r="B205" s="47" t="s">
        <v>1139</v>
      </c>
      <c r="C205" s="48"/>
      <c r="D205" s="50" t="s">
        <v>1314</v>
      </c>
      <c r="E205" s="50" t="s">
        <v>1315</v>
      </c>
      <c r="F205" s="59">
        <v>46183.0</v>
      </c>
      <c r="G205" s="50" t="s">
        <v>1316</v>
      </c>
      <c r="H205" s="59">
        <v>46183.0</v>
      </c>
      <c r="I205" s="47" t="s">
        <v>129</v>
      </c>
      <c r="J205" s="47" t="s">
        <v>1318</v>
      </c>
      <c r="K205" s="47" t="s">
        <v>130</v>
      </c>
      <c r="L205" s="60" t="s">
        <v>1812</v>
      </c>
      <c r="M205" s="48"/>
      <c r="N205" s="48"/>
      <c r="O205" s="48"/>
      <c r="P205" s="48"/>
      <c r="Q205" s="50">
        <v>1.0</v>
      </c>
      <c r="R205" s="59">
        <v>46183.0</v>
      </c>
      <c r="S205" s="59">
        <v>46189.0</v>
      </c>
      <c r="T205" s="59">
        <v>46183.0</v>
      </c>
      <c r="U205" s="48"/>
      <c r="V205" s="50" t="s">
        <v>1321</v>
      </c>
      <c r="W205" s="48"/>
      <c r="X205" s="50" t="s">
        <v>12</v>
      </c>
      <c r="Y205" s="50" t="s">
        <v>1322</v>
      </c>
      <c r="Z205" s="50">
        <v>3.04032406E9</v>
      </c>
      <c r="AA205" s="50" t="s">
        <v>17</v>
      </c>
      <c r="AB205" s="50" t="s">
        <v>1458</v>
      </c>
      <c r="AC205" s="50" t="s">
        <v>1689</v>
      </c>
      <c r="AD205" s="48"/>
      <c r="AE205" s="48"/>
      <c r="AF205" s="48"/>
      <c r="AG205" s="48"/>
    </row>
    <row r="206">
      <c r="A206" s="47">
        <f>COUNTIF('Histórico'!$B:$B,B206)</f>
        <v>1</v>
      </c>
      <c r="B206" s="47" t="s">
        <v>1140</v>
      </c>
      <c r="C206" s="48"/>
      <c r="D206" s="50" t="s">
        <v>1314</v>
      </c>
      <c r="E206" s="50" t="s">
        <v>1315</v>
      </c>
      <c r="F206" s="59">
        <v>46183.0</v>
      </c>
      <c r="G206" s="50" t="s">
        <v>1316</v>
      </c>
      <c r="H206" s="59">
        <v>46183.0</v>
      </c>
      <c r="I206" s="47" t="s">
        <v>129</v>
      </c>
      <c r="J206" s="47" t="s">
        <v>1318</v>
      </c>
      <c r="K206" s="47" t="s">
        <v>130</v>
      </c>
      <c r="L206" s="60" t="s">
        <v>1813</v>
      </c>
      <c r="M206" s="48"/>
      <c r="N206" s="48"/>
      <c r="O206" s="48"/>
      <c r="P206" s="48"/>
      <c r="Q206" s="50">
        <v>1.0</v>
      </c>
      <c r="R206" s="59">
        <v>46183.0</v>
      </c>
      <c r="S206" s="59">
        <v>46189.0</v>
      </c>
      <c r="T206" s="59">
        <v>46183.0</v>
      </c>
      <c r="U206" s="48"/>
      <c r="V206" s="50" t="s">
        <v>1321</v>
      </c>
      <c r="W206" s="48"/>
      <c r="X206" s="50" t="s">
        <v>12</v>
      </c>
      <c r="Y206" s="50" t="s">
        <v>1322</v>
      </c>
      <c r="Z206" s="50">
        <v>3.040325007E9</v>
      </c>
      <c r="AA206" s="50" t="s">
        <v>12</v>
      </c>
      <c r="AB206" s="50" t="s">
        <v>1814</v>
      </c>
      <c r="AC206" s="50" t="s">
        <v>1815</v>
      </c>
      <c r="AD206" s="48"/>
      <c r="AE206" s="48"/>
      <c r="AF206" s="48"/>
      <c r="AG206" s="48"/>
    </row>
    <row r="207">
      <c r="A207" s="47">
        <f>COUNTIF('Histórico'!$B:$B,B207)</f>
        <v>1</v>
      </c>
      <c r="B207" s="47" t="s">
        <v>1137</v>
      </c>
      <c r="C207" s="48"/>
      <c r="D207" s="50" t="s">
        <v>1314</v>
      </c>
      <c r="E207" s="50" t="s">
        <v>1315</v>
      </c>
      <c r="F207" s="59">
        <v>46183.0</v>
      </c>
      <c r="G207" s="50" t="s">
        <v>1316</v>
      </c>
      <c r="H207" s="59">
        <v>46183.0</v>
      </c>
      <c r="I207" s="47" t="s">
        <v>129</v>
      </c>
      <c r="J207" s="47" t="s">
        <v>1318</v>
      </c>
      <c r="K207" s="47" t="s">
        <v>130</v>
      </c>
      <c r="L207" s="60" t="s">
        <v>1816</v>
      </c>
      <c r="M207" s="48"/>
      <c r="N207" s="48"/>
      <c r="O207" s="48"/>
      <c r="P207" s="48"/>
      <c r="Q207" s="50">
        <v>1.0</v>
      </c>
      <c r="R207" s="59">
        <v>46183.0</v>
      </c>
      <c r="S207" s="59">
        <v>46189.0</v>
      </c>
      <c r="T207" s="59">
        <v>46183.0</v>
      </c>
      <c r="U207" s="48"/>
      <c r="V207" s="50" t="s">
        <v>1321</v>
      </c>
      <c r="W207" s="48"/>
      <c r="X207" s="50" t="s">
        <v>12</v>
      </c>
      <c r="Y207" s="50" t="s">
        <v>1322</v>
      </c>
      <c r="Z207" s="50">
        <v>3.040325717E9</v>
      </c>
      <c r="AA207" s="50" t="s">
        <v>12</v>
      </c>
      <c r="AB207" s="50" t="s">
        <v>1814</v>
      </c>
      <c r="AC207" s="50" t="s">
        <v>1817</v>
      </c>
      <c r="AD207" s="48"/>
      <c r="AE207" s="48"/>
      <c r="AF207" s="48"/>
      <c r="AG207" s="48"/>
    </row>
    <row r="208">
      <c r="A208" s="47">
        <f>COUNTIF('Histórico'!$B:$B,B208)</f>
        <v>1</v>
      </c>
      <c r="B208" s="47" t="s">
        <v>1144</v>
      </c>
      <c r="C208" s="48"/>
      <c r="D208" s="50" t="s">
        <v>1314</v>
      </c>
      <c r="E208" s="50" t="s">
        <v>1315</v>
      </c>
      <c r="F208" s="59">
        <v>46188.0</v>
      </c>
      <c r="G208" s="50" t="s">
        <v>1316</v>
      </c>
      <c r="H208" s="59">
        <v>46188.0</v>
      </c>
      <c r="I208" s="47" t="s">
        <v>1818</v>
      </c>
      <c r="J208" s="47" t="s">
        <v>48</v>
      </c>
      <c r="K208" s="47" t="s">
        <v>1819</v>
      </c>
      <c r="L208" s="60" t="s">
        <v>1820</v>
      </c>
      <c r="M208" s="48"/>
      <c r="N208" s="48"/>
      <c r="O208" s="48"/>
      <c r="P208" s="48"/>
      <c r="Q208" s="50">
        <v>1.0</v>
      </c>
      <c r="R208" s="59">
        <v>46184.0</v>
      </c>
      <c r="S208" s="59">
        <v>46190.0</v>
      </c>
      <c r="T208" s="59">
        <v>46188.0</v>
      </c>
      <c r="U208" s="48"/>
      <c r="V208" s="50" t="s">
        <v>1321</v>
      </c>
      <c r="W208" s="50"/>
      <c r="X208" s="50" t="s">
        <v>12</v>
      </c>
      <c r="Y208" s="50" t="s">
        <v>1322</v>
      </c>
      <c r="Z208" s="50">
        <v>3.040318245E9</v>
      </c>
      <c r="AA208" s="50" t="s">
        <v>1500</v>
      </c>
      <c r="AB208" s="50" t="s">
        <v>1537</v>
      </c>
      <c r="AC208" s="50" t="s">
        <v>1821</v>
      </c>
      <c r="AD208" s="48"/>
      <c r="AE208" s="48"/>
      <c r="AF208" s="48"/>
      <c r="AG208" s="48"/>
    </row>
    <row r="209">
      <c r="A209" s="47">
        <f>COUNTIF('Histórico'!$B:$B,B209)</f>
        <v>1</v>
      </c>
      <c r="B209" s="47" t="s">
        <v>1142</v>
      </c>
      <c r="C209" s="48"/>
      <c r="D209" s="50" t="s">
        <v>1314</v>
      </c>
      <c r="E209" s="50" t="s">
        <v>1315</v>
      </c>
      <c r="F209" s="59">
        <v>46188.0</v>
      </c>
      <c r="G209" s="50" t="s">
        <v>1316</v>
      </c>
      <c r="H209" s="59">
        <v>46188.0</v>
      </c>
      <c r="I209" s="47" t="s">
        <v>1818</v>
      </c>
      <c r="J209" s="47" t="s">
        <v>48</v>
      </c>
      <c r="K209" s="47" t="s">
        <v>1819</v>
      </c>
      <c r="L209" s="60" t="s">
        <v>1822</v>
      </c>
      <c r="M209" s="48"/>
      <c r="N209" s="48"/>
      <c r="O209" s="48"/>
      <c r="P209" s="48"/>
      <c r="Q209" s="50">
        <v>1.0</v>
      </c>
      <c r="R209" s="59">
        <v>46184.0</v>
      </c>
      <c r="S209" s="59">
        <v>46190.0</v>
      </c>
      <c r="T209" s="59">
        <v>46188.0</v>
      </c>
      <c r="U209" s="48"/>
      <c r="V209" s="50" t="s">
        <v>1321</v>
      </c>
      <c r="W209" s="48"/>
      <c r="X209" s="50" t="s">
        <v>12</v>
      </c>
      <c r="Y209" s="50" t="s">
        <v>1322</v>
      </c>
      <c r="Z209" s="50">
        <v>3.04032297E9</v>
      </c>
      <c r="AA209" s="50" t="s">
        <v>16</v>
      </c>
      <c r="AB209" s="50" t="s">
        <v>1668</v>
      </c>
      <c r="AC209" s="50" t="s">
        <v>1823</v>
      </c>
      <c r="AD209" s="48"/>
      <c r="AE209" s="48"/>
      <c r="AF209" s="48"/>
      <c r="AG209" s="48"/>
    </row>
    <row r="210">
      <c r="A210" s="47">
        <f>COUNTIF('Histórico'!$B:$B,B210)</f>
        <v>1</v>
      </c>
      <c r="B210" s="47" t="s">
        <v>1143</v>
      </c>
      <c r="C210" s="48"/>
      <c r="D210" s="50" t="s">
        <v>1314</v>
      </c>
      <c r="E210" s="50" t="s">
        <v>1315</v>
      </c>
      <c r="F210" s="59">
        <v>46188.0</v>
      </c>
      <c r="G210" s="50" t="s">
        <v>1316</v>
      </c>
      <c r="H210" s="59">
        <v>46188.0</v>
      </c>
      <c r="I210" s="47" t="s">
        <v>1818</v>
      </c>
      <c r="J210" s="47" t="s">
        <v>48</v>
      </c>
      <c r="K210" s="47" t="s">
        <v>1819</v>
      </c>
      <c r="L210" s="60" t="s">
        <v>1824</v>
      </c>
      <c r="M210" s="48"/>
      <c r="N210" s="48"/>
      <c r="O210" s="48"/>
      <c r="P210" s="48"/>
      <c r="Q210" s="50">
        <v>1.0</v>
      </c>
      <c r="R210" s="59">
        <v>46184.0</v>
      </c>
      <c r="S210" s="59">
        <v>46190.0</v>
      </c>
      <c r="T210" s="59">
        <v>46188.0</v>
      </c>
      <c r="U210" s="48"/>
      <c r="V210" s="50" t="s">
        <v>1321</v>
      </c>
      <c r="W210" s="48"/>
      <c r="X210" s="50" t="s">
        <v>12</v>
      </c>
      <c r="Y210" s="50" t="s">
        <v>1322</v>
      </c>
      <c r="Z210" s="50">
        <v>3.040318246E9</v>
      </c>
      <c r="AA210" s="50" t="s">
        <v>1500</v>
      </c>
      <c r="AB210" s="50" t="s">
        <v>1537</v>
      </c>
      <c r="AC210" s="50" t="s">
        <v>1825</v>
      </c>
      <c r="AD210" s="48"/>
      <c r="AE210" s="48"/>
      <c r="AF210" s="48"/>
      <c r="AG210" s="48"/>
    </row>
    <row r="211">
      <c r="A211" s="47">
        <f>COUNTIF('Histórico'!$B:$B,B211)</f>
        <v>1</v>
      </c>
      <c r="B211" s="47" t="s">
        <v>1155</v>
      </c>
      <c r="C211" s="48"/>
      <c r="D211" s="50" t="s">
        <v>1314</v>
      </c>
      <c r="E211" s="50" t="s">
        <v>1315</v>
      </c>
      <c r="F211" s="59">
        <v>46190.0</v>
      </c>
      <c r="G211" s="50" t="s">
        <v>1316</v>
      </c>
      <c r="H211" s="59">
        <v>46190.0</v>
      </c>
      <c r="I211" s="47" t="s">
        <v>153</v>
      </c>
      <c r="J211" s="47" t="s">
        <v>1467</v>
      </c>
      <c r="K211" s="47" t="s">
        <v>154</v>
      </c>
      <c r="L211" s="60" t="s">
        <v>1826</v>
      </c>
      <c r="M211" s="48"/>
      <c r="N211" s="48"/>
      <c r="O211" s="48"/>
      <c r="P211" s="48"/>
      <c r="Q211" s="50">
        <v>1.0</v>
      </c>
      <c r="R211" s="59">
        <v>46188.0</v>
      </c>
      <c r="S211" s="59">
        <v>46192.0</v>
      </c>
      <c r="T211" s="59">
        <v>46190.0</v>
      </c>
      <c r="U211" s="48"/>
      <c r="V211" s="50" t="s">
        <v>1321</v>
      </c>
      <c r="W211" s="48"/>
      <c r="X211" s="50" t="s">
        <v>12</v>
      </c>
      <c r="Y211" s="50" t="s">
        <v>1322</v>
      </c>
      <c r="Z211" s="50">
        <v>3.040304977E9</v>
      </c>
      <c r="AA211" s="50" t="s">
        <v>19</v>
      </c>
      <c r="AB211" s="50" t="s">
        <v>1827</v>
      </c>
      <c r="AC211" s="50" t="s">
        <v>1427</v>
      </c>
      <c r="AD211" s="48"/>
      <c r="AE211" s="48"/>
      <c r="AF211" s="48"/>
      <c r="AG211" s="48"/>
    </row>
    <row r="212">
      <c r="A212" s="47">
        <f>COUNTIF('Histórico'!$B:$B,B212)</f>
        <v>1</v>
      </c>
      <c r="B212" s="47" t="s">
        <v>1158</v>
      </c>
      <c r="C212" s="48"/>
      <c r="D212" s="50" t="s">
        <v>1314</v>
      </c>
      <c r="E212" s="50" t="s">
        <v>1315</v>
      </c>
      <c r="F212" s="59">
        <v>46190.0</v>
      </c>
      <c r="G212" s="50" t="s">
        <v>1316</v>
      </c>
      <c r="H212" s="59">
        <v>46190.0</v>
      </c>
      <c r="I212" s="47" t="s">
        <v>1828</v>
      </c>
      <c r="J212" s="47" t="s">
        <v>48</v>
      </c>
      <c r="K212" s="47" t="s">
        <v>1829</v>
      </c>
      <c r="L212" s="60" t="s">
        <v>1830</v>
      </c>
      <c r="M212" s="48"/>
      <c r="N212" s="48"/>
      <c r="O212" s="48"/>
      <c r="P212" s="48"/>
      <c r="Q212" s="50">
        <v>1.0</v>
      </c>
      <c r="R212" s="59">
        <v>46188.0</v>
      </c>
      <c r="S212" s="59">
        <v>46192.0</v>
      </c>
      <c r="T212" s="59">
        <v>46190.0</v>
      </c>
      <c r="U212" s="48"/>
      <c r="V212" s="50" t="s">
        <v>1321</v>
      </c>
      <c r="W212" s="48"/>
      <c r="X212" s="50" t="s">
        <v>12</v>
      </c>
      <c r="Y212" s="50" t="s">
        <v>1322</v>
      </c>
      <c r="Z212" s="50">
        <v>3.040228584E9</v>
      </c>
      <c r="AA212" s="50" t="s">
        <v>1415</v>
      </c>
      <c r="AB212" s="50" t="s">
        <v>1831</v>
      </c>
      <c r="AC212" s="50" t="s">
        <v>1832</v>
      </c>
      <c r="AD212" s="48"/>
      <c r="AE212" s="48"/>
      <c r="AF212" s="48"/>
      <c r="AG212" s="48"/>
    </row>
    <row r="213">
      <c r="A213" s="47">
        <f>COUNTIF('Histórico'!$B:$B,B213)</f>
        <v>1</v>
      </c>
      <c r="B213" s="47" t="s">
        <v>1151</v>
      </c>
      <c r="C213" s="48"/>
      <c r="D213" s="50" t="s">
        <v>1314</v>
      </c>
      <c r="E213" s="50" t="s">
        <v>1315</v>
      </c>
      <c r="F213" s="59">
        <v>46190.0</v>
      </c>
      <c r="G213" s="50" t="s">
        <v>1316</v>
      </c>
      <c r="H213" s="59">
        <v>46190.0</v>
      </c>
      <c r="I213" s="47" t="s">
        <v>195</v>
      </c>
      <c r="J213" s="47" t="s">
        <v>48</v>
      </c>
      <c r="K213" s="47" t="s">
        <v>1833</v>
      </c>
      <c r="L213" s="60" t="s">
        <v>1834</v>
      </c>
      <c r="M213" s="48"/>
      <c r="N213" s="48"/>
      <c r="O213" s="48"/>
      <c r="P213" s="48"/>
      <c r="Q213" s="50">
        <v>1.0</v>
      </c>
      <c r="R213" s="59">
        <v>46188.0</v>
      </c>
      <c r="S213" s="59">
        <v>46192.0</v>
      </c>
      <c r="T213" s="59">
        <v>46190.0</v>
      </c>
      <c r="U213" s="48"/>
      <c r="V213" s="50" t="s">
        <v>1321</v>
      </c>
      <c r="W213" s="48"/>
      <c r="X213" s="50" t="s">
        <v>12</v>
      </c>
      <c r="Y213" s="50" t="s">
        <v>1322</v>
      </c>
      <c r="Z213" s="50">
        <v>3.040248874E9</v>
      </c>
      <c r="AA213" s="50" t="s">
        <v>12</v>
      </c>
      <c r="AB213" s="50" t="s">
        <v>1392</v>
      </c>
      <c r="AC213" s="50" t="s">
        <v>1835</v>
      </c>
      <c r="AD213" s="48"/>
      <c r="AE213" s="48"/>
      <c r="AF213" s="48"/>
      <c r="AG213" s="48"/>
    </row>
    <row r="214">
      <c r="A214" s="47">
        <f>COUNTIF('Histórico'!$B:$B,B214)</f>
        <v>1</v>
      </c>
      <c r="B214" s="47" t="s">
        <v>1153</v>
      </c>
      <c r="C214" s="48"/>
      <c r="D214" s="50" t="s">
        <v>1314</v>
      </c>
      <c r="E214" s="50" t="s">
        <v>1315</v>
      </c>
      <c r="F214" s="59">
        <v>46190.0</v>
      </c>
      <c r="G214" s="50" t="s">
        <v>1316</v>
      </c>
      <c r="H214" s="59">
        <v>46190.0</v>
      </c>
      <c r="I214" s="47" t="s">
        <v>197</v>
      </c>
      <c r="J214" s="47" t="s">
        <v>1577</v>
      </c>
      <c r="K214" s="47" t="s">
        <v>1836</v>
      </c>
      <c r="L214" s="60" t="s">
        <v>1837</v>
      </c>
      <c r="M214" s="48"/>
      <c r="N214" s="48"/>
      <c r="O214" s="48"/>
      <c r="P214" s="48"/>
      <c r="Q214" s="50">
        <v>1.0</v>
      </c>
      <c r="R214" s="59">
        <v>46188.0</v>
      </c>
      <c r="S214" s="59">
        <v>46192.0</v>
      </c>
      <c r="T214" s="59">
        <v>46190.0</v>
      </c>
      <c r="U214" s="48"/>
      <c r="V214" s="50" t="s">
        <v>1321</v>
      </c>
      <c r="W214" s="48"/>
      <c r="X214" s="50" t="s">
        <v>12</v>
      </c>
      <c r="Y214" s="50" t="s">
        <v>1322</v>
      </c>
      <c r="Z214" s="50">
        <v>3.040313107E9</v>
      </c>
      <c r="AA214" s="50" t="s">
        <v>12</v>
      </c>
      <c r="AB214" s="50" t="s">
        <v>1322</v>
      </c>
      <c r="AC214" s="50" t="s">
        <v>1336</v>
      </c>
      <c r="AD214" s="48"/>
      <c r="AE214" s="48"/>
      <c r="AF214" s="48"/>
      <c r="AG214" s="48"/>
    </row>
    <row r="215">
      <c r="A215" s="47">
        <f>COUNTIF('Histórico'!$B:$B,B215)</f>
        <v>1</v>
      </c>
      <c r="B215" s="47" t="s">
        <v>1152</v>
      </c>
      <c r="C215" s="48"/>
      <c r="D215" s="50" t="s">
        <v>1314</v>
      </c>
      <c r="E215" s="50" t="s">
        <v>1315</v>
      </c>
      <c r="F215" s="59">
        <v>46190.0</v>
      </c>
      <c r="G215" s="50" t="s">
        <v>1316</v>
      </c>
      <c r="H215" s="59">
        <v>46190.0</v>
      </c>
      <c r="I215" s="47" t="s">
        <v>197</v>
      </c>
      <c r="J215" s="47" t="s">
        <v>1577</v>
      </c>
      <c r="K215" s="47" t="s">
        <v>1836</v>
      </c>
      <c r="L215" s="60" t="s">
        <v>1838</v>
      </c>
      <c r="M215" s="48"/>
      <c r="N215" s="48"/>
      <c r="O215" s="48"/>
      <c r="P215" s="48"/>
      <c r="Q215" s="50">
        <v>1.0</v>
      </c>
      <c r="R215" s="59">
        <v>46188.0</v>
      </c>
      <c r="S215" s="59">
        <v>46192.0</v>
      </c>
      <c r="T215" s="59">
        <v>46190.0</v>
      </c>
      <c r="U215" s="48"/>
      <c r="V215" s="50" t="s">
        <v>1321</v>
      </c>
      <c r="W215" s="48"/>
      <c r="X215" s="50" t="s">
        <v>12</v>
      </c>
      <c r="Y215" s="50" t="s">
        <v>1322</v>
      </c>
      <c r="Z215" s="50">
        <v>3.040277243E9</v>
      </c>
      <c r="AA215" s="50" t="s">
        <v>1463</v>
      </c>
      <c r="AB215" s="50" t="s">
        <v>1464</v>
      </c>
      <c r="AC215" s="50" t="s">
        <v>1450</v>
      </c>
      <c r="AD215" s="48"/>
      <c r="AE215" s="48"/>
      <c r="AF215" s="48"/>
      <c r="AG215" s="48"/>
    </row>
    <row r="216">
      <c r="A216" s="47">
        <f>COUNTIF('Histórico'!$B:$B,B216)</f>
        <v>1</v>
      </c>
      <c r="B216" s="47" t="s">
        <v>1154</v>
      </c>
      <c r="C216" s="48"/>
      <c r="D216" s="50" t="s">
        <v>1314</v>
      </c>
      <c r="E216" s="50" t="s">
        <v>1315</v>
      </c>
      <c r="F216" s="59">
        <v>46190.0</v>
      </c>
      <c r="G216" s="50" t="s">
        <v>1316</v>
      </c>
      <c r="H216" s="59">
        <v>46190.0</v>
      </c>
      <c r="I216" s="47" t="s">
        <v>197</v>
      </c>
      <c r="J216" s="47" t="s">
        <v>1577</v>
      </c>
      <c r="K216" s="47" t="s">
        <v>1836</v>
      </c>
      <c r="L216" s="60" t="s">
        <v>1839</v>
      </c>
      <c r="M216" s="48"/>
      <c r="N216" s="48"/>
      <c r="O216" s="48"/>
      <c r="P216" s="48"/>
      <c r="Q216" s="50">
        <v>1.0</v>
      </c>
      <c r="R216" s="59">
        <v>46188.0</v>
      </c>
      <c r="S216" s="59">
        <v>46192.0</v>
      </c>
      <c r="T216" s="59">
        <v>46190.0</v>
      </c>
      <c r="U216" s="48"/>
      <c r="V216" s="50" t="s">
        <v>1321</v>
      </c>
      <c r="W216" s="47"/>
      <c r="X216" s="50" t="s">
        <v>12</v>
      </c>
      <c r="Y216" s="50" t="s">
        <v>1322</v>
      </c>
      <c r="Z216" s="50">
        <v>3.040317875E9</v>
      </c>
      <c r="AA216" s="50" t="s">
        <v>1500</v>
      </c>
      <c r="AB216" s="50" t="s">
        <v>1537</v>
      </c>
      <c r="AC216" s="50" t="s">
        <v>1679</v>
      </c>
      <c r="AD216" s="48"/>
      <c r="AE216" s="48"/>
      <c r="AF216" s="48"/>
      <c r="AG216" s="48"/>
    </row>
    <row r="217">
      <c r="A217" s="47">
        <f>COUNTIF('Histórico'!$B:$B,B217)</f>
        <v>1</v>
      </c>
      <c r="B217" s="47" t="s">
        <v>1165</v>
      </c>
      <c r="C217" s="48"/>
      <c r="D217" s="50" t="s">
        <v>1314</v>
      </c>
      <c r="E217" s="50" t="s">
        <v>1315</v>
      </c>
      <c r="F217" s="59">
        <v>46190.0</v>
      </c>
      <c r="G217" s="50" t="s">
        <v>1316</v>
      </c>
      <c r="H217" s="59">
        <v>46190.0</v>
      </c>
      <c r="I217" s="47" t="s">
        <v>1398</v>
      </c>
      <c r="J217" s="47" t="s">
        <v>1399</v>
      </c>
      <c r="K217" s="47" t="s">
        <v>1400</v>
      </c>
      <c r="L217" s="60" t="s">
        <v>984</v>
      </c>
      <c r="M217" s="48"/>
      <c r="N217" s="48"/>
      <c r="O217" s="48"/>
      <c r="P217" s="48"/>
      <c r="Q217" s="50">
        <v>1.0</v>
      </c>
      <c r="R217" s="59">
        <v>46188.0</v>
      </c>
      <c r="S217" s="59">
        <v>46192.0</v>
      </c>
      <c r="T217" s="59">
        <v>46190.0</v>
      </c>
      <c r="U217" s="48"/>
      <c r="V217" s="50" t="s">
        <v>1321</v>
      </c>
      <c r="W217" s="48"/>
      <c r="X217" s="50" t="s">
        <v>12</v>
      </c>
      <c r="Y217" s="50" t="s">
        <v>1322</v>
      </c>
      <c r="Z217" s="50">
        <v>3.040325529E9</v>
      </c>
      <c r="AA217" s="50" t="s">
        <v>16</v>
      </c>
      <c r="AB217" s="50" t="s">
        <v>1551</v>
      </c>
      <c r="AC217" s="50" t="s">
        <v>1552</v>
      </c>
      <c r="AD217" s="48"/>
      <c r="AE217" s="48"/>
      <c r="AF217" s="48"/>
      <c r="AG217" s="48"/>
    </row>
    <row r="218">
      <c r="A218" s="47">
        <f>COUNTIF('Histórico'!$B:$B,B218)</f>
        <v>1</v>
      </c>
      <c r="B218" s="47" t="s">
        <v>1164</v>
      </c>
      <c r="C218" s="48"/>
      <c r="D218" s="50" t="s">
        <v>1314</v>
      </c>
      <c r="E218" s="50" t="s">
        <v>1315</v>
      </c>
      <c r="F218" s="59">
        <v>46190.0</v>
      </c>
      <c r="G218" s="50" t="s">
        <v>1316</v>
      </c>
      <c r="H218" s="59">
        <v>46190.0</v>
      </c>
      <c r="I218" s="47" t="s">
        <v>1398</v>
      </c>
      <c r="J218" s="47" t="s">
        <v>1399</v>
      </c>
      <c r="K218" s="47" t="s">
        <v>1400</v>
      </c>
      <c r="L218" s="60" t="s">
        <v>1840</v>
      </c>
      <c r="M218" s="48"/>
      <c r="N218" s="48"/>
      <c r="O218" s="48"/>
      <c r="P218" s="48"/>
      <c r="Q218" s="50">
        <v>1.0</v>
      </c>
      <c r="R218" s="59">
        <v>46188.0</v>
      </c>
      <c r="S218" s="59">
        <v>46192.0</v>
      </c>
      <c r="T218" s="59">
        <v>46190.0</v>
      </c>
      <c r="U218" s="48"/>
      <c r="V218" s="50" t="s">
        <v>1321</v>
      </c>
      <c r="W218" s="48"/>
      <c r="X218" s="50" t="s">
        <v>12</v>
      </c>
      <c r="Y218" s="50" t="s">
        <v>1322</v>
      </c>
      <c r="Z218" s="50">
        <v>3.040325528E9</v>
      </c>
      <c r="AA218" s="50" t="s">
        <v>16</v>
      </c>
      <c r="AB218" s="50" t="s">
        <v>1551</v>
      </c>
      <c r="AC218" s="50" t="s">
        <v>1552</v>
      </c>
      <c r="AD218" s="48"/>
      <c r="AE218" s="48"/>
      <c r="AF218" s="48"/>
      <c r="AG218" s="48"/>
    </row>
    <row r="219">
      <c r="A219" s="47">
        <f>COUNTIF('Histórico'!$B:$B,B219)</f>
        <v>1</v>
      </c>
      <c r="B219" s="47" t="s">
        <v>1166</v>
      </c>
      <c r="C219" s="48"/>
      <c r="D219" s="50" t="s">
        <v>1314</v>
      </c>
      <c r="E219" s="50" t="s">
        <v>1315</v>
      </c>
      <c r="F219" s="59">
        <v>46190.0</v>
      </c>
      <c r="G219" s="50" t="s">
        <v>1316</v>
      </c>
      <c r="H219" s="59">
        <v>46190.0</v>
      </c>
      <c r="I219" s="47" t="s">
        <v>1394</v>
      </c>
      <c r="J219" s="47" t="s">
        <v>1395</v>
      </c>
      <c r="K219" s="47" t="s">
        <v>1396</v>
      </c>
      <c r="L219" s="60" t="s">
        <v>882</v>
      </c>
      <c r="M219" s="48"/>
      <c r="N219" s="48"/>
      <c r="O219" s="48"/>
      <c r="P219" s="48"/>
      <c r="Q219" s="50">
        <v>1.0</v>
      </c>
      <c r="R219" s="59">
        <v>46188.0</v>
      </c>
      <c r="S219" s="59">
        <v>46192.0</v>
      </c>
      <c r="T219" s="59">
        <v>46190.0</v>
      </c>
      <c r="U219" s="48"/>
      <c r="V219" s="50" t="s">
        <v>1321</v>
      </c>
      <c r="W219" s="48"/>
      <c r="X219" s="50" t="s">
        <v>12</v>
      </c>
      <c r="Y219" s="50" t="s">
        <v>1322</v>
      </c>
      <c r="Z219" s="50">
        <v>3.040326277E9</v>
      </c>
      <c r="AA219" s="50" t="s">
        <v>12</v>
      </c>
      <c r="AB219" s="50" t="s">
        <v>1322</v>
      </c>
      <c r="AC219" s="50" t="s">
        <v>1336</v>
      </c>
      <c r="AD219" s="48"/>
      <c r="AE219" s="48"/>
      <c r="AF219" s="48"/>
      <c r="AG219" s="48"/>
    </row>
    <row r="220">
      <c r="A220" s="47">
        <f>COUNTIF('Histórico'!$B:$B,B220)</f>
        <v>1</v>
      </c>
      <c r="B220" s="47" t="s">
        <v>1157</v>
      </c>
      <c r="C220" s="48"/>
      <c r="D220" s="50" t="s">
        <v>1314</v>
      </c>
      <c r="E220" s="50" t="s">
        <v>1315</v>
      </c>
      <c r="F220" s="59">
        <v>46190.0</v>
      </c>
      <c r="G220" s="50" t="s">
        <v>1316</v>
      </c>
      <c r="H220" s="59">
        <v>46190.0</v>
      </c>
      <c r="I220" s="47" t="s">
        <v>1841</v>
      </c>
      <c r="J220" s="47" t="s">
        <v>1720</v>
      </c>
      <c r="K220" s="47" t="s">
        <v>1842</v>
      </c>
      <c r="L220" s="60" t="s">
        <v>1843</v>
      </c>
      <c r="M220" s="48"/>
      <c r="N220" s="48"/>
      <c r="O220" s="48"/>
      <c r="P220" s="48"/>
      <c r="Q220" s="50">
        <v>1.0</v>
      </c>
      <c r="R220" s="59">
        <v>46188.0</v>
      </c>
      <c r="S220" s="59">
        <v>46192.0</v>
      </c>
      <c r="T220" s="59">
        <v>46190.0</v>
      </c>
      <c r="U220" s="48"/>
      <c r="V220" s="50" t="s">
        <v>1321</v>
      </c>
      <c r="W220" s="48"/>
      <c r="X220" s="50" t="s">
        <v>12</v>
      </c>
      <c r="Y220" s="50" t="s">
        <v>1322</v>
      </c>
      <c r="Z220" s="50">
        <v>3.040324064E9</v>
      </c>
      <c r="AA220" s="50" t="s">
        <v>17</v>
      </c>
      <c r="AB220" s="50" t="s">
        <v>1458</v>
      </c>
      <c r="AC220" s="50" t="s">
        <v>1689</v>
      </c>
      <c r="AD220" s="48"/>
      <c r="AE220" s="48"/>
      <c r="AF220" s="48"/>
      <c r="AG220" s="48"/>
    </row>
    <row r="221">
      <c r="A221" s="47">
        <f>COUNTIF('Histórico'!$B:$B,B221)</f>
        <v>1</v>
      </c>
      <c r="B221" s="47" t="s">
        <v>1156</v>
      </c>
      <c r="C221" s="48"/>
      <c r="D221" s="50" t="s">
        <v>1314</v>
      </c>
      <c r="E221" s="50" t="s">
        <v>1315</v>
      </c>
      <c r="F221" s="59">
        <v>46190.0</v>
      </c>
      <c r="G221" s="50" t="s">
        <v>1316</v>
      </c>
      <c r="H221" s="59">
        <v>46190.0</v>
      </c>
      <c r="I221" s="47" t="s">
        <v>153</v>
      </c>
      <c r="J221" s="47" t="s">
        <v>1467</v>
      </c>
      <c r="K221" s="47" t="s">
        <v>154</v>
      </c>
      <c r="L221" s="60" t="s">
        <v>1844</v>
      </c>
      <c r="M221" s="48"/>
      <c r="N221" s="48"/>
      <c r="O221" s="48"/>
      <c r="P221" s="48"/>
      <c r="Q221" s="50">
        <v>1.0</v>
      </c>
      <c r="R221" s="59">
        <v>46188.0</v>
      </c>
      <c r="S221" s="59">
        <v>46192.0</v>
      </c>
      <c r="T221" s="59">
        <v>46190.0</v>
      </c>
      <c r="U221" s="48"/>
      <c r="V221" s="50" t="s">
        <v>1321</v>
      </c>
      <c r="W221" s="50"/>
      <c r="X221" s="50" t="s">
        <v>12</v>
      </c>
      <c r="Y221" s="50" t="s">
        <v>1322</v>
      </c>
      <c r="Z221" s="50">
        <v>3.040310003E9</v>
      </c>
      <c r="AA221" s="50" t="s">
        <v>14</v>
      </c>
      <c r="AB221" s="50" t="s">
        <v>1470</v>
      </c>
      <c r="AC221" s="50" t="s">
        <v>1471</v>
      </c>
      <c r="AD221" s="48"/>
      <c r="AE221" s="48"/>
      <c r="AF221" s="48"/>
      <c r="AG221" s="48"/>
    </row>
    <row r="222">
      <c r="A222" s="47">
        <f>COUNTIF('Histórico'!$B:$B,B222)</f>
        <v>1</v>
      </c>
      <c r="B222" s="47" t="s">
        <v>1147</v>
      </c>
      <c r="C222" s="48"/>
      <c r="D222" s="50" t="s">
        <v>1314</v>
      </c>
      <c r="E222" s="50" t="s">
        <v>1315</v>
      </c>
      <c r="F222" s="59">
        <v>46190.0</v>
      </c>
      <c r="G222" s="50" t="s">
        <v>1316</v>
      </c>
      <c r="H222" s="59">
        <v>46190.0</v>
      </c>
      <c r="I222" s="47" t="s">
        <v>1453</v>
      </c>
      <c r="J222" s="47" t="s">
        <v>1454</v>
      </c>
      <c r="K222" s="47" t="s">
        <v>1455</v>
      </c>
      <c r="L222" s="60" t="s">
        <v>1845</v>
      </c>
      <c r="M222" s="48"/>
      <c r="N222" s="48"/>
      <c r="O222" s="48"/>
      <c r="P222" s="48"/>
      <c r="Q222" s="50">
        <v>1.0</v>
      </c>
      <c r="R222" s="59">
        <v>46143.0</v>
      </c>
      <c r="S222" s="59">
        <v>46173.0</v>
      </c>
      <c r="T222" s="59">
        <v>46190.0</v>
      </c>
      <c r="U222" s="48"/>
      <c r="V222" s="50" t="s">
        <v>1321</v>
      </c>
      <c r="W222" s="48"/>
      <c r="X222" s="50" t="s">
        <v>12</v>
      </c>
      <c r="Y222" s="50" t="s">
        <v>1322</v>
      </c>
      <c r="Z222" s="50">
        <v>3.04032664E9</v>
      </c>
      <c r="AA222" s="50" t="s">
        <v>1500</v>
      </c>
      <c r="AB222" s="50" t="s">
        <v>1537</v>
      </c>
      <c r="AC222" s="50" t="s">
        <v>1846</v>
      </c>
      <c r="AD222" s="48"/>
      <c r="AE222" s="48"/>
      <c r="AF222" s="48"/>
      <c r="AG222" s="48"/>
    </row>
    <row r="223">
      <c r="A223" s="47">
        <f>COUNTIF('Histórico'!$B:$B,B223)</f>
        <v>1</v>
      </c>
      <c r="B223" s="47" t="s">
        <v>1167</v>
      </c>
      <c r="C223" s="48"/>
      <c r="D223" s="50" t="s">
        <v>1314</v>
      </c>
      <c r="E223" s="50" t="s">
        <v>1315</v>
      </c>
      <c r="F223" s="59">
        <v>46190.0</v>
      </c>
      <c r="G223" s="50" t="s">
        <v>1316</v>
      </c>
      <c r="H223" s="59">
        <v>46190.0</v>
      </c>
      <c r="I223" s="47" t="s">
        <v>63</v>
      </c>
      <c r="J223" s="47" t="s">
        <v>1395</v>
      </c>
      <c r="K223" s="47" t="s">
        <v>1432</v>
      </c>
      <c r="L223" s="60" t="s">
        <v>1847</v>
      </c>
      <c r="M223" s="48"/>
      <c r="N223" s="48"/>
      <c r="O223" s="48"/>
      <c r="P223" s="48"/>
      <c r="Q223" s="50">
        <v>1.0</v>
      </c>
      <c r="R223" s="59">
        <v>46188.0</v>
      </c>
      <c r="S223" s="59">
        <v>46192.0</v>
      </c>
      <c r="T223" s="59">
        <v>46190.0</v>
      </c>
      <c r="U223" s="48"/>
      <c r="V223" s="50" t="s">
        <v>1321</v>
      </c>
      <c r="W223" s="48"/>
      <c r="X223" s="50" t="s">
        <v>12</v>
      </c>
      <c r="Y223" s="50" t="s">
        <v>1322</v>
      </c>
      <c r="Z223" s="50">
        <v>3.040326033E9</v>
      </c>
      <c r="AA223" s="50" t="s">
        <v>14</v>
      </c>
      <c r="AB223" s="50" t="s">
        <v>1447</v>
      </c>
      <c r="AC223" s="50" t="s">
        <v>1848</v>
      </c>
      <c r="AD223" s="48"/>
      <c r="AE223" s="48"/>
      <c r="AF223" s="48"/>
      <c r="AG223" s="48"/>
    </row>
    <row r="224">
      <c r="A224" s="47">
        <f>COUNTIF('Histórico'!$B:$B,B224)</f>
        <v>1</v>
      </c>
      <c r="B224" s="47" t="s">
        <v>1150</v>
      </c>
      <c r="C224" s="48"/>
      <c r="D224" s="50" t="s">
        <v>1314</v>
      </c>
      <c r="E224" s="50" t="s">
        <v>1315</v>
      </c>
      <c r="F224" s="59">
        <v>46190.0</v>
      </c>
      <c r="G224" s="50" t="s">
        <v>1316</v>
      </c>
      <c r="H224" s="59">
        <v>46190.0</v>
      </c>
      <c r="I224" s="47" t="s">
        <v>1849</v>
      </c>
      <c r="J224" s="47" t="s">
        <v>1717</v>
      </c>
      <c r="K224" s="47" t="s">
        <v>1850</v>
      </c>
      <c r="L224" s="60" t="s">
        <v>1851</v>
      </c>
      <c r="M224" s="48"/>
      <c r="N224" s="48"/>
      <c r="O224" s="48"/>
      <c r="P224" s="48"/>
      <c r="Q224" s="50">
        <v>1.0</v>
      </c>
      <c r="R224" s="59">
        <v>46188.0</v>
      </c>
      <c r="S224" s="59">
        <v>46192.0</v>
      </c>
      <c r="T224" s="59">
        <v>46190.0</v>
      </c>
      <c r="U224" s="48"/>
      <c r="V224" s="50" t="s">
        <v>1321</v>
      </c>
      <c r="W224" s="48"/>
      <c r="X224" s="50" t="s">
        <v>12</v>
      </c>
      <c r="Y224" s="50" t="s">
        <v>1322</v>
      </c>
      <c r="Z224" s="50">
        <v>3.040326086E9</v>
      </c>
      <c r="AA224" s="50" t="s">
        <v>15</v>
      </c>
      <c r="AB224" s="50" t="s">
        <v>1348</v>
      </c>
      <c r="AC224" s="50" t="s">
        <v>1349</v>
      </c>
      <c r="AD224" s="48"/>
      <c r="AE224" s="48"/>
      <c r="AF224" s="48"/>
      <c r="AG224" s="48"/>
    </row>
    <row r="225">
      <c r="A225" s="47">
        <f>COUNTIF('Histórico'!$B:$B,B225)</f>
        <v>1</v>
      </c>
      <c r="B225" s="47" t="s">
        <v>1162</v>
      </c>
      <c r="C225" s="48"/>
      <c r="D225" s="50" t="s">
        <v>1314</v>
      </c>
      <c r="E225" s="50" t="s">
        <v>1315</v>
      </c>
      <c r="F225" s="59">
        <v>46190.0</v>
      </c>
      <c r="G225" s="50" t="s">
        <v>1316</v>
      </c>
      <c r="H225" s="59">
        <v>46190.0</v>
      </c>
      <c r="I225" s="47" t="s">
        <v>179</v>
      </c>
      <c r="J225" s="47" t="s">
        <v>1524</v>
      </c>
      <c r="K225" s="47" t="s">
        <v>1852</v>
      </c>
      <c r="L225" s="60" t="s">
        <v>1853</v>
      </c>
      <c r="M225" s="48"/>
      <c r="N225" s="48"/>
      <c r="O225" s="48"/>
      <c r="P225" s="48"/>
      <c r="Q225" s="50">
        <v>1.0</v>
      </c>
      <c r="R225" s="59">
        <v>46188.0</v>
      </c>
      <c r="S225" s="59">
        <v>46192.0</v>
      </c>
      <c r="T225" s="59">
        <v>46190.0</v>
      </c>
      <c r="U225" s="48"/>
      <c r="V225" s="50" t="s">
        <v>1321</v>
      </c>
      <c r="W225" s="48"/>
      <c r="X225" s="50" t="s">
        <v>12</v>
      </c>
      <c r="Y225" s="50" t="s">
        <v>1322</v>
      </c>
      <c r="Z225" s="50">
        <v>3.040317906E9</v>
      </c>
      <c r="AA225" s="50" t="s">
        <v>1500</v>
      </c>
      <c r="AB225" s="50" t="s">
        <v>1537</v>
      </c>
      <c r="AC225" s="50" t="s">
        <v>1854</v>
      </c>
      <c r="AD225" s="48"/>
      <c r="AE225" s="48"/>
      <c r="AF225" s="48"/>
      <c r="AG225" s="48"/>
    </row>
    <row r="226">
      <c r="A226" s="47">
        <f>COUNTIF('Histórico'!$B:$B,B226)</f>
        <v>1</v>
      </c>
      <c r="B226" s="47" t="s">
        <v>1161</v>
      </c>
      <c r="C226" s="48"/>
      <c r="D226" s="50" t="s">
        <v>1314</v>
      </c>
      <c r="E226" s="50" t="s">
        <v>1315</v>
      </c>
      <c r="F226" s="59">
        <v>46190.0</v>
      </c>
      <c r="G226" s="50" t="s">
        <v>1316</v>
      </c>
      <c r="H226" s="59">
        <v>46190.0</v>
      </c>
      <c r="I226" s="47" t="s">
        <v>1855</v>
      </c>
      <c r="J226" s="47" t="s">
        <v>1524</v>
      </c>
      <c r="K226" s="47" t="s">
        <v>1856</v>
      </c>
      <c r="L226" s="60" t="s">
        <v>1857</v>
      </c>
      <c r="M226" s="48"/>
      <c r="N226" s="48"/>
      <c r="O226" s="48"/>
      <c r="P226" s="48"/>
      <c r="Q226" s="50">
        <v>1.0</v>
      </c>
      <c r="R226" s="59">
        <v>46188.0</v>
      </c>
      <c r="S226" s="59">
        <v>46248.0</v>
      </c>
      <c r="T226" s="59">
        <v>46190.0</v>
      </c>
      <c r="U226" s="48"/>
      <c r="V226" s="50" t="s">
        <v>1321</v>
      </c>
      <c r="W226" s="48"/>
      <c r="X226" s="50" t="s">
        <v>12</v>
      </c>
      <c r="Y226" s="50" t="s">
        <v>1322</v>
      </c>
      <c r="Z226" s="50">
        <v>3.040317908E9</v>
      </c>
      <c r="AA226" s="50" t="s">
        <v>1500</v>
      </c>
      <c r="AB226" s="50" t="s">
        <v>1537</v>
      </c>
      <c r="AC226" s="50" t="s">
        <v>1858</v>
      </c>
      <c r="AD226" s="48"/>
      <c r="AE226" s="48"/>
      <c r="AF226" s="48"/>
      <c r="AG226" s="48"/>
    </row>
    <row r="227">
      <c r="A227" s="47">
        <f>COUNTIF('Histórico'!$B:$B,B227)</f>
        <v>1</v>
      </c>
      <c r="B227" s="47" t="s">
        <v>1163</v>
      </c>
      <c r="C227" s="48"/>
      <c r="D227" s="50" t="s">
        <v>1314</v>
      </c>
      <c r="E227" s="50" t="s">
        <v>1315</v>
      </c>
      <c r="F227" s="59">
        <v>46190.0</v>
      </c>
      <c r="G227" s="50" t="s">
        <v>1316</v>
      </c>
      <c r="H227" s="59">
        <v>46190.0</v>
      </c>
      <c r="I227" s="47" t="s">
        <v>179</v>
      </c>
      <c r="J227" s="47" t="s">
        <v>1524</v>
      </c>
      <c r="K227" s="47" t="s">
        <v>1852</v>
      </c>
      <c r="L227" s="60" t="s">
        <v>1859</v>
      </c>
      <c r="M227" s="48"/>
      <c r="N227" s="48"/>
      <c r="O227" s="48"/>
      <c r="P227" s="48"/>
      <c r="Q227" s="50">
        <v>1.0</v>
      </c>
      <c r="R227" s="59">
        <v>46188.0</v>
      </c>
      <c r="S227" s="59">
        <v>46192.0</v>
      </c>
      <c r="T227" s="59">
        <v>46190.0</v>
      </c>
      <c r="U227" s="48"/>
      <c r="V227" s="50" t="s">
        <v>1321</v>
      </c>
      <c r="W227" s="50"/>
      <c r="X227" s="50" t="s">
        <v>12</v>
      </c>
      <c r="Y227" s="50" t="s">
        <v>1322</v>
      </c>
      <c r="Z227" s="50">
        <v>3.040324072E9</v>
      </c>
      <c r="AA227" s="50" t="s">
        <v>16</v>
      </c>
      <c r="AB227" s="50" t="s">
        <v>1860</v>
      </c>
      <c r="AC227" s="50" t="s">
        <v>1861</v>
      </c>
      <c r="AD227" s="48"/>
      <c r="AE227" s="48"/>
      <c r="AF227" s="48"/>
      <c r="AG227" s="48"/>
    </row>
    <row r="228">
      <c r="A228" s="47">
        <f>COUNTIF('Histórico'!$B:$B,B228)</f>
        <v>1</v>
      </c>
      <c r="B228" s="47" t="s">
        <v>1171</v>
      </c>
      <c r="C228" s="48"/>
      <c r="D228" s="50" t="s">
        <v>1314</v>
      </c>
      <c r="E228" s="50" t="s">
        <v>1315</v>
      </c>
      <c r="F228" s="59">
        <v>46196.0</v>
      </c>
      <c r="G228" s="50" t="s">
        <v>1316</v>
      </c>
      <c r="H228" s="59">
        <v>46196.0</v>
      </c>
      <c r="I228" s="47" t="s">
        <v>155</v>
      </c>
      <c r="J228" s="47" t="s">
        <v>232</v>
      </c>
      <c r="K228" s="47" t="s">
        <v>156</v>
      </c>
      <c r="L228" s="60" t="s">
        <v>1862</v>
      </c>
      <c r="M228" s="48"/>
      <c r="N228" s="48"/>
      <c r="O228" s="48"/>
      <c r="P228" s="48"/>
      <c r="Q228" s="50">
        <v>1.0</v>
      </c>
      <c r="R228" s="59">
        <v>46191.0</v>
      </c>
      <c r="S228" s="59">
        <v>46197.0</v>
      </c>
      <c r="T228" s="59">
        <v>46196.0</v>
      </c>
      <c r="U228" s="48"/>
      <c r="V228" s="50" t="s">
        <v>1321</v>
      </c>
      <c r="W228" s="48"/>
      <c r="X228" s="50" t="s">
        <v>12</v>
      </c>
      <c r="Y228" s="50" t="s">
        <v>1322</v>
      </c>
      <c r="Z228" s="50">
        <v>3.040307754E9</v>
      </c>
      <c r="AA228" s="50" t="s">
        <v>16</v>
      </c>
      <c r="AB228" s="50" t="s">
        <v>1331</v>
      </c>
      <c r="AC228" s="50" t="s">
        <v>1332</v>
      </c>
      <c r="AD228" s="48"/>
      <c r="AE228" s="48"/>
      <c r="AF228" s="48"/>
      <c r="AG228" s="48"/>
    </row>
    <row r="229">
      <c r="A229" s="47">
        <f>COUNTIF('Histórico'!$B:$B,B229)</f>
        <v>1</v>
      </c>
      <c r="B229" s="47" t="s">
        <v>1170</v>
      </c>
      <c r="C229" s="48"/>
      <c r="D229" s="50" t="s">
        <v>1314</v>
      </c>
      <c r="E229" s="50" t="s">
        <v>1315</v>
      </c>
      <c r="F229" s="59">
        <v>46196.0</v>
      </c>
      <c r="G229" s="50" t="s">
        <v>1316</v>
      </c>
      <c r="H229" s="59">
        <v>46196.0</v>
      </c>
      <c r="I229" s="47" t="s">
        <v>155</v>
      </c>
      <c r="J229" s="47" t="s">
        <v>232</v>
      </c>
      <c r="K229" s="47" t="s">
        <v>156</v>
      </c>
      <c r="L229" s="60" t="s">
        <v>1863</v>
      </c>
      <c r="M229" s="48"/>
      <c r="N229" s="48"/>
      <c r="O229" s="48"/>
      <c r="P229" s="48"/>
      <c r="Q229" s="50">
        <v>1.0</v>
      </c>
      <c r="R229" s="59">
        <v>46191.0</v>
      </c>
      <c r="S229" s="59">
        <v>46197.0</v>
      </c>
      <c r="T229" s="59">
        <v>46196.0</v>
      </c>
      <c r="U229" s="48"/>
      <c r="V229" s="50" t="s">
        <v>1321</v>
      </c>
      <c r="W229" s="50"/>
      <c r="X229" s="50" t="s">
        <v>12</v>
      </c>
      <c r="Y229" s="50" t="s">
        <v>1322</v>
      </c>
      <c r="Z229" s="50">
        <v>3.040232651E9</v>
      </c>
      <c r="AA229" s="50" t="s">
        <v>1463</v>
      </c>
      <c r="AB229" s="50" t="s">
        <v>1464</v>
      </c>
      <c r="AC229" s="50" t="s">
        <v>1864</v>
      </c>
      <c r="AD229" s="48"/>
      <c r="AE229" s="48"/>
      <c r="AF229" s="48"/>
      <c r="AG229" s="48"/>
    </row>
    <row r="230">
      <c r="A230" s="47">
        <f>COUNTIF('Histórico'!$B:$B,B230)</f>
        <v>1</v>
      </c>
      <c r="B230" s="47" t="s">
        <v>1172</v>
      </c>
      <c r="C230" s="48"/>
      <c r="D230" s="50" t="s">
        <v>1314</v>
      </c>
      <c r="E230" s="50" t="s">
        <v>1315</v>
      </c>
      <c r="F230" s="59">
        <v>46203.0</v>
      </c>
      <c r="G230" s="50" t="s">
        <v>1316</v>
      </c>
      <c r="H230" s="59">
        <v>46203.0</v>
      </c>
      <c r="I230" s="47" t="s">
        <v>1765</v>
      </c>
      <c r="J230" s="47" t="s">
        <v>232</v>
      </c>
      <c r="K230" s="47" t="s">
        <v>1766</v>
      </c>
      <c r="L230" s="60" t="s">
        <v>1865</v>
      </c>
      <c r="M230" s="48"/>
      <c r="N230" s="48"/>
      <c r="O230" s="48"/>
      <c r="P230" s="48"/>
      <c r="Q230" s="50">
        <v>1.0</v>
      </c>
      <c r="R230" s="59">
        <v>46199.0</v>
      </c>
      <c r="S230" s="59">
        <v>46205.0</v>
      </c>
      <c r="T230" s="59">
        <v>46203.0</v>
      </c>
      <c r="U230" s="48"/>
      <c r="V230" s="50" t="s">
        <v>1321</v>
      </c>
      <c r="W230" s="47"/>
      <c r="X230" s="50" t="s">
        <v>12</v>
      </c>
      <c r="Y230" s="50" t="s">
        <v>1322</v>
      </c>
      <c r="Z230" s="50">
        <v>3.040307753E9</v>
      </c>
      <c r="AA230" s="50" t="s">
        <v>16</v>
      </c>
      <c r="AB230" s="50" t="s">
        <v>1331</v>
      </c>
      <c r="AC230" s="50" t="s">
        <v>1486</v>
      </c>
      <c r="AD230" s="48"/>
      <c r="AE230" s="48"/>
      <c r="AF230" s="48"/>
      <c r="AG230" s="48"/>
    </row>
    <row r="231">
      <c r="A231" s="47">
        <f>COUNTIF('Histórico'!$B:$B,B231)</f>
        <v>1</v>
      </c>
      <c r="B231" s="47" t="s">
        <v>1174</v>
      </c>
      <c r="C231" s="48"/>
      <c r="D231" s="50" t="s">
        <v>1314</v>
      </c>
      <c r="E231" s="50" t="s">
        <v>1315</v>
      </c>
      <c r="F231" s="59">
        <v>46205.0</v>
      </c>
      <c r="G231" s="50" t="s">
        <v>1316</v>
      </c>
      <c r="H231" s="59">
        <v>46205.0</v>
      </c>
      <c r="I231" s="47" t="s">
        <v>1866</v>
      </c>
      <c r="J231" s="47" t="s">
        <v>1867</v>
      </c>
      <c r="K231" s="47" t="s">
        <v>1546</v>
      </c>
      <c r="L231" s="60" t="s">
        <v>1868</v>
      </c>
      <c r="M231" s="48"/>
      <c r="N231" s="48"/>
      <c r="O231" s="48"/>
      <c r="P231" s="48"/>
      <c r="Q231" s="50">
        <v>1.0</v>
      </c>
      <c r="R231" s="59">
        <v>46205.0</v>
      </c>
      <c r="S231" s="59">
        <v>46211.0</v>
      </c>
      <c r="T231" s="59">
        <v>46205.0</v>
      </c>
      <c r="U231" s="48"/>
      <c r="V231" s="50" t="s">
        <v>1321</v>
      </c>
      <c r="W231" s="48"/>
      <c r="X231" s="50" t="s">
        <v>12</v>
      </c>
      <c r="Y231" s="50" t="s">
        <v>1322</v>
      </c>
      <c r="Z231" s="50">
        <v>3.040328401E9</v>
      </c>
      <c r="AA231" s="50" t="s">
        <v>16</v>
      </c>
      <c r="AB231" s="50" t="s">
        <v>1860</v>
      </c>
      <c r="AC231" s="50" t="s">
        <v>1869</v>
      </c>
      <c r="AD231" s="48"/>
      <c r="AE231" s="48"/>
      <c r="AF231" s="48"/>
      <c r="AG231" s="48"/>
    </row>
    <row r="232">
      <c r="A232" s="47">
        <f>COUNTIF('Histórico'!$B:$B,B232)</f>
        <v>1</v>
      </c>
      <c r="B232" s="47" t="s">
        <v>1178</v>
      </c>
      <c r="C232" s="48"/>
      <c r="D232" s="50" t="s">
        <v>1314</v>
      </c>
      <c r="E232" s="50" t="s">
        <v>1315</v>
      </c>
      <c r="F232" s="59">
        <v>46211.0</v>
      </c>
      <c r="G232" s="50" t="s">
        <v>1316</v>
      </c>
      <c r="H232" s="59">
        <v>46211.0</v>
      </c>
      <c r="I232" s="47" t="s">
        <v>282</v>
      </c>
      <c r="J232" s="47" t="s">
        <v>232</v>
      </c>
      <c r="K232" s="47" t="s">
        <v>283</v>
      </c>
      <c r="L232" s="60" t="s">
        <v>1870</v>
      </c>
      <c r="M232" s="48"/>
      <c r="N232" s="48"/>
      <c r="O232" s="48"/>
      <c r="P232" s="48"/>
      <c r="Q232" s="50">
        <v>1.0</v>
      </c>
      <c r="R232" s="59">
        <v>46210.0</v>
      </c>
      <c r="S232" s="59">
        <v>46216.0</v>
      </c>
      <c r="T232" s="59">
        <v>46211.0</v>
      </c>
      <c r="U232" s="48"/>
      <c r="V232" s="50" t="s">
        <v>1321</v>
      </c>
      <c r="W232" s="48"/>
      <c r="X232" s="50" t="s">
        <v>12</v>
      </c>
      <c r="Y232" s="50" t="s">
        <v>1322</v>
      </c>
      <c r="Z232" s="50">
        <v>3.040325767E9</v>
      </c>
      <c r="AA232" s="50" t="s">
        <v>13</v>
      </c>
      <c r="AB232" s="50" t="s">
        <v>1380</v>
      </c>
      <c r="AC232" s="50" t="s">
        <v>1574</v>
      </c>
      <c r="AD232" s="48"/>
      <c r="AE232" s="48"/>
      <c r="AF232" s="48"/>
      <c r="AG232" s="48"/>
    </row>
    <row r="233">
      <c r="A233" s="47">
        <f>COUNTIF('Histórico'!$B:$B,B233)</f>
        <v>1</v>
      </c>
      <c r="B233" s="47" t="s">
        <v>1177</v>
      </c>
      <c r="C233" s="48"/>
      <c r="D233" s="50" t="s">
        <v>1314</v>
      </c>
      <c r="E233" s="50" t="s">
        <v>1315</v>
      </c>
      <c r="F233" s="59">
        <v>46211.0</v>
      </c>
      <c r="G233" s="50" t="s">
        <v>1316</v>
      </c>
      <c r="H233" s="59">
        <v>46211.0</v>
      </c>
      <c r="I233" s="47" t="s">
        <v>282</v>
      </c>
      <c r="J233" s="47" t="s">
        <v>232</v>
      </c>
      <c r="K233" s="47" t="s">
        <v>283</v>
      </c>
      <c r="L233" s="60" t="s">
        <v>1871</v>
      </c>
      <c r="M233" s="48"/>
      <c r="N233" s="48"/>
      <c r="O233" s="48"/>
      <c r="P233" s="48"/>
      <c r="Q233" s="50">
        <v>1.0</v>
      </c>
      <c r="R233" s="59">
        <v>46210.0</v>
      </c>
      <c r="S233" s="59">
        <v>46216.0</v>
      </c>
      <c r="T233" s="59">
        <v>46211.0</v>
      </c>
      <c r="U233" s="48"/>
      <c r="V233" s="50" t="s">
        <v>1321</v>
      </c>
      <c r="W233" s="48"/>
      <c r="X233" s="50" t="s">
        <v>12</v>
      </c>
      <c r="Y233" s="50" t="s">
        <v>1322</v>
      </c>
      <c r="Z233" s="50">
        <v>3.040328109E9</v>
      </c>
      <c r="AA233" s="50" t="s">
        <v>13</v>
      </c>
      <c r="AB233" s="50" t="s">
        <v>1380</v>
      </c>
      <c r="AC233" s="50" t="s">
        <v>1564</v>
      </c>
      <c r="AD233" s="48"/>
      <c r="AE233" s="48"/>
      <c r="AF233" s="48"/>
      <c r="AG233" s="48"/>
    </row>
    <row r="234">
      <c r="A234" s="47">
        <f>COUNTIF('Histórico'!$B:$B,B234)</f>
        <v>1</v>
      </c>
      <c r="B234" s="47" t="s">
        <v>1179</v>
      </c>
      <c r="C234" s="48"/>
      <c r="D234" s="50" t="s">
        <v>1314</v>
      </c>
      <c r="E234" s="50" t="s">
        <v>1315</v>
      </c>
      <c r="F234" s="59">
        <v>46226.0</v>
      </c>
      <c r="G234" s="50" t="s">
        <v>1316</v>
      </c>
      <c r="H234" s="59">
        <v>46226.0</v>
      </c>
      <c r="I234" s="47" t="s">
        <v>149</v>
      </c>
      <c r="J234" s="47" t="s">
        <v>1318</v>
      </c>
      <c r="K234" s="47" t="s">
        <v>1785</v>
      </c>
      <c r="L234" s="60" t="s">
        <v>1872</v>
      </c>
      <c r="M234" s="48"/>
      <c r="N234" s="48"/>
      <c r="O234" s="48"/>
      <c r="P234" s="48"/>
      <c r="Q234" s="50">
        <v>1.0</v>
      </c>
      <c r="R234" s="59">
        <v>46225.0</v>
      </c>
      <c r="S234" s="59">
        <v>46231.0</v>
      </c>
      <c r="T234" s="59">
        <v>46226.0</v>
      </c>
      <c r="U234" s="48"/>
      <c r="V234" s="50" t="s">
        <v>1321</v>
      </c>
      <c r="W234" s="47"/>
      <c r="X234" s="50" t="s">
        <v>12</v>
      </c>
      <c r="Y234" s="50" t="s">
        <v>1322</v>
      </c>
      <c r="Z234" s="50">
        <v>3.040322966E9</v>
      </c>
      <c r="AA234" s="50" t="s">
        <v>14</v>
      </c>
      <c r="AB234" s="50" t="s">
        <v>1328</v>
      </c>
      <c r="AC234" s="50" t="s">
        <v>1329</v>
      </c>
      <c r="AD234" s="48"/>
      <c r="AE234" s="48"/>
      <c r="AF234" s="48"/>
      <c r="AG234" s="48"/>
    </row>
    <row r="235">
      <c r="A235" s="47">
        <f>COUNTIF('Histórico'!$B:$B,B235)</f>
        <v>1</v>
      </c>
      <c r="B235" s="47" t="s">
        <v>1181</v>
      </c>
      <c r="C235" s="48"/>
      <c r="D235" s="50" t="s">
        <v>1314</v>
      </c>
      <c r="E235" s="50" t="s">
        <v>1315</v>
      </c>
      <c r="F235" s="59">
        <v>46226.0</v>
      </c>
      <c r="G235" s="50" t="s">
        <v>1316</v>
      </c>
      <c r="H235" s="59">
        <v>46226.0</v>
      </c>
      <c r="I235" s="47" t="s">
        <v>149</v>
      </c>
      <c r="J235" s="47" t="s">
        <v>1318</v>
      </c>
      <c r="K235" s="47" t="s">
        <v>1785</v>
      </c>
      <c r="L235" s="60" t="s">
        <v>1873</v>
      </c>
      <c r="M235" s="48"/>
      <c r="N235" s="48"/>
      <c r="O235" s="48"/>
      <c r="P235" s="48"/>
      <c r="Q235" s="50">
        <v>1.0</v>
      </c>
      <c r="R235" s="59">
        <v>46225.0</v>
      </c>
      <c r="S235" s="59">
        <v>46231.0</v>
      </c>
      <c r="T235" s="59">
        <v>46226.0</v>
      </c>
      <c r="U235" s="48"/>
      <c r="V235" s="50" t="s">
        <v>1321</v>
      </c>
      <c r="W235" s="48"/>
      <c r="X235" s="50" t="s">
        <v>12</v>
      </c>
      <c r="Y235" s="50" t="s">
        <v>1322</v>
      </c>
      <c r="Z235" s="50">
        <v>3.040314606E9</v>
      </c>
      <c r="AA235" s="50" t="s">
        <v>14</v>
      </c>
      <c r="AB235" s="50" t="s">
        <v>1328</v>
      </c>
      <c r="AC235" s="50" t="s">
        <v>1772</v>
      </c>
      <c r="AD235" s="48"/>
      <c r="AE235" s="48"/>
      <c r="AF235" s="48"/>
      <c r="AG235" s="48"/>
    </row>
    <row r="236">
      <c r="A236" s="47">
        <f>COUNTIF('Histórico'!$B:$B,B236)</f>
        <v>1</v>
      </c>
      <c r="B236" s="47" t="s">
        <v>1180</v>
      </c>
      <c r="C236" s="48"/>
      <c r="D236" s="50" t="s">
        <v>1314</v>
      </c>
      <c r="E236" s="50" t="s">
        <v>1315</v>
      </c>
      <c r="F236" s="59">
        <v>46226.0</v>
      </c>
      <c r="G236" s="50" t="s">
        <v>1316</v>
      </c>
      <c r="H236" s="59">
        <v>46226.0</v>
      </c>
      <c r="I236" s="47" t="s">
        <v>149</v>
      </c>
      <c r="J236" s="47" t="s">
        <v>1318</v>
      </c>
      <c r="K236" s="47" t="s">
        <v>1785</v>
      </c>
      <c r="L236" s="60" t="s">
        <v>1874</v>
      </c>
      <c r="M236" s="48"/>
      <c r="N236" s="48"/>
      <c r="O236" s="48"/>
      <c r="P236" s="48"/>
      <c r="Q236" s="50">
        <v>1.0</v>
      </c>
      <c r="R236" s="59">
        <v>46225.0</v>
      </c>
      <c r="S236" s="59">
        <v>46231.0</v>
      </c>
      <c r="T236" s="59">
        <v>46226.0</v>
      </c>
      <c r="U236" s="48"/>
      <c r="V236" s="50" t="s">
        <v>1321</v>
      </c>
      <c r="W236" s="48"/>
      <c r="X236" s="50" t="s">
        <v>12</v>
      </c>
      <c r="Y236" s="50" t="s">
        <v>1322</v>
      </c>
      <c r="Z236" s="50">
        <v>3.040320686E9</v>
      </c>
      <c r="AA236" s="50" t="s">
        <v>17</v>
      </c>
      <c r="AB236" s="50" t="s">
        <v>1458</v>
      </c>
      <c r="AC236" s="50" t="s">
        <v>1605</v>
      </c>
      <c r="AD236" s="48"/>
      <c r="AE236" s="48"/>
      <c r="AF236" s="48"/>
      <c r="AG236" s="48"/>
    </row>
    <row r="237">
      <c r="A237" s="47">
        <f>COUNTIF('Histórico'!$B:$B,B237)</f>
        <v>1</v>
      </c>
      <c r="B237" s="47" t="s">
        <v>1185</v>
      </c>
      <c r="C237" s="48"/>
      <c r="D237" s="50" t="s">
        <v>1314</v>
      </c>
      <c r="E237" s="50" t="s">
        <v>1315</v>
      </c>
      <c r="F237" s="59">
        <v>46230.0</v>
      </c>
      <c r="G237" s="50" t="s">
        <v>1316</v>
      </c>
      <c r="H237" s="59">
        <v>46230.0</v>
      </c>
      <c r="I237" s="47" t="s">
        <v>1624</v>
      </c>
      <c r="J237" s="47" t="s">
        <v>1545</v>
      </c>
      <c r="K237" s="47" t="s">
        <v>1625</v>
      </c>
      <c r="L237" s="60" t="s">
        <v>1875</v>
      </c>
      <c r="M237" s="48"/>
      <c r="N237" s="48"/>
      <c r="O237" s="48"/>
      <c r="P237" s="48"/>
      <c r="Q237" s="50">
        <v>1.0</v>
      </c>
      <c r="R237" s="59">
        <v>46226.0</v>
      </c>
      <c r="S237" s="59">
        <v>46232.0</v>
      </c>
      <c r="T237" s="59">
        <v>46230.0</v>
      </c>
      <c r="U237" s="48"/>
      <c r="V237" s="50" t="s">
        <v>1321</v>
      </c>
      <c r="W237" s="48"/>
      <c r="X237" s="50" t="s">
        <v>12</v>
      </c>
      <c r="Y237" s="50" t="s">
        <v>1322</v>
      </c>
      <c r="Z237" s="50">
        <v>3.040326393E9</v>
      </c>
      <c r="AA237" s="50" t="s">
        <v>14</v>
      </c>
      <c r="AB237" s="50" t="s">
        <v>1876</v>
      </c>
      <c r="AC237" s="50" t="s">
        <v>1877</v>
      </c>
      <c r="AD237" s="48"/>
      <c r="AE237" s="48"/>
      <c r="AF237" s="48"/>
      <c r="AG237" s="48"/>
    </row>
    <row r="238">
      <c r="A238" s="47">
        <f>COUNTIF('Histórico'!$B:$B,B238)</f>
        <v>1</v>
      </c>
      <c r="B238" s="47" t="s">
        <v>1186</v>
      </c>
      <c r="C238" s="48"/>
      <c r="D238" s="50" t="s">
        <v>1314</v>
      </c>
      <c r="E238" s="50" t="s">
        <v>1315</v>
      </c>
      <c r="F238" s="59">
        <v>46230.0</v>
      </c>
      <c r="G238" s="50" t="s">
        <v>1316</v>
      </c>
      <c r="H238" s="59">
        <v>46230.0</v>
      </c>
      <c r="I238" s="47" t="s">
        <v>1878</v>
      </c>
      <c r="J238" s="47" t="s">
        <v>48</v>
      </c>
      <c r="K238" s="47" t="s">
        <v>1610</v>
      </c>
      <c r="L238" s="60" t="s">
        <v>1879</v>
      </c>
      <c r="M238" s="48"/>
      <c r="N238" s="48"/>
      <c r="O238" s="48"/>
      <c r="P238" s="48"/>
      <c r="Q238" s="50">
        <v>1.0</v>
      </c>
      <c r="R238" s="59">
        <v>46226.0</v>
      </c>
      <c r="S238" s="59">
        <v>46232.0</v>
      </c>
      <c r="T238" s="59">
        <v>46230.0</v>
      </c>
      <c r="U238" s="48"/>
      <c r="V238" s="50" t="s">
        <v>1321</v>
      </c>
      <c r="W238" s="48"/>
      <c r="X238" s="50" t="s">
        <v>12</v>
      </c>
      <c r="Y238" s="50" t="s">
        <v>1322</v>
      </c>
      <c r="Z238" s="50">
        <v>3.040297932E9</v>
      </c>
      <c r="AA238" s="50" t="s">
        <v>17</v>
      </c>
      <c r="AB238" s="50" t="s">
        <v>1343</v>
      </c>
      <c r="AC238" s="50" t="s">
        <v>1344</v>
      </c>
      <c r="AD238" s="50"/>
      <c r="AE238" s="48"/>
      <c r="AF238" s="48"/>
      <c r="AG238" s="48"/>
    </row>
    <row r="239">
      <c r="A239" s="47">
        <f>COUNTIF('Histórico'!$B:$B,B239)</f>
        <v>1</v>
      </c>
      <c r="B239" s="47" t="s">
        <v>1184</v>
      </c>
      <c r="C239" s="48"/>
      <c r="D239" s="50" t="s">
        <v>1314</v>
      </c>
      <c r="E239" s="50" t="s">
        <v>1315</v>
      </c>
      <c r="F239" s="59">
        <v>46230.0</v>
      </c>
      <c r="G239" s="50" t="s">
        <v>1316</v>
      </c>
      <c r="H239" s="59">
        <v>46230.0</v>
      </c>
      <c r="I239" s="47" t="s">
        <v>1612</v>
      </c>
      <c r="J239" s="47" t="s">
        <v>48</v>
      </c>
      <c r="K239" s="47" t="s">
        <v>1613</v>
      </c>
      <c r="L239" s="60" t="s">
        <v>1880</v>
      </c>
      <c r="M239" s="48"/>
      <c r="N239" s="48"/>
      <c r="O239" s="48"/>
      <c r="P239" s="48"/>
      <c r="Q239" s="50">
        <v>1.0</v>
      </c>
      <c r="R239" s="59">
        <v>46226.0</v>
      </c>
      <c r="S239" s="59">
        <v>46232.0</v>
      </c>
      <c r="T239" s="59">
        <v>46230.0</v>
      </c>
      <c r="U239" s="48"/>
      <c r="V239" s="50" t="s">
        <v>1321</v>
      </c>
      <c r="W239" s="48"/>
      <c r="X239" s="50" t="s">
        <v>12</v>
      </c>
      <c r="Y239" s="50" t="s">
        <v>1322</v>
      </c>
      <c r="Z239" s="50">
        <v>3.040312639E9</v>
      </c>
      <c r="AA239" s="50" t="s">
        <v>14</v>
      </c>
      <c r="AB239" s="50" t="s">
        <v>1470</v>
      </c>
      <c r="AC239" s="50" t="s">
        <v>1881</v>
      </c>
      <c r="AD239" s="48"/>
      <c r="AE239" s="48"/>
      <c r="AF239" s="48"/>
      <c r="AG239" s="48"/>
    </row>
    <row r="240">
      <c r="A240" s="47">
        <f>COUNTIF('Histórico'!$B:$B,B240)</f>
        <v>1</v>
      </c>
      <c r="B240" s="47" t="s">
        <v>1182</v>
      </c>
      <c r="C240" s="48"/>
      <c r="D240" s="50" t="s">
        <v>1314</v>
      </c>
      <c r="E240" s="50" t="s">
        <v>1315</v>
      </c>
      <c r="F240" s="59">
        <v>46230.0</v>
      </c>
      <c r="G240" s="50" t="s">
        <v>1316</v>
      </c>
      <c r="H240" s="59">
        <v>46230.0</v>
      </c>
      <c r="I240" s="47" t="s">
        <v>1608</v>
      </c>
      <c r="J240" s="47" t="s">
        <v>1609</v>
      </c>
      <c r="K240" s="47" t="s">
        <v>1610</v>
      </c>
      <c r="L240" s="60" t="s">
        <v>1882</v>
      </c>
      <c r="M240" s="48"/>
      <c r="N240" s="48"/>
      <c r="O240" s="48"/>
      <c r="P240" s="48"/>
      <c r="Q240" s="50">
        <v>1.0</v>
      </c>
      <c r="R240" s="59">
        <v>46226.0</v>
      </c>
      <c r="S240" s="59">
        <v>46232.0</v>
      </c>
      <c r="T240" s="59">
        <v>46230.0</v>
      </c>
      <c r="U240" s="48"/>
      <c r="V240" s="50" t="s">
        <v>1321</v>
      </c>
      <c r="W240" s="48"/>
      <c r="X240" s="50" t="s">
        <v>12</v>
      </c>
      <c r="Y240" s="50" t="s">
        <v>1322</v>
      </c>
      <c r="Z240" s="50">
        <v>3.040325921E9</v>
      </c>
      <c r="AA240" s="50" t="s">
        <v>12</v>
      </c>
      <c r="AB240" s="50" t="s">
        <v>1322</v>
      </c>
      <c r="AC240" s="50" t="s">
        <v>1336</v>
      </c>
      <c r="AD240" s="48"/>
      <c r="AE240" s="48"/>
      <c r="AF240" s="48"/>
      <c r="AG240" s="48"/>
    </row>
    <row r="241">
      <c r="A241" s="47">
        <f>COUNTIF('Histórico'!$B:$B,B241)</f>
        <v>1</v>
      </c>
      <c r="B241" s="47" t="s">
        <v>1188</v>
      </c>
      <c r="C241" s="48"/>
      <c r="D241" s="50" t="s">
        <v>1314</v>
      </c>
      <c r="E241" s="50" t="s">
        <v>1315</v>
      </c>
      <c r="F241" s="59">
        <v>46230.0</v>
      </c>
      <c r="G241" s="50" t="s">
        <v>1316</v>
      </c>
      <c r="H241" s="59">
        <v>46230.0</v>
      </c>
      <c r="I241" s="47" t="s">
        <v>1612</v>
      </c>
      <c r="J241" s="47" t="s">
        <v>48</v>
      </c>
      <c r="K241" s="47" t="s">
        <v>1613</v>
      </c>
      <c r="L241" s="60" t="s">
        <v>340</v>
      </c>
      <c r="M241" s="48"/>
      <c r="N241" s="48"/>
      <c r="O241" s="48"/>
      <c r="P241" s="48"/>
      <c r="Q241" s="50">
        <v>1.0</v>
      </c>
      <c r="R241" s="59">
        <v>46226.0</v>
      </c>
      <c r="S241" s="59">
        <v>46232.0</v>
      </c>
      <c r="T241" s="59">
        <v>46230.0</v>
      </c>
      <c r="U241" s="48"/>
      <c r="V241" s="50" t="s">
        <v>1321</v>
      </c>
      <c r="W241" s="47"/>
      <c r="X241" s="50" t="s">
        <v>12</v>
      </c>
      <c r="Y241" s="50" t="s">
        <v>1322</v>
      </c>
      <c r="Z241" s="50">
        <v>3.04031264E9</v>
      </c>
      <c r="AA241" s="50" t="s">
        <v>14</v>
      </c>
      <c r="AB241" s="50" t="s">
        <v>1470</v>
      </c>
      <c r="AC241" s="50" t="s">
        <v>1881</v>
      </c>
      <c r="AD241" s="48"/>
      <c r="AE241" s="48"/>
      <c r="AF241" s="48"/>
      <c r="AG241" s="48"/>
    </row>
    <row r="242">
      <c r="A242" s="47">
        <f>COUNTIF('Histórico'!$B:$B,B242)</f>
        <v>1</v>
      </c>
      <c r="B242" s="47" t="s">
        <v>1189</v>
      </c>
      <c r="C242" s="48"/>
      <c r="D242" s="50" t="s">
        <v>1314</v>
      </c>
      <c r="E242" s="50" t="s">
        <v>1315</v>
      </c>
      <c r="F242" s="59">
        <v>46231.0</v>
      </c>
      <c r="G242" s="50" t="s">
        <v>1316</v>
      </c>
      <c r="H242" s="59">
        <v>46231.0</v>
      </c>
      <c r="I242" s="47" t="s">
        <v>143</v>
      </c>
      <c r="J242" s="47" t="s">
        <v>1545</v>
      </c>
      <c r="K242" s="47" t="s">
        <v>1625</v>
      </c>
      <c r="L242" s="60" t="s">
        <v>1883</v>
      </c>
      <c r="M242" s="48"/>
      <c r="N242" s="48"/>
      <c r="O242" s="48"/>
      <c r="P242" s="48"/>
      <c r="Q242" s="50">
        <v>1.0</v>
      </c>
      <c r="R242" s="59">
        <v>46231.0</v>
      </c>
      <c r="S242" s="59">
        <v>46237.0</v>
      </c>
      <c r="T242" s="59">
        <v>46231.0</v>
      </c>
      <c r="U242" s="48"/>
      <c r="V242" s="50" t="s">
        <v>1321</v>
      </c>
      <c r="W242" s="48"/>
      <c r="X242" s="50" t="s">
        <v>12</v>
      </c>
      <c r="Y242" s="50" t="s">
        <v>1322</v>
      </c>
      <c r="Z242" s="50">
        <v>3.040329193E9</v>
      </c>
      <c r="AA242" s="50" t="s">
        <v>21</v>
      </c>
      <c r="AB242" s="50" t="s">
        <v>1359</v>
      </c>
      <c r="AC242" s="50" t="s">
        <v>1795</v>
      </c>
      <c r="AD242" s="48"/>
      <c r="AE242" s="48"/>
      <c r="AF242" s="48"/>
      <c r="AG242" s="48"/>
    </row>
    <row r="243">
      <c r="A243" s="47">
        <f>COUNTIF('Histórico'!$B:$B,B243)</f>
        <v>1</v>
      </c>
      <c r="B243" s="47" t="s">
        <v>1192</v>
      </c>
      <c r="C243" s="48"/>
      <c r="D243" s="50" t="s">
        <v>1314</v>
      </c>
      <c r="E243" s="50" t="s">
        <v>1315</v>
      </c>
      <c r="F243" s="59">
        <v>46233.0</v>
      </c>
      <c r="G243" s="50" t="s">
        <v>1316</v>
      </c>
      <c r="H243" s="59">
        <v>46233.0</v>
      </c>
      <c r="I243" s="47" t="s">
        <v>131</v>
      </c>
      <c r="J243" s="47" t="s">
        <v>48</v>
      </c>
      <c r="K243" s="47" t="s">
        <v>1408</v>
      </c>
      <c r="L243" s="60" t="s">
        <v>1884</v>
      </c>
      <c r="M243" s="48"/>
      <c r="N243" s="48"/>
      <c r="O243" s="48"/>
      <c r="P243" s="48"/>
      <c r="Q243" s="50">
        <v>1.0</v>
      </c>
      <c r="R243" s="59">
        <v>46224.0</v>
      </c>
      <c r="S243" s="59">
        <v>46230.0</v>
      </c>
      <c r="T243" s="59">
        <v>46233.0</v>
      </c>
      <c r="U243" s="48"/>
      <c r="V243" s="50" t="s">
        <v>1321</v>
      </c>
      <c r="W243" s="48"/>
      <c r="X243" s="50" t="s">
        <v>12</v>
      </c>
      <c r="Y243" s="50" t="s">
        <v>1322</v>
      </c>
      <c r="Z243" s="50">
        <v>3.040312966E9</v>
      </c>
      <c r="AA243" s="50" t="s">
        <v>12</v>
      </c>
      <c r="AB243" s="50" t="s">
        <v>1322</v>
      </c>
      <c r="AC243" s="50" t="s">
        <v>1336</v>
      </c>
      <c r="AD243" s="48"/>
      <c r="AE243" s="48"/>
      <c r="AF243" s="48"/>
      <c r="AG243" s="48"/>
    </row>
    <row r="244">
      <c r="A244" s="47">
        <f>COUNTIF('Histórico'!$B:$B,B244)</f>
        <v>1</v>
      </c>
      <c r="B244" s="47" t="s">
        <v>1193</v>
      </c>
      <c r="C244" s="48"/>
      <c r="D244" s="50" t="s">
        <v>1314</v>
      </c>
      <c r="E244" s="50" t="s">
        <v>1315</v>
      </c>
      <c r="F244" s="59">
        <v>46233.0</v>
      </c>
      <c r="G244" s="50" t="s">
        <v>1316</v>
      </c>
      <c r="H244" s="59">
        <v>46233.0</v>
      </c>
      <c r="I244" s="47" t="s">
        <v>131</v>
      </c>
      <c r="J244" s="47" t="s">
        <v>48</v>
      </c>
      <c r="K244" s="47" t="s">
        <v>1408</v>
      </c>
      <c r="L244" s="60" t="s">
        <v>1885</v>
      </c>
      <c r="M244" s="48"/>
      <c r="N244" s="48"/>
      <c r="O244" s="48"/>
      <c r="P244" s="48"/>
      <c r="Q244" s="50">
        <v>1.0</v>
      </c>
      <c r="R244" s="59">
        <v>46224.0</v>
      </c>
      <c r="S244" s="59">
        <v>46230.0</v>
      </c>
      <c r="T244" s="59">
        <v>46233.0</v>
      </c>
      <c r="U244" s="48"/>
      <c r="V244" s="50" t="s">
        <v>1321</v>
      </c>
      <c r="W244" s="48"/>
      <c r="X244" s="50" t="s">
        <v>12</v>
      </c>
      <c r="Y244" s="50" t="s">
        <v>1322</v>
      </c>
      <c r="Z244" s="50">
        <v>3.04031794E9</v>
      </c>
      <c r="AA244" s="50" t="s">
        <v>12</v>
      </c>
      <c r="AB244" s="50" t="s">
        <v>1322</v>
      </c>
      <c r="AC244" s="50" t="s">
        <v>1434</v>
      </c>
      <c r="AD244" s="48"/>
      <c r="AE244" s="48"/>
      <c r="AF244" s="48"/>
      <c r="AG244" s="48"/>
    </row>
    <row r="245">
      <c r="A245" s="47">
        <f>COUNTIF('Histórico'!$B:$B,B245)</f>
        <v>1</v>
      </c>
      <c r="B245" s="47" t="s">
        <v>1190</v>
      </c>
      <c r="C245" s="48"/>
      <c r="D245" s="50" t="s">
        <v>1314</v>
      </c>
      <c r="E245" s="50" t="s">
        <v>1315</v>
      </c>
      <c r="F245" s="59">
        <v>46233.0</v>
      </c>
      <c r="G245" s="50" t="s">
        <v>1316</v>
      </c>
      <c r="H245" s="59">
        <v>46233.0</v>
      </c>
      <c r="I245" s="47" t="s">
        <v>131</v>
      </c>
      <c r="J245" s="47" t="s">
        <v>48</v>
      </c>
      <c r="K245" s="47" t="s">
        <v>1408</v>
      </c>
      <c r="L245" s="60" t="s">
        <v>1886</v>
      </c>
      <c r="M245" s="48"/>
      <c r="N245" s="48"/>
      <c r="O245" s="48"/>
      <c r="P245" s="48"/>
      <c r="Q245" s="50">
        <v>1.0</v>
      </c>
      <c r="R245" s="59">
        <v>46224.0</v>
      </c>
      <c r="S245" s="59">
        <v>46230.0</v>
      </c>
      <c r="T245" s="59">
        <v>46233.0</v>
      </c>
      <c r="U245" s="48"/>
      <c r="V245" s="50" t="s">
        <v>1321</v>
      </c>
      <c r="W245" s="48"/>
      <c r="X245" s="50" t="s">
        <v>12</v>
      </c>
      <c r="Y245" s="50" t="s">
        <v>1322</v>
      </c>
      <c r="Z245" s="50">
        <v>3.040264307E9</v>
      </c>
      <c r="AA245" s="50" t="s">
        <v>12</v>
      </c>
      <c r="AB245" s="50" t="s">
        <v>1392</v>
      </c>
      <c r="AC245" s="50" t="s">
        <v>1800</v>
      </c>
      <c r="AD245" s="48"/>
      <c r="AE245" s="48"/>
      <c r="AF245" s="48"/>
      <c r="AG245" s="48"/>
    </row>
    <row r="246">
      <c r="A246" s="47">
        <f>COUNTIF('Histórico'!$B:$B,B246)</f>
        <v>1</v>
      </c>
      <c r="B246" s="47" t="s">
        <v>1191</v>
      </c>
      <c r="C246" s="48"/>
      <c r="D246" s="50" t="s">
        <v>1314</v>
      </c>
      <c r="E246" s="50" t="s">
        <v>1315</v>
      </c>
      <c r="F246" s="59">
        <v>46233.0</v>
      </c>
      <c r="G246" s="50" t="s">
        <v>1316</v>
      </c>
      <c r="H246" s="59">
        <v>46233.0</v>
      </c>
      <c r="I246" s="47" t="s">
        <v>131</v>
      </c>
      <c r="J246" s="47" t="s">
        <v>48</v>
      </c>
      <c r="K246" s="47" t="s">
        <v>1408</v>
      </c>
      <c r="L246" s="60" t="s">
        <v>1887</v>
      </c>
      <c r="M246" s="48"/>
      <c r="N246" s="48"/>
      <c r="O246" s="48"/>
      <c r="P246" s="48"/>
      <c r="Q246" s="50">
        <v>1.0</v>
      </c>
      <c r="R246" s="59">
        <v>46224.0</v>
      </c>
      <c r="S246" s="59">
        <v>46224.0</v>
      </c>
      <c r="T246" s="59">
        <v>46233.0</v>
      </c>
      <c r="U246" s="48"/>
      <c r="V246" s="50" t="s">
        <v>1321</v>
      </c>
      <c r="W246" s="48"/>
      <c r="X246" s="50" t="s">
        <v>12</v>
      </c>
      <c r="Y246" s="50" t="s">
        <v>1322</v>
      </c>
      <c r="Z246" s="50">
        <v>3.040285202E9</v>
      </c>
      <c r="AA246" s="50" t="s">
        <v>19</v>
      </c>
      <c r="AB246" s="50" t="s">
        <v>1402</v>
      </c>
      <c r="AC246" s="50" t="s">
        <v>1888</v>
      </c>
      <c r="AD246" s="48"/>
      <c r="AE246" s="48"/>
      <c r="AF246" s="48"/>
      <c r="AG246" s="48"/>
    </row>
    <row r="247">
      <c r="A247" s="47">
        <f>COUNTIF('Histórico'!$B:$B,B247)</f>
        <v>1</v>
      </c>
      <c r="B247" s="47" t="s">
        <v>1194</v>
      </c>
      <c r="C247" s="48"/>
      <c r="D247" s="50" t="s">
        <v>1314</v>
      </c>
      <c r="E247" s="50" t="s">
        <v>1315</v>
      </c>
      <c r="F247" s="59">
        <v>46234.0</v>
      </c>
      <c r="G247" s="50" t="s">
        <v>1316</v>
      </c>
      <c r="H247" s="59">
        <v>46234.0</v>
      </c>
      <c r="I247" s="47" t="s">
        <v>1765</v>
      </c>
      <c r="J247" s="47" t="s">
        <v>232</v>
      </c>
      <c r="K247" s="47" t="s">
        <v>1766</v>
      </c>
      <c r="L247" s="60" t="s">
        <v>1889</v>
      </c>
      <c r="M247" s="48"/>
      <c r="N247" s="48"/>
      <c r="O247" s="48"/>
      <c r="P247" s="48"/>
      <c r="Q247" s="50">
        <v>1.0</v>
      </c>
      <c r="R247" s="59">
        <v>46230.0</v>
      </c>
      <c r="S247" s="59">
        <v>46234.0</v>
      </c>
      <c r="T247" s="59">
        <v>46234.0</v>
      </c>
      <c r="U247" s="48"/>
      <c r="V247" s="50" t="s">
        <v>1321</v>
      </c>
      <c r="W247" s="47"/>
      <c r="X247" s="50" t="s">
        <v>12</v>
      </c>
      <c r="Y247" s="50" t="s">
        <v>1322</v>
      </c>
      <c r="Z247" s="50">
        <v>3.040317296E9</v>
      </c>
      <c r="AA247" s="50" t="s">
        <v>16</v>
      </c>
      <c r="AB247" s="50" t="s">
        <v>1331</v>
      </c>
      <c r="AC247" s="50" t="s">
        <v>1486</v>
      </c>
      <c r="AD247" s="48"/>
      <c r="AE247" s="48"/>
      <c r="AF247" s="48"/>
      <c r="AG247" s="48"/>
    </row>
    <row r="248">
      <c r="A248" s="47">
        <f>COUNTIF('Histórico'!$B:$B,B248)</f>
        <v>1</v>
      </c>
      <c r="B248" s="47" t="s">
        <v>1240</v>
      </c>
      <c r="C248" s="48"/>
      <c r="D248" s="50" t="s">
        <v>1314</v>
      </c>
      <c r="E248" s="50" t="s">
        <v>1315</v>
      </c>
      <c r="F248" s="59">
        <v>46238.0</v>
      </c>
      <c r="G248" s="50" t="s">
        <v>1316</v>
      </c>
      <c r="H248" s="59">
        <v>46238.0</v>
      </c>
      <c r="I248" s="47" t="s">
        <v>1890</v>
      </c>
      <c r="J248" s="47" t="s">
        <v>1891</v>
      </c>
      <c r="K248" s="47" t="s">
        <v>1598</v>
      </c>
      <c r="L248" s="60" t="s">
        <v>1892</v>
      </c>
      <c r="M248" s="48"/>
      <c r="N248" s="48"/>
      <c r="O248" s="48"/>
      <c r="P248" s="48"/>
      <c r="Q248" s="50">
        <v>1.0</v>
      </c>
      <c r="R248" s="59">
        <v>46237.0</v>
      </c>
      <c r="S248" s="59">
        <v>46241.0</v>
      </c>
      <c r="T248" s="59">
        <v>46238.0</v>
      </c>
      <c r="U248" s="48"/>
      <c r="V248" s="50" t="s">
        <v>1321</v>
      </c>
      <c r="W248" s="48"/>
      <c r="X248" s="50" t="s">
        <v>12</v>
      </c>
      <c r="Y248" s="50" t="s">
        <v>1322</v>
      </c>
      <c r="Z248" s="50">
        <v>3.040317037E9</v>
      </c>
      <c r="AA248" s="50" t="s">
        <v>12</v>
      </c>
      <c r="AB248" s="50" t="s">
        <v>1322</v>
      </c>
      <c r="AC248" s="50" t="s">
        <v>1369</v>
      </c>
      <c r="AD248" s="48"/>
      <c r="AE248" s="48"/>
      <c r="AF248" s="48"/>
      <c r="AG248" s="48"/>
    </row>
    <row r="249">
      <c r="A249" s="47">
        <f>COUNTIF('Histórico'!$B:$B,B249)</f>
        <v>1</v>
      </c>
      <c r="B249" s="47" t="s">
        <v>1238</v>
      </c>
      <c r="C249" s="48"/>
      <c r="D249" s="50" t="s">
        <v>1314</v>
      </c>
      <c r="E249" s="50" t="s">
        <v>1315</v>
      </c>
      <c r="F249" s="59">
        <v>46238.0</v>
      </c>
      <c r="G249" s="50" t="s">
        <v>1316</v>
      </c>
      <c r="H249" s="59">
        <v>46238.0</v>
      </c>
      <c r="I249" s="47" t="s">
        <v>1890</v>
      </c>
      <c r="J249" s="47" t="s">
        <v>1891</v>
      </c>
      <c r="K249" s="47" t="s">
        <v>1598</v>
      </c>
      <c r="L249" s="60" t="s">
        <v>1893</v>
      </c>
      <c r="M249" s="48"/>
      <c r="N249" s="48"/>
      <c r="O249" s="48"/>
      <c r="P249" s="48"/>
      <c r="Q249" s="50">
        <v>1.0</v>
      </c>
      <c r="R249" s="59">
        <v>46237.0</v>
      </c>
      <c r="S249" s="59">
        <v>46241.0</v>
      </c>
      <c r="T249" s="59">
        <v>46238.0</v>
      </c>
      <c r="U249" s="48"/>
      <c r="V249" s="50" t="s">
        <v>1321</v>
      </c>
      <c r="W249" s="48"/>
      <c r="X249" s="50" t="s">
        <v>12</v>
      </c>
      <c r="Y249" s="50" t="s">
        <v>1322</v>
      </c>
      <c r="Z249" s="50">
        <v>3.040317035E9</v>
      </c>
      <c r="AA249" s="50" t="s">
        <v>12</v>
      </c>
      <c r="AB249" s="50" t="s">
        <v>1322</v>
      </c>
      <c r="AC249" s="50" t="s">
        <v>1369</v>
      </c>
      <c r="AD249" s="48"/>
      <c r="AE249" s="48"/>
      <c r="AF249" s="48"/>
      <c r="AG249" s="48"/>
    </row>
    <row r="250">
      <c r="A250" s="47">
        <f>COUNTIF('Histórico'!$B:$B,B250)</f>
        <v>1</v>
      </c>
      <c r="B250" s="47" t="s">
        <v>1241</v>
      </c>
      <c r="C250" s="48"/>
      <c r="D250" s="50" t="s">
        <v>1314</v>
      </c>
      <c r="E250" s="50" t="s">
        <v>1315</v>
      </c>
      <c r="F250" s="59">
        <v>46238.0</v>
      </c>
      <c r="G250" s="50" t="s">
        <v>1316</v>
      </c>
      <c r="H250" s="59">
        <v>46238.0</v>
      </c>
      <c r="I250" s="47" t="s">
        <v>1890</v>
      </c>
      <c r="J250" s="47" t="s">
        <v>1891</v>
      </c>
      <c r="K250" s="47" t="s">
        <v>1598</v>
      </c>
      <c r="L250" s="60" t="s">
        <v>1894</v>
      </c>
      <c r="M250" s="48"/>
      <c r="N250" s="48"/>
      <c r="O250" s="48"/>
      <c r="P250" s="48"/>
      <c r="Q250" s="50">
        <v>1.0</v>
      </c>
      <c r="R250" s="59">
        <v>46237.0</v>
      </c>
      <c r="S250" s="59">
        <v>46272.0</v>
      </c>
      <c r="T250" s="59">
        <v>46238.0</v>
      </c>
      <c r="U250" s="48"/>
      <c r="V250" s="50" t="s">
        <v>1321</v>
      </c>
      <c r="W250" s="48"/>
      <c r="X250" s="50" t="s">
        <v>12</v>
      </c>
      <c r="Y250" s="50" t="s">
        <v>1322</v>
      </c>
      <c r="Z250" s="50">
        <v>3.040317038E9</v>
      </c>
      <c r="AA250" s="50" t="s">
        <v>12</v>
      </c>
      <c r="AB250" s="50" t="s">
        <v>1322</v>
      </c>
      <c r="AC250" s="50" t="s">
        <v>1369</v>
      </c>
      <c r="AD250" s="48"/>
      <c r="AE250" s="48"/>
      <c r="AF250" s="48"/>
      <c r="AG250" s="48"/>
    </row>
    <row r="251">
      <c r="A251" s="47">
        <f>COUNTIF('Histórico'!$B:$B,B251)</f>
        <v>1</v>
      </c>
      <c r="B251" s="47" t="s">
        <v>1203</v>
      </c>
      <c r="C251" s="48"/>
      <c r="D251" s="50" t="s">
        <v>1314</v>
      </c>
      <c r="E251" s="50" t="s">
        <v>1315</v>
      </c>
      <c r="F251" s="59">
        <v>46240.0</v>
      </c>
      <c r="G251" s="50" t="s">
        <v>1316</v>
      </c>
      <c r="H251" s="59">
        <v>46240.0</v>
      </c>
      <c r="I251" s="47" t="s">
        <v>1878</v>
      </c>
      <c r="J251" s="47" t="s">
        <v>48</v>
      </c>
      <c r="K251" s="47" t="s">
        <v>1610</v>
      </c>
      <c r="L251" s="60" t="s">
        <v>336</v>
      </c>
      <c r="M251" s="48"/>
      <c r="N251" s="48"/>
      <c r="O251" s="48"/>
      <c r="P251" s="48"/>
      <c r="Q251" s="50">
        <v>1.0</v>
      </c>
      <c r="R251" s="59">
        <v>46230.0</v>
      </c>
      <c r="S251" s="59">
        <v>46234.0</v>
      </c>
      <c r="T251" s="59">
        <v>46240.0</v>
      </c>
      <c r="U251" s="48"/>
      <c r="V251" s="50" t="s">
        <v>1321</v>
      </c>
      <c r="W251" s="48"/>
      <c r="X251" s="50" t="s">
        <v>12</v>
      </c>
      <c r="Y251" s="50" t="s">
        <v>1322</v>
      </c>
      <c r="Z251" s="50">
        <v>3.04031309E9</v>
      </c>
      <c r="AA251" s="50" t="s">
        <v>12</v>
      </c>
      <c r="AB251" s="50" t="s">
        <v>1322</v>
      </c>
      <c r="AC251" s="50" t="s">
        <v>1434</v>
      </c>
      <c r="AD251" s="48"/>
      <c r="AE251" s="48"/>
      <c r="AF251" s="48"/>
      <c r="AG251" s="48"/>
    </row>
    <row r="252">
      <c r="A252" s="47">
        <f>COUNTIF('Histórico'!$B:$B,B252)</f>
        <v>1</v>
      </c>
      <c r="B252" s="47" t="s">
        <v>1204</v>
      </c>
      <c r="C252" s="48"/>
      <c r="D252" s="50" t="s">
        <v>1314</v>
      </c>
      <c r="E252" s="50" t="s">
        <v>1315</v>
      </c>
      <c r="F252" s="59">
        <v>46240.0</v>
      </c>
      <c r="G252" s="50" t="s">
        <v>1316</v>
      </c>
      <c r="H252" s="59">
        <v>46240.0</v>
      </c>
      <c r="I252" s="47" t="s">
        <v>1878</v>
      </c>
      <c r="J252" s="47" t="s">
        <v>48</v>
      </c>
      <c r="K252" s="47" t="s">
        <v>1610</v>
      </c>
      <c r="L252" s="60" t="s">
        <v>1895</v>
      </c>
      <c r="M252" s="48"/>
      <c r="N252" s="48"/>
      <c r="O252" s="48"/>
      <c r="P252" s="48"/>
      <c r="Q252" s="50">
        <v>1.0</v>
      </c>
      <c r="R252" s="59">
        <v>46230.0</v>
      </c>
      <c r="S252" s="59">
        <v>46234.0</v>
      </c>
      <c r="T252" s="59">
        <v>46240.0</v>
      </c>
      <c r="U252" s="48"/>
      <c r="V252" s="50" t="s">
        <v>1321</v>
      </c>
      <c r="W252" s="48"/>
      <c r="X252" s="50" t="s">
        <v>12</v>
      </c>
      <c r="Y252" s="50" t="s">
        <v>1322</v>
      </c>
      <c r="Z252" s="50">
        <v>3.040232792E9</v>
      </c>
      <c r="AA252" s="50" t="s">
        <v>1463</v>
      </c>
      <c r="AB252" s="50" t="s">
        <v>1464</v>
      </c>
      <c r="AC252" s="50" t="s">
        <v>1645</v>
      </c>
      <c r="AD252" s="48"/>
      <c r="AE252" s="48"/>
      <c r="AF252" s="48"/>
      <c r="AG252" s="48"/>
    </row>
    <row r="253">
      <c r="A253" s="47">
        <f>COUNTIF('Histórico'!$B:$B,B253)</f>
        <v>1</v>
      </c>
      <c r="B253" s="47" t="s">
        <v>1200</v>
      </c>
      <c r="C253" s="48"/>
      <c r="D253" s="50" t="s">
        <v>1314</v>
      </c>
      <c r="E253" s="50" t="s">
        <v>1315</v>
      </c>
      <c r="F253" s="59">
        <v>46240.0</v>
      </c>
      <c r="G253" s="50" t="s">
        <v>1316</v>
      </c>
      <c r="H253" s="59">
        <v>46240.0</v>
      </c>
      <c r="I253" s="47" t="s">
        <v>1896</v>
      </c>
      <c r="J253" s="47" t="s">
        <v>48</v>
      </c>
      <c r="K253" s="47" t="s">
        <v>1897</v>
      </c>
      <c r="L253" s="60" t="s">
        <v>1898</v>
      </c>
      <c r="M253" s="48"/>
      <c r="N253" s="48"/>
      <c r="O253" s="48"/>
      <c r="P253" s="48"/>
      <c r="Q253" s="50">
        <v>1.0</v>
      </c>
      <c r="R253" s="59">
        <v>46230.0</v>
      </c>
      <c r="S253" s="59">
        <v>46234.0</v>
      </c>
      <c r="T253" s="59">
        <v>46240.0</v>
      </c>
      <c r="U253" s="48"/>
      <c r="V253" s="50" t="s">
        <v>1321</v>
      </c>
      <c r="W253" s="47"/>
      <c r="X253" s="50" t="s">
        <v>12</v>
      </c>
      <c r="Y253" s="50" t="s">
        <v>1322</v>
      </c>
      <c r="Z253" s="50">
        <v>3.040306368E9</v>
      </c>
      <c r="AA253" s="50" t="s">
        <v>19</v>
      </c>
      <c r="AB253" s="50" t="s">
        <v>1827</v>
      </c>
      <c r="AC253" s="50" t="s">
        <v>1427</v>
      </c>
      <c r="AD253" s="48"/>
      <c r="AE253" s="48"/>
      <c r="AF253" s="48"/>
      <c r="AG253" s="48"/>
    </row>
    <row r="254">
      <c r="A254" s="47">
        <f>COUNTIF('Histórico'!$B:$B,B254)</f>
        <v>1</v>
      </c>
      <c r="B254" s="47" t="s">
        <v>1197</v>
      </c>
      <c r="C254" s="48"/>
      <c r="D254" s="50" t="s">
        <v>1314</v>
      </c>
      <c r="E254" s="50" t="s">
        <v>1315</v>
      </c>
      <c r="F254" s="59">
        <v>46240.0</v>
      </c>
      <c r="G254" s="50" t="s">
        <v>1316</v>
      </c>
      <c r="H254" s="59">
        <v>46240.0</v>
      </c>
      <c r="I254" s="47" t="s">
        <v>1896</v>
      </c>
      <c r="J254" s="47" t="s">
        <v>48</v>
      </c>
      <c r="K254" s="47" t="s">
        <v>1897</v>
      </c>
      <c r="L254" s="60" t="s">
        <v>1899</v>
      </c>
      <c r="M254" s="48"/>
      <c r="N254" s="48"/>
      <c r="O254" s="48"/>
      <c r="P254" s="48"/>
      <c r="Q254" s="50">
        <v>1.0</v>
      </c>
      <c r="R254" s="59">
        <v>46230.0</v>
      </c>
      <c r="S254" s="59">
        <v>46234.0</v>
      </c>
      <c r="T254" s="59">
        <v>46240.0</v>
      </c>
      <c r="U254" s="48"/>
      <c r="V254" s="50" t="s">
        <v>1321</v>
      </c>
      <c r="W254" s="48"/>
      <c r="X254" s="50" t="s">
        <v>12</v>
      </c>
      <c r="Y254" s="50" t="s">
        <v>1322</v>
      </c>
      <c r="Z254" s="50">
        <v>3.040295136E9</v>
      </c>
      <c r="AA254" s="50" t="s">
        <v>19</v>
      </c>
      <c r="AB254" s="50" t="s">
        <v>1827</v>
      </c>
      <c r="AC254" s="50" t="s">
        <v>1427</v>
      </c>
      <c r="AD254" s="48"/>
      <c r="AE254" s="48"/>
      <c r="AF254" s="48"/>
      <c r="AG254" s="48"/>
    </row>
    <row r="255">
      <c r="A255" s="47">
        <f>COUNTIF('Histórico'!$B:$B,B255)</f>
        <v>1</v>
      </c>
      <c r="B255" s="47" t="s">
        <v>1198</v>
      </c>
      <c r="C255" s="48"/>
      <c r="D255" s="50" t="s">
        <v>1314</v>
      </c>
      <c r="E255" s="50" t="s">
        <v>1315</v>
      </c>
      <c r="F255" s="59">
        <v>46240.0</v>
      </c>
      <c r="G255" s="50" t="s">
        <v>1316</v>
      </c>
      <c r="H255" s="59">
        <v>46240.0</v>
      </c>
      <c r="I255" s="47" t="s">
        <v>1896</v>
      </c>
      <c r="J255" s="47" t="s">
        <v>48</v>
      </c>
      <c r="K255" s="47" t="s">
        <v>1897</v>
      </c>
      <c r="L255" s="60" t="s">
        <v>1900</v>
      </c>
      <c r="M255" s="48"/>
      <c r="N255" s="48"/>
      <c r="O255" s="48"/>
      <c r="P255" s="48"/>
      <c r="Q255" s="50">
        <v>1.0</v>
      </c>
      <c r="R255" s="59">
        <v>46230.0</v>
      </c>
      <c r="S255" s="59">
        <v>46234.0</v>
      </c>
      <c r="T255" s="59">
        <v>46240.0</v>
      </c>
      <c r="U255" s="48"/>
      <c r="V255" s="50" t="s">
        <v>1321</v>
      </c>
      <c r="W255" s="48"/>
      <c r="X255" s="50" t="s">
        <v>12</v>
      </c>
      <c r="Y255" s="50" t="s">
        <v>1322</v>
      </c>
      <c r="Z255" s="50">
        <v>3.040297179E9</v>
      </c>
      <c r="AA255" s="50" t="s">
        <v>22</v>
      </c>
      <c r="AB255" s="50" t="s">
        <v>1649</v>
      </c>
      <c r="AC255" s="50" t="s">
        <v>1901</v>
      </c>
      <c r="AD255" s="48"/>
      <c r="AE255" s="48"/>
      <c r="AF255" s="48"/>
      <c r="AG255" s="48"/>
    </row>
    <row r="256">
      <c r="A256" s="47">
        <f>COUNTIF('Histórico'!$B:$B,B256)</f>
        <v>1</v>
      </c>
      <c r="B256" s="47" t="s">
        <v>1199</v>
      </c>
      <c r="C256" s="48"/>
      <c r="D256" s="50" t="s">
        <v>1314</v>
      </c>
      <c r="E256" s="50" t="s">
        <v>1315</v>
      </c>
      <c r="F256" s="59">
        <v>46240.0</v>
      </c>
      <c r="G256" s="50" t="s">
        <v>1316</v>
      </c>
      <c r="H256" s="59">
        <v>46240.0</v>
      </c>
      <c r="I256" s="47" t="s">
        <v>1896</v>
      </c>
      <c r="J256" s="47" t="s">
        <v>48</v>
      </c>
      <c r="K256" s="47" t="s">
        <v>1897</v>
      </c>
      <c r="L256" s="60" t="s">
        <v>1902</v>
      </c>
      <c r="M256" s="48"/>
      <c r="N256" s="48"/>
      <c r="O256" s="48"/>
      <c r="P256" s="48"/>
      <c r="Q256" s="50">
        <v>1.0</v>
      </c>
      <c r="R256" s="59">
        <v>46230.0</v>
      </c>
      <c r="S256" s="59">
        <v>46234.0</v>
      </c>
      <c r="T256" s="59">
        <v>46240.0</v>
      </c>
      <c r="U256" s="48"/>
      <c r="V256" s="50" t="s">
        <v>1321</v>
      </c>
      <c r="W256" s="48"/>
      <c r="X256" s="50" t="s">
        <v>12</v>
      </c>
      <c r="Y256" s="50" t="s">
        <v>1322</v>
      </c>
      <c r="Z256" s="50">
        <v>3.040299234E9</v>
      </c>
      <c r="AA256" s="50" t="s">
        <v>19</v>
      </c>
      <c r="AB256" s="50" t="s">
        <v>1827</v>
      </c>
      <c r="AC256" s="50" t="s">
        <v>1903</v>
      </c>
      <c r="AD256" s="48"/>
      <c r="AE256" s="48"/>
      <c r="AF256" s="48"/>
      <c r="AG256" s="48"/>
    </row>
    <row r="257">
      <c r="A257" s="47">
        <f>COUNTIF('Histórico'!$B:$B,B257)</f>
        <v>1</v>
      </c>
      <c r="B257" s="47" t="s">
        <v>1202</v>
      </c>
      <c r="C257" s="48"/>
      <c r="D257" s="50" t="s">
        <v>1314</v>
      </c>
      <c r="E257" s="50" t="s">
        <v>1315</v>
      </c>
      <c r="F257" s="59">
        <v>46240.0</v>
      </c>
      <c r="G257" s="50" t="s">
        <v>1316</v>
      </c>
      <c r="H257" s="59">
        <v>46240.0</v>
      </c>
      <c r="I257" s="47" t="s">
        <v>1612</v>
      </c>
      <c r="J257" s="47" t="s">
        <v>48</v>
      </c>
      <c r="K257" s="47" t="s">
        <v>1613</v>
      </c>
      <c r="L257" s="60" t="s">
        <v>1904</v>
      </c>
      <c r="M257" s="48"/>
      <c r="N257" s="48"/>
      <c r="O257" s="48"/>
      <c r="P257" s="48"/>
      <c r="Q257" s="50">
        <v>1.0</v>
      </c>
      <c r="R257" s="59">
        <v>46230.0</v>
      </c>
      <c r="S257" s="59">
        <v>46234.0</v>
      </c>
      <c r="T257" s="59">
        <v>46240.0</v>
      </c>
      <c r="U257" s="48"/>
      <c r="V257" s="50" t="s">
        <v>1321</v>
      </c>
      <c r="W257" s="48"/>
      <c r="X257" s="50" t="s">
        <v>12</v>
      </c>
      <c r="Y257" s="50" t="s">
        <v>1322</v>
      </c>
      <c r="Z257" s="50">
        <v>3.04032405E9</v>
      </c>
      <c r="AA257" s="50" t="s">
        <v>16</v>
      </c>
      <c r="AB257" s="50" t="s">
        <v>1331</v>
      </c>
      <c r="AC257" s="50" t="s">
        <v>1452</v>
      </c>
      <c r="AD257" s="48"/>
      <c r="AE257" s="48"/>
      <c r="AF257" s="48"/>
      <c r="AG257" s="48"/>
    </row>
    <row r="258">
      <c r="A258" s="47">
        <f>COUNTIF('Histórico'!$B:$B,B258)</f>
        <v>1</v>
      </c>
      <c r="B258" s="47" t="s">
        <v>1242</v>
      </c>
      <c r="C258" s="48"/>
      <c r="D258" s="50" t="s">
        <v>1314</v>
      </c>
      <c r="E258" s="50" t="s">
        <v>1315</v>
      </c>
      <c r="F258" s="59">
        <v>46240.0</v>
      </c>
      <c r="G258" s="50" t="s">
        <v>1316</v>
      </c>
      <c r="H258" s="59">
        <v>46240.0</v>
      </c>
      <c r="I258" s="47" t="s">
        <v>157</v>
      </c>
      <c r="J258" s="47" t="s">
        <v>232</v>
      </c>
      <c r="K258" s="47" t="s">
        <v>158</v>
      </c>
      <c r="L258" s="60" t="s">
        <v>1905</v>
      </c>
      <c r="M258" s="48"/>
      <c r="N258" s="48"/>
      <c r="O258" s="48"/>
      <c r="P258" s="48"/>
      <c r="Q258" s="50">
        <v>1.0</v>
      </c>
      <c r="R258" s="59">
        <v>46238.0</v>
      </c>
      <c r="S258" s="59">
        <v>46244.0</v>
      </c>
      <c r="T258" s="59">
        <v>46240.0</v>
      </c>
      <c r="U258" s="48"/>
      <c r="V258" s="50" t="s">
        <v>1321</v>
      </c>
      <c r="W258" s="48"/>
      <c r="X258" s="50" t="s">
        <v>12</v>
      </c>
      <c r="Y258" s="50" t="s">
        <v>1322</v>
      </c>
      <c r="Z258" s="50">
        <v>3.040286082E9</v>
      </c>
      <c r="AA258" s="50" t="s">
        <v>16</v>
      </c>
      <c r="AB258" s="50" t="s">
        <v>1331</v>
      </c>
      <c r="AC258" s="50" t="s">
        <v>1906</v>
      </c>
      <c r="AD258" s="48"/>
      <c r="AE258" s="48"/>
      <c r="AF258" s="48"/>
      <c r="AG258" s="48"/>
    </row>
    <row r="259">
      <c r="A259" s="47">
        <f>COUNTIF('Histórico'!$B:$B,B259)</f>
        <v>1</v>
      </c>
      <c r="B259" s="47" t="s">
        <v>1243</v>
      </c>
      <c r="C259" s="48"/>
      <c r="D259" s="50" t="s">
        <v>1314</v>
      </c>
      <c r="E259" s="50" t="s">
        <v>1315</v>
      </c>
      <c r="F259" s="59">
        <v>46240.0</v>
      </c>
      <c r="G259" s="50" t="s">
        <v>1316</v>
      </c>
      <c r="H259" s="59">
        <v>46240.0</v>
      </c>
      <c r="I259" s="47" t="s">
        <v>157</v>
      </c>
      <c r="J259" s="47" t="s">
        <v>232</v>
      </c>
      <c r="K259" s="47" t="s">
        <v>158</v>
      </c>
      <c r="L259" s="60" t="s">
        <v>1907</v>
      </c>
      <c r="M259" s="48"/>
      <c r="N259" s="48"/>
      <c r="O259" s="48"/>
      <c r="P259" s="48"/>
      <c r="Q259" s="50">
        <v>1.0</v>
      </c>
      <c r="R259" s="59">
        <v>46238.0</v>
      </c>
      <c r="S259" s="59">
        <v>46244.0</v>
      </c>
      <c r="T259" s="59">
        <v>46240.0</v>
      </c>
      <c r="U259" s="48"/>
      <c r="V259" s="50" t="s">
        <v>1321</v>
      </c>
      <c r="W259" s="48"/>
      <c r="X259" s="50" t="s">
        <v>12</v>
      </c>
      <c r="Y259" s="50" t="s">
        <v>1322</v>
      </c>
      <c r="Z259" s="50">
        <v>3.040293676E9</v>
      </c>
      <c r="AA259" s="50" t="s">
        <v>16</v>
      </c>
      <c r="AB259" s="50" t="s">
        <v>1331</v>
      </c>
      <c r="AC259" s="50" t="s">
        <v>1906</v>
      </c>
      <c r="AD259" s="48"/>
      <c r="AE259" s="48"/>
      <c r="AF259" s="48"/>
      <c r="AG259" s="48"/>
    </row>
    <row r="260">
      <c r="A260" s="47">
        <f>COUNTIF('Histórico'!$B:$B,B260)</f>
        <v>1</v>
      </c>
      <c r="B260" s="47" t="s">
        <v>1244</v>
      </c>
      <c r="C260" s="48"/>
      <c r="D260" s="50" t="s">
        <v>1314</v>
      </c>
      <c r="E260" s="50" t="s">
        <v>1315</v>
      </c>
      <c r="F260" s="59">
        <v>46244.0</v>
      </c>
      <c r="G260" s="50" t="s">
        <v>1316</v>
      </c>
      <c r="H260" s="59">
        <v>46244.0</v>
      </c>
      <c r="I260" s="47" t="s">
        <v>171</v>
      </c>
      <c r="J260" s="47" t="s">
        <v>48</v>
      </c>
      <c r="K260" s="47" t="s">
        <v>1370</v>
      </c>
      <c r="L260" s="60" t="s">
        <v>1908</v>
      </c>
      <c r="M260" s="48"/>
      <c r="N260" s="48"/>
      <c r="O260" s="48"/>
      <c r="P260" s="48"/>
      <c r="Q260" s="50">
        <v>1.0</v>
      </c>
      <c r="R260" s="59">
        <v>46244.0</v>
      </c>
      <c r="S260" s="59">
        <v>46248.0</v>
      </c>
      <c r="T260" s="59">
        <v>46244.0</v>
      </c>
      <c r="U260" s="48"/>
      <c r="V260" s="50" t="s">
        <v>1321</v>
      </c>
      <c r="W260" s="48"/>
      <c r="X260" s="50" t="s">
        <v>12</v>
      </c>
      <c r="Y260" s="50" t="s">
        <v>1322</v>
      </c>
      <c r="Z260" s="50">
        <v>3.040311294E9</v>
      </c>
      <c r="AA260" s="50" t="s">
        <v>13</v>
      </c>
      <c r="AB260" s="50" t="s">
        <v>1377</v>
      </c>
      <c r="AC260" s="50" t="s">
        <v>1686</v>
      </c>
      <c r="AD260" s="50"/>
      <c r="AE260" s="48"/>
      <c r="AF260" s="48"/>
      <c r="AG260" s="48"/>
    </row>
    <row r="261">
      <c r="A261" s="47">
        <f>COUNTIF('Histórico'!$B:$B,B261)</f>
        <v>1</v>
      </c>
      <c r="B261" s="47" t="s">
        <v>1246</v>
      </c>
      <c r="C261" s="48"/>
      <c r="D261" s="50" t="s">
        <v>1314</v>
      </c>
      <c r="E261" s="50" t="s">
        <v>1315</v>
      </c>
      <c r="F261" s="59">
        <v>46244.0</v>
      </c>
      <c r="G261" s="50" t="s">
        <v>1316</v>
      </c>
      <c r="H261" s="59">
        <v>46244.0</v>
      </c>
      <c r="I261" s="47" t="s">
        <v>171</v>
      </c>
      <c r="J261" s="47" t="s">
        <v>48</v>
      </c>
      <c r="K261" s="47" t="s">
        <v>1370</v>
      </c>
      <c r="L261" s="60" t="s">
        <v>1909</v>
      </c>
      <c r="M261" s="48"/>
      <c r="N261" s="48"/>
      <c r="O261" s="48"/>
      <c r="P261" s="48"/>
      <c r="Q261" s="50">
        <v>1.0</v>
      </c>
      <c r="R261" s="59">
        <v>46244.0</v>
      </c>
      <c r="S261" s="59">
        <v>46248.0</v>
      </c>
      <c r="T261" s="59">
        <v>46244.0</v>
      </c>
      <c r="U261" s="48"/>
      <c r="V261" s="50" t="s">
        <v>1321</v>
      </c>
      <c r="W261" s="48"/>
      <c r="X261" s="50" t="s">
        <v>12</v>
      </c>
      <c r="Y261" s="50" t="s">
        <v>1322</v>
      </c>
      <c r="Z261" s="50">
        <v>3.040314102E9</v>
      </c>
      <c r="AA261" s="50" t="s">
        <v>12</v>
      </c>
      <c r="AB261" s="50" t="s">
        <v>1385</v>
      </c>
      <c r="AC261" s="50" t="s">
        <v>1910</v>
      </c>
      <c r="AD261" s="48"/>
      <c r="AE261" s="48"/>
      <c r="AF261" s="48"/>
      <c r="AG261" s="48"/>
    </row>
    <row r="262">
      <c r="A262" s="47">
        <f>COUNTIF('Histórico'!$B:$B,B262)</f>
        <v>1</v>
      </c>
      <c r="B262" s="47" t="s">
        <v>1207</v>
      </c>
      <c r="C262" s="48"/>
      <c r="D262" s="50" t="s">
        <v>1314</v>
      </c>
      <c r="E262" s="50" t="s">
        <v>1315</v>
      </c>
      <c r="F262" s="59">
        <v>46251.0</v>
      </c>
      <c r="G262" s="50" t="s">
        <v>1316</v>
      </c>
      <c r="H262" s="59">
        <v>46251.0</v>
      </c>
      <c r="I262" s="47" t="s">
        <v>207</v>
      </c>
      <c r="J262" s="47" t="s">
        <v>48</v>
      </c>
      <c r="K262" s="47" t="s">
        <v>208</v>
      </c>
      <c r="L262" s="60" t="s">
        <v>600</v>
      </c>
      <c r="M262" s="48"/>
      <c r="N262" s="48"/>
      <c r="O262" s="48"/>
      <c r="P262" s="48"/>
      <c r="Q262" s="50">
        <v>1.0</v>
      </c>
      <c r="R262" s="59">
        <v>46231.0</v>
      </c>
      <c r="S262" s="59">
        <v>46237.0</v>
      </c>
      <c r="T262" s="59">
        <v>46251.0</v>
      </c>
      <c r="U262" s="48"/>
      <c r="V262" s="50" t="s">
        <v>1321</v>
      </c>
      <c r="W262" s="48"/>
      <c r="X262" s="50" t="s">
        <v>12</v>
      </c>
      <c r="Y262" s="50" t="s">
        <v>1322</v>
      </c>
      <c r="Z262" s="50">
        <v>3.040325527E9</v>
      </c>
      <c r="AA262" s="50" t="s">
        <v>16</v>
      </c>
      <c r="AB262" s="50" t="s">
        <v>1551</v>
      </c>
      <c r="AC262" s="50" t="s">
        <v>1552</v>
      </c>
      <c r="AD262" s="48"/>
      <c r="AE262" s="48"/>
      <c r="AF262" s="48"/>
      <c r="AG262" s="48"/>
    </row>
    <row r="263">
      <c r="A263" s="47">
        <f>COUNTIF('Histórico'!$B:$B,B263)</f>
        <v>1</v>
      </c>
      <c r="B263" s="47" t="s">
        <v>1231</v>
      </c>
      <c r="C263" s="48"/>
      <c r="D263" s="50" t="s">
        <v>1314</v>
      </c>
      <c r="E263" s="50" t="s">
        <v>1315</v>
      </c>
      <c r="F263" s="59">
        <v>46251.0</v>
      </c>
      <c r="G263" s="50" t="s">
        <v>1316</v>
      </c>
      <c r="H263" s="59">
        <v>46251.0</v>
      </c>
      <c r="I263" s="47" t="s">
        <v>63</v>
      </c>
      <c r="J263" s="47" t="s">
        <v>1395</v>
      </c>
      <c r="K263" s="47" t="s">
        <v>1432</v>
      </c>
      <c r="L263" s="60" t="s">
        <v>407</v>
      </c>
      <c r="M263" s="48"/>
      <c r="N263" s="48"/>
      <c r="O263" s="48"/>
      <c r="P263" s="48"/>
      <c r="Q263" s="50">
        <v>1.0</v>
      </c>
      <c r="R263" s="59">
        <v>46231.0</v>
      </c>
      <c r="S263" s="59">
        <v>46237.0</v>
      </c>
      <c r="T263" s="59">
        <v>46251.0</v>
      </c>
      <c r="U263" s="48"/>
      <c r="V263" s="50" t="s">
        <v>1321</v>
      </c>
      <c r="W263" s="48"/>
      <c r="X263" s="50" t="s">
        <v>12</v>
      </c>
      <c r="Y263" s="50" t="s">
        <v>1322</v>
      </c>
      <c r="Z263" s="50">
        <v>3.040329227E9</v>
      </c>
      <c r="AA263" s="50" t="s">
        <v>13</v>
      </c>
      <c r="AB263" s="50" t="s">
        <v>1447</v>
      </c>
      <c r="AC263" s="50" t="s">
        <v>1911</v>
      </c>
      <c r="AD263" s="48"/>
      <c r="AE263" s="48"/>
      <c r="AF263" s="48"/>
      <c r="AG263" s="48"/>
    </row>
    <row r="264">
      <c r="A264" s="47">
        <f>COUNTIF('Histórico'!$B:$B,B264)</f>
        <v>1</v>
      </c>
      <c r="B264" s="47" t="s">
        <v>1228</v>
      </c>
      <c r="C264" s="48"/>
      <c r="D264" s="50" t="s">
        <v>1314</v>
      </c>
      <c r="E264" s="50" t="s">
        <v>1315</v>
      </c>
      <c r="F264" s="59">
        <v>46251.0</v>
      </c>
      <c r="G264" s="50" t="s">
        <v>1316</v>
      </c>
      <c r="H264" s="59">
        <v>46251.0</v>
      </c>
      <c r="I264" s="47" t="s">
        <v>1724</v>
      </c>
      <c r="J264" s="47" t="s">
        <v>48</v>
      </c>
      <c r="K264" s="47" t="s">
        <v>1725</v>
      </c>
      <c r="L264" s="60" t="s">
        <v>1912</v>
      </c>
      <c r="M264" s="48"/>
      <c r="N264" s="48"/>
      <c r="O264" s="48"/>
      <c r="P264" s="48"/>
      <c r="Q264" s="50">
        <v>1.0</v>
      </c>
      <c r="R264" s="59">
        <v>46231.0</v>
      </c>
      <c r="S264" s="59">
        <v>46237.0</v>
      </c>
      <c r="T264" s="59">
        <v>46251.0</v>
      </c>
      <c r="U264" s="48"/>
      <c r="V264" s="50" t="s">
        <v>1321</v>
      </c>
      <c r="W264" s="48"/>
      <c r="X264" s="50" t="s">
        <v>12</v>
      </c>
      <c r="Y264" s="50" t="s">
        <v>1322</v>
      </c>
      <c r="Z264" s="50">
        <v>3.040328927E9</v>
      </c>
      <c r="AA264" s="50" t="s">
        <v>16</v>
      </c>
      <c r="AB264" s="50" t="s">
        <v>1551</v>
      </c>
      <c r="AC264" s="50" t="s">
        <v>1552</v>
      </c>
      <c r="AD264" s="48"/>
      <c r="AE264" s="48"/>
      <c r="AF264" s="48"/>
      <c r="AG264" s="48"/>
    </row>
    <row r="265">
      <c r="A265" s="47">
        <f>COUNTIF('Histórico'!$B:$B,B265)</f>
        <v>1</v>
      </c>
      <c r="B265" s="47" t="s">
        <v>1229</v>
      </c>
      <c r="C265" s="48"/>
      <c r="D265" s="50" t="s">
        <v>1314</v>
      </c>
      <c r="E265" s="50" t="s">
        <v>1315</v>
      </c>
      <c r="F265" s="59">
        <v>46251.0</v>
      </c>
      <c r="G265" s="50" t="s">
        <v>1316</v>
      </c>
      <c r="H265" s="59">
        <v>46251.0</v>
      </c>
      <c r="I265" s="47" t="s">
        <v>1724</v>
      </c>
      <c r="J265" s="47" t="s">
        <v>48</v>
      </c>
      <c r="K265" s="47" t="s">
        <v>1725</v>
      </c>
      <c r="L265" s="60" t="s">
        <v>1913</v>
      </c>
      <c r="M265" s="48"/>
      <c r="N265" s="48"/>
      <c r="O265" s="48"/>
      <c r="P265" s="48"/>
      <c r="Q265" s="50">
        <v>1.0</v>
      </c>
      <c r="R265" s="59">
        <v>46231.0</v>
      </c>
      <c r="S265" s="59">
        <v>46237.0</v>
      </c>
      <c r="T265" s="59">
        <v>46251.0</v>
      </c>
      <c r="U265" s="48"/>
      <c r="V265" s="50" t="s">
        <v>1321</v>
      </c>
      <c r="W265" s="48"/>
      <c r="X265" s="50" t="s">
        <v>12</v>
      </c>
      <c r="Y265" s="50" t="s">
        <v>1322</v>
      </c>
      <c r="Z265" s="50">
        <v>3.040328928E9</v>
      </c>
      <c r="AA265" s="50" t="s">
        <v>16</v>
      </c>
      <c r="AB265" s="50" t="s">
        <v>1551</v>
      </c>
      <c r="AC265" s="50" t="s">
        <v>1552</v>
      </c>
      <c r="AD265" s="48"/>
      <c r="AE265" s="48"/>
      <c r="AF265" s="48"/>
      <c r="AG265" s="48"/>
    </row>
    <row r="266">
      <c r="A266" s="47">
        <f>COUNTIF('Histórico'!$B:$B,B266)</f>
        <v>1</v>
      </c>
      <c r="B266" s="47" t="s">
        <v>1217</v>
      </c>
      <c r="C266" s="48"/>
      <c r="D266" s="50" t="s">
        <v>1314</v>
      </c>
      <c r="E266" s="50" t="s">
        <v>1315</v>
      </c>
      <c r="F266" s="59">
        <v>46252.0</v>
      </c>
      <c r="G266" s="50" t="s">
        <v>1316</v>
      </c>
      <c r="H266" s="59">
        <v>46252.0</v>
      </c>
      <c r="I266" s="47" t="s">
        <v>131</v>
      </c>
      <c r="J266" s="47" t="s">
        <v>48</v>
      </c>
      <c r="K266" s="47" t="s">
        <v>1408</v>
      </c>
      <c r="L266" s="60" t="s">
        <v>1914</v>
      </c>
      <c r="M266" s="48"/>
      <c r="N266" s="48"/>
      <c r="O266" s="48"/>
      <c r="P266" s="48"/>
      <c r="Q266" s="50">
        <v>1.0</v>
      </c>
      <c r="R266" s="59">
        <v>46231.0</v>
      </c>
      <c r="S266" s="59">
        <v>46237.0</v>
      </c>
      <c r="T266" s="59">
        <v>46252.0</v>
      </c>
      <c r="U266" s="48"/>
      <c r="V266" s="50" t="s">
        <v>1321</v>
      </c>
      <c r="W266" s="48"/>
      <c r="X266" s="50" t="s">
        <v>12</v>
      </c>
      <c r="Y266" s="50" t="s">
        <v>1322</v>
      </c>
      <c r="Z266" s="50">
        <v>3.040308003E9</v>
      </c>
      <c r="AA266" s="50" t="s">
        <v>14</v>
      </c>
      <c r="AB266" s="50" t="s">
        <v>1470</v>
      </c>
      <c r="AC266" s="50" t="s">
        <v>1471</v>
      </c>
      <c r="AD266" s="48"/>
      <c r="AE266" s="48"/>
      <c r="AF266" s="48"/>
      <c r="AG266" s="48"/>
    </row>
    <row r="267">
      <c r="A267" s="47">
        <f>COUNTIF('Histórico'!$B:$B,B267)</f>
        <v>1</v>
      </c>
      <c r="B267" s="47" t="s">
        <v>1216</v>
      </c>
      <c r="C267" s="48"/>
      <c r="D267" s="50" t="s">
        <v>1314</v>
      </c>
      <c r="E267" s="50" t="s">
        <v>1315</v>
      </c>
      <c r="F267" s="59">
        <v>46252.0</v>
      </c>
      <c r="G267" s="50" t="s">
        <v>1316</v>
      </c>
      <c r="H267" s="59">
        <v>46252.0</v>
      </c>
      <c r="I267" s="47" t="s">
        <v>131</v>
      </c>
      <c r="J267" s="47" t="s">
        <v>48</v>
      </c>
      <c r="K267" s="47" t="s">
        <v>1408</v>
      </c>
      <c r="L267" s="60" t="s">
        <v>1915</v>
      </c>
      <c r="M267" s="48"/>
      <c r="N267" s="48"/>
      <c r="O267" s="48"/>
      <c r="P267" s="48"/>
      <c r="Q267" s="50">
        <v>1.0</v>
      </c>
      <c r="R267" s="59">
        <v>46231.0</v>
      </c>
      <c r="S267" s="59">
        <v>46237.0</v>
      </c>
      <c r="T267" s="59">
        <v>46252.0</v>
      </c>
      <c r="U267" s="48"/>
      <c r="V267" s="50" t="s">
        <v>1321</v>
      </c>
      <c r="W267" s="48"/>
      <c r="X267" s="50" t="s">
        <v>12</v>
      </c>
      <c r="Y267" s="50" t="s">
        <v>1322</v>
      </c>
      <c r="Z267" s="50">
        <v>3.040306738E9</v>
      </c>
      <c r="AA267" s="50" t="s">
        <v>13</v>
      </c>
      <c r="AB267" s="50" t="s">
        <v>1377</v>
      </c>
      <c r="AC267" s="50" t="s">
        <v>1792</v>
      </c>
      <c r="AD267" s="48"/>
      <c r="AE267" s="48"/>
      <c r="AF267" s="48"/>
      <c r="AG267" s="48"/>
    </row>
    <row r="268">
      <c r="A268" s="47">
        <f>COUNTIF('Histórico'!$B:$B,B268)</f>
        <v>1</v>
      </c>
      <c r="B268" s="47" t="s">
        <v>1215</v>
      </c>
      <c r="C268" s="48"/>
      <c r="D268" s="50" t="s">
        <v>1314</v>
      </c>
      <c r="E268" s="50" t="s">
        <v>1315</v>
      </c>
      <c r="F268" s="59">
        <v>46252.0</v>
      </c>
      <c r="G268" s="50" t="s">
        <v>1316</v>
      </c>
      <c r="H268" s="59">
        <v>46252.0</v>
      </c>
      <c r="I268" s="47" t="s">
        <v>131</v>
      </c>
      <c r="J268" s="47" t="s">
        <v>48</v>
      </c>
      <c r="K268" s="47" t="s">
        <v>1408</v>
      </c>
      <c r="L268" s="60" t="s">
        <v>1916</v>
      </c>
      <c r="M268" s="48"/>
      <c r="N268" s="48"/>
      <c r="O268" s="48"/>
      <c r="P268" s="48"/>
      <c r="Q268" s="50">
        <v>1.0</v>
      </c>
      <c r="R268" s="59">
        <v>46231.0</v>
      </c>
      <c r="S268" s="59">
        <v>46237.0</v>
      </c>
      <c r="T268" s="59">
        <v>46252.0</v>
      </c>
      <c r="U268" s="48"/>
      <c r="V268" s="50" t="s">
        <v>1321</v>
      </c>
      <c r="W268" s="48"/>
      <c r="X268" s="50" t="s">
        <v>12</v>
      </c>
      <c r="Y268" s="50" t="s">
        <v>1322</v>
      </c>
      <c r="Z268" s="50">
        <v>3.040297627E9</v>
      </c>
      <c r="AA268" s="50" t="s">
        <v>17</v>
      </c>
      <c r="AB268" s="50" t="s">
        <v>1343</v>
      </c>
      <c r="AC268" s="50" t="s">
        <v>1344</v>
      </c>
      <c r="AD268" s="48"/>
      <c r="AE268" s="48"/>
      <c r="AF268" s="48"/>
      <c r="AG268" s="48"/>
    </row>
    <row r="269">
      <c r="A269" s="47">
        <f>COUNTIF('Histórico'!$B:$B,B269)</f>
        <v>1</v>
      </c>
      <c r="B269" s="47" t="s">
        <v>1214</v>
      </c>
      <c r="C269" s="48"/>
      <c r="D269" s="50" t="s">
        <v>1314</v>
      </c>
      <c r="E269" s="50" t="s">
        <v>1315</v>
      </c>
      <c r="F269" s="59">
        <v>46252.0</v>
      </c>
      <c r="G269" s="50" t="s">
        <v>1316</v>
      </c>
      <c r="H269" s="59">
        <v>46252.0</v>
      </c>
      <c r="I269" s="47" t="s">
        <v>131</v>
      </c>
      <c r="J269" s="47" t="s">
        <v>48</v>
      </c>
      <c r="K269" s="47" t="s">
        <v>1408</v>
      </c>
      <c r="L269" s="60" t="s">
        <v>1917</v>
      </c>
      <c r="M269" s="48"/>
      <c r="N269" s="48"/>
      <c r="O269" s="48"/>
      <c r="P269" s="48"/>
      <c r="Q269" s="50">
        <v>1.0</v>
      </c>
      <c r="R269" s="59">
        <v>46231.0</v>
      </c>
      <c r="S269" s="59">
        <v>46237.0</v>
      </c>
      <c r="T269" s="59">
        <v>46252.0</v>
      </c>
      <c r="U269" s="48"/>
      <c r="V269" s="50" t="s">
        <v>1321</v>
      </c>
      <c r="W269" s="48"/>
      <c r="X269" s="50" t="s">
        <v>12</v>
      </c>
      <c r="Y269" s="50" t="s">
        <v>1322</v>
      </c>
      <c r="Z269" s="50">
        <v>3.040294656E9</v>
      </c>
      <c r="AA269" s="50" t="s">
        <v>12</v>
      </c>
      <c r="AB269" s="50" t="s">
        <v>1385</v>
      </c>
      <c r="AC269" s="50" t="s">
        <v>1918</v>
      </c>
      <c r="AD269" s="48"/>
      <c r="AE269" s="48"/>
      <c r="AF269" s="48"/>
      <c r="AG269" s="48"/>
    </row>
    <row r="270">
      <c r="A270" s="47">
        <f>COUNTIF('Histórico'!$B:$B,B270)</f>
        <v>1</v>
      </c>
      <c r="B270" s="47" t="s">
        <v>1212</v>
      </c>
      <c r="C270" s="48"/>
      <c r="D270" s="50" t="s">
        <v>1314</v>
      </c>
      <c r="E270" s="50" t="s">
        <v>1315</v>
      </c>
      <c r="F270" s="59">
        <v>46252.0</v>
      </c>
      <c r="G270" s="50" t="s">
        <v>1316</v>
      </c>
      <c r="H270" s="59">
        <v>46252.0</v>
      </c>
      <c r="I270" s="47" t="s">
        <v>131</v>
      </c>
      <c r="J270" s="47" t="s">
        <v>48</v>
      </c>
      <c r="K270" s="47" t="s">
        <v>1408</v>
      </c>
      <c r="L270" s="60" t="s">
        <v>1919</v>
      </c>
      <c r="M270" s="48"/>
      <c r="N270" s="48"/>
      <c r="O270" s="48"/>
      <c r="P270" s="48"/>
      <c r="Q270" s="50">
        <v>1.0</v>
      </c>
      <c r="R270" s="59">
        <v>46231.0</v>
      </c>
      <c r="S270" s="59">
        <v>46231.0</v>
      </c>
      <c r="T270" s="59">
        <v>46252.0</v>
      </c>
      <c r="U270" s="48"/>
      <c r="V270" s="50" t="s">
        <v>1321</v>
      </c>
      <c r="W270" s="48"/>
      <c r="X270" s="50" t="s">
        <v>12</v>
      </c>
      <c r="Y270" s="50" t="s">
        <v>1322</v>
      </c>
      <c r="Z270" s="50">
        <v>3.040285201E9</v>
      </c>
      <c r="AA270" s="50" t="s">
        <v>19</v>
      </c>
      <c r="AB270" s="50" t="s">
        <v>1402</v>
      </c>
      <c r="AC270" s="50" t="s">
        <v>1888</v>
      </c>
      <c r="AD270" s="48"/>
      <c r="AE270" s="48"/>
      <c r="AF270" s="48"/>
      <c r="AG270" s="48"/>
    </row>
    <row r="271">
      <c r="A271" s="47">
        <f>COUNTIF('Histórico'!$B:$B,B271)</f>
        <v>1</v>
      </c>
      <c r="B271" s="47" t="s">
        <v>1248</v>
      </c>
      <c r="C271" s="48"/>
      <c r="D271" s="50" t="s">
        <v>1314</v>
      </c>
      <c r="E271" s="50" t="s">
        <v>1315</v>
      </c>
      <c r="F271" s="59">
        <v>46252.0</v>
      </c>
      <c r="G271" s="50" t="s">
        <v>1316</v>
      </c>
      <c r="H271" s="59">
        <v>46252.0</v>
      </c>
      <c r="I271" s="47" t="s">
        <v>171</v>
      </c>
      <c r="J271" s="47" t="s">
        <v>48</v>
      </c>
      <c r="K271" s="47" t="s">
        <v>1370</v>
      </c>
      <c r="L271" s="60" t="s">
        <v>1920</v>
      </c>
      <c r="M271" s="48"/>
      <c r="N271" s="48"/>
      <c r="O271" s="48"/>
      <c r="P271" s="48"/>
      <c r="Q271" s="50">
        <v>1.0</v>
      </c>
      <c r="R271" s="59">
        <v>46244.0</v>
      </c>
      <c r="S271" s="59">
        <v>46248.0</v>
      </c>
      <c r="T271" s="59">
        <v>46252.0</v>
      </c>
      <c r="U271" s="48"/>
      <c r="V271" s="50" t="s">
        <v>1321</v>
      </c>
      <c r="W271" s="48"/>
      <c r="X271" s="50" t="s">
        <v>12</v>
      </c>
      <c r="Y271" s="50" t="s">
        <v>1322</v>
      </c>
      <c r="Z271" s="50">
        <v>3.040319889E9</v>
      </c>
      <c r="AA271" s="50" t="s">
        <v>17</v>
      </c>
      <c r="AB271" s="50" t="s">
        <v>1458</v>
      </c>
      <c r="AC271" s="50" t="s">
        <v>1459</v>
      </c>
      <c r="AD271" s="50"/>
      <c r="AE271" s="48"/>
      <c r="AF271" s="48"/>
      <c r="AG271" s="48"/>
    </row>
    <row r="272">
      <c r="A272" s="47">
        <f>COUNTIF('Histórico'!$B:$B,B272)</f>
        <v>1</v>
      </c>
      <c r="B272" s="47" t="s">
        <v>1213</v>
      </c>
      <c r="C272" s="48"/>
      <c r="D272" s="50" t="s">
        <v>1314</v>
      </c>
      <c r="E272" s="50" t="s">
        <v>1315</v>
      </c>
      <c r="F272" s="59">
        <v>46252.0</v>
      </c>
      <c r="G272" s="50" t="s">
        <v>1316</v>
      </c>
      <c r="H272" s="59">
        <v>46252.0</v>
      </c>
      <c r="I272" s="47" t="s">
        <v>131</v>
      </c>
      <c r="J272" s="47" t="s">
        <v>48</v>
      </c>
      <c r="K272" s="47" t="s">
        <v>1408</v>
      </c>
      <c r="L272" s="60" t="s">
        <v>1921</v>
      </c>
      <c r="M272" s="48"/>
      <c r="N272" s="48"/>
      <c r="O272" s="48"/>
      <c r="P272" s="48"/>
      <c r="Q272" s="50">
        <v>1.0</v>
      </c>
      <c r="R272" s="59">
        <v>46231.0</v>
      </c>
      <c r="S272" s="59">
        <v>46237.0</v>
      </c>
      <c r="T272" s="59">
        <v>46252.0</v>
      </c>
      <c r="U272" s="48"/>
      <c r="V272" s="50" t="s">
        <v>1321</v>
      </c>
      <c r="W272" s="48"/>
      <c r="X272" s="50" t="s">
        <v>12</v>
      </c>
      <c r="Y272" s="50" t="s">
        <v>1322</v>
      </c>
      <c r="Z272" s="50">
        <v>3.040289265E9</v>
      </c>
      <c r="AA272" s="50" t="s">
        <v>24</v>
      </c>
      <c r="AB272" s="50" t="s">
        <v>1359</v>
      </c>
      <c r="AC272" s="50" t="s">
        <v>1360</v>
      </c>
      <c r="AD272" s="50"/>
      <c r="AE272" s="48"/>
      <c r="AF272" s="48"/>
      <c r="AG272" s="48"/>
    </row>
    <row r="273">
      <c r="A273" s="47">
        <f>COUNTIF('Histórico'!$B:$B,B273)</f>
        <v>1</v>
      </c>
      <c r="B273" s="47" t="s">
        <v>1249</v>
      </c>
      <c r="C273" s="48"/>
      <c r="D273" s="50" t="s">
        <v>1314</v>
      </c>
      <c r="E273" s="50" t="s">
        <v>1315</v>
      </c>
      <c r="F273" s="59">
        <v>46252.0</v>
      </c>
      <c r="G273" s="50" t="s">
        <v>1316</v>
      </c>
      <c r="H273" s="59">
        <v>46252.0</v>
      </c>
      <c r="I273" s="47" t="s">
        <v>171</v>
      </c>
      <c r="J273" s="47" t="s">
        <v>48</v>
      </c>
      <c r="K273" s="47" t="s">
        <v>1370</v>
      </c>
      <c r="L273" s="60" t="s">
        <v>1922</v>
      </c>
      <c r="M273" s="48"/>
      <c r="N273" s="48"/>
      <c r="O273" s="48"/>
      <c r="P273" s="48"/>
      <c r="Q273" s="50">
        <v>1.0</v>
      </c>
      <c r="R273" s="59">
        <v>46244.0</v>
      </c>
      <c r="S273" s="59">
        <v>46248.0</v>
      </c>
      <c r="T273" s="59">
        <v>46252.0</v>
      </c>
      <c r="U273" s="48"/>
      <c r="V273" s="50" t="s">
        <v>1321</v>
      </c>
      <c r="W273" s="48"/>
      <c r="X273" s="50" t="s">
        <v>12</v>
      </c>
      <c r="Y273" s="50" t="s">
        <v>1322</v>
      </c>
      <c r="Z273" s="50">
        <v>3.040323969E9</v>
      </c>
      <c r="AA273" s="50" t="s">
        <v>12</v>
      </c>
      <c r="AB273" s="50" t="s">
        <v>1322</v>
      </c>
      <c r="AC273" s="50" t="s">
        <v>1369</v>
      </c>
      <c r="AD273" s="48"/>
      <c r="AE273" s="48"/>
      <c r="AF273" s="48"/>
      <c r="AG273" s="48"/>
    </row>
    <row r="274">
      <c r="A274" s="47">
        <f>COUNTIF('Histórico'!$B:$B,B274)</f>
        <v>1</v>
      </c>
      <c r="B274" s="47" t="s">
        <v>1247</v>
      </c>
      <c r="C274" s="48"/>
      <c r="D274" s="50" t="s">
        <v>1314</v>
      </c>
      <c r="E274" s="50" t="s">
        <v>1315</v>
      </c>
      <c r="F274" s="59">
        <v>46252.0</v>
      </c>
      <c r="G274" s="50" t="s">
        <v>1316</v>
      </c>
      <c r="H274" s="59">
        <v>46252.0</v>
      </c>
      <c r="I274" s="47" t="s">
        <v>171</v>
      </c>
      <c r="J274" s="47" t="s">
        <v>48</v>
      </c>
      <c r="K274" s="47" t="s">
        <v>1370</v>
      </c>
      <c r="L274" s="60" t="s">
        <v>1923</v>
      </c>
      <c r="M274" s="48"/>
      <c r="N274" s="48"/>
      <c r="O274" s="48"/>
      <c r="P274" s="48"/>
      <c r="Q274" s="50">
        <v>1.0</v>
      </c>
      <c r="R274" s="59">
        <v>46244.0</v>
      </c>
      <c r="S274" s="59">
        <v>46248.0</v>
      </c>
      <c r="T274" s="59">
        <v>46252.0</v>
      </c>
      <c r="U274" s="48"/>
      <c r="V274" s="50" t="s">
        <v>1321</v>
      </c>
      <c r="W274" s="48"/>
      <c r="X274" s="50" t="s">
        <v>12</v>
      </c>
      <c r="Y274" s="50" t="s">
        <v>1322</v>
      </c>
      <c r="Z274" s="50">
        <v>3.040313181E9</v>
      </c>
      <c r="AA274" s="50" t="s">
        <v>12</v>
      </c>
      <c r="AB274" s="50" t="s">
        <v>1322</v>
      </c>
      <c r="AC274" s="50" t="s">
        <v>1434</v>
      </c>
      <c r="AD274" s="48"/>
      <c r="AE274" s="48"/>
      <c r="AF274" s="48"/>
      <c r="AG274" s="48"/>
    </row>
    <row r="275">
      <c r="A275" s="47">
        <f>COUNTIF('Histórico'!$B:$B,B275)</f>
        <v>1</v>
      </c>
      <c r="B275" s="47" t="s">
        <v>1209</v>
      </c>
      <c r="C275" s="48"/>
      <c r="D275" s="50" t="s">
        <v>1314</v>
      </c>
      <c r="E275" s="50" t="s">
        <v>1315</v>
      </c>
      <c r="F275" s="59">
        <v>46252.0</v>
      </c>
      <c r="G275" s="50" t="s">
        <v>1316</v>
      </c>
      <c r="H275" s="59">
        <v>46252.0</v>
      </c>
      <c r="I275" s="47" t="s">
        <v>1590</v>
      </c>
      <c r="J275" s="47" t="s">
        <v>1318</v>
      </c>
      <c r="K275" s="47" t="s">
        <v>1591</v>
      </c>
      <c r="L275" s="60" t="s">
        <v>1924</v>
      </c>
      <c r="M275" s="48"/>
      <c r="N275" s="48"/>
      <c r="O275" s="48"/>
      <c r="P275" s="48"/>
      <c r="Q275" s="50">
        <v>1.0</v>
      </c>
      <c r="R275" s="59">
        <v>46231.0</v>
      </c>
      <c r="S275" s="59">
        <v>46237.0</v>
      </c>
      <c r="T275" s="59">
        <v>46252.0</v>
      </c>
      <c r="U275" s="48"/>
      <c r="V275" s="50" t="s">
        <v>1321</v>
      </c>
      <c r="W275" s="48"/>
      <c r="X275" s="50" t="s">
        <v>12</v>
      </c>
      <c r="Y275" s="50" t="s">
        <v>1322</v>
      </c>
      <c r="Z275" s="50">
        <v>3.040324061E9</v>
      </c>
      <c r="AA275" s="50" t="s">
        <v>17</v>
      </c>
      <c r="AB275" s="50" t="s">
        <v>1458</v>
      </c>
      <c r="AC275" s="50" t="s">
        <v>1689</v>
      </c>
      <c r="AD275" s="50"/>
      <c r="AE275" s="48"/>
      <c r="AF275" s="48"/>
      <c r="AG275" s="48"/>
    </row>
    <row r="276">
      <c r="A276" s="47">
        <f>COUNTIF('Histórico'!$B:$B,B276)</f>
        <v>1</v>
      </c>
      <c r="B276" s="47" t="s">
        <v>1196</v>
      </c>
      <c r="C276" s="48"/>
      <c r="D276" s="50" t="s">
        <v>1314</v>
      </c>
      <c r="E276" s="50" t="s">
        <v>1315</v>
      </c>
      <c r="F276" s="59">
        <v>46252.0</v>
      </c>
      <c r="G276" s="50" t="s">
        <v>1316</v>
      </c>
      <c r="H276" s="59">
        <v>46252.0</v>
      </c>
      <c r="I276" s="47" t="s">
        <v>127</v>
      </c>
      <c r="J276" s="47" t="s">
        <v>232</v>
      </c>
      <c r="K276" s="47" t="s">
        <v>128</v>
      </c>
      <c r="L276" s="60" t="s">
        <v>1925</v>
      </c>
      <c r="M276" s="48"/>
      <c r="N276" s="48"/>
      <c r="O276" s="48"/>
      <c r="P276" s="48"/>
      <c r="Q276" s="50">
        <v>1.0</v>
      </c>
      <c r="R276" s="59">
        <v>46230.0</v>
      </c>
      <c r="S276" s="59">
        <v>46234.0</v>
      </c>
      <c r="T276" s="59">
        <v>46252.0</v>
      </c>
      <c r="U276" s="48"/>
      <c r="V276" s="50" t="s">
        <v>1321</v>
      </c>
      <c r="W276" s="48"/>
      <c r="X276" s="50" t="s">
        <v>12</v>
      </c>
      <c r="Y276" s="50" t="s">
        <v>1322</v>
      </c>
      <c r="Z276" s="50">
        <v>3.040312961E9</v>
      </c>
      <c r="AA276" s="50" t="s">
        <v>12</v>
      </c>
      <c r="AB276" s="50" t="s">
        <v>1322</v>
      </c>
      <c r="AC276" s="50" t="s">
        <v>1434</v>
      </c>
      <c r="AD276" s="47"/>
      <c r="AE276" s="48"/>
      <c r="AF276" s="48"/>
      <c r="AG276" s="48"/>
    </row>
    <row r="277">
      <c r="A277" s="47">
        <f>COUNTIF('Histórico'!$B:$B,B277)</f>
        <v>1</v>
      </c>
      <c r="B277" s="47" t="s">
        <v>1211</v>
      </c>
      <c r="C277" s="48"/>
      <c r="D277" s="50" t="s">
        <v>1314</v>
      </c>
      <c r="E277" s="50" t="s">
        <v>1315</v>
      </c>
      <c r="F277" s="59">
        <v>46252.0</v>
      </c>
      <c r="G277" s="50" t="s">
        <v>1316</v>
      </c>
      <c r="H277" s="59">
        <v>46252.0</v>
      </c>
      <c r="I277" s="47" t="s">
        <v>1590</v>
      </c>
      <c r="J277" s="47" t="s">
        <v>1318</v>
      </c>
      <c r="K277" s="47" t="s">
        <v>1591</v>
      </c>
      <c r="L277" s="60" t="s">
        <v>1926</v>
      </c>
      <c r="M277" s="48"/>
      <c r="N277" s="48"/>
      <c r="O277" s="48"/>
      <c r="P277" s="48"/>
      <c r="Q277" s="50">
        <v>1.0</v>
      </c>
      <c r="R277" s="59">
        <v>46231.0</v>
      </c>
      <c r="S277" s="59">
        <v>46237.0</v>
      </c>
      <c r="T277" s="59">
        <v>46252.0</v>
      </c>
      <c r="U277" s="48"/>
      <c r="V277" s="50" t="s">
        <v>1321</v>
      </c>
      <c r="W277" s="48"/>
      <c r="X277" s="50" t="s">
        <v>12</v>
      </c>
      <c r="Y277" s="50" t="s">
        <v>1322</v>
      </c>
      <c r="Z277" s="50">
        <v>3.040326257E9</v>
      </c>
      <c r="AA277" s="50" t="s">
        <v>21</v>
      </c>
      <c r="AB277" s="50" t="s">
        <v>1359</v>
      </c>
      <c r="AC277" s="50" t="s">
        <v>1927</v>
      </c>
      <c r="AD277" s="48"/>
      <c r="AE277" s="48"/>
      <c r="AF277" s="48"/>
      <c r="AG277" s="48"/>
    </row>
    <row r="278">
      <c r="A278" s="47">
        <f>COUNTIF('Histórico'!$B:$B,B278)</f>
        <v>1</v>
      </c>
      <c r="B278" s="47" t="s">
        <v>1210</v>
      </c>
      <c r="C278" s="48"/>
      <c r="D278" s="50" t="s">
        <v>1314</v>
      </c>
      <c r="E278" s="50" t="s">
        <v>1315</v>
      </c>
      <c r="F278" s="59">
        <v>46252.0</v>
      </c>
      <c r="G278" s="50" t="s">
        <v>1316</v>
      </c>
      <c r="H278" s="59">
        <v>46252.0</v>
      </c>
      <c r="I278" s="47" t="s">
        <v>1590</v>
      </c>
      <c r="J278" s="47" t="s">
        <v>1318</v>
      </c>
      <c r="K278" s="47" t="s">
        <v>1591</v>
      </c>
      <c r="L278" s="60" t="s">
        <v>1928</v>
      </c>
      <c r="M278" s="48"/>
      <c r="N278" s="48"/>
      <c r="O278" s="48"/>
      <c r="P278" s="48"/>
      <c r="Q278" s="50">
        <v>1.0</v>
      </c>
      <c r="R278" s="59">
        <v>46231.0</v>
      </c>
      <c r="S278" s="59">
        <v>46237.0</v>
      </c>
      <c r="T278" s="59">
        <v>46252.0</v>
      </c>
      <c r="U278" s="48"/>
      <c r="V278" s="50" t="s">
        <v>1321</v>
      </c>
      <c r="W278" s="48"/>
      <c r="X278" s="50" t="s">
        <v>12</v>
      </c>
      <c r="Y278" s="50" t="s">
        <v>1322</v>
      </c>
      <c r="Z278" s="50">
        <v>3.040325526E9</v>
      </c>
      <c r="AA278" s="50" t="s">
        <v>24</v>
      </c>
      <c r="AB278" s="50" t="s">
        <v>1359</v>
      </c>
      <c r="AC278" s="50" t="s">
        <v>1360</v>
      </c>
      <c r="AD278" s="48"/>
      <c r="AE278" s="48"/>
      <c r="AF278" s="48"/>
      <c r="AG278" s="48"/>
    </row>
    <row r="279">
      <c r="A279" s="47">
        <f>COUNTIF('Histórico'!$B:$B,B279)</f>
        <v>1</v>
      </c>
      <c r="B279" s="47" t="s">
        <v>1195</v>
      </c>
      <c r="C279" s="48"/>
      <c r="D279" s="50" t="s">
        <v>1314</v>
      </c>
      <c r="E279" s="50" t="s">
        <v>1315</v>
      </c>
      <c r="F279" s="59">
        <v>46252.0</v>
      </c>
      <c r="G279" s="50" t="s">
        <v>1316</v>
      </c>
      <c r="H279" s="59">
        <v>46252.0</v>
      </c>
      <c r="I279" s="47" t="s">
        <v>127</v>
      </c>
      <c r="J279" s="47" t="s">
        <v>232</v>
      </c>
      <c r="K279" s="47" t="s">
        <v>128</v>
      </c>
      <c r="L279" s="60" t="s">
        <v>1929</v>
      </c>
      <c r="M279" s="48"/>
      <c r="N279" s="48"/>
      <c r="O279" s="48"/>
      <c r="P279" s="48"/>
      <c r="Q279" s="50">
        <v>1.0</v>
      </c>
      <c r="R279" s="59">
        <v>46230.0</v>
      </c>
      <c r="S279" s="59">
        <v>46234.0</v>
      </c>
      <c r="T279" s="59">
        <v>46252.0</v>
      </c>
      <c r="U279" s="48"/>
      <c r="V279" s="50" t="s">
        <v>1321</v>
      </c>
      <c r="W279" s="48"/>
      <c r="X279" s="50" t="s">
        <v>12</v>
      </c>
      <c r="Y279" s="50" t="s">
        <v>1322</v>
      </c>
      <c r="Z279" s="50">
        <v>3.04031289E9</v>
      </c>
      <c r="AA279" s="50" t="s">
        <v>12</v>
      </c>
      <c r="AB279" s="50" t="s">
        <v>1322</v>
      </c>
      <c r="AC279" s="50" t="s">
        <v>1434</v>
      </c>
      <c r="AD279" s="48"/>
      <c r="AE279" s="48"/>
      <c r="AF279" s="48"/>
      <c r="AG279" s="48"/>
    </row>
    <row r="280">
      <c r="A280" s="47">
        <f>COUNTIF('Histórico'!$B:$B,B280)</f>
        <v>1</v>
      </c>
      <c r="B280" s="47" t="s">
        <v>1208</v>
      </c>
      <c r="C280" s="48"/>
      <c r="D280" s="50" t="s">
        <v>1314</v>
      </c>
      <c r="E280" s="50" t="s">
        <v>1315</v>
      </c>
      <c r="F280" s="59">
        <v>46252.0</v>
      </c>
      <c r="G280" s="50" t="s">
        <v>1316</v>
      </c>
      <c r="H280" s="59">
        <v>46252.0</v>
      </c>
      <c r="I280" s="47" t="s">
        <v>1590</v>
      </c>
      <c r="J280" s="47" t="s">
        <v>1318</v>
      </c>
      <c r="K280" s="47" t="s">
        <v>1591</v>
      </c>
      <c r="L280" s="60" t="s">
        <v>1930</v>
      </c>
      <c r="M280" s="48"/>
      <c r="N280" s="48"/>
      <c r="O280" s="48"/>
      <c r="P280" s="48"/>
      <c r="Q280" s="50">
        <v>1.0</v>
      </c>
      <c r="R280" s="59">
        <v>46231.0</v>
      </c>
      <c r="S280" s="59">
        <v>46237.0</v>
      </c>
      <c r="T280" s="59">
        <v>46252.0</v>
      </c>
      <c r="U280" s="48"/>
      <c r="V280" s="50" t="s">
        <v>1321</v>
      </c>
      <c r="W280" s="48"/>
      <c r="X280" s="50" t="s">
        <v>12</v>
      </c>
      <c r="Y280" s="50" t="s">
        <v>1322</v>
      </c>
      <c r="Z280" s="50">
        <v>3.040323038E9</v>
      </c>
      <c r="AA280" s="50" t="s">
        <v>14</v>
      </c>
      <c r="AB280" s="50" t="s">
        <v>1470</v>
      </c>
      <c r="AC280" s="50" t="s">
        <v>1471</v>
      </c>
      <c r="AD280" s="48"/>
      <c r="AE280" s="48"/>
      <c r="AF280" s="48"/>
      <c r="AG280" s="48"/>
    </row>
    <row r="281">
      <c r="A281" s="47">
        <f>COUNTIF('Histórico'!$B:$B,B281)</f>
        <v>1</v>
      </c>
      <c r="B281" s="47" t="s">
        <v>1232</v>
      </c>
      <c r="C281" s="48"/>
      <c r="D281" s="50" t="s">
        <v>1314</v>
      </c>
      <c r="E281" s="50" t="s">
        <v>1315</v>
      </c>
      <c r="F281" s="59">
        <v>46252.0</v>
      </c>
      <c r="G281" s="50" t="s">
        <v>1316</v>
      </c>
      <c r="H281" s="59">
        <v>46252.0</v>
      </c>
      <c r="I281" s="47" t="s">
        <v>1931</v>
      </c>
      <c r="J281" s="47" t="s">
        <v>1318</v>
      </c>
      <c r="K281" s="47" t="s">
        <v>1782</v>
      </c>
      <c r="L281" s="60" t="s">
        <v>1932</v>
      </c>
      <c r="M281" s="48"/>
      <c r="N281" s="48"/>
      <c r="O281" s="48"/>
      <c r="P281" s="48"/>
      <c r="Q281" s="50">
        <v>1.0</v>
      </c>
      <c r="R281" s="59">
        <v>46231.0</v>
      </c>
      <c r="S281" s="59">
        <v>46237.0</v>
      </c>
      <c r="T281" s="59">
        <v>46252.0</v>
      </c>
      <c r="U281" s="48"/>
      <c r="V281" s="50" t="s">
        <v>1321</v>
      </c>
      <c r="W281" s="48"/>
      <c r="X281" s="50" t="s">
        <v>12</v>
      </c>
      <c r="Y281" s="50" t="s">
        <v>1322</v>
      </c>
      <c r="Z281" s="50">
        <v>3.040312895E9</v>
      </c>
      <c r="AA281" s="50" t="s">
        <v>12</v>
      </c>
      <c r="AB281" s="50" t="s">
        <v>1322</v>
      </c>
      <c r="AC281" s="50" t="s">
        <v>1434</v>
      </c>
      <c r="AD281" s="48"/>
      <c r="AE281" s="48"/>
      <c r="AF281" s="48"/>
      <c r="AG281" s="48"/>
    </row>
    <row r="282">
      <c r="A282" s="47">
        <f>COUNTIF('Histórico'!$B:$B,B282)</f>
        <v>1</v>
      </c>
      <c r="B282" s="47" t="s">
        <v>1233</v>
      </c>
      <c r="C282" s="48"/>
      <c r="D282" s="50" t="s">
        <v>1314</v>
      </c>
      <c r="E282" s="50" t="s">
        <v>1315</v>
      </c>
      <c r="F282" s="59">
        <v>46252.0</v>
      </c>
      <c r="G282" s="50" t="s">
        <v>1316</v>
      </c>
      <c r="H282" s="59">
        <v>46252.0</v>
      </c>
      <c r="I282" s="47" t="s">
        <v>1931</v>
      </c>
      <c r="J282" s="47" t="s">
        <v>1318</v>
      </c>
      <c r="K282" s="47" t="s">
        <v>1782</v>
      </c>
      <c r="L282" s="60" t="s">
        <v>1933</v>
      </c>
      <c r="M282" s="48"/>
      <c r="N282" s="48"/>
      <c r="O282" s="48"/>
      <c r="P282" s="48"/>
      <c r="Q282" s="50">
        <v>1.0</v>
      </c>
      <c r="R282" s="59">
        <v>46231.0</v>
      </c>
      <c r="S282" s="59">
        <v>46237.0</v>
      </c>
      <c r="T282" s="59">
        <v>46252.0</v>
      </c>
      <c r="U282" s="48"/>
      <c r="V282" s="50" t="s">
        <v>1321</v>
      </c>
      <c r="W282" s="48"/>
      <c r="X282" s="50" t="s">
        <v>12</v>
      </c>
      <c r="Y282" s="50" t="s">
        <v>1322</v>
      </c>
      <c r="Z282" s="50">
        <v>3.040312896E9</v>
      </c>
      <c r="AA282" s="50" t="s">
        <v>12</v>
      </c>
      <c r="AB282" s="50" t="s">
        <v>1322</v>
      </c>
      <c r="AC282" s="50" t="s">
        <v>1434</v>
      </c>
      <c r="AD282" s="48"/>
      <c r="AE282" s="48"/>
      <c r="AF282" s="48"/>
      <c r="AG282" s="48"/>
    </row>
    <row r="283">
      <c r="A283" s="47">
        <f>COUNTIF('Histórico'!$B:$B,B283)</f>
        <v>1</v>
      </c>
      <c r="B283" s="47" t="s">
        <v>1218</v>
      </c>
      <c r="C283" s="48"/>
      <c r="D283" s="50" t="s">
        <v>1314</v>
      </c>
      <c r="E283" s="50" t="s">
        <v>1315</v>
      </c>
      <c r="F283" s="59">
        <v>46252.0</v>
      </c>
      <c r="G283" s="50" t="s">
        <v>1316</v>
      </c>
      <c r="H283" s="59">
        <v>46252.0</v>
      </c>
      <c r="I283" s="47" t="s">
        <v>1781</v>
      </c>
      <c r="J283" s="47" t="s">
        <v>1318</v>
      </c>
      <c r="K283" s="47" t="s">
        <v>1782</v>
      </c>
      <c r="L283" s="60" t="s">
        <v>1934</v>
      </c>
      <c r="M283" s="48"/>
      <c r="N283" s="48"/>
      <c r="O283" s="48"/>
      <c r="P283" s="48"/>
      <c r="Q283" s="50">
        <v>1.0</v>
      </c>
      <c r="R283" s="59">
        <v>46231.0</v>
      </c>
      <c r="S283" s="59">
        <v>46237.0</v>
      </c>
      <c r="T283" s="59">
        <v>46252.0</v>
      </c>
      <c r="U283" s="48"/>
      <c r="V283" s="50" t="s">
        <v>1321</v>
      </c>
      <c r="W283" s="48"/>
      <c r="X283" s="50" t="s">
        <v>12</v>
      </c>
      <c r="Y283" s="50" t="s">
        <v>1322</v>
      </c>
      <c r="Z283" s="50">
        <v>3.040308519E9</v>
      </c>
      <c r="AA283" s="50" t="s">
        <v>15</v>
      </c>
      <c r="AB283" s="50" t="s">
        <v>1348</v>
      </c>
      <c r="AC283" s="50" t="s">
        <v>1584</v>
      </c>
      <c r="AD283" s="48"/>
      <c r="AE283" s="48"/>
      <c r="AF283" s="48"/>
      <c r="AG283" s="48"/>
    </row>
    <row r="284">
      <c r="A284" s="47">
        <f>COUNTIF('Histórico'!$B:$B,B284)</f>
        <v>1</v>
      </c>
      <c r="B284" s="47" t="s">
        <v>1220</v>
      </c>
      <c r="C284" s="48"/>
      <c r="D284" s="50" t="s">
        <v>1314</v>
      </c>
      <c r="E284" s="50" t="s">
        <v>1315</v>
      </c>
      <c r="F284" s="59">
        <v>46252.0</v>
      </c>
      <c r="G284" s="50" t="s">
        <v>1316</v>
      </c>
      <c r="H284" s="59">
        <v>46252.0</v>
      </c>
      <c r="I284" s="47" t="s">
        <v>1781</v>
      </c>
      <c r="J284" s="47" t="s">
        <v>1318</v>
      </c>
      <c r="K284" s="47" t="s">
        <v>1782</v>
      </c>
      <c r="L284" s="60" t="s">
        <v>1935</v>
      </c>
      <c r="M284" s="48"/>
      <c r="N284" s="48"/>
      <c r="O284" s="48"/>
      <c r="P284" s="48"/>
      <c r="Q284" s="50">
        <v>1.0</v>
      </c>
      <c r="R284" s="59">
        <v>46231.0</v>
      </c>
      <c r="S284" s="59">
        <v>46237.0</v>
      </c>
      <c r="T284" s="59">
        <v>46252.0</v>
      </c>
      <c r="U284" s="48"/>
      <c r="V284" s="50" t="s">
        <v>1321</v>
      </c>
      <c r="W284" s="48"/>
      <c r="X284" s="50" t="s">
        <v>12</v>
      </c>
      <c r="Y284" s="50" t="s">
        <v>1322</v>
      </c>
      <c r="Z284" s="50">
        <v>3.040312888E9</v>
      </c>
      <c r="AA284" s="50" t="s">
        <v>12</v>
      </c>
      <c r="AB284" s="50" t="s">
        <v>1322</v>
      </c>
      <c r="AC284" s="50" t="s">
        <v>1434</v>
      </c>
      <c r="AD284" s="47"/>
      <c r="AE284" s="48"/>
      <c r="AF284" s="48"/>
      <c r="AG284" s="48"/>
    </row>
    <row r="285">
      <c r="A285" s="47">
        <f>COUNTIF('Histórico'!$B:$B,B285)</f>
        <v>1</v>
      </c>
      <c r="B285" s="47" t="s">
        <v>1219</v>
      </c>
      <c r="C285" s="48"/>
      <c r="D285" s="50" t="s">
        <v>1314</v>
      </c>
      <c r="E285" s="50" t="s">
        <v>1315</v>
      </c>
      <c r="F285" s="59">
        <v>46252.0</v>
      </c>
      <c r="G285" s="50" t="s">
        <v>1316</v>
      </c>
      <c r="H285" s="59">
        <v>46252.0</v>
      </c>
      <c r="I285" s="47" t="s">
        <v>1781</v>
      </c>
      <c r="J285" s="47" t="s">
        <v>1318</v>
      </c>
      <c r="K285" s="47" t="s">
        <v>1782</v>
      </c>
      <c r="L285" s="60" t="s">
        <v>1936</v>
      </c>
      <c r="M285" s="48"/>
      <c r="N285" s="48"/>
      <c r="O285" s="48"/>
      <c r="P285" s="48"/>
      <c r="Q285" s="50">
        <v>1.0</v>
      </c>
      <c r="R285" s="59">
        <v>46231.0</v>
      </c>
      <c r="S285" s="59">
        <v>46237.0</v>
      </c>
      <c r="T285" s="59">
        <v>46252.0</v>
      </c>
      <c r="U285" s="48"/>
      <c r="V285" s="50" t="s">
        <v>1321</v>
      </c>
      <c r="W285" s="48"/>
      <c r="X285" s="50" t="s">
        <v>12</v>
      </c>
      <c r="Y285" s="50" t="s">
        <v>1322</v>
      </c>
      <c r="Z285" s="50">
        <v>3.040310009E9</v>
      </c>
      <c r="AA285" s="50" t="s">
        <v>16</v>
      </c>
      <c r="AB285" s="50" t="s">
        <v>1331</v>
      </c>
      <c r="AC285" s="50" t="s">
        <v>1332</v>
      </c>
      <c r="AD285" s="48"/>
      <c r="AE285" s="48"/>
      <c r="AF285" s="48"/>
      <c r="AG285" s="48"/>
    </row>
    <row r="286">
      <c r="A286" s="47">
        <f>COUNTIF('Histórico'!$B:$B,B286)</f>
        <v>1</v>
      </c>
      <c r="B286" s="47" t="s">
        <v>1222</v>
      </c>
      <c r="C286" s="48"/>
      <c r="D286" s="50" t="s">
        <v>1314</v>
      </c>
      <c r="E286" s="50" t="s">
        <v>1315</v>
      </c>
      <c r="F286" s="59">
        <v>46252.0</v>
      </c>
      <c r="G286" s="50" t="s">
        <v>1316</v>
      </c>
      <c r="H286" s="59">
        <v>46252.0</v>
      </c>
      <c r="I286" s="47" t="s">
        <v>149</v>
      </c>
      <c r="J286" s="47" t="s">
        <v>1318</v>
      </c>
      <c r="K286" s="47" t="s">
        <v>1785</v>
      </c>
      <c r="L286" s="60" t="s">
        <v>1937</v>
      </c>
      <c r="M286" s="48"/>
      <c r="N286" s="48"/>
      <c r="O286" s="48"/>
      <c r="P286" s="48"/>
      <c r="Q286" s="50">
        <v>1.0</v>
      </c>
      <c r="R286" s="59">
        <v>46231.0</v>
      </c>
      <c r="S286" s="59">
        <v>46237.0</v>
      </c>
      <c r="T286" s="59">
        <v>46252.0</v>
      </c>
      <c r="U286" s="48"/>
      <c r="V286" s="50" t="s">
        <v>1321</v>
      </c>
      <c r="W286" s="48"/>
      <c r="X286" s="50" t="s">
        <v>12</v>
      </c>
      <c r="Y286" s="50" t="s">
        <v>1322</v>
      </c>
      <c r="Z286" s="50">
        <v>3.040313662E9</v>
      </c>
      <c r="AA286" s="50" t="s">
        <v>12</v>
      </c>
      <c r="AB286" s="50" t="s">
        <v>1322</v>
      </c>
      <c r="AC286" s="50" t="s">
        <v>1434</v>
      </c>
      <c r="AD286" s="48"/>
      <c r="AE286" s="48"/>
      <c r="AF286" s="48"/>
      <c r="AG286" s="48"/>
    </row>
    <row r="287">
      <c r="A287" s="47">
        <f>COUNTIF('Histórico'!$B:$B,B287)</f>
        <v>1</v>
      </c>
      <c r="B287" s="47" t="s">
        <v>1221</v>
      </c>
      <c r="C287" s="48"/>
      <c r="D287" s="50" t="s">
        <v>1314</v>
      </c>
      <c r="E287" s="50" t="s">
        <v>1315</v>
      </c>
      <c r="F287" s="59">
        <v>46252.0</v>
      </c>
      <c r="G287" s="50" t="s">
        <v>1316</v>
      </c>
      <c r="H287" s="59">
        <v>46252.0</v>
      </c>
      <c r="I287" s="47" t="s">
        <v>149</v>
      </c>
      <c r="J287" s="47" t="s">
        <v>1318</v>
      </c>
      <c r="K287" s="47" t="s">
        <v>1785</v>
      </c>
      <c r="L287" s="60" t="s">
        <v>1938</v>
      </c>
      <c r="M287" s="48"/>
      <c r="N287" s="48"/>
      <c r="O287" s="48"/>
      <c r="P287" s="48"/>
      <c r="Q287" s="50">
        <v>1.0</v>
      </c>
      <c r="R287" s="59">
        <v>46231.0</v>
      </c>
      <c r="S287" s="59">
        <v>46237.0</v>
      </c>
      <c r="T287" s="59">
        <v>46252.0</v>
      </c>
      <c r="U287" s="48"/>
      <c r="V287" s="50" t="s">
        <v>1321</v>
      </c>
      <c r="W287" s="48"/>
      <c r="X287" s="50" t="s">
        <v>12</v>
      </c>
      <c r="Y287" s="50" t="s">
        <v>1322</v>
      </c>
      <c r="Z287" s="50">
        <v>3.040313661E9</v>
      </c>
      <c r="AA287" s="50" t="s">
        <v>12</v>
      </c>
      <c r="AB287" s="50" t="s">
        <v>1322</v>
      </c>
      <c r="AC287" s="50" t="s">
        <v>1434</v>
      </c>
      <c r="AD287" s="48"/>
      <c r="AE287" s="48"/>
      <c r="AF287" s="48"/>
      <c r="AG287" s="48"/>
    </row>
    <row r="288">
      <c r="A288" s="47">
        <f>COUNTIF('Histórico'!$B:$B,B288)</f>
        <v>1</v>
      </c>
      <c r="B288" s="47" t="s">
        <v>1206</v>
      </c>
      <c r="C288" s="48"/>
      <c r="D288" s="50" t="s">
        <v>1314</v>
      </c>
      <c r="E288" s="50" t="s">
        <v>1315</v>
      </c>
      <c r="F288" s="59">
        <v>46252.0</v>
      </c>
      <c r="G288" s="50" t="s">
        <v>1316</v>
      </c>
      <c r="H288" s="59">
        <v>46252.0</v>
      </c>
      <c r="I288" s="47" t="s">
        <v>123</v>
      </c>
      <c r="J288" s="47" t="s">
        <v>1318</v>
      </c>
      <c r="K288" s="47" t="s">
        <v>1506</v>
      </c>
      <c r="L288" s="60" t="s">
        <v>1939</v>
      </c>
      <c r="M288" s="48"/>
      <c r="N288" s="48"/>
      <c r="O288" s="48"/>
      <c r="P288" s="48"/>
      <c r="Q288" s="50">
        <v>1.0</v>
      </c>
      <c r="R288" s="59">
        <v>46231.0</v>
      </c>
      <c r="S288" s="59">
        <v>46237.0</v>
      </c>
      <c r="T288" s="59">
        <v>46252.0</v>
      </c>
      <c r="U288" s="48"/>
      <c r="V288" s="50" t="s">
        <v>1321</v>
      </c>
      <c r="W288" s="48"/>
      <c r="X288" s="50" t="s">
        <v>12</v>
      </c>
      <c r="Y288" s="50" t="s">
        <v>1322</v>
      </c>
      <c r="Z288" s="50">
        <v>3.040326958E9</v>
      </c>
      <c r="AA288" s="50" t="s">
        <v>21</v>
      </c>
      <c r="AB288" s="50" t="s">
        <v>1359</v>
      </c>
      <c r="AC288" s="50" t="s">
        <v>1795</v>
      </c>
      <c r="AD288" s="48"/>
      <c r="AE288" s="48"/>
      <c r="AF288" s="48"/>
      <c r="AG288" s="48"/>
    </row>
    <row r="289">
      <c r="A289" s="47">
        <f>COUNTIF('Histórico'!$B:$B,B289)</f>
        <v>1</v>
      </c>
      <c r="B289" s="47" t="s">
        <v>1205</v>
      </c>
      <c r="C289" s="48"/>
      <c r="D289" s="50" t="s">
        <v>1314</v>
      </c>
      <c r="E289" s="50" t="s">
        <v>1315</v>
      </c>
      <c r="F289" s="59">
        <v>46252.0</v>
      </c>
      <c r="G289" s="50" t="s">
        <v>1316</v>
      </c>
      <c r="H289" s="59">
        <v>46252.0</v>
      </c>
      <c r="I289" s="47" t="s">
        <v>123</v>
      </c>
      <c r="J289" s="47" t="s">
        <v>1318</v>
      </c>
      <c r="K289" s="47" t="s">
        <v>1506</v>
      </c>
      <c r="L289" s="60" t="s">
        <v>1940</v>
      </c>
      <c r="M289" s="48"/>
      <c r="N289" s="48"/>
      <c r="O289" s="48"/>
      <c r="P289" s="48"/>
      <c r="Q289" s="50">
        <v>1.0</v>
      </c>
      <c r="R289" s="59">
        <v>46231.0</v>
      </c>
      <c r="S289" s="59">
        <v>46237.0</v>
      </c>
      <c r="T289" s="59">
        <v>46252.0</v>
      </c>
      <c r="U289" s="48"/>
      <c r="V289" s="50" t="s">
        <v>1321</v>
      </c>
      <c r="W289" s="48"/>
      <c r="X289" s="50" t="s">
        <v>12</v>
      </c>
      <c r="Y289" s="50" t="s">
        <v>1322</v>
      </c>
      <c r="Z289" s="50">
        <v>3.040316667E9</v>
      </c>
      <c r="AA289" s="50" t="s">
        <v>12</v>
      </c>
      <c r="AB289" s="50" t="s">
        <v>1322</v>
      </c>
      <c r="AC289" s="50" t="s">
        <v>1434</v>
      </c>
      <c r="AD289" s="48"/>
      <c r="AE289" s="48"/>
      <c r="AF289" s="48"/>
      <c r="AG289" s="48"/>
    </row>
    <row r="290">
      <c r="A290" s="47">
        <f>COUNTIF('Histórico'!$B:$B,B290)</f>
        <v>1</v>
      </c>
      <c r="B290" s="47" t="s">
        <v>1235</v>
      </c>
      <c r="C290" s="48"/>
      <c r="D290" s="50" t="s">
        <v>1314</v>
      </c>
      <c r="E290" s="50" t="s">
        <v>1315</v>
      </c>
      <c r="F290" s="59">
        <v>46253.0</v>
      </c>
      <c r="G290" s="50" t="s">
        <v>1316</v>
      </c>
      <c r="H290" s="59">
        <v>46253.0</v>
      </c>
      <c r="I290" s="47" t="s">
        <v>1941</v>
      </c>
      <c r="J290" s="47" t="s">
        <v>1942</v>
      </c>
      <c r="K290" s="47" t="s">
        <v>1943</v>
      </c>
      <c r="L290" s="60" t="s">
        <v>1944</v>
      </c>
      <c r="M290" s="48"/>
      <c r="N290" s="48"/>
      <c r="O290" s="48"/>
      <c r="P290" s="48"/>
      <c r="Q290" s="50">
        <v>1.0</v>
      </c>
      <c r="R290" s="59">
        <v>46232.0</v>
      </c>
      <c r="S290" s="59">
        <v>46238.0</v>
      </c>
      <c r="T290" s="59">
        <v>46253.0</v>
      </c>
      <c r="U290" s="48"/>
      <c r="V290" s="50" t="s">
        <v>1321</v>
      </c>
      <c r="W290" s="48"/>
      <c r="X290" s="50" t="s">
        <v>12</v>
      </c>
      <c r="Y290" s="50" t="s">
        <v>1322</v>
      </c>
      <c r="Z290" s="50">
        <v>3.040325543E9</v>
      </c>
      <c r="AA290" s="50" t="s">
        <v>20</v>
      </c>
      <c r="AB290" s="50" t="s">
        <v>1649</v>
      </c>
      <c r="AC290" s="50" t="s">
        <v>1945</v>
      </c>
      <c r="AD290" s="48"/>
      <c r="AE290" s="48"/>
      <c r="AF290" s="48"/>
      <c r="AG290" s="48"/>
    </row>
    <row r="291">
      <c r="A291" s="47">
        <f>COUNTIF('Histórico'!$B:$B,B291)</f>
        <v>1</v>
      </c>
      <c r="B291" s="47" t="s">
        <v>1236</v>
      </c>
      <c r="C291" s="48"/>
      <c r="D291" s="50" t="s">
        <v>1314</v>
      </c>
      <c r="E291" s="50" t="s">
        <v>1315</v>
      </c>
      <c r="F291" s="59">
        <v>46253.0</v>
      </c>
      <c r="G291" s="50" t="s">
        <v>1316</v>
      </c>
      <c r="H291" s="59">
        <v>46253.0</v>
      </c>
      <c r="I291" s="47" t="s">
        <v>1946</v>
      </c>
      <c r="J291" s="47" t="s">
        <v>48</v>
      </c>
      <c r="K291" s="47" t="s">
        <v>1947</v>
      </c>
      <c r="L291" s="60" t="s">
        <v>1948</v>
      </c>
      <c r="M291" s="48"/>
      <c r="N291" s="48"/>
      <c r="O291" s="48"/>
      <c r="P291" s="48"/>
      <c r="Q291" s="50">
        <v>1.0</v>
      </c>
      <c r="R291" s="59">
        <v>46232.0</v>
      </c>
      <c r="S291" s="59">
        <v>46238.0</v>
      </c>
      <c r="T291" s="59">
        <v>46253.0</v>
      </c>
      <c r="U291" s="48"/>
      <c r="V291" s="50" t="s">
        <v>1321</v>
      </c>
      <c r="W291" s="48"/>
      <c r="X291" s="50" t="s">
        <v>12</v>
      </c>
      <c r="Y291" s="50" t="s">
        <v>1322</v>
      </c>
      <c r="Z291" s="50">
        <v>3.040326169E9</v>
      </c>
      <c r="AA291" s="50" t="s">
        <v>12</v>
      </c>
      <c r="AB291" s="50" t="s">
        <v>1385</v>
      </c>
      <c r="AC291" s="50" t="s">
        <v>1949</v>
      </c>
      <c r="AD291" s="47"/>
      <c r="AE291" s="48"/>
      <c r="AF291" s="48"/>
      <c r="AG291" s="48"/>
    </row>
    <row r="292">
      <c r="A292" s="47">
        <f>COUNTIF('Histórico'!$B:$B,B292)</f>
        <v>1</v>
      </c>
      <c r="B292" s="47" t="s">
        <v>1237</v>
      </c>
      <c r="C292" s="48"/>
      <c r="D292" s="50" t="s">
        <v>1314</v>
      </c>
      <c r="E292" s="50" t="s">
        <v>1315</v>
      </c>
      <c r="F292" s="59">
        <v>46253.0</v>
      </c>
      <c r="G292" s="50" t="s">
        <v>1316</v>
      </c>
      <c r="H292" s="59">
        <v>46253.0</v>
      </c>
      <c r="I292" s="47" t="s">
        <v>1946</v>
      </c>
      <c r="J292" s="47" t="s">
        <v>48</v>
      </c>
      <c r="K292" s="47" t="s">
        <v>1947</v>
      </c>
      <c r="L292" s="60" t="s">
        <v>1950</v>
      </c>
      <c r="M292" s="48"/>
      <c r="N292" s="48"/>
      <c r="O292" s="48"/>
      <c r="P292" s="48"/>
      <c r="Q292" s="50">
        <v>1.0</v>
      </c>
      <c r="R292" s="59">
        <v>46232.0</v>
      </c>
      <c r="S292" s="59">
        <v>46238.0</v>
      </c>
      <c r="T292" s="59">
        <v>46253.0</v>
      </c>
      <c r="U292" s="48"/>
      <c r="V292" s="50" t="s">
        <v>1321</v>
      </c>
      <c r="W292" s="48"/>
      <c r="X292" s="50" t="s">
        <v>12</v>
      </c>
      <c r="Y292" s="50" t="s">
        <v>1322</v>
      </c>
      <c r="Z292" s="50">
        <v>3.040328944E9</v>
      </c>
      <c r="AA292" s="50" t="s">
        <v>12</v>
      </c>
      <c r="AB292" s="50" t="s">
        <v>1385</v>
      </c>
      <c r="AC292" s="50" t="s">
        <v>1949</v>
      </c>
      <c r="AD292" s="48"/>
      <c r="AE292" s="48"/>
      <c r="AF292" s="48"/>
      <c r="AG292" s="48"/>
    </row>
    <row r="293">
      <c r="A293" s="47">
        <f>COUNTIF('Histórico'!$B:$B,B293)</f>
        <v>1</v>
      </c>
      <c r="B293" s="47" t="s">
        <v>1251</v>
      </c>
      <c r="C293" s="48"/>
      <c r="D293" s="50" t="s">
        <v>1314</v>
      </c>
      <c r="E293" s="50" t="s">
        <v>1315</v>
      </c>
      <c r="F293" s="59">
        <v>46254.0</v>
      </c>
      <c r="G293" s="50" t="s">
        <v>1316</v>
      </c>
      <c r="H293" s="59">
        <v>46254.0</v>
      </c>
      <c r="I293" s="47" t="s">
        <v>1745</v>
      </c>
      <c r="J293" s="47" t="s">
        <v>1318</v>
      </c>
      <c r="K293" s="47" t="s">
        <v>1746</v>
      </c>
      <c r="L293" s="60" t="s">
        <v>1951</v>
      </c>
      <c r="M293" s="48"/>
      <c r="N293" s="48"/>
      <c r="O293" s="48"/>
      <c r="P293" s="48"/>
      <c r="Q293" s="50">
        <v>1.0</v>
      </c>
      <c r="R293" s="59">
        <v>46253.0</v>
      </c>
      <c r="S293" s="59">
        <v>46259.0</v>
      </c>
      <c r="T293" s="59">
        <v>46254.0</v>
      </c>
      <c r="U293" s="48"/>
      <c r="V293" s="50" t="s">
        <v>1321</v>
      </c>
      <c r="W293" s="48"/>
      <c r="X293" s="50" t="s">
        <v>12</v>
      </c>
      <c r="Y293" s="50" t="s">
        <v>1322</v>
      </c>
      <c r="Z293" s="50">
        <v>3.040324236E9</v>
      </c>
      <c r="AA293" s="50" t="s">
        <v>17</v>
      </c>
      <c r="AB293" s="50" t="s">
        <v>1458</v>
      </c>
      <c r="AC293" s="50" t="s">
        <v>1689</v>
      </c>
      <c r="AD293" s="48"/>
      <c r="AE293" s="48"/>
      <c r="AF293" s="48"/>
      <c r="AG293" s="48"/>
    </row>
    <row r="294">
      <c r="A294" s="47">
        <f>COUNTIF('Histórico'!$B:$B,B294)</f>
        <v>1</v>
      </c>
      <c r="B294" s="47" t="s">
        <v>1250</v>
      </c>
      <c r="C294" s="48"/>
      <c r="D294" s="50" t="s">
        <v>1314</v>
      </c>
      <c r="E294" s="50" t="s">
        <v>1315</v>
      </c>
      <c r="F294" s="59">
        <v>46254.0</v>
      </c>
      <c r="G294" s="50" t="s">
        <v>1316</v>
      </c>
      <c r="H294" s="59">
        <v>46254.0</v>
      </c>
      <c r="I294" s="47" t="s">
        <v>1745</v>
      </c>
      <c r="J294" s="47" t="s">
        <v>1318</v>
      </c>
      <c r="K294" s="47" t="s">
        <v>1746</v>
      </c>
      <c r="L294" s="60" t="s">
        <v>1952</v>
      </c>
      <c r="M294" s="48"/>
      <c r="N294" s="48"/>
      <c r="O294" s="48"/>
      <c r="P294" s="48"/>
      <c r="Q294" s="50">
        <v>1.0</v>
      </c>
      <c r="R294" s="59">
        <v>46253.0</v>
      </c>
      <c r="S294" s="59">
        <v>46259.0</v>
      </c>
      <c r="T294" s="59">
        <v>46254.0</v>
      </c>
      <c r="U294" s="48"/>
      <c r="V294" s="50" t="s">
        <v>1321</v>
      </c>
      <c r="W294" s="48"/>
      <c r="X294" s="50" t="s">
        <v>12</v>
      </c>
      <c r="Y294" s="50" t="s">
        <v>1322</v>
      </c>
      <c r="Z294" s="50">
        <v>3.040323974E9</v>
      </c>
      <c r="AA294" s="50" t="s">
        <v>12</v>
      </c>
      <c r="AB294" s="50" t="s">
        <v>1322</v>
      </c>
      <c r="AC294" s="50" t="s">
        <v>1369</v>
      </c>
      <c r="AD294" s="48"/>
      <c r="AE294" s="48"/>
      <c r="AF294" s="48"/>
      <c r="AG294" s="48"/>
    </row>
    <row r="295">
      <c r="A295" s="47">
        <f>COUNTIF('Histórico'!$B:$B,B295)</f>
        <v>1</v>
      </c>
      <c r="B295" s="47" t="s">
        <v>1252</v>
      </c>
      <c r="C295" s="48"/>
      <c r="D295" s="50" t="s">
        <v>1314</v>
      </c>
      <c r="E295" s="50" t="s">
        <v>1315</v>
      </c>
      <c r="F295" s="59">
        <v>46254.0</v>
      </c>
      <c r="G295" s="50" t="s">
        <v>1316</v>
      </c>
      <c r="H295" s="59">
        <v>46254.0</v>
      </c>
      <c r="I295" s="47" t="s">
        <v>1745</v>
      </c>
      <c r="J295" s="47" t="s">
        <v>1318</v>
      </c>
      <c r="K295" s="47" t="s">
        <v>1746</v>
      </c>
      <c r="L295" s="60" t="s">
        <v>1953</v>
      </c>
      <c r="M295" s="48"/>
      <c r="N295" s="48"/>
      <c r="O295" s="48"/>
      <c r="P295" s="48"/>
      <c r="Q295" s="50">
        <v>1.0</v>
      </c>
      <c r="R295" s="59">
        <v>46253.0</v>
      </c>
      <c r="S295" s="59">
        <v>46259.0</v>
      </c>
      <c r="T295" s="59">
        <v>46254.0</v>
      </c>
      <c r="U295" s="48"/>
      <c r="V295" s="50" t="s">
        <v>1321</v>
      </c>
      <c r="W295" s="48"/>
      <c r="X295" s="50" t="s">
        <v>12</v>
      </c>
      <c r="Y295" s="50" t="s">
        <v>1322</v>
      </c>
      <c r="Z295" s="50">
        <v>3.040323053E9</v>
      </c>
      <c r="AA295" s="50" t="s">
        <v>15</v>
      </c>
      <c r="AB295" s="50" t="s">
        <v>1348</v>
      </c>
      <c r="AC295" s="50" t="s">
        <v>1641</v>
      </c>
      <c r="AD295" s="48"/>
      <c r="AE295" s="48"/>
      <c r="AF295" s="48"/>
      <c r="AG295" s="48"/>
    </row>
    <row r="296">
      <c r="A296" s="47">
        <f>COUNTIF('Histórico'!$B:$B,B296)</f>
        <v>1</v>
      </c>
      <c r="B296" s="47" t="s">
        <v>1234</v>
      </c>
      <c r="C296" s="48"/>
      <c r="D296" s="50" t="s">
        <v>1314</v>
      </c>
      <c r="E296" s="50" t="s">
        <v>1315</v>
      </c>
      <c r="F296" s="59">
        <v>46260.0</v>
      </c>
      <c r="G296" s="50" t="s">
        <v>1316</v>
      </c>
      <c r="H296" s="59">
        <v>46260.0</v>
      </c>
      <c r="I296" s="47" t="s">
        <v>1460</v>
      </c>
      <c r="J296" s="47" t="s">
        <v>1345</v>
      </c>
      <c r="K296" s="47" t="s">
        <v>1461</v>
      </c>
      <c r="L296" s="60" t="s">
        <v>1954</v>
      </c>
      <c r="M296" s="48"/>
      <c r="N296" s="48"/>
      <c r="O296" s="48"/>
      <c r="P296" s="48"/>
      <c r="Q296" s="50">
        <v>1.0</v>
      </c>
      <c r="R296" s="59">
        <v>46231.0</v>
      </c>
      <c r="S296" s="59">
        <v>46237.0</v>
      </c>
      <c r="T296" s="59">
        <v>46260.0</v>
      </c>
      <c r="U296" s="48"/>
      <c r="V296" s="50" t="s">
        <v>1321</v>
      </c>
      <c r="W296" s="48"/>
      <c r="X296" s="50" t="s">
        <v>12</v>
      </c>
      <c r="Y296" s="50" t="s">
        <v>1322</v>
      </c>
      <c r="Z296" s="50">
        <v>3.040148938E9</v>
      </c>
      <c r="AA296" s="50" t="s">
        <v>1491</v>
      </c>
      <c r="AB296" s="50" t="s">
        <v>1492</v>
      </c>
      <c r="AC296" s="50" t="s">
        <v>1955</v>
      </c>
      <c r="AD296" s="48"/>
      <c r="AE296" s="48"/>
      <c r="AF296" s="48"/>
      <c r="AG296" s="48"/>
    </row>
    <row r="297">
      <c r="A297" s="47">
        <f>COUNTIF('Histórico'!$B:$B,B297)</f>
        <v>1</v>
      </c>
      <c r="B297" s="47" t="s">
        <v>1254</v>
      </c>
      <c r="C297" s="48"/>
      <c r="D297" s="50" t="s">
        <v>1314</v>
      </c>
      <c r="E297" s="50" t="s">
        <v>1315</v>
      </c>
      <c r="F297" s="59">
        <v>46265.0</v>
      </c>
      <c r="G297" s="50" t="s">
        <v>1316</v>
      </c>
      <c r="H297" s="59">
        <v>46265.0</v>
      </c>
      <c r="I297" s="47" t="s">
        <v>169</v>
      </c>
      <c r="J297" s="47" t="s">
        <v>48</v>
      </c>
      <c r="K297" s="47" t="s">
        <v>170</v>
      </c>
      <c r="L297" s="60" t="s">
        <v>1956</v>
      </c>
      <c r="M297" s="48"/>
      <c r="N297" s="48"/>
      <c r="O297" s="48"/>
      <c r="P297" s="48"/>
      <c r="Q297" s="50">
        <v>1.0</v>
      </c>
      <c r="R297" s="59">
        <v>46265.0</v>
      </c>
      <c r="S297" s="59">
        <v>46269.0</v>
      </c>
      <c r="T297" s="59">
        <v>46265.0</v>
      </c>
      <c r="U297" s="48"/>
      <c r="V297" s="50" t="s">
        <v>1321</v>
      </c>
      <c r="W297" s="48"/>
      <c r="X297" s="50" t="s">
        <v>12</v>
      </c>
      <c r="Y297" s="50" t="s">
        <v>1322</v>
      </c>
      <c r="Z297" s="50">
        <v>3.04023719E9</v>
      </c>
      <c r="AA297" s="50" t="s">
        <v>1376</v>
      </c>
      <c r="AB297" s="50" t="s">
        <v>1377</v>
      </c>
      <c r="AC297" s="50" t="s">
        <v>1369</v>
      </c>
      <c r="AD297" s="48"/>
      <c r="AE297" s="48"/>
      <c r="AF297" s="48"/>
      <c r="AG297" s="48"/>
    </row>
    <row r="298">
      <c r="A298" s="47">
        <f>COUNTIF('Histórico'!$B:$B,B298)</f>
        <v>1</v>
      </c>
      <c r="B298" s="47" t="s">
        <v>1255</v>
      </c>
      <c r="C298" s="48"/>
      <c r="D298" s="50" t="s">
        <v>1314</v>
      </c>
      <c r="E298" s="50" t="s">
        <v>1315</v>
      </c>
      <c r="F298" s="59">
        <v>46265.0</v>
      </c>
      <c r="G298" s="50" t="s">
        <v>1316</v>
      </c>
      <c r="H298" s="59">
        <v>46265.0</v>
      </c>
      <c r="I298" s="47" t="s">
        <v>169</v>
      </c>
      <c r="J298" s="47" t="s">
        <v>48</v>
      </c>
      <c r="K298" s="47" t="s">
        <v>170</v>
      </c>
      <c r="L298" s="60" t="s">
        <v>1957</v>
      </c>
      <c r="M298" s="48"/>
      <c r="N298" s="48"/>
      <c r="O298" s="48"/>
      <c r="P298" s="48"/>
      <c r="Q298" s="50">
        <v>1.0</v>
      </c>
      <c r="R298" s="59">
        <v>46265.0</v>
      </c>
      <c r="S298" s="59">
        <v>46269.0</v>
      </c>
      <c r="T298" s="59">
        <v>46265.0</v>
      </c>
      <c r="U298" s="48"/>
      <c r="V298" s="50" t="s">
        <v>1321</v>
      </c>
      <c r="W298" s="48"/>
      <c r="X298" s="50" t="s">
        <v>12</v>
      </c>
      <c r="Y298" s="50" t="s">
        <v>1322</v>
      </c>
      <c r="Z298" s="50">
        <v>3.040083159E9</v>
      </c>
      <c r="AA298" s="50" t="s">
        <v>12</v>
      </c>
      <c r="AB298" s="50" t="s">
        <v>1385</v>
      </c>
      <c r="AC298" s="50" t="s">
        <v>1835</v>
      </c>
      <c r="AD298" s="48"/>
      <c r="AE298" s="48"/>
      <c r="AF298" s="48"/>
      <c r="AG298" s="48"/>
    </row>
    <row r="299">
      <c r="A299" s="47">
        <f>COUNTIF('Histórico'!$B:$B,B299)</f>
        <v>1</v>
      </c>
      <c r="B299" s="47" t="s">
        <v>1253</v>
      </c>
      <c r="C299" s="48"/>
      <c r="D299" s="50" t="s">
        <v>1314</v>
      </c>
      <c r="E299" s="50" t="s">
        <v>1315</v>
      </c>
      <c r="F299" s="59">
        <v>46265.0</v>
      </c>
      <c r="G299" s="50" t="s">
        <v>1316</v>
      </c>
      <c r="H299" s="59">
        <v>46265.0</v>
      </c>
      <c r="I299" s="47" t="s">
        <v>169</v>
      </c>
      <c r="J299" s="47" t="s">
        <v>48</v>
      </c>
      <c r="K299" s="47" t="s">
        <v>170</v>
      </c>
      <c r="L299" s="60" t="s">
        <v>1958</v>
      </c>
      <c r="M299" s="48"/>
      <c r="N299" s="48"/>
      <c r="O299" s="48"/>
      <c r="P299" s="48"/>
      <c r="Q299" s="50">
        <v>1.0</v>
      </c>
      <c r="R299" s="59">
        <v>46265.0</v>
      </c>
      <c r="S299" s="59">
        <v>46293.0</v>
      </c>
      <c r="T299" s="59">
        <v>46265.0</v>
      </c>
      <c r="U299" s="48"/>
      <c r="V299" s="50" t="s">
        <v>1321</v>
      </c>
      <c r="W299" s="48"/>
      <c r="X299" s="50" t="s">
        <v>12</v>
      </c>
      <c r="Y299" s="50" t="s">
        <v>1322</v>
      </c>
      <c r="Z299" s="50">
        <v>3.040253768E9</v>
      </c>
      <c r="AA299" s="50" t="s">
        <v>12</v>
      </c>
      <c r="AB299" s="50" t="s">
        <v>1385</v>
      </c>
      <c r="AC299" s="50" t="s">
        <v>1959</v>
      </c>
      <c r="AD299" s="48"/>
      <c r="AE299" s="48"/>
      <c r="AF299" s="48"/>
      <c r="AG299" s="48"/>
    </row>
    <row r="300">
      <c r="A300" s="47">
        <f>COUNTIF('Histórico'!$B:$B,B300)</f>
        <v>1</v>
      </c>
      <c r="B300" s="47" t="s">
        <v>1256</v>
      </c>
      <c r="C300" s="48"/>
      <c r="D300" s="50" t="s">
        <v>1314</v>
      </c>
      <c r="E300" s="50" t="s">
        <v>1315</v>
      </c>
      <c r="F300" s="59">
        <v>46265.0</v>
      </c>
      <c r="G300" s="50" t="s">
        <v>1316</v>
      </c>
      <c r="H300" s="59">
        <v>46265.0</v>
      </c>
      <c r="I300" s="47" t="s">
        <v>169</v>
      </c>
      <c r="J300" s="47" t="s">
        <v>48</v>
      </c>
      <c r="K300" s="47" t="s">
        <v>170</v>
      </c>
      <c r="L300" s="60" t="s">
        <v>1960</v>
      </c>
      <c r="M300" s="48"/>
      <c r="N300" s="48"/>
      <c r="O300" s="48"/>
      <c r="P300" s="48"/>
      <c r="Q300" s="50">
        <v>1.0</v>
      </c>
      <c r="R300" s="59">
        <v>46265.0</v>
      </c>
      <c r="S300" s="59">
        <v>46269.0</v>
      </c>
      <c r="T300" s="59">
        <v>46265.0</v>
      </c>
      <c r="U300" s="48"/>
      <c r="V300" s="50" t="s">
        <v>1321</v>
      </c>
      <c r="W300" s="48"/>
      <c r="X300" s="50" t="s">
        <v>12</v>
      </c>
      <c r="Y300" s="50" t="s">
        <v>1322</v>
      </c>
      <c r="Z300" s="50">
        <v>3.040286561E9</v>
      </c>
      <c r="AA300" s="50" t="s">
        <v>19</v>
      </c>
      <c r="AB300" s="50" t="s">
        <v>1402</v>
      </c>
      <c r="AC300" s="50" t="s">
        <v>1427</v>
      </c>
      <c r="AD300" s="48"/>
      <c r="AE300" s="48"/>
      <c r="AF300" s="48"/>
      <c r="AG300" s="48"/>
    </row>
    <row r="301">
      <c r="A301" s="47">
        <f>COUNTIF('Histórico'!$B:$B,B301)</f>
        <v>1</v>
      </c>
      <c r="B301" s="47" t="s">
        <v>1257</v>
      </c>
      <c r="C301" s="48"/>
      <c r="D301" s="50" t="s">
        <v>1314</v>
      </c>
      <c r="E301" s="50" t="s">
        <v>1315</v>
      </c>
      <c r="F301" s="59">
        <v>46269.0</v>
      </c>
      <c r="G301" s="50" t="s">
        <v>1316</v>
      </c>
      <c r="H301" s="59">
        <v>46269.0</v>
      </c>
      <c r="I301" s="47" t="s">
        <v>1961</v>
      </c>
      <c r="J301" s="47" t="s">
        <v>48</v>
      </c>
      <c r="K301" s="47" t="s">
        <v>1671</v>
      </c>
      <c r="L301" s="60" t="s">
        <v>1962</v>
      </c>
      <c r="M301" s="48"/>
      <c r="N301" s="48"/>
      <c r="O301" s="48"/>
      <c r="P301" s="48"/>
      <c r="Q301" s="50">
        <v>1.0</v>
      </c>
      <c r="R301" s="59">
        <v>46268.0</v>
      </c>
      <c r="S301" s="59">
        <v>46275.0</v>
      </c>
      <c r="T301" s="59">
        <v>46269.0</v>
      </c>
      <c r="U301" s="48"/>
      <c r="V301" s="50" t="s">
        <v>1321</v>
      </c>
      <c r="W301" s="48"/>
      <c r="X301" s="50" t="s">
        <v>12</v>
      </c>
      <c r="Y301" s="50" t="s">
        <v>1322</v>
      </c>
      <c r="Z301" s="50">
        <v>3.040327226E9</v>
      </c>
      <c r="AA301" s="50" t="s">
        <v>16</v>
      </c>
      <c r="AB301" s="50" t="s">
        <v>1551</v>
      </c>
      <c r="AC301" s="50" t="s">
        <v>1552</v>
      </c>
      <c r="AD301" s="48"/>
      <c r="AE301" s="48"/>
      <c r="AF301" s="48"/>
      <c r="AG301" s="48"/>
    </row>
    <row r="302">
      <c r="A302" s="47">
        <f>COUNTIF('Histórico'!$B:$B,B302)</f>
        <v>1</v>
      </c>
      <c r="B302" s="47" t="s">
        <v>1258</v>
      </c>
      <c r="C302" s="48"/>
      <c r="D302" s="50" t="s">
        <v>1314</v>
      </c>
      <c r="E302" s="50" t="s">
        <v>1315</v>
      </c>
      <c r="F302" s="59">
        <v>46274.0</v>
      </c>
      <c r="G302" s="50" t="s">
        <v>1316</v>
      </c>
      <c r="H302" s="59">
        <v>46274.0</v>
      </c>
      <c r="I302" s="47" t="s">
        <v>1361</v>
      </c>
      <c r="J302" s="47" t="s">
        <v>48</v>
      </c>
      <c r="K302" s="47" t="s">
        <v>1362</v>
      </c>
      <c r="L302" s="60" t="s">
        <v>1963</v>
      </c>
      <c r="M302" s="48"/>
      <c r="N302" s="48"/>
      <c r="O302" s="48"/>
      <c r="P302" s="48"/>
      <c r="Q302" s="50">
        <v>1.0</v>
      </c>
      <c r="R302" s="59">
        <v>46273.0</v>
      </c>
      <c r="S302" s="59">
        <v>46279.0</v>
      </c>
      <c r="T302" s="59">
        <v>46274.0</v>
      </c>
      <c r="U302" s="48"/>
      <c r="V302" s="50" t="s">
        <v>1321</v>
      </c>
      <c r="W302" s="48"/>
      <c r="X302" s="50" t="s">
        <v>12</v>
      </c>
      <c r="Y302" s="50" t="s">
        <v>1322</v>
      </c>
      <c r="Z302" s="50">
        <v>3.040326247E9</v>
      </c>
      <c r="AA302" s="50" t="s">
        <v>12</v>
      </c>
      <c r="AB302" s="50" t="s">
        <v>1322</v>
      </c>
      <c r="AC302" s="50" t="s">
        <v>1336</v>
      </c>
      <c r="AD302" s="48"/>
      <c r="AE302" s="48"/>
      <c r="AF302" s="48"/>
      <c r="AG302" s="48"/>
    </row>
    <row r="303">
      <c r="A303" s="47">
        <f>COUNTIF('Histórico'!$B:$B,B303)</f>
        <v>1</v>
      </c>
      <c r="B303" s="47" t="s">
        <v>1259</v>
      </c>
      <c r="C303" s="48"/>
      <c r="D303" s="50" t="s">
        <v>1314</v>
      </c>
      <c r="E303" s="50" t="s">
        <v>1315</v>
      </c>
      <c r="F303" s="59">
        <v>46274.0</v>
      </c>
      <c r="G303" s="50" t="s">
        <v>1316</v>
      </c>
      <c r="H303" s="59">
        <v>46274.0</v>
      </c>
      <c r="I303" s="47" t="s">
        <v>1361</v>
      </c>
      <c r="J303" s="47" t="s">
        <v>48</v>
      </c>
      <c r="K303" s="47" t="s">
        <v>1362</v>
      </c>
      <c r="L303" s="60" t="s">
        <v>1964</v>
      </c>
      <c r="M303" s="48"/>
      <c r="N303" s="48"/>
      <c r="O303" s="48"/>
      <c r="P303" s="48"/>
      <c r="Q303" s="50">
        <v>1.0</v>
      </c>
      <c r="R303" s="59">
        <v>46273.0</v>
      </c>
      <c r="S303" s="59">
        <v>46279.0</v>
      </c>
      <c r="T303" s="59">
        <v>46274.0</v>
      </c>
      <c r="U303" s="48"/>
      <c r="V303" s="50" t="s">
        <v>1321</v>
      </c>
      <c r="W303" s="48"/>
      <c r="X303" s="50" t="s">
        <v>12</v>
      </c>
      <c r="Y303" s="50" t="s">
        <v>1322</v>
      </c>
      <c r="Z303" s="50">
        <v>3.040328239E9</v>
      </c>
      <c r="AA303" s="50" t="s">
        <v>17</v>
      </c>
      <c r="AB303" s="50" t="s">
        <v>1458</v>
      </c>
      <c r="AC303" s="50" t="s">
        <v>1965</v>
      </c>
      <c r="AD303" s="48"/>
      <c r="AE303" s="48"/>
      <c r="AF303" s="48"/>
      <c r="AG303" s="48"/>
    </row>
    <row r="304">
      <c r="A304" s="47">
        <f>COUNTIF('Histórico'!$B:$B,B304)</f>
        <v>1</v>
      </c>
      <c r="B304" s="47" t="s">
        <v>655</v>
      </c>
      <c r="C304" s="48"/>
      <c r="D304" s="50" t="s">
        <v>1314</v>
      </c>
      <c r="E304" s="50" t="s">
        <v>1315</v>
      </c>
      <c r="F304" s="59">
        <v>46274.0</v>
      </c>
      <c r="G304" s="50" t="s">
        <v>1316</v>
      </c>
      <c r="H304" s="59">
        <v>46274.0</v>
      </c>
      <c r="I304" s="47" t="s">
        <v>63</v>
      </c>
      <c r="J304" s="47" t="s">
        <v>1395</v>
      </c>
      <c r="K304" s="47" t="s">
        <v>1432</v>
      </c>
      <c r="L304" s="60" t="s">
        <v>1966</v>
      </c>
      <c r="M304" s="48"/>
      <c r="N304" s="48"/>
      <c r="O304" s="48"/>
      <c r="P304" s="48"/>
      <c r="Q304" s="50">
        <v>1.0</v>
      </c>
      <c r="R304" s="59">
        <v>45910.0</v>
      </c>
      <c r="S304" s="61">
        <v>45971.0</v>
      </c>
      <c r="T304" s="59">
        <v>46274.0</v>
      </c>
      <c r="U304" s="48"/>
      <c r="V304" s="50" t="s">
        <v>1321</v>
      </c>
      <c r="W304" s="48"/>
      <c r="X304" s="50" t="s">
        <v>12</v>
      </c>
      <c r="Y304" s="50" t="s">
        <v>1322</v>
      </c>
      <c r="Z304" s="50">
        <v>3.040245069E9</v>
      </c>
      <c r="AA304" s="50" t="s">
        <v>1364</v>
      </c>
      <c r="AB304" s="50" t="s">
        <v>1528</v>
      </c>
      <c r="AC304" s="50" t="s">
        <v>1529</v>
      </c>
      <c r="AD304" s="48"/>
      <c r="AE304" s="48"/>
      <c r="AF304" s="48"/>
      <c r="AG304" s="48"/>
    </row>
    <row r="305">
      <c r="A305" s="47">
        <f>COUNTIF('Histórico'!$B:$B,B305)</f>
        <v>1</v>
      </c>
      <c r="B305" s="47" t="s">
        <v>1260</v>
      </c>
      <c r="C305" s="48"/>
      <c r="D305" s="50" t="s">
        <v>1314</v>
      </c>
      <c r="E305" s="50" t="s">
        <v>1315</v>
      </c>
      <c r="F305" s="59">
        <v>46274.0</v>
      </c>
      <c r="G305" s="50" t="s">
        <v>1316</v>
      </c>
      <c r="H305" s="59">
        <v>46274.0</v>
      </c>
      <c r="I305" s="47" t="s">
        <v>1394</v>
      </c>
      <c r="J305" s="47" t="s">
        <v>1395</v>
      </c>
      <c r="K305" s="47" t="s">
        <v>1396</v>
      </c>
      <c r="L305" s="60" t="s">
        <v>1967</v>
      </c>
      <c r="M305" s="48"/>
      <c r="N305" s="48"/>
      <c r="O305" s="48"/>
      <c r="P305" s="48"/>
      <c r="Q305" s="50">
        <v>1.0</v>
      </c>
      <c r="R305" s="59">
        <v>46273.0</v>
      </c>
      <c r="S305" s="59">
        <v>46279.0</v>
      </c>
      <c r="T305" s="59">
        <v>46274.0</v>
      </c>
      <c r="U305" s="48"/>
      <c r="V305" s="50" t="s">
        <v>1321</v>
      </c>
      <c r="W305" s="48"/>
      <c r="X305" s="50" t="s">
        <v>12</v>
      </c>
      <c r="Y305" s="50" t="s">
        <v>1322</v>
      </c>
      <c r="Z305" s="50">
        <v>3.040330022E9</v>
      </c>
      <c r="AA305" s="50" t="s">
        <v>1491</v>
      </c>
      <c r="AB305" s="50" t="s">
        <v>1492</v>
      </c>
      <c r="AC305" s="50" t="s">
        <v>1968</v>
      </c>
      <c r="AD305" s="48"/>
      <c r="AE305" s="48"/>
      <c r="AF305" s="48"/>
      <c r="AG305" s="48"/>
    </row>
    <row r="306">
      <c r="A306" s="47">
        <f>COUNTIF('Histórico'!$B:$B,B306)</f>
        <v>1</v>
      </c>
      <c r="B306" s="47" t="s">
        <v>1261</v>
      </c>
      <c r="C306" s="48"/>
      <c r="D306" s="50" t="s">
        <v>1314</v>
      </c>
      <c r="E306" s="50" t="s">
        <v>1315</v>
      </c>
      <c r="F306" s="59">
        <v>46274.0</v>
      </c>
      <c r="G306" s="50" t="s">
        <v>1316</v>
      </c>
      <c r="H306" s="59">
        <v>46274.0</v>
      </c>
      <c r="I306" s="47" t="s">
        <v>61</v>
      </c>
      <c r="J306" s="47" t="s">
        <v>1399</v>
      </c>
      <c r="K306" s="47" t="s">
        <v>1438</v>
      </c>
      <c r="L306" s="60" t="s">
        <v>1969</v>
      </c>
      <c r="M306" s="48"/>
      <c r="N306" s="48"/>
      <c r="O306" s="48"/>
      <c r="P306" s="48"/>
      <c r="Q306" s="50">
        <v>1.0</v>
      </c>
      <c r="R306" s="59">
        <v>46273.0</v>
      </c>
      <c r="S306" s="59">
        <v>46279.0</v>
      </c>
      <c r="T306" s="59">
        <v>46274.0</v>
      </c>
      <c r="U306" s="48"/>
      <c r="V306" s="50" t="s">
        <v>1321</v>
      </c>
      <c r="W306" s="48"/>
      <c r="X306" s="50" t="s">
        <v>12</v>
      </c>
      <c r="Y306" s="50" t="s">
        <v>1322</v>
      </c>
      <c r="Z306" s="50">
        <v>3.040328926E9</v>
      </c>
      <c r="AA306" s="50" t="s">
        <v>16</v>
      </c>
      <c r="AB306" s="50" t="s">
        <v>1551</v>
      </c>
      <c r="AC306" s="50" t="s">
        <v>1552</v>
      </c>
      <c r="AD306" s="48"/>
      <c r="AE306" s="48"/>
      <c r="AF306" s="48"/>
      <c r="AG306" s="48"/>
    </row>
    <row r="307">
      <c r="A307" s="47">
        <f>COUNTIF('Histórico'!$B:$B,B307)</f>
        <v>1</v>
      </c>
      <c r="B307" s="47" t="s">
        <v>1262</v>
      </c>
      <c r="C307" s="48"/>
      <c r="D307" s="50" t="s">
        <v>1314</v>
      </c>
      <c r="E307" s="50" t="s">
        <v>1315</v>
      </c>
      <c r="F307" s="59">
        <v>46274.0</v>
      </c>
      <c r="G307" s="50" t="s">
        <v>1316</v>
      </c>
      <c r="H307" s="59">
        <v>46274.0</v>
      </c>
      <c r="I307" s="47" t="s">
        <v>1436</v>
      </c>
      <c r="J307" s="47" t="s">
        <v>1395</v>
      </c>
      <c r="K307" s="47" t="s">
        <v>1437</v>
      </c>
      <c r="L307" s="60" t="s">
        <v>419</v>
      </c>
      <c r="M307" s="48"/>
      <c r="N307" s="48"/>
      <c r="O307" s="48"/>
      <c r="P307" s="48"/>
      <c r="Q307" s="50">
        <v>1.0</v>
      </c>
      <c r="R307" s="59">
        <v>46273.0</v>
      </c>
      <c r="S307" s="59">
        <v>46279.0</v>
      </c>
      <c r="T307" s="59">
        <v>46274.0</v>
      </c>
      <c r="U307" s="48"/>
      <c r="V307" s="50" t="s">
        <v>1321</v>
      </c>
      <c r="W307" s="48"/>
      <c r="X307" s="50" t="s">
        <v>12</v>
      </c>
      <c r="Y307" s="50" t="s">
        <v>1322</v>
      </c>
      <c r="Z307" s="50">
        <v>3.040330023E9</v>
      </c>
      <c r="AA307" s="50" t="s">
        <v>1491</v>
      </c>
      <c r="AB307" s="50" t="s">
        <v>1492</v>
      </c>
      <c r="AC307" s="50" t="s">
        <v>1968</v>
      </c>
      <c r="AD307" s="48"/>
      <c r="AE307" s="48"/>
      <c r="AF307" s="48"/>
      <c r="AG307" s="48"/>
    </row>
    <row r="308">
      <c r="A308" s="47">
        <f>COUNTIF('Histórico'!$B:$B,B308)</f>
        <v>1</v>
      </c>
      <c r="B308" s="47" t="s">
        <v>1263</v>
      </c>
      <c r="C308" s="48"/>
      <c r="D308" s="50" t="s">
        <v>1314</v>
      </c>
      <c r="E308" s="50" t="s">
        <v>1315</v>
      </c>
      <c r="F308" s="59">
        <v>46274.0</v>
      </c>
      <c r="G308" s="50" t="s">
        <v>1316</v>
      </c>
      <c r="H308" s="59">
        <v>46274.0</v>
      </c>
      <c r="I308" s="47" t="s">
        <v>1724</v>
      </c>
      <c r="J308" s="47" t="s">
        <v>48</v>
      </c>
      <c r="K308" s="47" t="s">
        <v>1725</v>
      </c>
      <c r="L308" s="60" t="s">
        <v>1970</v>
      </c>
      <c r="M308" s="48"/>
      <c r="N308" s="48"/>
      <c r="O308" s="48"/>
      <c r="P308" s="48"/>
      <c r="Q308" s="50">
        <v>1.0</v>
      </c>
      <c r="R308" s="59">
        <v>46273.0</v>
      </c>
      <c r="S308" s="59">
        <v>46279.0</v>
      </c>
      <c r="T308" s="59">
        <v>46274.0</v>
      </c>
      <c r="U308" s="48"/>
      <c r="V308" s="50" t="s">
        <v>1321</v>
      </c>
      <c r="W308" s="48"/>
      <c r="X308" s="50" t="s">
        <v>12</v>
      </c>
      <c r="Y308" s="50" t="s">
        <v>1322</v>
      </c>
      <c r="Z308" s="50">
        <v>3.040329234E9</v>
      </c>
      <c r="AA308" s="50" t="s">
        <v>1352</v>
      </c>
      <c r="AB308" s="50" t="s">
        <v>1430</v>
      </c>
      <c r="AC308" s="50" t="s">
        <v>1971</v>
      </c>
      <c r="AD308" s="48"/>
      <c r="AE308" s="48"/>
      <c r="AF308" s="48"/>
      <c r="AG308" s="48"/>
    </row>
    <row r="309">
      <c r="A309" s="47">
        <f>COUNTIF('Histórico'!$B:$B,B309)</f>
        <v>1</v>
      </c>
      <c r="B309" s="47" t="s">
        <v>1264</v>
      </c>
      <c r="C309" s="48"/>
      <c r="D309" s="50" t="s">
        <v>1314</v>
      </c>
      <c r="E309" s="50" t="s">
        <v>1315</v>
      </c>
      <c r="F309" s="59">
        <v>46274.0</v>
      </c>
      <c r="G309" s="50" t="s">
        <v>1316</v>
      </c>
      <c r="H309" s="59">
        <v>46274.0</v>
      </c>
      <c r="I309" s="47" t="s">
        <v>1724</v>
      </c>
      <c r="J309" s="47" t="s">
        <v>48</v>
      </c>
      <c r="K309" s="47" t="s">
        <v>1725</v>
      </c>
      <c r="L309" s="60" t="s">
        <v>1972</v>
      </c>
      <c r="M309" s="48"/>
      <c r="N309" s="48"/>
      <c r="O309" s="48"/>
      <c r="P309" s="48"/>
      <c r="Q309" s="50">
        <v>1.0</v>
      </c>
      <c r="R309" s="59">
        <v>46273.0</v>
      </c>
      <c r="S309" s="59">
        <v>46279.0</v>
      </c>
      <c r="T309" s="59">
        <v>46274.0</v>
      </c>
      <c r="U309" s="48"/>
      <c r="V309" s="50" t="s">
        <v>1321</v>
      </c>
      <c r="W309" s="48"/>
      <c r="X309" s="50" t="s">
        <v>12</v>
      </c>
      <c r="Y309" s="50" t="s">
        <v>1322</v>
      </c>
      <c r="Z309" s="50">
        <v>3.040329235E9</v>
      </c>
      <c r="AA309" s="50" t="s">
        <v>1352</v>
      </c>
      <c r="AB309" s="50" t="s">
        <v>1430</v>
      </c>
      <c r="AC309" s="50" t="s">
        <v>1971</v>
      </c>
      <c r="AD309" s="48"/>
      <c r="AE309" s="48"/>
      <c r="AF309" s="48"/>
      <c r="AG309" s="48"/>
    </row>
    <row r="310">
      <c r="A310" s="47">
        <f>COUNTIF('Histórico'!$B:$B,B310)</f>
        <v>1</v>
      </c>
      <c r="B310" s="47" t="s">
        <v>1265</v>
      </c>
      <c r="C310" s="48"/>
      <c r="D310" s="50" t="s">
        <v>1314</v>
      </c>
      <c r="E310" s="50" t="s">
        <v>1315</v>
      </c>
      <c r="F310" s="59">
        <v>46274.0</v>
      </c>
      <c r="G310" s="50" t="s">
        <v>1316</v>
      </c>
      <c r="H310" s="59">
        <v>46274.0</v>
      </c>
      <c r="I310" s="47" t="s">
        <v>1724</v>
      </c>
      <c r="J310" s="47" t="s">
        <v>48</v>
      </c>
      <c r="K310" s="47" t="s">
        <v>1725</v>
      </c>
      <c r="L310" s="60" t="s">
        <v>1973</v>
      </c>
      <c r="M310" s="48"/>
      <c r="N310" s="48"/>
      <c r="O310" s="48"/>
      <c r="P310" s="48"/>
      <c r="Q310" s="50">
        <v>1.0</v>
      </c>
      <c r="R310" s="59">
        <v>46273.0</v>
      </c>
      <c r="S310" s="59">
        <v>46279.0</v>
      </c>
      <c r="T310" s="59">
        <v>46274.0</v>
      </c>
      <c r="U310" s="48"/>
      <c r="V310" s="50" t="s">
        <v>1321</v>
      </c>
      <c r="W310" s="48"/>
      <c r="X310" s="50" t="s">
        <v>12</v>
      </c>
      <c r="Y310" s="50" t="s">
        <v>1322</v>
      </c>
      <c r="Z310" s="50">
        <v>3.040329701E9</v>
      </c>
      <c r="AA310" s="50" t="s">
        <v>17</v>
      </c>
      <c r="AB310" s="50" t="s">
        <v>1553</v>
      </c>
      <c r="AC310" s="50" t="s">
        <v>1554</v>
      </c>
      <c r="AD310" s="48"/>
      <c r="AE310" s="48"/>
      <c r="AF310" s="48"/>
      <c r="AG310" s="48"/>
    </row>
    <row r="311">
      <c r="A311" s="47">
        <f>COUNTIF('Histórico'!$B:$B,B311)</f>
        <v>1</v>
      </c>
      <c r="B311" s="47" t="s">
        <v>1266</v>
      </c>
      <c r="C311" s="48"/>
      <c r="D311" s="50" t="s">
        <v>1314</v>
      </c>
      <c r="E311" s="50" t="s">
        <v>1315</v>
      </c>
      <c r="F311" s="59">
        <v>46274.0</v>
      </c>
      <c r="G311" s="50" t="s">
        <v>1316</v>
      </c>
      <c r="H311" s="59">
        <v>46274.0</v>
      </c>
      <c r="I311" s="47" t="s">
        <v>1724</v>
      </c>
      <c r="J311" s="47" t="s">
        <v>48</v>
      </c>
      <c r="K311" s="47" t="s">
        <v>1725</v>
      </c>
      <c r="L311" s="60" t="s">
        <v>1974</v>
      </c>
      <c r="M311" s="48"/>
      <c r="N311" s="48"/>
      <c r="O311" s="48"/>
      <c r="P311" s="48"/>
      <c r="Q311" s="50">
        <v>1.0</v>
      </c>
      <c r="R311" s="59">
        <v>46273.0</v>
      </c>
      <c r="S311" s="59">
        <v>46279.0</v>
      </c>
      <c r="T311" s="59">
        <v>46274.0</v>
      </c>
      <c r="U311" s="48"/>
      <c r="V311" s="50" t="s">
        <v>1321</v>
      </c>
      <c r="W311" s="48"/>
      <c r="X311" s="50" t="s">
        <v>12</v>
      </c>
      <c r="Y311" s="50" t="s">
        <v>1322</v>
      </c>
      <c r="Z311" s="50">
        <v>3.0403297E9</v>
      </c>
      <c r="AA311" s="50" t="s">
        <v>17</v>
      </c>
      <c r="AB311" s="50" t="s">
        <v>1553</v>
      </c>
      <c r="AC311" s="50" t="s">
        <v>1554</v>
      </c>
      <c r="AD311" s="48"/>
      <c r="AE311" s="48"/>
      <c r="AF311" s="48"/>
      <c r="AG311" s="48"/>
    </row>
    <row r="312">
      <c r="A312" s="47">
        <f>COUNTIF('Histórico'!$B:$B,B312)</f>
        <v>1</v>
      </c>
      <c r="B312" s="47" t="s">
        <v>1267</v>
      </c>
      <c r="C312" s="48"/>
      <c r="D312" s="50" t="s">
        <v>1314</v>
      </c>
      <c r="E312" s="50" t="s">
        <v>1315</v>
      </c>
      <c r="F312" s="59">
        <v>46274.0</v>
      </c>
      <c r="G312" s="50" t="s">
        <v>1316</v>
      </c>
      <c r="H312" s="59">
        <v>46274.0</v>
      </c>
      <c r="I312" s="47" t="s">
        <v>1975</v>
      </c>
      <c r="J312" s="47" t="s">
        <v>48</v>
      </c>
      <c r="K312" s="47" t="s">
        <v>1976</v>
      </c>
      <c r="L312" s="60" t="s">
        <v>1977</v>
      </c>
      <c r="M312" s="48"/>
      <c r="N312" s="48"/>
      <c r="O312" s="48"/>
      <c r="P312" s="48"/>
      <c r="Q312" s="50">
        <v>1.0</v>
      </c>
      <c r="R312" s="59">
        <v>46273.0</v>
      </c>
      <c r="S312" s="59">
        <v>46279.0</v>
      </c>
      <c r="T312" s="59">
        <v>46274.0</v>
      </c>
      <c r="U312" s="48"/>
      <c r="V312" s="50" t="s">
        <v>1321</v>
      </c>
      <c r="W312" s="48"/>
      <c r="X312" s="50" t="s">
        <v>12</v>
      </c>
      <c r="Y312" s="50" t="s">
        <v>1322</v>
      </c>
      <c r="Z312" s="50">
        <v>3.040317437E9</v>
      </c>
      <c r="AA312" s="50" t="s">
        <v>12</v>
      </c>
      <c r="AB312" s="50" t="s">
        <v>1322</v>
      </c>
      <c r="AC312" s="50" t="s">
        <v>1336</v>
      </c>
      <c r="AD312" s="48"/>
      <c r="AE312" s="48"/>
      <c r="AF312" s="48"/>
      <c r="AG312" s="48"/>
    </row>
    <row r="313">
      <c r="A313" s="47">
        <f>COUNTIF('Histórico'!$B:$B,B313)</f>
        <v>1</v>
      </c>
      <c r="B313" s="47" t="s">
        <v>1268</v>
      </c>
      <c r="C313" s="48"/>
      <c r="D313" s="50" t="s">
        <v>1314</v>
      </c>
      <c r="E313" s="50" t="s">
        <v>1315</v>
      </c>
      <c r="F313" s="59">
        <v>46274.0</v>
      </c>
      <c r="G313" s="50" t="s">
        <v>1316</v>
      </c>
      <c r="H313" s="59">
        <v>46274.0</v>
      </c>
      <c r="I313" s="47" t="s">
        <v>1978</v>
      </c>
      <c r="J313" s="47" t="s">
        <v>48</v>
      </c>
      <c r="K313" s="47" t="s">
        <v>1979</v>
      </c>
      <c r="L313" s="60" t="s">
        <v>369</v>
      </c>
      <c r="M313" s="48"/>
      <c r="N313" s="48"/>
      <c r="O313" s="48"/>
      <c r="P313" s="48"/>
      <c r="Q313" s="50">
        <v>1.0</v>
      </c>
      <c r="R313" s="59">
        <v>46273.0</v>
      </c>
      <c r="S313" s="59">
        <v>46279.0</v>
      </c>
      <c r="T313" s="59">
        <v>46274.0</v>
      </c>
      <c r="U313" s="48"/>
      <c r="V313" s="50" t="s">
        <v>1321</v>
      </c>
      <c r="W313" s="48"/>
      <c r="X313" s="50" t="s">
        <v>12</v>
      </c>
      <c r="Y313" s="50" t="s">
        <v>1322</v>
      </c>
      <c r="Z313" s="50">
        <v>3.040323457E9</v>
      </c>
      <c r="AA313" s="50" t="s">
        <v>12</v>
      </c>
      <c r="AB313" s="50" t="s">
        <v>1980</v>
      </c>
      <c r="AC313" s="50" t="s">
        <v>1981</v>
      </c>
      <c r="AD313" s="48"/>
      <c r="AE313" s="48"/>
      <c r="AF313" s="48"/>
      <c r="AG313" s="48"/>
    </row>
    <row r="314">
      <c r="A314" s="47">
        <f>COUNTIF('Histórico'!$B:$B,B314)</f>
        <v>1</v>
      </c>
      <c r="B314" s="47" t="s">
        <v>1269</v>
      </c>
      <c r="C314" s="48"/>
      <c r="D314" s="50" t="s">
        <v>1314</v>
      </c>
      <c r="E314" s="50" t="s">
        <v>1315</v>
      </c>
      <c r="F314" s="59">
        <v>46274.0</v>
      </c>
      <c r="G314" s="50" t="s">
        <v>1316</v>
      </c>
      <c r="H314" s="59">
        <v>46274.0</v>
      </c>
      <c r="I314" s="47" t="s">
        <v>1978</v>
      </c>
      <c r="J314" s="47" t="s">
        <v>48</v>
      </c>
      <c r="K314" s="47" t="s">
        <v>1979</v>
      </c>
      <c r="L314" s="60" t="s">
        <v>1982</v>
      </c>
      <c r="M314" s="48"/>
      <c r="N314" s="48"/>
      <c r="O314" s="48"/>
      <c r="P314" s="48"/>
      <c r="Q314" s="50">
        <v>1.0</v>
      </c>
      <c r="R314" s="59">
        <v>46273.0</v>
      </c>
      <c r="S314" s="59">
        <v>46279.0</v>
      </c>
      <c r="T314" s="59">
        <v>46274.0</v>
      </c>
      <c r="U314" s="48"/>
      <c r="V314" s="50" t="s">
        <v>1321</v>
      </c>
      <c r="W314" s="48"/>
      <c r="X314" s="50" t="s">
        <v>12</v>
      </c>
      <c r="Y314" s="50" t="s">
        <v>1322</v>
      </c>
      <c r="Z314" s="50">
        <v>3.040321838E9</v>
      </c>
      <c r="AA314" s="50" t="s">
        <v>17</v>
      </c>
      <c r="AB314" s="50" t="s">
        <v>1553</v>
      </c>
      <c r="AC314" s="50" t="s">
        <v>1554</v>
      </c>
      <c r="AD314" s="48"/>
      <c r="AE314" s="48"/>
      <c r="AF314" s="48"/>
      <c r="AG314" s="48"/>
    </row>
    <row r="315">
      <c r="A315" s="47">
        <f>COUNTIF('Histórico'!$B:$B,B315)</f>
        <v>1</v>
      </c>
      <c r="B315" s="47" t="s">
        <v>1270</v>
      </c>
      <c r="C315" s="48"/>
      <c r="D315" s="50" t="s">
        <v>1314</v>
      </c>
      <c r="E315" s="50" t="s">
        <v>1315</v>
      </c>
      <c r="F315" s="59">
        <v>46274.0</v>
      </c>
      <c r="G315" s="50" t="s">
        <v>1316</v>
      </c>
      <c r="H315" s="59">
        <v>46274.0</v>
      </c>
      <c r="I315" s="47" t="s">
        <v>1975</v>
      </c>
      <c r="J315" s="47" t="s">
        <v>48</v>
      </c>
      <c r="K315" s="47" t="s">
        <v>1976</v>
      </c>
      <c r="L315" s="60" t="s">
        <v>1983</v>
      </c>
      <c r="M315" s="48"/>
      <c r="N315" s="48"/>
      <c r="O315" s="48"/>
      <c r="P315" s="48"/>
      <c r="Q315" s="50">
        <v>1.0</v>
      </c>
      <c r="R315" s="59">
        <v>46273.0</v>
      </c>
      <c r="S315" s="59">
        <v>46279.0</v>
      </c>
      <c r="T315" s="59">
        <v>46274.0</v>
      </c>
      <c r="U315" s="48"/>
      <c r="V315" s="50" t="s">
        <v>1321</v>
      </c>
      <c r="W315" s="48"/>
      <c r="X315" s="50" t="s">
        <v>12</v>
      </c>
      <c r="Y315" s="50" t="s">
        <v>1322</v>
      </c>
      <c r="Z315" s="50">
        <v>3.040317423E9</v>
      </c>
      <c r="AA315" s="50" t="s">
        <v>12</v>
      </c>
      <c r="AB315" s="50" t="s">
        <v>1322</v>
      </c>
      <c r="AC315" s="50" t="s">
        <v>1336</v>
      </c>
      <c r="AD315" s="48"/>
      <c r="AE315" s="48"/>
      <c r="AF315" s="48"/>
      <c r="AG315" s="48"/>
    </row>
    <row r="316">
      <c r="A316" s="47">
        <f>COUNTIF('Histórico'!$B:$B,B316)</f>
        <v>1</v>
      </c>
      <c r="B316" s="47" t="s">
        <v>1271</v>
      </c>
      <c r="C316" s="48"/>
      <c r="D316" s="50" t="s">
        <v>1314</v>
      </c>
      <c r="E316" s="50" t="s">
        <v>1315</v>
      </c>
      <c r="F316" s="59">
        <v>46274.0</v>
      </c>
      <c r="G316" s="50" t="s">
        <v>1316</v>
      </c>
      <c r="H316" s="59">
        <v>46274.0</v>
      </c>
      <c r="I316" s="47" t="s">
        <v>1445</v>
      </c>
      <c r="J316" s="47" t="s">
        <v>48</v>
      </c>
      <c r="K316" s="47" t="s">
        <v>1446</v>
      </c>
      <c r="L316" s="60" t="s">
        <v>1984</v>
      </c>
      <c r="M316" s="48"/>
      <c r="N316" s="48"/>
      <c r="O316" s="48"/>
      <c r="P316" s="48"/>
      <c r="Q316" s="50">
        <v>1.0</v>
      </c>
      <c r="R316" s="59">
        <v>46273.0</v>
      </c>
      <c r="S316" s="59">
        <v>46279.0</v>
      </c>
      <c r="T316" s="59">
        <v>46274.0</v>
      </c>
      <c r="U316" s="48"/>
      <c r="V316" s="50" t="s">
        <v>1321</v>
      </c>
      <c r="W316" s="48"/>
      <c r="X316" s="50" t="s">
        <v>12</v>
      </c>
      <c r="Y316" s="50" t="s">
        <v>1322</v>
      </c>
      <c r="Z316" s="50">
        <v>3.04032441E9</v>
      </c>
      <c r="AA316" s="50" t="s">
        <v>13</v>
      </c>
      <c r="AB316" s="50" t="s">
        <v>1447</v>
      </c>
      <c r="AC316" s="50" t="s">
        <v>1911</v>
      </c>
      <c r="AD316" s="48"/>
      <c r="AE316" s="48"/>
      <c r="AF316" s="48"/>
      <c r="AG316" s="48"/>
    </row>
    <row r="317">
      <c r="A317" s="47">
        <f>COUNTIF('Histórico'!$B:$B,B317)</f>
        <v>1</v>
      </c>
      <c r="B317" s="47" t="s">
        <v>1272</v>
      </c>
      <c r="C317" s="48"/>
      <c r="D317" s="50" t="s">
        <v>1314</v>
      </c>
      <c r="E317" s="50" t="s">
        <v>1315</v>
      </c>
      <c r="F317" s="59">
        <v>46274.0</v>
      </c>
      <c r="G317" s="50" t="s">
        <v>1316</v>
      </c>
      <c r="H317" s="59">
        <v>46274.0</v>
      </c>
      <c r="I317" s="47" t="s">
        <v>1445</v>
      </c>
      <c r="J317" s="47" t="s">
        <v>48</v>
      </c>
      <c r="K317" s="47" t="s">
        <v>1446</v>
      </c>
      <c r="L317" s="60" t="s">
        <v>1985</v>
      </c>
      <c r="M317" s="48"/>
      <c r="N317" s="48"/>
      <c r="O317" s="48"/>
      <c r="P317" s="48"/>
      <c r="Q317" s="50">
        <v>1.0</v>
      </c>
      <c r="R317" s="59">
        <v>46273.0</v>
      </c>
      <c r="S317" s="59">
        <v>46279.0</v>
      </c>
      <c r="T317" s="59">
        <v>46274.0</v>
      </c>
      <c r="U317" s="48"/>
      <c r="V317" s="50" t="s">
        <v>1321</v>
      </c>
      <c r="W317" s="48"/>
      <c r="X317" s="50" t="s">
        <v>12</v>
      </c>
      <c r="Y317" s="50" t="s">
        <v>1322</v>
      </c>
      <c r="Z317" s="50">
        <v>3.040317807E9</v>
      </c>
      <c r="AA317" s="50" t="s">
        <v>1500</v>
      </c>
      <c r="AB317" s="50" t="s">
        <v>1537</v>
      </c>
      <c r="AC317" s="50" t="s">
        <v>1986</v>
      </c>
      <c r="AD317" s="48"/>
      <c r="AE317" s="48"/>
      <c r="AF317" s="48"/>
      <c r="AG317" s="48"/>
    </row>
    <row r="318">
      <c r="A318" s="47">
        <f>COUNTIF('Histórico'!$B:$B,B318)</f>
        <v>1</v>
      </c>
      <c r="B318" s="47" t="s">
        <v>1273</v>
      </c>
      <c r="C318" s="48"/>
      <c r="D318" s="50" t="s">
        <v>1314</v>
      </c>
      <c r="E318" s="50" t="s">
        <v>1315</v>
      </c>
      <c r="F318" s="59">
        <v>46274.0</v>
      </c>
      <c r="G318" s="50" t="s">
        <v>1316</v>
      </c>
      <c r="H318" s="59">
        <v>46274.0</v>
      </c>
      <c r="I318" s="47" t="s">
        <v>1445</v>
      </c>
      <c r="J318" s="47" t="s">
        <v>48</v>
      </c>
      <c r="K318" s="47" t="s">
        <v>1446</v>
      </c>
      <c r="L318" s="60" t="s">
        <v>1987</v>
      </c>
      <c r="M318" s="48"/>
      <c r="N318" s="48"/>
      <c r="O318" s="48"/>
      <c r="P318" s="48"/>
      <c r="Q318" s="50">
        <v>1.0</v>
      </c>
      <c r="R318" s="59">
        <v>46273.0</v>
      </c>
      <c r="S318" s="59">
        <v>46279.0</v>
      </c>
      <c r="T318" s="59">
        <v>46274.0</v>
      </c>
      <c r="U318" s="48"/>
      <c r="V318" s="50" t="s">
        <v>1321</v>
      </c>
      <c r="W318" s="48"/>
      <c r="X318" s="50" t="s">
        <v>12</v>
      </c>
      <c r="Y318" s="50" t="s">
        <v>1322</v>
      </c>
      <c r="Z318" s="50">
        <v>3.040317806E9</v>
      </c>
      <c r="AA318" s="50" t="s">
        <v>1500</v>
      </c>
      <c r="AB318" s="50" t="s">
        <v>1537</v>
      </c>
      <c r="AC318" s="50" t="s">
        <v>1988</v>
      </c>
      <c r="AD318" s="48"/>
      <c r="AE318" s="48"/>
      <c r="AF318" s="48"/>
      <c r="AG318" s="48"/>
    </row>
    <row r="319">
      <c r="A319" s="47">
        <f>COUNTIF('Histórico'!$B:$B,B319)</f>
        <v>1</v>
      </c>
      <c r="B319" s="47" t="s">
        <v>1274</v>
      </c>
      <c r="C319" s="48"/>
      <c r="D319" s="50" t="s">
        <v>1314</v>
      </c>
      <c r="E319" s="50" t="s">
        <v>1315</v>
      </c>
      <c r="F319" s="59">
        <v>46274.0</v>
      </c>
      <c r="G319" s="50" t="s">
        <v>1316</v>
      </c>
      <c r="H319" s="59">
        <v>46274.0</v>
      </c>
      <c r="I319" s="47" t="s">
        <v>1961</v>
      </c>
      <c r="J319" s="47" t="s">
        <v>48</v>
      </c>
      <c r="K319" s="47" t="s">
        <v>1671</v>
      </c>
      <c r="L319" s="60" t="s">
        <v>1064</v>
      </c>
      <c r="M319" s="48"/>
      <c r="N319" s="48"/>
      <c r="O319" s="48"/>
      <c r="P319" s="48"/>
      <c r="Q319" s="50">
        <v>1.0</v>
      </c>
      <c r="R319" s="59">
        <v>46268.0</v>
      </c>
      <c r="S319" s="59">
        <v>46275.0</v>
      </c>
      <c r="T319" s="59">
        <v>46274.0</v>
      </c>
      <c r="U319" s="48"/>
      <c r="V319" s="50" t="s">
        <v>1321</v>
      </c>
      <c r="W319" s="48"/>
      <c r="X319" s="50" t="s">
        <v>12</v>
      </c>
      <c r="Y319" s="50" t="s">
        <v>1322</v>
      </c>
      <c r="Z319" s="50">
        <v>3.04031765E9</v>
      </c>
      <c r="AA319" s="50" t="s">
        <v>13</v>
      </c>
      <c r="AB319" s="50" t="s">
        <v>1447</v>
      </c>
      <c r="AC319" s="50" t="s">
        <v>1911</v>
      </c>
      <c r="AD319" s="48"/>
      <c r="AE319" s="48"/>
      <c r="AF319" s="48"/>
      <c r="AG319" s="48"/>
    </row>
    <row r="320">
      <c r="A320" s="47">
        <f>COUNTIF('Histórico'!$B:$B,B320)</f>
        <v>1</v>
      </c>
      <c r="B320" s="47" t="s">
        <v>1275</v>
      </c>
      <c r="C320" s="48"/>
      <c r="D320" s="50" t="s">
        <v>1314</v>
      </c>
      <c r="E320" s="50" t="s">
        <v>1315</v>
      </c>
      <c r="F320" s="59">
        <v>46281.0</v>
      </c>
      <c r="G320" s="50" t="s">
        <v>1316</v>
      </c>
      <c r="H320" s="59">
        <v>46281.0</v>
      </c>
      <c r="I320" s="47" t="s">
        <v>1989</v>
      </c>
      <c r="J320" s="47" t="s">
        <v>48</v>
      </c>
      <c r="K320" s="47" t="s">
        <v>1990</v>
      </c>
      <c r="L320" s="60" t="s">
        <v>1991</v>
      </c>
      <c r="M320" s="48"/>
      <c r="N320" s="48"/>
      <c r="O320" s="48"/>
      <c r="P320" s="48"/>
      <c r="Q320" s="50">
        <v>1.0</v>
      </c>
      <c r="R320" s="59">
        <v>46279.0</v>
      </c>
      <c r="S320" s="59">
        <v>46283.0</v>
      </c>
      <c r="T320" s="59">
        <v>46281.0</v>
      </c>
      <c r="U320" s="48"/>
      <c r="V320" s="50" t="s">
        <v>1321</v>
      </c>
      <c r="W320" s="48"/>
      <c r="X320" s="50" t="s">
        <v>12</v>
      </c>
      <c r="Y320" s="50" t="s">
        <v>1322</v>
      </c>
      <c r="Z320" s="50">
        <v>3.040321373E9</v>
      </c>
      <c r="AA320" s="50" t="s">
        <v>17</v>
      </c>
      <c r="AB320" s="50" t="s">
        <v>1458</v>
      </c>
      <c r="AC320" s="50" t="s">
        <v>1459</v>
      </c>
      <c r="AD320" s="48"/>
      <c r="AE320" s="48"/>
      <c r="AF320" s="48"/>
      <c r="AG320" s="48"/>
    </row>
    <row r="321">
      <c r="A321" s="47">
        <f>COUNTIF('Histórico'!$B:$B,B321)</f>
        <v>1</v>
      </c>
      <c r="B321" s="47" t="s">
        <v>1276</v>
      </c>
      <c r="C321" s="48"/>
      <c r="D321" s="50" t="s">
        <v>1314</v>
      </c>
      <c r="E321" s="50" t="s">
        <v>1315</v>
      </c>
      <c r="F321" s="59">
        <v>46281.0</v>
      </c>
      <c r="G321" s="50" t="s">
        <v>1316</v>
      </c>
      <c r="H321" s="59">
        <v>46281.0</v>
      </c>
      <c r="I321" s="47" t="s">
        <v>119</v>
      </c>
      <c r="J321" s="47" t="s">
        <v>1318</v>
      </c>
      <c r="K321" s="47" t="s">
        <v>120</v>
      </c>
      <c r="L321" s="60" t="s">
        <v>1992</v>
      </c>
      <c r="M321" s="48"/>
      <c r="N321" s="48"/>
      <c r="O321" s="48"/>
      <c r="P321" s="48"/>
      <c r="Q321" s="50">
        <v>1.0</v>
      </c>
      <c r="R321" s="59">
        <v>46279.0</v>
      </c>
      <c r="S321" s="59">
        <v>46283.0</v>
      </c>
      <c r="T321" s="59">
        <v>46281.0</v>
      </c>
      <c r="U321" s="48"/>
      <c r="V321" s="50" t="s">
        <v>1321</v>
      </c>
      <c r="W321" s="48"/>
      <c r="X321" s="50" t="s">
        <v>12</v>
      </c>
      <c r="Y321" s="50" t="s">
        <v>1322</v>
      </c>
      <c r="Z321" s="50">
        <v>3.040286376E9</v>
      </c>
      <c r="AA321" s="50" t="s">
        <v>21</v>
      </c>
      <c r="AB321" s="50" t="s">
        <v>1359</v>
      </c>
      <c r="AC321" s="50" t="s">
        <v>1993</v>
      </c>
      <c r="AD321" s="48"/>
      <c r="AE321" s="48"/>
      <c r="AF321" s="48"/>
      <c r="AG321" s="48"/>
    </row>
    <row r="322">
      <c r="A322" s="47">
        <f>COUNTIF('Histórico'!$B:$B,B322)</f>
        <v>1</v>
      </c>
      <c r="B322" s="47" t="s">
        <v>1277</v>
      </c>
      <c r="C322" s="48"/>
      <c r="D322" s="50" t="s">
        <v>1314</v>
      </c>
      <c r="E322" s="50" t="s">
        <v>1315</v>
      </c>
      <c r="F322" s="59">
        <v>46281.0</v>
      </c>
      <c r="G322" s="50" t="s">
        <v>1316</v>
      </c>
      <c r="H322" s="59">
        <v>46281.0</v>
      </c>
      <c r="I322" s="47" t="s">
        <v>171</v>
      </c>
      <c r="J322" s="47" t="s">
        <v>48</v>
      </c>
      <c r="K322" s="47" t="s">
        <v>1370</v>
      </c>
      <c r="L322" s="60" t="s">
        <v>1994</v>
      </c>
      <c r="M322" s="48"/>
      <c r="N322" s="48"/>
      <c r="O322" s="48"/>
      <c r="P322" s="48"/>
      <c r="Q322" s="50">
        <v>1.0</v>
      </c>
      <c r="R322" s="59">
        <v>46279.0</v>
      </c>
      <c r="S322" s="59">
        <v>46283.0</v>
      </c>
      <c r="T322" s="59">
        <v>46281.0</v>
      </c>
      <c r="U322" s="48"/>
      <c r="V322" s="50" t="s">
        <v>1321</v>
      </c>
      <c r="W322" s="48"/>
      <c r="X322" s="50" t="s">
        <v>12</v>
      </c>
      <c r="Y322" s="50" t="s">
        <v>1322</v>
      </c>
      <c r="Z322" s="50">
        <v>3.040324502E9</v>
      </c>
      <c r="AA322" s="50" t="s">
        <v>14</v>
      </c>
      <c r="AB322" s="50" t="s">
        <v>1470</v>
      </c>
      <c r="AC322" s="50" t="s">
        <v>1471</v>
      </c>
      <c r="AD322" s="48"/>
      <c r="AE322" s="48"/>
      <c r="AF322" s="48"/>
      <c r="AG322" s="48"/>
    </row>
    <row r="323">
      <c r="A323" s="47">
        <f>COUNTIF('Histórico'!$B:$B,B323)</f>
        <v>1</v>
      </c>
      <c r="B323" s="47" t="s">
        <v>1278</v>
      </c>
      <c r="C323" s="48"/>
      <c r="D323" s="50" t="s">
        <v>1314</v>
      </c>
      <c r="E323" s="50" t="s">
        <v>1315</v>
      </c>
      <c r="F323" s="59">
        <v>46281.0</v>
      </c>
      <c r="G323" s="50" t="s">
        <v>1316</v>
      </c>
      <c r="H323" s="59">
        <v>46281.0</v>
      </c>
      <c r="I323" s="47" t="s">
        <v>171</v>
      </c>
      <c r="J323" s="47" t="s">
        <v>48</v>
      </c>
      <c r="K323" s="47" t="s">
        <v>1370</v>
      </c>
      <c r="L323" s="60" t="s">
        <v>1995</v>
      </c>
      <c r="M323" s="48"/>
      <c r="N323" s="48"/>
      <c r="O323" s="48"/>
      <c r="P323" s="48"/>
      <c r="Q323" s="50">
        <v>1.0</v>
      </c>
      <c r="R323" s="59">
        <v>46279.0</v>
      </c>
      <c r="S323" s="59">
        <v>46283.0</v>
      </c>
      <c r="T323" s="59">
        <v>46281.0</v>
      </c>
      <c r="U323" s="48"/>
      <c r="V323" s="50" t="s">
        <v>1321</v>
      </c>
      <c r="W323" s="48"/>
      <c r="X323" s="50" t="s">
        <v>12</v>
      </c>
      <c r="Y323" s="50" t="s">
        <v>1322</v>
      </c>
      <c r="Z323" s="50">
        <v>3.040326074E9</v>
      </c>
      <c r="AA323" s="50" t="s">
        <v>14</v>
      </c>
      <c r="AB323" s="50" t="s">
        <v>1470</v>
      </c>
      <c r="AC323" s="50" t="s">
        <v>1471</v>
      </c>
      <c r="AD323" s="48"/>
      <c r="AE323" s="48"/>
      <c r="AF323" s="48"/>
      <c r="AG323" s="48"/>
    </row>
    <row r="324">
      <c r="A324" s="47">
        <f>COUNTIF('Histórico'!$B:$B,B324)</f>
        <v>1</v>
      </c>
      <c r="B324" s="47" t="s">
        <v>1279</v>
      </c>
      <c r="C324" s="48"/>
      <c r="D324" s="50" t="s">
        <v>1314</v>
      </c>
      <c r="E324" s="50" t="s">
        <v>1315</v>
      </c>
      <c r="F324" s="59">
        <v>46281.0</v>
      </c>
      <c r="G324" s="50" t="s">
        <v>1316</v>
      </c>
      <c r="H324" s="59">
        <v>46281.0</v>
      </c>
      <c r="I324" s="47" t="s">
        <v>171</v>
      </c>
      <c r="J324" s="47" t="s">
        <v>48</v>
      </c>
      <c r="K324" s="47" t="s">
        <v>1370</v>
      </c>
      <c r="L324" s="60" t="s">
        <v>1996</v>
      </c>
      <c r="M324" s="48"/>
      <c r="N324" s="48"/>
      <c r="O324" s="48"/>
      <c r="P324" s="48"/>
      <c r="Q324" s="50">
        <v>1.0</v>
      </c>
      <c r="R324" s="59">
        <v>46279.0</v>
      </c>
      <c r="S324" s="59">
        <v>46283.0</v>
      </c>
      <c r="T324" s="59">
        <v>46281.0</v>
      </c>
      <c r="U324" s="48"/>
      <c r="V324" s="50" t="s">
        <v>1321</v>
      </c>
      <c r="W324" s="48"/>
      <c r="X324" s="50" t="s">
        <v>12</v>
      </c>
      <c r="Y324" s="50" t="s">
        <v>1322</v>
      </c>
      <c r="Z324" s="50">
        <v>3.040326292E9</v>
      </c>
      <c r="AA324" s="50" t="s">
        <v>14</v>
      </c>
      <c r="AB324" s="50" t="s">
        <v>1470</v>
      </c>
      <c r="AC324" s="50" t="s">
        <v>1471</v>
      </c>
      <c r="AD324" s="48"/>
      <c r="AE324" s="48"/>
      <c r="AF324" s="48"/>
      <c r="AG324" s="48"/>
    </row>
    <row r="325">
      <c r="A325" s="47">
        <f>COUNTIF('Histórico'!$B:$B,B325)</f>
        <v>1</v>
      </c>
      <c r="B325" s="47" t="s">
        <v>1280</v>
      </c>
      <c r="C325" s="48"/>
      <c r="D325" s="50" t="s">
        <v>1314</v>
      </c>
      <c r="E325" s="50" t="s">
        <v>1315</v>
      </c>
      <c r="F325" s="59">
        <v>46281.0</v>
      </c>
      <c r="G325" s="50" t="s">
        <v>1316</v>
      </c>
      <c r="H325" s="59">
        <v>46281.0</v>
      </c>
      <c r="I325" s="47" t="s">
        <v>137</v>
      </c>
      <c r="J325" s="47" t="s">
        <v>1318</v>
      </c>
      <c r="K325" s="47" t="s">
        <v>1778</v>
      </c>
      <c r="L325" s="60" t="s">
        <v>1997</v>
      </c>
      <c r="M325" s="48"/>
      <c r="N325" s="48"/>
      <c r="O325" s="48"/>
      <c r="P325" s="48"/>
      <c r="Q325" s="50">
        <v>1.0</v>
      </c>
      <c r="R325" s="59">
        <v>46279.0</v>
      </c>
      <c r="S325" s="59">
        <v>46283.0</v>
      </c>
      <c r="T325" s="59">
        <v>46281.0</v>
      </c>
      <c r="U325" s="48"/>
      <c r="V325" s="50" t="s">
        <v>1321</v>
      </c>
      <c r="W325" s="48"/>
      <c r="X325" s="50" t="s">
        <v>12</v>
      </c>
      <c r="Y325" s="50" t="s">
        <v>1322</v>
      </c>
      <c r="Z325" s="50">
        <v>3.040313669E9</v>
      </c>
      <c r="AA325" s="50" t="s">
        <v>12</v>
      </c>
      <c r="AB325" s="50" t="s">
        <v>1322</v>
      </c>
      <c r="AC325" s="50" t="s">
        <v>1369</v>
      </c>
      <c r="AD325" s="48"/>
      <c r="AE325" s="48"/>
      <c r="AF325" s="48"/>
      <c r="AG325" s="48"/>
    </row>
    <row r="326">
      <c r="A326" s="47">
        <f>COUNTIF('Histórico'!$B:$B,B326)</f>
        <v>1</v>
      </c>
      <c r="B326" s="47" t="s">
        <v>1281</v>
      </c>
      <c r="C326" s="48"/>
      <c r="D326" s="50" t="s">
        <v>1314</v>
      </c>
      <c r="E326" s="50" t="s">
        <v>1315</v>
      </c>
      <c r="F326" s="59">
        <v>46281.0</v>
      </c>
      <c r="G326" s="50" t="s">
        <v>1316</v>
      </c>
      <c r="H326" s="59">
        <v>46281.0</v>
      </c>
      <c r="I326" s="47" t="s">
        <v>137</v>
      </c>
      <c r="J326" s="47" t="s">
        <v>1318</v>
      </c>
      <c r="K326" s="47" t="s">
        <v>1778</v>
      </c>
      <c r="L326" s="60" t="s">
        <v>1998</v>
      </c>
      <c r="M326" s="48"/>
      <c r="N326" s="48"/>
      <c r="O326" s="48"/>
      <c r="P326" s="48"/>
      <c r="Q326" s="50">
        <v>1.0</v>
      </c>
      <c r="R326" s="59">
        <v>46279.0</v>
      </c>
      <c r="S326" s="59">
        <v>46283.0</v>
      </c>
      <c r="T326" s="59">
        <v>46281.0</v>
      </c>
      <c r="U326" s="48"/>
      <c r="V326" s="50" t="s">
        <v>1321</v>
      </c>
      <c r="W326" s="48"/>
      <c r="X326" s="50" t="s">
        <v>12</v>
      </c>
      <c r="Y326" s="50" t="s">
        <v>1322</v>
      </c>
      <c r="Z326" s="50">
        <v>3.040306345E9</v>
      </c>
      <c r="AA326" s="50" t="s">
        <v>19</v>
      </c>
      <c r="AB326" s="50" t="s">
        <v>1827</v>
      </c>
      <c r="AC326" s="50" t="s">
        <v>1903</v>
      </c>
      <c r="AD326" s="48"/>
      <c r="AE326" s="48"/>
      <c r="AF326" s="48"/>
      <c r="AG326" s="48"/>
    </row>
    <row r="327">
      <c r="A327" s="47">
        <f>COUNTIF('Histórico'!$B:$B,B327)</f>
        <v>1</v>
      </c>
      <c r="B327" s="47" t="s">
        <v>1282</v>
      </c>
      <c r="C327" s="48"/>
      <c r="D327" s="50" t="s">
        <v>1314</v>
      </c>
      <c r="E327" s="50" t="s">
        <v>1315</v>
      </c>
      <c r="F327" s="59">
        <v>46281.0</v>
      </c>
      <c r="G327" s="50" t="s">
        <v>1316</v>
      </c>
      <c r="H327" s="59">
        <v>46281.0</v>
      </c>
      <c r="I327" s="47" t="s">
        <v>119</v>
      </c>
      <c r="J327" s="47" t="s">
        <v>1318</v>
      </c>
      <c r="K327" s="47" t="s">
        <v>120</v>
      </c>
      <c r="L327" s="60" t="s">
        <v>1999</v>
      </c>
      <c r="M327" s="48"/>
      <c r="N327" s="48"/>
      <c r="O327" s="48"/>
      <c r="P327" s="48"/>
      <c r="Q327" s="50">
        <v>1.0</v>
      </c>
      <c r="R327" s="59">
        <v>46279.0</v>
      </c>
      <c r="S327" s="59">
        <v>46283.0</v>
      </c>
      <c r="T327" s="59">
        <v>46281.0</v>
      </c>
      <c r="U327" s="48"/>
      <c r="V327" s="50" t="s">
        <v>1321</v>
      </c>
      <c r="W327" s="48"/>
      <c r="X327" s="50" t="s">
        <v>12</v>
      </c>
      <c r="Y327" s="50" t="s">
        <v>1322</v>
      </c>
      <c r="Z327" s="50">
        <v>3.040289267E9</v>
      </c>
      <c r="AA327" s="50" t="s">
        <v>24</v>
      </c>
      <c r="AB327" s="50" t="s">
        <v>1359</v>
      </c>
      <c r="AC327" s="50" t="s">
        <v>1360</v>
      </c>
      <c r="AD327" s="48"/>
      <c r="AE327" s="48"/>
      <c r="AF327" s="48"/>
      <c r="AG327" s="48"/>
    </row>
    <row r="328">
      <c r="A328" s="47">
        <f>COUNTIF('Histórico'!$B:$B,B328)</f>
        <v>1</v>
      </c>
      <c r="B328" s="47" t="s">
        <v>1283</v>
      </c>
      <c r="C328" s="48"/>
      <c r="D328" s="50" t="s">
        <v>1314</v>
      </c>
      <c r="E328" s="50" t="s">
        <v>1315</v>
      </c>
      <c r="F328" s="59">
        <v>46281.0</v>
      </c>
      <c r="G328" s="50" t="s">
        <v>1316</v>
      </c>
      <c r="H328" s="59">
        <v>46281.0</v>
      </c>
      <c r="I328" s="47" t="s">
        <v>119</v>
      </c>
      <c r="J328" s="47" t="s">
        <v>1318</v>
      </c>
      <c r="K328" s="47" t="s">
        <v>120</v>
      </c>
      <c r="L328" s="60" t="s">
        <v>2000</v>
      </c>
      <c r="M328" s="48"/>
      <c r="N328" s="48"/>
      <c r="O328" s="48"/>
      <c r="P328" s="48"/>
      <c r="Q328" s="50">
        <v>1.0</v>
      </c>
      <c r="R328" s="59">
        <v>46279.0</v>
      </c>
      <c r="S328" s="59">
        <v>46283.0</v>
      </c>
      <c r="T328" s="59">
        <v>46281.0</v>
      </c>
      <c r="U328" s="48"/>
      <c r="V328" s="50" t="s">
        <v>1321</v>
      </c>
      <c r="W328" s="48"/>
      <c r="X328" s="50" t="s">
        <v>12</v>
      </c>
      <c r="Y328" s="50" t="s">
        <v>1322</v>
      </c>
      <c r="Z328" s="50">
        <v>3.040289701E9</v>
      </c>
      <c r="AA328" s="50" t="s">
        <v>17</v>
      </c>
      <c r="AB328" s="50" t="s">
        <v>1343</v>
      </c>
      <c r="AC328" s="50" t="s">
        <v>1508</v>
      </c>
      <c r="AD328" s="48"/>
      <c r="AE328" s="48"/>
      <c r="AF328" s="48"/>
      <c r="AG328" s="48"/>
    </row>
    <row r="329">
      <c r="A329" s="47">
        <f>COUNTIF('Histórico'!$B:$B,B329)</f>
        <v>1</v>
      </c>
      <c r="B329" s="47" t="s">
        <v>1284</v>
      </c>
      <c r="C329" s="48"/>
      <c r="D329" s="50" t="s">
        <v>1314</v>
      </c>
      <c r="E329" s="50" t="s">
        <v>1315</v>
      </c>
      <c r="F329" s="59">
        <v>46281.0</v>
      </c>
      <c r="G329" s="50" t="s">
        <v>1316</v>
      </c>
      <c r="H329" s="59">
        <v>46281.0</v>
      </c>
      <c r="I329" s="47" t="s">
        <v>137</v>
      </c>
      <c r="J329" s="47" t="s">
        <v>1318</v>
      </c>
      <c r="K329" s="47" t="s">
        <v>1778</v>
      </c>
      <c r="L329" s="60" t="s">
        <v>2001</v>
      </c>
      <c r="M329" s="48"/>
      <c r="N329" s="48"/>
      <c r="O329" s="48"/>
      <c r="P329" s="48"/>
      <c r="Q329" s="50">
        <v>1.0</v>
      </c>
      <c r="R329" s="59">
        <v>46279.0</v>
      </c>
      <c r="S329" s="59">
        <v>46283.0</v>
      </c>
      <c r="T329" s="59">
        <v>46281.0</v>
      </c>
      <c r="U329" s="48"/>
      <c r="V329" s="50" t="s">
        <v>1321</v>
      </c>
      <c r="W329" s="48"/>
      <c r="X329" s="50" t="s">
        <v>12</v>
      </c>
      <c r="Y329" s="50" t="s">
        <v>1322</v>
      </c>
      <c r="Z329" s="50">
        <v>3.040318235E9</v>
      </c>
      <c r="AA329" s="50" t="s">
        <v>1500</v>
      </c>
      <c r="AB329" s="50" t="s">
        <v>1537</v>
      </c>
      <c r="AC329" s="50" t="s">
        <v>2002</v>
      </c>
      <c r="AD329" s="48"/>
      <c r="AE329" s="48"/>
      <c r="AF329" s="48"/>
      <c r="AG329" s="48"/>
    </row>
    <row r="330">
      <c r="A330" s="47">
        <f>COUNTIF('Histórico'!$B:$B,B330)</f>
        <v>1</v>
      </c>
      <c r="B330" s="47" t="s">
        <v>1285</v>
      </c>
      <c r="C330" s="48"/>
      <c r="D330" s="50" t="s">
        <v>1314</v>
      </c>
      <c r="E330" s="50" t="s">
        <v>1315</v>
      </c>
      <c r="F330" s="59">
        <v>46281.0</v>
      </c>
      <c r="G330" s="50" t="s">
        <v>1316</v>
      </c>
      <c r="H330" s="59">
        <v>46281.0</v>
      </c>
      <c r="I330" s="47" t="s">
        <v>1590</v>
      </c>
      <c r="J330" s="47" t="s">
        <v>1318</v>
      </c>
      <c r="K330" s="47" t="s">
        <v>1591</v>
      </c>
      <c r="L330" s="60" t="s">
        <v>2003</v>
      </c>
      <c r="M330" s="48"/>
      <c r="N330" s="48"/>
      <c r="O330" s="48"/>
      <c r="P330" s="48"/>
      <c r="Q330" s="50">
        <v>1.0</v>
      </c>
      <c r="R330" s="59">
        <v>46279.0</v>
      </c>
      <c r="S330" s="59">
        <v>46283.0</v>
      </c>
      <c r="T330" s="59">
        <v>46281.0</v>
      </c>
      <c r="U330" s="48"/>
      <c r="V330" s="50" t="s">
        <v>1321</v>
      </c>
      <c r="W330" s="48"/>
      <c r="X330" s="50" t="s">
        <v>12</v>
      </c>
      <c r="Y330" s="50" t="s">
        <v>1322</v>
      </c>
      <c r="Z330" s="50">
        <v>3.040327621E9</v>
      </c>
      <c r="AA330" s="50" t="s">
        <v>17</v>
      </c>
      <c r="AB330" s="50" t="s">
        <v>1458</v>
      </c>
      <c r="AC330" s="50" t="s">
        <v>1689</v>
      </c>
      <c r="AD330" s="48"/>
      <c r="AE330" s="48"/>
      <c r="AF330" s="48"/>
      <c r="AG330" s="48"/>
    </row>
    <row r="331">
      <c r="A331" s="47">
        <f>COUNTIF('Histórico'!$B:$B,B331)</f>
        <v>1</v>
      </c>
      <c r="B331" s="47" t="s">
        <v>1286</v>
      </c>
      <c r="C331" s="48"/>
      <c r="D331" s="50" t="s">
        <v>1314</v>
      </c>
      <c r="E331" s="50" t="s">
        <v>1315</v>
      </c>
      <c r="F331" s="59">
        <v>46288.0</v>
      </c>
      <c r="G331" s="50" t="s">
        <v>1316</v>
      </c>
      <c r="H331" s="59">
        <v>46288.0</v>
      </c>
      <c r="I331" s="47" t="s">
        <v>1523</v>
      </c>
      <c r="J331" s="47" t="s">
        <v>1524</v>
      </c>
      <c r="K331" s="47" t="s">
        <v>1525</v>
      </c>
      <c r="L331" s="60" t="s">
        <v>2004</v>
      </c>
      <c r="M331" s="48"/>
      <c r="N331" s="48"/>
      <c r="O331" s="48"/>
      <c r="P331" s="48"/>
      <c r="Q331" s="50">
        <v>1.0</v>
      </c>
      <c r="R331" s="59">
        <v>46286.0</v>
      </c>
      <c r="S331" s="59">
        <v>46290.0</v>
      </c>
      <c r="T331" s="59">
        <v>46288.0</v>
      </c>
      <c r="U331" s="48"/>
      <c r="V331" s="50" t="s">
        <v>1321</v>
      </c>
      <c r="W331" s="48"/>
      <c r="X331" s="50" t="s">
        <v>12</v>
      </c>
      <c r="Y331" s="50" t="s">
        <v>1322</v>
      </c>
      <c r="Z331" s="50">
        <v>3.040328459E9</v>
      </c>
      <c r="AA331" s="50" t="s">
        <v>12</v>
      </c>
      <c r="AB331" s="50" t="s">
        <v>1385</v>
      </c>
      <c r="AC331" s="50" t="s">
        <v>1949</v>
      </c>
      <c r="AD331" s="48"/>
      <c r="AE331" s="48"/>
      <c r="AF331" s="48"/>
      <c r="AG331" s="48"/>
    </row>
    <row r="332">
      <c r="A332" s="47">
        <f>COUNTIF('Histórico'!$B:$B,B332)</f>
        <v>1</v>
      </c>
      <c r="B332" s="47" t="s">
        <v>1287</v>
      </c>
      <c r="C332" s="48"/>
      <c r="D332" s="50" t="s">
        <v>1314</v>
      </c>
      <c r="E332" s="50" t="s">
        <v>1315</v>
      </c>
      <c r="F332" s="59">
        <v>46288.0</v>
      </c>
      <c r="G332" s="50" t="s">
        <v>1316</v>
      </c>
      <c r="H332" s="59">
        <v>46288.0</v>
      </c>
      <c r="I332" s="47" t="s">
        <v>1523</v>
      </c>
      <c r="J332" s="47" t="s">
        <v>1524</v>
      </c>
      <c r="K332" s="47" t="s">
        <v>1525</v>
      </c>
      <c r="L332" s="60" t="s">
        <v>2005</v>
      </c>
      <c r="M332" s="48"/>
      <c r="N332" s="48"/>
      <c r="O332" s="48"/>
      <c r="P332" s="48"/>
      <c r="Q332" s="50">
        <v>1.0</v>
      </c>
      <c r="R332" s="59">
        <v>46286.0</v>
      </c>
      <c r="S332" s="59">
        <v>46290.0</v>
      </c>
      <c r="T332" s="59">
        <v>46288.0</v>
      </c>
      <c r="U332" s="48"/>
      <c r="V332" s="50" t="s">
        <v>1321</v>
      </c>
      <c r="W332" s="48"/>
      <c r="X332" s="50" t="s">
        <v>12</v>
      </c>
      <c r="Y332" s="50" t="s">
        <v>1322</v>
      </c>
      <c r="Z332" s="50">
        <v>3.040326456E9</v>
      </c>
      <c r="AA332" s="50" t="s">
        <v>17</v>
      </c>
      <c r="AB332" s="50" t="s">
        <v>2006</v>
      </c>
      <c r="AC332" s="50" t="s">
        <v>1846</v>
      </c>
      <c r="AD332" s="48"/>
      <c r="AE332" s="48"/>
      <c r="AF332" s="48"/>
      <c r="AG332" s="48"/>
    </row>
    <row r="333">
      <c r="A333" s="47">
        <f>COUNTIF('Histórico'!$B:$B,B333)</f>
        <v>1</v>
      </c>
      <c r="B333" s="47" t="s">
        <v>1168</v>
      </c>
      <c r="C333" s="48"/>
      <c r="D333" s="50" t="s">
        <v>1314</v>
      </c>
      <c r="E333" s="50" t="s">
        <v>2007</v>
      </c>
      <c r="F333" s="59">
        <v>46188.0</v>
      </c>
      <c r="G333" s="50" t="s">
        <v>1316</v>
      </c>
      <c r="H333" s="59"/>
      <c r="I333" s="47" t="s">
        <v>63</v>
      </c>
      <c r="J333" s="47" t="s">
        <v>1395</v>
      </c>
      <c r="K333" s="47" t="s">
        <v>1432</v>
      </c>
      <c r="L333" s="60" t="s">
        <v>348</v>
      </c>
      <c r="M333" s="48"/>
      <c r="N333" s="48"/>
      <c r="O333" s="48"/>
      <c r="P333" s="48"/>
      <c r="Q333" s="50">
        <v>1.0</v>
      </c>
      <c r="R333" s="59">
        <v>46188.0</v>
      </c>
      <c r="S333" s="59">
        <v>46192.0</v>
      </c>
      <c r="T333" s="59"/>
      <c r="U333" s="48"/>
      <c r="V333" s="50" t="s">
        <v>1321</v>
      </c>
      <c r="W333" s="48"/>
      <c r="X333" s="50" t="s">
        <v>12</v>
      </c>
      <c r="Y333" s="50" t="s">
        <v>1322</v>
      </c>
      <c r="Z333" s="50">
        <v>3.040326276E9</v>
      </c>
      <c r="AA333" s="50" t="s">
        <v>12</v>
      </c>
      <c r="AB333" s="50" t="s">
        <v>1322</v>
      </c>
      <c r="AC333" s="50" t="s">
        <v>1336</v>
      </c>
      <c r="AD333" s="48"/>
      <c r="AE333" s="48"/>
      <c r="AF333" s="48"/>
      <c r="AG333" s="48"/>
    </row>
    <row r="334">
      <c r="A334" s="47">
        <f>COUNTIF('Histórico'!$B:$B,B334)</f>
        <v>1</v>
      </c>
      <c r="B334" s="47" t="s">
        <v>1169</v>
      </c>
      <c r="C334" s="48"/>
      <c r="D334" s="50" t="s">
        <v>1314</v>
      </c>
      <c r="E334" s="50" t="s">
        <v>2007</v>
      </c>
      <c r="F334" s="59">
        <v>46188.0</v>
      </c>
      <c r="G334" s="50" t="s">
        <v>1316</v>
      </c>
      <c r="H334" s="59"/>
      <c r="I334" s="47" t="s">
        <v>1436</v>
      </c>
      <c r="J334" s="47" t="s">
        <v>1395</v>
      </c>
      <c r="K334" s="47" t="s">
        <v>1437</v>
      </c>
      <c r="L334" s="60" t="s">
        <v>2008</v>
      </c>
      <c r="M334" s="48"/>
      <c r="N334" s="48"/>
      <c r="O334" s="48"/>
      <c r="P334" s="48"/>
      <c r="Q334" s="50">
        <v>1.0</v>
      </c>
      <c r="R334" s="59">
        <v>46188.0</v>
      </c>
      <c r="S334" s="59">
        <v>46192.0</v>
      </c>
      <c r="T334" s="59"/>
      <c r="U334" s="48"/>
      <c r="V334" s="50" t="s">
        <v>1321</v>
      </c>
      <c r="W334" s="48"/>
      <c r="X334" s="50" t="s">
        <v>12</v>
      </c>
      <c r="Y334" s="50" t="s">
        <v>1322</v>
      </c>
      <c r="Z334" s="50">
        <v>3.040327144E9</v>
      </c>
      <c r="AA334" s="50" t="s">
        <v>1352</v>
      </c>
      <c r="AB334" s="50" t="s">
        <v>1430</v>
      </c>
      <c r="AC334" s="50" t="s">
        <v>2009</v>
      </c>
      <c r="AD334" s="48"/>
      <c r="AE334" s="48"/>
      <c r="AF334" s="48"/>
      <c r="AG334" s="48"/>
    </row>
    <row r="335">
      <c r="A335" s="47">
        <f>COUNTIF('Histórico'!$B:$B,B335)</f>
        <v>1</v>
      </c>
      <c r="B335" s="47" t="s">
        <v>1223</v>
      </c>
      <c r="C335" s="48"/>
      <c r="D335" s="50" t="s">
        <v>1314</v>
      </c>
      <c r="E335" s="50" t="s">
        <v>2007</v>
      </c>
      <c r="F335" s="59">
        <v>46231.0</v>
      </c>
      <c r="G335" s="50" t="s">
        <v>1316</v>
      </c>
      <c r="H335" s="59"/>
      <c r="I335" s="47" t="s">
        <v>2010</v>
      </c>
      <c r="J335" s="47" t="s">
        <v>2011</v>
      </c>
      <c r="K335" s="47" t="s">
        <v>2012</v>
      </c>
      <c r="L335" s="60" t="s">
        <v>2013</v>
      </c>
      <c r="M335" s="48"/>
      <c r="N335" s="48"/>
      <c r="O335" s="48"/>
      <c r="P335" s="48"/>
      <c r="Q335" s="50">
        <v>1.0</v>
      </c>
      <c r="R335" s="59">
        <v>46231.0</v>
      </c>
      <c r="S335" s="59">
        <v>46237.0</v>
      </c>
      <c r="T335" s="59"/>
      <c r="U335" s="48"/>
      <c r="V335" s="50" t="s">
        <v>1321</v>
      </c>
      <c r="W335" s="48"/>
      <c r="X335" s="50" t="s">
        <v>12</v>
      </c>
      <c r="Y335" s="50" t="s">
        <v>1322</v>
      </c>
      <c r="Z335" s="50">
        <v>3.040328253E9</v>
      </c>
      <c r="AA335" s="50" t="s">
        <v>12</v>
      </c>
      <c r="AB335" s="50" t="s">
        <v>1322</v>
      </c>
      <c r="AC335" s="50" t="s">
        <v>1369</v>
      </c>
      <c r="AD335" s="48"/>
      <c r="AE335" s="48"/>
      <c r="AF335" s="48"/>
      <c r="AG335" s="48"/>
    </row>
    <row r="336">
      <c r="A336" s="47">
        <f>COUNTIF('Histórico'!$B:$B,B336)</f>
        <v>1</v>
      </c>
      <c r="B336" s="47" t="s">
        <v>1224</v>
      </c>
      <c r="C336" s="48"/>
      <c r="D336" s="50" t="s">
        <v>1314</v>
      </c>
      <c r="E336" s="50" t="s">
        <v>2007</v>
      </c>
      <c r="F336" s="59">
        <v>46231.0</v>
      </c>
      <c r="G336" s="50" t="s">
        <v>1316</v>
      </c>
      <c r="H336" s="59"/>
      <c r="I336" s="47" t="s">
        <v>2010</v>
      </c>
      <c r="J336" s="47" t="s">
        <v>2011</v>
      </c>
      <c r="K336" s="47" t="s">
        <v>2012</v>
      </c>
      <c r="L336" s="60" t="s">
        <v>2014</v>
      </c>
      <c r="M336" s="48"/>
      <c r="N336" s="48"/>
      <c r="O336" s="48"/>
      <c r="P336" s="48"/>
      <c r="Q336" s="50">
        <v>1.0</v>
      </c>
      <c r="R336" s="59">
        <v>46231.0</v>
      </c>
      <c r="S336" s="59">
        <v>46237.0</v>
      </c>
      <c r="T336" s="59"/>
      <c r="U336" s="48"/>
      <c r="V336" s="50" t="s">
        <v>1321</v>
      </c>
      <c r="W336" s="48"/>
      <c r="X336" s="50" t="s">
        <v>12</v>
      </c>
      <c r="Y336" s="50" t="s">
        <v>1322</v>
      </c>
      <c r="Z336" s="50">
        <v>3.040328254E9</v>
      </c>
      <c r="AA336" s="50" t="s">
        <v>12</v>
      </c>
      <c r="AB336" s="50" t="s">
        <v>1322</v>
      </c>
      <c r="AC336" s="50" t="s">
        <v>1369</v>
      </c>
      <c r="AD336" s="48"/>
      <c r="AE336" s="48"/>
      <c r="AF336" s="48"/>
      <c r="AG336" s="48"/>
    </row>
    <row r="337">
      <c r="A337" s="47">
        <f>COUNTIF('Histórico'!$B:$B,B337)</f>
        <v>1</v>
      </c>
      <c r="B337" s="47" t="s">
        <v>1225</v>
      </c>
      <c r="C337" s="48"/>
      <c r="D337" s="50" t="s">
        <v>1314</v>
      </c>
      <c r="E337" s="50" t="s">
        <v>2007</v>
      </c>
      <c r="F337" s="59">
        <v>46231.0</v>
      </c>
      <c r="G337" s="50" t="s">
        <v>1316</v>
      </c>
      <c r="H337" s="59"/>
      <c r="I337" s="47" t="s">
        <v>2010</v>
      </c>
      <c r="J337" s="47" t="s">
        <v>2011</v>
      </c>
      <c r="K337" s="47" t="s">
        <v>2012</v>
      </c>
      <c r="L337" s="60" t="s">
        <v>2015</v>
      </c>
      <c r="M337" s="48"/>
      <c r="N337" s="48"/>
      <c r="O337" s="48"/>
      <c r="P337" s="48"/>
      <c r="Q337" s="50">
        <v>1.0</v>
      </c>
      <c r="R337" s="59">
        <v>46231.0</v>
      </c>
      <c r="S337" s="59">
        <v>46237.0</v>
      </c>
      <c r="T337" s="59"/>
      <c r="U337" s="48"/>
      <c r="V337" s="50" t="s">
        <v>1321</v>
      </c>
      <c r="W337" s="48"/>
      <c r="X337" s="50" t="s">
        <v>12</v>
      </c>
      <c r="Y337" s="50" t="s">
        <v>1322</v>
      </c>
      <c r="Z337" s="50">
        <v>3.040328255E9</v>
      </c>
      <c r="AA337" s="50" t="s">
        <v>12</v>
      </c>
      <c r="AB337" s="50" t="s">
        <v>1322</v>
      </c>
      <c r="AC337" s="50" t="s">
        <v>1369</v>
      </c>
      <c r="AD337" s="48"/>
      <c r="AE337" s="48"/>
      <c r="AF337" s="48"/>
      <c r="AG337" s="48"/>
    </row>
    <row r="338">
      <c r="A338" s="47">
        <f>COUNTIF('Histórico'!$B:$B,B338)</f>
        <v>1</v>
      </c>
      <c r="B338" s="47" t="s">
        <v>1226</v>
      </c>
      <c r="C338" s="48"/>
      <c r="D338" s="50" t="s">
        <v>1314</v>
      </c>
      <c r="E338" s="50" t="s">
        <v>2007</v>
      </c>
      <c r="F338" s="59">
        <v>46231.0</v>
      </c>
      <c r="G338" s="50" t="s">
        <v>1316</v>
      </c>
      <c r="H338" s="59"/>
      <c r="I338" s="47" t="s">
        <v>2010</v>
      </c>
      <c r="J338" s="47" t="s">
        <v>2011</v>
      </c>
      <c r="K338" s="47" t="s">
        <v>2012</v>
      </c>
      <c r="L338" s="60" t="s">
        <v>2016</v>
      </c>
      <c r="M338" s="48"/>
      <c r="N338" s="48"/>
      <c r="O338" s="48"/>
      <c r="P338" s="48"/>
      <c r="Q338" s="50">
        <v>1.0</v>
      </c>
      <c r="R338" s="59">
        <v>46231.0</v>
      </c>
      <c r="S338" s="59">
        <v>46237.0</v>
      </c>
      <c r="T338" s="59"/>
      <c r="U338" s="48"/>
      <c r="V338" s="50" t="s">
        <v>1321</v>
      </c>
      <c r="W338" s="48"/>
      <c r="X338" s="50" t="s">
        <v>12</v>
      </c>
      <c r="Y338" s="50" t="s">
        <v>1322</v>
      </c>
      <c r="Z338" s="50">
        <v>3.040328256E9</v>
      </c>
      <c r="AA338" s="50" t="s">
        <v>12</v>
      </c>
      <c r="AB338" s="50" t="s">
        <v>1322</v>
      </c>
      <c r="AC338" s="50" t="s">
        <v>1369</v>
      </c>
      <c r="AD338" s="48"/>
      <c r="AE338" s="48"/>
      <c r="AF338" s="48"/>
      <c r="AG338" s="48"/>
    </row>
    <row r="339">
      <c r="A339" s="47">
        <f>COUNTIF('Histórico'!$B:$B,B339)</f>
        <v>1</v>
      </c>
      <c r="B339" s="47" t="s">
        <v>1227</v>
      </c>
      <c r="C339" s="48"/>
      <c r="D339" s="50" t="s">
        <v>1314</v>
      </c>
      <c r="E339" s="50" t="s">
        <v>2007</v>
      </c>
      <c r="F339" s="59">
        <v>46231.0</v>
      </c>
      <c r="G339" s="50" t="s">
        <v>1316</v>
      </c>
      <c r="H339" s="59"/>
      <c r="I339" s="47" t="s">
        <v>2010</v>
      </c>
      <c r="J339" s="47" t="s">
        <v>2011</v>
      </c>
      <c r="K339" s="47" t="s">
        <v>2012</v>
      </c>
      <c r="L339" s="60" t="s">
        <v>2017</v>
      </c>
      <c r="M339" s="48"/>
      <c r="N339" s="48"/>
      <c r="O339" s="48"/>
      <c r="P339" s="48"/>
      <c r="Q339" s="50">
        <v>1.0</v>
      </c>
      <c r="R339" s="59">
        <v>46231.0</v>
      </c>
      <c r="S339" s="59">
        <v>46237.0</v>
      </c>
      <c r="T339" s="59"/>
      <c r="U339" s="48"/>
      <c r="V339" s="50" t="s">
        <v>1321</v>
      </c>
      <c r="W339" s="48"/>
      <c r="X339" s="50" t="s">
        <v>12</v>
      </c>
      <c r="Y339" s="50" t="s">
        <v>1322</v>
      </c>
      <c r="Z339" s="50">
        <v>3.040328257E9</v>
      </c>
      <c r="AA339" s="50" t="s">
        <v>12</v>
      </c>
      <c r="AB339" s="50" t="s">
        <v>1322</v>
      </c>
      <c r="AC339" s="50" t="s">
        <v>1369</v>
      </c>
      <c r="AD339" s="48"/>
      <c r="AE339" s="48"/>
      <c r="AF339" s="48"/>
      <c r="AG339" s="48"/>
    </row>
    <row r="340">
      <c r="A340" s="47">
        <f>COUNTIF('Histórico'!$B:$B,B340)</f>
        <v>1</v>
      </c>
      <c r="B340" s="47" t="s">
        <v>1230</v>
      </c>
      <c r="C340" s="48"/>
      <c r="D340" s="50" t="s">
        <v>1314</v>
      </c>
      <c r="E340" s="50" t="s">
        <v>2007</v>
      </c>
      <c r="F340" s="59">
        <v>46231.0</v>
      </c>
      <c r="G340" s="50" t="s">
        <v>1316</v>
      </c>
      <c r="H340" s="59"/>
      <c r="I340" s="47" t="s">
        <v>1394</v>
      </c>
      <c r="J340" s="47" t="s">
        <v>1395</v>
      </c>
      <c r="K340" s="47" t="s">
        <v>1396</v>
      </c>
      <c r="L340" s="60" t="s">
        <v>2018</v>
      </c>
      <c r="M340" s="48"/>
      <c r="N340" s="48"/>
      <c r="O340" s="48"/>
      <c r="P340" s="48"/>
      <c r="Q340" s="50">
        <v>1.0</v>
      </c>
      <c r="R340" s="59">
        <v>46231.0</v>
      </c>
      <c r="S340" s="59">
        <v>46237.0</v>
      </c>
      <c r="T340" s="59"/>
      <c r="U340" s="48"/>
      <c r="V340" s="50" t="s">
        <v>1321</v>
      </c>
      <c r="W340" s="48"/>
      <c r="X340" s="50" t="s">
        <v>12</v>
      </c>
      <c r="Y340" s="50" t="s">
        <v>1322</v>
      </c>
      <c r="Z340" s="50">
        <v>3.040327143E9</v>
      </c>
      <c r="AA340" s="50" t="s">
        <v>1352</v>
      </c>
      <c r="AB340" s="50" t="s">
        <v>1430</v>
      </c>
      <c r="AC340" s="50" t="s">
        <v>2009</v>
      </c>
      <c r="AD340" s="48"/>
      <c r="AE340" s="48"/>
      <c r="AF340" s="48"/>
      <c r="AG340" s="48"/>
    </row>
    <row r="341">
      <c r="A341" s="47">
        <f>COUNTIF('Histórico'!$B:$B,B341)</f>
        <v>1</v>
      </c>
      <c r="B341" s="47" t="s">
        <v>1251</v>
      </c>
      <c r="C341" s="48"/>
      <c r="D341" s="50" t="s">
        <v>1314</v>
      </c>
      <c r="E341" s="50" t="s">
        <v>1315</v>
      </c>
      <c r="F341" s="59">
        <v>46254.0</v>
      </c>
      <c r="G341" s="50" t="s">
        <v>1316</v>
      </c>
      <c r="H341" s="59">
        <v>46254.0</v>
      </c>
      <c r="I341" s="47" t="s">
        <v>1745</v>
      </c>
      <c r="J341" s="47" t="s">
        <v>1318</v>
      </c>
      <c r="K341" s="47" t="s">
        <v>1746</v>
      </c>
      <c r="L341" s="60" t="s">
        <v>1951</v>
      </c>
      <c r="M341" s="48"/>
      <c r="N341" s="48"/>
      <c r="O341" s="48"/>
      <c r="P341" s="48"/>
      <c r="Q341" s="50">
        <v>1.0</v>
      </c>
      <c r="R341" s="59">
        <v>46253.0</v>
      </c>
      <c r="S341" s="59">
        <v>46259.0</v>
      </c>
      <c r="T341" s="59">
        <v>46254.0</v>
      </c>
      <c r="U341" s="48"/>
      <c r="V341" s="50" t="s">
        <v>1321</v>
      </c>
      <c r="W341" s="48"/>
      <c r="X341" s="50" t="s">
        <v>12</v>
      </c>
      <c r="Y341" s="50" t="s">
        <v>1322</v>
      </c>
      <c r="Z341" s="50">
        <v>3.040324236E9</v>
      </c>
      <c r="AA341" s="50" t="s">
        <v>17</v>
      </c>
      <c r="AB341" s="50" t="s">
        <v>1458</v>
      </c>
      <c r="AC341" s="50" t="s">
        <v>1689</v>
      </c>
      <c r="AD341" s="48"/>
      <c r="AE341" s="48"/>
      <c r="AF341" s="48"/>
      <c r="AG341" s="48"/>
    </row>
    <row r="342">
      <c r="A342" s="47">
        <f>COUNTIF('Histórico'!$B:$B,B342)</f>
        <v>1</v>
      </c>
      <c r="B342" s="47" t="s">
        <v>1252</v>
      </c>
      <c r="C342" s="48"/>
      <c r="D342" s="50" t="s">
        <v>1314</v>
      </c>
      <c r="E342" s="50" t="s">
        <v>1315</v>
      </c>
      <c r="F342" s="59">
        <v>46254.0</v>
      </c>
      <c r="G342" s="50" t="s">
        <v>1316</v>
      </c>
      <c r="H342" s="59">
        <v>46254.0</v>
      </c>
      <c r="I342" s="47" t="s">
        <v>1745</v>
      </c>
      <c r="J342" s="47" t="s">
        <v>1318</v>
      </c>
      <c r="K342" s="47" t="s">
        <v>1746</v>
      </c>
      <c r="L342" s="60" t="s">
        <v>1953</v>
      </c>
      <c r="M342" s="48"/>
      <c r="N342" s="48"/>
      <c r="O342" s="48"/>
      <c r="P342" s="48"/>
      <c r="Q342" s="50">
        <v>1.0</v>
      </c>
      <c r="R342" s="59">
        <v>46253.0</v>
      </c>
      <c r="S342" s="59">
        <v>46259.0</v>
      </c>
      <c r="T342" s="59">
        <v>46254.0</v>
      </c>
      <c r="U342" s="48"/>
      <c r="V342" s="50" t="s">
        <v>1321</v>
      </c>
      <c r="W342" s="48"/>
      <c r="X342" s="50" t="s">
        <v>12</v>
      </c>
      <c r="Y342" s="50" t="s">
        <v>1322</v>
      </c>
      <c r="Z342" s="50">
        <v>3.040323053E9</v>
      </c>
      <c r="AA342" s="50" t="s">
        <v>15</v>
      </c>
      <c r="AB342" s="50" t="s">
        <v>1348</v>
      </c>
      <c r="AC342" s="50" t="s">
        <v>1641</v>
      </c>
      <c r="AD342" s="48"/>
      <c r="AE342" s="48"/>
      <c r="AF342" s="48"/>
      <c r="AG342" s="48"/>
    </row>
    <row r="343">
      <c r="A343" s="47">
        <f>COUNTIF('Histórico'!$B:$B,B343)</f>
        <v>1</v>
      </c>
      <c r="B343" s="47" t="s">
        <v>1234</v>
      </c>
      <c r="C343" s="48"/>
      <c r="D343" s="50" t="s">
        <v>1314</v>
      </c>
      <c r="E343" s="50" t="s">
        <v>1315</v>
      </c>
      <c r="F343" s="59">
        <v>46260.0</v>
      </c>
      <c r="G343" s="50" t="s">
        <v>1316</v>
      </c>
      <c r="H343" s="59">
        <v>46260.0</v>
      </c>
      <c r="I343" s="47" t="s">
        <v>1460</v>
      </c>
      <c r="J343" s="47" t="s">
        <v>1345</v>
      </c>
      <c r="K343" s="47" t="s">
        <v>1461</v>
      </c>
      <c r="L343" s="60" t="s">
        <v>1954</v>
      </c>
      <c r="M343" s="48"/>
      <c r="N343" s="48"/>
      <c r="O343" s="48"/>
      <c r="P343" s="48"/>
      <c r="Q343" s="50">
        <v>1.0</v>
      </c>
      <c r="R343" s="59">
        <v>46231.0</v>
      </c>
      <c r="S343" s="59">
        <v>46237.0</v>
      </c>
      <c r="T343" s="59">
        <v>46260.0</v>
      </c>
      <c r="U343" s="48"/>
      <c r="V343" s="50" t="s">
        <v>1321</v>
      </c>
      <c r="W343" s="48"/>
      <c r="X343" s="50" t="s">
        <v>12</v>
      </c>
      <c r="Y343" s="50" t="s">
        <v>1322</v>
      </c>
      <c r="Z343" s="50">
        <v>3.040148938E9</v>
      </c>
      <c r="AA343" s="50" t="s">
        <v>1491</v>
      </c>
      <c r="AB343" s="50" t="s">
        <v>1492</v>
      </c>
      <c r="AC343" s="50" t="s">
        <v>1955</v>
      </c>
      <c r="AD343" s="48"/>
      <c r="AE343" s="48"/>
      <c r="AF343" s="48"/>
      <c r="AG343" s="48"/>
    </row>
    <row r="344">
      <c r="A344" s="47">
        <f>COUNTIF('Histórico'!$B:$B,B344)</f>
        <v>1</v>
      </c>
      <c r="B344" s="47" t="s">
        <v>1253</v>
      </c>
      <c r="C344" s="48"/>
      <c r="D344" s="50" t="s">
        <v>1314</v>
      </c>
      <c r="E344" s="50" t="s">
        <v>1315</v>
      </c>
      <c r="F344" s="59">
        <v>46265.0</v>
      </c>
      <c r="G344" s="50" t="s">
        <v>1316</v>
      </c>
      <c r="H344" s="59">
        <v>46265.0</v>
      </c>
      <c r="I344" s="47" t="s">
        <v>169</v>
      </c>
      <c r="J344" s="47" t="s">
        <v>48</v>
      </c>
      <c r="K344" s="47" t="s">
        <v>170</v>
      </c>
      <c r="L344" s="60" t="s">
        <v>1958</v>
      </c>
      <c r="M344" s="48"/>
      <c r="N344" s="48"/>
      <c r="O344" s="48"/>
      <c r="P344" s="48"/>
      <c r="Q344" s="50">
        <v>1.0</v>
      </c>
      <c r="R344" s="59">
        <v>46265.0</v>
      </c>
      <c r="S344" s="59">
        <v>46293.0</v>
      </c>
      <c r="T344" s="59">
        <v>46265.0</v>
      </c>
      <c r="U344" s="48"/>
      <c r="V344" s="50" t="s">
        <v>1321</v>
      </c>
      <c r="W344" s="48"/>
      <c r="X344" s="50" t="s">
        <v>12</v>
      </c>
      <c r="Y344" s="50" t="s">
        <v>1322</v>
      </c>
      <c r="Z344" s="50">
        <v>3.040253768E9</v>
      </c>
      <c r="AA344" s="50" t="s">
        <v>12</v>
      </c>
      <c r="AB344" s="50" t="s">
        <v>1385</v>
      </c>
      <c r="AC344" s="50" t="s">
        <v>1959</v>
      </c>
      <c r="AD344" s="48"/>
      <c r="AE344" s="48"/>
      <c r="AF344" s="48"/>
      <c r="AG344" s="48"/>
    </row>
    <row r="345">
      <c r="A345" s="47">
        <f>COUNTIF('Histórico'!$B:$B,B345)</f>
        <v>1</v>
      </c>
      <c r="B345" s="47" t="s">
        <v>1254</v>
      </c>
      <c r="C345" s="48"/>
      <c r="D345" s="50" t="s">
        <v>1314</v>
      </c>
      <c r="E345" s="50" t="s">
        <v>1315</v>
      </c>
      <c r="F345" s="59">
        <v>46265.0</v>
      </c>
      <c r="G345" s="50" t="s">
        <v>1316</v>
      </c>
      <c r="H345" s="59">
        <v>46265.0</v>
      </c>
      <c r="I345" s="47" t="s">
        <v>169</v>
      </c>
      <c r="J345" s="47" t="s">
        <v>48</v>
      </c>
      <c r="K345" s="47" t="s">
        <v>170</v>
      </c>
      <c r="L345" s="60" t="s">
        <v>1956</v>
      </c>
      <c r="M345" s="48"/>
      <c r="N345" s="48"/>
      <c r="O345" s="48"/>
      <c r="P345" s="48"/>
      <c r="Q345" s="50">
        <v>1.0</v>
      </c>
      <c r="R345" s="59">
        <v>46265.0</v>
      </c>
      <c r="S345" s="59">
        <v>46269.0</v>
      </c>
      <c r="T345" s="59">
        <v>46265.0</v>
      </c>
      <c r="U345" s="48"/>
      <c r="V345" s="50" t="s">
        <v>1321</v>
      </c>
      <c r="W345" s="48"/>
      <c r="X345" s="50" t="s">
        <v>12</v>
      </c>
      <c r="Y345" s="50" t="s">
        <v>1322</v>
      </c>
      <c r="Z345" s="50">
        <v>3.04023719E9</v>
      </c>
      <c r="AA345" s="50" t="s">
        <v>1376</v>
      </c>
      <c r="AB345" s="50" t="s">
        <v>1377</v>
      </c>
      <c r="AC345" s="50" t="s">
        <v>1369</v>
      </c>
      <c r="AD345" s="48"/>
      <c r="AE345" s="48"/>
      <c r="AF345" s="48"/>
      <c r="AG345" s="48"/>
    </row>
    <row r="346">
      <c r="A346" s="47">
        <f>COUNTIF('Histórico'!$B:$B,B346)</f>
        <v>1</v>
      </c>
      <c r="B346" s="47" t="s">
        <v>1255</v>
      </c>
      <c r="C346" s="48"/>
      <c r="D346" s="50" t="s">
        <v>1314</v>
      </c>
      <c r="E346" s="50" t="s">
        <v>1315</v>
      </c>
      <c r="F346" s="59">
        <v>46265.0</v>
      </c>
      <c r="G346" s="50" t="s">
        <v>1316</v>
      </c>
      <c r="H346" s="59">
        <v>46265.0</v>
      </c>
      <c r="I346" s="47" t="s">
        <v>169</v>
      </c>
      <c r="J346" s="47" t="s">
        <v>48</v>
      </c>
      <c r="K346" s="47" t="s">
        <v>170</v>
      </c>
      <c r="L346" s="60" t="s">
        <v>1957</v>
      </c>
      <c r="M346" s="48"/>
      <c r="N346" s="48"/>
      <c r="O346" s="48"/>
      <c r="P346" s="48"/>
      <c r="Q346" s="50">
        <v>1.0</v>
      </c>
      <c r="R346" s="59">
        <v>46265.0</v>
      </c>
      <c r="S346" s="59">
        <v>46269.0</v>
      </c>
      <c r="T346" s="59">
        <v>46265.0</v>
      </c>
      <c r="U346" s="48"/>
      <c r="V346" s="50" t="s">
        <v>1321</v>
      </c>
      <c r="W346" s="48"/>
      <c r="X346" s="50" t="s">
        <v>12</v>
      </c>
      <c r="Y346" s="50" t="s">
        <v>1322</v>
      </c>
      <c r="Z346" s="50">
        <v>3.040083159E9</v>
      </c>
      <c r="AA346" s="50" t="s">
        <v>12</v>
      </c>
      <c r="AB346" s="50" t="s">
        <v>1385</v>
      </c>
      <c r="AC346" s="50" t="s">
        <v>1835</v>
      </c>
      <c r="AD346" s="48"/>
      <c r="AE346" s="48"/>
      <c r="AF346" s="48"/>
      <c r="AG346" s="48"/>
    </row>
    <row r="347">
      <c r="A347" s="47">
        <f>COUNTIF('Histórico'!$B:$B,B347)</f>
        <v>1</v>
      </c>
      <c r="B347" s="47" t="s">
        <v>1256</v>
      </c>
      <c r="C347" s="48"/>
      <c r="D347" s="50" t="s">
        <v>1314</v>
      </c>
      <c r="E347" s="50" t="s">
        <v>1315</v>
      </c>
      <c r="F347" s="59">
        <v>46265.0</v>
      </c>
      <c r="G347" s="50" t="s">
        <v>1316</v>
      </c>
      <c r="H347" s="59">
        <v>46265.0</v>
      </c>
      <c r="I347" s="47" t="s">
        <v>169</v>
      </c>
      <c r="J347" s="47" t="s">
        <v>48</v>
      </c>
      <c r="K347" s="47" t="s">
        <v>170</v>
      </c>
      <c r="L347" s="60" t="s">
        <v>1960</v>
      </c>
      <c r="M347" s="48"/>
      <c r="N347" s="48"/>
      <c r="O347" s="48"/>
      <c r="P347" s="48"/>
      <c r="Q347" s="50">
        <v>1.0</v>
      </c>
      <c r="R347" s="59">
        <v>46265.0</v>
      </c>
      <c r="S347" s="59">
        <v>46269.0</v>
      </c>
      <c r="T347" s="59">
        <v>46265.0</v>
      </c>
      <c r="U347" s="48"/>
      <c r="V347" s="50" t="s">
        <v>1321</v>
      </c>
      <c r="W347" s="48"/>
      <c r="X347" s="50" t="s">
        <v>12</v>
      </c>
      <c r="Y347" s="50" t="s">
        <v>1322</v>
      </c>
      <c r="Z347" s="50">
        <v>3.040286561E9</v>
      </c>
      <c r="AA347" s="50" t="s">
        <v>19</v>
      </c>
      <c r="AB347" s="50" t="s">
        <v>1402</v>
      </c>
      <c r="AC347" s="50" t="s">
        <v>2019</v>
      </c>
      <c r="AD347" s="48"/>
      <c r="AE347" s="48"/>
      <c r="AF347" s="48"/>
      <c r="AG347" s="48"/>
    </row>
    <row r="348">
      <c r="A348" s="47">
        <f>COUNTIF('Histórico'!$B:$B,B348)</f>
        <v>1</v>
      </c>
      <c r="B348" s="47" t="s">
        <v>655</v>
      </c>
      <c r="C348" s="48"/>
      <c r="D348" s="50" t="s">
        <v>1314</v>
      </c>
      <c r="E348" s="50" t="s">
        <v>2007</v>
      </c>
      <c r="F348" s="59">
        <v>45910.0</v>
      </c>
      <c r="G348" s="50" t="s">
        <v>1316</v>
      </c>
      <c r="H348" s="59"/>
      <c r="I348" s="47" t="s">
        <v>63</v>
      </c>
      <c r="J348" s="47" t="s">
        <v>1395</v>
      </c>
      <c r="K348" s="47" t="s">
        <v>1432</v>
      </c>
      <c r="L348" s="60" t="s">
        <v>1966</v>
      </c>
      <c r="M348" s="48"/>
      <c r="N348" s="48"/>
      <c r="O348" s="48"/>
      <c r="P348" s="48"/>
      <c r="Q348" s="50">
        <v>1.0</v>
      </c>
      <c r="R348" s="59">
        <v>45910.0</v>
      </c>
      <c r="S348" s="61">
        <v>45971.0</v>
      </c>
      <c r="T348" s="59"/>
      <c r="U348" s="48"/>
      <c r="V348" s="50" t="s">
        <v>1321</v>
      </c>
      <c r="W348" s="48"/>
      <c r="X348" s="50" t="s">
        <v>12</v>
      </c>
      <c r="Y348" s="50" t="s">
        <v>1322</v>
      </c>
      <c r="Z348" s="50">
        <v>3.040245069E9</v>
      </c>
      <c r="AA348" s="50" t="s">
        <v>1364</v>
      </c>
      <c r="AB348" s="50" t="s">
        <v>1528</v>
      </c>
      <c r="AC348" s="50" t="s">
        <v>1529</v>
      </c>
      <c r="AD348" s="48"/>
      <c r="AE348" s="48"/>
      <c r="AF348" s="48"/>
      <c r="AG348" s="48"/>
    </row>
    <row r="349">
      <c r="A349" s="47">
        <f>COUNTIF('Histórico'!$B:$B,B349)</f>
        <v>1</v>
      </c>
      <c r="B349" s="47" t="s">
        <v>1168</v>
      </c>
      <c r="C349" s="48"/>
      <c r="D349" s="50" t="s">
        <v>1314</v>
      </c>
      <c r="E349" s="50" t="s">
        <v>2007</v>
      </c>
      <c r="F349" s="59">
        <v>46188.0</v>
      </c>
      <c r="G349" s="50" t="s">
        <v>1316</v>
      </c>
      <c r="H349" s="59"/>
      <c r="I349" s="47" t="s">
        <v>63</v>
      </c>
      <c r="J349" s="47" t="s">
        <v>1395</v>
      </c>
      <c r="K349" s="47" t="s">
        <v>1432</v>
      </c>
      <c r="L349" s="60" t="s">
        <v>348</v>
      </c>
      <c r="M349" s="48"/>
      <c r="N349" s="48"/>
      <c r="O349" s="48"/>
      <c r="P349" s="48"/>
      <c r="Q349" s="50">
        <v>1.0</v>
      </c>
      <c r="R349" s="59">
        <v>46188.0</v>
      </c>
      <c r="S349" s="59">
        <v>46192.0</v>
      </c>
      <c r="T349" s="59"/>
      <c r="U349" s="48"/>
      <c r="V349" s="50" t="s">
        <v>1321</v>
      </c>
      <c r="W349" s="48"/>
      <c r="X349" s="50" t="s">
        <v>12</v>
      </c>
      <c r="Y349" s="50" t="s">
        <v>1322</v>
      </c>
      <c r="Z349" s="50">
        <v>3.040326276E9</v>
      </c>
      <c r="AA349" s="50" t="s">
        <v>12</v>
      </c>
      <c r="AB349" s="50" t="s">
        <v>1322</v>
      </c>
      <c r="AC349" s="50" t="s">
        <v>1336</v>
      </c>
      <c r="AD349" s="48"/>
      <c r="AE349" s="48"/>
      <c r="AF349" s="48"/>
      <c r="AG349" s="48"/>
    </row>
    <row r="350">
      <c r="A350" s="47">
        <f>COUNTIF('Histórico'!$B:$B,B350)</f>
        <v>1</v>
      </c>
      <c r="B350" s="47" t="s">
        <v>1169</v>
      </c>
      <c r="C350" s="48"/>
      <c r="D350" s="50" t="s">
        <v>1314</v>
      </c>
      <c r="E350" s="50" t="s">
        <v>2007</v>
      </c>
      <c r="F350" s="59">
        <v>46188.0</v>
      </c>
      <c r="G350" s="50" t="s">
        <v>1316</v>
      </c>
      <c r="H350" s="59"/>
      <c r="I350" s="47" t="s">
        <v>1436</v>
      </c>
      <c r="J350" s="47" t="s">
        <v>1395</v>
      </c>
      <c r="K350" s="47" t="s">
        <v>1437</v>
      </c>
      <c r="L350" s="60" t="s">
        <v>2008</v>
      </c>
      <c r="M350" s="48"/>
      <c r="N350" s="48"/>
      <c r="O350" s="48"/>
      <c r="P350" s="48"/>
      <c r="Q350" s="50">
        <v>1.0</v>
      </c>
      <c r="R350" s="59">
        <v>46188.0</v>
      </c>
      <c r="S350" s="59">
        <v>46192.0</v>
      </c>
      <c r="T350" s="59"/>
      <c r="U350" s="48"/>
      <c r="V350" s="50" t="s">
        <v>1321</v>
      </c>
      <c r="W350" s="48"/>
      <c r="X350" s="50" t="s">
        <v>12</v>
      </c>
      <c r="Y350" s="50" t="s">
        <v>1322</v>
      </c>
      <c r="Z350" s="50">
        <v>3.040327144E9</v>
      </c>
      <c r="AA350" s="50" t="s">
        <v>1352</v>
      </c>
      <c r="AB350" s="50" t="s">
        <v>1430</v>
      </c>
      <c r="AC350" s="50" t="s">
        <v>2009</v>
      </c>
      <c r="AD350" s="48"/>
      <c r="AE350" s="48"/>
      <c r="AF350" s="48"/>
      <c r="AG350" s="48"/>
    </row>
    <row r="351">
      <c r="A351" s="47">
        <f>COUNTIF('Histórico'!$B:$B,B351)</f>
        <v>1</v>
      </c>
      <c r="B351" s="47" t="s">
        <v>1223</v>
      </c>
      <c r="C351" s="48"/>
      <c r="D351" s="50" t="s">
        <v>1314</v>
      </c>
      <c r="E351" s="50" t="s">
        <v>2007</v>
      </c>
      <c r="F351" s="59">
        <v>46231.0</v>
      </c>
      <c r="G351" s="50" t="s">
        <v>1316</v>
      </c>
      <c r="H351" s="59"/>
      <c r="I351" s="47" t="s">
        <v>2010</v>
      </c>
      <c r="J351" s="47" t="s">
        <v>2011</v>
      </c>
      <c r="K351" s="47" t="s">
        <v>2012</v>
      </c>
      <c r="L351" s="60" t="s">
        <v>2013</v>
      </c>
      <c r="M351" s="48"/>
      <c r="N351" s="48"/>
      <c r="O351" s="48"/>
      <c r="P351" s="48"/>
      <c r="Q351" s="50">
        <v>1.0</v>
      </c>
      <c r="R351" s="59">
        <v>46231.0</v>
      </c>
      <c r="S351" s="59">
        <v>46237.0</v>
      </c>
      <c r="T351" s="59"/>
      <c r="U351" s="48"/>
      <c r="V351" s="50" t="s">
        <v>1321</v>
      </c>
      <c r="W351" s="48"/>
      <c r="X351" s="50" t="s">
        <v>12</v>
      </c>
      <c r="Y351" s="50" t="s">
        <v>1322</v>
      </c>
      <c r="Z351" s="50">
        <v>3.040328253E9</v>
      </c>
      <c r="AA351" s="50" t="s">
        <v>12</v>
      </c>
      <c r="AB351" s="50" t="s">
        <v>1322</v>
      </c>
      <c r="AC351" s="50" t="s">
        <v>1369</v>
      </c>
      <c r="AD351" s="48"/>
      <c r="AE351" s="48"/>
      <c r="AF351" s="48"/>
      <c r="AG351" s="48"/>
    </row>
    <row r="352">
      <c r="A352" s="47">
        <f>COUNTIF('Histórico'!$B:$B,B352)</f>
        <v>1</v>
      </c>
      <c r="B352" s="47" t="s">
        <v>1224</v>
      </c>
      <c r="C352" s="48"/>
      <c r="D352" s="50" t="s">
        <v>1314</v>
      </c>
      <c r="E352" s="50" t="s">
        <v>2007</v>
      </c>
      <c r="F352" s="59">
        <v>46231.0</v>
      </c>
      <c r="G352" s="50" t="s">
        <v>1316</v>
      </c>
      <c r="H352" s="59"/>
      <c r="I352" s="47" t="s">
        <v>2010</v>
      </c>
      <c r="J352" s="47" t="s">
        <v>2011</v>
      </c>
      <c r="K352" s="47" t="s">
        <v>2012</v>
      </c>
      <c r="L352" s="60" t="s">
        <v>2014</v>
      </c>
      <c r="M352" s="48"/>
      <c r="N352" s="48"/>
      <c r="O352" s="48"/>
      <c r="P352" s="48"/>
      <c r="Q352" s="50">
        <v>1.0</v>
      </c>
      <c r="R352" s="59">
        <v>46231.0</v>
      </c>
      <c r="S352" s="59">
        <v>46237.0</v>
      </c>
      <c r="T352" s="59"/>
      <c r="U352" s="48"/>
      <c r="V352" s="50" t="s">
        <v>1321</v>
      </c>
      <c r="W352" s="48"/>
      <c r="X352" s="50" t="s">
        <v>12</v>
      </c>
      <c r="Y352" s="50" t="s">
        <v>1322</v>
      </c>
      <c r="Z352" s="50">
        <v>3.040328254E9</v>
      </c>
      <c r="AA352" s="50" t="s">
        <v>12</v>
      </c>
      <c r="AB352" s="50" t="s">
        <v>1322</v>
      </c>
      <c r="AC352" s="50" t="s">
        <v>1369</v>
      </c>
      <c r="AD352" s="48"/>
      <c r="AE352" s="48"/>
      <c r="AF352" s="48"/>
      <c r="AG352" s="48"/>
    </row>
    <row r="353">
      <c r="A353" s="47">
        <f>COUNTIF('Histórico'!$B:$B,B353)</f>
        <v>1</v>
      </c>
      <c r="B353" s="47" t="s">
        <v>1225</v>
      </c>
      <c r="C353" s="48"/>
      <c r="D353" s="50" t="s">
        <v>1314</v>
      </c>
      <c r="E353" s="50" t="s">
        <v>2007</v>
      </c>
      <c r="F353" s="59">
        <v>46231.0</v>
      </c>
      <c r="G353" s="50" t="s">
        <v>1316</v>
      </c>
      <c r="H353" s="59"/>
      <c r="I353" s="47" t="s">
        <v>2010</v>
      </c>
      <c r="J353" s="47" t="s">
        <v>2011</v>
      </c>
      <c r="K353" s="47" t="s">
        <v>2012</v>
      </c>
      <c r="L353" s="60" t="s">
        <v>2015</v>
      </c>
      <c r="M353" s="48"/>
      <c r="N353" s="48"/>
      <c r="O353" s="48"/>
      <c r="P353" s="48"/>
      <c r="Q353" s="50">
        <v>1.0</v>
      </c>
      <c r="R353" s="59">
        <v>46231.0</v>
      </c>
      <c r="S353" s="59">
        <v>46237.0</v>
      </c>
      <c r="T353" s="59"/>
      <c r="U353" s="48"/>
      <c r="V353" s="50" t="s">
        <v>1321</v>
      </c>
      <c r="W353" s="48"/>
      <c r="X353" s="50" t="s">
        <v>12</v>
      </c>
      <c r="Y353" s="50" t="s">
        <v>1322</v>
      </c>
      <c r="Z353" s="50">
        <v>3.040328255E9</v>
      </c>
      <c r="AA353" s="50" t="s">
        <v>12</v>
      </c>
      <c r="AB353" s="50" t="s">
        <v>1322</v>
      </c>
      <c r="AC353" s="50" t="s">
        <v>1369</v>
      </c>
      <c r="AD353" s="48"/>
      <c r="AE353" s="48"/>
      <c r="AF353" s="48"/>
      <c r="AG353" s="48"/>
    </row>
    <row r="354">
      <c r="A354" s="47">
        <f>COUNTIF('Histórico'!$B:$B,B354)</f>
        <v>1</v>
      </c>
      <c r="B354" s="47" t="s">
        <v>1226</v>
      </c>
      <c r="C354" s="48"/>
      <c r="D354" s="50" t="s">
        <v>1314</v>
      </c>
      <c r="E354" s="50" t="s">
        <v>2007</v>
      </c>
      <c r="F354" s="59">
        <v>46231.0</v>
      </c>
      <c r="G354" s="50" t="s">
        <v>1316</v>
      </c>
      <c r="H354" s="59"/>
      <c r="I354" s="47" t="s">
        <v>2010</v>
      </c>
      <c r="J354" s="47" t="s">
        <v>2011</v>
      </c>
      <c r="K354" s="47" t="s">
        <v>2012</v>
      </c>
      <c r="L354" s="60" t="s">
        <v>2016</v>
      </c>
      <c r="M354" s="48"/>
      <c r="N354" s="48"/>
      <c r="O354" s="48"/>
      <c r="P354" s="48"/>
      <c r="Q354" s="50">
        <v>1.0</v>
      </c>
      <c r="R354" s="59">
        <v>46231.0</v>
      </c>
      <c r="S354" s="59">
        <v>46237.0</v>
      </c>
      <c r="T354" s="59"/>
      <c r="U354" s="48"/>
      <c r="V354" s="50" t="s">
        <v>1321</v>
      </c>
      <c r="W354" s="48"/>
      <c r="X354" s="50" t="s">
        <v>12</v>
      </c>
      <c r="Y354" s="50" t="s">
        <v>1322</v>
      </c>
      <c r="Z354" s="50">
        <v>3.040328256E9</v>
      </c>
      <c r="AA354" s="50" t="s">
        <v>12</v>
      </c>
      <c r="AB354" s="50" t="s">
        <v>1322</v>
      </c>
      <c r="AC354" s="50" t="s">
        <v>1369</v>
      </c>
      <c r="AD354" s="48"/>
      <c r="AE354" s="48"/>
      <c r="AF354" s="48"/>
      <c r="AG354" s="48"/>
    </row>
    <row r="355">
      <c r="A355" s="47">
        <f>COUNTIF('Histórico'!$B:$B,B355)</f>
        <v>1</v>
      </c>
      <c r="B355" s="47" t="s">
        <v>1227</v>
      </c>
      <c r="C355" s="48"/>
      <c r="D355" s="50" t="s">
        <v>1314</v>
      </c>
      <c r="E355" s="50" t="s">
        <v>2007</v>
      </c>
      <c r="F355" s="59">
        <v>46231.0</v>
      </c>
      <c r="G355" s="50" t="s">
        <v>1316</v>
      </c>
      <c r="H355" s="59"/>
      <c r="I355" s="47" t="s">
        <v>2010</v>
      </c>
      <c r="J355" s="47" t="s">
        <v>2011</v>
      </c>
      <c r="K355" s="47" t="s">
        <v>2012</v>
      </c>
      <c r="L355" s="60" t="s">
        <v>2017</v>
      </c>
      <c r="M355" s="48"/>
      <c r="N355" s="48"/>
      <c r="O355" s="48"/>
      <c r="P355" s="48"/>
      <c r="Q355" s="50">
        <v>1.0</v>
      </c>
      <c r="R355" s="59">
        <v>46231.0</v>
      </c>
      <c r="S355" s="59">
        <v>46237.0</v>
      </c>
      <c r="T355" s="59"/>
      <c r="U355" s="48"/>
      <c r="V355" s="50" t="s">
        <v>1321</v>
      </c>
      <c r="W355" s="48"/>
      <c r="X355" s="50" t="s">
        <v>12</v>
      </c>
      <c r="Y355" s="50" t="s">
        <v>1322</v>
      </c>
      <c r="Z355" s="50">
        <v>3.040328257E9</v>
      </c>
      <c r="AA355" s="50" t="s">
        <v>12</v>
      </c>
      <c r="AB355" s="50" t="s">
        <v>1322</v>
      </c>
      <c r="AC355" s="50" t="s">
        <v>1369</v>
      </c>
      <c r="AD355" s="48"/>
      <c r="AE355" s="48"/>
      <c r="AF355" s="48"/>
      <c r="AG355" s="48"/>
    </row>
    <row r="356">
      <c r="A356" s="47">
        <f>COUNTIF('Histórico'!$B:$B,B356)</f>
        <v>1</v>
      </c>
      <c r="B356" s="47" t="s">
        <v>1230</v>
      </c>
      <c r="C356" s="48"/>
      <c r="D356" s="50" t="s">
        <v>1314</v>
      </c>
      <c r="E356" s="50" t="s">
        <v>2007</v>
      </c>
      <c r="F356" s="59">
        <v>46231.0</v>
      </c>
      <c r="G356" s="50" t="s">
        <v>1316</v>
      </c>
      <c r="H356" s="59"/>
      <c r="I356" s="47" t="s">
        <v>1394</v>
      </c>
      <c r="J356" s="47" t="s">
        <v>1395</v>
      </c>
      <c r="K356" s="47" t="s">
        <v>1396</v>
      </c>
      <c r="L356" s="60" t="s">
        <v>2018</v>
      </c>
      <c r="M356" s="48"/>
      <c r="N356" s="48"/>
      <c r="O356" s="48"/>
      <c r="P356" s="48"/>
      <c r="Q356" s="50">
        <v>1.0</v>
      </c>
      <c r="R356" s="59">
        <v>46231.0</v>
      </c>
      <c r="S356" s="59">
        <v>46237.0</v>
      </c>
      <c r="T356" s="59"/>
      <c r="U356" s="48"/>
      <c r="V356" s="50" t="s">
        <v>1321</v>
      </c>
      <c r="W356" s="48"/>
      <c r="X356" s="50" t="s">
        <v>12</v>
      </c>
      <c r="Y356" s="50" t="s">
        <v>1322</v>
      </c>
      <c r="Z356" s="50">
        <v>3.040327143E9</v>
      </c>
      <c r="AA356" s="50" t="s">
        <v>1352</v>
      </c>
      <c r="AB356" s="50" t="s">
        <v>1430</v>
      </c>
      <c r="AC356" s="50" t="s">
        <v>2009</v>
      </c>
      <c r="AD356" s="48"/>
      <c r="AE356" s="48"/>
      <c r="AF356" s="48"/>
      <c r="AG356" s="48"/>
    </row>
    <row r="357">
      <c r="A357" s="47">
        <f>COUNTIF('Histórico'!$B:$B,B357)</f>
        <v>0</v>
      </c>
      <c r="B357" s="47"/>
      <c r="C357" s="48"/>
      <c r="D357" s="50"/>
      <c r="E357" s="50"/>
      <c r="F357" s="59"/>
      <c r="G357" s="50"/>
      <c r="H357" s="59"/>
      <c r="I357" s="47"/>
      <c r="J357" s="50"/>
      <c r="K357" s="50"/>
      <c r="L357" s="58"/>
      <c r="M357" s="48"/>
      <c r="N357" s="48"/>
      <c r="O357" s="48"/>
      <c r="P357" s="48"/>
      <c r="Q357" s="50"/>
      <c r="R357" s="59"/>
      <c r="S357" s="59"/>
      <c r="T357" s="59"/>
      <c r="U357" s="48"/>
      <c r="V357" s="50"/>
      <c r="W357" s="48"/>
      <c r="X357" s="50"/>
      <c r="Y357" s="50"/>
      <c r="Z357" s="50"/>
      <c r="AA357" s="50"/>
      <c r="AB357" s="50"/>
      <c r="AC357" s="50"/>
      <c r="AD357" s="48"/>
      <c r="AE357" s="48"/>
      <c r="AF357" s="48"/>
      <c r="AG357" s="48"/>
    </row>
    <row r="358">
      <c r="A358" s="47">
        <f>COUNTIF('Histórico'!$B:$B,B358)</f>
        <v>0</v>
      </c>
      <c r="B358" s="47"/>
      <c r="C358" s="48"/>
      <c r="D358" s="50"/>
      <c r="E358" s="50"/>
      <c r="F358" s="59"/>
      <c r="G358" s="50"/>
      <c r="H358" s="59"/>
      <c r="I358" s="47"/>
      <c r="J358" s="50"/>
      <c r="K358" s="50"/>
      <c r="L358" s="58"/>
      <c r="M358" s="48"/>
      <c r="N358" s="48"/>
      <c r="O358" s="48"/>
      <c r="P358" s="48"/>
      <c r="Q358" s="50"/>
      <c r="R358" s="59"/>
      <c r="S358" s="59"/>
      <c r="T358" s="59"/>
      <c r="U358" s="48"/>
      <c r="V358" s="50"/>
      <c r="W358" s="48"/>
      <c r="X358" s="50"/>
      <c r="Y358" s="50"/>
      <c r="Z358" s="50"/>
      <c r="AA358" s="50"/>
      <c r="AB358" s="50"/>
      <c r="AC358" s="50"/>
      <c r="AD358" s="48"/>
      <c r="AE358" s="48"/>
      <c r="AF358" s="48"/>
      <c r="AG358" s="48"/>
    </row>
    <row r="359">
      <c r="A359" s="47">
        <f>COUNTIF('Histórico'!$B:$B,B359)</f>
        <v>0</v>
      </c>
      <c r="B359" s="47"/>
      <c r="C359" s="48"/>
      <c r="D359" s="50"/>
      <c r="E359" s="50"/>
      <c r="F359" s="59"/>
      <c r="G359" s="50"/>
      <c r="H359" s="59"/>
      <c r="I359" s="47"/>
      <c r="J359" s="50"/>
      <c r="K359" s="50"/>
      <c r="L359" s="58"/>
      <c r="M359" s="48"/>
      <c r="N359" s="48"/>
      <c r="O359" s="48"/>
      <c r="P359" s="48"/>
      <c r="Q359" s="50"/>
      <c r="R359" s="59"/>
      <c r="S359" s="59"/>
      <c r="T359" s="59"/>
      <c r="U359" s="48"/>
      <c r="V359" s="50"/>
      <c r="W359" s="48"/>
      <c r="X359" s="50"/>
      <c r="Y359" s="50"/>
      <c r="Z359" s="50"/>
      <c r="AA359" s="50"/>
      <c r="AB359" s="50"/>
      <c r="AC359" s="50"/>
      <c r="AD359" s="48"/>
      <c r="AE359" s="48"/>
      <c r="AF359" s="48"/>
      <c r="AG359" s="48"/>
    </row>
    <row r="360">
      <c r="A360" s="47">
        <f>COUNTIF('Histórico'!$B:$B,B360)</f>
        <v>0</v>
      </c>
      <c r="B360" s="47"/>
      <c r="C360" s="48"/>
      <c r="D360" s="50"/>
      <c r="E360" s="50"/>
      <c r="F360" s="59"/>
      <c r="G360" s="50"/>
      <c r="H360" s="59"/>
      <c r="I360" s="47"/>
      <c r="J360" s="50"/>
      <c r="K360" s="50"/>
      <c r="L360" s="58"/>
      <c r="M360" s="48"/>
      <c r="N360" s="48"/>
      <c r="O360" s="48"/>
      <c r="P360" s="48"/>
      <c r="Q360" s="50"/>
      <c r="R360" s="59"/>
      <c r="S360" s="59"/>
      <c r="T360" s="59"/>
      <c r="U360" s="48"/>
      <c r="V360" s="50"/>
      <c r="W360" s="48"/>
      <c r="X360" s="50"/>
      <c r="Y360" s="50"/>
      <c r="Z360" s="50"/>
      <c r="AA360" s="50"/>
      <c r="AB360" s="50"/>
      <c r="AC360" s="50"/>
      <c r="AD360" s="48"/>
      <c r="AE360" s="48"/>
      <c r="AF360" s="48"/>
      <c r="AG360" s="48"/>
    </row>
    <row r="361">
      <c r="A361" s="47">
        <f>COUNTIF('Histórico'!$B:$B,B361)</f>
        <v>0</v>
      </c>
      <c r="B361" s="47"/>
      <c r="C361" s="48"/>
      <c r="D361" s="50"/>
      <c r="E361" s="50"/>
      <c r="F361" s="59"/>
      <c r="G361" s="50"/>
      <c r="H361" s="59"/>
      <c r="I361" s="47"/>
      <c r="J361" s="50"/>
      <c r="K361" s="50"/>
      <c r="L361" s="58"/>
      <c r="M361" s="48"/>
      <c r="N361" s="48"/>
      <c r="O361" s="48"/>
      <c r="P361" s="48"/>
      <c r="Q361" s="50"/>
      <c r="R361" s="59"/>
      <c r="S361" s="59"/>
      <c r="T361" s="59"/>
      <c r="U361" s="48"/>
      <c r="V361" s="50"/>
      <c r="W361" s="48"/>
      <c r="X361" s="50"/>
      <c r="Y361" s="50"/>
      <c r="Z361" s="50"/>
      <c r="AA361" s="50"/>
      <c r="AB361" s="50"/>
      <c r="AC361" s="50"/>
      <c r="AD361" s="48"/>
      <c r="AE361" s="48"/>
      <c r="AF361" s="48"/>
      <c r="AG361" s="48"/>
    </row>
    <row r="362">
      <c r="A362" s="47">
        <f>COUNTIF('Histórico'!$B:$B,B362)</f>
        <v>0</v>
      </c>
      <c r="B362" s="47"/>
      <c r="C362" s="48"/>
      <c r="D362" s="50"/>
      <c r="E362" s="50"/>
      <c r="F362" s="59"/>
      <c r="G362" s="50"/>
      <c r="H362" s="59"/>
      <c r="I362" s="47"/>
      <c r="J362" s="50"/>
      <c r="K362" s="50"/>
      <c r="L362" s="58"/>
      <c r="M362" s="48"/>
      <c r="N362" s="48"/>
      <c r="O362" s="48"/>
      <c r="P362" s="48"/>
      <c r="Q362" s="50"/>
      <c r="R362" s="59"/>
      <c r="S362" s="59"/>
      <c r="T362" s="59"/>
      <c r="U362" s="48"/>
      <c r="V362" s="50"/>
      <c r="W362" s="48"/>
      <c r="X362" s="50"/>
      <c r="Y362" s="50"/>
      <c r="Z362" s="50"/>
      <c r="AA362" s="50"/>
      <c r="AB362" s="50"/>
      <c r="AC362" s="50"/>
      <c r="AD362" s="48"/>
      <c r="AE362" s="48"/>
      <c r="AF362" s="48"/>
      <c r="AG362" s="48"/>
    </row>
    <row r="363">
      <c r="A363" s="47">
        <f>COUNTIF('Histórico'!$B:$B,B363)</f>
        <v>0</v>
      </c>
      <c r="B363" s="47"/>
      <c r="C363" s="48"/>
      <c r="D363" s="50"/>
      <c r="E363" s="50"/>
      <c r="F363" s="59"/>
      <c r="G363" s="50"/>
      <c r="H363" s="59"/>
      <c r="I363" s="47"/>
      <c r="J363" s="50"/>
      <c r="K363" s="50"/>
      <c r="L363" s="58"/>
      <c r="M363" s="48"/>
      <c r="N363" s="48"/>
      <c r="O363" s="48"/>
      <c r="P363" s="48"/>
      <c r="Q363" s="50"/>
      <c r="R363" s="59"/>
      <c r="S363" s="59"/>
      <c r="T363" s="59"/>
      <c r="U363" s="48"/>
      <c r="V363" s="50"/>
      <c r="W363" s="48"/>
      <c r="X363" s="50"/>
      <c r="Y363" s="50"/>
      <c r="Z363" s="50"/>
      <c r="AA363" s="50"/>
      <c r="AB363" s="50"/>
      <c r="AC363" s="50"/>
      <c r="AD363" s="48"/>
      <c r="AE363" s="48"/>
      <c r="AF363" s="48"/>
      <c r="AG363" s="48"/>
    </row>
    <row r="364">
      <c r="A364" s="47">
        <f>COUNTIF('Histórico'!$B:$B,B364)</f>
        <v>0</v>
      </c>
      <c r="B364" s="47"/>
      <c r="C364" s="48"/>
      <c r="D364" s="50"/>
      <c r="E364" s="50"/>
      <c r="F364" s="59"/>
      <c r="G364" s="50"/>
      <c r="H364" s="59"/>
      <c r="I364" s="47"/>
      <c r="J364" s="50"/>
      <c r="K364" s="50"/>
      <c r="L364" s="58"/>
      <c r="M364" s="48"/>
      <c r="N364" s="48"/>
      <c r="O364" s="48"/>
      <c r="P364" s="48"/>
      <c r="Q364" s="50"/>
      <c r="R364" s="59"/>
      <c r="S364" s="59"/>
      <c r="T364" s="59"/>
      <c r="U364" s="48"/>
      <c r="V364" s="50"/>
      <c r="W364" s="48"/>
      <c r="X364" s="50"/>
      <c r="Y364" s="50"/>
      <c r="Z364" s="50"/>
      <c r="AA364" s="50"/>
      <c r="AB364" s="50"/>
      <c r="AC364" s="50"/>
      <c r="AD364" s="48"/>
      <c r="AE364" s="48"/>
      <c r="AF364" s="48"/>
      <c r="AG364" s="48"/>
    </row>
    <row r="365">
      <c r="A365" s="47">
        <f>COUNTIF('Histórico'!$B:$B,B365)</f>
        <v>0</v>
      </c>
      <c r="B365" s="47"/>
      <c r="C365" s="48"/>
      <c r="D365" s="50"/>
      <c r="E365" s="50"/>
      <c r="F365" s="59"/>
      <c r="G365" s="50"/>
      <c r="H365" s="59"/>
      <c r="I365" s="47"/>
      <c r="J365" s="50"/>
      <c r="K365" s="50"/>
      <c r="L365" s="58"/>
      <c r="M365" s="48"/>
      <c r="N365" s="48"/>
      <c r="O365" s="48"/>
      <c r="P365" s="48"/>
      <c r="Q365" s="50"/>
      <c r="R365" s="59"/>
      <c r="S365" s="59"/>
      <c r="T365" s="59"/>
      <c r="U365" s="48"/>
      <c r="V365" s="50"/>
      <c r="W365" s="48"/>
      <c r="X365" s="50"/>
      <c r="Y365" s="50"/>
      <c r="Z365" s="50"/>
      <c r="AA365" s="50"/>
      <c r="AB365" s="50"/>
      <c r="AC365" s="50"/>
      <c r="AD365" s="48"/>
      <c r="AE365" s="48"/>
      <c r="AF365" s="48"/>
      <c r="AG365" s="48"/>
    </row>
    <row r="366">
      <c r="A366" s="47">
        <f>COUNTIF('Histórico'!$B:$B,B366)</f>
        <v>0</v>
      </c>
      <c r="B366" s="47"/>
      <c r="C366" s="48"/>
      <c r="D366" s="50"/>
      <c r="E366" s="50"/>
      <c r="F366" s="59"/>
      <c r="G366" s="50"/>
      <c r="H366" s="48"/>
      <c r="I366" s="47"/>
      <c r="J366" s="50"/>
      <c r="K366" s="50"/>
      <c r="L366" s="58"/>
      <c r="M366" s="48"/>
      <c r="N366" s="48"/>
      <c r="O366" s="48"/>
      <c r="P366" s="48"/>
      <c r="Q366" s="50"/>
      <c r="R366" s="59"/>
      <c r="S366" s="61"/>
      <c r="T366" s="48"/>
      <c r="U366" s="48"/>
      <c r="V366" s="50"/>
      <c r="W366" s="48"/>
      <c r="X366" s="50"/>
      <c r="Y366" s="50"/>
      <c r="Z366" s="50"/>
      <c r="AA366" s="50"/>
      <c r="AB366" s="50"/>
      <c r="AC366" s="50"/>
      <c r="AD366" s="48"/>
      <c r="AE366" s="48"/>
      <c r="AF366" s="48"/>
      <c r="AG366" s="48"/>
    </row>
    <row r="367">
      <c r="A367" s="47">
        <f>COUNTIF('Histórico'!$B:$B,B367)</f>
        <v>0</v>
      </c>
      <c r="B367" s="47"/>
      <c r="C367" s="48"/>
      <c r="D367" s="50"/>
      <c r="E367" s="50"/>
      <c r="F367" s="59"/>
      <c r="G367" s="50"/>
      <c r="H367" s="48"/>
      <c r="I367" s="47"/>
      <c r="J367" s="50"/>
      <c r="K367" s="50"/>
      <c r="L367" s="58"/>
      <c r="M367" s="48"/>
      <c r="N367" s="48"/>
      <c r="O367" s="48"/>
      <c r="P367" s="48"/>
      <c r="Q367" s="50"/>
      <c r="R367" s="59"/>
      <c r="S367" s="59"/>
      <c r="T367" s="48"/>
      <c r="U367" s="48"/>
      <c r="V367" s="50"/>
      <c r="W367" s="48"/>
      <c r="X367" s="50"/>
      <c r="Y367" s="50"/>
      <c r="Z367" s="50"/>
      <c r="AA367" s="50"/>
      <c r="AB367" s="50"/>
      <c r="AC367" s="50"/>
      <c r="AD367" s="48"/>
      <c r="AE367" s="48"/>
      <c r="AF367" s="48"/>
      <c r="AG367" s="48"/>
    </row>
    <row r="368">
      <c r="A368" s="47">
        <f>COUNTIF('Histórico'!$B:$B,B368)</f>
        <v>0</v>
      </c>
      <c r="B368" s="47"/>
      <c r="C368" s="48"/>
      <c r="D368" s="50"/>
      <c r="E368" s="50"/>
      <c r="F368" s="59"/>
      <c r="G368" s="50"/>
      <c r="H368" s="48"/>
      <c r="I368" s="47"/>
      <c r="J368" s="50"/>
      <c r="K368" s="50"/>
      <c r="L368" s="58"/>
      <c r="M368" s="48"/>
      <c r="N368" s="48"/>
      <c r="O368" s="48"/>
      <c r="P368" s="48"/>
      <c r="Q368" s="50"/>
      <c r="R368" s="59"/>
      <c r="S368" s="59"/>
      <c r="T368" s="48"/>
      <c r="U368" s="48"/>
      <c r="V368" s="50"/>
      <c r="W368" s="48"/>
      <c r="X368" s="50"/>
      <c r="Y368" s="50"/>
      <c r="Z368" s="50"/>
      <c r="AA368" s="50"/>
      <c r="AB368" s="50"/>
      <c r="AC368" s="50"/>
      <c r="AD368" s="48"/>
      <c r="AE368" s="48"/>
      <c r="AF368" s="48"/>
      <c r="AG368" s="48"/>
    </row>
    <row r="369">
      <c r="A369" s="47">
        <f>COUNTIF('Histórico'!$B:$B,B369)</f>
        <v>0</v>
      </c>
      <c r="B369" s="47"/>
      <c r="C369" s="48"/>
      <c r="D369" s="50"/>
      <c r="E369" s="50"/>
      <c r="F369" s="59"/>
      <c r="G369" s="50"/>
      <c r="H369" s="48"/>
      <c r="I369" s="47"/>
      <c r="J369" s="50"/>
      <c r="K369" s="50"/>
      <c r="L369" s="58"/>
      <c r="M369" s="48"/>
      <c r="N369" s="48"/>
      <c r="O369" s="48"/>
      <c r="P369" s="48"/>
      <c r="Q369" s="50"/>
      <c r="R369" s="59"/>
      <c r="S369" s="59"/>
      <c r="T369" s="48"/>
      <c r="U369" s="48"/>
      <c r="V369" s="50"/>
      <c r="W369" s="48"/>
      <c r="X369" s="50"/>
      <c r="Y369" s="50"/>
      <c r="Z369" s="50"/>
      <c r="AA369" s="50"/>
      <c r="AB369" s="50"/>
      <c r="AC369" s="50"/>
      <c r="AD369" s="48"/>
      <c r="AE369" s="48"/>
      <c r="AF369" s="48"/>
      <c r="AG369" s="48"/>
    </row>
    <row r="370">
      <c r="A370" s="47">
        <f>COUNTIF('Histórico'!$B:$B,B370)</f>
        <v>0</v>
      </c>
      <c r="B370" s="47"/>
      <c r="C370" s="48"/>
      <c r="D370" s="50"/>
      <c r="E370" s="50"/>
      <c r="F370" s="59"/>
      <c r="G370" s="50"/>
      <c r="H370" s="48"/>
      <c r="I370" s="47"/>
      <c r="J370" s="50"/>
      <c r="K370" s="50"/>
      <c r="L370" s="58"/>
      <c r="M370" s="48"/>
      <c r="N370" s="48"/>
      <c r="O370" s="48"/>
      <c r="P370" s="48"/>
      <c r="Q370" s="50"/>
      <c r="R370" s="59"/>
      <c r="S370" s="59"/>
      <c r="T370" s="48"/>
      <c r="U370" s="48"/>
      <c r="V370" s="50"/>
      <c r="W370" s="48"/>
      <c r="X370" s="50"/>
      <c r="Y370" s="50"/>
      <c r="Z370" s="50"/>
      <c r="AA370" s="50"/>
      <c r="AB370" s="50"/>
      <c r="AC370" s="50"/>
      <c r="AD370" s="48"/>
      <c r="AE370" s="48"/>
      <c r="AF370" s="48"/>
      <c r="AG370" s="48"/>
    </row>
    <row r="371">
      <c r="A371" s="47">
        <f>COUNTIF('Histórico'!$B:$B,B371)</f>
        <v>0</v>
      </c>
      <c r="B371" s="47"/>
      <c r="C371" s="48"/>
      <c r="D371" s="50"/>
      <c r="E371" s="50"/>
      <c r="F371" s="59"/>
      <c r="G371" s="50"/>
      <c r="H371" s="48"/>
      <c r="I371" s="47"/>
      <c r="J371" s="50"/>
      <c r="K371" s="50"/>
      <c r="L371" s="58"/>
      <c r="M371" s="48"/>
      <c r="N371" s="48"/>
      <c r="O371" s="48"/>
      <c r="P371" s="48"/>
      <c r="Q371" s="50"/>
      <c r="R371" s="59"/>
      <c r="S371" s="59"/>
      <c r="T371" s="48"/>
      <c r="U371" s="48"/>
      <c r="V371" s="50"/>
      <c r="W371" s="48"/>
      <c r="X371" s="50"/>
      <c r="Y371" s="50"/>
      <c r="Z371" s="50"/>
      <c r="AA371" s="50"/>
      <c r="AB371" s="50"/>
      <c r="AC371" s="50"/>
      <c r="AD371" s="48"/>
      <c r="AE371" s="48"/>
      <c r="AF371" s="48"/>
      <c r="AG371" s="48"/>
    </row>
    <row r="372">
      <c r="A372" s="47">
        <f>COUNTIF('Histórico'!$B:$B,B372)</f>
        <v>0</v>
      </c>
      <c r="B372" s="47"/>
      <c r="C372" s="48"/>
      <c r="D372" s="50"/>
      <c r="E372" s="50"/>
      <c r="F372" s="59"/>
      <c r="G372" s="50"/>
      <c r="H372" s="48"/>
      <c r="I372" s="47"/>
      <c r="J372" s="50"/>
      <c r="K372" s="50"/>
      <c r="L372" s="58"/>
      <c r="M372" s="48"/>
      <c r="N372" s="48"/>
      <c r="O372" s="48"/>
      <c r="P372" s="48"/>
      <c r="Q372" s="50"/>
      <c r="R372" s="59"/>
      <c r="S372" s="59"/>
      <c r="T372" s="48"/>
      <c r="U372" s="48"/>
      <c r="V372" s="50"/>
      <c r="W372" s="48"/>
      <c r="X372" s="50"/>
      <c r="Y372" s="50"/>
      <c r="Z372" s="50"/>
      <c r="AA372" s="50"/>
      <c r="AB372" s="50"/>
      <c r="AC372" s="50"/>
      <c r="AD372" s="48"/>
      <c r="AE372" s="48"/>
      <c r="AF372" s="48"/>
      <c r="AG372" s="48"/>
    </row>
    <row r="373">
      <c r="A373" s="47">
        <f>COUNTIF('Histórico'!$B:$B,B373)</f>
        <v>0</v>
      </c>
      <c r="B373" s="47"/>
      <c r="C373" s="48"/>
      <c r="D373" s="50"/>
      <c r="E373" s="50"/>
      <c r="F373" s="59"/>
      <c r="G373" s="50"/>
      <c r="H373" s="48"/>
      <c r="I373" s="47"/>
      <c r="J373" s="50"/>
      <c r="K373" s="50"/>
      <c r="L373" s="58"/>
      <c r="M373" s="48"/>
      <c r="N373" s="48"/>
      <c r="O373" s="48"/>
      <c r="P373" s="48"/>
      <c r="Q373" s="50"/>
      <c r="R373" s="59"/>
      <c r="S373" s="59"/>
      <c r="T373" s="48"/>
      <c r="U373" s="48"/>
      <c r="V373" s="50"/>
      <c r="W373" s="48"/>
      <c r="X373" s="50"/>
      <c r="Y373" s="50"/>
      <c r="Z373" s="50"/>
      <c r="AA373" s="50"/>
      <c r="AB373" s="50"/>
      <c r="AC373" s="50"/>
      <c r="AD373" s="48"/>
      <c r="AE373" s="48"/>
      <c r="AF373" s="48"/>
      <c r="AG373" s="48"/>
    </row>
    <row r="374">
      <c r="A374" s="47">
        <f>COUNTIF('Histórico'!$B:$B,B374)</f>
        <v>0</v>
      </c>
      <c r="B374" s="47"/>
      <c r="C374" s="48"/>
      <c r="D374" s="50"/>
      <c r="E374" s="50"/>
      <c r="F374" s="59"/>
      <c r="G374" s="50"/>
      <c r="H374" s="48"/>
      <c r="I374" s="47"/>
      <c r="J374" s="50"/>
      <c r="K374" s="50"/>
      <c r="L374" s="58"/>
      <c r="M374" s="48"/>
      <c r="N374" s="48"/>
      <c r="O374" s="48"/>
      <c r="P374" s="48"/>
      <c r="Q374" s="50"/>
      <c r="R374" s="59"/>
      <c r="S374" s="59"/>
      <c r="T374" s="48"/>
      <c r="U374" s="48"/>
      <c r="V374" s="50"/>
      <c r="W374" s="48"/>
      <c r="X374" s="50"/>
      <c r="Y374" s="50"/>
      <c r="Z374" s="50"/>
      <c r="AA374" s="50"/>
      <c r="AB374" s="50"/>
      <c r="AC374" s="50"/>
      <c r="AD374" s="48"/>
      <c r="AE374" s="48"/>
      <c r="AF374" s="48"/>
      <c r="AG374" s="48"/>
    </row>
    <row r="375">
      <c r="A375" s="47">
        <f>COUNTIF('Histórico'!$B:$B,B375)</f>
        <v>0</v>
      </c>
      <c r="B375" s="47"/>
      <c r="C375" s="48"/>
      <c r="D375" s="50"/>
      <c r="E375" s="50"/>
      <c r="F375" s="59"/>
      <c r="G375" s="50"/>
      <c r="H375" s="48"/>
      <c r="I375" s="47"/>
      <c r="J375" s="50"/>
      <c r="K375" s="50"/>
      <c r="L375" s="58"/>
      <c r="M375" s="48"/>
      <c r="N375" s="48"/>
      <c r="O375" s="48"/>
      <c r="P375" s="48"/>
      <c r="Q375" s="50"/>
      <c r="R375" s="59"/>
      <c r="S375" s="59"/>
      <c r="T375" s="48"/>
      <c r="U375" s="48"/>
      <c r="V375" s="50"/>
      <c r="W375" s="48"/>
      <c r="X375" s="50"/>
      <c r="Y375" s="50"/>
      <c r="Z375" s="50"/>
      <c r="AA375" s="50"/>
      <c r="AB375" s="50"/>
      <c r="AC375" s="50"/>
      <c r="AD375" s="48"/>
      <c r="AE375" s="48"/>
      <c r="AF375" s="48"/>
      <c r="AG375" s="48"/>
    </row>
    <row r="376">
      <c r="A376" s="47">
        <f>COUNTIF('Histórico'!$B:$B,B376)</f>
        <v>0</v>
      </c>
      <c r="B376" s="47"/>
      <c r="C376" s="48"/>
      <c r="D376" s="50"/>
      <c r="E376" s="50"/>
      <c r="F376" s="59"/>
      <c r="G376" s="50"/>
      <c r="H376" s="48"/>
      <c r="I376" s="50"/>
      <c r="J376" s="50"/>
      <c r="K376" s="50"/>
      <c r="L376" s="58"/>
      <c r="M376" s="48"/>
      <c r="N376" s="48"/>
      <c r="O376" s="48"/>
      <c r="P376" s="48"/>
      <c r="Q376" s="50"/>
      <c r="R376" s="59"/>
      <c r="S376" s="59"/>
      <c r="T376" s="48"/>
      <c r="U376" s="48"/>
      <c r="V376" s="50"/>
      <c r="W376" s="48"/>
      <c r="X376" s="50"/>
      <c r="Y376" s="50"/>
      <c r="Z376" s="50"/>
      <c r="AA376" s="50"/>
      <c r="AB376" s="50"/>
      <c r="AC376" s="50"/>
      <c r="AD376" s="48"/>
      <c r="AE376" s="48"/>
      <c r="AF376" s="48"/>
      <c r="AG376" s="48"/>
    </row>
    <row r="377">
      <c r="A377" s="47">
        <f>COUNTIF('Histórico'!$B:$B,B377)</f>
        <v>0</v>
      </c>
      <c r="B377" s="47"/>
      <c r="C377" s="48"/>
      <c r="D377" s="50"/>
      <c r="E377" s="50"/>
      <c r="F377" s="59"/>
      <c r="G377" s="50"/>
      <c r="H377" s="48"/>
      <c r="I377" s="50"/>
      <c r="J377" s="50"/>
      <c r="K377" s="50"/>
      <c r="L377" s="58"/>
      <c r="M377" s="48"/>
      <c r="N377" s="48"/>
      <c r="O377" s="48"/>
      <c r="P377" s="48"/>
      <c r="Q377" s="50"/>
      <c r="R377" s="59"/>
      <c r="S377" s="59"/>
      <c r="T377" s="48"/>
      <c r="U377" s="48"/>
      <c r="V377" s="50"/>
      <c r="W377" s="48"/>
      <c r="X377" s="50"/>
      <c r="Y377" s="50"/>
      <c r="Z377" s="50"/>
      <c r="AA377" s="50"/>
      <c r="AB377" s="50"/>
      <c r="AC377" s="50"/>
      <c r="AD377" s="48"/>
      <c r="AE377" s="48"/>
      <c r="AF377" s="48"/>
      <c r="AG377" s="48"/>
    </row>
    <row r="378">
      <c r="A378" s="47">
        <f>COUNTIF('Histórico'!$B:$B,B378)</f>
        <v>0</v>
      </c>
      <c r="B378" s="47"/>
      <c r="C378" s="48"/>
      <c r="D378" s="50"/>
      <c r="E378" s="50"/>
      <c r="F378" s="59"/>
      <c r="G378" s="50"/>
      <c r="H378" s="48"/>
      <c r="I378" s="50"/>
      <c r="J378" s="50"/>
      <c r="K378" s="50"/>
      <c r="L378" s="58"/>
      <c r="M378" s="48"/>
      <c r="N378" s="48"/>
      <c r="O378" s="48"/>
      <c r="P378" s="48"/>
      <c r="Q378" s="50"/>
      <c r="R378" s="59"/>
      <c r="S378" s="59"/>
      <c r="T378" s="48"/>
      <c r="U378" s="48"/>
      <c r="V378" s="50"/>
      <c r="W378" s="48"/>
      <c r="X378" s="50"/>
      <c r="Y378" s="50"/>
      <c r="Z378" s="50"/>
      <c r="AA378" s="50"/>
      <c r="AB378" s="50"/>
      <c r="AC378" s="50"/>
      <c r="AD378" s="48"/>
      <c r="AE378" s="48"/>
      <c r="AF378" s="48"/>
      <c r="AG378" s="48"/>
    </row>
    <row r="379">
      <c r="A379" s="47">
        <f>COUNTIF('Histórico'!$B:$B,B379)</f>
        <v>0</v>
      </c>
      <c r="B379" s="47"/>
      <c r="C379" s="48"/>
      <c r="D379" s="50"/>
      <c r="E379" s="50"/>
      <c r="F379" s="59"/>
      <c r="G379" s="50"/>
      <c r="H379" s="48"/>
      <c r="I379" s="50"/>
      <c r="J379" s="50"/>
      <c r="K379" s="50"/>
      <c r="L379" s="58"/>
      <c r="M379" s="48"/>
      <c r="N379" s="48"/>
      <c r="O379" s="48"/>
      <c r="P379" s="48"/>
      <c r="Q379" s="50"/>
      <c r="R379" s="59"/>
      <c r="S379" s="59"/>
      <c r="T379" s="48"/>
      <c r="U379" s="48"/>
      <c r="V379" s="50"/>
      <c r="W379" s="48"/>
      <c r="X379" s="50"/>
      <c r="Y379" s="50"/>
      <c r="Z379" s="50"/>
      <c r="AA379" s="50"/>
      <c r="AB379" s="50"/>
      <c r="AC379" s="50"/>
      <c r="AD379" s="48"/>
      <c r="AE379" s="48"/>
      <c r="AF379" s="48"/>
      <c r="AG379" s="48"/>
    </row>
    <row r="380">
      <c r="A380" s="47">
        <f>COUNTIF('Histórico'!$B:$B,B380)</f>
        <v>0</v>
      </c>
      <c r="B380" s="47"/>
      <c r="C380" s="48"/>
      <c r="D380" s="50"/>
      <c r="E380" s="50"/>
      <c r="F380" s="59"/>
      <c r="G380" s="50"/>
      <c r="H380" s="48"/>
      <c r="I380" s="50"/>
      <c r="J380" s="50"/>
      <c r="K380" s="50"/>
      <c r="L380" s="58"/>
      <c r="M380" s="48"/>
      <c r="N380" s="48"/>
      <c r="O380" s="48"/>
      <c r="P380" s="48"/>
      <c r="Q380" s="50"/>
      <c r="R380" s="59"/>
      <c r="S380" s="59"/>
      <c r="T380" s="48"/>
      <c r="U380" s="48"/>
      <c r="V380" s="50"/>
      <c r="W380" s="48"/>
      <c r="X380" s="50"/>
      <c r="Y380" s="50"/>
      <c r="Z380" s="50"/>
      <c r="AA380" s="50"/>
      <c r="AB380" s="50"/>
      <c r="AC380" s="50"/>
      <c r="AD380" s="48"/>
      <c r="AE380" s="48"/>
      <c r="AF380" s="48"/>
      <c r="AG380" s="48"/>
    </row>
    <row r="381">
      <c r="A381" s="47">
        <f>COUNTIF('Histórico'!$B:$B,B381)</f>
        <v>0</v>
      </c>
      <c r="B381" s="47"/>
      <c r="C381" s="48"/>
      <c r="D381" s="50"/>
      <c r="E381" s="50"/>
      <c r="F381" s="59"/>
      <c r="G381" s="50"/>
      <c r="H381" s="48"/>
      <c r="I381" s="50"/>
      <c r="J381" s="50"/>
      <c r="K381" s="50"/>
      <c r="L381" s="58"/>
      <c r="M381" s="48"/>
      <c r="N381" s="48"/>
      <c r="O381" s="48"/>
      <c r="P381" s="48"/>
      <c r="Q381" s="50"/>
      <c r="R381" s="59"/>
      <c r="S381" s="59"/>
      <c r="T381" s="48"/>
      <c r="U381" s="48"/>
      <c r="V381" s="50"/>
      <c r="W381" s="48"/>
      <c r="X381" s="50"/>
      <c r="Y381" s="50"/>
      <c r="Z381" s="50"/>
      <c r="AA381" s="50"/>
      <c r="AB381" s="50"/>
      <c r="AC381" s="50"/>
      <c r="AD381" s="48"/>
      <c r="AE381" s="48"/>
      <c r="AF381" s="48"/>
      <c r="AG381" s="48"/>
    </row>
    <row r="382">
      <c r="A382" s="47">
        <f>COUNTIF('Histórico'!$B:$B,B382)</f>
        <v>0</v>
      </c>
      <c r="B382" s="47"/>
      <c r="C382" s="48"/>
      <c r="D382" s="50"/>
      <c r="E382" s="50"/>
      <c r="F382" s="59"/>
      <c r="G382" s="50"/>
      <c r="H382" s="48"/>
      <c r="I382" s="50"/>
      <c r="J382" s="50"/>
      <c r="K382" s="50"/>
      <c r="L382" s="58"/>
      <c r="M382" s="48"/>
      <c r="N382" s="48"/>
      <c r="O382" s="48"/>
      <c r="P382" s="48"/>
      <c r="Q382" s="50"/>
      <c r="R382" s="59"/>
      <c r="S382" s="59"/>
      <c r="T382" s="48"/>
      <c r="U382" s="48"/>
      <c r="V382" s="50"/>
      <c r="W382" s="48"/>
      <c r="X382" s="50"/>
      <c r="Y382" s="50"/>
      <c r="Z382" s="50"/>
      <c r="AA382" s="50"/>
      <c r="AB382" s="50"/>
      <c r="AC382" s="50"/>
      <c r="AD382" s="48"/>
      <c r="AE382" s="48"/>
      <c r="AF382" s="48"/>
      <c r="AG382" s="48"/>
    </row>
    <row r="383">
      <c r="A383" s="47">
        <f>COUNTIF('Histórico'!$B:$B,B383)</f>
        <v>0</v>
      </c>
      <c r="B383" s="47"/>
      <c r="C383" s="48"/>
      <c r="D383" s="50"/>
      <c r="E383" s="50"/>
      <c r="F383" s="59"/>
      <c r="G383" s="50"/>
      <c r="H383" s="48"/>
      <c r="I383" s="50"/>
      <c r="J383" s="50"/>
      <c r="K383" s="50"/>
      <c r="L383" s="58"/>
      <c r="M383" s="48"/>
      <c r="N383" s="48"/>
      <c r="O383" s="48"/>
      <c r="P383" s="48"/>
      <c r="Q383" s="50"/>
      <c r="R383" s="59"/>
      <c r="S383" s="59"/>
      <c r="T383" s="48"/>
      <c r="U383" s="48"/>
      <c r="V383" s="50"/>
      <c r="W383" s="48"/>
      <c r="X383" s="50"/>
      <c r="Y383" s="50"/>
      <c r="Z383" s="50"/>
      <c r="AA383" s="50"/>
      <c r="AB383" s="50"/>
      <c r="AC383" s="50"/>
      <c r="AD383" s="48"/>
      <c r="AE383" s="48"/>
      <c r="AF383" s="48"/>
      <c r="AG383" s="48"/>
    </row>
    <row r="384">
      <c r="A384" s="47">
        <f>COUNTIF('Histórico'!$B:$B,B384)</f>
        <v>0</v>
      </c>
      <c r="B384" s="47"/>
      <c r="C384" s="48"/>
      <c r="D384" s="50"/>
      <c r="E384" s="50"/>
      <c r="F384" s="59"/>
      <c r="G384" s="50"/>
      <c r="H384" s="48"/>
      <c r="I384" s="50"/>
      <c r="J384" s="50"/>
      <c r="K384" s="50"/>
      <c r="L384" s="58"/>
      <c r="M384" s="48"/>
      <c r="N384" s="48"/>
      <c r="O384" s="48"/>
      <c r="P384" s="48"/>
      <c r="Q384" s="50"/>
      <c r="R384" s="59"/>
      <c r="S384" s="59"/>
      <c r="T384" s="48"/>
      <c r="U384" s="48"/>
      <c r="V384" s="50"/>
      <c r="W384" s="48"/>
      <c r="X384" s="50"/>
      <c r="Y384" s="50"/>
      <c r="Z384" s="50"/>
      <c r="AA384" s="50"/>
      <c r="AB384" s="50"/>
      <c r="AC384" s="50"/>
      <c r="AD384" s="48"/>
      <c r="AE384" s="48"/>
      <c r="AF384" s="48"/>
      <c r="AG384" s="48"/>
    </row>
    <row r="385">
      <c r="A385" s="47">
        <f>COUNTIF('Histórico'!$B:$B,B385)</f>
        <v>0</v>
      </c>
      <c r="B385" s="47"/>
      <c r="C385" s="48"/>
      <c r="D385" s="50"/>
      <c r="E385" s="50"/>
      <c r="F385" s="59"/>
      <c r="G385" s="50"/>
      <c r="H385" s="48"/>
      <c r="I385" s="50"/>
      <c r="J385" s="50"/>
      <c r="K385" s="50"/>
      <c r="L385" s="58"/>
      <c r="M385" s="48"/>
      <c r="N385" s="48"/>
      <c r="O385" s="48"/>
      <c r="P385" s="48"/>
      <c r="Q385" s="50"/>
      <c r="R385" s="59"/>
      <c r="S385" s="59"/>
      <c r="T385" s="48"/>
      <c r="U385" s="48"/>
      <c r="V385" s="50"/>
      <c r="W385" s="48"/>
      <c r="X385" s="50"/>
      <c r="Y385" s="50"/>
      <c r="Z385" s="50"/>
      <c r="AA385" s="50"/>
      <c r="AB385" s="50"/>
      <c r="AC385" s="50"/>
      <c r="AD385" s="48"/>
      <c r="AE385" s="48"/>
      <c r="AF385" s="48"/>
      <c r="AG385" s="48"/>
    </row>
    <row r="386">
      <c r="A386" s="47">
        <f>COUNTIF('Histórico'!$B:$B,B386)</f>
        <v>0</v>
      </c>
      <c r="B386" s="47"/>
      <c r="C386" s="48"/>
      <c r="D386" s="50"/>
      <c r="E386" s="50"/>
      <c r="F386" s="59"/>
      <c r="G386" s="50"/>
      <c r="H386" s="48"/>
      <c r="I386" s="50"/>
      <c r="J386" s="50"/>
      <c r="K386" s="50"/>
      <c r="L386" s="58"/>
      <c r="M386" s="48"/>
      <c r="N386" s="48"/>
      <c r="O386" s="48"/>
      <c r="P386" s="48"/>
      <c r="Q386" s="50"/>
      <c r="R386" s="59"/>
      <c r="S386" s="59"/>
      <c r="T386" s="48"/>
      <c r="U386" s="48"/>
      <c r="V386" s="50"/>
      <c r="W386" s="48"/>
      <c r="X386" s="50"/>
      <c r="Y386" s="50"/>
      <c r="Z386" s="50"/>
      <c r="AA386" s="50"/>
      <c r="AB386" s="50"/>
      <c r="AC386" s="50"/>
      <c r="AD386" s="48"/>
      <c r="AE386" s="48"/>
      <c r="AF386" s="48"/>
      <c r="AG386" s="48"/>
    </row>
    <row r="387">
      <c r="A387" s="47">
        <f>COUNTIF('Histórico'!$B:$B,B387)</f>
        <v>0</v>
      </c>
      <c r="B387" s="47"/>
      <c r="C387" s="48"/>
      <c r="D387" s="50"/>
      <c r="E387" s="50"/>
      <c r="F387" s="59"/>
      <c r="G387" s="50"/>
      <c r="H387" s="48"/>
      <c r="I387" s="50"/>
      <c r="J387" s="50"/>
      <c r="K387" s="50"/>
      <c r="L387" s="58"/>
      <c r="M387" s="48"/>
      <c r="N387" s="48"/>
      <c r="O387" s="48"/>
      <c r="P387" s="48"/>
      <c r="Q387" s="50"/>
      <c r="R387" s="59"/>
      <c r="S387" s="59"/>
      <c r="T387" s="48"/>
      <c r="U387" s="48"/>
      <c r="V387" s="50"/>
      <c r="W387" s="48"/>
      <c r="X387" s="50"/>
      <c r="Y387" s="50"/>
      <c r="Z387" s="50"/>
      <c r="AA387" s="50"/>
      <c r="AB387" s="50"/>
      <c r="AC387" s="50"/>
      <c r="AD387" s="48"/>
      <c r="AE387" s="48"/>
      <c r="AF387" s="48"/>
      <c r="AG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56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56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56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56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56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56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56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56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56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56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56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56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56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56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56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56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56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56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56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56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56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56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56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56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56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56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56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56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56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56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56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56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56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56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56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56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56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56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56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56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56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56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56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56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56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56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56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56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56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56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56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56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56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56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56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56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56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56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56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56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56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56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56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56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56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56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56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56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56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56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56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56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56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56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56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56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56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56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56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56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56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56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56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56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56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56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56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56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56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56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56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56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56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56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56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56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56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56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56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56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56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56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56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56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56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56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56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56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56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56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56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56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56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56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56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56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56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56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56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56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56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56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56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56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56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56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56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56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56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56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56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56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56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56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56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56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56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56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56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56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56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56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56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56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56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56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56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56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56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56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56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56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56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56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56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56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56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56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56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56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56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56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56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56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56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56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56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56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56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56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56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56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56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56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56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56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56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56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56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56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56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56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56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56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56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56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56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56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56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56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56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56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56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56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56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56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56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56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56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56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56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56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56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56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56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56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56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56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56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56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56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56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56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56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56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56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56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56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56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56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56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56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56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56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56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56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56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56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56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56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56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56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56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56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56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56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56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56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56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56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56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56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56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56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56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56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56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56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56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56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56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56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56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56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56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56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56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56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56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56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56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56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56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56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56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56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56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56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56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56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56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56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56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56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56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56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56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56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56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56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56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56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56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56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56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56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56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56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56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56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56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56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56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56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56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56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56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56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56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56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56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56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56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56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56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56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56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56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56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56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56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56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56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56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56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56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56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56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56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56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56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56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56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56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56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56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56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56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56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56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56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56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56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56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56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56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56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56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56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56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56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56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56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56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56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56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56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56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56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56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56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56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56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56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56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56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56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56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56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56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56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56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56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56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56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56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56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56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56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56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56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56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56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56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56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56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56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56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56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56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56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56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56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56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56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56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56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56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56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56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56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56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56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56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56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56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56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56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56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56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56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56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56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56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56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56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56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56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56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56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56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56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56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56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56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56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56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56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56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56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56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56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56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56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56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56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56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56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56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56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56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56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56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56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56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56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56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56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56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56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56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56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56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56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56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56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56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56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56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56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56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56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56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56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56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56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56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56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56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56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56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56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56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56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56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56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56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56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56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56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56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56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56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56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56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56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56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56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56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56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56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56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56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56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56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56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56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56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56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56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56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56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56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56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56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56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56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56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56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56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56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56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56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56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56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56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56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56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56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56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56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56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56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56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56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56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56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56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56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56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56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56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56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56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56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56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56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56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56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56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56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56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56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56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56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56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56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56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56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56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56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56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56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56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56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56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56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56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56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56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56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56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56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56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56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56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56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56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56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56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56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56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56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56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56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56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56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56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56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56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56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56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56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56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56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56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56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56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56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56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56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56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56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56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56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56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56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56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56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56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56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56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56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56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56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56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56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56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56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56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56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56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56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56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56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56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56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56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56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56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56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56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56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</row>
  </sheetData>
  <autoFilter ref="$A$2:$AG$38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9" max="9" width="17.63"/>
    <col customWidth="1" min="11" max="11" width="48.13"/>
  </cols>
  <sheetData>
    <row r="1">
      <c r="A1" s="47"/>
      <c r="B1" s="47"/>
      <c r="C1" s="50"/>
      <c r="D1" s="50"/>
      <c r="E1" s="50"/>
      <c r="F1" s="50"/>
      <c r="G1" s="50"/>
      <c r="H1" s="50"/>
      <c r="I1" s="50"/>
      <c r="J1" s="50"/>
      <c r="K1" s="50"/>
      <c r="L1" s="47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 t="s">
        <v>2020</v>
      </c>
      <c r="AG1" s="19"/>
    </row>
    <row r="2">
      <c r="A2" s="47" t="s">
        <v>2021</v>
      </c>
      <c r="B2" s="47" t="s">
        <v>298</v>
      </c>
      <c r="C2" s="50" t="s">
        <v>1292</v>
      </c>
      <c r="D2" s="50" t="s">
        <v>10</v>
      </c>
      <c r="E2" s="50" t="s">
        <v>1293</v>
      </c>
      <c r="F2" s="50" t="s">
        <v>1294</v>
      </c>
      <c r="G2" s="50" t="s">
        <v>1295</v>
      </c>
      <c r="H2" s="50" t="s">
        <v>1296</v>
      </c>
      <c r="I2" s="50" t="s">
        <v>4</v>
      </c>
      <c r="J2" s="50" t="s">
        <v>6</v>
      </c>
      <c r="K2" s="50" t="s">
        <v>299</v>
      </c>
      <c r="L2" s="47" t="s">
        <v>300</v>
      </c>
      <c r="M2" s="50" t="s">
        <v>1297</v>
      </c>
      <c r="N2" s="50" t="s">
        <v>1298</v>
      </c>
      <c r="O2" s="50" t="s">
        <v>1299</v>
      </c>
      <c r="P2" s="50" t="s">
        <v>1300</v>
      </c>
      <c r="Q2" s="50" t="s">
        <v>1301</v>
      </c>
      <c r="R2" s="50" t="s">
        <v>1302</v>
      </c>
      <c r="S2" s="50" t="s">
        <v>1303</v>
      </c>
      <c r="T2" s="50" t="s">
        <v>1304</v>
      </c>
      <c r="U2" s="50" t="s">
        <v>1305</v>
      </c>
      <c r="V2" s="50" t="s">
        <v>1306</v>
      </c>
      <c r="W2" s="50" t="s">
        <v>1307</v>
      </c>
      <c r="X2" s="50" t="s">
        <v>1308</v>
      </c>
      <c r="Y2" s="50" t="s">
        <v>1309</v>
      </c>
      <c r="Z2" s="50" t="s">
        <v>1310</v>
      </c>
      <c r="AA2" s="50" t="s">
        <v>302</v>
      </c>
      <c r="AB2" s="50" t="s">
        <v>1311</v>
      </c>
      <c r="AC2" s="50" t="s">
        <v>1312</v>
      </c>
      <c r="AD2" s="50" t="s">
        <v>1313</v>
      </c>
      <c r="AE2" s="19"/>
      <c r="AF2" s="19"/>
      <c r="AG2" s="19"/>
    </row>
    <row r="3">
      <c r="A3" s="47">
        <f>COUNTIF('Divulgação'!$B:$B,B3)</f>
        <v>1</v>
      </c>
      <c r="B3" s="53" t="s">
        <v>329</v>
      </c>
      <c r="C3" s="19"/>
      <c r="D3" s="50" t="s">
        <v>1314</v>
      </c>
      <c r="E3" s="50" t="s">
        <v>1315</v>
      </c>
      <c r="F3" s="62" t="s">
        <v>2022</v>
      </c>
      <c r="G3" s="50" t="s">
        <v>1316</v>
      </c>
      <c r="H3" s="62" t="s">
        <v>2022</v>
      </c>
      <c r="I3" s="47" t="s">
        <v>1317</v>
      </c>
      <c r="J3" s="62" t="s">
        <v>1318</v>
      </c>
      <c r="K3" s="50" t="s">
        <v>1319</v>
      </c>
      <c r="L3" s="53" t="s">
        <v>1320</v>
      </c>
      <c r="M3" s="19"/>
      <c r="N3" s="19"/>
      <c r="O3" s="19"/>
      <c r="P3" s="19"/>
      <c r="Q3" s="50">
        <v>1.0</v>
      </c>
      <c r="R3" s="59">
        <v>45694.0</v>
      </c>
      <c r="S3" s="59">
        <v>45700.0</v>
      </c>
      <c r="T3" s="59">
        <v>45698.0</v>
      </c>
      <c r="U3" s="19"/>
      <c r="V3" s="50" t="s">
        <v>1321</v>
      </c>
      <c r="W3" s="19"/>
      <c r="X3" s="50" t="s">
        <v>12</v>
      </c>
      <c r="Y3" s="50" t="s">
        <v>1322</v>
      </c>
      <c r="Z3" s="50">
        <v>3.040205095E9</v>
      </c>
      <c r="AA3" s="50" t="s">
        <v>12</v>
      </c>
      <c r="AB3" s="50" t="s">
        <v>1322</v>
      </c>
      <c r="AC3" s="50" t="s">
        <v>1323</v>
      </c>
      <c r="AD3" s="19"/>
      <c r="AE3" s="19"/>
      <c r="AF3" s="19"/>
      <c r="AG3" s="19"/>
    </row>
    <row r="4">
      <c r="A4" s="47">
        <f>COUNTIF('Divulgação'!$B:$B,B4)</f>
        <v>1</v>
      </c>
      <c r="B4" s="53" t="s">
        <v>331</v>
      </c>
      <c r="C4" s="19"/>
      <c r="D4" s="50" t="s">
        <v>1314</v>
      </c>
      <c r="E4" s="50" t="s">
        <v>1315</v>
      </c>
      <c r="F4" s="62" t="s">
        <v>2023</v>
      </c>
      <c r="G4" s="50" t="s">
        <v>1316</v>
      </c>
      <c r="H4" s="62" t="s">
        <v>2023</v>
      </c>
      <c r="I4" s="47" t="s">
        <v>1324</v>
      </c>
      <c r="J4" s="62" t="s">
        <v>1325</v>
      </c>
      <c r="K4" s="50" t="s">
        <v>1326</v>
      </c>
      <c r="L4" s="47" t="s">
        <v>1327</v>
      </c>
      <c r="M4" s="19"/>
      <c r="N4" s="19"/>
      <c r="O4" s="19"/>
      <c r="P4" s="19"/>
      <c r="Q4" s="50">
        <v>1.0</v>
      </c>
      <c r="R4" s="59">
        <v>45713.0</v>
      </c>
      <c r="S4" s="59">
        <v>45719.0</v>
      </c>
      <c r="T4" s="59">
        <v>45714.0</v>
      </c>
      <c r="U4" s="19"/>
      <c r="V4" s="50" t="s">
        <v>1321</v>
      </c>
      <c r="W4" s="19"/>
      <c r="X4" s="50" t="s">
        <v>12</v>
      </c>
      <c r="Y4" s="50" t="s">
        <v>1322</v>
      </c>
      <c r="Z4" s="50">
        <v>3.04030802E9</v>
      </c>
      <c r="AA4" s="50" t="s">
        <v>14</v>
      </c>
      <c r="AB4" s="50" t="s">
        <v>1328</v>
      </c>
      <c r="AC4" s="50" t="s">
        <v>1329</v>
      </c>
      <c r="AD4" s="19"/>
      <c r="AE4" s="19"/>
      <c r="AF4" s="19"/>
      <c r="AG4" s="19"/>
    </row>
    <row r="5">
      <c r="A5" s="47">
        <f>COUNTIF('Divulgação'!$B:$B,B5)</f>
        <v>1</v>
      </c>
      <c r="B5" s="53" t="s">
        <v>333</v>
      </c>
      <c r="C5" s="19"/>
      <c r="D5" s="50" t="s">
        <v>1314</v>
      </c>
      <c r="E5" s="50" t="s">
        <v>1315</v>
      </c>
      <c r="F5" s="62" t="s">
        <v>2023</v>
      </c>
      <c r="G5" s="50" t="s">
        <v>1316</v>
      </c>
      <c r="H5" s="62" t="s">
        <v>2023</v>
      </c>
      <c r="I5" s="47" t="s">
        <v>1324</v>
      </c>
      <c r="J5" s="62" t="s">
        <v>1325</v>
      </c>
      <c r="K5" s="50" t="s">
        <v>1326</v>
      </c>
      <c r="L5" s="47" t="s">
        <v>1330</v>
      </c>
      <c r="M5" s="19"/>
      <c r="N5" s="19"/>
      <c r="O5" s="19"/>
      <c r="P5" s="19"/>
      <c r="Q5" s="50">
        <v>1.0</v>
      </c>
      <c r="R5" s="59">
        <v>45713.0</v>
      </c>
      <c r="S5" s="59">
        <v>45719.0</v>
      </c>
      <c r="T5" s="59">
        <v>45714.0</v>
      </c>
      <c r="U5" s="19"/>
      <c r="V5" s="50" t="s">
        <v>1347</v>
      </c>
      <c r="W5" s="50">
        <v>6.85250007776E11</v>
      </c>
      <c r="X5" s="50" t="s">
        <v>12</v>
      </c>
      <c r="Y5" s="50" t="s">
        <v>1322</v>
      </c>
      <c r="Z5" s="50">
        <v>3.040309304E9</v>
      </c>
      <c r="AA5" s="50" t="s">
        <v>16</v>
      </c>
      <c r="AB5" s="50" t="s">
        <v>1331</v>
      </c>
      <c r="AC5" s="50" t="s">
        <v>1332</v>
      </c>
      <c r="AD5" s="19"/>
      <c r="AE5" s="19"/>
      <c r="AF5" s="19"/>
      <c r="AG5" s="19"/>
    </row>
    <row r="6">
      <c r="A6" s="47">
        <f>COUNTIF('Divulgação'!$B:$B,B6)</f>
        <v>1</v>
      </c>
      <c r="B6" s="53" t="s">
        <v>335</v>
      </c>
      <c r="C6" s="19"/>
      <c r="D6" s="50" t="s">
        <v>1314</v>
      </c>
      <c r="E6" s="50" t="s">
        <v>1315</v>
      </c>
      <c r="F6" s="62" t="s">
        <v>2023</v>
      </c>
      <c r="G6" s="50" t="s">
        <v>1316</v>
      </c>
      <c r="H6" s="62" t="s">
        <v>2023</v>
      </c>
      <c r="I6" s="53" t="s">
        <v>1333</v>
      </c>
      <c r="J6" s="62" t="s">
        <v>2024</v>
      </c>
      <c r="K6" s="50" t="s">
        <v>1334</v>
      </c>
      <c r="L6" s="53" t="s">
        <v>2025</v>
      </c>
      <c r="M6" s="19"/>
      <c r="N6" s="19"/>
      <c r="O6" s="19"/>
      <c r="P6" s="19"/>
      <c r="Q6" s="50">
        <v>1.0</v>
      </c>
      <c r="R6" s="59">
        <v>45713.0</v>
      </c>
      <c r="S6" s="59">
        <v>45964.0</v>
      </c>
      <c r="T6" s="59">
        <v>45714.0</v>
      </c>
      <c r="U6" s="19"/>
      <c r="V6" s="50" t="s">
        <v>1321</v>
      </c>
      <c r="W6" s="19"/>
      <c r="X6" s="50" t="s">
        <v>12</v>
      </c>
      <c r="Y6" s="50" t="s">
        <v>1322</v>
      </c>
      <c r="Z6" s="50">
        <v>3.040310537E9</v>
      </c>
      <c r="AA6" s="50" t="s">
        <v>12</v>
      </c>
      <c r="AB6" s="50" t="s">
        <v>1322</v>
      </c>
      <c r="AC6" s="50" t="s">
        <v>1336</v>
      </c>
      <c r="AD6" s="19"/>
      <c r="AE6" s="19"/>
      <c r="AF6" s="19"/>
      <c r="AG6" s="19"/>
    </row>
    <row r="7">
      <c r="A7" s="47">
        <f>COUNTIF('Divulgação'!$B:$B,B7)</f>
        <v>1</v>
      </c>
      <c r="B7" s="53" t="s">
        <v>337</v>
      </c>
      <c r="C7" s="19"/>
      <c r="D7" s="50" t="s">
        <v>1314</v>
      </c>
      <c r="E7" s="50" t="s">
        <v>1315</v>
      </c>
      <c r="F7" s="62" t="s">
        <v>2026</v>
      </c>
      <c r="G7" s="50" t="s">
        <v>1316</v>
      </c>
      <c r="H7" s="62" t="s">
        <v>2026</v>
      </c>
      <c r="I7" s="47" t="s">
        <v>1337</v>
      </c>
      <c r="J7" s="62" t="s">
        <v>1338</v>
      </c>
      <c r="K7" s="50" t="s">
        <v>1339</v>
      </c>
      <c r="L7" s="53" t="s">
        <v>2027</v>
      </c>
      <c r="M7" s="19"/>
      <c r="N7" s="19"/>
      <c r="O7" s="19"/>
      <c r="P7" s="19"/>
      <c r="Q7" s="50">
        <v>1.0</v>
      </c>
      <c r="R7" s="59">
        <v>45730.0</v>
      </c>
      <c r="S7" s="59">
        <v>45736.0</v>
      </c>
      <c r="T7" s="59">
        <v>45736.0</v>
      </c>
      <c r="U7" s="19"/>
      <c r="V7" s="50" t="s">
        <v>1321</v>
      </c>
      <c r="W7" s="19"/>
      <c r="X7" s="50" t="s">
        <v>12</v>
      </c>
      <c r="Y7" s="50" t="s">
        <v>1322</v>
      </c>
      <c r="Z7" s="50">
        <v>3.040310142E9</v>
      </c>
      <c r="AA7" s="50" t="s">
        <v>16</v>
      </c>
      <c r="AB7" s="50" t="s">
        <v>1331</v>
      </c>
      <c r="AC7" s="50" t="s">
        <v>1332</v>
      </c>
      <c r="AD7" s="19"/>
      <c r="AE7" s="19"/>
      <c r="AF7" s="19"/>
      <c r="AG7" s="19"/>
    </row>
    <row r="8">
      <c r="A8" s="47">
        <f>COUNTIF('Divulgação'!$B:$B,B8)</f>
        <v>1</v>
      </c>
      <c r="B8" s="53" t="s">
        <v>339</v>
      </c>
      <c r="C8" s="19"/>
      <c r="D8" s="50" t="s">
        <v>1314</v>
      </c>
      <c r="E8" s="50" t="s">
        <v>1315</v>
      </c>
      <c r="F8" s="62" t="s">
        <v>2026</v>
      </c>
      <c r="G8" s="50" t="s">
        <v>1316</v>
      </c>
      <c r="H8" s="62" t="s">
        <v>2026</v>
      </c>
      <c r="I8" s="47" t="s">
        <v>109</v>
      </c>
      <c r="J8" s="62" t="s">
        <v>1341</v>
      </c>
      <c r="K8" s="50" t="s">
        <v>110</v>
      </c>
      <c r="L8" s="53" t="s">
        <v>1351</v>
      </c>
      <c r="M8" s="19"/>
      <c r="N8" s="19"/>
      <c r="O8" s="19"/>
      <c r="P8" s="19"/>
      <c r="Q8" s="50">
        <v>1.0</v>
      </c>
      <c r="R8" s="59">
        <v>45730.0</v>
      </c>
      <c r="S8" s="59">
        <v>45757.0</v>
      </c>
      <c r="T8" s="59">
        <v>45736.0</v>
      </c>
      <c r="U8" s="19"/>
      <c r="V8" s="50" t="s">
        <v>1321</v>
      </c>
      <c r="W8" s="19"/>
      <c r="X8" s="50" t="s">
        <v>12</v>
      </c>
      <c r="Y8" s="50" t="s">
        <v>1322</v>
      </c>
      <c r="Z8" s="50">
        <v>3.04030642E9</v>
      </c>
      <c r="AA8" s="50" t="s">
        <v>1352</v>
      </c>
      <c r="AB8" s="50" t="s">
        <v>1353</v>
      </c>
      <c r="AC8" s="50" t="s">
        <v>1354</v>
      </c>
      <c r="AD8" s="19"/>
      <c r="AE8" s="19"/>
      <c r="AF8" s="19"/>
      <c r="AG8" s="19"/>
    </row>
    <row r="9">
      <c r="A9" s="47">
        <f>COUNTIF('Divulgação'!$B:$B,B9)</f>
        <v>1</v>
      </c>
      <c r="B9" s="53" t="s">
        <v>341</v>
      </c>
      <c r="C9" s="19"/>
      <c r="D9" s="50" t="s">
        <v>1314</v>
      </c>
      <c r="E9" s="50" t="s">
        <v>1315</v>
      </c>
      <c r="F9" s="62" t="s">
        <v>2026</v>
      </c>
      <c r="G9" s="50" t="s">
        <v>1316</v>
      </c>
      <c r="H9" s="62" t="s">
        <v>2026</v>
      </c>
      <c r="I9" s="47" t="s">
        <v>167</v>
      </c>
      <c r="J9" s="62" t="s">
        <v>1345</v>
      </c>
      <c r="K9" s="50" t="s">
        <v>168</v>
      </c>
      <c r="L9" s="53" t="s">
        <v>2028</v>
      </c>
      <c r="M9" s="19"/>
      <c r="N9" s="19"/>
      <c r="O9" s="19"/>
      <c r="P9" s="19"/>
      <c r="Q9" s="50">
        <v>1.0</v>
      </c>
      <c r="R9" s="59">
        <v>45730.0</v>
      </c>
      <c r="S9" s="61">
        <v>45981.0</v>
      </c>
      <c r="T9" s="59">
        <v>45736.0</v>
      </c>
      <c r="U9" s="19"/>
      <c r="V9" s="50" t="s">
        <v>1347</v>
      </c>
      <c r="W9" s="50">
        <v>3.13250016538E11</v>
      </c>
      <c r="X9" s="50" t="s">
        <v>12</v>
      </c>
      <c r="Y9" s="50" t="s">
        <v>1322</v>
      </c>
      <c r="Z9" s="50">
        <v>3.04030957E9</v>
      </c>
      <c r="AA9" s="50" t="s">
        <v>16</v>
      </c>
      <c r="AB9" s="50" t="s">
        <v>1331</v>
      </c>
      <c r="AC9" s="50" t="s">
        <v>1452</v>
      </c>
      <c r="AD9" s="19"/>
      <c r="AE9" s="19"/>
      <c r="AF9" s="19"/>
      <c r="AG9" s="19"/>
    </row>
    <row r="10">
      <c r="A10" s="47">
        <f>COUNTIF('Divulgação'!$B:$B,B10)</f>
        <v>1</v>
      </c>
      <c r="B10" s="53" t="s">
        <v>343</v>
      </c>
      <c r="C10" s="19"/>
      <c r="D10" s="50" t="s">
        <v>1314</v>
      </c>
      <c r="E10" s="50" t="s">
        <v>1315</v>
      </c>
      <c r="F10" s="62" t="s">
        <v>2026</v>
      </c>
      <c r="G10" s="50" t="s">
        <v>1316</v>
      </c>
      <c r="H10" s="62" t="s">
        <v>2026</v>
      </c>
      <c r="I10" s="47" t="s">
        <v>167</v>
      </c>
      <c r="J10" s="62" t="s">
        <v>1345</v>
      </c>
      <c r="K10" s="50" t="s">
        <v>168</v>
      </c>
      <c r="L10" s="53" t="s">
        <v>1346</v>
      </c>
      <c r="M10" s="19"/>
      <c r="N10" s="19"/>
      <c r="O10" s="19"/>
      <c r="P10" s="19"/>
      <c r="Q10" s="50">
        <v>1.0</v>
      </c>
      <c r="R10" s="59">
        <v>45730.0</v>
      </c>
      <c r="S10" s="61">
        <v>45981.0</v>
      </c>
      <c r="T10" s="59">
        <v>45736.0</v>
      </c>
      <c r="U10" s="19"/>
      <c r="V10" s="50" t="s">
        <v>1347</v>
      </c>
      <c r="W10" s="50">
        <v>3.04250073785E11</v>
      </c>
      <c r="X10" s="50" t="s">
        <v>12</v>
      </c>
      <c r="Y10" s="50" t="s">
        <v>1322</v>
      </c>
      <c r="Z10" s="50">
        <v>3.040307586E9</v>
      </c>
      <c r="AA10" s="50" t="s">
        <v>15</v>
      </c>
      <c r="AB10" s="50" t="s">
        <v>1348</v>
      </c>
      <c r="AC10" s="50" t="s">
        <v>1349</v>
      </c>
      <c r="AD10" s="19"/>
      <c r="AE10" s="19"/>
      <c r="AF10" s="19"/>
      <c r="AG10" s="19"/>
    </row>
    <row r="11">
      <c r="A11" s="47">
        <f>COUNTIF('Divulgação'!$B:$B,B11)</f>
        <v>1</v>
      </c>
      <c r="B11" s="53" t="s">
        <v>345</v>
      </c>
      <c r="C11" s="19"/>
      <c r="D11" s="50" t="s">
        <v>1314</v>
      </c>
      <c r="E11" s="50" t="s">
        <v>1315</v>
      </c>
      <c r="F11" s="62" t="s">
        <v>2026</v>
      </c>
      <c r="G11" s="50" t="s">
        <v>1316</v>
      </c>
      <c r="H11" s="62" t="s">
        <v>2026</v>
      </c>
      <c r="I11" s="47" t="s">
        <v>167</v>
      </c>
      <c r="J11" s="62" t="s">
        <v>1345</v>
      </c>
      <c r="K11" s="50" t="s">
        <v>168</v>
      </c>
      <c r="L11" s="47" t="s">
        <v>1350</v>
      </c>
      <c r="M11" s="19"/>
      <c r="N11" s="19"/>
      <c r="O11" s="19"/>
      <c r="P11" s="19"/>
      <c r="Q11" s="50">
        <v>1.0</v>
      </c>
      <c r="R11" s="59">
        <v>45730.0</v>
      </c>
      <c r="S11" s="61">
        <v>45981.0</v>
      </c>
      <c r="T11" s="59">
        <v>45736.0</v>
      </c>
      <c r="U11" s="19"/>
      <c r="V11" s="50" t="s">
        <v>1321</v>
      </c>
      <c r="W11" s="19"/>
      <c r="X11" s="50" t="s">
        <v>12</v>
      </c>
      <c r="Y11" s="50" t="s">
        <v>1322</v>
      </c>
      <c r="Z11" s="50">
        <v>3.040304272E9</v>
      </c>
      <c r="AA11" s="50" t="s">
        <v>17</v>
      </c>
      <c r="AB11" s="50" t="s">
        <v>1343</v>
      </c>
      <c r="AC11" s="50" t="s">
        <v>1344</v>
      </c>
      <c r="AD11" s="19"/>
      <c r="AE11" s="19"/>
      <c r="AF11" s="19"/>
      <c r="AG11" s="19"/>
    </row>
    <row r="12">
      <c r="A12" s="47">
        <f>COUNTIF('Divulgação'!$B:$B,B12)</f>
        <v>1</v>
      </c>
      <c r="B12" s="53" t="s">
        <v>347</v>
      </c>
      <c r="C12" s="19"/>
      <c r="D12" s="50" t="s">
        <v>1314</v>
      </c>
      <c r="E12" s="50" t="s">
        <v>1315</v>
      </c>
      <c r="F12" s="62" t="s">
        <v>2026</v>
      </c>
      <c r="G12" s="50" t="s">
        <v>1316</v>
      </c>
      <c r="H12" s="62" t="s">
        <v>2026</v>
      </c>
      <c r="I12" s="47" t="s">
        <v>109</v>
      </c>
      <c r="J12" s="62" t="s">
        <v>1341</v>
      </c>
      <c r="K12" s="50" t="s">
        <v>110</v>
      </c>
      <c r="L12" s="53" t="s">
        <v>1342</v>
      </c>
      <c r="M12" s="19"/>
      <c r="N12" s="19"/>
      <c r="O12" s="19"/>
      <c r="P12" s="19"/>
      <c r="Q12" s="50">
        <v>1.0</v>
      </c>
      <c r="R12" s="59">
        <v>45730.0</v>
      </c>
      <c r="S12" s="59">
        <v>45736.0</v>
      </c>
      <c r="T12" s="59">
        <v>45736.0</v>
      </c>
      <c r="U12" s="19"/>
      <c r="V12" s="50" t="s">
        <v>1321</v>
      </c>
      <c r="W12" s="19"/>
      <c r="X12" s="50" t="s">
        <v>12</v>
      </c>
      <c r="Y12" s="50" t="s">
        <v>1322</v>
      </c>
      <c r="Z12" s="50">
        <v>3.040309199E9</v>
      </c>
      <c r="AA12" s="50" t="s">
        <v>17</v>
      </c>
      <c r="AB12" s="50" t="s">
        <v>1343</v>
      </c>
      <c r="AC12" s="50" t="s">
        <v>1344</v>
      </c>
      <c r="AD12" s="19"/>
      <c r="AE12" s="19"/>
      <c r="AF12" s="19"/>
      <c r="AG12" s="19"/>
    </row>
    <row r="13">
      <c r="A13" s="47">
        <f>COUNTIF('Divulgação'!$B:$B,B13)</f>
        <v>1</v>
      </c>
      <c r="B13" s="53" t="s">
        <v>349</v>
      </c>
      <c r="C13" s="19"/>
      <c r="D13" s="50" t="s">
        <v>1314</v>
      </c>
      <c r="E13" s="50" t="s">
        <v>1315</v>
      </c>
      <c r="F13" s="62" t="s">
        <v>2026</v>
      </c>
      <c r="G13" s="50" t="s">
        <v>1316</v>
      </c>
      <c r="H13" s="62" t="s">
        <v>2026</v>
      </c>
      <c r="I13" s="47" t="s">
        <v>1361</v>
      </c>
      <c r="J13" s="50" t="s">
        <v>48</v>
      </c>
      <c r="K13" s="50" t="s">
        <v>1362</v>
      </c>
      <c r="L13" s="53" t="s">
        <v>1363</v>
      </c>
      <c r="M13" s="19"/>
      <c r="N13" s="19"/>
      <c r="O13" s="19"/>
      <c r="P13" s="19"/>
      <c r="Q13" s="50">
        <v>1.0</v>
      </c>
      <c r="R13" s="59">
        <v>45730.0</v>
      </c>
      <c r="S13" s="61">
        <v>45981.0</v>
      </c>
      <c r="T13" s="59">
        <v>45736.0</v>
      </c>
      <c r="U13" s="19"/>
      <c r="V13" s="50" t="s">
        <v>1347</v>
      </c>
      <c r="W13" s="50">
        <v>3.13250017551E11</v>
      </c>
      <c r="X13" s="50" t="s">
        <v>12</v>
      </c>
      <c r="Y13" s="50" t="s">
        <v>1322</v>
      </c>
      <c r="Z13" s="50">
        <v>3.040239627E9</v>
      </c>
      <c r="AA13" s="50" t="s">
        <v>1364</v>
      </c>
      <c r="AB13" s="50" t="s">
        <v>1365</v>
      </c>
      <c r="AC13" s="50" t="s">
        <v>1366</v>
      </c>
      <c r="AD13" s="19"/>
      <c r="AE13" s="19"/>
      <c r="AF13" s="19"/>
      <c r="AG13" s="19"/>
    </row>
    <row r="14">
      <c r="A14" s="47">
        <f>COUNTIF('Divulgação'!$B:$B,B14)</f>
        <v>1</v>
      </c>
      <c r="B14" s="53" t="s">
        <v>351</v>
      </c>
      <c r="C14" s="19"/>
      <c r="D14" s="50" t="s">
        <v>1314</v>
      </c>
      <c r="E14" s="50" t="s">
        <v>1315</v>
      </c>
      <c r="F14" s="62" t="s">
        <v>2026</v>
      </c>
      <c r="G14" s="50" t="s">
        <v>1316</v>
      </c>
      <c r="H14" s="62" t="s">
        <v>2026</v>
      </c>
      <c r="I14" s="47" t="s">
        <v>1361</v>
      </c>
      <c r="J14" s="50" t="s">
        <v>48</v>
      </c>
      <c r="K14" s="50" t="s">
        <v>1362</v>
      </c>
      <c r="L14" s="53" t="s">
        <v>1963</v>
      </c>
      <c r="M14" s="19"/>
      <c r="N14" s="19"/>
      <c r="O14" s="19"/>
      <c r="P14" s="19"/>
      <c r="Q14" s="50">
        <v>1.0</v>
      </c>
      <c r="R14" s="59">
        <v>45730.0</v>
      </c>
      <c r="S14" s="61">
        <v>45981.0</v>
      </c>
      <c r="T14" s="59">
        <v>45736.0</v>
      </c>
      <c r="U14" s="19"/>
      <c r="V14" s="50" t="s">
        <v>1321</v>
      </c>
      <c r="W14" s="19"/>
      <c r="X14" s="50" t="s">
        <v>12</v>
      </c>
      <c r="Y14" s="50" t="s">
        <v>1322</v>
      </c>
      <c r="Z14" s="50">
        <v>3.04024468E9</v>
      </c>
      <c r="AA14" s="50" t="s">
        <v>1364</v>
      </c>
      <c r="AB14" s="50" t="s">
        <v>2029</v>
      </c>
      <c r="AC14" s="50" t="s">
        <v>2030</v>
      </c>
      <c r="AD14" s="19"/>
      <c r="AE14" s="19"/>
      <c r="AF14" s="19"/>
      <c r="AG14" s="19"/>
    </row>
    <row r="15">
      <c r="A15" s="47">
        <f>COUNTIF('Divulgação'!$B:$B,B15)</f>
        <v>1</v>
      </c>
      <c r="B15" s="53" t="s">
        <v>353</v>
      </c>
      <c r="C15" s="19"/>
      <c r="D15" s="50" t="s">
        <v>1314</v>
      </c>
      <c r="E15" s="50" t="s">
        <v>1315</v>
      </c>
      <c r="F15" s="62" t="s">
        <v>2026</v>
      </c>
      <c r="G15" s="50" t="s">
        <v>1316</v>
      </c>
      <c r="H15" s="62" t="s">
        <v>2026</v>
      </c>
      <c r="I15" s="47" t="s">
        <v>1355</v>
      </c>
      <c r="J15" s="62" t="s">
        <v>1356</v>
      </c>
      <c r="K15" s="50" t="s">
        <v>1357</v>
      </c>
      <c r="L15" s="47" t="s">
        <v>1358</v>
      </c>
      <c r="M15" s="19"/>
      <c r="N15" s="19"/>
      <c r="O15" s="19"/>
      <c r="P15" s="19"/>
      <c r="Q15" s="50">
        <v>1.0</v>
      </c>
      <c r="R15" s="59">
        <v>45730.0</v>
      </c>
      <c r="S15" s="59">
        <v>45736.0</v>
      </c>
      <c r="T15" s="59">
        <v>45736.0</v>
      </c>
      <c r="U15" s="19"/>
      <c r="V15" s="50" t="s">
        <v>1321</v>
      </c>
      <c r="W15" s="19"/>
      <c r="X15" s="50" t="s">
        <v>12</v>
      </c>
      <c r="Y15" s="50" t="s">
        <v>1322</v>
      </c>
      <c r="Z15" s="50">
        <v>3.040310112E9</v>
      </c>
      <c r="AA15" s="50" t="s">
        <v>24</v>
      </c>
      <c r="AB15" s="50" t="s">
        <v>1359</v>
      </c>
      <c r="AC15" s="50" t="s">
        <v>1360</v>
      </c>
      <c r="AD15" s="19"/>
      <c r="AE15" s="19"/>
      <c r="AF15" s="19"/>
      <c r="AG15" s="19"/>
    </row>
    <row r="16">
      <c r="A16" s="47">
        <f>COUNTIF('Divulgação'!$B:$B,B16)</f>
        <v>1</v>
      </c>
      <c r="B16" s="53" t="s">
        <v>355</v>
      </c>
      <c r="C16" s="19"/>
      <c r="D16" s="50" t="s">
        <v>1314</v>
      </c>
      <c r="E16" s="50" t="s">
        <v>1315</v>
      </c>
      <c r="F16" s="62" t="s">
        <v>2026</v>
      </c>
      <c r="G16" s="50" t="s">
        <v>1316</v>
      </c>
      <c r="H16" s="62" t="s">
        <v>2026</v>
      </c>
      <c r="I16" s="47" t="s">
        <v>1608</v>
      </c>
      <c r="J16" s="62" t="s">
        <v>1609</v>
      </c>
      <c r="K16" s="50" t="s">
        <v>1610</v>
      </c>
      <c r="L16" s="47" t="s">
        <v>2031</v>
      </c>
      <c r="M16" s="19"/>
      <c r="N16" s="19"/>
      <c r="O16" s="19"/>
      <c r="P16" s="19"/>
      <c r="Q16" s="50">
        <v>1.0</v>
      </c>
      <c r="R16" s="59">
        <v>45730.0</v>
      </c>
      <c r="S16" s="61">
        <v>45981.0</v>
      </c>
      <c r="T16" s="59">
        <v>45736.0</v>
      </c>
      <c r="U16" s="19"/>
      <c r="V16" s="50" t="s">
        <v>1347</v>
      </c>
      <c r="W16" s="50">
        <v>3.13250016499E11</v>
      </c>
      <c r="X16" s="50" t="s">
        <v>12</v>
      </c>
      <c r="Y16" s="50" t="s">
        <v>1322</v>
      </c>
      <c r="Z16" s="50">
        <v>3.040265936E9</v>
      </c>
      <c r="AA16" s="50" t="s">
        <v>1372</v>
      </c>
      <c r="AB16" s="50" t="s">
        <v>1348</v>
      </c>
      <c r="AC16" s="50" t="s">
        <v>2032</v>
      </c>
      <c r="AD16" s="19"/>
      <c r="AE16" s="19"/>
      <c r="AF16" s="19"/>
      <c r="AG16" s="19"/>
    </row>
    <row r="17">
      <c r="A17" s="47">
        <f>COUNTIF('Divulgação'!$B:$B,B17)</f>
        <v>1</v>
      </c>
      <c r="B17" s="53" t="s">
        <v>357</v>
      </c>
      <c r="C17" s="19"/>
      <c r="D17" s="50" t="s">
        <v>1314</v>
      </c>
      <c r="E17" s="50" t="s">
        <v>1315</v>
      </c>
      <c r="F17" s="62" t="s">
        <v>2026</v>
      </c>
      <c r="G17" s="50" t="s">
        <v>1316</v>
      </c>
      <c r="H17" s="62" t="s">
        <v>2026</v>
      </c>
      <c r="I17" s="47" t="s">
        <v>107</v>
      </c>
      <c r="J17" s="50" t="s">
        <v>48</v>
      </c>
      <c r="K17" s="50" t="s">
        <v>1367</v>
      </c>
      <c r="L17" s="47" t="s">
        <v>1368</v>
      </c>
      <c r="M17" s="19"/>
      <c r="N17" s="19"/>
      <c r="O17" s="19"/>
      <c r="P17" s="19"/>
      <c r="Q17" s="50">
        <v>1.0</v>
      </c>
      <c r="R17" s="59">
        <v>45730.0</v>
      </c>
      <c r="S17" s="59">
        <v>45736.0</v>
      </c>
      <c r="T17" s="59">
        <v>45736.0</v>
      </c>
      <c r="U17" s="19"/>
      <c r="V17" s="50" t="s">
        <v>1321</v>
      </c>
      <c r="W17" s="19"/>
      <c r="X17" s="50" t="s">
        <v>12</v>
      </c>
      <c r="Y17" s="50" t="s">
        <v>1322</v>
      </c>
      <c r="Z17" s="50">
        <v>3.040309916E9</v>
      </c>
      <c r="AA17" s="50" t="s">
        <v>12</v>
      </c>
      <c r="AB17" s="50" t="s">
        <v>1322</v>
      </c>
      <c r="AC17" s="50" t="s">
        <v>1369</v>
      </c>
      <c r="AD17" s="19"/>
      <c r="AE17" s="19"/>
      <c r="AF17" s="19"/>
      <c r="AG17" s="19"/>
    </row>
    <row r="18">
      <c r="A18" s="47">
        <f>COUNTIF('Divulgação'!$B:$B,B18)</f>
        <v>1</v>
      </c>
      <c r="B18" s="53" t="s">
        <v>359</v>
      </c>
      <c r="C18" s="19"/>
      <c r="D18" s="50" t="s">
        <v>1314</v>
      </c>
      <c r="E18" s="50" t="s">
        <v>1315</v>
      </c>
      <c r="F18" s="62" t="s">
        <v>2026</v>
      </c>
      <c r="G18" s="50" t="s">
        <v>1316</v>
      </c>
      <c r="H18" s="62" t="s">
        <v>2026</v>
      </c>
      <c r="I18" s="47" t="s">
        <v>171</v>
      </c>
      <c r="J18" s="50" t="s">
        <v>48</v>
      </c>
      <c r="K18" s="50" t="s">
        <v>1370</v>
      </c>
      <c r="L18" s="53" t="s">
        <v>1371</v>
      </c>
      <c r="M18" s="19"/>
      <c r="N18" s="19"/>
      <c r="O18" s="19"/>
      <c r="P18" s="19"/>
      <c r="Q18" s="50">
        <v>1.0</v>
      </c>
      <c r="R18" s="59">
        <v>45730.0</v>
      </c>
      <c r="S18" s="61">
        <v>45981.0</v>
      </c>
      <c r="T18" s="59">
        <v>45736.0</v>
      </c>
      <c r="U18" s="19"/>
      <c r="V18" s="50" t="s">
        <v>1321</v>
      </c>
      <c r="W18" s="19"/>
      <c r="X18" s="50" t="s">
        <v>12</v>
      </c>
      <c r="Y18" s="50" t="s">
        <v>1322</v>
      </c>
      <c r="Z18" s="50">
        <v>3.040233376E9</v>
      </c>
      <c r="AA18" s="50" t="s">
        <v>1372</v>
      </c>
      <c r="AB18" s="50" t="s">
        <v>1373</v>
      </c>
      <c r="AC18" s="50" t="s">
        <v>2033</v>
      </c>
      <c r="AD18" s="19"/>
      <c r="AE18" s="19"/>
      <c r="AF18" s="19"/>
      <c r="AG18" s="19"/>
    </row>
    <row r="19">
      <c r="A19" s="47">
        <f>COUNTIF('Divulgação'!$B:$B,B19)</f>
        <v>1</v>
      </c>
      <c r="B19" s="53" t="s">
        <v>361</v>
      </c>
      <c r="C19" s="19"/>
      <c r="D19" s="50" t="s">
        <v>1314</v>
      </c>
      <c r="E19" s="50" t="s">
        <v>1315</v>
      </c>
      <c r="F19" s="62" t="s">
        <v>2026</v>
      </c>
      <c r="G19" s="50" t="s">
        <v>1316</v>
      </c>
      <c r="H19" s="62" t="s">
        <v>2026</v>
      </c>
      <c r="I19" s="47" t="s">
        <v>171</v>
      </c>
      <c r="J19" s="50" t="s">
        <v>48</v>
      </c>
      <c r="K19" s="50" t="s">
        <v>1370</v>
      </c>
      <c r="L19" s="53" t="s">
        <v>1375</v>
      </c>
      <c r="M19" s="19"/>
      <c r="N19" s="19"/>
      <c r="O19" s="19"/>
      <c r="P19" s="19"/>
      <c r="Q19" s="50">
        <v>1.0</v>
      </c>
      <c r="R19" s="59">
        <v>45730.0</v>
      </c>
      <c r="S19" s="61">
        <v>45981.0</v>
      </c>
      <c r="T19" s="59">
        <v>45736.0</v>
      </c>
      <c r="U19" s="19"/>
      <c r="V19" s="50" t="s">
        <v>1321</v>
      </c>
      <c r="W19" s="19"/>
      <c r="X19" s="50" t="s">
        <v>12</v>
      </c>
      <c r="Y19" s="50" t="s">
        <v>1322</v>
      </c>
      <c r="Z19" s="50">
        <v>3.040242891E9</v>
      </c>
      <c r="AA19" s="50" t="s">
        <v>1376</v>
      </c>
      <c r="AB19" s="50" t="s">
        <v>1377</v>
      </c>
      <c r="AC19" s="50" t="s">
        <v>1378</v>
      </c>
      <c r="AD19" s="19"/>
      <c r="AE19" s="19"/>
      <c r="AF19" s="19"/>
      <c r="AG19" s="19"/>
    </row>
    <row r="20">
      <c r="A20" s="47">
        <f>COUNTIF('Divulgação'!$B:$B,B20)</f>
        <v>1</v>
      </c>
      <c r="B20" s="53" t="s">
        <v>363</v>
      </c>
      <c r="C20" s="19"/>
      <c r="D20" s="50" t="s">
        <v>1314</v>
      </c>
      <c r="E20" s="50" t="s">
        <v>1315</v>
      </c>
      <c r="F20" s="62" t="s">
        <v>2026</v>
      </c>
      <c r="G20" s="50" t="s">
        <v>1316</v>
      </c>
      <c r="H20" s="62" t="s">
        <v>2026</v>
      </c>
      <c r="I20" s="47" t="s">
        <v>171</v>
      </c>
      <c r="J20" s="50" t="s">
        <v>48</v>
      </c>
      <c r="K20" s="50" t="s">
        <v>1370</v>
      </c>
      <c r="L20" s="53" t="s">
        <v>2034</v>
      </c>
      <c r="M20" s="19"/>
      <c r="N20" s="19"/>
      <c r="O20" s="19"/>
      <c r="P20" s="19"/>
      <c r="Q20" s="50">
        <v>1.0</v>
      </c>
      <c r="R20" s="59">
        <v>45730.0</v>
      </c>
      <c r="S20" s="61">
        <v>45981.0</v>
      </c>
      <c r="T20" s="59">
        <v>45736.0</v>
      </c>
      <c r="U20" s="19"/>
      <c r="V20" s="50" t="s">
        <v>1321</v>
      </c>
      <c r="W20" s="19"/>
      <c r="X20" s="50" t="s">
        <v>12</v>
      </c>
      <c r="Y20" s="50" t="s">
        <v>1322</v>
      </c>
      <c r="Z20" s="50">
        <v>3.04024015E9</v>
      </c>
      <c r="AA20" s="50" t="s">
        <v>1415</v>
      </c>
      <c r="AB20" s="50" t="s">
        <v>1416</v>
      </c>
      <c r="AC20" s="50" t="s">
        <v>2035</v>
      </c>
      <c r="AD20" s="19"/>
      <c r="AE20" s="19"/>
      <c r="AF20" s="19"/>
      <c r="AG20" s="19"/>
    </row>
    <row r="21">
      <c r="A21" s="47">
        <f>COUNTIF('Divulgação'!$B:$B,B21)</f>
        <v>1</v>
      </c>
      <c r="B21" s="53" t="s">
        <v>365</v>
      </c>
      <c r="C21" s="19"/>
      <c r="D21" s="50" t="s">
        <v>1314</v>
      </c>
      <c r="E21" s="50" t="s">
        <v>1315</v>
      </c>
      <c r="F21" s="62" t="s">
        <v>2026</v>
      </c>
      <c r="G21" s="50" t="s">
        <v>1316</v>
      </c>
      <c r="H21" s="62" t="s">
        <v>2026</v>
      </c>
      <c r="I21" s="47" t="s">
        <v>129</v>
      </c>
      <c r="J21" s="62" t="s">
        <v>1318</v>
      </c>
      <c r="K21" s="50" t="s">
        <v>130</v>
      </c>
      <c r="L21" s="47" t="s">
        <v>1384</v>
      </c>
      <c r="M21" s="19"/>
      <c r="N21" s="19"/>
      <c r="O21" s="19"/>
      <c r="P21" s="19"/>
      <c r="Q21" s="50">
        <v>1.0</v>
      </c>
      <c r="R21" s="59">
        <v>45729.0</v>
      </c>
      <c r="S21" s="59">
        <v>45735.0</v>
      </c>
      <c r="T21" s="59">
        <v>45736.0</v>
      </c>
      <c r="U21" s="19"/>
      <c r="V21" s="50" t="s">
        <v>1321</v>
      </c>
      <c r="W21" s="19"/>
      <c r="X21" s="50" t="s">
        <v>12</v>
      </c>
      <c r="Y21" s="50" t="s">
        <v>1322</v>
      </c>
      <c r="Z21" s="50">
        <v>3.040293359E9</v>
      </c>
      <c r="AA21" s="50" t="s">
        <v>12</v>
      </c>
      <c r="AB21" s="50" t="s">
        <v>1385</v>
      </c>
      <c r="AC21" s="50" t="s">
        <v>1386</v>
      </c>
      <c r="AD21" s="19"/>
      <c r="AE21" s="19"/>
      <c r="AF21" s="19"/>
      <c r="AG21" s="19"/>
    </row>
    <row r="22">
      <c r="A22" s="47">
        <f>COUNTIF('Divulgação'!$B:$B,B22)</f>
        <v>1</v>
      </c>
      <c r="B22" s="53" t="s">
        <v>367</v>
      </c>
      <c r="C22" s="19"/>
      <c r="D22" s="50" t="s">
        <v>1314</v>
      </c>
      <c r="E22" s="50" t="s">
        <v>1315</v>
      </c>
      <c r="F22" s="62" t="s">
        <v>2026</v>
      </c>
      <c r="G22" s="50" t="s">
        <v>1316</v>
      </c>
      <c r="H22" s="62" t="s">
        <v>2026</v>
      </c>
      <c r="I22" s="47" t="s">
        <v>129</v>
      </c>
      <c r="J22" s="62" t="s">
        <v>1318</v>
      </c>
      <c r="K22" s="50" t="s">
        <v>130</v>
      </c>
      <c r="L22" s="47" t="s">
        <v>2036</v>
      </c>
      <c r="M22" s="19"/>
      <c r="N22" s="19"/>
      <c r="O22" s="19"/>
      <c r="P22" s="19"/>
      <c r="Q22" s="50">
        <v>1.0</v>
      </c>
      <c r="R22" s="59">
        <v>45729.0</v>
      </c>
      <c r="S22" s="59">
        <v>45735.0</v>
      </c>
      <c r="T22" s="59">
        <v>45736.0</v>
      </c>
      <c r="U22" s="19"/>
      <c r="V22" s="50" t="s">
        <v>1321</v>
      </c>
      <c r="W22" s="19"/>
      <c r="X22" s="50" t="s">
        <v>12</v>
      </c>
      <c r="Y22" s="50" t="s">
        <v>1322</v>
      </c>
      <c r="Z22" s="50">
        <v>3.04029601E9</v>
      </c>
      <c r="AA22" s="50" t="s">
        <v>19</v>
      </c>
      <c r="AB22" s="50" t="s">
        <v>1827</v>
      </c>
      <c r="AC22" s="50" t="s">
        <v>2019</v>
      </c>
      <c r="AD22" s="19"/>
      <c r="AE22" s="19"/>
      <c r="AF22" s="19"/>
      <c r="AG22" s="19"/>
    </row>
    <row r="23">
      <c r="A23" s="47">
        <f>COUNTIF('Divulgação'!$B:$B,B23)</f>
        <v>1</v>
      </c>
      <c r="B23" s="53" t="s">
        <v>370</v>
      </c>
      <c r="C23" s="19"/>
      <c r="D23" s="50" t="s">
        <v>1314</v>
      </c>
      <c r="E23" s="50" t="s">
        <v>1315</v>
      </c>
      <c r="F23" s="62" t="s">
        <v>2026</v>
      </c>
      <c r="G23" s="50" t="s">
        <v>1316</v>
      </c>
      <c r="H23" s="62" t="s">
        <v>2026</v>
      </c>
      <c r="I23" s="47" t="s">
        <v>1317</v>
      </c>
      <c r="J23" s="62" t="s">
        <v>1318</v>
      </c>
      <c r="K23" s="50" t="s">
        <v>1319</v>
      </c>
      <c r="L23" s="53" t="s">
        <v>1379</v>
      </c>
      <c r="M23" s="19"/>
      <c r="N23" s="19"/>
      <c r="O23" s="19"/>
      <c r="P23" s="19"/>
      <c r="Q23" s="50">
        <v>1.0</v>
      </c>
      <c r="R23" s="59">
        <v>45729.0</v>
      </c>
      <c r="S23" s="59">
        <v>45735.0</v>
      </c>
      <c r="T23" s="59">
        <v>45736.0</v>
      </c>
      <c r="U23" s="19"/>
      <c r="V23" s="50" t="s">
        <v>1321</v>
      </c>
      <c r="W23" s="19"/>
      <c r="X23" s="50" t="s">
        <v>12</v>
      </c>
      <c r="Y23" s="50" t="s">
        <v>1322</v>
      </c>
      <c r="Z23" s="50">
        <v>3.040235688E9</v>
      </c>
      <c r="AA23" s="50" t="s">
        <v>1376</v>
      </c>
      <c r="AB23" s="50" t="s">
        <v>1380</v>
      </c>
      <c r="AC23" s="50" t="s">
        <v>1381</v>
      </c>
      <c r="AD23" s="19"/>
      <c r="AE23" s="19"/>
      <c r="AF23" s="19"/>
      <c r="AG23" s="19"/>
    </row>
    <row r="24">
      <c r="A24" s="47">
        <f>COUNTIF('Divulgação'!$B:$B,B24)</f>
        <v>1</v>
      </c>
      <c r="B24" s="53" t="s">
        <v>372</v>
      </c>
      <c r="C24" s="19"/>
      <c r="D24" s="50" t="s">
        <v>1314</v>
      </c>
      <c r="E24" s="50" t="s">
        <v>1315</v>
      </c>
      <c r="F24" s="62" t="s">
        <v>2026</v>
      </c>
      <c r="G24" s="50" t="s">
        <v>1316</v>
      </c>
      <c r="H24" s="62" t="s">
        <v>2026</v>
      </c>
      <c r="I24" s="47" t="s">
        <v>1317</v>
      </c>
      <c r="J24" s="62" t="s">
        <v>1318</v>
      </c>
      <c r="K24" s="50" t="s">
        <v>1319</v>
      </c>
      <c r="L24" s="53" t="s">
        <v>1382</v>
      </c>
      <c r="M24" s="19"/>
      <c r="N24" s="19"/>
      <c r="O24" s="19"/>
      <c r="P24" s="19"/>
      <c r="Q24" s="50">
        <v>1.0</v>
      </c>
      <c r="R24" s="59">
        <v>45729.0</v>
      </c>
      <c r="S24" s="59">
        <v>45735.0</v>
      </c>
      <c r="T24" s="59">
        <v>45736.0</v>
      </c>
      <c r="U24" s="19"/>
      <c r="V24" s="50" t="s">
        <v>1321</v>
      </c>
      <c r="W24" s="19"/>
      <c r="X24" s="50" t="s">
        <v>12</v>
      </c>
      <c r="Y24" s="50" t="s">
        <v>1322</v>
      </c>
      <c r="Z24" s="50">
        <v>3.040262311E9</v>
      </c>
      <c r="AA24" s="50" t="s">
        <v>21</v>
      </c>
      <c r="AB24" s="50" t="s">
        <v>1359</v>
      </c>
      <c r="AC24" s="50" t="s">
        <v>1383</v>
      </c>
      <c r="AD24" s="19"/>
      <c r="AE24" s="19"/>
      <c r="AF24" s="19"/>
      <c r="AG24" s="19"/>
    </row>
    <row r="25">
      <c r="A25" s="47">
        <f>COUNTIF('Divulgação'!$B:$B,B25)</f>
        <v>1</v>
      </c>
      <c r="B25" s="53" t="s">
        <v>374</v>
      </c>
      <c r="C25" s="19"/>
      <c r="D25" s="50" t="s">
        <v>1314</v>
      </c>
      <c r="E25" s="50" t="s">
        <v>1315</v>
      </c>
      <c r="F25" s="62" t="s">
        <v>2026</v>
      </c>
      <c r="G25" s="50" t="s">
        <v>1316</v>
      </c>
      <c r="H25" s="62" t="s">
        <v>2026</v>
      </c>
      <c r="I25" s="47" t="s">
        <v>129</v>
      </c>
      <c r="J25" s="62" t="s">
        <v>1318</v>
      </c>
      <c r="K25" s="50" t="s">
        <v>130</v>
      </c>
      <c r="L25" s="53" t="s">
        <v>1802</v>
      </c>
      <c r="M25" s="19"/>
      <c r="N25" s="19"/>
      <c r="O25" s="19"/>
      <c r="P25" s="19"/>
      <c r="Q25" s="50">
        <v>1.0</v>
      </c>
      <c r="R25" s="59">
        <v>45729.0</v>
      </c>
      <c r="S25" s="59">
        <v>45735.0</v>
      </c>
      <c r="T25" s="59">
        <v>45736.0</v>
      </c>
      <c r="U25" s="19"/>
      <c r="V25" s="50" t="s">
        <v>1347</v>
      </c>
      <c r="W25" s="50">
        <v>3.04250073782E11</v>
      </c>
      <c r="X25" s="50" t="s">
        <v>12</v>
      </c>
      <c r="Y25" s="50" t="s">
        <v>1322</v>
      </c>
      <c r="Z25" s="50">
        <v>3.040302423E9</v>
      </c>
      <c r="AA25" s="50" t="s">
        <v>17</v>
      </c>
      <c r="AB25" s="50" t="s">
        <v>1343</v>
      </c>
      <c r="AC25" s="50" t="s">
        <v>1344</v>
      </c>
      <c r="AD25" s="19"/>
      <c r="AE25" s="19"/>
      <c r="AF25" s="19"/>
      <c r="AG25" s="19"/>
    </row>
    <row r="26">
      <c r="A26" s="47">
        <f>COUNTIF('Divulgação'!$B:$B,B26)</f>
        <v>1</v>
      </c>
      <c r="B26" s="53" t="s">
        <v>376</v>
      </c>
      <c r="C26" s="19"/>
      <c r="D26" s="50" t="s">
        <v>1314</v>
      </c>
      <c r="E26" s="50" t="s">
        <v>1315</v>
      </c>
      <c r="F26" s="62" t="s">
        <v>2026</v>
      </c>
      <c r="G26" s="50" t="s">
        <v>1316</v>
      </c>
      <c r="H26" s="62" t="s">
        <v>2026</v>
      </c>
      <c r="I26" s="47" t="s">
        <v>1590</v>
      </c>
      <c r="J26" s="62" t="s">
        <v>1318</v>
      </c>
      <c r="K26" s="50" t="s">
        <v>1591</v>
      </c>
      <c r="L26" s="53" t="s">
        <v>2037</v>
      </c>
      <c r="M26" s="19"/>
      <c r="N26" s="19"/>
      <c r="O26" s="19"/>
      <c r="P26" s="19"/>
      <c r="Q26" s="50">
        <v>1.0</v>
      </c>
      <c r="R26" s="59">
        <v>45729.0</v>
      </c>
      <c r="S26" s="59">
        <v>45735.0</v>
      </c>
      <c r="T26" s="59">
        <v>45736.0</v>
      </c>
      <c r="U26" s="19"/>
      <c r="V26" s="50" t="s">
        <v>1321</v>
      </c>
      <c r="W26" s="19"/>
      <c r="X26" s="50" t="s">
        <v>12</v>
      </c>
      <c r="Y26" s="50" t="s">
        <v>1322</v>
      </c>
      <c r="Z26" s="50">
        <v>3.040242916E9</v>
      </c>
      <c r="AA26" s="50" t="s">
        <v>1415</v>
      </c>
      <c r="AB26" s="50" t="s">
        <v>1416</v>
      </c>
      <c r="AC26" s="50" t="s">
        <v>2038</v>
      </c>
      <c r="AD26" s="19"/>
      <c r="AE26" s="19"/>
      <c r="AF26" s="19"/>
      <c r="AG26" s="19"/>
    </row>
    <row r="27">
      <c r="A27" s="47">
        <f>COUNTIF('Divulgação'!$B:$B,B27)</f>
        <v>1</v>
      </c>
      <c r="B27" s="53" t="s">
        <v>378</v>
      </c>
      <c r="C27" s="19"/>
      <c r="D27" s="50" t="s">
        <v>1314</v>
      </c>
      <c r="E27" s="50" t="s">
        <v>1315</v>
      </c>
      <c r="F27" s="62" t="s">
        <v>2026</v>
      </c>
      <c r="G27" s="50" t="s">
        <v>1316</v>
      </c>
      <c r="H27" s="62" t="s">
        <v>2026</v>
      </c>
      <c r="I27" s="47" t="s">
        <v>1387</v>
      </c>
      <c r="J27" s="62" t="s">
        <v>1318</v>
      </c>
      <c r="K27" s="50" t="s">
        <v>1388</v>
      </c>
      <c r="L27" s="47" t="s">
        <v>1389</v>
      </c>
      <c r="M27" s="19"/>
      <c r="N27" s="19"/>
      <c r="O27" s="19"/>
      <c r="P27" s="19"/>
      <c r="Q27" s="50">
        <v>1.0</v>
      </c>
      <c r="R27" s="59">
        <v>45729.0</v>
      </c>
      <c r="S27" s="59">
        <v>45735.0</v>
      </c>
      <c r="T27" s="59">
        <v>45736.0</v>
      </c>
      <c r="U27" s="19"/>
      <c r="V27" s="50" t="s">
        <v>1321</v>
      </c>
      <c r="W27" s="19"/>
      <c r="X27" s="50" t="s">
        <v>12</v>
      </c>
      <c r="Y27" s="50" t="s">
        <v>1322</v>
      </c>
      <c r="Z27" s="50">
        <v>3.040310542E9</v>
      </c>
      <c r="AA27" s="50" t="s">
        <v>12</v>
      </c>
      <c r="AB27" s="50" t="s">
        <v>1322</v>
      </c>
      <c r="AC27" s="50" t="s">
        <v>1336</v>
      </c>
      <c r="AD27" s="19"/>
      <c r="AE27" s="19"/>
      <c r="AF27" s="19"/>
      <c r="AG27" s="19"/>
    </row>
    <row r="28">
      <c r="A28" s="47">
        <f>COUNTIF('Divulgação'!$B:$B,B28)</f>
        <v>1</v>
      </c>
      <c r="B28" s="53" t="s">
        <v>380</v>
      </c>
      <c r="C28" s="19"/>
      <c r="D28" s="50" t="s">
        <v>1314</v>
      </c>
      <c r="E28" s="50" t="s">
        <v>1315</v>
      </c>
      <c r="F28" s="62" t="s">
        <v>2026</v>
      </c>
      <c r="G28" s="50" t="s">
        <v>1316</v>
      </c>
      <c r="H28" s="62" t="s">
        <v>2026</v>
      </c>
      <c r="I28" s="47" t="s">
        <v>115</v>
      </c>
      <c r="J28" s="62" t="s">
        <v>1318</v>
      </c>
      <c r="K28" s="50" t="s">
        <v>1390</v>
      </c>
      <c r="L28" s="53" t="s">
        <v>1391</v>
      </c>
      <c r="M28" s="19"/>
      <c r="N28" s="19"/>
      <c r="O28" s="19"/>
      <c r="P28" s="19"/>
      <c r="Q28" s="50">
        <v>1.0</v>
      </c>
      <c r="R28" s="59">
        <v>45729.0</v>
      </c>
      <c r="S28" s="59">
        <v>45735.0</v>
      </c>
      <c r="T28" s="59">
        <v>45736.0</v>
      </c>
      <c r="U28" s="19"/>
      <c r="V28" s="50" t="s">
        <v>1321</v>
      </c>
      <c r="W28" s="19"/>
      <c r="X28" s="50" t="s">
        <v>12</v>
      </c>
      <c r="Y28" s="50" t="s">
        <v>1322</v>
      </c>
      <c r="Z28" s="50">
        <v>3.04022812E9</v>
      </c>
      <c r="AA28" s="50" t="s">
        <v>12</v>
      </c>
      <c r="AB28" s="50" t="s">
        <v>1392</v>
      </c>
      <c r="AC28" s="50" t="s">
        <v>1393</v>
      </c>
      <c r="AD28" s="19"/>
      <c r="AE28" s="19"/>
      <c r="AF28" s="19"/>
      <c r="AG28" s="19"/>
    </row>
    <row r="29">
      <c r="A29" s="47">
        <f>COUNTIF('Divulgação'!$B:$B,B29)</f>
        <v>1</v>
      </c>
      <c r="B29" s="53" t="s">
        <v>382</v>
      </c>
      <c r="C29" s="19"/>
      <c r="D29" s="50" t="s">
        <v>1314</v>
      </c>
      <c r="E29" s="50" t="s">
        <v>1315</v>
      </c>
      <c r="F29" s="62" t="s">
        <v>2026</v>
      </c>
      <c r="G29" s="50" t="s">
        <v>1316</v>
      </c>
      <c r="H29" s="62" t="s">
        <v>2026</v>
      </c>
      <c r="I29" s="47" t="s">
        <v>205</v>
      </c>
      <c r="J29" s="50" t="s">
        <v>48</v>
      </c>
      <c r="K29" s="50" t="s">
        <v>206</v>
      </c>
      <c r="L29" s="47" t="s">
        <v>2039</v>
      </c>
      <c r="M29" s="19"/>
      <c r="N29" s="19"/>
      <c r="O29" s="19"/>
      <c r="P29" s="19"/>
      <c r="Q29" s="50">
        <v>1.0</v>
      </c>
      <c r="R29" s="59">
        <v>45729.0</v>
      </c>
      <c r="S29" s="61">
        <v>45980.0</v>
      </c>
      <c r="T29" s="59">
        <v>45736.0</v>
      </c>
      <c r="U29" s="19"/>
      <c r="V29" s="50" t="s">
        <v>1321</v>
      </c>
      <c r="W29" s="19"/>
      <c r="X29" s="50" t="s">
        <v>12</v>
      </c>
      <c r="Y29" s="50" t="s">
        <v>1322</v>
      </c>
      <c r="Z29" s="50">
        <v>3.040240155E9</v>
      </c>
      <c r="AA29" s="50" t="s">
        <v>1376</v>
      </c>
      <c r="AB29" s="50" t="s">
        <v>1377</v>
      </c>
      <c r="AC29" s="50" t="s">
        <v>1482</v>
      </c>
      <c r="AD29" s="19"/>
      <c r="AE29" s="19"/>
      <c r="AF29" s="19"/>
      <c r="AG29" s="19"/>
    </row>
    <row r="30">
      <c r="A30" s="47">
        <f>COUNTIF('Divulgação'!$B:$B,B30)</f>
        <v>1</v>
      </c>
      <c r="B30" s="53" t="s">
        <v>384</v>
      </c>
      <c r="C30" s="19"/>
      <c r="D30" s="50" t="s">
        <v>1314</v>
      </c>
      <c r="E30" s="50" t="s">
        <v>1315</v>
      </c>
      <c r="F30" s="62" t="s">
        <v>2026</v>
      </c>
      <c r="G30" s="50" t="s">
        <v>1316</v>
      </c>
      <c r="H30" s="62" t="s">
        <v>2026</v>
      </c>
      <c r="I30" s="47" t="s">
        <v>1394</v>
      </c>
      <c r="J30" s="62" t="s">
        <v>1395</v>
      </c>
      <c r="K30" s="50" t="s">
        <v>1396</v>
      </c>
      <c r="L30" s="53" t="s">
        <v>882</v>
      </c>
      <c r="M30" s="19"/>
      <c r="N30" s="19"/>
      <c r="O30" s="19"/>
      <c r="P30" s="19"/>
      <c r="Q30" s="50">
        <v>1.0</v>
      </c>
      <c r="R30" s="59">
        <v>45729.0</v>
      </c>
      <c r="S30" s="61">
        <v>45980.0</v>
      </c>
      <c r="T30" s="59">
        <v>45736.0</v>
      </c>
      <c r="U30" s="19"/>
      <c r="V30" s="50" t="s">
        <v>1321</v>
      </c>
      <c r="W30" s="19"/>
      <c r="X30" s="50" t="s">
        <v>12</v>
      </c>
      <c r="Y30" s="50" t="s">
        <v>1322</v>
      </c>
      <c r="Z30" s="50">
        <v>3.040309327E9</v>
      </c>
      <c r="AA30" s="50" t="s">
        <v>13</v>
      </c>
      <c r="AB30" s="50" t="s">
        <v>1447</v>
      </c>
      <c r="AC30" s="50" t="s">
        <v>2040</v>
      </c>
      <c r="AD30" s="19"/>
      <c r="AE30" s="19"/>
      <c r="AF30" s="19"/>
      <c r="AG30" s="19"/>
    </row>
    <row r="31">
      <c r="A31" s="47">
        <f>COUNTIF('Divulgação'!$B:$B,B31)</f>
        <v>1</v>
      </c>
      <c r="B31" s="53" t="s">
        <v>386</v>
      </c>
      <c r="C31" s="19"/>
      <c r="D31" s="50" t="s">
        <v>1314</v>
      </c>
      <c r="E31" s="50" t="s">
        <v>1315</v>
      </c>
      <c r="F31" s="62" t="s">
        <v>2026</v>
      </c>
      <c r="G31" s="50" t="s">
        <v>1316</v>
      </c>
      <c r="H31" s="62" t="s">
        <v>2026</v>
      </c>
      <c r="I31" s="47" t="s">
        <v>1394</v>
      </c>
      <c r="J31" s="62" t="s">
        <v>1395</v>
      </c>
      <c r="K31" s="50" t="s">
        <v>1396</v>
      </c>
      <c r="L31" s="53" t="s">
        <v>411</v>
      </c>
      <c r="M31" s="19"/>
      <c r="N31" s="19"/>
      <c r="O31" s="19"/>
      <c r="P31" s="19"/>
      <c r="Q31" s="50">
        <v>1.0</v>
      </c>
      <c r="R31" s="59">
        <v>45729.0</v>
      </c>
      <c r="S31" s="61">
        <v>45974.0</v>
      </c>
      <c r="T31" s="59">
        <v>45736.0</v>
      </c>
      <c r="U31" s="19"/>
      <c r="V31" s="50" t="s">
        <v>1347</v>
      </c>
      <c r="W31" s="50">
        <v>6.85250007752E11</v>
      </c>
      <c r="X31" s="50" t="s">
        <v>12</v>
      </c>
      <c r="Y31" s="50" t="s">
        <v>1322</v>
      </c>
      <c r="Z31" s="50">
        <v>3.040301283E9</v>
      </c>
      <c r="AA31" s="50" t="s">
        <v>24</v>
      </c>
      <c r="AB31" s="50" t="s">
        <v>1359</v>
      </c>
      <c r="AC31" s="50" t="s">
        <v>1397</v>
      </c>
      <c r="AD31" s="19"/>
      <c r="AE31" s="19"/>
      <c r="AF31" s="19"/>
      <c r="AG31" s="19"/>
    </row>
    <row r="32">
      <c r="A32" s="47">
        <f>COUNTIF('Divulgação'!$B:$B,B32)</f>
        <v>1</v>
      </c>
      <c r="B32" s="53" t="s">
        <v>388</v>
      </c>
      <c r="C32" s="19"/>
      <c r="D32" s="50" t="s">
        <v>1314</v>
      </c>
      <c r="E32" s="50" t="s">
        <v>1315</v>
      </c>
      <c r="F32" s="62" t="s">
        <v>2026</v>
      </c>
      <c r="G32" s="50" t="s">
        <v>1316</v>
      </c>
      <c r="H32" s="62" t="s">
        <v>2026</v>
      </c>
      <c r="I32" s="47" t="s">
        <v>1398</v>
      </c>
      <c r="J32" s="62" t="s">
        <v>1399</v>
      </c>
      <c r="K32" s="50" t="s">
        <v>1400</v>
      </c>
      <c r="L32" s="53" t="s">
        <v>2041</v>
      </c>
      <c r="M32" s="19"/>
      <c r="N32" s="19"/>
      <c r="O32" s="19"/>
      <c r="P32" s="19"/>
      <c r="Q32" s="50">
        <v>1.0</v>
      </c>
      <c r="R32" s="59">
        <v>45729.0</v>
      </c>
      <c r="S32" s="61">
        <v>45980.0</v>
      </c>
      <c r="T32" s="59">
        <v>45736.0</v>
      </c>
      <c r="U32" s="19"/>
      <c r="V32" s="50" t="s">
        <v>1321</v>
      </c>
      <c r="W32" s="19"/>
      <c r="X32" s="50" t="s">
        <v>12</v>
      </c>
      <c r="Y32" s="50" t="s">
        <v>1322</v>
      </c>
      <c r="Z32" s="50">
        <v>3.0403085E9</v>
      </c>
      <c r="AA32" s="50" t="s">
        <v>1352</v>
      </c>
      <c r="AB32" s="50" t="s">
        <v>1430</v>
      </c>
      <c r="AC32" s="50" t="s">
        <v>1758</v>
      </c>
      <c r="AD32" s="19"/>
      <c r="AE32" s="19"/>
      <c r="AF32" s="19"/>
      <c r="AG32" s="19"/>
    </row>
    <row r="33">
      <c r="A33" s="47">
        <f>COUNTIF('Divulgação'!$B:$B,B33)</f>
        <v>1</v>
      </c>
      <c r="B33" s="53" t="s">
        <v>390</v>
      </c>
      <c r="C33" s="19"/>
      <c r="D33" s="50" t="s">
        <v>1314</v>
      </c>
      <c r="E33" s="50" t="s">
        <v>1315</v>
      </c>
      <c r="F33" s="62" t="s">
        <v>2026</v>
      </c>
      <c r="G33" s="50" t="s">
        <v>1316</v>
      </c>
      <c r="H33" s="62" t="s">
        <v>2026</v>
      </c>
      <c r="I33" s="47" t="s">
        <v>1398</v>
      </c>
      <c r="J33" s="62" t="s">
        <v>1399</v>
      </c>
      <c r="K33" s="50" t="s">
        <v>1400</v>
      </c>
      <c r="L33" s="47" t="s">
        <v>1401</v>
      </c>
      <c r="M33" s="19"/>
      <c r="N33" s="19"/>
      <c r="O33" s="19"/>
      <c r="P33" s="19"/>
      <c r="Q33" s="50">
        <v>1.0</v>
      </c>
      <c r="R33" s="59">
        <v>45729.0</v>
      </c>
      <c r="S33" s="61">
        <v>45980.0</v>
      </c>
      <c r="T33" s="59">
        <v>45736.0</v>
      </c>
      <c r="U33" s="19"/>
      <c r="V33" s="50" t="s">
        <v>1321</v>
      </c>
      <c r="W33" s="19"/>
      <c r="X33" s="50" t="s">
        <v>12</v>
      </c>
      <c r="Y33" s="50" t="s">
        <v>1322</v>
      </c>
      <c r="Z33" s="50">
        <v>3.040307832E9</v>
      </c>
      <c r="AA33" s="50" t="s">
        <v>19</v>
      </c>
      <c r="AB33" s="50" t="s">
        <v>1402</v>
      </c>
      <c r="AC33" s="50" t="s">
        <v>1403</v>
      </c>
      <c r="AD33" s="19"/>
      <c r="AE33" s="19"/>
      <c r="AF33" s="19"/>
      <c r="AG33" s="19"/>
    </row>
    <row r="34">
      <c r="A34" s="47">
        <f>COUNTIF('Divulgação'!$B:$B,B34)</f>
        <v>1</v>
      </c>
      <c r="B34" s="53" t="s">
        <v>392</v>
      </c>
      <c r="C34" s="19"/>
      <c r="D34" s="50" t="s">
        <v>1314</v>
      </c>
      <c r="E34" s="50" t="s">
        <v>1315</v>
      </c>
      <c r="F34" s="62" t="s">
        <v>2026</v>
      </c>
      <c r="G34" s="50" t="s">
        <v>1316</v>
      </c>
      <c r="H34" s="62" t="s">
        <v>2026</v>
      </c>
      <c r="I34" s="47" t="s">
        <v>1398</v>
      </c>
      <c r="J34" s="62" t="s">
        <v>1399</v>
      </c>
      <c r="K34" s="50" t="s">
        <v>1400</v>
      </c>
      <c r="L34" s="53" t="s">
        <v>572</v>
      </c>
      <c r="M34" s="19"/>
      <c r="N34" s="19"/>
      <c r="O34" s="19"/>
      <c r="P34" s="19"/>
      <c r="Q34" s="50">
        <v>1.0</v>
      </c>
      <c r="R34" s="59">
        <v>45729.0</v>
      </c>
      <c r="S34" s="61">
        <v>45980.0</v>
      </c>
      <c r="T34" s="59">
        <v>45736.0</v>
      </c>
      <c r="U34" s="19"/>
      <c r="V34" s="50" t="s">
        <v>1347</v>
      </c>
      <c r="W34" s="50">
        <v>3.13250016833E11</v>
      </c>
      <c r="X34" s="50" t="s">
        <v>12</v>
      </c>
      <c r="Y34" s="50" t="s">
        <v>1322</v>
      </c>
      <c r="Z34" s="50">
        <v>3.040308499E9</v>
      </c>
      <c r="AA34" s="50" t="s">
        <v>1352</v>
      </c>
      <c r="AB34" s="50" t="s">
        <v>1430</v>
      </c>
      <c r="AC34" s="50" t="s">
        <v>1758</v>
      </c>
      <c r="AD34" s="19"/>
      <c r="AE34" s="19"/>
      <c r="AF34" s="19"/>
      <c r="AG34" s="19"/>
    </row>
    <row r="35">
      <c r="A35" s="47">
        <f>COUNTIF('Divulgação'!$B:$B,B35)</f>
        <v>1</v>
      </c>
      <c r="B35" s="53" t="s">
        <v>394</v>
      </c>
      <c r="C35" s="19"/>
      <c r="D35" s="50" t="s">
        <v>1314</v>
      </c>
      <c r="E35" s="50" t="s">
        <v>1315</v>
      </c>
      <c r="F35" s="62" t="s">
        <v>2026</v>
      </c>
      <c r="G35" s="50" t="s">
        <v>1316</v>
      </c>
      <c r="H35" s="62" t="s">
        <v>2026</v>
      </c>
      <c r="I35" s="47" t="s">
        <v>61</v>
      </c>
      <c r="J35" s="62" t="s">
        <v>1399</v>
      </c>
      <c r="K35" s="50" t="s">
        <v>1438</v>
      </c>
      <c r="L35" s="53" t="s">
        <v>381</v>
      </c>
      <c r="M35" s="19"/>
      <c r="N35" s="19"/>
      <c r="O35" s="19"/>
      <c r="P35" s="19"/>
      <c r="Q35" s="50">
        <v>1.0</v>
      </c>
      <c r="R35" s="59">
        <v>45729.0</v>
      </c>
      <c r="S35" s="61">
        <v>45980.0</v>
      </c>
      <c r="T35" s="59">
        <v>45736.0</v>
      </c>
      <c r="U35" s="19"/>
      <c r="V35" s="50" t="s">
        <v>1321</v>
      </c>
      <c r="W35" s="19"/>
      <c r="X35" s="50" t="s">
        <v>12</v>
      </c>
      <c r="Y35" s="50" t="s">
        <v>1322</v>
      </c>
      <c r="Z35" s="50">
        <v>3.040307976E9</v>
      </c>
      <c r="AA35" s="50" t="s">
        <v>12</v>
      </c>
      <c r="AB35" s="50" t="s">
        <v>1385</v>
      </c>
      <c r="AC35" s="50" t="s">
        <v>2042</v>
      </c>
      <c r="AD35" s="19"/>
      <c r="AE35" s="19"/>
      <c r="AF35" s="19"/>
      <c r="AG35" s="19"/>
    </row>
    <row r="36">
      <c r="A36" s="47">
        <f>COUNTIF('Divulgação'!$B:$B,B36)</f>
        <v>1</v>
      </c>
      <c r="B36" s="53" t="s">
        <v>396</v>
      </c>
      <c r="C36" s="19"/>
      <c r="D36" s="50" t="s">
        <v>1314</v>
      </c>
      <c r="E36" s="50" t="s">
        <v>1315</v>
      </c>
      <c r="F36" s="62" t="s">
        <v>2026</v>
      </c>
      <c r="G36" s="50" t="s">
        <v>1316</v>
      </c>
      <c r="H36" s="62" t="s">
        <v>2026</v>
      </c>
      <c r="I36" s="47" t="s">
        <v>61</v>
      </c>
      <c r="J36" s="62" t="s">
        <v>1399</v>
      </c>
      <c r="K36" s="50" t="s">
        <v>1438</v>
      </c>
      <c r="L36" s="47" t="s">
        <v>2043</v>
      </c>
      <c r="M36" s="19"/>
      <c r="N36" s="19"/>
      <c r="O36" s="19"/>
      <c r="P36" s="19"/>
      <c r="Q36" s="50">
        <v>1.0</v>
      </c>
      <c r="R36" s="59">
        <v>45729.0</v>
      </c>
      <c r="S36" s="61">
        <v>45980.0</v>
      </c>
      <c r="T36" s="59">
        <v>45736.0</v>
      </c>
      <c r="U36" s="19"/>
      <c r="V36" s="50" t="s">
        <v>1321</v>
      </c>
      <c r="W36" s="19"/>
      <c r="X36" s="50" t="s">
        <v>12</v>
      </c>
      <c r="Y36" s="50" t="s">
        <v>1322</v>
      </c>
      <c r="Z36" s="50">
        <v>3.040309278E9</v>
      </c>
      <c r="AA36" s="50" t="s">
        <v>15</v>
      </c>
      <c r="AB36" s="50" t="s">
        <v>1439</v>
      </c>
      <c r="AC36" s="50" t="s">
        <v>2044</v>
      </c>
      <c r="AD36" s="19"/>
      <c r="AE36" s="19"/>
      <c r="AF36" s="19"/>
      <c r="AG36" s="19"/>
    </row>
    <row r="37">
      <c r="A37" s="47">
        <f>COUNTIF('Divulgação'!$B:$B,B37)</f>
        <v>1</v>
      </c>
      <c r="B37" s="53" t="s">
        <v>398</v>
      </c>
      <c r="C37" s="19"/>
      <c r="D37" s="50" t="s">
        <v>1314</v>
      </c>
      <c r="E37" s="50" t="s">
        <v>1315</v>
      </c>
      <c r="F37" s="62" t="s">
        <v>2026</v>
      </c>
      <c r="G37" s="50" t="s">
        <v>1316</v>
      </c>
      <c r="H37" s="62" t="s">
        <v>2026</v>
      </c>
      <c r="I37" s="47" t="s">
        <v>63</v>
      </c>
      <c r="J37" s="62" t="s">
        <v>1395</v>
      </c>
      <c r="K37" s="50" t="s">
        <v>1432</v>
      </c>
      <c r="L37" s="53" t="s">
        <v>910</v>
      </c>
      <c r="M37" s="19"/>
      <c r="N37" s="19"/>
      <c r="O37" s="19"/>
      <c r="P37" s="19"/>
      <c r="Q37" s="50">
        <v>1.0</v>
      </c>
      <c r="R37" s="59">
        <v>45729.0</v>
      </c>
      <c r="S37" s="61">
        <v>45980.0</v>
      </c>
      <c r="T37" s="59">
        <v>45736.0</v>
      </c>
      <c r="U37" s="19"/>
      <c r="V37" s="50" t="s">
        <v>1347</v>
      </c>
      <c r="W37" s="50">
        <v>3.96250015515E11</v>
      </c>
      <c r="X37" s="50" t="s">
        <v>12</v>
      </c>
      <c r="Y37" s="50" t="s">
        <v>1322</v>
      </c>
      <c r="Z37" s="50">
        <v>3.040309277E9</v>
      </c>
      <c r="AA37" s="50" t="s">
        <v>15</v>
      </c>
      <c r="AB37" s="50" t="s">
        <v>1439</v>
      </c>
      <c r="AC37" s="50" t="s">
        <v>2044</v>
      </c>
      <c r="AD37" s="19"/>
      <c r="AE37" s="19"/>
      <c r="AF37" s="19"/>
      <c r="AG37" s="19"/>
    </row>
    <row r="38">
      <c r="A38" s="47">
        <f>COUNTIF('Divulgação'!$B:$B,B38)</f>
        <v>1</v>
      </c>
      <c r="B38" s="53" t="s">
        <v>400</v>
      </c>
      <c r="C38" s="19"/>
      <c r="D38" s="50" t="s">
        <v>1314</v>
      </c>
      <c r="E38" s="50" t="s">
        <v>1315</v>
      </c>
      <c r="F38" s="62" t="s">
        <v>2026</v>
      </c>
      <c r="G38" s="50" t="s">
        <v>1316</v>
      </c>
      <c r="H38" s="62" t="s">
        <v>2026</v>
      </c>
      <c r="I38" s="47" t="s">
        <v>63</v>
      </c>
      <c r="J38" s="62" t="s">
        <v>1395</v>
      </c>
      <c r="K38" s="50" t="s">
        <v>1432</v>
      </c>
      <c r="L38" s="53" t="s">
        <v>2045</v>
      </c>
      <c r="M38" s="19"/>
      <c r="N38" s="19"/>
      <c r="O38" s="19"/>
      <c r="P38" s="19"/>
      <c r="Q38" s="50">
        <v>1.0</v>
      </c>
      <c r="R38" s="59">
        <v>45729.0</v>
      </c>
      <c r="S38" s="61">
        <v>45980.0</v>
      </c>
      <c r="T38" s="59">
        <v>45736.0</v>
      </c>
      <c r="U38" s="19"/>
      <c r="V38" s="50" t="s">
        <v>1347</v>
      </c>
      <c r="W38" s="50">
        <v>3.96250015514E11</v>
      </c>
      <c r="X38" s="50" t="s">
        <v>12</v>
      </c>
      <c r="Y38" s="50" t="s">
        <v>1322</v>
      </c>
      <c r="Z38" s="50">
        <v>3.040306812E9</v>
      </c>
      <c r="AA38" s="50" t="s">
        <v>13</v>
      </c>
      <c r="AB38" s="50" t="s">
        <v>1447</v>
      </c>
      <c r="AC38" s="50" t="s">
        <v>2040</v>
      </c>
      <c r="AD38" s="19"/>
      <c r="AE38" s="19"/>
      <c r="AF38" s="19"/>
      <c r="AG38" s="19"/>
    </row>
    <row r="39">
      <c r="A39" s="47">
        <f>COUNTIF('Divulgação'!$B:$B,B39)</f>
        <v>1</v>
      </c>
      <c r="B39" s="53" t="s">
        <v>402</v>
      </c>
      <c r="C39" s="19"/>
      <c r="D39" s="50" t="s">
        <v>1314</v>
      </c>
      <c r="E39" s="50" t="s">
        <v>1315</v>
      </c>
      <c r="F39" s="62" t="s">
        <v>2026</v>
      </c>
      <c r="G39" s="50" t="s">
        <v>1316</v>
      </c>
      <c r="H39" s="62" t="s">
        <v>2026</v>
      </c>
      <c r="I39" s="47" t="s">
        <v>1975</v>
      </c>
      <c r="J39" s="50" t="s">
        <v>48</v>
      </c>
      <c r="K39" s="50" t="s">
        <v>1976</v>
      </c>
      <c r="L39" s="53" t="s">
        <v>1371</v>
      </c>
      <c r="M39" s="19"/>
      <c r="N39" s="19"/>
      <c r="O39" s="19"/>
      <c r="P39" s="19"/>
      <c r="Q39" s="50">
        <v>1.0</v>
      </c>
      <c r="R39" s="59">
        <v>45729.0</v>
      </c>
      <c r="S39" s="61">
        <v>45980.0</v>
      </c>
      <c r="T39" s="59">
        <v>45736.0</v>
      </c>
      <c r="U39" s="19"/>
      <c r="V39" s="50" t="s">
        <v>1321</v>
      </c>
      <c r="W39" s="19"/>
      <c r="X39" s="50" t="s">
        <v>12</v>
      </c>
      <c r="Y39" s="50" t="s">
        <v>1322</v>
      </c>
      <c r="Z39" s="50">
        <v>3.040287732E9</v>
      </c>
      <c r="AA39" s="50" t="s">
        <v>16</v>
      </c>
      <c r="AB39" s="50" t="s">
        <v>1551</v>
      </c>
      <c r="AC39" s="50" t="s">
        <v>2046</v>
      </c>
      <c r="AD39" s="19"/>
      <c r="AE39" s="19"/>
      <c r="AF39" s="19"/>
      <c r="AG39" s="19"/>
    </row>
    <row r="40">
      <c r="A40" s="47">
        <f>COUNTIF('Divulgação'!$B:$B,B40)</f>
        <v>1</v>
      </c>
      <c r="B40" s="53" t="s">
        <v>404</v>
      </c>
      <c r="C40" s="19"/>
      <c r="D40" s="50" t="s">
        <v>1314</v>
      </c>
      <c r="E40" s="50" t="s">
        <v>1315</v>
      </c>
      <c r="F40" s="62" t="s">
        <v>2026</v>
      </c>
      <c r="G40" s="50" t="s">
        <v>1316</v>
      </c>
      <c r="H40" s="62" t="s">
        <v>2026</v>
      </c>
      <c r="I40" s="47" t="s">
        <v>1404</v>
      </c>
      <c r="J40" s="50" t="s">
        <v>48</v>
      </c>
      <c r="K40" s="50" t="s">
        <v>1405</v>
      </c>
      <c r="L40" s="48"/>
      <c r="M40" s="19"/>
      <c r="N40" s="19"/>
      <c r="O40" s="19"/>
      <c r="P40" s="19"/>
      <c r="Q40" s="50">
        <v>1.0</v>
      </c>
      <c r="R40" s="59">
        <v>45729.0</v>
      </c>
      <c r="S40" s="59">
        <v>45735.0</v>
      </c>
      <c r="T40" s="59">
        <v>45736.0</v>
      </c>
      <c r="U40" s="19"/>
      <c r="V40" s="50" t="s">
        <v>1347</v>
      </c>
      <c r="W40" s="50">
        <v>3.13250016672E11</v>
      </c>
      <c r="X40" s="50" t="s">
        <v>12</v>
      </c>
      <c r="Y40" s="50" t="s">
        <v>1322</v>
      </c>
      <c r="Z40" s="50">
        <v>3.040281041E9</v>
      </c>
      <c r="AA40" s="50" t="s">
        <v>17</v>
      </c>
      <c r="AB40" s="50" t="s">
        <v>1406</v>
      </c>
      <c r="AC40" s="50" t="s">
        <v>1407</v>
      </c>
      <c r="AD40" s="19"/>
      <c r="AE40" s="19"/>
      <c r="AF40" s="19"/>
      <c r="AG40" s="19"/>
    </row>
    <row r="41">
      <c r="A41" s="47">
        <f>COUNTIF('Divulgação'!$B:$B,B41)</f>
        <v>1</v>
      </c>
      <c r="B41" s="53" t="s">
        <v>406</v>
      </c>
      <c r="C41" s="19"/>
      <c r="D41" s="50" t="s">
        <v>1314</v>
      </c>
      <c r="E41" s="50" t="s">
        <v>1315</v>
      </c>
      <c r="F41" s="62" t="s">
        <v>2026</v>
      </c>
      <c r="G41" s="50" t="s">
        <v>1316</v>
      </c>
      <c r="H41" s="62" t="s">
        <v>2026</v>
      </c>
      <c r="I41" s="47" t="s">
        <v>1404</v>
      </c>
      <c r="J41" s="50" t="s">
        <v>48</v>
      </c>
      <c r="K41" s="50" t="s">
        <v>1405</v>
      </c>
      <c r="L41" s="48"/>
      <c r="M41" s="19"/>
      <c r="N41" s="19"/>
      <c r="O41" s="19"/>
      <c r="P41" s="19"/>
      <c r="Q41" s="50">
        <v>1.0</v>
      </c>
      <c r="R41" s="59">
        <v>45729.0</v>
      </c>
      <c r="S41" s="59">
        <v>45735.0</v>
      </c>
      <c r="T41" s="59">
        <v>45736.0</v>
      </c>
      <c r="U41" s="19"/>
      <c r="V41" s="50" t="s">
        <v>1347</v>
      </c>
      <c r="W41" s="50">
        <v>3.96250015099E11</v>
      </c>
      <c r="X41" s="50" t="s">
        <v>12</v>
      </c>
      <c r="Y41" s="50" t="s">
        <v>1322</v>
      </c>
      <c r="Z41" s="50">
        <v>3.040294873E9</v>
      </c>
      <c r="AA41" s="50" t="s">
        <v>16</v>
      </c>
      <c r="AB41" s="50" t="s">
        <v>1551</v>
      </c>
      <c r="AC41" s="50" t="s">
        <v>2046</v>
      </c>
      <c r="AD41" s="19"/>
      <c r="AE41" s="19"/>
      <c r="AF41" s="19"/>
      <c r="AG41" s="19"/>
    </row>
    <row r="42">
      <c r="A42" s="47">
        <f>COUNTIF('Divulgação'!$B:$B,B42)</f>
        <v>1</v>
      </c>
      <c r="B42" s="53" t="s">
        <v>408</v>
      </c>
      <c r="C42" s="19"/>
      <c r="D42" s="50" t="s">
        <v>1314</v>
      </c>
      <c r="E42" s="50" t="s">
        <v>1315</v>
      </c>
      <c r="F42" s="62" t="s">
        <v>2026</v>
      </c>
      <c r="G42" s="50" t="s">
        <v>1316</v>
      </c>
      <c r="H42" s="62" t="s">
        <v>2026</v>
      </c>
      <c r="I42" s="47" t="s">
        <v>1978</v>
      </c>
      <c r="J42" s="50" t="s">
        <v>48</v>
      </c>
      <c r="K42" s="50" t="s">
        <v>1979</v>
      </c>
      <c r="L42" s="53" t="s">
        <v>2047</v>
      </c>
      <c r="M42" s="19"/>
      <c r="N42" s="19"/>
      <c r="O42" s="19"/>
      <c r="P42" s="19"/>
      <c r="Q42" s="50">
        <v>1.0</v>
      </c>
      <c r="R42" s="59">
        <v>45729.0</v>
      </c>
      <c r="S42" s="61">
        <v>45980.0</v>
      </c>
      <c r="T42" s="59">
        <v>45736.0</v>
      </c>
      <c r="U42" s="19"/>
      <c r="V42" s="50" t="s">
        <v>1321</v>
      </c>
      <c r="W42" s="19"/>
      <c r="X42" s="50" t="s">
        <v>12</v>
      </c>
      <c r="Y42" s="50" t="s">
        <v>1322</v>
      </c>
      <c r="Z42" s="50">
        <v>3.040306657E9</v>
      </c>
      <c r="AA42" s="50" t="s">
        <v>1500</v>
      </c>
      <c r="AB42" s="50" t="s">
        <v>1537</v>
      </c>
      <c r="AC42" s="50" t="s">
        <v>2048</v>
      </c>
      <c r="AD42" s="19"/>
      <c r="AE42" s="19"/>
      <c r="AF42" s="19"/>
      <c r="AG42" s="19"/>
    </row>
    <row r="43">
      <c r="A43" s="47">
        <f>COUNTIF('Divulgação'!$B:$B,B43)</f>
        <v>1</v>
      </c>
      <c r="B43" s="53" t="s">
        <v>410</v>
      </c>
      <c r="C43" s="19"/>
      <c r="D43" s="50" t="s">
        <v>1314</v>
      </c>
      <c r="E43" s="50" t="s">
        <v>1315</v>
      </c>
      <c r="F43" s="62" t="s">
        <v>2026</v>
      </c>
      <c r="G43" s="50" t="s">
        <v>1316</v>
      </c>
      <c r="H43" s="62" t="s">
        <v>2026</v>
      </c>
      <c r="I43" s="47" t="s">
        <v>1445</v>
      </c>
      <c r="J43" s="50" t="s">
        <v>48</v>
      </c>
      <c r="K43" s="50" t="s">
        <v>1446</v>
      </c>
      <c r="L43" s="53" t="s">
        <v>2049</v>
      </c>
      <c r="M43" s="19"/>
      <c r="N43" s="19"/>
      <c r="O43" s="19"/>
      <c r="P43" s="19"/>
      <c r="Q43" s="50">
        <v>1.0</v>
      </c>
      <c r="R43" s="59">
        <v>45729.0</v>
      </c>
      <c r="S43" s="61">
        <v>45980.0</v>
      </c>
      <c r="T43" s="59">
        <v>45736.0</v>
      </c>
      <c r="U43" s="19"/>
      <c r="V43" s="50" t="s">
        <v>1321</v>
      </c>
      <c r="W43" s="19"/>
      <c r="X43" s="50" t="s">
        <v>12</v>
      </c>
      <c r="Y43" s="50" t="s">
        <v>1322</v>
      </c>
      <c r="Z43" s="50">
        <v>3.040299712E9</v>
      </c>
      <c r="AA43" s="50" t="s">
        <v>16</v>
      </c>
      <c r="AB43" s="50" t="s">
        <v>1551</v>
      </c>
      <c r="AC43" s="50" t="s">
        <v>1552</v>
      </c>
      <c r="AD43" s="19"/>
      <c r="AE43" s="19"/>
      <c r="AF43" s="19"/>
      <c r="AG43" s="19"/>
    </row>
    <row r="44">
      <c r="A44" s="47">
        <f>COUNTIF('Divulgação'!$B:$B,B44)</f>
        <v>1</v>
      </c>
      <c r="B44" s="53" t="s">
        <v>412</v>
      </c>
      <c r="C44" s="19"/>
      <c r="D44" s="50" t="s">
        <v>1314</v>
      </c>
      <c r="E44" s="50" t="s">
        <v>1315</v>
      </c>
      <c r="F44" s="62" t="s">
        <v>2026</v>
      </c>
      <c r="G44" s="50" t="s">
        <v>1316</v>
      </c>
      <c r="H44" s="62" t="s">
        <v>2026</v>
      </c>
      <c r="I44" s="47" t="s">
        <v>2010</v>
      </c>
      <c r="J44" s="62" t="s">
        <v>2011</v>
      </c>
      <c r="K44" s="50" t="s">
        <v>2012</v>
      </c>
      <c r="L44" s="53" t="s">
        <v>2015</v>
      </c>
      <c r="M44" s="19"/>
      <c r="N44" s="19"/>
      <c r="O44" s="19"/>
      <c r="P44" s="19"/>
      <c r="Q44" s="50">
        <v>1.0</v>
      </c>
      <c r="R44" s="59">
        <v>45729.0</v>
      </c>
      <c r="S44" s="61">
        <v>45980.0</v>
      </c>
      <c r="T44" s="59">
        <v>45736.0</v>
      </c>
      <c r="U44" s="19"/>
      <c r="V44" s="50" t="s">
        <v>1347</v>
      </c>
      <c r="W44" s="50">
        <v>3.13250016526E11</v>
      </c>
      <c r="X44" s="50" t="s">
        <v>12</v>
      </c>
      <c r="Y44" s="50" t="s">
        <v>1322</v>
      </c>
      <c r="Z44" s="50">
        <v>3.040305165E9</v>
      </c>
      <c r="AA44" s="50" t="s">
        <v>17</v>
      </c>
      <c r="AB44" s="50" t="s">
        <v>2050</v>
      </c>
      <c r="AC44" s="50" t="s">
        <v>2051</v>
      </c>
      <c r="AD44" s="19"/>
      <c r="AE44" s="19"/>
      <c r="AF44" s="19"/>
      <c r="AG44" s="19"/>
    </row>
    <row r="45">
      <c r="A45" s="47">
        <f>COUNTIF('Divulgação'!$B:$B,B45)</f>
        <v>1</v>
      </c>
      <c r="B45" s="53" t="s">
        <v>414</v>
      </c>
      <c r="C45" s="19"/>
      <c r="D45" s="50" t="s">
        <v>1314</v>
      </c>
      <c r="E45" s="50" t="s">
        <v>1315</v>
      </c>
      <c r="F45" s="62" t="s">
        <v>2052</v>
      </c>
      <c r="G45" s="50" t="s">
        <v>1316</v>
      </c>
      <c r="H45" s="62" t="s">
        <v>2052</v>
      </c>
      <c r="I45" s="47" t="s">
        <v>131</v>
      </c>
      <c r="J45" s="50" t="s">
        <v>48</v>
      </c>
      <c r="K45" s="50" t="s">
        <v>1408</v>
      </c>
      <c r="L45" s="47" t="s">
        <v>1409</v>
      </c>
      <c r="M45" s="19"/>
      <c r="N45" s="19"/>
      <c r="O45" s="19"/>
      <c r="P45" s="19"/>
      <c r="Q45" s="50">
        <v>1.0</v>
      </c>
      <c r="R45" s="59">
        <v>45762.0</v>
      </c>
      <c r="S45" s="59">
        <v>45770.0</v>
      </c>
      <c r="T45" s="59">
        <v>45769.0</v>
      </c>
      <c r="U45" s="19"/>
      <c r="V45" s="50" t="s">
        <v>1321</v>
      </c>
      <c r="W45" s="19"/>
      <c r="X45" s="50" t="s">
        <v>12</v>
      </c>
      <c r="Y45" s="50" t="s">
        <v>1322</v>
      </c>
      <c r="Z45" s="50">
        <v>3.04021637E9</v>
      </c>
      <c r="AA45" s="50" t="s">
        <v>12</v>
      </c>
      <c r="AB45" s="50" t="s">
        <v>1385</v>
      </c>
      <c r="AC45" s="50" t="s">
        <v>1410</v>
      </c>
      <c r="AD45" s="19"/>
      <c r="AE45" s="19"/>
      <c r="AF45" s="19"/>
      <c r="AG45" s="19"/>
    </row>
    <row r="46">
      <c r="A46" s="47">
        <f>COUNTIF('Divulgação'!$B:$B,B46)</f>
        <v>1</v>
      </c>
      <c r="B46" s="53" t="s">
        <v>416</v>
      </c>
      <c r="C46" s="19"/>
      <c r="D46" s="50" t="s">
        <v>1314</v>
      </c>
      <c r="E46" s="50" t="s">
        <v>1315</v>
      </c>
      <c r="F46" s="62" t="s">
        <v>2052</v>
      </c>
      <c r="G46" s="50" t="s">
        <v>1316</v>
      </c>
      <c r="H46" s="62" t="s">
        <v>2052</v>
      </c>
      <c r="I46" s="47" t="s">
        <v>127</v>
      </c>
      <c r="J46" s="50" t="s">
        <v>232</v>
      </c>
      <c r="K46" s="50" t="s">
        <v>128</v>
      </c>
      <c r="L46" s="53" t="s">
        <v>1418</v>
      </c>
      <c r="M46" s="19"/>
      <c r="N46" s="19"/>
      <c r="O46" s="19"/>
      <c r="P46" s="19"/>
      <c r="Q46" s="50">
        <v>1.0</v>
      </c>
      <c r="R46" s="59">
        <v>45762.0</v>
      </c>
      <c r="S46" s="61">
        <v>45984.0</v>
      </c>
      <c r="T46" s="59">
        <v>45769.0</v>
      </c>
      <c r="U46" s="19"/>
      <c r="V46" s="50" t="s">
        <v>1321</v>
      </c>
      <c r="W46" s="19"/>
      <c r="X46" s="50" t="s">
        <v>12</v>
      </c>
      <c r="Y46" s="50" t="s">
        <v>1322</v>
      </c>
      <c r="Z46" s="50">
        <v>3.040294707E9</v>
      </c>
      <c r="AA46" s="50" t="s">
        <v>16</v>
      </c>
      <c r="AB46" s="50" t="s">
        <v>1331</v>
      </c>
      <c r="AC46" s="50" t="s">
        <v>1419</v>
      </c>
      <c r="AD46" s="19"/>
      <c r="AE46" s="19"/>
      <c r="AF46" s="19"/>
      <c r="AG46" s="19"/>
    </row>
    <row r="47">
      <c r="A47" s="47">
        <f>COUNTIF('Divulgação'!$B:$B,B47)</f>
        <v>1</v>
      </c>
      <c r="B47" s="53" t="s">
        <v>418</v>
      </c>
      <c r="C47" s="19"/>
      <c r="D47" s="50" t="s">
        <v>1314</v>
      </c>
      <c r="E47" s="50" t="s">
        <v>1315</v>
      </c>
      <c r="F47" s="62" t="s">
        <v>2052</v>
      </c>
      <c r="G47" s="50" t="s">
        <v>1316</v>
      </c>
      <c r="H47" s="62" t="s">
        <v>2052</v>
      </c>
      <c r="I47" s="47" t="s">
        <v>97</v>
      </c>
      <c r="J47" s="62" t="s">
        <v>1318</v>
      </c>
      <c r="K47" s="50" t="s">
        <v>1412</v>
      </c>
      <c r="L47" s="47" t="s">
        <v>1414</v>
      </c>
      <c r="M47" s="19"/>
      <c r="N47" s="19"/>
      <c r="O47" s="19"/>
      <c r="P47" s="19"/>
      <c r="Q47" s="50">
        <v>1.0</v>
      </c>
      <c r="R47" s="59">
        <v>45762.0</v>
      </c>
      <c r="S47" s="59">
        <v>45770.0</v>
      </c>
      <c r="T47" s="59">
        <v>45769.0</v>
      </c>
      <c r="U47" s="19"/>
      <c r="V47" s="50" t="s">
        <v>1321</v>
      </c>
      <c r="W47" s="19"/>
      <c r="X47" s="50" t="s">
        <v>12</v>
      </c>
      <c r="Y47" s="50" t="s">
        <v>1322</v>
      </c>
      <c r="Z47" s="50">
        <v>3.04025329E9</v>
      </c>
      <c r="AA47" s="50" t="s">
        <v>1415</v>
      </c>
      <c r="AB47" s="50" t="s">
        <v>1416</v>
      </c>
      <c r="AC47" s="50" t="s">
        <v>1417</v>
      </c>
      <c r="AD47" s="19"/>
      <c r="AE47" s="19"/>
      <c r="AF47" s="19"/>
      <c r="AG47" s="19"/>
    </row>
    <row r="48">
      <c r="A48" s="47">
        <f>COUNTIF('Divulgação'!$B:$B,B48)</f>
        <v>1</v>
      </c>
      <c r="B48" s="53" t="s">
        <v>420</v>
      </c>
      <c r="C48" s="19"/>
      <c r="D48" s="50" t="s">
        <v>1314</v>
      </c>
      <c r="E48" s="50" t="s">
        <v>1315</v>
      </c>
      <c r="F48" s="62" t="s">
        <v>2052</v>
      </c>
      <c r="G48" s="50" t="s">
        <v>1316</v>
      </c>
      <c r="H48" s="62" t="s">
        <v>2052</v>
      </c>
      <c r="I48" s="47" t="s">
        <v>97</v>
      </c>
      <c r="J48" s="62" t="s">
        <v>1318</v>
      </c>
      <c r="K48" s="50" t="s">
        <v>1412</v>
      </c>
      <c r="L48" s="53" t="s">
        <v>1413</v>
      </c>
      <c r="M48" s="19"/>
      <c r="N48" s="19"/>
      <c r="O48" s="19"/>
      <c r="P48" s="19"/>
      <c r="Q48" s="50">
        <v>1.0</v>
      </c>
      <c r="R48" s="59">
        <v>45762.0</v>
      </c>
      <c r="S48" s="59">
        <v>45770.0</v>
      </c>
      <c r="T48" s="59">
        <v>45769.0</v>
      </c>
      <c r="U48" s="19"/>
      <c r="V48" s="50" t="s">
        <v>1321</v>
      </c>
      <c r="W48" s="19"/>
      <c r="X48" s="50" t="s">
        <v>12</v>
      </c>
      <c r="Y48" s="50" t="s">
        <v>1322</v>
      </c>
      <c r="Z48" s="50">
        <v>3.040306523E9</v>
      </c>
      <c r="AA48" s="50" t="s">
        <v>24</v>
      </c>
      <c r="AB48" s="50" t="s">
        <v>1359</v>
      </c>
      <c r="AC48" s="50" t="s">
        <v>1360</v>
      </c>
      <c r="AD48" s="19"/>
      <c r="AE48" s="19"/>
      <c r="AF48" s="19"/>
      <c r="AG48" s="19"/>
    </row>
    <row r="49">
      <c r="A49" s="47">
        <f>COUNTIF('Divulgação'!$B:$B,B49)</f>
        <v>1</v>
      </c>
      <c r="B49" s="53" t="s">
        <v>422</v>
      </c>
      <c r="C49" s="19"/>
      <c r="D49" s="50" t="s">
        <v>1314</v>
      </c>
      <c r="E49" s="50" t="s">
        <v>1315</v>
      </c>
      <c r="F49" s="62" t="s">
        <v>2052</v>
      </c>
      <c r="G49" s="50" t="s">
        <v>1316</v>
      </c>
      <c r="H49" s="62" t="s">
        <v>2052</v>
      </c>
      <c r="I49" s="47" t="s">
        <v>97</v>
      </c>
      <c r="J49" s="62" t="s">
        <v>1318</v>
      </c>
      <c r="K49" s="50" t="s">
        <v>1412</v>
      </c>
      <c r="L49" s="53" t="s">
        <v>1420</v>
      </c>
      <c r="M49" s="19"/>
      <c r="N49" s="19"/>
      <c r="O49" s="19"/>
      <c r="P49" s="19"/>
      <c r="Q49" s="50">
        <v>1.0</v>
      </c>
      <c r="R49" s="59">
        <v>45762.0</v>
      </c>
      <c r="S49" s="59">
        <v>45770.0</v>
      </c>
      <c r="T49" s="59">
        <v>45769.0</v>
      </c>
      <c r="U49" s="19"/>
      <c r="V49" s="50" t="s">
        <v>1321</v>
      </c>
      <c r="W49" s="19"/>
      <c r="X49" s="50" t="s">
        <v>12</v>
      </c>
      <c r="Y49" s="50" t="s">
        <v>1322</v>
      </c>
      <c r="Z49" s="50">
        <v>3.040308557E9</v>
      </c>
      <c r="AA49" s="50" t="s">
        <v>24</v>
      </c>
      <c r="AB49" s="50" t="s">
        <v>1359</v>
      </c>
      <c r="AC49" s="50" t="s">
        <v>1360</v>
      </c>
      <c r="AD49" s="19"/>
      <c r="AE49" s="19"/>
      <c r="AF49" s="19"/>
      <c r="AG49" s="19"/>
    </row>
    <row r="50">
      <c r="A50" s="47">
        <f>COUNTIF('Divulgação'!$B:$B,B50)</f>
        <v>1</v>
      </c>
      <c r="B50" s="53" t="s">
        <v>424</v>
      </c>
      <c r="C50" s="19"/>
      <c r="D50" s="50" t="s">
        <v>1314</v>
      </c>
      <c r="E50" s="50" t="s">
        <v>1315</v>
      </c>
      <c r="F50" s="62" t="s">
        <v>2052</v>
      </c>
      <c r="G50" s="50" t="s">
        <v>1316</v>
      </c>
      <c r="H50" s="62" t="s">
        <v>2052</v>
      </c>
      <c r="I50" s="47" t="s">
        <v>97</v>
      </c>
      <c r="J50" s="62" t="s">
        <v>1318</v>
      </c>
      <c r="K50" s="50" t="s">
        <v>1412</v>
      </c>
      <c r="L50" s="53" t="s">
        <v>2053</v>
      </c>
      <c r="M50" s="19"/>
      <c r="N50" s="19"/>
      <c r="O50" s="19"/>
      <c r="P50" s="19"/>
      <c r="Q50" s="50">
        <v>1.0</v>
      </c>
      <c r="R50" s="59">
        <v>45762.0</v>
      </c>
      <c r="S50" s="59">
        <v>45770.0</v>
      </c>
      <c r="T50" s="59">
        <v>45769.0</v>
      </c>
      <c r="U50" s="19"/>
      <c r="V50" s="50" t="s">
        <v>1321</v>
      </c>
      <c r="W50" s="19"/>
      <c r="X50" s="50" t="s">
        <v>12</v>
      </c>
      <c r="Y50" s="50" t="s">
        <v>1322</v>
      </c>
      <c r="Z50" s="50">
        <v>3.040309918E9</v>
      </c>
      <c r="AA50" s="50" t="s">
        <v>12</v>
      </c>
      <c r="AB50" s="50" t="s">
        <v>1322</v>
      </c>
      <c r="AC50" s="50" t="s">
        <v>1369</v>
      </c>
      <c r="AD50" s="19"/>
      <c r="AE50" s="19"/>
      <c r="AF50" s="19"/>
      <c r="AG50" s="19"/>
    </row>
    <row r="51">
      <c r="A51" s="47">
        <f>COUNTIF('Divulgação'!$B:$B,B51)</f>
        <v>1</v>
      </c>
      <c r="B51" s="53" t="s">
        <v>426</v>
      </c>
      <c r="C51" s="19"/>
      <c r="D51" s="50" t="s">
        <v>1314</v>
      </c>
      <c r="E51" s="50" t="s">
        <v>1315</v>
      </c>
      <c r="F51" s="62" t="s">
        <v>2052</v>
      </c>
      <c r="G51" s="50" t="s">
        <v>1316</v>
      </c>
      <c r="H51" s="62" t="s">
        <v>2052</v>
      </c>
      <c r="I51" s="47" t="s">
        <v>238</v>
      </c>
      <c r="J51" s="62" t="s">
        <v>1318</v>
      </c>
      <c r="K51" s="50" t="s">
        <v>239</v>
      </c>
      <c r="L51" s="53" t="s">
        <v>1411</v>
      </c>
      <c r="M51" s="19"/>
      <c r="N51" s="19"/>
      <c r="O51" s="19"/>
      <c r="P51" s="19"/>
      <c r="Q51" s="50">
        <v>1.0</v>
      </c>
      <c r="R51" s="59">
        <v>45762.0</v>
      </c>
      <c r="S51" s="61">
        <v>45984.0</v>
      </c>
      <c r="T51" s="59">
        <v>45769.0</v>
      </c>
      <c r="U51" s="19"/>
      <c r="V51" s="50" t="s">
        <v>1321</v>
      </c>
      <c r="W51" s="19"/>
      <c r="X51" s="50" t="s">
        <v>12</v>
      </c>
      <c r="Y51" s="50" t="s">
        <v>1322</v>
      </c>
      <c r="Z51" s="50">
        <v>3.040310113E9</v>
      </c>
      <c r="AA51" s="50" t="s">
        <v>24</v>
      </c>
      <c r="AB51" s="50" t="s">
        <v>1359</v>
      </c>
      <c r="AC51" s="50" t="s">
        <v>1360</v>
      </c>
      <c r="AD51" s="19"/>
      <c r="AE51" s="19"/>
      <c r="AF51" s="19"/>
      <c r="AG51" s="19"/>
    </row>
    <row r="52">
      <c r="A52" s="47">
        <f>COUNTIF('Divulgação'!$B:$B,B52)</f>
        <v>1</v>
      </c>
      <c r="B52" s="53" t="s">
        <v>428</v>
      </c>
      <c r="C52" s="19"/>
      <c r="D52" s="50" t="s">
        <v>1314</v>
      </c>
      <c r="E52" s="50" t="s">
        <v>1315</v>
      </c>
      <c r="F52" s="62" t="s">
        <v>2052</v>
      </c>
      <c r="G52" s="50" t="s">
        <v>1316</v>
      </c>
      <c r="H52" s="62" t="s">
        <v>2052</v>
      </c>
      <c r="I52" s="47" t="s">
        <v>1421</v>
      </c>
      <c r="J52" s="62" t="s">
        <v>1318</v>
      </c>
      <c r="K52" s="50" t="s">
        <v>1422</v>
      </c>
      <c r="L52" s="53" t="s">
        <v>2054</v>
      </c>
      <c r="M52" s="19"/>
      <c r="N52" s="19"/>
      <c r="O52" s="19"/>
      <c r="P52" s="19"/>
      <c r="Q52" s="50">
        <v>1.0</v>
      </c>
      <c r="R52" s="59">
        <v>45762.0</v>
      </c>
      <c r="S52" s="59">
        <v>45770.0</v>
      </c>
      <c r="T52" s="59">
        <v>45769.0</v>
      </c>
      <c r="U52" s="19"/>
      <c r="V52" s="50" t="s">
        <v>1321</v>
      </c>
      <c r="W52" s="19"/>
      <c r="X52" s="50" t="s">
        <v>12</v>
      </c>
      <c r="Y52" s="50" t="s">
        <v>1322</v>
      </c>
      <c r="Z52" s="50">
        <v>3.040262393E9</v>
      </c>
      <c r="AA52" s="50" t="s">
        <v>1376</v>
      </c>
      <c r="AB52" s="50" t="s">
        <v>1377</v>
      </c>
      <c r="AC52" s="50" t="s">
        <v>1482</v>
      </c>
      <c r="AD52" s="19"/>
      <c r="AE52" s="19"/>
      <c r="AF52" s="19"/>
      <c r="AG52" s="19"/>
    </row>
    <row r="53">
      <c r="A53" s="47">
        <f>COUNTIF('Divulgação'!$B:$B,B53)</f>
        <v>1</v>
      </c>
      <c r="B53" s="53" t="s">
        <v>430</v>
      </c>
      <c r="C53" s="19"/>
      <c r="D53" s="50" t="s">
        <v>1314</v>
      </c>
      <c r="E53" s="50" t="s">
        <v>1315</v>
      </c>
      <c r="F53" s="62" t="s">
        <v>2052</v>
      </c>
      <c r="G53" s="50" t="s">
        <v>1316</v>
      </c>
      <c r="H53" s="62" t="s">
        <v>2052</v>
      </c>
      <c r="I53" s="47" t="s">
        <v>1421</v>
      </c>
      <c r="J53" s="62" t="s">
        <v>1318</v>
      </c>
      <c r="K53" s="50" t="s">
        <v>1422</v>
      </c>
      <c r="L53" s="53" t="s">
        <v>1428</v>
      </c>
      <c r="M53" s="19"/>
      <c r="N53" s="19"/>
      <c r="O53" s="19"/>
      <c r="P53" s="19"/>
      <c r="Q53" s="50">
        <v>1.0</v>
      </c>
      <c r="R53" s="59">
        <v>45762.0</v>
      </c>
      <c r="S53" s="59">
        <v>45770.0</v>
      </c>
      <c r="T53" s="59">
        <v>45769.0</v>
      </c>
      <c r="U53" s="19"/>
      <c r="V53" s="50" t="s">
        <v>1321</v>
      </c>
      <c r="W53" s="19"/>
      <c r="X53" s="50" t="s">
        <v>12</v>
      </c>
      <c r="Y53" s="50" t="s">
        <v>1322</v>
      </c>
      <c r="Z53" s="50">
        <v>3.040311455E9</v>
      </c>
      <c r="AA53" s="50" t="s">
        <v>17</v>
      </c>
      <c r="AB53" s="50" t="s">
        <v>1343</v>
      </c>
      <c r="AC53" s="50" t="s">
        <v>1344</v>
      </c>
      <c r="AD53" s="19"/>
      <c r="AE53" s="19"/>
      <c r="AF53" s="19"/>
      <c r="AG53" s="19"/>
    </row>
    <row r="54">
      <c r="A54" s="47">
        <f>COUNTIF('Divulgação'!$B:$B,B54)</f>
        <v>1</v>
      </c>
      <c r="B54" s="53" t="s">
        <v>432</v>
      </c>
      <c r="C54" s="19"/>
      <c r="D54" s="50" t="s">
        <v>1314</v>
      </c>
      <c r="E54" s="50" t="s">
        <v>1315</v>
      </c>
      <c r="F54" s="62" t="s">
        <v>2052</v>
      </c>
      <c r="G54" s="50" t="s">
        <v>1316</v>
      </c>
      <c r="H54" s="62" t="s">
        <v>2052</v>
      </c>
      <c r="I54" s="47" t="s">
        <v>1421</v>
      </c>
      <c r="J54" s="62" t="s">
        <v>1318</v>
      </c>
      <c r="K54" s="50" t="s">
        <v>1422</v>
      </c>
      <c r="L54" s="53" t="s">
        <v>1423</v>
      </c>
      <c r="M54" s="19"/>
      <c r="N54" s="19"/>
      <c r="O54" s="19"/>
      <c r="P54" s="19"/>
      <c r="Q54" s="50">
        <v>1.0</v>
      </c>
      <c r="R54" s="59">
        <v>45762.0</v>
      </c>
      <c r="S54" s="59">
        <v>45770.0</v>
      </c>
      <c r="T54" s="59">
        <v>45769.0</v>
      </c>
      <c r="U54" s="19"/>
      <c r="V54" s="50" t="s">
        <v>1321</v>
      </c>
      <c r="W54" s="19"/>
      <c r="X54" s="50" t="s">
        <v>12</v>
      </c>
      <c r="Y54" s="50" t="s">
        <v>1322</v>
      </c>
      <c r="Z54" s="50">
        <v>3.040311368E9</v>
      </c>
      <c r="AA54" s="50" t="s">
        <v>12</v>
      </c>
      <c r="AB54" s="50" t="s">
        <v>1322</v>
      </c>
      <c r="AC54" s="50" t="s">
        <v>1336</v>
      </c>
      <c r="AD54" s="19"/>
      <c r="AE54" s="19"/>
      <c r="AF54" s="19"/>
      <c r="AG54" s="19"/>
    </row>
    <row r="55">
      <c r="A55" s="47">
        <f>COUNTIF('Divulgação'!$B:$B,B55)</f>
        <v>1</v>
      </c>
      <c r="B55" s="53" t="s">
        <v>434</v>
      </c>
      <c r="C55" s="19"/>
      <c r="D55" s="50" t="s">
        <v>1314</v>
      </c>
      <c r="E55" s="50" t="s">
        <v>1315</v>
      </c>
      <c r="F55" s="62" t="s">
        <v>2052</v>
      </c>
      <c r="G55" s="50" t="s">
        <v>1316</v>
      </c>
      <c r="H55" s="62" t="s">
        <v>2052</v>
      </c>
      <c r="I55" s="47" t="s">
        <v>1421</v>
      </c>
      <c r="J55" s="62" t="s">
        <v>1318</v>
      </c>
      <c r="K55" s="50" t="s">
        <v>1422</v>
      </c>
      <c r="L55" s="53" t="s">
        <v>1424</v>
      </c>
      <c r="M55" s="19"/>
      <c r="N55" s="19"/>
      <c r="O55" s="19"/>
      <c r="P55" s="19"/>
      <c r="Q55" s="50">
        <v>1.0</v>
      </c>
      <c r="R55" s="59">
        <v>45762.0</v>
      </c>
      <c r="S55" s="59">
        <v>45770.0</v>
      </c>
      <c r="T55" s="59">
        <v>45769.0</v>
      </c>
      <c r="U55" s="19"/>
      <c r="V55" s="50" t="s">
        <v>1321</v>
      </c>
      <c r="W55" s="19"/>
      <c r="X55" s="50" t="s">
        <v>12</v>
      </c>
      <c r="Y55" s="50" t="s">
        <v>1322</v>
      </c>
      <c r="Z55" s="50">
        <v>3.040277219E9</v>
      </c>
      <c r="AA55" s="50" t="s">
        <v>1425</v>
      </c>
      <c r="AB55" s="50" t="s">
        <v>1426</v>
      </c>
      <c r="AC55" s="50" t="s">
        <v>2019</v>
      </c>
      <c r="AD55" s="19"/>
      <c r="AE55" s="19"/>
      <c r="AF55" s="19"/>
      <c r="AG55" s="19"/>
    </row>
    <row r="56">
      <c r="A56" s="47">
        <f>COUNTIF('Divulgação'!$B:$B,B56)</f>
        <v>1</v>
      </c>
      <c r="B56" s="53" t="s">
        <v>436</v>
      </c>
      <c r="C56" s="19"/>
      <c r="D56" s="50" t="s">
        <v>1314</v>
      </c>
      <c r="E56" s="50" t="s">
        <v>1315</v>
      </c>
      <c r="F56" s="62" t="s">
        <v>2052</v>
      </c>
      <c r="G56" s="50" t="s">
        <v>1316</v>
      </c>
      <c r="H56" s="62" t="s">
        <v>2052</v>
      </c>
      <c r="I56" s="47" t="s">
        <v>1707</v>
      </c>
      <c r="J56" s="62" t="s">
        <v>1318</v>
      </c>
      <c r="K56" s="50" t="s">
        <v>1708</v>
      </c>
      <c r="L56" s="53" t="s">
        <v>2055</v>
      </c>
      <c r="M56" s="19"/>
      <c r="N56" s="19"/>
      <c r="O56" s="19"/>
      <c r="P56" s="19"/>
      <c r="Q56" s="50">
        <v>1.0</v>
      </c>
      <c r="R56" s="59">
        <v>45762.0</v>
      </c>
      <c r="S56" s="59">
        <v>45770.0</v>
      </c>
      <c r="T56" s="59">
        <v>45769.0</v>
      </c>
      <c r="U56" s="19"/>
      <c r="V56" s="50" t="s">
        <v>1321</v>
      </c>
      <c r="W56" s="19"/>
      <c r="X56" s="50" t="s">
        <v>12</v>
      </c>
      <c r="Y56" s="50" t="s">
        <v>1322</v>
      </c>
      <c r="Z56" s="50">
        <v>3.040205091E9</v>
      </c>
      <c r="AA56" s="50" t="s">
        <v>12</v>
      </c>
      <c r="AB56" s="50" t="s">
        <v>1322</v>
      </c>
      <c r="AC56" s="50" t="s">
        <v>1323</v>
      </c>
      <c r="AD56" s="19"/>
      <c r="AE56" s="19"/>
      <c r="AF56" s="19"/>
      <c r="AG56" s="19"/>
    </row>
    <row r="57">
      <c r="A57" s="47">
        <f>COUNTIF('Divulgação'!$B:$B,B57)</f>
        <v>1</v>
      </c>
      <c r="B57" s="53" t="s">
        <v>438</v>
      </c>
      <c r="C57" s="19"/>
      <c r="D57" s="50" t="s">
        <v>1314</v>
      </c>
      <c r="E57" s="50" t="s">
        <v>1315</v>
      </c>
      <c r="F57" s="62" t="s">
        <v>2052</v>
      </c>
      <c r="G57" s="50" t="s">
        <v>1316</v>
      </c>
      <c r="H57" s="62" t="s">
        <v>2052</v>
      </c>
      <c r="I57" s="47" t="s">
        <v>1781</v>
      </c>
      <c r="J57" s="62" t="s">
        <v>1318</v>
      </c>
      <c r="K57" s="50" t="s">
        <v>1782</v>
      </c>
      <c r="L57" s="53" t="s">
        <v>2056</v>
      </c>
      <c r="M57" s="19"/>
      <c r="N57" s="19"/>
      <c r="O57" s="19"/>
      <c r="P57" s="19"/>
      <c r="Q57" s="50">
        <v>1.0</v>
      </c>
      <c r="R57" s="59">
        <v>45762.0</v>
      </c>
      <c r="S57" s="59">
        <v>45770.0</v>
      </c>
      <c r="T57" s="59">
        <v>45769.0</v>
      </c>
      <c r="U57" s="19"/>
      <c r="V57" s="50" t="s">
        <v>1321</v>
      </c>
      <c r="W57" s="19"/>
      <c r="X57" s="50" t="s">
        <v>12</v>
      </c>
      <c r="Y57" s="50" t="s">
        <v>1322</v>
      </c>
      <c r="Z57" s="50">
        <v>3.040256767E9</v>
      </c>
      <c r="AA57" s="50" t="s">
        <v>1376</v>
      </c>
      <c r="AB57" s="50" t="s">
        <v>1380</v>
      </c>
      <c r="AC57" s="50" t="s">
        <v>1473</v>
      </c>
      <c r="AD57" s="19"/>
      <c r="AE57" s="19"/>
      <c r="AF57" s="19"/>
      <c r="AG57" s="19"/>
    </row>
    <row r="58">
      <c r="A58" s="47">
        <f>COUNTIF('Divulgação'!$B:$B,B58)</f>
        <v>1</v>
      </c>
      <c r="B58" s="53" t="s">
        <v>440</v>
      </c>
      <c r="C58" s="19"/>
      <c r="D58" s="50" t="s">
        <v>1314</v>
      </c>
      <c r="E58" s="50" t="s">
        <v>1315</v>
      </c>
      <c r="F58" s="62" t="s">
        <v>2052</v>
      </c>
      <c r="G58" s="50" t="s">
        <v>1316</v>
      </c>
      <c r="H58" s="62" t="s">
        <v>2052</v>
      </c>
      <c r="I58" s="47" t="s">
        <v>1781</v>
      </c>
      <c r="J58" s="62" t="s">
        <v>1318</v>
      </c>
      <c r="K58" s="50" t="s">
        <v>1782</v>
      </c>
      <c r="L58" s="53" t="s">
        <v>2057</v>
      </c>
      <c r="M58" s="19"/>
      <c r="N58" s="19"/>
      <c r="O58" s="19"/>
      <c r="P58" s="19"/>
      <c r="Q58" s="50">
        <v>1.0</v>
      </c>
      <c r="R58" s="59">
        <v>45762.0</v>
      </c>
      <c r="S58" s="59">
        <v>45770.0</v>
      </c>
      <c r="T58" s="59">
        <v>45769.0</v>
      </c>
      <c r="U58" s="19"/>
      <c r="V58" s="50" t="s">
        <v>1321</v>
      </c>
      <c r="W58" s="19"/>
      <c r="X58" s="50" t="s">
        <v>12</v>
      </c>
      <c r="Y58" s="50" t="s">
        <v>1322</v>
      </c>
      <c r="Z58" s="50">
        <v>3.040250226E9</v>
      </c>
      <c r="AA58" s="50" t="s">
        <v>1500</v>
      </c>
      <c r="AB58" s="50" t="s">
        <v>1537</v>
      </c>
      <c r="AC58" s="50" t="s">
        <v>1493</v>
      </c>
      <c r="AD58" s="19"/>
      <c r="AE58" s="19"/>
      <c r="AF58" s="19"/>
      <c r="AG58" s="19"/>
    </row>
    <row r="59">
      <c r="A59" s="47">
        <f>COUNTIF('Divulgação'!$B:$B,B59)</f>
        <v>1</v>
      </c>
      <c r="B59" s="53" t="s">
        <v>443</v>
      </c>
      <c r="C59" s="19"/>
      <c r="D59" s="50" t="s">
        <v>1314</v>
      </c>
      <c r="E59" s="50" t="s">
        <v>1315</v>
      </c>
      <c r="F59" s="62" t="s">
        <v>2052</v>
      </c>
      <c r="G59" s="50" t="s">
        <v>1316</v>
      </c>
      <c r="H59" s="62" t="s">
        <v>2052</v>
      </c>
      <c r="I59" s="47" t="s">
        <v>1781</v>
      </c>
      <c r="J59" s="62" t="s">
        <v>1318</v>
      </c>
      <c r="K59" s="50" t="s">
        <v>1782</v>
      </c>
      <c r="L59" s="53" t="s">
        <v>2058</v>
      </c>
      <c r="M59" s="19"/>
      <c r="N59" s="19"/>
      <c r="O59" s="19"/>
      <c r="P59" s="19"/>
      <c r="Q59" s="50">
        <v>1.0</v>
      </c>
      <c r="R59" s="59">
        <v>45762.0</v>
      </c>
      <c r="S59" s="59">
        <v>45770.0</v>
      </c>
      <c r="T59" s="59">
        <v>45769.0</v>
      </c>
      <c r="U59" s="19"/>
      <c r="V59" s="50" t="s">
        <v>1321</v>
      </c>
      <c r="W59" s="19"/>
      <c r="X59" s="50" t="s">
        <v>12</v>
      </c>
      <c r="Y59" s="50" t="s">
        <v>1322</v>
      </c>
      <c r="Z59" s="50">
        <v>3.040249847E9</v>
      </c>
      <c r="AA59" s="50" t="s">
        <v>1463</v>
      </c>
      <c r="AB59" s="50" t="s">
        <v>1464</v>
      </c>
      <c r="AC59" s="50" t="s">
        <v>1864</v>
      </c>
      <c r="AD59" s="19"/>
      <c r="AE59" s="19"/>
      <c r="AF59" s="19"/>
      <c r="AG59" s="19"/>
    </row>
    <row r="60">
      <c r="A60" s="47">
        <f>COUNTIF('Divulgação'!$B:$B,B60)</f>
        <v>1</v>
      </c>
      <c r="B60" s="53" t="s">
        <v>445</v>
      </c>
      <c r="C60" s="19"/>
      <c r="D60" s="50" t="s">
        <v>1314</v>
      </c>
      <c r="E60" s="50" t="s">
        <v>1315</v>
      </c>
      <c r="F60" s="62" t="s">
        <v>2052</v>
      </c>
      <c r="G60" s="50" t="s">
        <v>1316</v>
      </c>
      <c r="H60" s="62" t="s">
        <v>2052</v>
      </c>
      <c r="I60" s="47" t="s">
        <v>1781</v>
      </c>
      <c r="J60" s="62" t="s">
        <v>1318</v>
      </c>
      <c r="K60" s="50" t="s">
        <v>1782</v>
      </c>
      <c r="L60" s="53" t="s">
        <v>2059</v>
      </c>
      <c r="M60" s="19"/>
      <c r="N60" s="19"/>
      <c r="O60" s="19"/>
      <c r="P60" s="19"/>
      <c r="Q60" s="50">
        <v>1.0</v>
      </c>
      <c r="R60" s="59">
        <v>45762.0</v>
      </c>
      <c r="S60" s="59">
        <v>45770.0</v>
      </c>
      <c r="T60" s="59">
        <v>45769.0</v>
      </c>
      <c r="U60" s="19"/>
      <c r="V60" s="50" t="s">
        <v>1321</v>
      </c>
      <c r="W60" s="19"/>
      <c r="X60" s="50" t="s">
        <v>12</v>
      </c>
      <c r="Y60" s="50" t="s">
        <v>1322</v>
      </c>
      <c r="Z60" s="50">
        <v>3.040281731E9</v>
      </c>
      <c r="AA60" s="50" t="s">
        <v>16</v>
      </c>
      <c r="AB60" s="50" t="s">
        <v>1331</v>
      </c>
      <c r="AC60" s="50" t="s">
        <v>1486</v>
      </c>
      <c r="AD60" s="19"/>
      <c r="AE60" s="19"/>
      <c r="AF60" s="19"/>
      <c r="AG60" s="19"/>
    </row>
    <row r="61">
      <c r="A61" s="47">
        <f>COUNTIF('Divulgação'!$B:$B,B61)</f>
        <v>1</v>
      </c>
      <c r="B61" s="53" t="s">
        <v>447</v>
      </c>
      <c r="C61" s="19"/>
      <c r="D61" s="50" t="s">
        <v>1314</v>
      </c>
      <c r="E61" s="50" t="s">
        <v>1315</v>
      </c>
      <c r="F61" s="62" t="s">
        <v>2052</v>
      </c>
      <c r="G61" s="50" t="s">
        <v>1316</v>
      </c>
      <c r="H61" s="62" t="s">
        <v>2052</v>
      </c>
      <c r="I61" s="47" t="s">
        <v>227</v>
      </c>
      <c r="J61" s="62" t="s">
        <v>1345</v>
      </c>
      <c r="K61" s="50" t="s">
        <v>1738</v>
      </c>
      <c r="L61" s="47" t="s">
        <v>2060</v>
      </c>
      <c r="M61" s="19"/>
      <c r="N61" s="19"/>
      <c r="O61" s="19"/>
      <c r="P61" s="19"/>
      <c r="Q61" s="50">
        <v>1.0</v>
      </c>
      <c r="R61" s="59">
        <v>45762.0</v>
      </c>
      <c r="S61" s="59">
        <v>45770.0</v>
      </c>
      <c r="T61" s="59">
        <v>45769.0</v>
      </c>
      <c r="U61" s="19"/>
      <c r="V61" s="50" t="s">
        <v>1321</v>
      </c>
      <c r="W61" s="19"/>
      <c r="X61" s="50" t="s">
        <v>12</v>
      </c>
      <c r="Y61" s="50" t="s">
        <v>1322</v>
      </c>
      <c r="Z61" s="50">
        <v>3.040265321E9</v>
      </c>
      <c r="AA61" s="50" t="s">
        <v>1463</v>
      </c>
      <c r="AB61" s="50" t="s">
        <v>1464</v>
      </c>
      <c r="AC61" s="50" t="s">
        <v>1465</v>
      </c>
      <c r="AD61" s="19"/>
      <c r="AE61" s="19"/>
      <c r="AF61" s="19"/>
      <c r="AG61" s="19"/>
    </row>
    <row r="62">
      <c r="A62" s="47">
        <f>COUNTIF('Divulgação'!$B:$B,B62)</f>
        <v>1</v>
      </c>
      <c r="B62" s="53" t="s">
        <v>449</v>
      </c>
      <c r="C62" s="19"/>
      <c r="D62" s="50" t="s">
        <v>1314</v>
      </c>
      <c r="E62" s="50" t="s">
        <v>1315</v>
      </c>
      <c r="F62" s="62" t="s">
        <v>2052</v>
      </c>
      <c r="G62" s="50" t="s">
        <v>1316</v>
      </c>
      <c r="H62" s="62" t="s">
        <v>2052</v>
      </c>
      <c r="I62" s="47" t="s">
        <v>227</v>
      </c>
      <c r="J62" s="62" t="s">
        <v>1345</v>
      </c>
      <c r="K62" s="50" t="s">
        <v>1738</v>
      </c>
      <c r="L62" s="47" t="s">
        <v>2061</v>
      </c>
      <c r="M62" s="19"/>
      <c r="N62" s="19"/>
      <c r="O62" s="19"/>
      <c r="P62" s="19"/>
      <c r="Q62" s="50">
        <v>1.0</v>
      </c>
      <c r="R62" s="59">
        <v>45762.0</v>
      </c>
      <c r="S62" s="59">
        <v>45770.0</v>
      </c>
      <c r="T62" s="59">
        <v>45769.0</v>
      </c>
      <c r="U62" s="19"/>
      <c r="V62" s="50" t="s">
        <v>1347</v>
      </c>
      <c r="W62" s="50">
        <v>3.96250015382E11</v>
      </c>
      <c r="X62" s="50" t="s">
        <v>12</v>
      </c>
      <c r="Y62" s="50" t="s">
        <v>1322</v>
      </c>
      <c r="Z62" s="50">
        <v>3.040308015E9</v>
      </c>
      <c r="AA62" s="50" t="s">
        <v>14</v>
      </c>
      <c r="AB62" s="50" t="s">
        <v>1470</v>
      </c>
      <c r="AC62" s="50" t="s">
        <v>1471</v>
      </c>
      <c r="AD62" s="19"/>
      <c r="AE62" s="19"/>
      <c r="AF62" s="19"/>
      <c r="AG62" s="19"/>
    </row>
    <row r="63">
      <c r="A63" s="47">
        <f>COUNTIF('Divulgação'!$B:$B,B63)</f>
        <v>1</v>
      </c>
      <c r="B63" s="53" t="s">
        <v>451</v>
      </c>
      <c r="C63" s="19"/>
      <c r="D63" s="50" t="s">
        <v>1314</v>
      </c>
      <c r="E63" s="50" t="s">
        <v>1315</v>
      </c>
      <c r="F63" s="62" t="s">
        <v>2062</v>
      </c>
      <c r="G63" s="50" t="s">
        <v>1316</v>
      </c>
      <c r="H63" s="62" t="s">
        <v>2062</v>
      </c>
      <c r="I63" s="47" t="s">
        <v>282</v>
      </c>
      <c r="J63" s="50" t="s">
        <v>232</v>
      </c>
      <c r="K63" s="50" t="s">
        <v>283</v>
      </c>
      <c r="L63" s="53" t="s">
        <v>2063</v>
      </c>
      <c r="M63" s="19"/>
      <c r="N63" s="19"/>
      <c r="O63" s="19"/>
      <c r="P63" s="19"/>
      <c r="Q63" s="50">
        <v>1.0</v>
      </c>
      <c r="R63" s="59">
        <v>45762.0</v>
      </c>
      <c r="S63" s="59">
        <v>45770.0</v>
      </c>
      <c r="T63" s="59">
        <v>45770.0</v>
      </c>
      <c r="U63" s="19"/>
      <c r="V63" s="50" t="s">
        <v>1347</v>
      </c>
      <c r="W63" s="50">
        <v>3.13250016742E11</v>
      </c>
      <c r="X63" s="50" t="s">
        <v>12</v>
      </c>
      <c r="Y63" s="50" t="s">
        <v>1322</v>
      </c>
      <c r="Z63" s="50">
        <v>3.040304988E9</v>
      </c>
      <c r="AA63" s="50" t="s">
        <v>16</v>
      </c>
      <c r="AB63" s="50" t="s">
        <v>1331</v>
      </c>
      <c r="AC63" s="50" t="s">
        <v>1486</v>
      </c>
      <c r="AD63" s="19"/>
      <c r="AE63" s="19"/>
      <c r="AF63" s="19"/>
      <c r="AG63" s="19"/>
    </row>
    <row r="64">
      <c r="A64" s="47">
        <f>COUNTIF('Divulgação'!$B:$B,B64)</f>
        <v>1</v>
      </c>
      <c r="B64" s="53" t="s">
        <v>453</v>
      </c>
      <c r="C64" s="19"/>
      <c r="D64" s="50" t="s">
        <v>1314</v>
      </c>
      <c r="E64" s="50" t="s">
        <v>1315</v>
      </c>
      <c r="F64" s="62" t="s">
        <v>2064</v>
      </c>
      <c r="G64" s="50" t="s">
        <v>1316</v>
      </c>
      <c r="H64" s="62" t="s">
        <v>2064</v>
      </c>
      <c r="I64" s="47" t="s">
        <v>207</v>
      </c>
      <c r="J64" s="50" t="s">
        <v>48</v>
      </c>
      <c r="K64" s="50" t="s">
        <v>208</v>
      </c>
      <c r="L64" s="47" t="s">
        <v>1429</v>
      </c>
      <c r="M64" s="19"/>
      <c r="N64" s="19"/>
      <c r="O64" s="19"/>
      <c r="P64" s="19"/>
      <c r="Q64" s="50">
        <v>1.0</v>
      </c>
      <c r="R64" s="59">
        <v>45796.0</v>
      </c>
      <c r="S64" s="61">
        <v>45984.0</v>
      </c>
      <c r="T64" s="59">
        <v>45799.0</v>
      </c>
      <c r="U64" s="19"/>
      <c r="V64" s="50" t="s">
        <v>1321</v>
      </c>
      <c r="W64" s="19"/>
      <c r="X64" s="50" t="s">
        <v>12</v>
      </c>
      <c r="Y64" s="50" t="s">
        <v>1322</v>
      </c>
      <c r="Z64" s="50">
        <v>3.040307826E9</v>
      </c>
      <c r="AA64" s="50" t="s">
        <v>19</v>
      </c>
      <c r="AB64" s="50" t="s">
        <v>1402</v>
      </c>
      <c r="AC64" s="50" t="s">
        <v>1403</v>
      </c>
      <c r="AD64" s="19"/>
      <c r="AE64" s="19"/>
      <c r="AF64" s="19"/>
      <c r="AG64" s="19"/>
    </row>
    <row r="65">
      <c r="A65" s="47">
        <f>COUNTIF('Divulgação'!$B:$B,B65)</f>
        <v>1</v>
      </c>
      <c r="B65" s="53" t="s">
        <v>455</v>
      </c>
      <c r="C65" s="19"/>
      <c r="D65" s="50" t="s">
        <v>1314</v>
      </c>
      <c r="E65" s="50" t="s">
        <v>1315</v>
      </c>
      <c r="F65" s="62" t="s">
        <v>2064</v>
      </c>
      <c r="G65" s="50" t="s">
        <v>1316</v>
      </c>
      <c r="H65" s="62" t="s">
        <v>2064</v>
      </c>
      <c r="I65" s="47" t="s">
        <v>1398</v>
      </c>
      <c r="J65" s="62" t="s">
        <v>1399</v>
      </c>
      <c r="K65" s="50" t="s">
        <v>1400</v>
      </c>
      <c r="L65" s="53" t="s">
        <v>2065</v>
      </c>
      <c r="M65" s="19"/>
      <c r="N65" s="19"/>
      <c r="O65" s="19"/>
      <c r="P65" s="19"/>
      <c r="Q65" s="50">
        <v>1.0</v>
      </c>
      <c r="R65" s="59">
        <v>45796.0</v>
      </c>
      <c r="S65" s="61">
        <v>45984.0</v>
      </c>
      <c r="T65" s="59">
        <v>45799.0</v>
      </c>
      <c r="U65" s="19"/>
      <c r="V65" s="50" t="s">
        <v>1347</v>
      </c>
      <c r="W65" s="50">
        <v>3.96250014613E11</v>
      </c>
      <c r="X65" s="50" t="s">
        <v>12</v>
      </c>
      <c r="Y65" s="50" t="s">
        <v>1322</v>
      </c>
      <c r="Z65" s="50">
        <v>3.040310145E9</v>
      </c>
      <c r="AA65" s="50" t="s">
        <v>1352</v>
      </c>
      <c r="AB65" s="50" t="s">
        <v>1430</v>
      </c>
      <c r="AC65" s="50" t="s">
        <v>1431</v>
      </c>
      <c r="AD65" s="19"/>
      <c r="AE65" s="19"/>
      <c r="AF65" s="19"/>
      <c r="AG65" s="19"/>
    </row>
    <row r="66">
      <c r="A66" s="47">
        <f>COUNTIF('Divulgação'!$B:$B,B66)</f>
        <v>1</v>
      </c>
      <c r="B66" s="53" t="s">
        <v>457</v>
      </c>
      <c r="C66" s="19"/>
      <c r="D66" s="50" t="s">
        <v>1314</v>
      </c>
      <c r="E66" s="50" t="s">
        <v>1315</v>
      </c>
      <c r="F66" s="62" t="s">
        <v>2064</v>
      </c>
      <c r="G66" s="50" t="s">
        <v>1316</v>
      </c>
      <c r="H66" s="62" t="s">
        <v>2064</v>
      </c>
      <c r="I66" s="47" t="s">
        <v>1398</v>
      </c>
      <c r="J66" s="62" t="s">
        <v>1399</v>
      </c>
      <c r="K66" s="50" t="s">
        <v>1400</v>
      </c>
      <c r="L66" s="53" t="s">
        <v>974</v>
      </c>
      <c r="M66" s="19"/>
      <c r="N66" s="19"/>
      <c r="O66" s="19"/>
      <c r="P66" s="19"/>
      <c r="Q66" s="50">
        <v>1.0</v>
      </c>
      <c r="R66" s="59">
        <v>45796.0</v>
      </c>
      <c r="S66" s="61">
        <v>45984.0</v>
      </c>
      <c r="T66" s="59">
        <v>45799.0</v>
      </c>
      <c r="U66" s="19"/>
      <c r="V66" s="50" t="s">
        <v>1321</v>
      </c>
      <c r="W66" s="19"/>
      <c r="X66" s="50" t="s">
        <v>12</v>
      </c>
      <c r="Y66" s="50" t="s">
        <v>1322</v>
      </c>
      <c r="Z66" s="50">
        <v>3.040309257E9</v>
      </c>
      <c r="AA66" s="50" t="s">
        <v>16</v>
      </c>
      <c r="AB66" s="50" t="s">
        <v>1551</v>
      </c>
      <c r="AC66" s="50" t="s">
        <v>1552</v>
      </c>
      <c r="AD66" s="19"/>
      <c r="AE66" s="19"/>
      <c r="AF66" s="19"/>
      <c r="AG66" s="19"/>
    </row>
    <row r="67">
      <c r="A67" s="47">
        <f>COUNTIF('Divulgação'!$B:$B,B67)</f>
        <v>1</v>
      </c>
      <c r="B67" s="53" t="s">
        <v>459</v>
      </c>
      <c r="C67" s="19"/>
      <c r="D67" s="50" t="s">
        <v>1314</v>
      </c>
      <c r="E67" s="50" t="s">
        <v>1315</v>
      </c>
      <c r="F67" s="62" t="s">
        <v>2064</v>
      </c>
      <c r="G67" s="50" t="s">
        <v>1316</v>
      </c>
      <c r="H67" s="62" t="s">
        <v>2064</v>
      </c>
      <c r="I67" s="47" t="s">
        <v>2066</v>
      </c>
      <c r="J67" s="62" t="s">
        <v>1399</v>
      </c>
      <c r="K67" s="50" t="s">
        <v>1400</v>
      </c>
      <c r="L67" s="53" t="s">
        <v>922</v>
      </c>
      <c r="M67" s="19"/>
      <c r="N67" s="19"/>
      <c r="O67" s="19"/>
      <c r="P67" s="19"/>
      <c r="Q67" s="50">
        <v>1.0</v>
      </c>
      <c r="R67" s="59">
        <v>45796.0</v>
      </c>
      <c r="S67" s="61">
        <v>45984.0</v>
      </c>
      <c r="T67" s="59">
        <v>45799.0</v>
      </c>
      <c r="U67" s="19"/>
      <c r="V67" s="50" t="s">
        <v>1321</v>
      </c>
      <c r="W67" s="19"/>
      <c r="X67" s="50" t="s">
        <v>12</v>
      </c>
      <c r="Y67" s="50" t="s">
        <v>1322</v>
      </c>
      <c r="Z67" s="50">
        <v>3.040307837E9</v>
      </c>
      <c r="AA67" s="50" t="s">
        <v>19</v>
      </c>
      <c r="AB67" s="50" t="s">
        <v>1402</v>
      </c>
      <c r="AC67" s="50" t="s">
        <v>1403</v>
      </c>
      <c r="AD67" s="19"/>
      <c r="AE67" s="19"/>
      <c r="AF67" s="19"/>
      <c r="AG67" s="19"/>
    </row>
    <row r="68">
      <c r="A68" s="47">
        <f>COUNTIF('Divulgação'!$B:$B,B68)</f>
        <v>1</v>
      </c>
      <c r="B68" s="53" t="s">
        <v>461</v>
      </c>
      <c r="C68" s="19"/>
      <c r="D68" s="50" t="s">
        <v>1314</v>
      </c>
      <c r="E68" s="50" t="s">
        <v>1315</v>
      </c>
      <c r="F68" s="62" t="s">
        <v>2064</v>
      </c>
      <c r="G68" s="50" t="s">
        <v>1316</v>
      </c>
      <c r="H68" s="62" t="s">
        <v>2064</v>
      </c>
      <c r="I68" s="47" t="s">
        <v>2066</v>
      </c>
      <c r="J68" s="62" t="s">
        <v>1399</v>
      </c>
      <c r="K68" s="50" t="s">
        <v>1400</v>
      </c>
      <c r="L68" s="53" t="s">
        <v>616</v>
      </c>
      <c r="M68" s="19"/>
      <c r="N68" s="19"/>
      <c r="O68" s="19"/>
      <c r="P68" s="19"/>
      <c r="Q68" s="50">
        <v>1.0</v>
      </c>
      <c r="R68" s="59">
        <v>45796.0</v>
      </c>
      <c r="S68" s="61">
        <v>45984.0</v>
      </c>
      <c r="T68" s="59">
        <v>45799.0</v>
      </c>
      <c r="U68" s="19"/>
      <c r="V68" s="50" t="s">
        <v>1321</v>
      </c>
      <c r="W68" s="19"/>
      <c r="X68" s="50" t="s">
        <v>12</v>
      </c>
      <c r="Y68" s="50" t="s">
        <v>1322</v>
      </c>
      <c r="Z68" s="50">
        <v>3.040308148E9</v>
      </c>
      <c r="AA68" s="50" t="s">
        <v>16</v>
      </c>
      <c r="AB68" s="50" t="s">
        <v>1551</v>
      </c>
      <c r="AC68" s="50" t="s">
        <v>2067</v>
      </c>
      <c r="AD68" s="19"/>
      <c r="AE68" s="19"/>
      <c r="AF68" s="19"/>
      <c r="AG68" s="19"/>
    </row>
    <row r="69">
      <c r="A69" s="47">
        <f>COUNTIF('Divulgação'!$B:$B,B69)</f>
        <v>1</v>
      </c>
      <c r="B69" s="53" t="s">
        <v>463</v>
      </c>
      <c r="C69" s="19"/>
      <c r="D69" s="50" t="s">
        <v>1314</v>
      </c>
      <c r="E69" s="50" t="s">
        <v>1315</v>
      </c>
      <c r="F69" s="62" t="s">
        <v>2064</v>
      </c>
      <c r="G69" s="50" t="s">
        <v>1316</v>
      </c>
      <c r="H69" s="62" t="s">
        <v>2064</v>
      </c>
      <c r="I69" s="47" t="s">
        <v>2066</v>
      </c>
      <c r="J69" s="62" t="s">
        <v>1399</v>
      </c>
      <c r="K69" s="50" t="s">
        <v>1400</v>
      </c>
      <c r="L69" s="53" t="s">
        <v>976</v>
      </c>
      <c r="M69" s="19"/>
      <c r="N69" s="19"/>
      <c r="O69" s="19"/>
      <c r="P69" s="19"/>
      <c r="Q69" s="50">
        <v>1.0</v>
      </c>
      <c r="R69" s="59">
        <v>45796.0</v>
      </c>
      <c r="S69" s="61">
        <v>45984.0</v>
      </c>
      <c r="T69" s="59">
        <v>45799.0</v>
      </c>
      <c r="U69" s="19"/>
      <c r="V69" s="50" t="s">
        <v>1347</v>
      </c>
      <c r="W69" s="50">
        <v>3.04250073792E11</v>
      </c>
      <c r="X69" s="50" t="s">
        <v>12</v>
      </c>
      <c r="Y69" s="50" t="s">
        <v>1322</v>
      </c>
      <c r="Z69" s="50">
        <v>3.040309258E9</v>
      </c>
      <c r="AA69" s="50" t="s">
        <v>16</v>
      </c>
      <c r="AB69" s="50" t="s">
        <v>1551</v>
      </c>
      <c r="AC69" s="50" t="s">
        <v>1552</v>
      </c>
      <c r="AD69" s="19"/>
      <c r="AE69" s="19"/>
      <c r="AF69" s="19"/>
      <c r="AG69" s="19"/>
    </row>
    <row r="70">
      <c r="A70" s="47">
        <f>COUNTIF('Divulgação'!$B:$B,B70)</f>
        <v>1</v>
      </c>
      <c r="B70" s="53" t="s">
        <v>465</v>
      </c>
      <c r="C70" s="19"/>
      <c r="D70" s="50" t="s">
        <v>1314</v>
      </c>
      <c r="E70" s="50" t="s">
        <v>1315</v>
      </c>
      <c r="F70" s="62" t="s">
        <v>2068</v>
      </c>
      <c r="G70" s="50" t="s">
        <v>1316</v>
      </c>
      <c r="H70" s="62" t="s">
        <v>2068</v>
      </c>
      <c r="I70" s="47" t="s">
        <v>63</v>
      </c>
      <c r="J70" s="62" t="s">
        <v>1395</v>
      </c>
      <c r="K70" s="50" t="s">
        <v>1432</v>
      </c>
      <c r="L70" s="53" t="s">
        <v>2069</v>
      </c>
      <c r="M70" s="19"/>
      <c r="N70" s="19"/>
      <c r="O70" s="19"/>
      <c r="P70" s="19"/>
      <c r="Q70" s="50">
        <v>1.0</v>
      </c>
      <c r="R70" s="59">
        <v>45800.0</v>
      </c>
      <c r="S70" s="61">
        <v>45990.0</v>
      </c>
      <c r="T70" s="59">
        <v>45803.0</v>
      </c>
      <c r="U70" s="19"/>
      <c r="V70" s="50" t="s">
        <v>1321</v>
      </c>
      <c r="W70" s="19"/>
      <c r="X70" s="50" t="s">
        <v>12</v>
      </c>
      <c r="Y70" s="50" t="s">
        <v>1322</v>
      </c>
      <c r="Z70" s="50">
        <v>3.040311451E9</v>
      </c>
      <c r="AA70" s="50" t="s">
        <v>22</v>
      </c>
      <c r="AB70" s="50" t="s">
        <v>1439</v>
      </c>
      <c r="AC70" s="50" t="s">
        <v>1440</v>
      </c>
      <c r="AD70" s="19"/>
      <c r="AE70" s="19"/>
      <c r="AF70" s="19"/>
      <c r="AG70" s="19"/>
    </row>
    <row r="71">
      <c r="A71" s="47">
        <f>COUNTIF('Divulgação'!$B:$B,B71)</f>
        <v>1</v>
      </c>
      <c r="B71" s="53" t="s">
        <v>467</v>
      </c>
      <c r="C71" s="19"/>
      <c r="D71" s="50" t="s">
        <v>1314</v>
      </c>
      <c r="E71" s="50" t="s">
        <v>1315</v>
      </c>
      <c r="F71" s="62" t="s">
        <v>2068</v>
      </c>
      <c r="G71" s="50" t="s">
        <v>1316</v>
      </c>
      <c r="H71" s="62" t="s">
        <v>2068</v>
      </c>
      <c r="I71" s="47" t="s">
        <v>63</v>
      </c>
      <c r="J71" s="62" t="s">
        <v>1395</v>
      </c>
      <c r="K71" s="50" t="s">
        <v>1432</v>
      </c>
      <c r="L71" s="53" t="s">
        <v>405</v>
      </c>
      <c r="M71" s="19"/>
      <c r="N71" s="19"/>
      <c r="O71" s="19"/>
      <c r="P71" s="19"/>
      <c r="Q71" s="50">
        <v>1.0</v>
      </c>
      <c r="R71" s="59">
        <v>45800.0</v>
      </c>
      <c r="S71" s="61">
        <v>45990.0</v>
      </c>
      <c r="T71" s="59">
        <v>45803.0</v>
      </c>
      <c r="U71" s="19"/>
      <c r="V71" s="50" t="s">
        <v>1321</v>
      </c>
      <c r="W71" s="19"/>
      <c r="X71" s="50" t="s">
        <v>12</v>
      </c>
      <c r="Y71" s="50" t="s">
        <v>1322</v>
      </c>
      <c r="Z71" s="50">
        <v>3.04031145E9</v>
      </c>
      <c r="AA71" s="50" t="s">
        <v>22</v>
      </c>
      <c r="AB71" s="50" t="s">
        <v>1439</v>
      </c>
      <c r="AC71" s="50" t="s">
        <v>1440</v>
      </c>
      <c r="AD71" s="19"/>
      <c r="AE71" s="19"/>
      <c r="AF71" s="19"/>
      <c r="AG71" s="19"/>
    </row>
    <row r="72">
      <c r="A72" s="47">
        <f>COUNTIF('Divulgação'!$B:$B,B72)</f>
        <v>1</v>
      </c>
      <c r="B72" s="53" t="s">
        <v>469</v>
      </c>
      <c r="C72" s="19"/>
      <c r="D72" s="50" t="s">
        <v>1314</v>
      </c>
      <c r="E72" s="50" t="s">
        <v>1315</v>
      </c>
      <c r="F72" s="62" t="s">
        <v>2068</v>
      </c>
      <c r="G72" s="50" t="s">
        <v>1316</v>
      </c>
      <c r="H72" s="62" t="s">
        <v>2068</v>
      </c>
      <c r="I72" s="47" t="s">
        <v>63</v>
      </c>
      <c r="J72" s="62" t="s">
        <v>1395</v>
      </c>
      <c r="K72" s="50" t="s">
        <v>1432</v>
      </c>
      <c r="L72" s="47" t="s">
        <v>1433</v>
      </c>
      <c r="M72" s="19"/>
      <c r="N72" s="19"/>
      <c r="O72" s="19"/>
      <c r="P72" s="19"/>
      <c r="Q72" s="50">
        <v>1.0</v>
      </c>
      <c r="R72" s="59">
        <v>45800.0</v>
      </c>
      <c r="S72" s="61">
        <v>45990.0</v>
      </c>
      <c r="T72" s="59">
        <v>45803.0</v>
      </c>
      <c r="U72" s="19"/>
      <c r="V72" s="50" t="s">
        <v>1321</v>
      </c>
      <c r="W72" s="19"/>
      <c r="X72" s="50" t="s">
        <v>12</v>
      </c>
      <c r="Y72" s="50" t="s">
        <v>1322</v>
      </c>
      <c r="Z72" s="50">
        <v>3.040313477E9</v>
      </c>
      <c r="AA72" s="50" t="s">
        <v>12</v>
      </c>
      <c r="AB72" s="50" t="s">
        <v>1322</v>
      </c>
      <c r="AC72" s="50" t="s">
        <v>1434</v>
      </c>
      <c r="AD72" s="19"/>
      <c r="AE72" s="19"/>
      <c r="AF72" s="19"/>
      <c r="AG72" s="19"/>
    </row>
    <row r="73">
      <c r="A73" s="47">
        <f>COUNTIF('Divulgação'!$B:$B,B73)</f>
        <v>1</v>
      </c>
      <c r="B73" s="53" t="s">
        <v>471</v>
      </c>
      <c r="C73" s="19"/>
      <c r="D73" s="50" t="s">
        <v>1314</v>
      </c>
      <c r="E73" s="50" t="s">
        <v>1315</v>
      </c>
      <c r="F73" s="62" t="s">
        <v>2068</v>
      </c>
      <c r="G73" s="50" t="s">
        <v>1316</v>
      </c>
      <c r="H73" s="62" t="s">
        <v>2068</v>
      </c>
      <c r="I73" s="47" t="s">
        <v>63</v>
      </c>
      <c r="J73" s="62" t="s">
        <v>1395</v>
      </c>
      <c r="K73" s="50" t="s">
        <v>1432</v>
      </c>
      <c r="L73" s="53" t="s">
        <v>884</v>
      </c>
      <c r="M73" s="19"/>
      <c r="N73" s="19"/>
      <c r="O73" s="19"/>
      <c r="P73" s="19"/>
      <c r="Q73" s="50">
        <v>1.0</v>
      </c>
      <c r="R73" s="59">
        <v>45789.0</v>
      </c>
      <c r="S73" s="61">
        <v>45977.0</v>
      </c>
      <c r="T73" s="59">
        <v>45803.0</v>
      </c>
      <c r="U73" s="19"/>
      <c r="V73" s="50" t="s">
        <v>1321</v>
      </c>
      <c r="W73" s="19"/>
      <c r="X73" s="50" t="s">
        <v>12</v>
      </c>
      <c r="Y73" s="50" t="s">
        <v>1322</v>
      </c>
      <c r="Z73" s="50">
        <v>3.040313479E9</v>
      </c>
      <c r="AA73" s="50" t="s">
        <v>12</v>
      </c>
      <c r="AB73" s="50" t="s">
        <v>1322</v>
      </c>
      <c r="AC73" s="50" t="s">
        <v>1434</v>
      </c>
      <c r="AD73" s="19"/>
      <c r="AE73" s="19"/>
      <c r="AF73" s="19"/>
      <c r="AG73" s="19"/>
    </row>
    <row r="74">
      <c r="A74" s="47">
        <f>COUNTIF('Divulgação'!$B:$B,B74)</f>
        <v>1</v>
      </c>
      <c r="B74" s="53" t="s">
        <v>473</v>
      </c>
      <c r="C74" s="19"/>
      <c r="D74" s="50" t="s">
        <v>1314</v>
      </c>
      <c r="E74" s="50" t="s">
        <v>1315</v>
      </c>
      <c r="F74" s="62" t="s">
        <v>2068</v>
      </c>
      <c r="G74" s="50" t="s">
        <v>1316</v>
      </c>
      <c r="H74" s="62" t="s">
        <v>2068</v>
      </c>
      <c r="I74" s="47" t="s">
        <v>63</v>
      </c>
      <c r="J74" s="62" t="s">
        <v>1395</v>
      </c>
      <c r="K74" s="50" t="s">
        <v>1432</v>
      </c>
      <c r="L74" s="53" t="s">
        <v>1435</v>
      </c>
      <c r="M74" s="19"/>
      <c r="N74" s="19"/>
      <c r="O74" s="19"/>
      <c r="P74" s="19"/>
      <c r="Q74" s="50">
        <v>1.0</v>
      </c>
      <c r="R74" s="59">
        <v>45800.0</v>
      </c>
      <c r="S74" s="61">
        <v>45990.0</v>
      </c>
      <c r="T74" s="59">
        <v>45803.0</v>
      </c>
      <c r="U74" s="19"/>
      <c r="V74" s="50" t="s">
        <v>1321</v>
      </c>
      <c r="W74" s="19"/>
      <c r="X74" s="50" t="s">
        <v>12</v>
      </c>
      <c r="Y74" s="50" t="s">
        <v>1322</v>
      </c>
      <c r="Z74" s="50">
        <v>3.040313478E9</v>
      </c>
      <c r="AA74" s="50" t="s">
        <v>12</v>
      </c>
      <c r="AB74" s="50" t="s">
        <v>1322</v>
      </c>
      <c r="AC74" s="50" t="s">
        <v>1434</v>
      </c>
      <c r="AD74" s="19"/>
      <c r="AE74" s="19"/>
      <c r="AF74" s="19"/>
      <c r="AG74" s="19"/>
    </row>
    <row r="75">
      <c r="A75" s="47">
        <f>COUNTIF('Divulgação'!$B:$B,B75)</f>
        <v>1</v>
      </c>
      <c r="B75" s="53" t="s">
        <v>475</v>
      </c>
      <c r="C75" s="19"/>
      <c r="D75" s="50" t="s">
        <v>1314</v>
      </c>
      <c r="E75" s="50" t="s">
        <v>1315</v>
      </c>
      <c r="F75" s="62" t="s">
        <v>2068</v>
      </c>
      <c r="G75" s="50" t="s">
        <v>1316</v>
      </c>
      <c r="H75" s="62" t="s">
        <v>2068</v>
      </c>
      <c r="I75" s="47" t="s">
        <v>1436</v>
      </c>
      <c r="J75" s="62" t="s">
        <v>1395</v>
      </c>
      <c r="K75" s="50" t="s">
        <v>1437</v>
      </c>
      <c r="L75" s="53" t="s">
        <v>884</v>
      </c>
      <c r="M75" s="19"/>
      <c r="N75" s="19"/>
      <c r="O75" s="19"/>
      <c r="P75" s="19"/>
      <c r="Q75" s="50">
        <v>1.0</v>
      </c>
      <c r="R75" s="59">
        <v>45800.0</v>
      </c>
      <c r="S75" s="61">
        <v>45990.0</v>
      </c>
      <c r="T75" s="59">
        <v>45803.0</v>
      </c>
      <c r="U75" s="19"/>
      <c r="V75" s="50" t="s">
        <v>1321</v>
      </c>
      <c r="W75" s="19"/>
      <c r="X75" s="50" t="s">
        <v>12</v>
      </c>
      <c r="Y75" s="50" t="s">
        <v>1322</v>
      </c>
      <c r="Z75" s="50">
        <v>3.040309328E9</v>
      </c>
      <c r="AA75" s="50" t="s">
        <v>13</v>
      </c>
      <c r="AB75" s="50" t="s">
        <v>1447</v>
      </c>
      <c r="AC75" s="50" t="s">
        <v>2040</v>
      </c>
      <c r="AD75" s="19"/>
      <c r="AE75" s="19"/>
      <c r="AF75" s="19"/>
      <c r="AG75" s="19"/>
    </row>
    <row r="76">
      <c r="A76" s="47">
        <f>COUNTIF('Divulgação'!$B:$B,B76)</f>
        <v>1</v>
      </c>
      <c r="B76" s="53" t="s">
        <v>477</v>
      </c>
      <c r="C76" s="19"/>
      <c r="D76" s="50" t="s">
        <v>1314</v>
      </c>
      <c r="E76" s="50" t="s">
        <v>1315</v>
      </c>
      <c r="F76" s="62" t="s">
        <v>2068</v>
      </c>
      <c r="G76" s="50" t="s">
        <v>1316</v>
      </c>
      <c r="H76" s="62" t="s">
        <v>2068</v>
      </c>
      <c r="I76" s="47" t="s">
        <v>1436</v>
      </c>
      <c r="J76" s="62" t="s">
        <v>1395</v>
      </c>
      <c r="K76" s="50" t="s">
        <v>1437</v>
      </c>
      <c r="L76" s="53" t="s">
        <v>2070</v>
      </c>
      <c r="M76" s="19"/>
      <c r="N76" s="19"/>
      <c r="O76" s="19"/>
      <c r="P76" s="19"/>
      <c r="Q76" s="50">
        <v>1.0</v>
      </c>
      <c r="R76" s="59">
        <v>45800.0</v>
      </c>
      <c r="S76" s="61">
        <v>45990.0</v>
      </c>
      <c r="T76" s="59">
        <v>45803.0</v>
      </c>
      <c r="U76" s="19"/>
      <c r="V76" s="50" t="s">
        <v>1321</v>
      </c>
      <c r="W76" s="19"/>
      <c r="X76" s="50" t="s">
        <v>12</v>
      </c>
      <c r="Y76" s="50" t="s">
        <v>1322</v>
      </c>
      <c r="Z76" s="50">
        <v>3.040313076E9</v>
      </c>
      <c r="AA76" s="50" t="s">
        <v>19</v>
      </c>
      <c r="AB76" s="50" t="s">
        <v>2071</v>
      </c>
      <c r="AC76" s="50" t="s">
        <v>1403</v>
      </c>
      <c r="AD76" s="19"/>
      <c r="AE76" s="19"/>
      <c r="AF76" s="19"/>
      <c r="AG76" s="19"/>
    </row>
    <row r="77">
      <c r="A77" s="47">
        <f>COUNTIF('Divulgação'!$B:$B,B77)</f>
        <v>1</v>
      </c>
      <c r="B77" s="53" t="s">
        <v>479</v>
      </c>
      <c r="C77" s="19"/>
      <c r="D77" s="50" t="s">
        <v>1314</v>
      </c>
      <c r="E77" s="50" t="s">
        <v>1315</v>
      </c>
      <c r="F77" s="62" t="s">
        <v>2068</v>
      </c>
      <c r="G77" s="50" t="s">
        <v>1316</v>
      </c>
      <c r="H77" s="62" t="s">
        <v>2068</v>
      </c>
      <c r="I77" s="47" t="s">
        <v>1436</v>
      </c>
      <c r="J77" s="62" t="s">
        <v>1395</v>
      </c>
      <c r="K77" s="50" t="s">
        <v>1437</v>
      </c>
      <c r="L77" s="53" t="s">
        <v>425</v>
      </c>
      <c r="M77" s="19"/>
      <c r="N77" s="19"/>
      <c r="O77" s="19"/>
      <c r="P77" s="19"/>
      <c r="Q77" s="50">
        <v>1.0</v>
      </c>
      <c r="R77" s="59">
        <v>45800.0</v>
      </c>
      <c r="S77" s="61">
        <v>45984.0</v>
      </c>
      <c r="T77" s="59">
        <v>45803.0</v>
      </c>
      <c r="U77" s="19"/>
      <c r="V77" s="50" t="s">
        <v>1347</v>
      </c>
      <c r="W77" s="50">
        <v>6.85250007749E11</v>
      </c>
      <c r="X77" s="50" t="s">
        <v>12</v>
      </c>
      <c r="Y77" s="50" t="s">
        <v>1322</v>
      </c>
      <c r="Z77" s="50">
        <v>3.04031348E9</v>
      </c>
      <c r="AA77" s="50" t="s">
        <v>12</v>
      </c>
      <c r="AB77" s="50" t="s">
        <v>1322</v>
      </c>
      <c r="AC77" s="50" t="s">
        <v>1434</v>
      </c>
      <c r="AD77" s="19"/>
      <c r="AE77" s="19"/>
      <c r="AF77" s="19"/>
      <c r="AG77" s="19"/>
    </row>
    <row r="78">
      <c r="A78" s="47">
        <f>COUNTIF('Divulgação'!$B:$B,B78)</f>
        <v>1</v>
      </c>
      <c r="B78" s="53" t="s">
        <v>481</v>
      </c>
      <c r="C78" s="19"/>
      <c r="D78" s="50" t="s">
        <v>1314</v>
      </c>
      <c r="E78" s="50" t="s">
        <v>1315</v>
      </c>
      <c r="F78" s="62" t="s">
        <v>2068</v>
      </c>
      <c r="G78" s="50" t="s">
        <v>1316</v>
      </c>
      <c r="H78" s="62" t="s">
        <v>2068</v>
      </c>
      <c r="I78" s="47" t="s">
        <v>61</v>
      </c>
      <c r="J78" s="62" t="s">
        <v>1399</v>
      </c>
      <c r="K78" s="50" t="s">
        <v>1438</v>
      </c>
      <c r="L78" s="53" t="s">
        <v>2072</v>
      </c>
      <c r="M78" s="19"/>
      <c r="N78" s="19"/>
      <c r="O78" s="19"/>
      <c r="P78" s="19"/>
      <c r="Q78" s="50">
        <v>1.0</v>
      </c>
      <c r="R78" s="59">
        <v>45800.0</v>
      </c>
      <c r="S78" s="61">
        <v>45990.0</v>
      </c>
      <c r="T78" s="59">
        <v>45803.0</v>
      </c>
      <c r="U78" s="19"/>
      <c r="V78" s="50" t="s">
        <v>1321</v>
      </c>
      <c r="W78" s="19"/>
      <c r="X78" s="50" t="s">
        <v>12</v>
      </c>
      <c r="Y78" s="50" t="s">
        <v>1322</v>
      </c>
      <c r="Z78" s="50">
        <v>3.040310761E9</v>
      </c>
      <c r="AA78" s="50" t="s">
        <v>21</v>
      </c>
      <c r="AB78" s="50" t="s">
        <v>1359</v>
      </c>
      <c r="AC78" s="50" t="s">
        <v>1538</v>
      </c>
      <c r="AD78" s="19"/>
      <c r="AE78" s="19"/>
      <c r="AF78" s="19"/>
      <c r="AG78" s="19"/>
    </row>
    <row r="79">
      <c r="A79" s="47">
        <f>COUNTIF('Divulgação'!$B:$B,B79)</f>
        <v>1</v>
      </c>
      <c r="B79" s="53" t="s">
        <v>483</v>
      </c>
      <c r="C79" s="19"/>
      <c r="D79" s="50" t="s">
        <v>1314</v>
      </c>
      <c r="E79" s="50" t="s">
        <v>1315</v>
      </c>
      <c r="F79" s="62" t="s">
        <v>2068</v>
      </c>
      <c r="G79" s="50" t="s">
        <v>1316</v>
      </c>
      <c r="H79" s="62" t="s">
        <v>2068</v>
      </c>
      <c r="I79" s="47" t="s">
        <v>61</v>
      </c>
      <c r="J79" s="62" t="s">
        <v>1399</v>
      </c>
      <c r="K79" s="50" t="s">
        <v>1438</v>
      </c>
      <c r="L79" s="53" t="s">
        <v>906</v>
      </c>
      <c r="M79" s="19"/>
      <c r="N79" s="19"/>
      <c r="O79" s="19"/>
      <c r="P79" s="19"/>
      <c r="Q79" s="50">
        <v>1.0</v>
      </c>
      <c r="R79" s="59">
        <v>45800.0</v>
      </c>
      <c r="S79" s="61">
        <v>45990.0</v>
      </c>
      <c r="T79" s="59">
        <v>45803.0</v>
      </c>
      <c r="U79" s="19"/>
      <c r="V79" s="50" t="s">
        <v>1321</v>
      </c>
      <c r="W79" s="19"/>
      <c r="X79" s="50" t="s">
        <v>12</v>
      </c>
      <c r="Y79" s="50" t="s">
        <v>1322</v>
      </c>
      <c r="Z79" s="50">
        <v>3.040313474E9</v>
      </c>
      <c r="AA79" s="50" t="s">
        <v>12</v>
      </c>
      <c r="AB79" s="50" t="s">
        <v>1322</v>
      </c>
      <c r="AC79" s="50" t="s">
        <v>1434</v>
      </c>
      <c r="AD79" s="19"/>
      <c r="AE79" s="19"/>
      <c r="AF79" s="19"/>
      <c r="AG79" s="19"/>
    </row>
    <row r="80">
      <c r="A80" s="47">
        <f>COUNTIF('Divulgação'!$B:$B,B80)</f>
        <v>1</v>
      </c>
      <c r="B80" s="53" t="s">
        <v>485</v>
      </c>
      <c r="C80" s="19"/>
      <c r="D80" s="50" t="s">
        <v>1314</v>
      </c>
      <c r="E80" s="50" t="s">
        <v>1315</v>
      </c>
      <c r="F80" s="62" t="s">
        <v>2068</v>
      </c>
      <c r="G80" s="50" t="s">
        <v>1316</v>
      </c>
      <c r="H80" s="62" t="s">
        <v>2068</v>
      </c>
      <c r="I80" s="47" t="s">
        <v>61</v>
      </c>
      <c r="J80" s="62" t="s">
        <v>1399</v>
      </c>
      <c r="K80" s="50" t="s">
        <v>1438</v>
      </c>
      <c r="L80" s="53" t="s">
        <v>391</v>
      </c>
      <c r="M80" s="19"/>
      <c r="N80" s="19"/>
      <c r="O80" s="19"/>
      <c r="P80" s="19"/>
      <c r="Q80" s="50">
        <v>1.0</v>
      </c>
      <c r="R80" s="59">
        <v>45800.0</v>
      </c>
      <c r="S80" s="61">
        <v>45990.0</v>
      </c>
      <c r="T80" s="59">
        <v>45803.0</v>
      </c>
      <c r="U80" s="19"/>
      <c r="V80" s="50" t="s">
        <v>1321</v>
      </c>
      <c r="W80" s="19"/>
      <c r="X80" s="50" t="s">
        <v>12</v>
      </c>
      <c r="Y80" s="50" t="s">
        <v>1322</v>
      </c>
      <c r="Z80" s="50">
        <v>3.040311452E9</v>
      </c>
      <c r="AA80" s="50" t="s">
        <v>22</v>
      </c>
      <c r="AB80" s="50" t="s">
        <v>1439</v>
      </c>
      <c r="AC80" s="50" t="s">
        <v>1440</v>
      </c>
      <c r="AD80" s="19"/>
      <c r="AE80" s="19"/>
      <c r="AF80" s="19"/>
      <c r="AG80" s="19"/>
    </row>
    <row r="81">
      <c r="A81" s="47">
        <f>COUNTIF('Divulgação'!$B:$B,B81)</f>
        <v>1</v>
      </c>
      <c r="B81" s="53" t="s">
        <v>487</v>
      </c>
      <c r="C81" s="19"/>
      <c r="D81" s="50" t="s">
        <v>1314</v>
      </c>
      <c r="E81" s="50" t="s">
        <v>1315</v>
      </c>
      <c r="F81" s="62" t="s">
        <v>2068</v>
      </c>
      <c r="G81" s="50" t="s">
        <v>1316</v>
      </c>
      <c r="H81" s="62" t="s">
        <v>2068</v>
      </c>
      <c r="I81" s="47" t="s">
        <v>61</v>
      </c>
      <c r="J81" s="62" t="s">
        <v>1399</v>
      </c>
      <c r="K81" s="50" t="s">
        <v>1438</v>
      </c>
      <c r="L81" s="53" t="s">
        <v>2073</v>
      </c>
      <c r="M81" s="19"/>
      <c r="N81" s="19"/>
      <c r="O81" s="19"/>
      <c r="P81" s="19"/>
      <c r="Q81" s="50">
        <v>1.0</v>
      </c>
      <c r="R81" s="59">
        <v>45800.0</v>
      </c>
      <c r="S81" s="61">
        <v>45990.0</v>
      </c>
      <c r="T81" s="59">
        <v>45803.0</v>
      </c>
      <c r="U81" s="19"/>
      <c r="V81" s="50" t="s">
        <v>1347</v>
      </c>
      <c r="W81" s="50">
        <v>6.85250007754E11</v>
      </c>
      <c r="X81" s="50" t="s">
        <v>12</v>
      </c>
      <c r="Y81" s="50" t="s">
        <v>1322</v>
      </c>
      <c r="Z81" s="50">
        <v>3.040313475E9</v>
      </c>
      <c r="AA81" s="50" t="s">
        <v>12</v>
      </c>
      <c r="AB81" s="50" t="s">
        <v>1322</v>
      </c>
      <c r="AC81" s="50" t="s">
        <v>1434</v>
      </c>
      <c r="AD81" s="19"/>
      <c r="AE81" s="19"/>
      <c r="AF81" s="19"/>
      <c r="AG81" s="19"/>
    </row>
    <row r="82">
      <c r="A82" s="47">
        <f>COUNTIF('Divulgação'!$B:$B,B82)</f>
        <v>1</v>
      </c>
      <c r="B82" s="53" t="s">
        <v>489</v>
      </c>
      <c r="C82" s="19"/>
      <c r="D82" s="50" t="s">
        <v>1314</v>
      </c>
      <c r="E82" s="50" t="s">
        <v>1315</v>
      </c>
      <c r="F82" s="62" t="s">
        <v>2074</v>
      </c>
      <c r="G82" s="50" t="s">
        <v>1316</v>
      </c>
      <c r="H82" s="62" t="s">
        <v>2074</v>
      </c>
      <c r="I82" s="47" t="s">
        <v>1978</v>
      </c>
      <c r="J82" s="50" t="s">
        <v>48</v>
      </c>
      <c r="K82" s="50" t="s">
        <v>1979</v>
      </c>
      <c r="L82" s="53" t="s">
        <v>2075</v>
      </c>
      <c r="M82" s="19"/>
      <c r="N82" s="19"/>
      <c r="O82" s="19"/>
      <c r="P82" s="19"/>
      <c r="Q82" s="50">
        <v>1.0</v>
      </c>
      <c r="R82" s="59">
        <v>45812.0</v>
      </c>
      <c r="S82" s="61">
        <v>45971.0</v>
      </c>
      <c r="T82" s="59">
        <v>45813.0</v>
      </c>
      <c r="U82" s="19"/>
      <c r="V82" s="50" t="s">
        <v>1321</v>
      </c>
      <c r="W82" s="19"/>
      <c r="X82" s="50" t="s">
        <v>12</v>
      </c>
      <c r="Y82" s="50" t="s">
        <v>1322</v>
      </c>
      <c r="Z82" s="50">
        <v>3.040312971E9</v>
      </c>
      <c r="AA82" s="50" t="s">
        <v>12</v>
      </c>
      <c r="AB82" s="50" t="s">
        <v>1322</v>
      </c>
      <c r="AC82" s="50" t="s">
        <v>1336</v>
      </c>
      <c r="AD82" s="19"/>
      <c r="AE82" s="19"/>
      <c r="AF82" s="19"/>
      <c r="AG82" s="19"/>
    </row>
    <row r="83">
      <c r="A83" s="47">
        <f>COUNTIF('Divulgação'!$B:$B,B83)</f>
        <v>1</v>
      </c>
      <c r="B83" s="53" t="s">
        <v>491</v>
      </c>
      <c r="C83" s="19"/>
      <c r="D83" s="50" t="s">
        <v>1314</v>
      </c>
      <c r="E83" s="50" t="s">
        <v>1315</v>
      </c>
      <c r="F83" s="62" t="s">
        <v>2074</v>
      </c>
      <c r="G83" s="50" t="s">
        <v>1316</v>
      </c>
      <c r="H83" s="62" t="s">
        <v>2074</v>
      </c>
      <c r="I83" s="47" t="s">
        <v>1421</v>
      </c>
      <c r="J83" s="62" t="s">
        <v>1318</v>
      </c>
      <c r="K83" s="50" t="s">
        <v>1422</v>
      </c>
      <c r="L83" s="53" t="s">
        <v>1441</v>
      </c>
      <c r="M83" s="19"/>
      <c r="N83" s="19"/>
      <c r="O83" s="19"/>
      <c r="P83" s="19"/>
      <c r="Q83" s="50">
        <v>1.0</v>
      </c>
      <c r="R83" s="59">
        <v>45812.0</v>
      </c>
      <c r="S83" s="59">
        <v>45818.0</v>
      </c>
      <c r="T83" s="59">
        <v>45813.0</v>
      </c>
      <c r="U83" s="19"/>
      <c r="V83" s="50" t="s">
        <v>1321</v>
      </c>
      <c r="W83" s="19"/>
      <c r="X83" s="50" t="s">
        <v>12</v>
      </c>
      <c r="Y83" s="50" t="s">
        <v>1322</v>
      </c>
      <c r="Z83" s="50">
        <v>3.040172638E9</v>
      </c>
      <c r="AA83" s="50" t="s">
        <v>1442</v>
      </c>
      <c r="AB83" s="50" t="s">
        <v>1443</v>
      </c>
      <c r="AC83" s="50" t="s">
        <v>1444</v>
      </c>
      <c r="AD83" s="19"/>
      <c r="AE83" s="19"/>
      <c r="AF83" s="19"/>
      <c r="AG83" s="19"/>
    </row>
    <row r="84">
      <c r="A84" s="47">
        <f>COUNTIF('Divulgação'!$B:$B,B84)</f>
        <v>1</v>
      </c>
      <c r="B84" s="53" t="s">
        <v>493</v>
      </c>
      <c r="C84" s="19"/>
      <c r="D84" s="50" t="s">
        <v>1314</v>
      </c>
      <c r="E84" s="50" t="s">
        <v>1315</v>
      </c>
      <c r="F84" s="62" t="s">
        <v>2074</v>
      </c>
      <c r="G84" s="50" t="s">
        <v>1316</v>
      </c>
      <c r="H84" s="62" t="s">
        <v>2074</v>
      </c>
      <c r="I84" s="47" t="s">
        <v>1421</v>
      </c>
      <c r="J84" s="62" t="s">
        <v>1318</v>
      </c>
      <c r="K84" s="50" t="s">
        <v>1422</v>
      </c>
      <c r="L84" s="53" t="s">
        <v>2076</v>
      </c>
      <c r="M84" s="19"/>
      <c r="N84" s="19"/>
      <c r="O84" s="19"/>
      <c r="P84" s="19"/>
      <c r="Q84" s="50">
        <v>1.0</v>
      </c>
      <c r="R84" s="59">
        <v>45812.0</v>
      </c>
      <c r="S84" s="59">
        <v>45818.0</v>
      </c>
      <c r="T84" s="59">
        <v>45813.0</v>
      </c>
      <c r="U84" s="19"/>
      <c r="V84" s="50" t="s">
        <v>1321</v>
      </c>
      <c r="W84" s="19"/>
      <c r="X84" s="50" t="s">
        <v>12</v>
      </c>
      <c r="Y84" s="50" t="s">
        <v>1322</v>
      </c>
      <c r="Z84" s="50">
        <v>3.040311483E9</v>
      </c>
      <c r="AA84" s="50" t="s">
        <v>17</v>
      </c>
      <c r="AB84" s="50" t="s">
        <v>1343</v>
      </c>
      <c r="AC84" s="50" t="s">
        <v>1344</v>
      </c>
      <c r="AD84" s="19"/>
      <c r="AE84" s="19"/>
      <c r="AF84" s="19"/>
      <c r="AG84" s="19"/>
    </row>
    <row r="85">
      <c r="A85" s="47">
        <f>COUNTIF('Divulgação'!$B:$B,B85)</f>
        <v>1</v>
      </c>
      <c r="B85" s="53" t="s">
        <v>495</v>
      </c>
      <c r="C85" s="19"/>
      <c r="D85" s="50" t="s">
        <v>1314</v>
      </c>
      <c r="E85" s="50" t="s">
        <v>1315</v>
      </c>
      <c r="F85" s="62" t="s">
        <v>2074</v>
      </c>
      <c r="G85" s="50" t="s">
        <v>1316</v>
      </c>
      <c r="H85" s="62" t="s">
        <v>2074</v>
      </c>
      <c r="I85" s="47" t="s">
        <v>109</v>
      </c>
      <c r="J85" s="62" t="s">
        <v>1341</v>
      </c>
      <c r="K85" s="50" t="s">
        <v>110</v>
      </c>
      <c r="L85" s="53" t="s">
        <v>1449</v>
      </c>
      <c r="M85" s="19"/>
      <c r="N85" s="19"/>
      <c r="O85" s="19"/>
      <c r="P85" s="19"/>
      <c r="Q85" s="50">
        <v>1.0</v>
      </c>
      <c r="R85" s="59">
        <v>45812.0</v>
      </c>
      <c r="S85" s="59">
        <v>45818.0</v>
      </c>
      <c r="T85" s="59">
        <v>45813.0</v>
      </c>
      <c r="U85" s="19"/>
      <c r="V85" s="50" t="s">
        <v>1347</v>
      </c>
      <c r="W85" s="50">
        <v>3.13250016763E11</v>
      </c>
      <c r="X85" s="50" t="s">
        <v>12</v>
      </c>
      <c r="Y85" s="50" t="s">
        <v>1322</v>
      </c>
      <c r="Z85" s="50">
        <v>3.040313472E9</v>
      </c>
      <c r="AA85" s="50" t="s">
        <v>12</v>
      </c>
      <c r="AB85" s="50" t="s">
        <v>1322</v>
      </c>
      <c r="AC85" s="50" t="s">
        <v>1369</v>
      </c>
      <c r="AD85" s="19"/>
      <c r="AE85" s="19"/>
      <c r="AF85" s="19"/>
      <c r="AG85" s="19"/>
    </row>
    <row r="86">
      <c r="A86" s="47">
        <f>COUNTIF('Divulgação'!$B:$B,B86)</f>
        <v>1</v>
      </c>
      <c r="B86" s="53" t="s">
        <v>497</v>
      </c>
      <c r="C86" s="19"/>
      <c r="D86" s="50" t="s">
        <v>1314</v>
      </c>
      <c r="E86" s="50" t="s">
        <v>1315</v>
      </c>
      <c r="F86" s="62" t="s">
        <v>2074</v>
      </c>
      <c r="G86" s="50" t="s">
        <v>1316</v>
      </c>
      <c r="H86" s="62" t="s">
        <v>2074</v>
      </c>
      <c r="I86" s="47" t="s">
        <v>1445</v>
      </c>
      <c r="J86" s="50" t="s">
        <v>48</v>
      </c>
      <c r="K86" s="50" t="s">
        <v>1446</v>
      </c>
      <c r="L86" s="53" t="s">
        <v>912</v>
      </c>
      <c r="M86" s="19"/>
      <c r="N86" s="19"/>
      <c r="O86" s="19"/>
      <c r="P86" s="19"/>
      <c r="Q86" s="50">
        <v>1.0</v>
      </c>
      <c r="R86" s="59">
        <v>45812.0</v>
      </c>
      <c r="S86" s="61">
        <v>45971.0</v>
      </c>
      <c r="T86" s="59">
        <v>45813.0</v>
      </c>
      <c r="U86" s="19"/>
      <c r="V86" s="50" t="s">
        <v>1321</v>
      </c>
      <c r="W86" s="19"/>
      <c r="X86" s="50" t="s">
        <v>12</v>
      </c>
      <c r="Y86" s="50" t="s">
        <v>1322</v>
      </c>
      <c r="Z86" s="50">
        <v>3.040313068E9</v>
      </c>
      <c r="AA86" s="50" t="s">
        <v>13</v>
      </c>
      <c r="AB86" s="50" t="s">
        <v>1447</v>
      </c>
      <c r="AC86" s="50" t="s">
        <v>2040</v>
      </c>
      <c r="AD86" s="19"/>
      <c r="AE86" s="19"/>
      <c r="AF86" s="19"/>
      <c r="AG86" s="19"/>
    </row>
    <row r="87">
      <c r="A87" s="47">
        <f>COUNTIF('Divulgação'!$B:$B,B87)</f>
        <v>1</v>
      </c>
      <c r="B87" s="53" t="s">
        <v>499</v>
      </c>
      <c r="C87" s="19"/>
      <c r="D87" s="50" t="s">
        <v>1314</v>
      </c>
      <c r="E87" s="50" t="s">
        <v>1315</v>
      </c>
      <c r="F87" s="62" t="s">
        <v>2074</v>
      </c>
      <c r="G87" s="50" t="s">
        <v>1316</v>
      </c>
      <c r="H87" s="62" t="s">
        <v>2074</v>
      </c>
      <c r="I87" s="47" t="s">
        <v>109</v>
      </c>
      <c r="J87" s="62" t="s">
        <v>1341</v>
      </c>
      <c r="K87" s="50" t="s">
        <v>110</v>
      </c>
      <c r="L87" s="47" t="s">
        <v>1451</v>
      </c>
      <c r="M87" s="19"/>
      <c r="N87" s="19"/>
      <c r="O87" s="19"/>
      <c r="P87" s="19"/>
      <c r="Q87" s="50">
        <v>1.0</v>
      </c>
      <c r="R87" s="59">
        <v>45812.0</v>
      </c>
      <c r="S87" s="59">
        <v>45818.0</v>
      </c>
      <c r="T87" s="59">
        <v>45813.0</v>
      </c>
      <c r="U87" s="19"/>
      <c r="V87" s="50" t="s">
        <v>1347</v>
      </c>
      <c r="W87" s="50">
        <v>3.0425007378E11</v>
      </c>
      <c r="X87" s="50" t="s">
        <v>12</v>
      </c>
      <c r="Y87" s="50" t="s">
        <v>1322</v>
      </c>
      <c r="Z87" s="50">
        <v>3.040309286E9</v>
      </c>
      <c r="AA87" s="50" t="s">
        <v>16</v>
      </c>
      <c r="AB87" s="50" t="s">
        <v>1331</v>
      </c>
      <c r="AC87" s="50" t="s">
        <v>1452</v>
      </c>
      <c r="AD87" s="19"/>
      <c r="AE87" s="19"/>
      <c r="AF87" s="19"/>
      <c r="AG87" s="19"/>
    </row>
    <row r="88">
      <c r="A88" s="47">
        <f>COUNTIF('Divulgação'!$B:$B,B88)</f>
        <v>1</v>
      </c>
      <c r="B88" s="53" t="s">
        <v>501</v>
      </c>
      <c r="C88" s="19"/>
      <c r="D88" s="50" t="s">
        <v>1314</v>
      </c>
      <c r="E88" s="50" t="s">
        <v>1315</v>
      </c>
      <c r="F88" s="62" t="s">
        <v>2074</v>
      </c>
      <c r="G88" s="50" t="s">
        <v>1316</v>
      </c>
      <c r="H88" s="62" t="s">
        <v>2074</v>
      </c>
      <c r="I88" s="47" t="s">
        <v>109</v>
      </c>
      <c r="J88" s="62" t="s">
        <v>1341</v>
      </c>
      <c r="K88" s="50" t="s">
        <v>110</v>
      </c>
      <c r="L88" s="53" t="s">
        <v>722</v>
      </c>
      <c r="M88" s="19"/>
      <c r="N88" s="19"/>
      <c r="O88" s="19"/>
      <c r="P88" s="19"/>
      <c r="Q88" s="50">
        <v>1.0</v>
      </c>
      <c r="R88" s="59">
        <v>45812.0</v>
      </c>
      <c r="S88" s="59">
        <v>45818.0</v>
      </c>
      <c r="T88" s="59">
        <v>45813.0</v>
      </c>
      <c r="U88" s="19"/>
      <c r="V88" s="50" t="s">
        <v>1347</v>
      </c>
      <c r="W88" s="50">
        <v>6.85250008466E11</v>
      </c>
      <c r="X88" s="50" t="s">
        <v>12</v>
      </c>
      <c r="Y88" s="50" t="s">
        <v>1322</v>
      </c>
      <c r="Z88" s="50">
        <v>3.040309276E9</v>
      </c>
      <c r="AA88" s="50" t="s">
        <v>16</v>
      </c>
      <c r="AB88" s="50" t="s">
        <v>1331</v>
      </c>
      <c r="AC88" s="50" t="s">
        <v>1450</v>
      </c>
      <c r="AD88" s="19"/>
      <c r="AE88" s="19"/>
      <c r="AF88" s="19"/>
      <c r="AG88" s="19"/>
    </row>
    <row r="89">
      <c r="A89" s="47">
        <f>COUNTIF('Divulgação'!$B:$B,B89)</f>
        <v>1</v>
      </c>
      <c r="B89" s="53" t="s">
        <v>503</v>
      </c>
      <c r="C89" s="19"/>
      <c r="D89" s="50" t="s">
        <v>1314</v>
      </c>
      <c r="E89" s="50" t="s">
        <v>1315</v>
      </c>
      <c r="F89" s="62" t="s">
        <v>2074</v>
      </c>
      <c r="G89" s="50" t="s">
        <v>1316</v>
      </c>
      <c r="H89" s="62" t="s">
        <v>2074</v>
      </c>
      <c r="I89" s="47" t="s">
        <v>2010</v>
      </c>
      <c r="J89" s="62" t="s">
        <v>2011</v>
      </c>
      <c r="K89" s="50" t="s">
        <v>2012</v>
      </c>
      <c r="L89" s="53" t="s">
        <v>2013</v>
      </c>
      <c r="M89" s="19"/>
      <c r="N89" s="19"/>
      <c r="O89" s="19"/>
      <c r="P89" s="19"/>
      <c r="Q89" s="50">
        <v>1.0</v>
      </c>
      <c r="R89" s="59">
        <v>45812.0</v>
      </c>
      <c r="S89" s="61">
        <v>45971.0</v>
      </c>
      <c r="T89" s="59">
        <v>45813.0</v>
      </c>
      <c r="U89" s="19"/>
      <c r="V89" s="50" t="s">
        <v>1321</v>
      </c>
      <c r="W89" s="19"/>
      <c r="X89" s="50" t="s">
        <v>12</v>
      </c>
      <c r="Y89" s="50" t="s">
        <v>1322</v>
      </c>
      <c r="Z89" s="50">
        <v>3.040312946E9</v>
      </c>
      <c r="AA89" s="50" t="s">
        <v>12</v>
      </c>
      <c r="AB89" s="50" t="s">
        <v>1385</v>
      </c>
      <c r="AC89" s="50" t="s">
        <v>2077</v>
      </c>
      <c r="AD89" s="19"/>
      <c r="AE89" s="19"/>
      <c r="AF89" s="19"/>
      <c r="AG89" s="19"/>
    </row>
    <row r="90">
      <c r="A90" s="47">
        <f>COUNTIF('Divulgação'!$B:$B,B90)</f>
        <v>1</v>
      </c>
      <c r="B90" s="53" t="s">
        <v>505</v>
      </c>
      <c r="C90" s="19"/>
      <c r="D90" s="50" t="s">
        <v>1314</v>
      </c>
      <c r="E90" s="50" t="s">
        <v>1315</v>
      </c>
      <c r="F90" s="62" t="s">
        <v>2074</v>
      </c>
      <c r="G90" s="50" t="s">
        <v>1316</v>
      </c>
      <c r="H90" s="62" t="s">
        <v>2074</v>
      </c>
      <c r="I90" s="47" t="s">
        <v>2010</v>
      </c>
      <c r="J90" s="62" t="s">
        <v>2011</v>
      </c>
      <c r="K90" s="50" t="s">
        <v>2012</v>
      </c>
      <c r="L90" s="53" t="s">
        <v>2016</v>
      </c>
      <c r="M90" s="19"/>
      <c r="N90" s="19"/>
      <c r="O90" s="19"/>
      <c r="P90" s="19"/>
      <c r="Q90" s="50">
        <v>1.0</v>
      </c>
      <c r="R90" s="59">
        <v>45812.0</v>
      </c>
      <c r="S90" s="61">
        <v>45971.0</v>
      </c>
      <c r="T90" s="59">
        <v>45813.0</v>
      </c>
      <c r="U90" s="19"/>
      <c r="V90" s="50" t="s">
        <v>1321</v>
      </c>
      <c r="W90" s="19"/>
      <c r="X90" s="50" t="s">
        <v>12</v>
      </c>
      <c r="Y90" s="50" t="s">
        <v>1322</v>
      </c>
      <c r="Z90" s="50">
        <v>3.040313116E9</v>
      </c>
      <c r="AA90" s="50" t="s">
        <v>20</v>
      </c>
      <c r="AB90" s="50" t="s">
        <v>1649</v>
      </c>
      <c r="AC90" s="50" t="s">
        <v>2078</v>
      </c>
      <c r="AD90" s="19"/>
      <c r="AE90" s="19"/>
      <c r="AF90" s="19"/>
      <c r="AG90" s="19"/>
    </row>
    <row r="91">
      <c r="A91" s="47">
        <f>COUNTIF('Divulgação'!$B:$B,B91)</f>
        <v>1</v>
      </c>
      <c r="B91" s="53" t="s">
        <v>507</v>
      </c>
      <c r="C91" s="19"/>
      <c r="D91" s="50" t="s">
        <v>1314</v>
      </c>
      <c r="E91" s="50" t="s">
        <v>1315</v>
      </c>
      <c r="F91" s="62" t="s">
        <v>2079</v>
      </c>
      <c r="G91" s="50" t="s">
        <v>1316</v>
      </c>
      <c r="H91" s="62" t="s">
        <v>2079</v>
      </c>
      <c r="I91" s="47" t="s">
        <v>1453</v>
      </c>
      <c r="J91" s="50" t="s">
        <v>1454</v>
      </c>
      <c r="K91" s="50" t="s">
        <v>1455</v>
      </c>
      <c r="L91" s="53" t="s">
        <v>1456</v>
      </c>
      <c r="M91" s="19"/>
      <c r="N91" s="19"/>
      <c r="O91" s="19"/>
      <c r="P91" s="19"/>
      <c r="Q91" s="50">
        <v>1.0</v>
      </c>
      <c r="R91" s="59">
        <v>45825.0</v>
      </c>
      <c r="S91" s="61">
        <v>45984.0</v>
      </c>
      <c r="T91" s="59">
        <v>45831.0</v>
      </c>
      <c r="U91" s="19"/>
      <c r="V91" s="50" t="s">
        <v>1321</v>
      </c>
      <c r="W91" s="19"/>
      <c r="X91" s="50" t="s">
        <v>12</v>
      </c>
      <c r="Y91" s="50" t="s">
        <v>1322</v>
      </c>
      <c r="Z91" s="50">
        <v>3.040313462E9</v>
      </c>
      <c r="AA91" s="50" t="s">
        <v>12</v>
      </c>
      <c r="AB91" s="50" t="s">
        <v>1322</v>
      </c>
      <c r="AC91" s="50" t="s">
        <v>1369</v>
      </c>
      <c r="AD91" s="19"/>
      <c r="AE91" s="19"/>
      <c r="AF91" s="19"/>
      <c r="AG91" s="19"/>
    </row>
    <row r="92">
      <c r="A92" s="47">
        <f>COUNTIF('Divulgação'!$B:$B,B92)</f>
        <v>1</v>
      </c>
      <c r="B92" s="53" t="s">
        <v>509</v>
      </c>
      <c r="C92" s="19"/>
      <c r="D92" s="50" t="s">
        <v>1314</v>
      </c>
      <c r="E92" s="50" t="s">
        <v>1315</v>
      </c>
      <c r="F92" s="62" t="s">
        <v>2079</v>
      </c>
      <c r="G92" s="50" t="s">
        <v>1316</v>
      </c>
      <c r="H92" s="62" t="s">
        <v>2079</v>
      </c>
      <c r="I92" s="47" t="s">
        <v>2080</v>
      </c>
      <c r="J92" s="50" t="s">
        <v>48</v>
      </c>
      <c r="K92" s="50" t="s">
        <v>2081</v>
      </c>
      <c r="L92" s="53" t="s">
        <v>2082</v>
      </c>
      <c r="M92" s="19"/>
      <c r="N92" s="19"/>
      <c r="O92" s="19"/>
      <c r="P92" s="19"/>
      <c r="Q92" s="50">
        <v>1.0</v>
      </c>
      <c r="R92" s="59">
        <v>45825.0</v>
      </c>
      <c r="S92" s="59">
        <v>45831.0</v>
      </c>
      <c r="T92" s="59">
        <v>45831.0</v>
      </c>
      <c r="U92" s="19"/>
      <c r="V92" s="50" t="s">
        <v>1347</v>
      </c>
      <c r="W92" s="50">
        <v>3.96250015662E11</v>
      </c>
      <c r="X92" s="50" t="s">
        <v>12</v>
      </c>
      <c r="Y92" s="50" t="s">
        <v>1322</v>
      </c>
      <c r="Z92" s="50">
        <v>3.040312973E9</v>
      </c>
      <c r="AA92" s="50" t="s">
        <v>12</v>
      </c>
      <c r="AB92" s="50" t="s">
        <v>1322</v>
      </c>
      <c r="AC92" s="50" t="s">
        <v>1336</v>
      </c>
      <c r="AD92" s="19"/>
      <c r="AE92" s="19"/>
      <c r="AF92" s="19"/>
      <c r="AG92" s="19"/>
    </row>
    <row r="93">
      <c r="A93" s="47">
        <f>COUNTIF('Divulgação'!$B:$B,B93)</f>
        <v>1</v>
      </c>
      <c r="B93" s="53" t="s">
        <v>511</v>
      </c>
      <c r="C93" s="19"/>
      <c r="D93" s="50" t="s">
        <v>1314</v>
      </c>
      <c r="E93" s="50" t="s">
        <v>1315</v>
      </c>
      <c r="F93" s="62" t="s">
        <v>2079</v>
      </c>
      <c r="G93" s="50" t="s">
        <v>1316</v>
      </c>
      <c r="H93" s="62" t="s">
        <v>2079</v>
      </c>
      <c r="I93" s="47" t="s">
        <v>2083</v>
      </c>
      <c r="J93" s="62" t="s">
        <v>2084</v>
      </c>
      <c r="K93" s="50" t="s">
        <v>2085</v>
      </c>
      <c r="L93" s="48"/>
      <c r="M93" s="19"/>
      <c r="N93" s="19"/>
      <c r="O93" s="19"/>
      <c r="P93" s="19"/>
      <c r="Q93" s="50">
        <v>1.0</v>
      </c>
      <c r="R93" s="59">
        <v>45825.0</v>
      </c>
      <c r="S93" s="59">
        <v>45831.0</v>
      </c>
      <c r="T93" s="59">
        <v>45831.0</v>
      </c>
      <c r="U93" s="19"/>
      <c r="V93" s="50" t="s">
        <v>1347</v>
      </c>
      <c r="W93" s="50">
        <v>3.96250015643E11</v>
      </c>
      <c r="X93" s="50" t="s">
        <v>12</v>
      </c>
      <c r="Y93" s="50" t="s">
        <v>1322</v>
      </c>
      <c r="Z93" s="50">
        <v>3.040101182E9</v>
      </c>
      <c r="AA93" s="50" t="s">
        <v>2086</v>
      </c>
      <c r="AB93" s="50" t="s">
        <v>2087</v>
      </c>
      <c r="AC93" s="50" t="s">
        <v>1574</v>
      </c>
      <c r="AD93" s="19"/>
      <c r="AE93" s="19"/>
      <c r="AF93" s="19"/>
      <c r="AG93" s="19"/>
    </row>
    <row r="94">
      <c r="A94" s="47">
        <f>COUNTIF('Divulgação'!$B:$B,B94)</f>
        <v>1</v>
      </c>
      <c r="B94" s="53" t="s">
        <v>513</v>
      </c>
      <c r="C94" s="19"/>
      <c r="D94" s="50" t="s">
        <v>1314</v>
      </c>
      <c r="E94" s="50" t="s">
        <v>1315</v>
      </c>
      <c r="F94" s="62" t="s">
        <v>2079</v>
      </c>
      <c r="G94" s="50" t="s">
        <v>1316</v>
      </c>
      <c r="H94" s="62" t="s">
        <v>2079</v>
      </c>
      <c r="I94" s="47" t="s">
        <v>1460</v>
      </c>
      <c r="J94" s="62" t="s">
        <v>1345</v>
      </c>
      <c r="K94" s="50" t="s">
        <v>1461</v>
      </c>
      <c r="L94" s="47" t="s">
        <v>2088</v>
      </c>
      <c r="M94" s="19"/>
      <c r="N94" s="19"/>
      <c r="O94" s="19"/>
      <c r="P94" s="19"/>
      <c r="Q94" s="50">
        <v>1.0</v>
      </c>
      <c r="R94" s="59">
        <v>45825.0</v>
      </c>
      <c r="S94" s="59">
        <v>45831.0</v>
      </c>
      <c r="T94" s="59">
        <v>45831.0</v>
      </c>
      <c r="U94" s="19"/>
      <c r="V94" s="50" t="s">
        <v>1321</v>
      </c>
      <c r="W94" s="19"/>
      <c r="X94" s="50" t="s">
        <v>12</v>
      </c>
      <c r="Y94" s="50" t="s">
        <v>1322</v>
      </c>
      <c r="Z94" s="50">
        <v>3.040257642E9</v>
      </c>
      <c r="AA94" s="50" t="s">
        <v>12</v>
      </c>
      <c r="AB94" s="50" t="s">
        <v>1392</v>
      </c>
      <c r="AC94" s="50" t="s">
        <v>1835</v>
      </c>
      <c r="AD94" s="19"/>
      <c r="AE94" s="19"/>
      <c r="AF94" s="19"/>
      <c r="AG94" s="19"/>
    </row>
    <row r="95">
      <c r="A95" s="47">
        <f>COUNTIF('Divulgação'!$B:$B,B95)</f>
        <v>1</v>
      </c>
      <c r="B95" s="53" t="s">
        <v>515</v>
      </c>
      <c r="C95" s="19"/>
      <c r="D95" s="50" t="s">
        <v>1314</v>
      </c>
      <c r="E95" s="50" t="s">
        <v>1315</v>
      </c>
      <c r="F95" s="62" t="s">
        <v>2079</v>
      </c>
      <c r="G95" s="50" t="s">
        <v>1316</v>
      </c>
      <c r="H95" s="62" t="s">
        <v>2079</v>
      </c>
      <c r="I95" s="47" t="s">
        <v>1460</v>
      </c>
      <c r="J95" s="62" t="s">
        <v>1345</v>
      </c>
      <c r="K95" s="50" t="s">
        <v>1461</v>
      </c>
      <c r="L95" s="47" t="s">
        <v>1462</v>
      </c>
      <c r="M95" s="19"/>
      <c r="N95" s="19"/>
      <c r="O95" s="19"/>
      <c r="P95" s="19"/>
      <c r="Q95" s="50">
        <v>1.0</v>
      </c>
      <c r="R95" s="59">
        <v>45825.0</v>
      </c>
      <c r="S95" s="59">
        <v>45831.0</v>
      </c>
      <c r="T95" s="59">
        <v>45831.0</v>
      </c>
      <c r="U95" s="19"/>
      <c r="V95" s="50" t="s">
        <v>1347</v>
      </c>
      <c r="W95" s="50">
        <v>3.04250073784E11</v>
      </c>
      <c r="X95" s="50" t="s">
        <v>12</v>
      </c>
      <c r="Y95" s="50" t="s">
        <v>1322</v>
      </c>
      <c r="Z95" s="50">
        <v>3.040265315E9</v>
      </c>
      <c r="AA95" s="50" t="s">
        <v>1463</v>
      </c>
      <c r="AB95" s="50" t="s">
        <v>1464</v>
      </c>
      <c r="AC95" s="50" t="s">
        <v>1465</v>
      </c>
      <c r="AD95" s="19"/>
      <c r="AE95" s="19"/>
      <c r="AF95" s="19"/>
      <c r="AG95" s="19"/>
    </row>
    <row r="96">
      <c r="A96" s="47">
        <f>COUNTIF('Divulgação'!$B:$B,B96)</f>
        <v>1</v>
      </c>
      <c r="B96" s="53" t="s">
        <v>517</v>
      </c>
      <c r="C96" s="19"/>
      <c r="D96" s="50" t="s">
        <v>1314</v>
      </c>
      <c r="E96" s="50" t="s">
        <v>1315</v>
      </c>
      <c r="F96" s="62" t="s">
        <v>2079</v>
      </c>
      <c r="G96" s="50" t="s">
        <v>1316</v>
      </c>
      <c r="H96" s="62" t="s">
        <v>2079</v>
      </c>
      <c r="I96" s="47" t="s">
        <v>1460</v>
      </c>
      <c r="J96" s="62" t="s">
        <v>1345</v>
      </c>
      <c r="K96" s="50" t="s">
        <v>1461</v>
      </c>
      <c r="L96" s="47" t="s">
        <v>2089</v>
      </c>
      <c r="M96" s="19"/>
      <c r="N96" s="19"/>
      <c r="O96" s="19"/>
      <c r="P96" s="19"/>
      <c r="Q96" s="50">
        <v>1.0</v>
      </c>
      <c r="R96" s="59">
        <v>45825.0</v>
      </c>
      <c r="S96" s="59">
        <v>45831.0</v>
      </c>
      <c r="T96" s="59">
        <v>45831.0</v>
      </c>
      <c r="U96" s="19"/>
      <c r="V96" s="50" t="s">
        <v>1321</v>
      </c>
      <c r="W96" s="19"/>
      <c r="X96" s="50" t="s">
        <v>12</v>
      </c>
      <c r="Y96" s="50" t="s">
        <v>1322</v>
      </c>
      <c r="Z96" s="50">
        <v>3.040313122E9</v>
      </c>
      <c r="AA96" s="50" t="s">
        <v>19</v>
      </c>
      <c r="AB96" s="50" t="s">
        <v>1827</v>
      </c>
      <c r="AC96" s="50" t="s">
        <v>2090</v>
      </c>
      <c r="AD96" s="19"/>
      <c r="AE96" s="19"/>
      <c r="AF96" s="19"/>
      <c r="AG96" s="19"/>
    </row>
    <row r="97">
      <c r="A97" s="47">
        <f>COUNTIF('Divulgação'!$B:$B,B97)</f>
        <v>1</v>
      </c>
      <c r="B97" s="53" t="s">
        <v>519</v>
      </c>
      <c r="C97" s="19"/>
      <c r="D97" s="50" t="s">
        <v>1314</v>
      </c>
      <c r="E97" s="50" t="s">
        <v>1315</v>
      </c>
      <c r="F97" s="62" t="s">
        <v>2079</v>
      </c>
      <c r="G97" s="50" t="s">
        <v>1316</v>
      </c>
      <c r="H97" s="62" t="s">
        <v>2079</v>
      </c>
      <c r="I97" s="47" t="s">
        <v>109</v>
      </c>
      <c r="J97" s="62" t="s">
        <v>1341</v>
      </c>
      <c r="K97" s="50" t="s">
        <v>110</v>
      </c>
      <c r="L97" s="53" t="s">
        <v>1457</v>
      </c>
      <c r="M97" s="19"/>
      <c r="N97" s="19"/>
      <c r="O97" s="19"/>
      <c r="P97" s="19"/>
      <c r="Q97" s="50">
        <v>1.0</v>
      </c>
      <c r="R97" s="59">
        <v>45825.0</v>
      </c>
      <c r="S97" s="59">
        <v>45831.0</v>
      </c>
      <c r="T97" s="59">
        <v>45831.0</v>
      </c>
      <c r="U97" s="19"/>
      <c r="V97" s="50" t="s">
        <v>1347</v>
      </c>
      <c r="W97" s="50">
        <v>3.13250016762E11</v>
      </c>
      <c r="X97" s="50" t="s">
        <v>12</v>
      </c>
      <c r="Y97" s="50" t="s">
        <v>1322</v>
      </c>
      <c r="Z97" s="50">
        <v>3.040314952E9</v>
      </c>
      <c r="AA97" s="50" t="s">
        <v>17</v>
      </c>
      <c r="AB97" s="50" t="s">
        <v>1458</v>
      </c>
      <c r="AC97" s="50" t="s">
        <v>1459</v>
      </c>
      <c r="AD97" s="19"/>
      <c r="AE97" s="19"/>
      <c r="AF97" s="19"/>
      <c r="AG97" s="19"/>
    </row>
    <row r="98">
      <c r="A98" s="47">
        <f>COUNTIF('Divulgação'!$B:$B,B98)</f>
        <v>1</v>
      </c>
      <c r="B98" s="53" t="s">
        <v>521</v>
      </c>
      <c r="C98" s="19"/>
      <c r="D98" s="50" t="s">
        <v>1314</v>
      </c>
      <c r="E98" s="50" t="s">
        <v>1315</v>
      </c>
      <c r="F98" s="62" t="s">
        <v>2091</v>
      </c>
      <c r="G98" s="50" t="s">
        <v>1316</v>
      </c>
      <c r="H98" s="62" t="s">
        <v>2091</v>
      </c>
      <c r="I98" s="47" t="s">
        <v>1466</v>
      </c>
      <c r="J98" s="62" t="s">
        <v>1467</v>
      </c>
      <c r="K98" s="50" t="s">
        <v>1468</v>
      </c>
      <c r="L98" s="53" t="s">
        <v>1469</v>
      </c>
      <c r="M98" s="19"/>
      <c r="N98" s="19"/>
      <c r="O98" s="19"/>
      <c r="P98" s="19"/>
      <c r="Q98" s="50">
        <v>1.0</v>
      </c>
      <c r="R98" s="59">
        <v>45838.0</v>
      </c>
      <c r="S98" s="59">
        <v>45965.0</v>
      </c>
      <c r="T98" s="59">
        <v>45840.0</v>
      </c>
      <c r="U98" s="19"/>
      <c r="V98" s="50" t="s">
        <v>1347</v>
      </c>
      <c r="W98" s="50">
        <v>3.04250073783E11</v>
      </c>
      <c r="X98" s="50" t="s">
        <v>12</v>
      </c>
      <c r="Y98" s="50" t="s">
        <v>1322</v>
      </c>
      <c r="Z98" s="50">
        <v>3.040308014E9</v>
      </c>
      <c r="AA98" s="50" t="s">
        <v>14</v>
      </c>
      <c r="AB98" s="50" t="s">
        <v>1470</v>
      </c>
      <c r="AC98" s="50" t="s">
        <v>1471</v>
      </c>
      <c r="AD98" s="19"/>
      <c r="AE98" s="19"/>
      <c r="AF98" s="19"/>
      <c r="AG98" s="19"/>
    </row>
    <row r="99">
      <c r="A99" s="47">
        <f>COUNTIF('Divulgação'!$B:$B,B99)</f>
        <v>1</v>
      </c>
      <c r="B99" s="53" t="s">
        <v>523</v>
      </c>
      <c r="C99" s="19"/>
      <c r="D99" s="50" t="s">
        <v>1314</v>
      </c>
      <c r="E99" s="50" t="s">
        <v>1315</v>
      </c>
      <c r="F99" s="62" t="s">
        <v>2091</v>
      </c>
      <c r="G99" s="50" t="s">
        <v>1316</v>
      </c>
      <c r="H99" s="62" t="s">
        <v>2091</v>
      </c>
      <c r="I99" s="47" t="s">
        <v>115</v>
      </c>
      <c r="J99" s="62" t="s">
        <v>1318</v>
      </c>
      <c r="K99" s="50" t="s">
        <v>1390</v>
      </c>
      <c r="L99" s="53" t="s">
        <v>1472</v>
      </c>
      <c r="M99" s="19"/>
      <c r="N99" s="19"/>
      <c r="O99" s="19"/>
      <c r="P99" s="19"/>
      <c r="Q99" s="50">
        <v>1.0</v>
      </c>
      <c r="R99" s="59">
        <v>45838.0</v>
      </c>
      <c r="S99" s="59">
        <v>45842.0</v>
      </c>
      <c r="T99" s="59">
        <v>45840.0</v>
      </c>
      <c r="U99" s="19"/>
      <c r="V99" s="50" t="s">
        <v>1321</v>
      </c>
      <c r="W99" s="19"/>
      <c r="X99" s="50" t="s">
        <v>12</v>
      </c>
      <c r="Y99" s="50" t="s">
        <v>1322</v>
      </c>
      <c r="Z99" s="50">
        <v>3.040233408E9</v>
      </c>
      <c r="AA99" s="50" t="s">
        <v>1376</v>
      </c>
      <c r="AB99" s="50" t="s">
        <v>1380</v>
      </c>
      <c r="AC99" s="50" t="s">
        <v>1473</v>
      </c>
      <c r="AD99" s="19"/>
      <c r="AE99" s="19"/>
      <c r="AF99" s="19"/>
      <c r="AG99" s="19"/>
    </row>
    <row r="100">
      <c r="A100" s="47">
        <f>COUNTIF('Divulgação'!$B:$B,B100)</f>
        <v>1</v>
      </c>
      <c r="B100" s="53" t="s">
        <v>525</v>
      </c>
      <c r="C100" s="19"/>
      <c r="D100" s="50" t="s">
        <v>1314</v>
      </c>
      <c r="E100" s="50" t="s">
        <v>1315</v>
      </c>
      <c r="F100" s="62" t="s">
        <v>2091</v>
      </c>
      <c r="G100" s="50" t="s">
        <v>1316</v>
      </c>
      <c r="H100" s="62" t="s">
        <v>2091</v>
      </c>
      <c r="I100" s="47" t="s">
        <v>27</v>
      </c>
      <c r="J100" s="62" t="s">
        <v>1484</v>
      </c>
      <c r="K100" s="50" t="s">
        <v>2092</v>
      </c>
      <c r="L100" s="53" t="s">
        <v>2093</v>
      </c>
      <c r="M100" s="19"/>
      <c r="N100" s="19"/>
      <c r="O100" s="19"/>
      <c r="P100" s="19"/>
      <c r="Q100" s="50">
        <v>1.0</v>
      </c>
      <c r="R100" s="59">
        <v>45838.0</v>
      </c>
      <c r="S100" s="59">
        <v>45840.0</v>
      </c>
      <c r="T100" s="59">
        <v>45840.0</v>
      </c>
      <c r="U100" s="19"/>
      <c r="V100" s="50" t="s">
        <v>1321</v>
      </c>
      <c r="W100" s="19"/>
      <c r="X100" s="50" t="s">
        <v>12</v>
      </c>
      <c r="Y100" s="50" t="s">
        <v>1322</v>
      </c>
      <c r="Z100" s="50">
        <v>3.04024931E9</v>
      </c>
      <c r="AA100" s="50" t="s">
        <v>1500</v>
      </c>
      <c r="AB100" s="50" t="s">
        <v>1537</v>
      </c>
      <c r="AC100" s="50" t="s">
        <v>1369</v>
      </c>
      <c r="AD100" s="19"/>
      <c r="AE100" s="19"/>
      <c r="AF100" s="19"/>
      <c r="AG100" s="19"/>
    </row>
    <row r="101">
      <c r="A101" s="47">
        <f>COUNTIF('Divulgação'!$B:$B,B101)</f>
        <v>1</v>
      </c>
      <c r="B101" s="53" t="s">
        <v>527</v>
      </c>
      <c r="C101" s="19"/>
      <c r="D101" s="50" t="s">
        <v>1314</v>
      </c>
      <c r="E101" s="50" t="s">
        <v>1315</v>
      </c>
      <c r="F101" s="62" t="s">
        <v>2091</v>
      </c>
      <c r="G101" s="50" t="s">
        <v>1316</v>
      </c>
      <c r="H101" s="62" t="s">
        <v>2091</v>
      </c>
      <c r="I101" s="47" t="s">
        <v>1698</v>
      </c>
      <c r="J101" s="62" t="s">
        <v>1699</v>
      </c>
      <c r="K101" s="50" t="s">
        <v>1700</v>
      </c>
      <c r="L101" s="47" t="s">
        <v>2094</v>
      </c>
      <c r="M101" s="19"/>
      <c r="N101" s="19"/>
      <c r="O101" s="19"/>
      <c r="P101" s="19"/>
      <c r="Q101" s="50">
        <v>1.0</v>
      </c>
      <c r="R101" s="59">
        <v>45838.0</v>
      </c>
      <c r="S101" s="59">
        <v>45842.0</v>
      </c>
      <c r="T101" s="59">
        <v>45840.0</v>
      </c>
      <c r="U101" s="19"/>
      <c r="V101" s="50" t="s">
        <v>1321</v>
      </c>
      <c r="W101" s="19"/>
      <c r="X101" s="50" t="s">
        <v>12</v>
      </c>
      <c r="Y101" s="50" t="s">
        <v>1322</v>
      </c>
      <c r="Z101" s="50">
        <v>3.040276452E9</v>
      </c>
      <c r="AA101" s="50" t="s">
        <v>12</v>
      </c>
      <c r="AB101" s="50" t="s">
        <v>1322</v>
      </c>
      <c r="AC101" s="50" t="s">
        <v>1369</v>
      </c>
      <c r="AD101" s="19"/>
      <c r="AE101" s="19"/>
      <c r="AF101" s="19"/>
      <c r="AG101" s="19"/>
    </row>
    <row r="102">
      <c r="A102" s="47">
        <f>COUNTIF('Divulgação'!$B:$B,B102)</f>
        <v>1</v>
      </c>
      <c r="B102" s="53" t="s">
        <v>529</v>
      </c>
      <c r="C102" s="19"/>
      <c r="D102" s="50" t="s">
        <v>1314</v>
      </c>
      <c r="E102" s="50" t="s">
        <v>1315</v>
      </c>
      <c r="F102" s="62" t="s">
        <v>2091</v>
      </c>
      <c r="G102" s="50" t="s">
        <v>1316</v>
      </c>
      <c r="H102" s="62" t="s">
        <v>2091</v>
      </c>
      <c r="I102" s="47" t="s">
        <v>1698</v>
      </c>
      <c r="J102" s="62" t="s">
        <v>1699</v>
      </c>
      <c r="K102" s="50" t="s">
        <v>1700</v>
      </c>
      <c r="L102" s="47" t="s">
        <v>2095</v>
      </c>
      <c r="M102" s="19"/>
      <c r="N102" s="19"/>
      <c r="O102" s="19"/>
      <c r="P102" s="19"/>
      <c r="Q102" s="50">
        <v>1.0</v>
      </c>
      <c r="R102" s="59">
        <v>45838.0</v>
      </c>
      <c r="S102" s="59">
        <v>45842.0</v>
      </c>
      <c r="T102" s="59">
        <v>45840.0</v>
      </c>
      <c r="U102" s="19"/>
      <c r="V102" s="50" t="s">
        <v>1321</v>
      </c>
      <c r="W102" s="19"/>
      <c r="X102" s="50" t="s">
        <v>12</v>
      </c>
      <c r="Y102" s="50" t="s">
        <v>1322</v>
      </c>
      <c r="Z102" s="50">
        <v>3.040276451E9</v>
      </c>
      <c r="AA102" s="50" t="s">
        <v>12</v>
      </c>
      <c r="AB102" s="50" t="s">
        <v>1322</v>
      </c>
      <c r="AC102" s="50" t="s">
        <v>1369</v>
      </c>
      <c r="AD102" s="19"/>
      <c r="AE102" s="19"/>
      <c r="AF102" s="19"/>
      <c r="AG102" s="19"/>
    </row>
    <row r="103">
      <c r="A103" s="47">
        <f>COUNTIF('Divulgação'!$B:$B,B103)</f>
        <v>1</v>
      </c>
      <c r="B103" s="53" t="s">
        <v>531</v>
      </c>
      <c r="C103" s="19"/>
      <c r="D103" s="50" t="s">
        <v>1314</v>
      </c>
      <c r="E103" s="50" t="s">
        <v>1315</v>
      </c>
      <c r="F103" s="62" t="s">
        <v>2091</v>
      </c>
      <c r="G103" s="50" t="s">
        <v>1316</v>
      </c>
      <c r="H103" s="62" t="s">
        <v>2091</v>
      </c>
      <c r="I103" s="47" t="s">
        <v>1698</v>
      </c>
      <c r="J103" s="62" t="s">
        <v>1699</v>
      </c>
      <c r="K103" s="50" t="s">
        <v>1700</v>
      </c>
      <c r="L103" s="47" t="s">
        <v>2096</v>
      </c>
      <c r="M103" s="19"/>
      <c r="N103" s="19"/>
      <c r="O103" s="19"/>
      <c r="P103" s="19"/>
      <c r="Q103" s="50">
        <v>1.0</v>
      </c>
      <c r="R103" s="59">
        <v>45838.0</v>
      </c>
      <c r="S103" s="59">
        <v>45842.0</v>
      </c>
      <c r="T103" s="59">
        <v>45840.0</v>
      </c>
      <c r="U103" s="19"/>
      <c r="V103" s="50" t="s">
        <v>1347</v>
      </c>
      <c r="W103" s="50">
        <v>3.13250017118E11</v>
      </c>
      <c r="X103" s="50" t="s">
        <v>12</v>
      </c>
      <c r="Y103" s="50" t="s">
        <v>1322</v>
      </c>
      <c r="Z103" s="50">
        <v>3.040294323E9</v>
      </c>
      <c r="AA103" s="50" t="s">
        <v>12</v>
      </c>
      <c r="AB103" s="50" t="s">
        <v>1385</v>
      </c>
      <c r="AC103" s="50" t="s">
        <v>2097</v>
      </c>
      <c r="AD103" s="19"/>
      <c r="AE103" s="19"/>
      <c r="AF103" s="19"/>
      <c r="AG103" s="19"/>
    </row>
    <row r="104">
      <c r="A104" s="47">
        <f>COUNTIF('Divulgação'!$B:$B,B104)</f>
        <v>1</v>
      </c>
      <c r="B104" s="53" t="s">
        <v>533</v>
      </c>
      <c r="C104" s="19"/>
      <c r="D104" s="50" t="s">
        <v>1314</v>
      </c>
      <c r="E104" s="50" t="s">
        <v>1315</v>
      </c>
      <c r="F104" s="62" t="s">
        <v>2091</v>
      </c>
      <c r="G104" s="50" t="s">
        <v>1316</v>
      </c>
      <c r="H104" s="62" t="s">
        <v>2091</v>
      </c>
      <c r="I104" s="47" t="s">
        <v>1698</v>
      </c>
      <c r="J104" s="62" t="s">
        <v>1699</v>
      </c>
      <c r="K104" s="50" t="s">
        <v>1700</v>
      </c>
      <c r="L104" s="47" t="s">
        <v>2098</v>
      </c>
      <c r="M104" s="19"/>
      <c r="N104" s="19"/>
      <c r="O104" s="19"/>
      <c r="P104" s="19"/>
      <c r="Q104" s="50">
        <v>1.0</v>
      </c>
      <c r="R104" s="59">
        <v>45838.0</v>
      </c>
      <c r="S104" s="59">
        <v>45838.0</v>
      </c>
      <c r="T104" s="59">
        <v>45840.0</v>
      </c>
      <c r="U104" s="19"/>
      <c r="V104" s="50" t="s">
        <v>1347</v>
      </c>
      <c r="W104" s="50">
        <v>3.13260017717E11</v>
      </c>
      <c r="X104" s="50" t="s">
        <v>12</v>
      </c>
      <c r="Y104" s="50" t="s">
        <v>1322</v>
      </c>
      <c r="Z104" s="50">
        <v>3.040281943E9</v>
      </c>
      <c r="AA104" s="50" t="s">
        <v>2099</v>
      </c>
      <c r="AB104" s="50" t="s">
        <v>1537</v>
      </c>
      <c r="AC104" s="50" t="s">
        <v>2100</v>
      </c>
      <c r="AD104" s="19"/>
      <c r="AE104" s="19"/>
      <c r="AF104" s="19"/>
      <c r="AG104" s="19"/>
    </row>
    <row r="105">
      <c r="A105" s="47">
        <f>COUNTIF('Divulgação'!$B:$B,B105)</f>
        <v>1</v>
      </c>
      <c r="B105" s="53" t="s">
        <v>535</v>
      </c>
      <c r="C105" s="19"/>
      <c r="D105" s="50" t="s">
        <v>1314</v>
      </c>
      <c r="E105" s="50" t="s">
        <v>1315</v>
      </c>
      <c r="F105" s="62" t="s">
        <v>2091</v>
      </c>
      <c r="G105" s="50" t="s">
        <v>1316</v>
      </c>
      <c r="H105" s="62" t="s">
        <v>2091</v>
      </c>
      <c r="I105" s="47" t="s">
        <v>1698</v>
      </c>
      <c r="J105" s="62" t="s">
        <v>1699</v>
      </c>
      <c r="K105" s="50" t="s">
        <v>1700</v>
      </c>
      <c r="L105" s="47" t="s">
        <v>2101</v>
      </c>
      <c r="M105" s="19"/>
      <c r="N105" s="19"/>
      <c r="O105" s="19"/>
      <c r="P105" s="19"/>
      <c r="Q105" s="50">
        <v>1.0</v>
      </c>
      <c r="R105" s="59">
        <v>45838.0</v>
      </c>
      <c r="S105" s="59">
        <v>45842.0</v>
      </c>
      <c r="T105" s="59">
        <v>45840.0</v>
      </c>
      <c r="U105" s="19"/>
      <c r="V105" s="50" t="s">
        <v>1321</v>
      </c>
      <c r="W105" s="19"/>
      <c r="X105" s="50" t="s">
        <v>12</v>
      </c>
      <c r="Y105" s="50" t="s">
        <v>1322</v>
      </c>
      <c r="Z105" s="50">
        <v>3.040216411E9</v>
      </c>
      <c r="AA105" s="50" t="s">
        <v>2102</v>
      </c>
      <c r="AB105" s="50" t="s">
        <v>2103</v>
      </c>
      <c r="AC105" s="50" t="s">
        <v>2104</v>
      </c>
      <c r="AD105" s="19"/>
      <c r="AE105" s="19"/>
      <c r="AF105" s="19"/>
      <c r="AG105" s="19"/>
    </row>
    <row r="106">
      <c r="A106" s="47">
        <f>COUNTIF('Divulgação'!$B:$B,B106)</f>
        <v>1</v>
      </c>
      <c r="B106" s="53" t="s">
        <v>537</v>
      </c>
      <c r="C106" s="19"/>
      <c r="D106" s="50" t="s">
        <v>1314</v>
      </c>
      <c r="E106" s="50" t="s">
        <v>1315</v>
      </c>
      <c r="F106" s="62" t="s">
        <v>2091</v>
      </c>
      <c r="G106" s="50" t="s">
        <v>1316</v>
      </c>
      <c r="H106" s="62" t="s">
        <v>2091</v>
      </c>
      <c r="I106" s="47" t="s">
        <v>1698</v>
      </c>
      <c r="J106" s="62" t="s">
        <v>1699</v>
      </c>
      <c r="K106" s="50" t="s">
        <v>1700</v>
      </c>
      <c r="L106" s="47" t="s">
        <v>2105</v>
      </c>
      <c r="M106" s="19"/>
      <c r="N106" s="19"/>
      <c r="O106" s="19"/>
      <c r="P106" s="19"/>
      <c r="Q106" s="50">
        <v>1.0</v>
      </c>
      <c r="R106" s="59">
        <v>45838.0</v>
      </c>
      <c r="S106" s="59">
        <v>45842.0</v>
      </c>
      <c r="T106" s="59">
        <v>45840.0</v>
      </c>
      <c r="U106" s="19"/>
      <c r="V106" s="50" t="s">
        <v>1321</v>
      </c>
      <c r="W106" s="19"/>
      <c r="X106" s="50" t="s">
        <v>12</v>
      </c>
      <c r="Y106" s="50" t="s">
        <v>1322</v>
      </c>
      <c r="Z106" s="50">
        <v>3.040280488E9</v>
      </c>
      <c r="AA106" s="50" t="s">
        <v>14</v>
      </c>
      <c r="AB106" s="50" t="s">
        <v>2106</v>
      </c>
      <c r="AC106" s="50" t="s">
        <v>2107</v>
      </c>
      <c r="AD106" s="19"/>
      <c r="AE106" s="19"/>
      <c r="AF106" s="19"/>
      <c r="AG106" s="19"/>
    </row>
    <row r="107">
      <c r="A107" s="47">
        <f>COUNTIF('Divulgação'!$B:$B,B107)</f>
        <v>1</v>
      </c>
      <c r="B107" s="53" t="s">
        <v>539</v>
      </c>
      <c r="C107" s="19"/>
      <c r="D107" s="50" t="s">
        <v>1314</v>
      </c>
      <c r="E107" s="50" t="s">
        <v>1315</v>
      </c>
      <c r="F107" s="62" t="s">
        <v>2091</v>
      </c>
      <c r="G107" s="50" t="s">
        <v>1316</v>
      </c>
      <c r="H107" s="62" t="s">
        <v>2091</v>
      </c>
      <c r="I107" s="47" t="s">
        <v>1477</v>
      </c>
      <c r="J107" s="50" t="s">
        <v>48</v>
      </c>
      <c r="K107" s="50" t="s">
        <v>1478</v>
      </c>
      <c r="L107" s="53" t="s">
        <v>1481</v>
      </c>
      <c r="M107" s="19"/>
      <c r="N107" s="19"/>
      <c r="O107" s="19"/>
      <c r="P107" s="19"/>
      <c r="Q107" s="50">
        <v>1.0</v>
      </c>
      <c r="R107" s="59">
        <v>45838.0</v>
      </c>
      <c r="S107" s="59">
        <v>45965.0</v>
      </c>
      <c r="T107" s="59">
        <v>45840.0</v>
      </c>
      <c r="U107" s="19"/>
      <c r="V107" s="50" t="s">
        <v>1347</v>
      </c>
      <c r="W107" s="50">
        <v>3.13250016775E11</v>
      </c>
      <c r="X107" s="50" t="s">
        <v>12</v>
      </c>
      <c r="Y107" s="50" t="s">
        <v>1322</v>
      </c>
      <c r="Z107" s="50">
        <v>3.040279379E9</v>
      </c>
      <c r="AA107" s="50" t="s">
        <v>13</v>
      </c>
      <c r="AB107" s="50" t="s">
        <v>1377</v>
      </c>
      <c r="AC107" s="50" t="s">
        <v>1482</v>
      </c>
      <c r="AD107" s="19"/>
      <c r="AE107" s="19"/>
      <c r="AF107" s="19"/>
      <c r="AG107" s="19"/>
    </row>
    <row r="108">
      <c r="A108" s="47">
        <f>COUNTIF('Divulgação'!$B:$B,B108)</f>
        <v>1</v>
      </c>
      <c r="B108" s="53" t="s">
        <v>541</v>
      </c>
      <c r="C108" s="19"/>
      <c r="D108" s="50" t="s">
        <v>1314</v>
      </c>
      <c r="E108" s="50" t="s">
        <v>1315</v>
      </c>
      <c r="F108" s="62" t="s">
        <v>2091</v>
      </c>
      <c r="G108" s="50" t="s">
        <v>1316</v>
      </c>
      <c r="H108" s="62" t="s">
        <v>2091</v>
      </c>
      <c r="I108" s="47" t="s">
        <v>1477</v>
      </c>
      <c r="J108" s="50" t="s">
        <v>48</v>
      </c>
      <c r="K108" s="50" t="s">
        <v>1478</v>
      </c>
      <c r="L108" s="53" t="s">
        <v>2108</v>
      </c>
      <c r="M108" s="19"/>
      <c r="N108" s="19"/>
      <c r="O108" s="19"/>
      <c r="P108" s="19"/>
      <c r="Q108" s="50">
        <v>1.0</v>
      </c>
      <c r="R108" s="59">
        <v>45838.0</v>
      </c>
      <c r="S108" s="59">
        <v>45965.0</v>
      </c>
      <c r="T108" s="59">
        <v>45840.0</v>
      </c>
      <c r="U108" s="19"/>
      <c r="V108" s="50" t="s">
        <v>1321</v>
      </c>
      <c r="W108" s="19"/>
      <c r="X108" s="50" t="s">
        <v>12</v>
      </c>
      <c r="Y108" s="50" t="s">
        <v>1322</v>
      </c>
      <c r="Z108" s="50">
        <v>3.040145273E9</v>
      </c>
      <c r="AA108" s="50" t="s">
        <v>12</v>
      </c>
      <c r="AB108" s="50" t="s">
        <v>1322</v>
      </c>
      <c r="AC108" s="50" t="s">
        <v>1480</v>
      </c>
      <c r="AD108" s="19"/>
      <c r="AE108" s="19"/>
      <c r="AF108" s="19"/>
      <c r="AG108" s="19"/>
    </row>
    <row r="109">
      <c r="A109" s="47">
        <f>COUNTIF('Divulgação'!$B:$B,B109)</f>
        <v>1</v>
      </c>
      <c r="B109" s="53" t="s">
        <v>543</v>
      </c>
      <c r="C109" s="19"/>
      <c r="D109" s="50" t="s">
        <v>1314</v>
      </c>
      <c r="E109" s="50" t="s">
        <v>1315</v>
      </c>
      <c r="F109" s="62" t="s">
        <v>2091</v>
      </c>
      <c r="G109" s="50" t="s">
        <v>1316</v>
      </c>
      <c r="H109" s="62" t="s">
        <v>2091</v>
      </c>
      <c r="I109" s="47" t="s">
        <v>69</v>
      </c>
      <c r="J109" s="50" t="s">
        <v>48</v>
      </c>
      <c r="K109" s="50" t="s">
        <v>1474</v>
      </c>
      <c r="L109" s="47" t="s">
        <v>1483</v>
      </c>
      <c r="M109" s="19"/>
      <c r="N109" s="19"/>
      <c r="O109" s="19"/>
      <c r="P109" s="19"/>
      <c r="Q109" s="50">
        <v>1.0</v>
      </c>
      <c r="R109" s="59">
        <v>45838.0</v>
      </c>
      <c r="S109" s="59">
        <v>45965.0</v>
      </c>
      <c r="T109" s="59">
        <v>45840.0</v>
      </c>
      <c r="U109" s="19"/>
      <c r="V109" s="50" t="s">
        <v>1347</v>
      </c>
      <c r="W109" s="50">
        <v>3.132600176E11</v>
      </c>
      <c r="X109" s="50" t="s">
        <v>12</v>
      </c>
      <c r="Y109" s="50" t="s">
        <v>1322</v>
      </c>
      <c r="Z109" s="50">
        <v>3.040220402E9</v>
      </c>
      <c r="AA109" s="50" t="s">
        <v>12</v>
      </c>
      <c r="AB109" s="50" t="s">
        <v>1476</v>
      </c>
      <c r="AC109" s="50" t="s">
        <v>1393</v>
      </c>
      <c r="AD109" s="19"/>
      <c r="AE109" s="19"/>
      <c r="AF109" s="19"/>
      <c r="AG109" s="19"/>
    </row>
    <row r="110">
      <c r="A110" s="47">
        <f>COUNTIF('Divulgação'!$B:$B,B110)</f>
        <v>1</v>
      </c>
      <c r="B110" s="53" t="s">
        <v>545</v>
      </c>
      <c r="C110" s="19"/>
      <c r="D110" s="50" t="s">
        <v>1314</v>
      </c>
      <c r="E110" s="50" t="s">
        <v>1315</v>
      </c>
      <c r="F110" s="62" t="s">
        <v>2091</v>
      </c>
      <c r="G110" s="50" t="s">
        <v>1316</v>
      </c>
      <c r="H110" s="62" t="s">
        <v>2091</v>
      </c>
      <c r="I110" s="47" t="s">
        <v>69</v>
      </c>
      <c r="J110" s="50" t="s">
        <v>48</v>
      </c>
      <c r="K110" s="50" t="s">
        <v>1474</v>
      </c>
      <c r="L110" s="47" t="s">
        <v>1475</v>
      </c>
      <c r="M110" s="19"/>
      <c r="N110" s="19"/>
      <c r="O110" s="19"/>
      <c r="P110" s="19"/>
      <c r="Q110" s="50">
        <v>1.0</v>
      </c>
      <c r="R110" s="59">
        <v>45838.0</v>
      </c>
      <c r="S110" s="59">
        <v>45965.0</v>
      </c>
      <c r="T110" s="59">
        <v>45840.0</v>
      </c>
      <c r="U110" s="19"/>
      <c r="V110" s="50" t="s">
        <v>1347</v>
      </c>
      <c r="W110" s="50">
        <v>3.04250073773E11</v>
      </c>
      <c r="X110" s="50" t="s">
        <v>12</v>
      </c>
      <c r="Y110" s="50" t="s">
        <v>1322</v>
      </c>
      <c r="Z110" s="50">
        <v>3.040220403E9</v>
      </c>
      <c r="AA110" s="50" t="s">
        <v>12</v>
      </c>
      <c r="AB110" s="50" t="s">
        <v>1476</v>
      </c>
      <c r="AC110" s="50" t="s">
        <v>1393</v>
      </c>
      <c r="AD110" s="19"/>
      <c r="AE110" s="19"/>
      <c r="AF110" s="19"/>
      <c r="AG110" s="19"/>
    </row>
    <row r="111">
      <c r="A111" s="47">
        <f>COUNTIF('Divulgação'!$B:$B,B111)</f>
        <v>1</v>
      </c>
      <c r="B111" s="53" t="s">
        <v>813</v>
      </c>
      <c r="C111" s="19"/>
      <c r="D111" s="50" t="s">
        <v>1314</v>
      </c>
      <c r="E111" s="50" t="s">
        <v>1315</v>
      </c>
      <c r="F111" s="62" t="s">
        <v>2109</v>
      </c>
      <c r="G111" s="50" t="s">
        <v>1316</v>
      </c>
      <c r="H111" s="62" t="s">
        <v>2091</v>
      </c>
      <c r="I111" s="47" t="s">
        <v>290</v>
      </c>
      <c r="J111" s="62" t="s">
        <v>2110</v>
      </c>
      <c r="K111" s="50" t="s">
        <v>2111</v>
      </c>
      <c r="L111" s="53" t="s">
        <v>2112</v>
      </c>
      <c r="M111" s="19"/>
      <c r="N111" s="19"/>
      <c r="O111" s="19"/>
      <c r="P111" s="19"/>
      <c r="Q111" s="50">
        <v>1.0</v>
      </c>
      <c r="R111" s="59">
        <v>45838.0</v>
      </c>
      <c r="S111" s="59">
        <v>45965.0</v>
      </c>
      <c r="T111" s="19"/>
      <c r="U111" s="19"/>
      <c r="V111" s="50" t="s">
        <v>1321</v>
      </c>
      <c r="W111" s="19"/>
      <c r="X111" s="50" t="s">
        <v>12</v>
      </c>
      <c r="Y111" s="50" t="s">
        <v>1322</v>
      </c>
      <c r="Z111" s="50">
        <v>3.040145274E9</v>
      </c>
      <c r="AA111" s="50" t="s">
        <v>12</v>
      </c>
      <c r="AB111" s="50" t="s">
        <v>1322</v>
      </c>
      <c r="AC111" s="50" t="s">
        <v>1480</v>
      </c>
      <c r="AD111" s="19"/>
      <c r="AE111" s="19"/>
      <c r="AF111" s="19"/>
      <c r="AG111" s="19"/>
    </row>
    <row r="112">
      <c r="A112" s="47">
        <f>COUNTIF('Divulgação'!$B:$B,B112)</f>
        <v>1</v>
      </c>
      <c r="B112" s="53" t="s">
        <v>547</v>
      </c>
      <c r="C112" s="19"/>
      <c r="D112" s="50" t="s">
        <v>1314</v>
      </c>
      <c r="E112" s="50" t="s">
        <v>1315</v>
      </c>
      <c r="F112" s="62" t="s">
        <v>2091</v>
      </c>
      <c r="G112" s="50" t="s">
        <v>1316</v>
      </c>
      <c r="H112" s="62" t="s">
        <v>2091</v>
      </c>
      <c r="I112" s="47" t="s">
        <v>1724</v>
      </c>
      <c r="J112" s="50" t="s">
        <v>48</v>
      </c>
      <c r="K112" s="50" t="s">
        <v>1725</v>
      </c>
      <c r="L112" s="53" t="s">
        <v>2113</v>
      </c>
      <c r="M112" s="19"/>
      <c r="N112" s="19"/>
      <c r="O112" s="19"/>
      <c r="P112" s="19"/>
      <c r="Q112" s="50">
        <v>1.0</v>
      </c>
      <c r="R112" s="59">
        <v>45838.0</v>
      </c>
      <c r="S112" s="59">
        <v>45842.0</v>
      </c>
      <c r="T112" s="59">
        <v>45840.0</v>
      </c>
      <c r="U112" s="19"/>
      <c r="V112" s="50" t="s">
        <v>1347</v>
      </c>
      <c r="W112" s="50">
        <v>3.04250073749E11</v>
      </c>
      <c r="X112" s="50" t="s">
        <v>12</v>
      </c>
      <c r="Y112" s="50" t="s">
        <v>1322</v>
      </c>
      <c r="Z112" s="50">
        <v>3.040311758E9</v>
      </c>
      <c r="AA112" s="50" t="s">
        <v>16</v>
      </c>
      <c r="AB112" s="50" t="s">
        <v>1551</v>
      </c>
      <c r="AC112" s="50" t="s">
        <v>1552</v>
      </c>
      <c r="AD112" s="19"/>
      <c r="AE112" s="19"/>
      <c r="AF112" s="19"/>
      <c r="AG112" s="19"/>
    </row>
    <row r="113">
      <c r="A113" s="47">
        <f>COUNTIF('Divulgação'!$B:$B,B113)</f>
        <v>1</v>
      </c>
      <c r="B113" s="53" t="s">
        <v>549</v>
      </c>
      <c r="C113" s="19"/>
      <c r="D113" s="50" t="s">
        <v>1314</v>
      </c>
      <c r="E113" s="50" t="s">
        <v>1315</v>
      </c>
      <c r="F113" s="62" t="s">
        <v>2091</v>
      </c>
      <c r="G113" s="50" t="s">
        <v>1316</v>
      </c>
      <c r="H113" s="62" t="s">
        <v>2091</v>
      </c>
      <c r="I113" s="47" t="s">
        <v>1724</v>
      </c>
      <c r="J113" s="50" t="s">
        <v>48</v>
      </c>
      <c r="K113" s="50" t="s">
        <v>1725</v>
      </c>
      <c r="L113" s="53" t="s">
        <v>2114</v>
      </c>
      <c r="M113" s="19"/>
      <c r="N113" s="19"/>
      <c r="O113" s="19"/>
      <c r="P113" s="19"/>
      <c r="Q113" s="50">
        <v>1.0</v>
      </c>
      <c r="R113" s="59">
        <v>45838.0</v>
      </c>
      <c r="S113" s="59">
        <v>45842.0</v>
      </c>
      <c r="T113" s="59">
        <v>45840.0</v>
      </c>
      <c r="U113" s="19"/>
      <c r="V113" s="50" t="s">
        <v>1321</v>
      </c>
      <c r="W113" s="19"/>
      <c r="X113" s="50" t="s">
        <v>12</v>
      </c>
      <c r="Y113" s="50" t="s">
        <v>1322</v>
      </c>
      <c r="Z113" s="50">
        <v>3.040311295E9</v>
      </c>
      <c r="AA113" s="50" t="s">
        <v>13</v>
      </c>
      <c r="AB113" s="50" t="s">
        <v>1447</v>
      </c>
      <c r="AC113" s="50" t="s">
        <v>2040</v>
      </c>
      <c r="AD113" s="19"/>
      <c r="AE113" s="19"/>
      <c r="AF113" s="19"/>
      <c r="AG113" s="19"/>
    </row>
    <row r="114">
      <c r="A114" s="47">
        <f>COUNTIF('Divulgação'!$B:$B,B114)</f>
        <v>1</v>
      </c>
      <c r="B114" s="53" t="s">
        <v>551</v>
      </c>
      <c r="C114" s="19"/>
      <c r="D114" s="50" t="s">
        <v>1314</v>
      </c>
      <c r="E114" s="50" t="s">
        <v>1315</v>
      </c>
      <c r="F114" s="62" t="s">
        <v>2091</v>
      </c>
      <c r="G114" s="50" t="s">
        <v>1316</v>
      </c>
      <c r="H114" s="62" t="s">
        <v>2091</v>
      </c>
      <c r="I114" s="47" t="s">
        <v>1724</v>
      </c>
      <c r="J114" s="50" t="s">
        <v>48</v>
      </c>
      <c r="K114" s="50" t="s">
        <v>1725</v>
      </c>
      <c r="L114" s="53" t="s">
        <v>2115</v>
      </c>
      <c r="M114" s="19"/>
      <c r="N114" s="19"/>
      <c r="O114" s="19"/>
      <c r="P114" s="19"/>
      <c r="Q114" s="50">
        <v>1.0</v>
      </c>
      <c r="R114" s="59">
        <v>45838.0</v>
      </c>
      <c r="S114" s="59">
        <v>45842.0</v>
      </c>
      <c r="T114" s="59">
        <v>45840.0</v>
      </c>
      <c r="U114" s="19"/>
      <c r="V114" s="50" t="s">
        <v>1321</v>
      </c>
      <c r="W114" s="19"/>
      <c r="X114" s="50" t="s">
        <v>12</v>
      </c>
      <c r="Y114" s="50" t="s">
        <v>1322</v>
      </c>
      <c r="Z114" s="50">
        <v>3.040311296E9</v>
      </c>
      <c r="AA114" s="50" t="s">
        <v>13</v>
      </c>
      <c r="AB114" s="50" t="s">
        <v>1447</v>
      </c>
      <c r="AC114" s="50" t="s">
        <v>2040</v>
      </c>
      <c r="AD114" s="19"/>
      <c r="AE114" s="19"/>
      <c r="AF114" s="19"/>
      <c r="AG114" s="19"/>
    </row>
    <row r="115">
      <c r="A115" s="47">
        <f>COUNTIF('Divulgação'!$B:$B,B115)</f>
        <v>1</v>
      </c>
      <c r="B115" s="53" t="s">
        <v>553</v>
      </c>
      <c r="C115" s="19"/>
      <c r="D115" s="50" t="s">
        <v>1314</v>
      </c>
      <c r="E115" s="50" t="s">
        <v>1315</v>
      </c>
      <c r="F115" s="62" t="s">
        <v>2091</v>
      </c>
      <c r="G115" s="50" t="s">
        <v>1316</v>
      </c>
      <c r="H115" s="62" t="s">
        <v>2091</v>
      </c>
      <c r="I115" s="47" t="s">
        <v>1724</v>
      </c>
      <c r="J115" s="50" t="s">
        <v>48</v>
      </c>
      <c r="K115" s="50" t="s">
        <v>1725</v>
      </c>
      <c r="L115" s="53" t="s">
        <v>2116</v>
      </c>
      <c r="M115" s="19"/>
      <c r="N115" s="19"/>
      <c r="O115" s="19"/>
      <c r="P115" s="19"/>
      <c r="Q115" s="50">
        <v>1.0</v>
      </c>
      <c r="R115" s="59">
        <v>45838.0</v>
      </c>
      <c r="S115" s="59">
        <v>45842.0</v>
      </c>
      <c r="T115" s="59">
        <v>45840.0</v>
      </c>
      <c r="U115" s="19"/>
      <c r="V115" s="50" t="s">
        <v>1347</v>
      </c>
      <c r="W115" s="50">
        <v>6.85260010874E11</v>
      </c>
      <c r="X115" s="50" t="s">
        <v>12</v>
      </c>
      <c r="Y115" s="50" t="s">
        <v>1322</v>
      </c>
      <c r="Z115" s="50">
        <v>3.040311695E9</v>
      </c>
      <c r="AA115" s="50" t="s">
        <v>17</v>
      </c>
      <c r="AB115" s="50" t="s">
        <v>1553</v>
      </c>
      <c r="AC115" s="50" t="s">
        <v>1554</v>
      </c>
      <c r="AD115" s="19"/>
      <c r="AE115" s="19"/>
      <c r="AF115" s="19"/>
      <c r="AG115" s="19"/>
    </row>
    <row r="116">
      <c r="A116" s="47">
        <f>COUNTIF('Divulgação'!$B:$B,B116)</f>
        <v>1</v>
      </c>
      <c r="B116" s="53" t="s">
        <v>555</v>
      </c>
      <c r="C116" s="19"/>
      <c r="D116" s="50" t="s">
        <v>1314</v>
      </c>
      <c r="E116" s="50" t="s">
        <v>1315</v>
      </c>
      <c r="F116" s="62" t="s">
        <v>2091</v>
      </c>
      <c r="G116" s="50" t="s">
        <v>1316</v>
      </c>
      <c r="H116" s="62" t="s">
        <v>2091</v>
      </c>
      <c r="I116" s="47" t="s">
        <v>2010</v>
      </c>
      <c r="J116" s="62" t="s">
        <v>2011</v>
      </c>
      <c r="K116" s="50" t="s">
        <v>2012</v>
      </c>
      <c r="L116" s="53" t="s">
        <v>2117</v>
      </c>
      <c r="M116" s="19"/>
      <c r="N116" s="19"/>
      <c r="O116" s="19"/>
      <c r="P116" s="19"/>
      <c r="Q116" s="50">
        <v>1.0</v>
      </c>
      <c r="R116" s="59">
        <v>45838.0</v>
      </c>
      <c r="S116" s="59">
        <v>45965.0</v>
      </c>
      <c r="T116" s="59">
        <v>45840.0</v>
      </c>
      <c r="U116" s="19"/>
      <c r="V116" s="50" t="s">
        <v>1321</v>
      </c>
      <c r="W116" s="19"/>
      <c r="X116" s="50" t="s">
        <v>12</v>
      </c>
      <c r="Y116" s="50" t="s">
        <v>1322</v>
      </c>
      <c r="Z116" s="50">
        <v>3.040315223E9</v>
      </c>
      <c r="AA116" s="50" t="s">
        <v>16</v>
      </c>
      <c r="AB116" s="50" t="s">
        <v>2118</v>
      </c>
      <c r="AC116" s="50" t="s">
        <v>1486</v>
      </c>
      <c r="AD116" s="19"/>
      <c r="AE116" s="19"/>
      <c r="AF116" s="19"/>
      <c r="AG116" s="19"/>
    </row>
    <row r="117">
      <c r="A117" s="47">
        <f>COUNTIF('Divulgação'!$B:$B,B117)</f>
        <v>1</v>
      </c>
      <c r="B117" s="53" t="s">
        <v>557</v>
      </c>
      <c r="C117" s="19"/>
      <c r="D117" s="50" t="s">
        <v>1314</v>
      </c>
      <c r="E117" s="50" t="s">
        <v>1315</v>
      </c>
      <c r="F117" s="62" t="s">
        <v>2091</v>
      </c>
      <c r="G117" s="50" t="s">
        <v>1316</v>
      </c>
      <c r="H117" s="62" t="s">
        <v>2091</v>
      </c>
      <c r="I117" s="47" t="s">
        <v>1324</v>
      </c>
      <c r="J117" s="62" t="s">
        <v>1484</v>
      </c>
      <c r="K117" s="50" t="s">
        <v>1326</v>
      </c>
      <c r="L117" s="47" t="s">
        <v>1485</v>
      </c>
      <c r="M117" s="19"/>
      <c r="N117" s="19"/>
      <c r="O117" s="19"/>
      <c r="P117" s="19"/>
      <c r="Q117" s="50">
        <v>1.0</v>
      </c>
      <c r="R117" s="59">
        <v>45838.0</v>
      </c>
      <c r="S117" s="59">
        <v>45965.0</v>
      </c>
      <c r="T117" s="59">
        <v>45840.0</v>
      </c>
      <c r="U117" s="19"/>
      <c r="V117" s="50" t="s">
        <v>1321</v>
      </c>
      <c r="W117" s="19"/>
      <c r="X117" s="50" t="s">
        <v>12</v>
      </c>
      <c r="Y117" s="50" t="s">
        <v>1322</v>
      </c>
      <c r="Z117" s="50">
        <v>3.040287605E9</v>
      </c>
      <c r="AA117" s="50" t="s">
        <v>16</v>
      </c>
      <c r="AB117" s="50" t="s">
        <v>1331</v>
      </c>
      <c r="AC117" s="50" t="s">
        <v>1486</v>
      </c>
      <c r="AD117" s="19"/>
      <c r="AE117" s="19"/>
      <c r="AF117" s="19"/>
      <c r="AG117" s="19"/>
    </row>
    <row r="118">
      <c r="A118" s="47">
        <f>COUNTIF('Divulgação'!$B:$B,B118)</f>
        <v>1</v>
      </c>
      <c r="B118" s="53" t="s">
        <v>559</v>
      </c>
      <c r="C118" s="19"/>
      <c r="D118" s="50" t="s">
        <v>1314</v>
      </c>
      <c r="E118" s="50" t="s">
        <v>1315</v>
      </c>
      <c r="F118" s="62" t="s">
        <v>2091</v>
      </c>
      <c r="G118" s="50" t="s">
        <v>1316</v>
      </c>
      <c r="H118" s="62" t="s">
        <v>2091</v>
      </c>
      <c r="I118" s="47" t="s">
        <v>1324</v>
      </c>
      <c r="J118" s="62" t="s">
        <v>1325</v>
      </c>
      <c r="K118" s="50" t="s">
        <v>1326</v>
      </c>
      <c r="L118" s="47" t="s">
        <v>1487</v>
      </c>
      <c r="M118" s="19"/>
      <c r="N118" s="19"/>
      <c r="O118" s="19"/>
      <c r="P118" s="19"/>
      <c r="Q118" s="50">
        <v>1.0</v>
      </c>
      <c r="R118" s="59">
        <v>45838.0</v>
      </c>
      <c r="S118" s="59">
        <v>45842.0</v>
      </c>
      <c r="T118" s="59">
        <v>45840.0</v>
      </c>
      <c r="U118" s="19"/>
      <c r="V118" s="50" t="s">
        <v>1321</v>
      </c>
      <c r="W118" s="19"/>
      <c r="X118" s="50" t="s">
        <v>12</v>
      </c>
      <c r="Y118" s="50" t="s">
        <v>1322</v>
      </c>
      <c r="Z118" s="50">
        <v>3.040302697E9</v>
      </c>
      <c r="AA118" s="50" t="s">
        <v>16</v>
      </c>
      <c r="AB118" s="50" t="s">
        <v>1331</v>
      </c>
      <c r="AC118" s="50" t="s">
        <v>1486</v>
      </c>
      <c r="AD118" s="19"/>
      <c r="AE118" s="19"/>
      <c r="AF118" s="19"/>
      <c r="AG118" s="19"/>
    </row>
    <row r="119">
      <c r="A119" s="47">
        <f>COUNTIF('Divulgação'!$B:$B,B119)</f>
        <v>1</v>
      </c>
      <c r="B119" s="53" t="s">
        <v>561</v>
      </c>
      <c r="C119" s="19"/>
      <c r="D119" s="50" t="s">
        <v>1314</v>
      </c>
      <c r="E119" s="50" t="s">
        <v>1315</v>
      </c>
      <c r="F119" s="62" t="s">
        <v>2091</v>
      </c>
      <c r="G119" s="50" t="s">
        <v>1316</v>
      </c>
      <c r="H119" s="62" t="s">
        <v>2091</v>
      </c>
      <c r="I119" s="47" t="s">
        <v>1324</v>
      </c>
      <c r="J119" s="62" t="s">
        <v>1488</v>
      </c>
      <c r="K119" s="50" t="s">
        <v>1489</v>
      </c>
      <c r="L119" s="47" t="s">
        <v>1490</v>
      </c>
      <c r="M119" s="19"/>
      <c r="N119" s="19"/>
      <c r="O119" s="19"/>
      <c r="P119" s="19"/>
      <c r="Q119" s="50">
        <v>1.0</v>
      </c>
      <c r="R119" s="59">
        <v>45838.0</v>
      </c>
      <c r="S119" s="59">
        <v>45965.0</v>
      </c>
      <c r="T119" s="59">
        <v>45840.0</v>
      </c>
      <c r="U119" s="19"/>
      <c r="V119" s="50" t="s">
        <v>1321</v>
      </c>
      <c r="W119" s="19"/>
      <c r="X119" s="50" t="s">
        <v>12</v>
      </c>
      <c r="Y119" s="50" t="s">
        <v>1322</v>
      </c>
      <c r="Z119" s="50">
        <v>3.040292325E9</v>
      </c>
      <c r="AA119" s="50" t="s">
        <v>1491</v>
      </c>
      <c r="AB119" s="50" t="s">
        <v>1492</v>
      </c>
      <c r="AC119" s="50" t="s">
        <v>1493</v>
      </c>
      <c r="AD119" s="19"/>
      <c r="AE119" s="19"/>
      <c r="AF119" s="19"/>
      <c r="AG119" s="19"/>
    </row>
    <row r="120">
      <c r="A120" s="47">
        <f>COUNTIF('Divulgação'!$B:$B,B120)</f>
        <v>1</v>
      </c>
      <c r="B120" s="53" t="s">
        <v>563</v>
      </c>
      <c r="C120" s="19"/>
      <c r="D120" s="50" t="s">
        <v>1314</v>
      </c>
      <c r="E120" s="50" t="s">
        <v>1315</v>
      </c>
      <c r="F120" s="62" t="s">
        <v>2091</v>
      </c>
      <c r="G120" s="50" t="s">
        <v>1316</v>
      </c>
      <c r="H120" s="62" t="s">
        <v>2091</v>
      </c>
      <c r="I120" s="47" t="s">
        <v>1324</v>
      </c>
      <c r="J120" s="62" t="s">
        <v>1488</v>
      </c>
      <c r="K120" s="50" t="s">
        <v>1489</v>
      </c>
      <c r="L120" s="47" t="s">
        <v>1496</v>
      </c>
      <c r="M120" s="19"/>
      <c r="N120" s="19"/>
      <c r="O120" s="19"/>
      <c r="P120" s="19"/>
      <c r="Q120" s="50">
        <v>1.0</v>
      </c>
      <c r="R120" s="59">
        <v>45838.0</v>
      </c>
      <c r="S120" s="59">
        <v>45965.0</v>
      </c>
      <c r="T120" s="59">
        <v>45840.0</v>
      </c>
      <c r="U120" s="19"/>
      <c r="V120" s="50" t="s">
        <v>1321</v>
      </c>
      <c r="W120" s="19"/>
      <c r="X120" s="50" t="s">
        <v>12</v>
      </c>
      <c r="Y120" s="50" t="s">
        <v>1322</v>
      </c>
      <c r="Z120" s="50">
        <v>3.040288467E9</v>
      </c>
      <c r="AA120" s="50" t="s">
        <v>16</v>
      </c>
      <c r="AB120" s="50" t="s">
        <v>1331</v>
      </c>
      <c r="AC120" s="50" t="s">
        <v>1419</v>
      </c>
      <c r="AD120" s="19"/>
      <c r="AE120" s="19"/>
      <c r="AF120" s="19"/>
      <c r="AG120" s="19"/>
    </row>
    <row r="121">
      <c r="A121" s="47">
        <f>COUNTIF('Divulgação'!$B:$B,B121)</f>
        <v>1</v>
      </c>
      <c r="B121" s="53" t="s">
        <v>565</v>
      </c>
      <c r="C121" s="19"/>
      <c r="D121" s="50" t="s">
        <v>1314</v>
      </c>
      <c r="E121" s="50" t="s">
        <v>1315</v>
      </c>
      <c r="F121" s="62" t="s">
        <v>2091</v>
      </c>
      <c r="G121" s="50" t="s">
        <v>1316</v>
      </c>
      <c r="H121" s="62" t="s">
        <v>2091</v>
      </c>
      <c r="I121" s="47" t="s">
        <v>1324</v>
      </c>
      <c r="J121" s="62" t="s">
        <v>1325</v>
      </c>
      <c r="K121" s="50" t="s">
        <v>1326</v>
      </c>
      <c r="L121" s="47" t="s">
        <v>1494</v>
      </c>
      <c r="M121" s="19"/>
      <c r="N121" s="19"/>
      <c r="O121" s="19"/>
      <c r="P121" s="19"/>
      <c r="Q121" s="50">
        <v>1.0</v>
      </c>
      <c r="R121" s="59">
        <v>45838.0</v>
      </c>
      <c r="S121" s="59">
        <v>45842.0</v>
      </c>
      <c r="T121" s="59">
        <v>45840.0</v>
      </c>
      <c r="U121" s="19"/>
      <c r="V121" s="50" t="s">
        <v>1321</v>
      </c>
      <c r="W121" s="19"/>
      <c r="X121" s="50" t="s">
        <v>12</v>
      </c>
      <c r="Y121" s="50" t="s">
        <v>1322</v>
      </c>
      <c r="Z121" s="50">
        <v>3.040287606E9</v>
      </c>
      <c r="AA121" s="50" t="s">
        <v>16</v>
      </c>
      <c r="AB121" s="50" t="s">
        <v>1331</v>
      </c>
      <c r="AC121" s="50" t="s">
        <v>1486</v>
      </c>
      <c r="AD121" s="19"/>
      <c r="AE121" s="19"/>
      <c r="AF121" s="19"/>
      <c r="AG121" s="19"/>
    </row>
    <row r="122">
      <c r="A122" s="47">
        <f>COUNTIF('Divulgação'!$B:$B,B122)</f>
        <v>1</v>
      </c>
      <c r="B122" s="53" t="s">
        <v>567</v>
      </c>
      <c r="C122" s="19"/>
      <c r="D122" s="50" t="s">
        <v>1314</v>
      </c>
      <c r="E122" s="50" t="s">
        <v>1315</v>
      </c>
      <c r="F122" s="62" t="s">
        <v>2091</v>
      </c>
      <c r="G122" s="50" t="s">
        <v>1316</v>
      </c>
      <c r="H122" s="62" t="s">
        <v>2091</v>
      </c>
      <c r="I122" s="47" t="s">
        <v>1324</v>
      </c>
      <c r="J122" s="62" t="s">
        <v>1325</v>
      </c>
      <c r="K122" s="50" t="s">
        <v>1326</v>
      </c>
      <c r="L122" s="47" t="s">
        <v>1495</v>
      </c>
      <c r="M122" s="19"/>
      <c r="N122" s="19"/>
      <c r="O122" s="19"/>
      <c r="P122" s="19"/>
      <c r="Q122" s="50">
        <v>1.0</v>
      </c>
      <c r="R122" s="59">
        <v>45838.0</v>
      </c>
      <c r="S122" s="59">
        <v>45842.0</v>
      </c>
      <c r="T122" s="59">
        <v>45840.0</v>
      </c>
      <c r="U122" s="19"/>
      <c r="V122" s="50" t="s">
        <v>1321</v>
      </c>
      <c r="W122" s="19"/>
      <c r="X122" s="50" t="s">
        <v>12</v>
      </c>
      <c r="Y122" s="50" t="s">
        <v>1322</v>
      </c>
      <c r="Z122" s="50">
        <v>3.040285494E9</v>
      </c>
      <c r="AA122" s="50" t="s">
        <v>1491</v>
      </c>
      <c r="AB122" s="50" t="s">
        <v>1492</v>
      </c>
      <c r="AC122" s="50" t="s">
        <v>1493</v>
      </c>
      <c r="AD122" s="19"/>
      <c r="AE122" s="19"/>
      <c r="AF122" s="19"/>
      <c r="AG122" s="19"/>
    </row>
    <row r="123">
      <c r="A123" s="47">
        <f>COUNTIF('Divulgação'!$B:$B,B123)</f>
        <v>1</v>
      </c>
      <c r="B123" s="53" t="s">
        <v>569</v>
      </c>
      <c r="C123" s="19"/>
      <c r="D123" s="50" t="s">
        <v>1314</v>
      </c>
      <c r="E123" s="50" t="s">
        <v>1315</v>
      </c>
      <c r="F123" s="62" t="s">
        <v>2119</v>
      </c>
      <c r="G123" s="50" t="s">
        <v>1316</v>
      </c>
      <c r="H123" s="62" t="s">
        <v>2119</v>
      </c>
      <c r="I123" s="47" t="s">
        <v>127</v>
      </c>
      <c r="J123" s="50" t="s">
        <v>232</v>
      </c>
      <c r="K123" s="50" t="s">
        <v>128</v>
      </c>
      <c r="L123" s="53" t="s">
        <v>1497</v>
      </c>
      <c r="M123" s="19"/>
      <c r="N123" s="19"/>
      <c r="O123" s="19"/>
      <c r="P123" s="19"/>
      <c r="Q123" s="50">
        <v>1.0</v>
      </c>
      <c r="R123" s="59">
        <v>45848.0</v>
      </c>
      <c r="S123" s="61">
        <v>45977.0</v>
      </c>
      <c r="T123" s="59">
        <v>45849.0</v>
      </c>
      <c r="U123" s="19"/>
      <c r="V123" s="50" t="s">
        <v>1321</v>
      </c>
      <c r="W123" s="19"/>
      <c r="X123" s="50" t="s">
        <v>12</v>
      </c>
      <c r="Y123" s="50" t="s">
        <v>1322</v>
      </c>
      <c r="Z123" s="50">
        <v>3.040299343E9</v>
      </c>
      <c r="AA123" s="50" t="s">
        <v>16</v>
      </c>
      <c r="AB123" s="50" t="s">
        <v>1331</v>
      </c>
      <c r="AC123" s="50" t="s">
        <v>1486</v>
      </c>
      <c r="AD123" s="19"/>
      <c r="AE123" s="19"/>
      <c r="AF123" s="19"/>
      <c r="AG123" s="19"/>
    </row>
    <row r="124">
      <c r="A124" s="47">
        <f>COUNTIF('Divulgação'!$B:$B,B124)</f>
        <v>1</v>
      </c>
      <c r="B124" s="53" t="s">
        <v>571</v>
      </c>
      <c r="C124" s="19"/>
      <c r="D124" s="50" t="s">
        <v>1314</v>
      </c>
      <c r="E124" s="50" t="s">
        <v>1315</v>
      </c>
      <c r="F124" s="62" t="s">
        <v>2119</v>
      </c>
      <c r="G124" s="50" t="s">
        <v>1316</v>
      </c>
      <c r="H124" s="62" t="s">
        <v>2119</v>
      </c>
      <c r="I124" s="47" t="s">
        <v>145</v>
      </c>
      <c r="J124" s="62" t="s">
        <v>1498</v>
      </c>
      <c r="K124" s="50" t="s">
        <v>146</v>
      </c>
      <c r="L124" s="53" t="s">
        <v>2120</v>
      </c>
      <c r="M124" s="19"/>
      <c r="N124" s="19"/>
      <c r="O124" s="19"/>
      <c r="P124" s="19"/>
      <c r="Q124" s="50">
        <v>1.0</v>
      </c>
      <c r="R124" s="59">
        <v>45848.0</v>
      </c>
      <c r="S124" s="59">
        <v>45938.0</v>
      </c>
      <c r="T124" s="59">
        <v>45849.0</v>
      </c>
      <c r="U124" s="19"/>
      <c r="V124" s="50" t="s">
        <v>1321</v>
      </c>
      <c r="W124" s="19"/>
      <c r="X124" s="50" t="s">
        <v>12</v>
      </c>
      <c r="Y124" s="50" t="s">
        <v>1322</v>
      </c>
      <c r="Z124" s="50">
        <v>3.04031272E9</v>
      </c>
      <c r="AA124" s="50" t="s">
        <v>1500</v>
      </c>
      <c r="AB124" s="50" t="s">
        <v>1501</v>
      </c>
      <c r="AC124" s="50" t="s">
        <v>1502</v>
      </c>
      <c r="AD124" s="19"/>
      <c r="AE124" s="19"/>
      <c r="AF124" s="19"/>
      <c r="AG124" s="19"/>
    </row>
    <row r="125">
      <c r="A125" s="47">
        <f>COUNTIF('Divulgação'!$B:$B,B125)</f>
        <v>1</v>
      </c>
      <c r="B125" s="53" t="s">
        <v>573</v>
      </c>
      <c r="C125" s="19"/>
      <c r="D125" s="50" t="s">
        <v>1314</v>
      </c>
      <c r="E125" s="50" t="s">
        <v>1315</v>
      </c>
      <c r="F125" s="62" t="s">
        <v>2119</v>
      </c>
      <c r="G125" s="50" t="s">
        <v>1316</v>
      </c>
      <c r="H125" s="62" t="s">
        <v>2119</v>
      </c>
      <c r="I125" s="47" t="s">
        <v>179</v>
      </c>
      <c r="J125" s="62" t="s">
        <v>1524</v>
      </c>
      <c r="K125" s="50" t="s">
        <v>1852</v>
      </c>
      <c r="L125" s="53" t="s">
        <v>2121</v>
      </c>
      <c r="M125" s="19"/>
      <c r="N125" s="19"/>
      <c r="O125" s="19"/>
      <c r="P125" s="19"/>
      <c r="Q125" s="50">
        <v>1.0</v>
      </c>
      <c r="R125" s="59">
        <v>45848.0</v>
      </c>
      <c r="S125" s="59">
        <v>45854.0</v>
      </c>
      <c r="T125" s="59">
        <v>45849.0</v>
      </c>
      <c r="U125" s="19"/>
      <c r="V125" s="50" t="s">
        <v>1347</v>
      </c>
      <c r="W125" s="50">
        <v>3.04250073788E11</v>
      </c>
      <c r="X125" s="50" t="s">
        <v>12</v>
      </c>
      <c r="Y125" s="50" t="s">
        <v>1322</v>
      </c>
      <c r="Z125" s="50">
        <v>3.040313667E9</v>
      </c>
      <c r="AA125" s="50" t="s">
        <v>12</v>
      </c>
      <c r="AB125" s="50" t="s">
        <v>1322</v>
      </c>
      <c r="AC125" s="50" t="s">
        <v>1369</v>
      </c>
      <c r="AD125" s="19"/>
      <c r="AE125" s="19"/>
      <c r="AF125" s="19"/>
      <c r="AG125" s="19"/>
    </row>
    <row r="126">
      <c r="A126" s="47">
        <f>COUNTIF('Divulgação'!$B:$B,B126)</f>
        <v>1</v>
      </c>
      <c r="B126" s="53" t="s">
        <v>575</v>
      </c>
      <c r="C126" s="19"/>
      <c r="D126" s="50" t="s">
        <v>1314</v>
      </c>
      <c r="E126" s="50" t="s">
        <v>1315</v>
      </c>
      <c r="F126" s="62" t="s">
        <v>2122</v>
      </c>
      <c r="G126" s="50" t="s">
        <v>1316</v>
      </c>
      <c r="H126" s="62" t="s">
        <v>2122</v>
      </c>
      <c r="I126" s="47" t="s">
        <v>79</v>
      </c>
      <c r="J126" s="50" t="s">
        <v>1503</v>
      </c>
      <c r="K126" s="50" t="s">
        <v>1504</v>
      </c>
      <c r="L126" s="53" t="s">
        <v>2123</v>
      </c>
      <c r="M126" s="19"/>
      <c r="N126" s="19"/>
      <c r="O126" s="19"/>
      <c r="P126" s="19"/>
      <c r="Q126" s="50">
        <v>1.0</v>
      </c>
      <c r="R126" s="59">
        <v>45852.0</v>
      </c>
      <c r="S126" s="61">
        <v>45979.0</v>
      </c>
      <c r="T126" s="59">
        <v>45853.0</v>
      </c>
      <c r="U126" s="19"/>
      <c r="V126" s="50" t="s">
        <v>1347</v>
      </c>
      <c r="W126" s="50">
        <v>3.13250016635E11</v>
      </c>
      <c r="X126" s="50" t="s">
        <v>12</v>
      </c>
      <c r="Y126" s="50" t="s">
        <v>1322</v>
      </c>
      <c r="Z126" s="50">
        <v>3.040315236E9</v>
      </c>
      <c r="AA126" s="50" t="s">
        <v>12</v>
      </c>
      <c r="AB126" s="50" t="s">
        <v>1322</v>
      </c>
      <c r="AC126" s="50" t="s">
        <v>1369</v>
      </c>
      <c r="AD126" s="19"/>
      <c r="AE126" s="19"/>
      <c r="AF126" s="19"/>
      <c r="AG126" s="19"/>
    </row>
    <row r="127">
      <c r="A127" s="47">
        <f>COUNTIF('Divulgação'!$B:$B,B127)</f>
        <v>1</v>
      </c>
      <c r="B127" s="53" t="s">
        <v>577</v>
      </c>
      <c r="C127" s="19"/>
      <c r="D127" s="50" t="s">
        <v>1314</v>
      </c>
      <c r="E127" s="50" t="s">
        <v>1315</v>
      </c>
      <c r="F127" s="62" t="s">
        <v>2124</v>
      </c>
      <c r="G127" s="50" t="s">
        <v>1316</v>
      </c>
      <c r="H127" s="62" t="s">
        <v>2124</v>
      </c>
      <c r="I127" s="47" t="s">
        <v>123</v>
      </c>
      <c r="J127" s="50" t="s">
        <v>1505</v>
      </c>
      <c r="K127" s="50" t="s">
        <v>1506</v>
      </c>
      <c r="L127" s="53" t="s">
        <v>1507</v>
      </c>
      <c r="M127" s="19"/>
      <c r="N127" s="19"/>
      <c r="O127" s="19"/>
      <c r="P127" s="19"/>
      <c r="Q127" s="50">
        <v>1.0</v>
      </c>
      <c r="R127" s="59">
        <v>45854.0</v>
      </c>
      <c r="S127" s="59">
        <v>45860.0</v>
      </c>
      <c r="T127" s="59">
        <v>45855.0</v>
      </c>
      <c r="U127" s="19"/>
      <c r="V127" s="50" t="s">
        <v>1321</v>
      </c>
      <c r="W127" s="19"/>
      <c r="X127" s="50" t="s">
        <v>12</v>
      </c>
      <c r="Y127" s="50" t="s">
        <v>1322</v>
      </c>
      <c r="Z127" s="50">
        <v>3.040290764E9</v>
      </c>
      <c r="AA127" s="50" t="s">
        <v>17</v>
      </c>
      <c r="AB127" s="50" t="s">
        <v>1343</v>
      </c>
      <c r="AC127" s="50" t="s">
        <v>1508</v>
      </c>
      <c r="AD127" s="19"/>
      <c r="AE127" s="19"/>
      <c r="AF127" s="19"/>
      <c r="AG127" s="19"/>
    </row>
    <row r="128">
      <c r="A128" s="47">
        <f>COUNTIF('Divulgação'!$B:$B,B128)</f>
        <v>1</v>
      </c>
      <c r="B128" s="53" t="s">
        <v>579</v>
      </c>
      <c r="C128" s="19"/>
      <c r="D128" s="50" t="s">
        <v>1314</v>
      </c>
      <c r="E128" s="50" t="s">
        <v>1315</v>
      </c>
      <c r="F128" s="62" t="s">
        <v>2124</v>
      </c>
      <c r="G128" s="50" t="s">
        <v>1316</v>
      </c>
      <c r="H128" s="62" t="s">
        <v>2124</v>
      </c>
      <c r="I128" s="47" t="s">
        <v>123</v>
      </c>
      <c r="J128" s="62" t="s">
        <v>1318</v>
      </c>
      <c r="K128" s="50" t="s">
        <v>1506</v>
      </c>
      <c r="L128" s="47" t="s">
        <v>2125</v>
      </c>
      <c r="M128" s="19"/>
      <c r="N128" s="19"/>
      <c r="O128" s="19"/>
      <c r="P128" s="19"/>
      <c r="Q128" s="50">
        <v>1.0</v>
      </c>
      <c r="R128" s="59">
        <v>45854.0</v>
      </c>
      <c r="S128" s="59">
        <v>45860.0</v>
      </c>
      <c r="T128" s="59">
        <v>45855.0</v>
      </c>
      <c r="U128" s="19"/>
      <c r="V128" s="50" t="s">
        <v>1321</v>
      </c>
      <c r="W128" s="19"/>
      <c r="X128" s="50" t="s">
        <v>12</v>
      </c>
      <c r="Y128" s="50" t="s">
        <v>1322</v>
      </c>
      <c r="Z128" s="50">
        <v>3.040300504E9</v>
      </c>
      <c r="AA128" s="50" t="s">
        <v>12</v>
      </c>
      <c r="AB128" s="50" t="s">
        <v>1322</v>
      </c>
      <c r="AC128" s="50" t="s">
        <v>1369</v>
      </c>
      <c r="AD128" s="19"/>
      <c r="AE128" s="19"/>
      <c r="AF128" s="19"/>
      <c r="AG128" s="19"/>
    </row>
    <row r="129">
      <c r="A129" s="47">
        <f>COUNTIF('Divulgação'!$B:$B,B129)</f>
        <v>1</v>
      </c>
      <c r="B129" s="53" t="s">
        <v>581</v>
      </c>
      <c r="C129" s="19"/>
      <c r="D129" s="50" t="s">
        <v>1314</v>
      </c>
      <c r="E129" s="50" t="s">
        <v>1315</v>
      </c>
      <c r="F129" s="62" t="s">
        <v>2126</v>
      </c>
      <c r="G129" s="50" t="s">
        <v>1316</v>
      </c>
      <c r="H129" s="62" t="s">
        <v>2126</v>
      </c>
      <c r="I129" s="47" t="s">
        <v>1759</v>
      </c>
      <c r="J129" s="50" t="s">
        <v>48</v>
      </c>
      <c r="K129" s="50" t="s">
        <v>88</v>
      </c>
      <c r="L129" s="47" t="s">
        <v>1764</v>
      </c>
      <c r="M129" s="19"/>
      <c r="N129" s="19"/>
      <c r="O129" s="19"/>
      <c r="P129" s="19"/>
      <c r="Q129" s="50">
        <v>1.0</v>
      </c>
      <c r="R129" s="59">
        <v>45855.0</v>
      </c>
      <c r="S129" s="59">
        <v>45861.0</v>
      </c>
      <c r="T129" s="59">
        <v>45856.0</v>
      </c>
      <c r="U129" s="19"/>
      <c r="V129" s="50" t="s">
        <v>1321</v>
      </c>
      <c r="W129" s="19"/>
      <c r="X129" s="50" t="s">
        <v>12</v>
      </c>
      <c r="Y129" s="50" t="s">
        <v>1322</v>
      </c>
      <c r="Z129" s="50">
        <v>3.040299945E9</v>
      </c>
      <c r="AA129" s="50" t="s">
        <v>16</v>
      </c>
      <c r="AB129" s="50" t="s">
        <v>1331</v>
      </c>
      <c r="AC129" s="50" t="s">
        <v>2127</v>
      </c>
      <c r="AD129" s="19"/>
      <c r="AE129" s="19"/>
      <c r="AF129" s="19"/>
      <c r="AG129" s="19"/>
    </row>
    <row r="130">
      <c r="A130" s="47">
        <f>COUNTIF('Divulgação'!$B:$B,B130)</f>
        <v>1</v>
      </c>
      <c r="B130" s="53" t="s">
        <v>583</v>
      </c>
      <c r="C130" s="19"/>
      <c r="D130" s="50" t="s">
        <v>1314</v>
      </c>
      <c r="E130" s="50" t="s">
        <v>1315</v>
      </c>
      <c r="F130" s="62" t="s">
        <v>2128</v>
      </c>
      <c r="G130" s="50" t="s">
        <v>1316</v>
      </c>
      <c r="H130" s="62" t="s">
        <v>2128</v>
      </c>
      <c r="I130" s="47" t="s">
        <v>163</v>
      </c>
      <c r="J130" s="62" t="s">
        <v>1509</v>
      </c>
      <c r="K130" s="50" t="s">
        <v>1510</v>
      </c>
      <c r="L130" s="47" t="s">
        <v>1511</v>
      </c>
      <c r="M130" s="19"/>
      <c r="N130" s="19"/>
      <c r="O130" s="19"/>
      <c r="P130" s="19"/>
      <c r="Q130" s="50">
        <v>1.0</v>
      </c>
      <c r="R130" s="59">
        <v>45868.0</v>
      </c>
      <c r="S130" s="59">
        <v>45966.0</v>
      </c>
      <c r="T130" s="59">
        <v>45869.0</v>
      </c>
      <c r="U130" s="19"/>
      <c r="V130" s="50" t="s">
        <v>1321</v>
      </c>
      <c r="W130" s="19"/>
      <c r="X130" s="50" t="s">
        <v>12</v>
      </c>
      <c r="Y130" s="50" t="s">
        <v>1322</v>
      </c>
      <c r="Z130" s="50">
        <v>3.040309896E9</v>
      </c>
      <c r="AA130" s="50" t="s">
        <v>12</v>
      </c>
      <c r="AB130" s="50" t="s">
        <v>1322</v>
      </c>
      <c r="AC130" s="50" t="s">
        <v>1369</v>
      </c>
      <c r="AD130" s="19"/>
      <c r="AE130" s="19"/>
      <c r="AF130" s="19"/>
      <c r="AG130" s="19"/>
    </row>
    <row r="131">
      <c r="A131" s="47">
        <f>COUNTIF('Divulgação'!$B:$B,B131)</f>
        <v>1</v>
      </c>
      <c r="B131" s="53" t="s">
        <v>585</v>
      </c>
      <c r="C131" s="19"/>
      <c r="D131" s="50" t="s">
        <v>1314</v>
      </c>
      <c r="E131" s="50" t="s">
        <v>1315</v>
      </c>
      <c r="F131" s="62" t="s">
        <v>2128</v>
      </c>
      <c r="G131" s="50" t="s">
        <v>1316</v>
      </c>
      <c r="H131" s="62" t="s">
        <v>2128</v>
      </c>
      <c r="I131" s="47" t="s">
        <v>183</v>
      </c>
      <c r="J131" s="50" t="s">
        <v>232</v>
      </c>
      <c r="K131" s="50" t="s">
        <v>184</v>
      </c>
      <c r="L131" s="53" t="s">
        <v>1512</v>
      </c>
      <c r="M131" s="19"/>
      <c r="N131" s="19"/>
      <c r="O131" s="19"/>
      <c r="P131" s="19"/>
      <c r="Q131" s="50">
        <v>1.0</v>
      </c>
      <c r="R131" s="59">
        <v>45658.0</v>
      </c>
      <c r="S131" s="59">
        <v>45962.0</v>
      </c>
      <c r="T131" s="59">
        <v>45869.0</v>
      </c>
      <c r="U131" s="19"/>
      <c r="V131" s="50" t="s">
        <v>1347</v>
      </c>
      <c r="W131" s="50">
        <v>3.13250017121E11</v>
      </c>
      <c r="X131" s="50" t="s">
        <v>12</v>
      </c>
      <c r="Y131" s="50" t="s">
        <v>1322</v>
      </c>
      <c r="Z131" s="50">
        <v>3.040302771E9</v>
      </c>
      <c r="AA131" s="50" t="s">
        <v>20</v>
      </c>
      <c r="AB131" s="50" t="s">
        <v>1513</v>
      </c>
      <c r="AC131" s="50" t="s">
        <v>1514</v>
      </c>
      <c r="AD131" s="19"/>
      <c r="AE131" s="19"/>
      <c r="AF131" s="19"/>
      <c r="AG131" s="19"/>
    </row>
    <row r="132">
      <c r="A132" s="47">
        <f>COUNTIF('Divulgação'!$B:$B,B132)</f>
        <v>1</v>
      </c>
      <c r="B132" s="53" t="s">
        <v>587</v>
      </c>
      <c r="C132" s="19"/>
      <c r="D132" s="50" t="s">
        <v>1314</v>
      </c>
      <c r="E132" s="50" t="s">
        <v>1315</v>
      </c>
      <c r="F132" s="62" t="s">
        <v>2128</v>
      </c>
      <c r="G132" s="50" t="s">
        <v>1316</v>
      </c>
      <c r="H132" s="62" t="s">
        <v>2128</v>
      </c>
      <c r="I132" s="47" t="s">
        <v>161</v>
      </c>
      <c r="J132" s="50" t="s">
        <v>232</v>
      </c>
      <c r="K132" s="50" t="s">
        <v>162</v>
      </c>
      <c r="L132" s="53" t="s">
        <v>1517</v>
      </c>
      <c r="M132" s="19"/>
      <c r="N132" s="19"/>
      <c r="O132" s="19"/>
      <c r="P132" s="19"/>
      <c r="Q132" s="50">
        <v>1.0</v>
      </c>
      <c r="R132" s="59">
        <v>45868.0</v>
      </c>
      <c r="S132" s="59">
        <v>45874.0</v>
      </c>
      <c r="T132" s="59">
        <v>45869.0</v>
      </c>
      <c r="U132" s="19"/>
      <c r="V132" s="50" t="s">
        <v>1321</v>
      </c>
      <c r="W132" s="19"/>
      <c r="X132" s="50" t="s">
        <v>12</v>
      </c>
      <c r="Y132" s="50" t="s">
        <v>1322</v>
      </c>
      <c r="Z132" s="50">
        <v>3.040301262E9</v>
      </c>
      <c r="AA132" s="50" t="s">
        <v>13</v>
      </c>
      <c r="AB132" s="50" t="s">
        <v>1380</v>
      </c>
      <c r="AC132" s="50" t="s">
        <v>1518</v>
      </c>
      <c r="AD132" s="19"/>
      <c r="AE132" s="19"/>
      <c r="AF132" s="19"/>
      <c r="AG132" s="19"/>
    </row>
    <row r="133">
      <c r="A133" s="47">
        <f>COUNTIF('Divulgação'!$B:$B,B133)</f>
        <v>1</v>
      </c>
      <c r="B133" s="53" t="s">
        <v>589</v>
      </c>
      <c r="C133" s="19"/>
      <c r="D133" s="50" t="s">
        <v>1314</v>
      </c>
      <c r="E133" s="50" t="s">
        <v>1315</v>
      </c>
      <c r="F133" s="62" t="s">
        <v>2128</v>
      </c>
      <c r="G133" s="50" t="s">
        <v>1316</v>
      </c>
      <c r="H133" s="62" t="s">
        <v>2128</v>
      </c>
      <c r="I133" s="47" t="s">
        <v>163</v>
      </c>
      <c r="J133" s="62" t="s">
        <v>1509</v>
      </c>
      <c r="K133" s="50" t="s">
        <v>1510</v>
      </c>
      <c r="L133" s="53" t="s">
        <v>2129</v>
      </c>
      <c r="M133" s="19"/>
      <c r="N133" s="19"/>
      <c r="O133" s="19"/>
      <c r="P133" s="19"/>
      <c r="Q133" s="50">
        <v>1.0</v>
      </c>
      <c r="R133" s="59">
        <v>45868.0</v>
      </c>
      <c r="S133" s="59">
        <v>45966.0</v>
      </c>
      <c r="T133" s="59">
        <v>45869.0</v>
      </c>
      <c r="U133" s="19"/>
      <c r="V133" s="50" t="s">
        <v>1321</v>
      </c>
      <c r="W133" s="19"/>
      <c r="X133" s="50" t="s">
        <v>12</v>
      </c>
      <c r="Y133" s="50" t="s">
        <v>1322</v>
      </c>
      <c r="Z133" s="50">
        <v>3.040313666E9</v>
      </c>
      <c r="AA133" s="50" t="s">
        <v>12</v>
      </c>
      <c r="AB133" s="50" t="s">
        <v>1322</v>
      </c>
      <c r="AC133" s="50" t="s">
        <v>1369</v>
      </c>
      <c r="AD133" s="19"/>
      <c r="AE133" s="19"/>
      <c r="AF133" s="19"/>
      <c r="AG133" s="19"/>
    </row>
    <row r="134">
      <c r="A134" s="47">
        <f>COUNTIF('Divulgação'!$B:$B,B134)</f>
        <v>1</v>
      </c>
      <c r="B134" s="53" t="s">
        <v>591</v>
      </c>
      <c r="C134" s="19"/>
      <c r="D134" s="50" t="s">
        <v>1314</v>
      </c>
      <c r="E134" s="50" t="s">
        <v>1315</v>
      </c>
      <c r="F134" s="62" t="s">
        <v>2128</v>
      </c>
      <c r="G134" s="50" t="s">
        <v>1316</v>
      </c>
      <c r="H134" s="62" t="s">
        <v>2128</v>
      </c>
      <c r="I134" s="47" t="s">
        <v>183</v>
      </c>
      <c r="J134" s="50" t="s">
        <v>232</v>
      </c>
      <c r="K134" s="50" t="s">
        <v>184</v>
      </c>
      <c r="L134" s="53" t="s">
        <v>1515</v>
      </c>
      <c r="M134" s="19"/>
      <c r="N134" s="19"/>
      <c r="O134" s="19"/>
      <c r="P134" s="19"/>
      <c r="Q134" s="50">
        <v>1.0</v>
      </c>
      <c r="R134" s="59">
        <v>45658.0</v>
      </c>
      <c r="S134" s="59">
        <v>45962.0</v>
      </c>
      <c r="T134" s="59">
        <v>45869.0</v>
      </c>
      <c r="U134" s="19"/>
      <c r="V134" s="50" t="s">
        <v>1321</v>
      </c>
      <c r="W134" s="19"/>
      <c r="X134" s="50" t="s">
        <v>12</v>
      </c>
      <c r="Y134" s="50" t="s">
        <v>1322</v>
      </c>
      <c r="Z134" s="50">
        <v>3.04030277E9</v>
      </c>
      <c r="AA134" s="50" t="s">
        <v>20</v>
      </c>
      <c r="AB134" s="50" t="s">
        <v>1513</v>
      </c>
      <c r="AC134" s="50" t="s">
        <v>1516</v>
      </c>
      <c r="AD134" s="19"/>
      <c r="AE134" s="19"/>
      <c r="AF134" s="19"/>
      <c r="AG134" s="19"/>
    </row>
    <row r="135">
      <c r="A135" s="47">
        <f>COUNTIF('Divulgação'!$B:$B,B135)</f>
        <v>1</v>
      </c>
      <c r="B135" s="53" t="s">
        <v>593</v>
      </c>
      <c r="C135" s="19"/>
      <c r="D135" s="50" t="s">
        <v>1314</v>
      </c>
      <c r="E135" s="50" t="s">
        <v>1315</v>
      </c>
      <c r="F135" s="62" t="s">
        <v>2128</v>
      </c>
      <c r="G135" s="50" t="s">
        <v>1316</v>
      </c>
      <c r="H135" s="62" t="s">
        <v>2128</v>
      </c>
      <c r="I135" s="47" t="s">
        <v>1765</v>
      </c>
      <c r="J135" s="50" t="s">
        <v>232</v>
      </c>
      <c r="K135" s="50" t="s">
        <v>1766</v>
      </c>
      <c r="L135" s="53" t="s">
        <v>2130</v>
      </c>
      <c r="M135" s="19"/>
      <c r="N135" s="19"/>
      <c r="O135" s="19"/>
      <c r="P135" s="19"/>
      <c r="Q135" s="50">
        <v>1.0</v>
      </c>
      <c r="R135" s="59">
        <v>45868.0</v>
      </c>
      <c r="S135" s="59">
        <v>45874.0</v>
      </c>
      <c r="T135" s="59">
        <v>45869.0</v>
      </c>
      <c r="U135" s="19"/>
      <c r="V135" s="50" t="s">
        <v>1321</v>
      </c>
      <c r="W135" s="19"/>
      <c r="X135" s="50" t="s">
        <v>12</v>
      </c>
      <c r="Y135" s="50" t="s">
        <v>1322</v>
      </c>
      <c r="Z135" s="50">
        <v>3.040287735E9</v>
      </c>
      <c r="AA135" s="50" t="s">
        <v>16</v>
      </c>
      <c r="AB135" s="50" t="s">
        <v>1331</v>
      </c>
      <c r="AC135" s="50" t="s">
        <v>1486</v>
      </c>
      <c r="AD135" s="19"/>
      <c r="AE135" s="19"/>
      <c r="AF135" s="19"/>
      <c r="AG135" s="19"/>
    </row>
    <row r="136">
      <c r="A136" s="47">
        <f>COUNTIF('Divulgação'!$B:$B,B136)</f>
        <v>1</v>
      </c>
      <c r="B136" s="53" t="s">
        <v>595</v>
      </c>
      <c r="C136" s="19"/>
      <c r="D136" s="50" t="s">
        <v>1314</v>
      </c>
      <c r="E136" s="50" t="s">
        <v>1315</v>
      </c>
      <c r="F136" s="62" t="s">
        <v>2131</v>
      </c>
      <c r="G136" s="50" t="s">
        <v>1316</v>
      </c>
      <c r="H136" s="62" t="s">
        <v>2131</v>
      </c>
      <c r="I136" s="47" t="s">
        <v>1519</v>
      </c>
      <c r="J136" s="62" t="s">
        <v>1318</v>
      </c>
      <c r="K136" s="50" t="s">
        <v>1520</v>
      </c>
      <c r="L136" s="53" t="s">
        <v>1521</v>
      </c>
      <c r="M136" s="19"/>
      <c r="N136" s="19"/>
      <c r="O136" s="19"/>
      <c r="P136" s="19"/>
      <c r="Q136" s="50">
        <v>1.0</v>
      </c>
      <c r="R136" s="59">
        <v>45876.0</v>
      </c>
      <c r="S136" s="61">
        <v>45974.0</v>
      </c>
      <c r="T136" s="59">
        <v>45882.0</v>
      </c>
      <c r="U136" s="19"/>
      <c r="V136" s="50" t="s">
        <v>1321</v>
      </c>
      <c r="W136" s="19"/>
      <c r="X136" s="50" t="s">
        <v>12</v>
      </c>
      <c r="Y136" s="50" t="s">
        <v>1322</v>
      </c>
      <c r="Z136" s="50">
        <v>3.040179095E9</v>
      </c>
      <c r="AA136" s="50" t="s">
        <v>24</v>
      </c>
      <c r="AB136" s="50" t="s">
        <v>1359</v>
      </c>
      <c r="AC136" s="50" t="s">
        <v>1522</v>
      </c>
      <c r="AD136" s="19"/>
      <c r="AE136" s="19"/>
      <c r="AF136" s="19"/>
      <c r="AG136" s="19"/>
    </row>
    <row r="137">
      <c r="A137" s="47">
        <f>COUNTIF('Divulgação'!$B:$B,B137)</f>
        <v>1</v>
      </c>
      <c r="B137" s="53" t="s">
        <v>597</v>
      </c>
      <c r="C137" s="19"/>
      <c r="D137" s="50" t="s">
        <v>1314</v>
      </c>
      <c r="E137" s="50" t="s">
        <v>1315</v>
      </c>
      <c r="F137" s="62" t="s">
        <v>2131</v>
      </c>
      <c r="G137" s="50" t="s">
        <v>1316</v>
      </c>
      <c r="H137" s="62" t="s">
        <v>2131</v>
      </c>
      <c r="I137" s="47" t="s">
        <v>1534</v>
      </c>
      <c r="J137" s="62" t="s">
        <v>2024</v>
      </c>
      <c r="K137" s="50" t="s">
        <v>1535</v>
      </c>
      <c r="L137" s="47" t="s">
        <v>2132</v>
      </c>
      <c r="M137" s="19"/>
      <c r="N137" s="19"/>
      <c r="O137" s="19"/>
      <c r="P137" s="19"/>
      <c r="Q137" s="50">
        <v>1.0</v>
      </c>
      <c r="R137" s="59">
        <v>45876.0</v>
      </c>
      <c r="S137" s="61">
        <v>45974.0</v>
      </c>
      <c r="T137" s="59">
        <v>45882.0</v>
      </c>
      <c r="U137" s="19"/>
      <c r="V137" s="50" t="s">
        <v>1321</v>
      </c>
      <c r="W137" s="19"/>
      <c r="X137" s="50" t="s">
        <v>12</v>
      </c>
      <c r="Y137" s="50" t="s">
        <v>1322</v>
      </c>
      <c r="Z137" s="50">
        <v>3.040313463E9</v>
      </c>
      <c r="AA137" s="50" t="s">
        <v>12</v>
      </c>
      <c r="AB137" s="50" t="s">
        <v>1322</v>
      </c>
      <c r="AC137" s="50" t="s">
        <v>1369</v>
      </c>
      <c r="AD137" s="19"/>
      <c r="AE137" s="19"/>
      <c r="AF137" s="19"/>
      <c r="AG137" s="19"/>
    </row>
    <row r="138">
      <c r="A138" s="47">
        <f>COUNTIF('Divulgação'!$B:$B,B138)</f>
        <v>1</v>
      </c>
      <c r="B138" s="53" t="s">
        <v>599</v>
      </c>
      <c r="C138" s="19"/>
      <c r="D138" s="50" t="s">
        <v>1314</v>
      </c>
      <c r="E138" s="50" t="s">
        <v>1315</v>
      </c>
      <c r="F138" s="62" t="s">
        <v>2133</v>
      </c>
      <c r="G138" s="50" t="s">
        <v>1316</v>
      </c>
      <c r="H138" s="62" t="s">
        <v>2133</v>
      </c>
      <c r="I138" s="47" t="s">
        <v>1759</v>
      </c>
      <c r="J138" s="50" t="s">
        <v>48</v>
      </c>
      <c r="K138" s="50" t="s">
        <v>88</v>
      </c>
      <c r="L138" s="47" t="s">
        <v>1763</v>
      </c>
      <c r="M138" s="19"/>
      <c r="N138" s="19"/>
      <c r="O138" s="19"/>
      <c r="P138" s="19"/>
      <c r="Q138" s="50">
        <v>1.0</v>
      </c>
      <c r="R138" s="59">
        <v>45888.0</v>
      </c>
      <c r="S138" s="59">
        <v>45894.0</v>
      </c>
      <c r="T138" s="59">
        <v>45891.0</v>
      </c>
      <c r="U138" s="19"/>
      <c r="V138" s="50" t="s">
        <v>1321</v>
      </c>
      <c r="W138" s="19"/>
      <c r="X138" s="50" t="s">
        <v>12</v>
      </c>
      <c r="Y138" s="50" t="s">
        <v>1322</v>
      </c>
      <c r="Z138" s="50">
        <v>3.040315815E9</v>
      </c>
      <c r="AA138" s="50" t="s">
        <v>12</v>
      </c>
      <c r="AB138" s="50" t="s">
        <v>1385</v>
      </c>
      <c r="AC138" s="50" t="s">
        <v>2134</v>
      </c>
      <c r="AD138" s="19"/>
      <c r="AE138" s="19"/>
      <c r="AF138" s="19"/>
      <c r="AG138" s="19"/>
    </row>
    <row r="139">
      <c r="A139" s="47">
        <f>COUNTIF('Divulgação'!$B:$B,B139)</f>
        <v>1</v>
      </c>
      <c r="B139" s="53" t="s">
        <v>601</v>
      </c>
      <c r="C139" s="19"/>
      <c r="D139" s="50" t="s">
        <v>1314</v>
      </c>
      <c r="E139" s="50" t="s">
        <v>1315</v>
      </c>
      <c r="F139" s="62" t="s">
        <v>2133</v>
      </c>
      <c r="G139" s="50" t="s">
        <v>1316</v>
      </c>
      <c r="H139" s="62" t="s">
        <v>2133</v>
      </c>
      <c r="I139" s="47" t="s">
        <v>1523</v>
      </c>
      <c r="J139" s="62" t="s">
        <v>1524</v>
      </c>
      <c r="K139" s="50" t="s">
        <v>1525</v>
      </c>
      <c r="L139" s="53" t="s">
        <v>2135</v>
      </c>
      <c r="M139" s="19"/>
      <c r="N139" s="19"/>
      <c r="O139" s="19"/>
      <c r="P139" s="19"/>
      <c r="Q139" s="50">
        <v>1.0</v>
      </c>
      <c r="R139" s="59">
        <v>45888.0</v>
      </c>
      <c r="S139" s="61">
        <v>45986.0</v>
      </c>
      <c r="T139" s="59">
        <v>45891.0</v>
      </c>
      <c r="U139" s="19"/>
      <c r="V139" s="50" t="s">
        <v>1321</v>
      </c>
      <c r="W139" s="19"/>
      <c r="X139" s="50" t="s">
        <v>12</v>
      </c>
      <c r="Y139" s="50" t="s">
        <v>1322</v>
      </c>
      <c r="Z139" s="50">
        <v>3.040316752E9</v>
      </c>
      <c r="AA139" s="50" t="s">
        <v>12</v>
      </c>
      <c r="AB139" s="50" t="s">
        <v>1322</v>
      </c>
      <c r="AC139" s="50" t="s">
        <v>1369</v>
      </c>
      <c r="AD139" s="19"/>
      <c r="AE139" s="19"/>
      <c r="AF139" s="19"/>
      <c r="AG139" s="19"/>
    </row>
    <row r="140">
      <c r="A140" s="47">
        <f>COUNTIF('Divulgação'!$B:$B,B140)</f>
        <v>1</v>
      </c>
      <c r="B140" s="53" t="s">
        <v>603</v>
      </c>
      <c r="C140" s="19"/>
      <c r="D140" s="50" t="s">
        <v>1314</v>
      </c>
      <c r="E140" s="50" t="s">
        <v>1315</v>
      </c>
      <c r="F140" s="62" t="s">
        <v>2133</v>
      </c>
      <c r="G140" s="50" t="s">
        <v>1316</v>
      </c>
      <c r="H140" s="62" t="s">
        <v>2133</v>
      </c>
      <c r="I140" s="47" t="s">
        <v>1523</v>
      </c>
      <c r="J140" s="62" t="s">
        <v>1524</v>
      </c>
      <c r="K140" s="50" t="s">
        <v>1525</v>
      </c>
      <c r="L140" s="53" t="s">
        <v>1526</v>
      </c>
      <c r="M140" s="19"/>
      <c r="N140" s="19"/>
      <c r="O140" s="19"/>
      <c r="P140" s="19"/>
      <c r="Q140" s="50">
        <v>1.0</v>
      </c>
      <c r="R140" s="59">
        <v>45888.0</v>
      </c>
      <c r="S140" s="61">
        <v>45986.0</v>
      </c>
      <c r="T140" s="59">
        <v>45891.0</v>
      </c>
      <c r="U140" s="19"/>
      <c r="V140" s="50" t="s">
        <v>1321</v>
      </c>
      <c r="W140" s="19"/>
      <c r="X140" s="50" t="s">
        <v>12</v>
      </c>
      <c r="Y140" s="50" t="s">
        <v>1322</v>
      </c>
      <c r="Z140" s="50">
        <v>3.040316753E9</v>
      </c>
      <c r="AA140" s="50" t="s">
        <v>12</v>
      </c>
      <c r="AB140" s="50" t="s">
        <v>1322</v>
      </c>
      <c r="AC140" s="50" t="s">
        <v>1369</v>
      </c>
      <c r="AD140" s="19"/>
      <c r="AE140" s="19"/>
      <c r="AF140" s="19"/>
      <c r="AG140" s="19"/>
    </row>
    <row r="141">
      <c r="A141" s="47">
        <f>COUNTIF('Divulgação'!$B:$B,B141)</f>
        <v>1</v>
      </c>
      <c r="B141" s="53" t="s">
        <v>605</v>
      </c>
      <c r="C141" s="19"/>
      <c r="D141" s="50" t="s">
        <v>1314</v>
      </c>
      <c r="E141" s="50" t="s">
        <v>1315</v>
      </c>
      <c r="F141" s="62" t="s">
        <v>2133</v>
      </c>
      <c r="G141" s="50" t="s">
        <v>1316</v>
      </c>
      <c r="H141" s="62" t="s">
        <v>2133</v>
      </c>
      <c r="I141" s="47" t="s">
        <v>1759</v>
      </c>
      <c r="J141" s="50" t="s">
        <v>48</v>
      </c>
      <c r="K141" s="50" t="s">
        <v>88</v>
      </c>
      <c r="L141" s="47" t="s">
        <v>1762</v>
      </c>
      <c r="M141" s="19"/>
      <c r="N141" s="19"/>
      <c r="O141" s="19"/>
      <c r="P141" s="19"/>
      <c r="Q141" s="50">
        <v>1.0</v>
      </c>
      <c r="R141" s="59">
        <v>45888.0</v>
      </c>
      <c r="S141" s="59">
        <v>45894.0</v>
      </c>
      <c r="T141" s="59">
        <v>45891.0</v>
      </c>
      <c r="U141" s="19"/>
      <c r="V141" s="50" t="s">
        <v>1321</v>
      </c>
      <c r="W141" s="19"/>
      <c r="X141" s="50" t="s">
        <v>12</v>
      </c>
      <c r="Y141" s="50" t="s">
        <v>1322</v>
      </c>
      <c r="Z141" s="50">
        <v>3.040308086E9</v>
      </c>
      <c r="AA141" s="50" t="s">
        <v>14</v>
      </c>
      <c r="AB141" s="50" t="s">
        <v>1470</v>
      </c>
      <c r="AC141" s="50" t="s">
        <v>1471</v>
      </c>
      <c r="AD141" s="19"/>
      <c r="AE141" s="19"/>
      <c r="AF141" s="19"/>
      <c r="AG141" s="19"/>
    </row>
    <row r="142">
      <c r="A142" s="47">
        <f>COUNTIF('Divulgação'!$B:$B,B142)</f>
        <v>1</v>
      </c>
      <c r="B142" s="53" t="s">
        <v>607</v>
      </c>
      <c r="C142" s="19"/>
      <c r="D142" s="50" t="s">
        <v>1314</v>
      </c>
      <c r="E142" s="50" t="s">
        <v>1315</v>
      </c>
      <c r="F142" s="62" t="s">
        <v>2133</v>
      </c>
      <c r="G142" s="50" t="s">
        <v>1316</v>
      </c>
      <c r="H142" s="62" t="s">
        <v>2133</v>
      </c>
      <c r="I142" s="47" t="s">
        <v>1759</v>
      </c>
      <c r="J142" s="50" t="s">
        <v>48</v>
      </c>
      <c r="K142" s="50" t="s">
        <v>88</v>
      </c>
      <c r="L142" s="47" t="s">
        <v>2136</v>
      </c>
      <c r="M142" s="19"/>
      <c r="N142" s="19"/>
      <c r="O142" s="19"/>
      <c r="P142" s="19"/>
      <c r="Q142" s="50">
        <v>1.0</v>
      </c>
      <c r="R142" s="59">
        <v>45888.0</v>
      </c>
      <c r="S142" s="59">
        <v>45894.0</v>
      </c>
      <c r="T142" s="59">
        <v>45891.0</v>
      </c>
      <c r="U142" s="19"/>
      <c r="V142" s="50" t="s">
        <v>1321</v>
      </c>
      <c r="W142" s="19"/>
      <c r="X142" s="50" t="s">
        <v>12</v>
      </c>
      <c r="Y142" s="50" t="s">
        <v>1322</v>
      </c>
      <c r="Z142" s="50">
        <v>3.040313104E9</v>
      </c>
      <c r="AA142" s="50" t="s">
        <v>12</v>
      </c>
      <c r="AB142" s="50" t="s">
        <v>1322</v>
      </c>
      <c r="AC142" s="50" t="s">
        <v>1336</v>
      </c>
      <c r="AD142" s="19"/>
      <c r="AE142" s="19"/>
      <c r="AF142" s="19"/>
      <c r="AG142" s="19"/>
    </row>
    <row r="143">
      <c r="A143" s="47">
        <f>COUNTIF('Divulgação'!$B:$B,B143)</f>
        <v>1</v>
      </c>
      <c r="B143" s="53" t="s">
        <v>609</v>
      </c>
      <c r="C143" s="19"/>
      <c r="D143" s="50" t="s">
        <v>1314</v>
      </c>
      <c r="E143" s="50" t="s">
        <v>1315</v>
      </c>
      <c r="F143" s="62" t="s">
        <v>2133</v>
      </c>
      <c r="G143" s="50" t="s">
        <v>1316</v>
      </c>
      <c r="H143" s="62" t="s">
        <v>2133</v>
      </c>
      <c r="I143" s="47" t="s">
        <v>1398</v>
      </c>
      <c r="J143" s="62" t="s">
        <v>1399</v>
      </c>
      <c r="K143" s="50" t="s">
        <v>1400</v>
      </c>
      <c r="L143" s="53" t="s">
        <v>2137</v>
      </c>
      <c r="M143" s="19"/>
      <c r="N143" s="19"/>
      <c r="O143" s="19"/>
      <c r="P143" s="19"/>
      <c r="Q143" s="50">
        <v>1.0</v>
      </c>
      <c r="R143" s="59">
        <v>45658.0</v>
      </c>
      <c r="S143" s="61">
        <v>45991.0</v>
      </c>
      <c r="T143" s="59">
        <v>45891.0</v>
      </c>
      <c r="U143" s="19"/>
      <c r="V143" s="50" t="s">
        <v>1321</v>
      </c>
      <c r="W143" s="19"/>
      <c r="X143" s="50" t="s">
        <v>12</v>
      </c>
      <c r="Y143" s="50" t="s">
        <v>1322</v>
      </c>
      <c r="Z143" s="50">
        <v>3.040317351E9</v>
      </c>
      <c r="AA143" s="50" t="s">
        <v>22</v>
      </c>
      <c r="AB143" s="50" t="s">
        <v>2138</v>
      </c>
      <c r="AC143" s="50" t="s">
        <v>1440</v>
      </c>
      <c r="AD143" s="19"/>
      <c r="AE143" s="19"/>
      <c r="AF143" s="19"/>
      <c r="AG143" s="19"/>
    </row>
    <row r="144">
      <c r="A144" s="47">
        <f>COUNTIF('Divulgação'!$B:$B,B144)</f>
        <v>1</v>
      </c>
      <c r="B144" s="53" t="s">
        <v>611</v>
      </c>
      <c r="C144" s="19"/>
      <c r="D144" s="50" t="s">
        <v>1314</v>
      </c>
      <c r="E144" s="50" t="s">
        <v>1315</v>
      </c>
      <c r="F144" s="62" t="s">
        <v>2133</v>
      </c>
      <c r="G144" s="50" t="s">
        <v>1316</v>
      </c>
      <c r="H144" s="62" t="s">
        <v>2133</v>
      </c>
      <c r="I144" s="47" t="s">
        <v>1394</v>
      </c>
      <c r="J144" s="62" t="s">
        <v>1395</v>
      </c>
      <c r="K144" s="50" t="s">
        <v>1396</v>
      </c>
      <c r="L144" s="53" t="s">
        <v>2139</v>
      </c>
      <c r="M144" s="19"/>
      <c r="N144" s="19"/>
      <c r="O144" s="19"/>
      <c r="P144" s="19"/>
      <c r="Q144" s="50">
        <v>1.0</v>
      </c>
      <c r="R144" s="59">
        <v>45888.0</v>
      </c>
      <c r="S144" s="61">
        <v>45986.0</v>
      </c>
      <c r="T144" s="59">
        <v>45891.0</v>
      </c>
      <c r="U144" s="19"/>
      <c r="V144" s="50" t="s">
        <v>1321</v>
      </c>
      <c r="W144" s="19"/>
      <c r="X144" s="50" t="s">
        <v>12</v>
      </c>
      <c r="Y144" s="50" t="s">
        <v>1322</v>
      </c>
      <c r="Z144" s="50">
        <v>3.040313023E9</v>
      </c>
      <c r="AA144" s="50" t="s">
        <v>19</v>
      </c>
      <c r="AB144" s="50" t="s">
        <v>2071</v>
      </c>
      <c r="AC144" s="50" t="s">
        <v>1403</v>
      </c>
      <c r="AD144" s="19"/>
      <c r="AE144" s="19"/>
      <c r="AF144" s="19"/>
      <c r="AG144" s="19"/>
    </row>
    <row r="145">
      <c r="A145" s="47">
        <f>COUNTIF('Divulgação'!$B:$B,B145)</f>
        <v>1</v>
      </c>
      <c r="B145" s="53" t="s">
        <v>613</v>
      </c>
      <c r="C145" s="19"/>
      <c r="D145" s="50" t="s">
        <v>1314</v>
      </c>
      <c r="E145" s="50" t="s">
        <v>1315</v>
      </c>
      <c r="F145" s="62" t="s">
        <v>2133</v>
      </c>
      <c r="G145" s="50" t="s">
        <v>1316</v>
      </c>
      <c r="H145" s="62" t="s">
        <v>2133</v>
      </c>
      <c r="I145" s="47" t="s">
        <v>1394</v>
      </c>
      <c r="J145" s="62" t="s">
        <v>1395</v>
      </c>
      <c r="K145" s="50" t="s">
        <v>1396</v>
      </c>
      <c r="L145" s="53" t="s">
        <v>1040</v>
      </c>
      <c r="M145" s="19"/>
      <c r="N145" s="19"/>
      <c r="O145" s="19"/>
      <c r="P145" s="19"/>
      <c r="Q145" s="50">
        <v>1.0</v>
      </c>
      <c r="R145" s="59">
        <v>45888.0</v>
      </c>
      <c r="S145" s="61">
        <v>45986.0</v>
      </c>
      <c r="T145" s="59">
        <v>45891.0</v>
      </c>
      <c r="U145" s="19"/>
      <c r="V145" s="50" t="s">
        <v>1321</v>
      </c>
      <c r="W145" s="19"/>
      <c r="X145" s="50" t="s">
        <v>12</v>
      </c>
      <c r="Y145" s="50" t="s">
        <v>1322</v>
      </c>
      <c r="Z145" s="50">
        <v>3.040313089E9</v>
      </c>
      <c r="AA145" s="50" t="s">
        <v>12</v>
      </c>
      <c r="AB145" s="50" t="s">
        <v>1322</v>
      </c>
      <c r="AC145" s="50" t="s">
        <v>1434</v>
      </c>
      <c r="AD145" s="19"/>
      <c r="AE145" s="19"/>
      <c r="AF145" s="19"/>
      <c r="AG145" s="19"/>
    </row>
    <row r="146">
      <c r="A146" s="47">
        <f>COUNTIF('Divulgação'!$B:$B,B146)</f>
        <v>1</v>
      </c>
      <c r="B146" s="53" t="s">
        <v>615</v>
      </c>
      <c r="C146" s="19"/>
      <c r="D146" s="50" t="s">
        <v>1314</v>
      </c>
      <c r="E146" s="50" t="s">
        <v>1315</v>
      </c>
      <c r="F146" s="62" t="s">
        <v>2133</v>
      </c>
      <c r="G146" s="50" t="s">
        <v>1316</v>
      </c>
      <c r="H146" s="62" t="s">
        <v>2133</v>
      </c>
      <c r="I146" s="47" t="s">
        <v>1394</v>
      </c>
      <c r="J146" s="62" t="s">
        <v>1395</v>
      </c>
      <c r="K146" s="50" t="s">
        <v>1396</v>
      </c>
      <c r="L146" s="53" t="s">
        <v>383</v>
      </c>
      <c r="M146" s="19"/>
      <c r="N146" s="19"/>
      <c r="O146" s="19"/>
      <c r="P146" s="19"/>
      <c r="Q146" s="50">
        <v>1.0</v>
      </c>
      <c r="R146" s="59">
        <v>45888.0</v>
      </c>
      <c r="S146" s="61">
        <v>45986.0</v>
      </c>
      <c r="T146" s="59">
        <v>45891.0</v>
      </c>
      <c r="U146" s="19"/>
      <c r="V146" s="50" t="s">
        <v>1321</v>
      </c>
      <c r="W146" s="19"/>
      <c r="X146" s="50" t="s">
        <v>12</v>
      </c>
      <c r="Y146" s="50" t="s">
        <v>1322</v>
      </c>
      <c r="Z146" s="50">
        <v>3.040313473E9</v>
      </c>
      <c r="AA146" s="50" t="s">
        <v>12</v>
      </c>
      <c r="AB146" s="50" t="s">
        <v>1322</v>
      </c>
      <c r="AC146" s="50" t="s">
        <v>1434</v>
      </c>
      <c r="AD146" s="19"/>
      <c r="AE146" s="19"/>
      <c r="AF146" s="19"/>
      <c r="AG146" s="19"/>
    </row>
    <row r="147">
      <c r="A147" s="47">
        <f>COUNTIF('Divulgação'!$B:$B,B147)</f>
        <v>1</v>
      </c>
      <c r="B147" s="53" t="s">
        <v>617</v>
      </c>
      <c r="C147" s="19"/>
      <c r="D147" s="50" t="s">
        <v>1314</v>
      </c>
      <c r="E147" s="50" t="s">
        <v>1315</v>
      </c>
      <c r="F147" s="62" t="s">
        <v>2133</v>
      </c>
      <c r="G147" s="50" t="s">
        <v>1316</v>
      </c>
      <c r="H147" s="62" t="s">
        <v>2133</v>
      </c>
      <c r="I147" s="47" t="s">
        <v>1394</v>
      </c>
      <c r="J147" s="62" t="s">
        <v>1395</v>
      </c>
      <c r="K147" s="50" t="s">
        <v>1396</v>
      </c>
      <c r="L147" s="47" t="s">
        <v>2140</v>
      </c>
      <c r="M147" s="19"/>
      <c r="N147" s="19"/>
      <c r="O147" s="19"/>
      <c r="P147" s="19"/>
      <c r="Q147" s="50">
        <v>1.0</v>
      </c>
      <c r="R147" s="59">
        <v>45888.0</v>
      </c>
      <c r="S147" s="61">
        <v>45986.0</v>
      </c>
      <c r="T147" s="59">
        <v>45891.0</v>
      </c>
      <c r="U147" s="19"/>
      <c r="V147" s="50" t="s">
        <v>1321</v>
      </c>
      <c r="W147" s="19"/>
      <c r="X147" s="50" t="s">
        <v>12</v>
      </c>
      <c r="Y147" s="50" t="s">
        <v>1322</v>
      </c>
      <c r="Z147" s="50">
        <v>3.040316745E9</v>
      </c>
      <c r="AA147" s="50" t="s">
        <v>12</v>
      </c>
      <c r="AB147" s="50" t="s">
        <v>1322</v>
      </c>
      <c r="AC147" s="50" t="s">
        <v>1369</v>
      </c>
      <c r="AD147" s="19"/>
      <c r="AE147" s="19"/>
      <c r="AF147" s="19"/>
      <c r="AG147" s="19"/>
    </row>
    <row r="148">
      <c r="A148" s="47">
        <f>COUNTIF('Divulgação'!$B:$B,B148)</f>
        <v>1</v>
      </c>
      <c r="B148" s="53" t="s">
        <v>619</v>
      </c>
      <c r="C148" s="19"/>
      <c r="D148" s="50" t="s">
        <v>1314</v>
      </c>
      <c r="E148" s="50" t="s">
        <v>1315</v>
      </c>
      <c r="F148" s="62" t="s">
        <v>2133</v>
      </c>
      <c r="G148" s="50" t="s">
        <v>1316</v>
      </c>
      <c r="H148" s="62" t="s">
        <v>2133</v>
      </c>
      <c r="I148" s="47" t="s">
        <v>1394</v>
      </c>
      <c r="J148" s="62" t="s">
        <v>1395</v>
      </c>
      <c r="K148" s="50" t="s">
        <v>1396</v>
      </c>
      <c r="L148" s="53" t="s">
        <v>2141</v>
      </c>
      <c r="M148" s="19"/>
      <c r="N148" s="19"/>
      <c r="O148" s="19"/>
      <c r="P148" s="19"/>
      <c r="Q148" s="50">
        <v>1.0</v>
      </c>
      <c r="R148" s="59">
        <v>45888.0</v>
      </c>
      <c r="S148" s="61">
        <v>45986.0</v>
      </c>
      <c r="T148" s="59">
        <v>45891.0</v>
      </c>
      <c r="U148" s="19"/>
      <c r="V148" s="50" t="s">
        <v>1321</v>
      </c>
      <c r="W148" s="19"/>
      <c r="X148" s="50" t="s">
        <v>12</v>
      </c>
      <c r="Y148" s="50" t="s">
        <v>1322</v>
      </c>
      <c r="Z148" s="50">
        <v>3.040316794E9</v>
      </c>
      <c r="AA148" s="50" t="s">
        <v>12</v>
      </c>
      <c r="AB148" s="50" t="s">
        <v>1322</v>
      </c>
      <c r="AC148" s="50" t="s">
        <v>1369</v>
      </c>
      <c r="AD148" s="19"/>
      <c r="AE148" s="19"/>
      <c r="AF148" s="19"/>
      <c r="AG148" s="19"/>
    </row>
    <row r="149">
      <c r="A149" s="47">
        <f>COUNTIF('Divulgação'!$B:$B,B149)</f>
        <v>1</v>
      </c>
      <c r="B149" s="53" t="s">
        <v>621</v>
      </c>
      <c r="C149" s="19"/>
      <c r="D149" s="50" t="s">
        <v>1314</v>
      </c>
      <c r="E149" s="50" t="s">
        <v>1315</v>
      </c>
      <c r="F149" s="62" t="s">
        <v>2133</v>
      </c>
      <c r="G149" s="50" t="s">
        <v>1316</v>
      </c>
      <c r="H149" s="62" t="s">
        <v>2133</v>
      </c>
      <c r="I149" s="47" t="s">
        <v>1394</v>
      </c>
      <c r="J149" s="62" t="s">
        <v>1395</v>
      </c>
      <c r="K149" s="50" t="s">
        <v>1396</v>
      </c>
      <c r="L149" s="47" t="s">
        <v>2142</v>
      </c>
      <c r="M149" s="19"/>
      <c r="N149" s="19"/>
      <c r="O149" s="19"/>
      <c r="P149" s="19"/>
      <c r="Q149" s="50">
        <v>1.0</v>
      </c>
      <c r="R149" s="59">
        <v>45888.0</v>
      </c>
      <c r="S149" s="61">
        <v>45986.0</v>
      </c>
      <c r="T149" s="59">
        <v>45891.0</v>
      </c>
      <c r="U149" s="19"/>
      <c r="V149" s="50" t="s">
        <v>1347</v>
      </c>
      <c r="W149" s="50">
        <v>6.85260010876E11</v>
      </c>
      <c r="X149" s="50" t="s">
        <v>12</v>
      </c>
      <c r="Y149" s="50" t="s">
        <v>1322</v>
      </c>
      <c r="Z149" s="50">
        <v>3.040317192E9</v>
      </c>
      <c r="AA149" s="50" t="s">
        <v>12</v>
      </c>
      <c r="AB149" s="50" t="s">
        <v>1322</v>
      </c>
      <c r="AC149" s="50" t="s">
        <v>1434</v>
      </c>
      <c r="AD149" s="19"/>
      <c r="AE149" s="19"/>
      <c r="AF149" s="19"/>
      <c r="AG149" s="19"/>
    </row>
    <row r="150">
      <c r="A150" s="47">
        <f>COUNTIF('Divulgação'!$B:$B,B150)</f>
        <v>1</v>
      </c>
      <c r="B150" s="53" t="s">
        <v>623</v>
      </c>
      <c r="C150" s="19"/>
      <c r="D150" s="50" t="s">
        <v>1314</v>
      </c>
      <c r="E150" s="50" t="s">
        <v>1315</v>
      </c>
      <c r="F150" s="62" t="s">
        <v>2133</v>
      </c>
      <c r="G150" s="50" t="s">
        <v>1316</v>
      </c>
      <c r="H150" s="62" t="s">
        <v>2133</v>
      </c>
      <c r="I150" s="47" t="s">
        <v>1394</v>
      </c>
      <c r="J150" s="62" t="s">
        <v>1395</v>
      </c>
      <c r="K150" s="50" t="s">
        <v>1396</v>
      </c>
      <c r="L150" s="47" t="s">
        <v>2143</v>
      </c>
      <c r="M150" s="19"/>
      <c r="N150" s="19"/>
      <c r="O150" s="19"/>
      <c r="P150" s="19"/>
      <c r="Q150" s="50">
        <v>1.0</v>
      </c>
      <c r="R150" s="59">
        <v>45888.0</v>
      </c>
      <c r="S150" s="61">
        <v>45986.0</v>
      </c>
      <c r="T150" s="59">
        <v>45891.0</v>
      </c>
      <c r="U150" s="19"/>
      <c r="V150" s="50" t="s">
        <v>1321</v>
      </c>
      <c r="W150" s="19"/>
      <c r="X150" s="50" t="s">
        <v>12</v>
      </c>
      <c r="Y150" s="50" t="s">
        <v>1322</v>
      </c>
      <c r="Z150" s="50">
        <v>3.040317193E9</v>
      </c>
      <c r="AA150" s="50" t="s">
        <v>12</v>
      </c>
      <c r="AB150" s="50" t="s">
        <v>1322</v>
      </c>
      <c r="AC150" s="50" t="s">
        <v>1434</v>
      </c>
      <c r="AD150" s="19"/>
      <c r="AE150" s="19"/>
      <c r="AF150" s="19"/>
      <c r="AG150" s="19"/>
    </row>
    <row r="151">
      <c r="A151" s="47">
        <f>COUNTIF('Divulgação'!$B:$B,B151)</f>
        <v>1</v>
      </c>
      <c r="B151" s="53" t="s">
        <v>625</v>
      </c>
      <c r="C151" s="19"/>
      <c r="D151" s="50" t="s">
        <v>1314</v>
      </c>
      <c r="E151" s="50" t="s">
        <v>1315</v>
      </c>
      <c r="F151" s="62" t="s">
        <v>2133</v>
      </c>
      <c r="G151" s="50" t="s">
        <v>1316</v>
      </c>
      <c r="H151" s="62" t="s">
        <v>2133</v>
      </c>
      <c r="I151" s="47" t="s">
        <v>1398</v>
      </c>
      <c r="J151" s="62" t="s">
        <v>1399</v>
      </c>
      <c r="K151" s="50" t="s">
        <v>1400</v>
      </c>
      <c r="L151" s="47" t="s">
        <v>2144</v>
      </c>
      <c r="M151" s="19"/>
      <c r="N151" s="19"/>
      <c r="O151" s="19"/>
      <c r="P151" s="19"/>
      <c r="Q151" s="50">
        <v>1.0</v>
      </c>
      <c r="R151" s="59">
        <v>45658.0</v>
      </c>
      <c r="S151" s="61">
        <v>45991.0</v>
      </c>
      <c r="T151" s="59">
        <v>45891.0</v>
      </c>
      <c r="U151" s="19"/>
      <c r="V151" s="50" t="s">
        <v>1321</v>
      </c>
      <c r="W151" s="19"/>
      <c r="X151" s="50" t="s">
        <v>12</v>
      </c>
      <c r="Y151" s="50" t="s">
        <v>1322</v>
      </c>
      <c r="Z151" s="50">
        <v>3.040236792E9</v>
      </c>
      <c r="AA151" s="50" t="s">
        <v>1500</v>
      </c>
      <c r="AB151" s="50" t="s">
        <v>1537</v>
      </c>
      <c r="AC151" s="50" t="s">
        <v>2145</v>
      </c>
      <c r="AD151" s="19"/>
      <c r="AE151" s="19"/>
      <c r="AF151" s="19"/>
      <c r="AG151" s="19"/>
    </row>
    <row r="152">
      <c r="A152" s="47">
        <f>COUNTIF('Divulgação'!$B:$B,B152)</f>
        <v>1</v>
      </c>
      <c r="B152" s="53" t="s">
        <v>627</v>
      </c>
      <c r="C152" s="19"/>
      <c r="D152" s="50" t="s">
        <v>1314</v>
      </c>
      <c r="E152" s="50" t="s">
        <v>1315</v>
      </c>
      <c r="F152" s="62" t="s">
        <v>2133</v>
      </c>
      <c r="G152" s="50" t="s">
        <v>1316</v>
      </c>
      <c r="H152" s="62" t="s">
        <v>2133</v>
      </c>
      <c r="I152" s="47" t="s">
        <v>1398</v>
      </c>
      <c r="J152" s="62" t="s">
        <v>1399</v>
      </c>
      <c r="K152" s="50" t="s">
        <v>1400</v>
      </c>
      <c r="L152" s="47" t="s">
        <v>1527</v>
      </c>
      <c r="M152" s="19"/>
      <c r="N152" s="19"/>
      <c r="O152" s="19"/>
      <c r="P152" s="19"/>
      <c r="Q152" s="50">
        <v>1.0</v>
      </c>
      <c r="R152" s="59">
        <v>45658.0</v>
      </c>
      <c r="S152" s="61">
        <v>45991.0</v>
      </c>
      <c r="T152" s="59">
        <v>45891.0</v>
      </c>
      <c r="U152" s="19"/>
      <c r="V152" s="50" t="s">
        <v>1321</v>
      </c>
      <c r="W152" s="19"/>
      <c r="X152" s="50" t="s">
        <v>12</v>
      </c>
      <c r="Y152" s="50" t="s">
        <v>1322</v>
      </c>
      <c r="Z152" s="50">
        <v>3.04024507E9</v>
      </c>
      <c r="AA152" s="50" t="s">
        <v>1364</v>
      </c>
      <c r="AB152" s="50" t="s">
        <v>1528</v>
      </c>
      <c r="AC152" s="50" t="s">
        <v>1529</v>
      </c>
      <c r="AD152" s="19"/>
      <c r="AE152" s="19"/>
      <c r="AF152" s="19"/>
      <c r="AG152" s="19"/>
    </row>
    <row r="153">
      <c r="A153" s="47">
        <f>COUNTIF('Divulgação'!$B:$B,B153)</f>
        <v>1</v>
      </c>
      <c r="B153" s="53" t="s">
        <v>629</v>
      </c>
      <c r="C153" s="19"/>
      <c r="D153" s="50" t="s">
        <v>1314</v>
      </c>
      <c r="E153" s="50" t="s">
        <v>1315</v>
      </c>
      <c r="F153" s="62" t="s">
        <v>2133</v>
      </c>
      <c r="G153" s="50" t="s">
        <v>1316</v>
      </c>
      <c r="H153" s="62" t="s">
        <v>2133</v>
      </c>
      <c r="I153" s="47" t="s">
        <v>61</v>
      </c>
      <c r="J153" s="62" t="s">
        <v>1399</v>
      </c>
      <c r="K153" s="50" t="s">
        <v>1438</v>
      </c>
      <c r="L153" s="53" t="s">
        <v>2146</v>
      </c>
      <c r="M153" s="19"/>
      <c r="N153" s="19"/>
      <c r="O153" s="19"/>
      <c r="P153" s="19"/>
      <c r="Q153" s="50">
        <v>1.0</v>
      </c>
      <c r="R153" s="59">
        <v>45888.0</v>
      </c>
      <c r="S153" s="61">
        <v>45986.0</v>
      </c>
      <c r="T153" s="59">
        <v>45891.0</v>
      </c>
      <c r="U153" s="19"/>
      <c r="V153" s="50" t="s">
        <v>1347</v>
      </c>
      <c r="W153" s="50">
        <v>3.1325001714E11</v>
      </c>
      <c r="X153" s="50" t="s">
        <v>12</v>
      </c>
      <c r="Y153" s="50" t="s">
        <v>1322</v>
      </c>
      <c r="Z153" s="50">
        <v>3.040316001E9</v>
      </c>
      <c r="AA153" s="50" t="s">
        <v>17</v>
      </c>
      <c r="AB153" s="50" t="s">
        <v>1553</v>
      </c>
      <c r="AC153" s="50" t="s">
        <v>1554</v>
      </c>
      <c r="AD153" s="19"/>
      <c r="AE153" s="19"/>
      <c r="AF153" s="19"/>
      <c r="AG153" s="19"/>
    </row>
    <row r="154">
      <c r="A154" s="47">
        <f>COUNTIF('Divulgação'!$B:$B,B154)</f>
        <v>1</v>
      </c>
      <c r="B154" s="53" t="s">
        <v>631</v>
      </c>
      <c r="C154" s="19"/>
      <c r="D154" s="50" t="s">
        <v>1314</v>
      </c>
      <c r="E154" s="50" t="s">
        <v>1315</v>
      </c>
      <c r="F154" s="62" t="s">
        <v>2133</v>
      </c>
      <c r="G154" s="50" t="s">
        <v>1316</v>
      </c>
      <c r="H154" s="62" t="s">
        <v>2133</v>
      </c>
      <c r="I154" s="47" t="s">
        <v>61</v>
      </c>
      <c r="J154" s="62" t="s">
        <v>1399</v>
      </c>
      <c r="K154" s="50" t="s">
        <v>1438</v>
      </c>
      <c r="L154" s="53" t="s">
        <v>2137</v>
      </c>
      <c r="M154" s="19"/>
      <c r="N154" s="19"/>
      <c r="O154" s="19"/>
      <c r="P154" s="19"/>
      <c r="Q154" s="50">
        <v>1.0</v>
      </c>
      <c r="R154" s="59">
        <v>45888.0</v>
      </c>
      <c r="S154" s="61">
        <v>45986.0</v>
      </c>
      <c r="T154" s="59">
        <v>45891.0</v>
      </c>
      <c r="U154" s="19"/>
      <c r="V154" s="50" t="s">
        <v>1347</v>
      </c>
      <c r="W154" s="50">
        <v>3.0425007375E11</v>
      </c>
      <c r="X154" s="50" t="s">
        <v>12</v>
      </c>
      <c r="Y154" s="50" t="s">
        <v>1322</v>
      </c>
      <c r="Z154" s="50">
        <v>3.040317198E9</v>
      </c>
      <c r="AA154" s="50" t="s">
        <v>12</v>
      </c>
      <c r="AB154" s="50" t="s">
        <v>1322</v>
      </c>
      <c r="AC154" s="50" t="s">
        <v>1434</v>
      </c>
      <c r="AD154" s="19"/>
      <c r="AE154" s="19"/>
      <c r="AF154" s="19"/>
      <c r="AG154" s="19"/>
    </row>
    <row r="155">
      <c r="A155" s="47">
        <f>COUNTIF('Divulgação'!$B:$B,B155)</f>
        <v>1</v>
      </c>
      <c r="B155" s="53" t="s">
        <v>633</v>
      </c>
      <c r="C155" s="19"/>
      <c r="D155" s="50" t="s">
        <v>1314</v>
      </c>
      <c r="E155" s="50" t="s">
        <v>1315</v>
      </c>
      <c r="F155" s="62" t="s">
        <v>2133</v>
      </c>
      <c r="G155" s="50" t="s">
        <v>1316</v>
      </c>
      <c r="H155" s="62" t="s">
        <v>2133</v>
      </c>
      <c r="I155" s="47" t="s">
        <v>63</v>
      </c>
      <c r="J155" s="62" t="s">
        <v>1395</v>
      </c>
      <c r="K155" s="50" t="s">
        <v>1432</v>
      </c>
      <c r="L155" s="47" t="s">
        <v>2147</v>
      </c>
      <c r="M155" s="19"/>
      <c r="N155" s="19"/>
      <c r="O155" s="19"/>
      <c r="P155" s="19"/>
      <c r="Q155" s="50">
        <v>1.0</v>
      </c>
      <c r="R155" s="59">
        <v>45888.0</v>
      </c>
      <c r="S155" s="61">
        <v>45986.0</v>
      </c>
      <c r="T155" s="59">
        <v>45891.0</v>
      </c>
      <c r="U155" s="19"/>
      <c r="V155" s="50" t="s">
        <v>1321</v>
      </c>
      <c r="W155" s="19"/>
      <c r="X155" s="50" t="s">
        <v>12</v>
      </c>
      <c r="Y155" s="50" t="s">
        <v>1322</v>
      </c>
      <c r="Z155" s="50">
        <v>3.040317194E9</v>
      </c>
      <c r="AA155" s="50" t="s">
        <v>12</v>
      </c>
      <c r="AB155" s="50" t="s">
        <v>1322</v>
      </c>
      <c r="AC155" s="50" t="s">
        <v>1434</v>
      </c>
      <c r="AD155" s="19"/>
      <c r="AE155" s="19"/>
      <c r="AF155" s="19"/>
      <c r="AG155" s="19"/>
    </row>
    <row r="156">
      <c r="A156" s="47">
        <f>COUNTIF('Divulgação'!$B:$B,B156)</f>
        <v>1</v>
      </c>
      <c r="B156" s="53" t="s">
        <v>635</v>
      </c>
      <c r="C156" s="19"/>
      <c r="D156" s="50" t="s">
        <v>1314</v>
      </c>
      <c r="E156" s="50" t="s">
        <v>1315</v>
      </c>
      <c r="F156" s="62" t="s">
        <v>2133</v>
      </c>
      <c r="G156" s="50" t="s">
        <v>1316</v>
      </c>
      <c r="H156" s="62" t="s">
        <v>2133</v>
      </c>
      <c r="I156" s="47" t="s">
        <v>63</v>
      </c>
      <c r="J156" s="62" t="s">
        <v>1395</v>
      </c>
      <c r="K156" s="50" t="s">
        <v>1432</v>
      </c>
      <c r="L156" s="53" t="s">
        <v>544</v>
      </c>
      <c r="M156" s="19"/>
      <c r="N156" s="19"/>
      <c r="O156" s="19"/>
      <c r="P156" s="19"/>
      <c r="Q156" s="50">
        <v>1.0</v>
      </c>
      <c r="R156" s="59">
        <v>45888.0</v>
      </c>
      <c r="S156" s="61">
        <v>45986.0</v>
      </c>
      <c r="T156" s="59">
        <v>45891.0</v>
      </c>
      <c r="U156" s="19"/>
      <c r="V156" s="50" t="s">
        <v>1347</v>
      </c>
      <c r="W156" s="50">
        <v>3.13260017653E11</v>
      </c>
      <c r="X156" s="50" t="s">
        <v>12</v>
      </c>
      <c r="Y156" s="50" t="s">
        <v>1322</v>
      </c>
      <c r="Z156" s="50">
        <v>3.040318073E9</v>
      </c>
      <c r="AA156" s="50" t="s">
        <v>17</v>
      </c>
      <c r="AB156" s="50" t="s">
        <v>1553</v>
      </c>
      <c r="AC156" s="50" t="s">
        <v>1554</v>
      </c>
      <c r="AD156" s="19"/>
      <c r="AE156" s="19"/>
      <c r="AF156" s="19"/>
      <c r="AG156" s="19"/>
    </row>
    <row r="157">
      <c r="A157" s="47">
        <f>COUNTIF('Divulgação'!$B:$B,B157)</f>
        <v>1</v>
      </c>
      <c r="B157" s="53" t="s">
        <v>637</v>
      </c>
      <c r="C157" s="19"/>
      <c r="D157" s="50" t="s">
        <v>1314</v>
      </c>
      <c r="E157" s="50" t="s">
        <v>1315</v>
      </c>
      <c r="F157" s="62" t="s">
        <v>2133</v>
      </c>
      <c r="G157" s="50" t="s">
        <v>1316</v>
      </c>
      <c r="H157" s="62" t="s">
        <v>2133</v>
      </c>
      <c r="I157" s="47" t="s">
        <v>181</v>
      </c>
      <c r="J157" s="50" t="s">
        <v>232</v>
      </c>
      <c r="K157" s="50" t="s">
        <v>1530</v>
      </c>
      <c r="L157" s="53" t="s">
        <v>1532</v>
      </c>
      <c r="M157" s="19"/>
      <c r="N157" s="19"/>
      <c r="O157" s="19"/>
      <c r="P157" s="19"/>
      <c r="Q157" s="50">
        <v>1.0</v>
      </c>
      <c r="R157" s="59">
        <v>45890.0</v>
      </c>
      <c r="S157" s="59">
        <v>45896.0</v>
      </c>
      <c r="T157" s="59">
        <v>45891.0</v>
      </c>
      <c r="U157" s="19"/>
      <c r="V157" s="50" t="s">
        <v>1321</v>
      </c>
      <c r="W157" s="19"/>
      <c r="X157" s="50" t="s">
        <v>12</v>
      </c>
      <c r="Y157" s="50" t="s">
        <v>1322</v>
      </c>
      <c r="Z157" s="50">
        <v>3.040281704E9</v>
      </c>
      <c r="AA157" s="50" t="s">
        <v>16</v>
      </c>
      <c r="AB157" s="50" t="s">
        <v>1331</v>
      </c>
      <c r="AC157" s="50" t="s">
        <v>1486</v>
      </c>
      <c r="AD157" s="19"/>
      <c r="AE157" s="19"/>
      <c r="AF157" s="19"/>
      <c r="AG157" s="19"/>
    </row>
    <row r="158">
      <c r="A158" s="47">
        <f>COUNTIF('Divulgação'!$B:$B,B158)</f>
        <v>1</v>
      </c>
      <c r="B158" s="53" t="s">
        <v>639</v>
      </c>
      <c r="C158" s="19"/>
      <c r="D158" s="50" t="s">
        <v>1314</v>
      </c>
      <c r="E158" s="50" t="s">
        <v>1315</v>
      </c>
      <c r="F158" s="62" t="s">
        <v>2133</v>
      </c>
      <c r="G158" s="50" t="s">
        <v>1316</v>
      </c>
      <c r="H158" s="62" t="s">
        <v>2133</v>
      </c>
      <c r="I158" s="47" t="s">
        <v>181</v>
      </c>
      <c r="J158" s="50" t="s">
        <v>232</v>
      </c>
      <c r="K158" s="50" t="s">
        <v>1530</v>
      </c>
      <c r="L158" s="53" t="s">
        <v>1531</v>
      </c>
      <c r="M158" s="19"/>
      <c r="N158" s="19"/>
      <c r="O158" s="19"/>
      <c r="P158" s="19"/>
      <c r="Q158" s="50">
        <v>1.0</v>
      </c>
      <c r="R158" s="59">
        <v>45890.0</v>
      </c>
      <c r="S158" s="59">
        <v>45896.0</v>
      </c>
      <c r="T158" s="59">
        <v>45891.0</v>
      </c>
      <c r="U158" s="19"/>
      <c r="V158" s="50" t="s">
        <v>1321</v>
      </c>
      <c r="W158" s="19"/>
      <c r="X158" s="50" t="s">
        <v>12</v>
      </c>
      <c r="Y158" s="50" t="s">
        <v>1322</v>
      </c>
      <c r="Z158" s="50">
        <v>3.040272872E9</v>
      </c>
      <c r="AA158" s="50" t="s">
        <v>12</v>
      </c>
      <c r="AB158" s="50" t="s">
        <v>1322</v>
      </c>
      <c r="AC158" s="50" t="s">
        <v>1323</v>
      </c>
      <c r="AD158" s="19"/>
      <c r="AE158" s="19"/>
      <c r="AF158" s="19"/>
      <c r="AG158" s="19"/>
    </row>
    <row r="159">
      <c r="A159" s="47">
        <f>COUNTIF('Divulgação'!$B:$B,B159)</f>
        <v>1</v>
      </c>
      <c r="B159" s="53" t="s">
        <v>641</v>
      </c>
      <c r="C159" s="19"/>
      <c r="D159" s="50" t="s">
        <v>1314</v>
      </c>
      <c r="E159" s="50" t="s">
        <v>1315</v>
      </c>
      <c r="F159" s="62" t="s">
        <v>2133</v>
      </c>
      <c r="G159" s="50" t="s">
        <v>1316</v>
      </c>
      <c r="H159" s="62" t="s">
        <v>2133</v>
      </c>
      <c r="I159" s="47" t="s">
        <v>161</v>
      </c>
      <c r="J159" s="50" t="s">
        <v>232</v>
      </c>
      <c r="K159" s="50" t="s">
        <v>162</v>
      </c>
      <c r="L159" s="53" t="s">
        <v>1533</v>
      </c>
      <c r="M159" s="19"/>
      <c r="N159" s="19"/>
      <c r="O159" s="19"/>
      <c r="P159" s="19"/>
      <c r="Q159" s="50">
        <v>1.0</v>
      </c>
      <c r="R159" s="59">
        <v>45890.0</v>
      </c>
      <c r="S159" s="59">
        <v>45890.0</v>
      </c>
      <c r="T159" s="59">
        <v>45891.0</v>
      </c>
      <c r="U159" s="19"/>
      <c r="V159" s="50" t="s">
        <v>1321</v>
      </c>
      <c r="W159" s="19"/>
      <c r="X159" s="50" t="s">
        <v>12</v>
      </c>
      <c r="Y159" s="50" t="s">
        <v>1322</v>
      </c>
      <c r="Z159" s="50">
        <v>3.04031055E9</v>
      </c>
      <c r="AA159" s="50" t="s">
        <v>12</v>
      </c>
      <c r="AB159" s="50" t="s">
        <v>1322</v>
      </c>
      <c r="AC159" s="50" t="s">
        <v>1336</v>
      </c>
      <c r="AD159" s="19"/>
      <c r="AE159" s="19"/>
      <c r="AF159" s="19"/>
      <c r="AG159" s="19"/>
    </row>
    <row r="160">
      <c r="A160" s="47">
        <f>COUNTIF('Divulgação'!$B:$B,B160)</f>
        <v>1</v>
      </c>
      <c r="B160" s="53" t="s">
        <v>643</v>
      </c>
      <c r="C160" s="19"/>
      <c r="D160" s="50" t="s">
        <v>1314</v>
      </c>
      <c r="E160" s="50" t="s">
        <v>1315</v>
      </c>
      <c r="F160" s="62" t="s">
        <v>2148</v>
      </c>
      <c r="G160" s="50" t="s">
        <v>1316</v>
      </c>
      <c r="H160" s="62" t="s">
        <v>2148</v>
      </c>
      <c r="I160" s="47" t="s">
        <v>1534</v>
      </c>
      <c r="J160" s="62" t="s">
        <v>2024</v>
      </c>
      <c r="K160" s="50" t="s">
        <v>1535</v>
      </c>
      <c r="L160" s="47" t="s">
        <v>1536</v>
      </c>
      <c r="M160" s="19"/>
      <c r="N160" s="19"/>
      <c r="O160" s="19"/>
      <c r="P160" s="19"/>
      <c r="Q160" s="50">
        <v>1.0</v>
      </c>
      <c r="R160" s="59">
        <v>45888.0</v>
      </c>
      <c r="S160" s="61">
        <v>45986.0</v>
      </c>
      <c r="T160" s="59">
        <v>45894.0</v>
      </c>
      <c r="U160" s="19"/>
      <c r="V160" s="50" t="s">
        <v>1321</v>
      </c>
      <c r="W160" s="19"/>
      <c r="X160" s="50" t="s">
        <v>12</v>
      </c>
      <c r="Y160" s="50" t="s">
        <v>1322</v>
      </c>
      <c r="Z160" s="50">
        <v>3.040317809E9</v>
      </c>
      <c r="AA160" s="50" t="s">
        <v>1500</v>
      </c>
      <c r="AB160" s="50" t="s">
        <v>1537</v>
      </c>
      <c r="AC160" s="50" t="s">
        <v>1538</v>
      </c>
      <c r="AD160" s="19"/>
      <c r="AE160" s="19"/>
      <c r="AF160" s="19"/>
      <c r="AG160" s="19"/>
    </row>
    <row r="161">
      <c r="A161" s="47">
        <f>COUNTIF('Divulgação'!$B:$B,B161)</f>
        <v>1</v>
      </c>
      <c r="B161" s="53" t="s">
        <v>645</v>
      </c>
      <c r="C161" s="19"/>
      <c r="D161" s="50" t="s">
        <v>1314</v>
      </c>
      <c r="E161" s="50" t="s">
        <v>1315</v>
      </c>
      <c r="F161" s="62" t="s">
        <v>2148</v>
      </c>
      <c r="G161" s="50" t="s">
        <v>1316</v>
      </c>
      <c r="H161" s="62" t="s">
        <v>2148</v>
      </c>
      <c r="I161" s="47" t="s">
        <v>63</v>
      </c>
      <c r="J161" s="62" t="s">
        <v>1395</v>
      </c>
      <c r="K161" s="50" t="s">
        <v>1432</v>
      </c>
      <c r="L161" s="53" t="s">
        <v>1539</v>
      </c>
      <c r="M161" s="19"/>
      <c r="N161" s="19"/>
      <c r="O161" s="19"/>
      <c r="P161" s="19"/>
      <c r="Q161" s="50">
        <v>1.0</v>
      </c>
      <c r="R161" s="59">
        <v>45888.0</v>
      </c>
      <c r="S161" s="61">
        <v>45986.0</v>
      </c>
      <c r="T161" s="59">
        <v>45894.0</v>
      </c>
      <c r="U161" s="19"/>
      <c r="V161" s="50" t="s">
        <v>1347</v>
      </c>
      <c r="W161" s="50">
        <v>3.13250017138E11</v>
      </c>
      <c r="X161" s="50" t="s">
        <v>12</v>
      </c>
      <c r="Y161" s="50" t="s">
        <v>1322</v>
      </c>
      <c r="Z161" s="50">
        <v>3.040317305E9</v>
      </c>
      <c r="AA161" s="50" t="s">
        <v>12</v>
      </c>
      <c r="AB161" s="50" t="s">
        <v>1322</v>
      </c>
      <c r="AC161" s="50" t="s">
        <v>1434</v>
      </c>
      <c r="AD161" s="19"/>
      <c r="AE161" s="19"/>
      <c r="AF161" s="19"/>
      <c r="AG161" s="19"/>
    </row>
    <row r="162">
      <c r="A162" s="47">
        <f>COUNTIF('Divulgação'!$B:$B,B162)</f>
        <v>1</v>
      </c>
      <c r="B162" s="53" t="s">
        <v>647</v>
      </c>
      <c r="C162" s="19"/>
      <c r="D162" s="50" t="s">
        <v>1314</v>
      </c>
      <c r="E162" s="50" t="s">
        <v>1315</v>
      </c>
      <c r="F162" s="62" t="s">
        <v>2149</v>
      </c>
      <c r="G162" s="50" t="s">
        <v>1316</v>
      </c>
      <c r="H162" s="62" t="s">
        <v>2149</v>
      </c>
      <c r="I162" s="47" t="s">
        <v>155</v>
      </c>
      <c r="J162" s="50" t="s">
        <v>232</v>
      </c>
      <c r="K162" s="50" t="s">
        <v>156</v>
      </c>
      <c r="L162" s="47" t="s">
        <v>1540</v>
      </c>
      <c r="M162" s="19"/>
      <c r="N162" s="19"/>
      <c r="O162" s="19"/>
      <c r="P162" s="19"/>
      <c r="Q162" s="50">
        <v>1.0</v>
      </c>
      <c r="R162" s="59">
        <v>45898.0</v>
      </c>
      <c r="S162" s="59">
        <v>45965.0</v>
      </c>
      <c r="T162" s="59">
        <v>45898.0</v>
      </c>
      <c r="U162" s="19"/>
      <c r="V162" s="50" t="s">
        <v>1321</v>
      </c>
      <c r="W162" s="19"/>
      <c r="X162" s="50" t="s">
        <v>12</v>
      </c>
      <c r="Y162" s="50" t="s">
        <v>1322</v>
      </c>
      <c r="Z162" s="50">
        <v>3.040295438E9</v>
      </c>
      <c r="AA162" s="50" t="s">
        <v>13</v>
      </c>
      <c r="AB162" s="50" t="s">
        <v>1380</v>
      </c>
      <c r="AC162" s="50" t="s">
        <v>1541</v>
      </c>
      <c r="AD162" s="19"/>
      <c r="AE162" s="19"/>
      <c r="AF162" s="19"/>
      <c r="AG162" s="19"/>
    </row>
    <row r="163">
      <c r="A163" s="47">
        <f>COUNTIF('Divulgação'!$B:$B,B163)</f>
        <v>1</v>
      </c>
      <c r="B163" s="53" t="s">
        <v>649</v>
      </c>
      <c r="C163" s="19"/>
      <c r="D163" s="50" t="s">
        <v>1314</v>
      </c>
      <c r="E163" s="50" t="s">
        <v>1315</v>
      </c>
      <c r="F163" s="62" t="s">
        <v>2149</v>
      </c>
      <c r="G163" s="50" t="s">
        <v>1316</v>
      </c>
      <c r="H163" s="62" t="s">
        <v>2149</v>
      </c>
      <c r="I163" s="47" t="s">
        <v>155</v>
      </c>
      <c r="J163" s="50" t="s">
        <v>232</v>
      </c>
      <c r="K163" s="50" t="s">
        <v>156</v>
      </c>
      <c r="L163" s="47" t="s">
        <v>1542</v>
      </c>
      <c r="M163" s="19"/>
      <c r="N163" s="19"/>
      <c r="O163" s="19"/>
      <c r="P163" s="19"/>
      <c r="Q163" s="50">
        <v>1.0</v>
      </c>
      <c r="R163" s="59">
        <v>45898.0</v>
      </c>
      <c r="S163" s="59">
        <v>45965.0</v>
      </c>
      <c r="T163" s="59">
        <v>45898.0</v>
      </c>
      <c r="U163" s="19"/>
      <c r="V163" s="50" t="s">
        <v>1347</v>
      </c>
      <c r="W163" s="50">
        <v>3.1325001663E11</v>
      </c>
      <c r="X163" s="50" t="s">
        <v>12</v>
      </c>
      <c r="Y163" s="50" t="s">
        <v>1322</v>
      </c>
      <c r="Z163" s="50">
        <v>3.040297381E9</v>
      </c>
      <c r="AA163" s="50" t="s">
        <v>13</v>
      </c>
      <c r="AB163" s="50" t="s">
        <v>1380</v>
      </c>
      <c r="AC163" s="50" t="s">
        <v>1543</v>
      </c>
      <c r="AD163" s="19"/>
      <c r="AE163" s="19"/>
      <c r="AF163" s="19"/>
      <c r="AG163" s="19"/>
    </row>
    <row r="164">
      <c r="A164" s="47">
        <f>COUNTIF('Divulgação'!$B:$B,B164)</f>
        <v>1</v>
      </c>
      <c r="B164" s="53" t="s">
        <v>651</v>
      </c>
      <c r="C164" s="19"/>
      <c r="D164" s="50" t="s">
        <v>1314</v>
      </c>
      <c r="E164" s="50" t="s">
        <v>1315</v>
      </c>
      <c r="F164" s="62" t="s">
        <v>2149</v>
      </c>
      <c r="G164" s="50" t="s">
        <v>1316</v>
      </c>
      <c r="H164" s="62" t="s">
        <v>2149</v>
      </c>
      <c r="I164" s="47" t="s">
        <v>1602</v>
      </c>
      <c r="J164" s="62" t="s">
        <v>1318</v>
      </c>
      <c r="K164" s="50" t="s">
        <v>1603</v>
      </c>
      <c r="L164" s="53" t="s">
        <v>2150</v>
      </c>
      <c r="M164" s="19"/>
      <c r="N164" s="19"/>
      <c r="O164" s="19"/>
      <c r="P164" s="19"/>
      <c r="Q164" s="50">
        <v>1.0</v>
      </c>
      <c r="R164" s="59">
        <v>45898.0</v>
      </c>
      <c r="S164" s="59">
        <v>45904.0</v>
      </c>
      <c r="T164" s="59">
        <v>45898.0</v>
      </c>
      <c r="U164" s="19"/>
      <c r="V164" s="50" t="s">
        <v>1321</v>
      </c>
      <c r="W164" s="19"/>
      <c r="X164" s="50" t="s">
        <v>12</v>
      </c>
      <c r="Y164" s="50" t="s">
        <v>1322</v>
      </c>
      <c r="Z164" s="50">
        <v>3.040282568E9</v>
      </c>
      <c r="AA164" s="50" t="s">
        <v>13</v>
      </c>
      <c r="AB164" s="50" t="s">
        <v>1380</v>
      </c>
      <c r="AC164" s="50" t="s">
        <v>1541</v>
      </c>
      <c r="AD164" s="19"/>
      <c r="AE164" s="19"/>
      <c r="AF164" s="19"/>
      <c r="AG164" s="19"/>
    </row>
    <row r="165">
      <c r="A165" s="47">
        <f>COUNTIF('Divulgação'!$B:$B,B165)</f>
        <v>1</v>
      </c>
      <c r="B165" s="53" t="s">
        <v>653</v>
      </c>
      <c r="C165" s="19"/>
      <c r="D165" s="50" t="s">
        <v>1314</v>
      </c>
      <c r="E165" s="50" t="s">
        <v>1315</v>
      </c>
      <c r="F165" s="62" t="s">
        <v>2149</v>
      </c>
      <c r="G165" s="50" t="s">
        <v>1316</v>
      </c>
      <c r="H165" s="62" t="s">
        <v>2149</v>
      </c>
      <c r="I165" s="47" t="s">
        <v>1602</v>
      </c>
      <c r="J165" s="62" t="s">
        <v>1318</v>
      </c>
      <c r="K165" s="50" t="s">
        <v>1603</v>
      </c>
      <c r="L165" s="53" t="s">
        <v>2151</v>
      </c>
      <c r="M165" s="19"/>
      <c r="N165" s="19"/>
      <c r="O165" s="19"/>
      <c r="P165" s="19"/>
      <c r="Q165" s="50">
        <v>1.0</v>
      </c>
      <c r="R165" s="59">
        <v>45898.0</v>
      </c>
      <c r="S165" s="59">
        <v>45904.0</v>
      </c>
      <c r="T165" s="59">
        <v>45898.0</v>
      </c>
      <c r="U165" s="19"/>
      <c r="V165" s="50" t="s">
        <v>1321</v>
      </c>
      <c r="W165" s="19"/>
      <c r="X165" s="50" t="s">
        <v>12</v>
      </c>
      <c r="Y165" s="50" t="s">
        <v>1322</v>
      </c>
      <c r="Z165" s="50">
        <v>3.0402848E9</v>
      </c>
      <c r="AA165" s="50" t="s">
        <v>13</v>
      </c>
      <c r="AB165" s="50" t="s">
        <v>1380</v>
      </c>
      <c r="AC165" s="50" t="s">
        <v>1541</v>
      </c>
      <c r="AD165" s="19"/>
      <c r="AE165" s="19"/>
      <c r="AF165" s="19"/>
      <c r="AG165" s="19"/>
    </row>
    <row r="166">
      <c r="A166" s="47">
        <f>COUNTIF('Divulgação'!$B:$B,B166)</f>
        <v>1</v>
      </c>
      <c r="B166" s="53" t="s">
        <v>657</v>
      </c>
      <c r="C166" s="19"/>
      <c r="D166" s="50" t="s">
        <v>1314</v>
      </c>
      <c r="E166" s="50" t="s">
        <v>1315</v>
      </c>
      <c r="F166" s="62" t="s">
        <v>2152</v>
      </c>
      <c r="G166" s="50" t="s">
        <v>1316</v>
      </c>
      <c r="H166" s="62" t="s">
        <v>2152</v>
      </c>
      <c r="I166" s="47" t="s">
        <v>207</v>
      </c>
      <c r="J166" s="50" t="s">
        <v>48</v>
      </c>
      <c r="K166" s="50" t="s">
        <v>208</v>
      </c>
      <c r="L166" s="47" t="s">
        <v>2153</v>
      </c>
      <c r="M166" s="19"/>
      <c r="N166" s="19"/>
      <c r="O166" s="19"/>
      <c r="P166" s="19"/>
      <c r="Q166" s="50">
        <v>1.0</v>
      </c>
      <c r="R166" s="59">
        <v>45910.0</v>
      </c>
      <c r="S166" s="61">
        <v>45977.0</v>
      </c>
      <c r="T166" s="59">
        <v>45917.0</v>
      </c>
      <c r="U166" s="19"/>
      <c r="V166" s="50" t="s">
        <v>1321</v>
      </c>
      <c r="W166" s="19"/>
      <c r="X166" s="50" t="s">
        <v>12</v>
      </c>
      <c r="Y166" s="50" t="s">
        <v>1322</v>
      </c>
      <c r="Z166" s="50">
        <v>3.040318559E9</v>
      </c>
      <c r="AA166" s="50" t="s">
        <v>16</v>
      </c>
      <c r="AB166" s="50" t="s">
        <v>1551</v>
      </c>
      <c r="AC166" s="50" t="s">
        <v>1552</v>
      </c>
      <c r="AD166" s="19"/>
      <c r="AE166" s="19"/>
      <c r="AF166" s="19"/>
      <c r="AG166" s="19"/>
    </row>
    <row r="167">
      <c r="A167" s="47">
        <f>COUNTIF('Divulgação'!$B:$B,B167)</f>
        <v>1</v>
      </c>
      <c r="B167" s="53" t="s">
        <v>659</v>
      </c>
      <c r="C167" s="19"/>
      <c r="D167" s="50" t="s">
        <v>1314</v>
      </c>
      <c r="E167" s="50" t="s">
        <v>1315</v>
      </c>
      <c r="F167" s="62" t="s">
        <v>2152</v>
      </c>
      <c r="G167" s="50" t="s">
        <v>1316</v>
      </c>
      <c r="H167" s="62" t="s">
        <v>2152</v>
      </c>
      <c r="I167" s="47" t="s">
        <v>1866</v>
      </c>
      <c r="J167" s="62" t="s">
        <v>2154</v>
      </c>
      <c r="K167" s="50" t="s">
        <v>1546</v>
      </c>
      <c r="L167" s="47" t="s">
        <v>2155</v>
      </c>
      <c r="M167" s="19"/>
      <c r="N167" s="19"/>
      <c r="O167" s="19"/>
      <c r="P167" s="19"/>
      <c r="Q167" s="50">
        <v>1.0</v>
      </c>
      <c r="R167" s="59">
        <v>45910.0</v>
      </c>
      <c r="S167" s="59">
        <v>45916.0</v>
      </c>
      <c r="T167" s="59">
        <v>45917.0</v>
      </c>
      <c r="U167" s="19"/>
      <c r="V167" s="50" t="s">
        <v>1321</v>
      </c>
      <c r="W167" s="19"/>
      <c r="X167" s="50" t="s">
        <v>12</v>
      </c>
      <c r="Y167" s="50" t="s">
        <v>1322</v>
      </c>
      <c r="Z167" s="50">
        <v>3.040319125E9</v>
      </c>
      <c r="AA167" s="50" t="s">
        <v>20</v>
      </c>
      <c r="AB167" s="50" t="s">
        <v>2156</v>
      </c>
      <c r="AC167" s="50" t="s">
        <v>2157</v>
      </c>
      <c r="AD167" s="19"/>
      <c r="AE167" s="19"/>
      <c r="AF167" s="19"/>
      <c r="AG167" s="19"/>
    </row>
    <row r="168">
      <c r="A168" s="47">
        <f>COUNTIF('Divulgação'!$B:$B,B168)</f>
        <v>1</v>
      </c>
      <c r="B168" s="53" t="s">
        <v>661</v>
      </c>
      <c r="C168" s="19"/>
      <c r="D168" s="50" t="s">
        <v>1314</v>
      </c>
      <c r="E168" s="50" t="s">
        <v>1315</v>
      </c>
      <c r="F168" s="62" t="s">
        <v>2152</v>
      </c>
      <c r="G168" s="50" t="s">
        <v>1316</v>
      </c>
      <c r="H168" s="62" t="s">
        <v>2152</v>
      </c>
      <c r="I168" s="47" t="s">
        <v>2158</v>
      </c>
      <c r="J168" s="50" t="s">
        <v>48</v>
      </c>
      <c r="K168" s="50" t="s">
        <v>2159</v>
      </c>
      <c r="L168" s="47" t="s">
        <v>2160</v>
      </c>
      <c r="M168" s="19"/>
      <c r="N168" s="19"/>
      <c r="O168" s="19"/>
      <c r="P168" s="19"/>
      <c r="Q168" s="50">
        <v>1.0</v>
      </c>
      <c r="R168" s="59">
        <v>45910.0</v>
      </c>
      <c r="S168" s="59">
        <v>45916.0</v>
      </c>
      <c r="T168" s="59">
        <v>45917.0</v>
      </c>
      <c r="U168" s="19"/>
      <c r="V168" s="50" t="s">
        <v>1321</v>
      </c>
      <c r="W168" s="19"/>
      <c r="X168" s="50" t="s">
        <v>12</v>
      </c>
      <c r="Y168" s="50" t="s">
        <v>1322</v>
      </c>
      <c r="Z168" s="50">
        <v>3.040309231E9</v>
      </c>
      <c r="AA168" s="50" t="s">
        <v>15</v>
      </c>
      <c r="AB168" s="50" t="s">
        <v>1814</v>
      </c>
      <c r="AC168" s="50" t="s">
        <v>2161</v>
      </c>
      <c r="AD168" s="19"/>
      <c r="AE168" s="19"/>
      <c r="AF168" s="19"/>
      <c r="AG168" s="19"/>
    </row>
    <row r="169">
      <c r="A169" s="47">
        <f>COUNTIF('Divulgação'!$B:$B,B169)</f>
        <v>1</v>
      </c>
      <c r="B169" s="53" t="s">
        <v>663</v>
      </c>
      <c r="C169" s="19"/>
      <c r="D169" s="50" t="s">
        <v>1314</v>
      </c>
      <c r="E169" s="50" t="s">
        <v>1315</v>
      </c>
      <c r="F169" s="62" t="s">
        <v>2152</v>
      </c>
      <c r="G169" s="50" t="s">
        <v>1316</v>
      </c>
      <c r="H169" s="62" t="s">
        <v>2152</v>
      </c>
      <c r="I169" s="47" t="s">
        <v>2158</v>
      </c>
      <c r="J169" s="50" t="s">
        <v>48</v>
      </c>
      <c r="K169" s="50" t="s">
        <v>2159</v>
      </c>
      <c r="L169" s="47" t="s">
        <v>2162</v>
      </c>
      <c r="M169" s="19"/>
      <c r="N169" s="19"/>
      <c r="O169" s="19"/>
      <c r="P169" s="19"/>
      <c r="Q169" s="50">
        <v>1.0</v>
      </c>
      <c r="R169" s="59">
        <v>45910.0</v>
      </c>
      <c r="S169" s="59">
        <v>45916.0</v>
      </c>
      <c r="T169" s="59">
        <v>45917.0</v>
      </c>
      <c r="U169" s="19"/>
      <c r="V169" s="50" t="s">
        <v>1321</v>
      </c>
      <c r="W169" s="19"/>
      <c r="X169" s="50" t="s">
        <v>12</v>
      </c>
      <c r="Y169" s="50" t="s">
        <v>1322</v>
      </c>
      <c r="Z169" s="50">
        <v>3.040270437E9</v>
      </c>
      <c r="AA169" s="50" t="s">
        <v>1425</v>
      </c>
      <c r="AB169" s="50" t="s">
        <v>2163</v>
      </c>
      <c r="AC169" s="50" t="s">
        <v>2019</v>
      </c>
      <c r="AD169" s="19"/>
      <c r="AE169" s="19"/>
      <c r="AF169" s="19"/>
      <c r="AG169" s="19"/>
    </row>
    <row r="170">
      <c r="A170" s="47">
        <f>COUNTIF('Divulgação'!$B:$B,B170)</f>
        <v>1</v>
      </c>
      <c r="B170" s="53" t="s">
        <v>665</v>
      </c>
      <c r="C170" s="19"/>
      <c r="D170" s="50" t="s">
        <v>1314</v>
      </c>
      <c r="E170" s="50" t="s">
        <v>1315</v>
      </c>
      <c r="F170" s="62" t="s">
        <v>2152</v>
      </c>
      <c r="G170" s="50" t="s">
        <v>1316</v>
      </c>
      <c r="H170" s="62" t="s">
        <v>2152</v>
      </c>
      <c r="I170" s="47" t="s">
        <v>1544</v>
      </c>
      <c r="J170" s="62" t="s">
        <v>2164</v>
      </c>
      <c r="K170" s="50" t="s">
        <v>1546</v>
      </c>
      <c r="L170" s="47" t="s">
        <v>1547</v>
      </c>
      <c r="M170" s="19"/>
      <c r="N170" s="19"/>
      <c r="O170" s="19"/>
      <c r="P170" s="19"/>
      <c r="Q170" s="50">
        <v>1.0</v>
      </c>
      <c r="R170" s="59">
        <v>45910.0</v>
      </c>
      <c r="S170" s="59">
        <v>45916.0</v>
      </c>
      <c r="T170" s="59">
        <v>45917.0</v>
      </c>
      <c r="U170" s="19"/>
      <c r="V170" s="50" t="s">
        <v>1321</v>
      </c>
      <c r="W170" s="19"/>
      <c r="X170" s="50" t="s">
        <v>12</v>
      </c>
      <c r="Y170" s="50" t="s">
        <v>1322</v>
      </c>
      <c r="Z170" s="50">
        <v>3.040315167E9</v>
      </c>
      <c r="AA170" s="50" t="s">
        <v>1500</v>
      </c>
      <c r="AB170" s="50" t="s">
        <v>1537</v>
      </c>
      <c r="AC170" s="50" t="s">
        <v>1548</v>
      </c>
      <c r="AD170" s="19"/>
      <c r="AE170" s="19"/>
      <c r="AF170" s="19"/>
      <c r="AG170" s="19"/>
    </row>
    <row r="171">
      <c r="A171" s="47">
        <f>COUNTIF('Divulgação'!$B:$B,B171)</f>
        <v>1</v>
      </c>
      <c r="B171" s="53" t="s">
        <v>667</v>
      </c>
      <c r="C171" s="19"/>
      <c r="D171" s="50" t="s">
        <v>1314</v>
      </c>
      <c r="E171" s="50" t="s">
        <v>1315</v>
      </c>
      <c r="F171" s="62" t="s">
        <v>2152</v>
      </c>
      <c r="G171" s="50" t="s">
        <v>1316</v>
      </c>
      <c r="H171" s="62" t="s">
        <v>2152</v>
      </c>
      <c r="I171" s="47" t="s">
        <v>2165</v>
      </c>
      <c r="J171" s="62" t="s">
        <v>2164</v>
      </c>
      <c r="K171" s="50" t="s">
        <v>1546</v>
      </c>
      <c r="L171" s="47" t="s">
        <v>2166</v>
      </c>
      <c r="M171" s="19"/>
      <c r="N171" s="19"/>
      <c r="O171" s="19"/>
      <c r="P171" s="19"/>
      <c r="Q171" s="50">
        <v>1.0</v>
      </c>
      <c r="R171" s="59">
        <v>45910.0</v>
      </c>
      <c r="S171" s="59">
        <v>46060.0</v>
      </c>
      <c r="T171" s="59">
        <v>45917.0</v>
      </c>
      <c r="U171" s="19"/>
      <c r="V171" s="50" t="s">
        <v>1321</v>
      </c>
      <c r="W171" s="19"/>
      <c r="X171" s="50" t="s">
        <v>12</v>
      </c>
      <c r="Y171" s="50" t="s">
        <v>1322</v>
      </c>
      <c r="Z171" s="50">
        <v>3.040315165E9</v>
      </c>
      <c r="AA171" s="50" t="s">
        <v>1500</v>
      </c>
      <c r="AB171" s="50" t="s">
        <v>1537</v>
      </c>
      <c r="AC171" s="50" t="s">
        <v>2167</v>
      </c>
      <c r="AD171" s="19"/>
      <c r="AE171" s="19"/>
      <c r="AF171" s="19"/>
      <c r="AG171" s="19"/>
    </row>
    <row r="172">
      <c r="A172" s="47">
        <f>COUNTIF('Divulgação'!$B:$B,B172)</f>
        <v>1</v>
      </c>
      <c r="B172" s="53" t="s">
        <v>669</v>
      </c>
      <c r="C172" s="19"/>
      <c r="D172" s="50" t="s">
        <v>1314</v>
      </c>
      <c r="E172" s="50" t="s">
        <v>1315</v>
      </c>
      <c r="F172" s="62" t="s">
        <v>2152</v>
      </c>
      <c r="G172" s="50" t="s">
        <v>1316</v>
      </c>
      <c r="H172" s="62" t="s">
        <v>2152</v>
      </c>
      <c r="I172" s="47" t="s">
        <v>1398</v>
      </c>
      <c r="J172" s="62" t="s">
        <v>1399</v>
      </c>
      <c r="K172" s="50" t="s">
        <v>1400</v>
      </c>
      <c r="L172" s="53" t="s">
        <v>2168</v>
      </c>
      <c r="M172" s="19"/>
      <c r="N172" s="19"/>
      <c r="O172" s="19"/>
      <c r="P172" s="19"/>
      <c r="Q172" s="50">
        <v>1.0</v>
      </c>
      <c r="R172" s="59">
        <v>45658.0</v>
      </c>
      <c r="S172" s="61">
        <v>45991.0</v>
      </c>
      <c r="T172" s="59">
        <v>45917.0</v>
      </c>
      <c r="U172" s="19"/>
      <c r="V172" s="50" t="s">
        <v>1321</v>
      </c>
      <c r="W172" s="19"/>
      <c r="X172" s="50" t="s">
        <v>12</v>
      </c>
      <c r="Y172" s="50" t="s">
        <v>1322</v>
      </c>
      <c r="Z172" s="50">
        <v>3.04031856E9</v>
      </c>
      <c r="AA172" s="50" t="s">
        <v>16</v>
      </c>
      <c r="AB172" s="50" t="s">
        <v>1551</v>
      </c>
      <c r="AC172" s="50" t="s">
        <v>1552</v>
      </c>
      <c r="AD172" s="19"/>
      <c r="AE172" s="19"/>
      <c r="AF172" s="19"/>
      <c r="AG172" s="19"/>
    </row>
    <row r="173">
      <c r="A173" s="47">
        <f>COUNTIF('Divulgação'!$B:$B,B173)</f>
        <v>1</v>
      </c>
      <c r="B173" s="53" t="s">
        <v>671</v>
      </c>
      <c r="C173" s="19"/>
      <c r="D173" s="50" t="s">
        <v>1314</v>
      </c>
      <c r="E173" s="50" t="s">
        <v>1315</v>
      </c>
      <c r="F173" s="62" t="s">
        <v>2152</v>
      </c>
      <c r="G173" s="50" t="s">
        <v>1316</v>
      </c>
      <c r="H173" s="62" t="s">
        <v>2152</v>
      </c>
      <c r="I173" s="47" t="s">
        <v>1436</v>
      </c>
      <c r="J173" s="62" t="s">
        <v>1395</v>
      </c>
      <c r="K173" s="50" t="s">
        <v>1437</v>
      </c>
      <c r="L173" s="53" t="s">
        <v>2169</v>
      </c>
      <c r="M173" s="19"/>
      <c r="N173" s="19"/>
      <c r="O173" s="19"/>
      <c r="P173" s="19"/>
      <c r="Q173" s="50">
        <v>1.0</v>
      </c>
      <c r="R173" s="59">
        <v>45910.0</v>
      </c>
      <c r="S173" s="61">
        <v>45977.0</v>
      </c>
      <c r="T173" s="59">
        <v>45917.0</v>
      </c>
      <c r="U173" s="19"/>
      <c r="V173" s="50" t="s">
        <v>1321</v>
      </c>
      <c r="W173" s="19"/>
      <c r="X173" s="50" t="s">
        <v>12</v>
      </c>
      <c r="Y173" s="50" t="s">
        <v>1322</v>
      </c>
      <c r="Z173" s="50">
        <v>3.040316673E9</v>
      </c>
      <c r="AA173" s="50" t="s">
        <v>12</v>
      </c>
      <c r="AB173" s="50" t="s">
        <v>1322</v>
      </c>
      <c r="AC173" s="50" t="s">
        <v>1434</v>
      </c>
      <c r="AD173" s="19"/>
      <c r="AE173" s="19"/>
      <c r="AF173" s="19"/>
      <c r="AG173" s="19"/>
    </row>
    <row r="174">
      <c r="A174" s="47">
        <f>COUNTIF('Divulgação'!$B:$B,B174)</f>
        <v>1</v>
      </c>
      <c r="B174" s="53" t="s">
        <v>673</v>
      </c>
      <c r="C174" s="19"/>
      <c r="D174" s="50" t="s">
        <v>1314</v>
      </c>
      <c r="E174" s="50" t="s">
        <v>1315</v>
      </c>
      <c r="F174" s="62" t="s">
        <v>2152</v>
      </c>
      <c r="G174" s="50" t="s">
        <v>1316</v>
      </c>
      <c r="H174" s="62" t="s">
        <v>2152</v>
      </c>
      <c r="I174" s="47" t="s">
        <v>1436</v>
      </c>
      <c r="J174" s="62" t="s">
        <v>1395</v>
      </c>
      <c r="K174" s="50" t="s">
        <v>1437</v>
      </c>
      <c r="L174" s="47" t="s">
        <v>2170</v>
      </c>
      <c r="M174" s="19"/>
      <c r="N174" s="19"/>
      <c r="O174" s="19"/>
      <c r="P174" s="19"/>
      <c r="Q174" s="50">
        <v>1.0</v>
      </c>
      <c r="R174" s="59">
        <v>45910.0</v>
      </c>
      <c r="S174" s="61">
        <v>45977.0</v>
      </c>
      <c r="T174" s="59">
        <v>45917.0</v>
      </c>
      <c r="U174" s="19"/>
      <c r="V174" s="50" t="s">
        <v>1321</v>
      </c>
      <c r="W174" s="19"/>
      <c r="X174" s="50" t="s">
        <v>12</v>
      </c>
      <c r="Y174" s="50" t="s">
        <v>1322</v>
      </c>
      <c r="Z174" s="50">
        <v>3.040317304E9</v>
      </c>
      <c r="AA174" s="50" t="s">
        <v>12</v>
      </c>
      <c r="AB174" s="50" t="s">
        <v>1322</v>
      </c>
      <c r="AC174" s="50" t="s">
        <v>1434</v>
      </c>
      <c r="AD174" s="19"/>
      <c r="AE174" s="19"/>
      <c r="AF174" s="19"/>
      <c r="AG174" s="19"/>
    </row>
    <row r="175">
      <c r="A175" s="47">
        <f>COUNTIF('Divulgação'!$B:$B,B175)</f>
        <v>1</v>
      </c>
      <c r="B175" s="53" t="s">
        <v>675</v>
      </c>
      <c r="C175" s="19"/>
      <c r="D175" s="50" t="s">
        <v>1314</v>
      </c>
      <c r="E175" s="50" t="s">
        <v>1315</v>
      </c>
      <c r="F175" s="62" t="s">
        <v>2152</v>
      </c>
      <c r="G175" s="50" t="s">
        <v>1316</v>
      </c>
      <c r="H175" s="62" t="s">
        <v>2152</v>
      </c>
      <c r="I175" s="47" t="s">
        <v>2010</v>
      </c>
      <c r="J175" s="62" t="s">
        <v>2011</v>
      </c>
      <c r="K175" s="50" t="s">
        <v>2012</v>
      </c>
      <c r="L175" s="53" t="s">
        <v>2014</v>
      </c>
      <c r="M175" s="19"/>
      <c r="N175" s="19"/>
      <c r="O175" s="19"/>
      <c r="P175" s="19"/>
      <c r="Q175" s="50">
        <v>1.0</v>
      </c>
      <c r="R175" s="59">
        <v>45910.0</v>
      </c>
      <c r="S175" s="61">
        <v>45977.0</v>
      </c>
      <c r="T175" s="59">
        <v>45917.0</v>
      </c>
      <c r="U175" s="19"/>
      <c r="V175" s="50" t="s">
        <v>1321</v>
      </c>
      <c r="W175" s="19"/>
      <c r="X175" s="50" t="s">
        <v>12</v>
      </c>
      <c r="Y175" s="50" t="s">
        <v>1322</v>
      </c>
      <c r="Z175" s="50">
        <v>3.040317197E9</v>
      </c>
      <c r="AA175" s="50" t="s">
        <v>12</v>
      </c>
      <c r="AB175" s="50" t="s">
        <v>1322</v>
      </c>
      <c r="AC175" s="50" t="s">
        <v>1434</v>
      </c>
      <c r="AD175" s="19"/>
      <c r="AE175" s="19"/>
      <c r="AF175" s="19"/>
      <c r="AG175" s="19"/>
    </row>
    <row r="176">
      <c r="A176" s="47">
        <f>COUNTIF('Divulgação'!$B:$B,B176)</f>
        <v>1</v>
      </c>
      <c r="B176" s="53" t="s">
        <v>677</v>
      </c>
      <c r="C176" s="19"/>
      <c r="D176" s="50" t="s">
        <v>1314</v>
      </c>
      <c r="E176" s="50" t="s">
        <v>1315</v>
      </c>
      <c r="F176" s="62" t="s">
        <v>2152</v>
      </c>
      <c r="G176" s="50" t="s">
        <v>1316</v>
      </c>
      <c r="H176" s="62" t="s">
        <v>2152</v>
      </c>
      <c r="I176" s="47" t="s">
        <v>1398</v>
      </c>
      <c r="J176" s="62" t="s">
        <v>1399</v>
      </c>
      <c r="K176" s="50" t="s">
        <v>1400</v>
      </c>
      <c r="L176" s="47" t="s">
        <v>1549</v>
      </c>
      <c r="M176" s="19"/>
      <c r="N176" s="19"/>
      <c r="O176" s="19"/>
      <c r="P176" s="19"/>
      <c r="Q176" s="50">
        <v>1.0</v>
      </c>
      <c r="R176" s="59">
        <v>45658.0</v>
      </c>
      <c r="S176" s="61">
        <v>45991.0</v>
      </c>
      <c r="T176" s="59">
        <v>45917.0</v>
      </c>
      <c r="U176" s="19"/>
      <c r="V176" s="50" t="s">
        <v>1321</v>
      </c>
      <c r="W176" s="19"/>
      <c r="X176" s="50" t="s">
        <v>12</v>
      </c>
      <c r="Y176" s="50" t="s">
        <v>1322</v>
      </c>
      <c r="Z176" s="50">
        <v>3.040318928E9</v>
      </c>
      <c r="AA176" s="50" t="s">
        <v>20</v>
      </c>
      <c r="AB176" s="50" t="s">
        <v>1439</v>
      </c>
      <c r="AC176" s="50" t="s">
        <v>1550</v>
      </c>
      <c r="AD176" s="19"/>
      <c r="AE176" s="19"/>
      <c r="AF176" s="19"/>
      <c r="AG176" s="19"/>
    </row>
    <row r="177">
      <c r="A177" s="47">
        <f>COUNTIF('Divulgação'!$B:$B,B177)</f>
        <v>1</v>
      </c>
      <c r="B177" s="53" t="s">
        <v>679</v>
      </c>
      <c r="C177" s="19"/>
      <c r="D177" s="50" t="s">
        <v>1314</v>
      </c>
      <c r="E177" s="50" t="s">
        <v>1315</v>
      </c>
      <c r="F177" s="62" t="s">
        <v>2152</v>
      </c>
      <c r="G177" s="50" t="s">
        <v>1316</v>
      </c>
      <c r="H177" s="62" t="s">
        <v>2152</v>
      </c>
      <c r="I177" s="47" t="s">
        <v>1398</v>
      </c>
      <c r="J177" s="62" t="s">
        <v>1399</v>
      </c>
      <c r="K177" s="50" t="s">
        <v>1400</v>
      </c>
      <c r="L177" s="53" t="s">
        <v>2072</v>
      </c>
      <c r="M177" s="19"/>
      <c r="N177" s="19"/>
      <c r="O177" s="19"/>
      <c r="P177" s="19"/>
      <c r="Q177" s="50">
        <v>1.0</v>
      </c>
      <c r="R177" s="59">
        <v>45658.0</v>
      </c>
      <c r="S177" s="61">
        <v>45991.0</v>
      </c>
      <c r="T177" s="59">
        <v>45917.0</v>
      </c>
      <c r="U177" s="19"/>
      <c r="V177" s="50" t="s">
        <v>1321</v>
      </c>
      <c r="W177" s="19"/>
      <c r="X177" s="50" t="s">
        <v>12</v>
      </c>
      <c r="Y177" s="50" t="s">
        <v>1322</v>
      </c>
      <c r="Z177" s="50">
        <v>3.040318877E9</v>
      </c>
      <c r="AA177" s="50" t="s">
        <v>17</v>
      </c>
      <c r="AB177" s="50" t="s">
        <v>1553</v>
      </c>
      <c r="AC177" s="50" t="s">
        <v>1554</v>
      </c>
      <c r="AD177" s="19"/>
      <c r="AE177" s="19"/>
      <c r="AF177" s="19"/>
      <c r="AG177" s="19"/>
    </row>
    <row r="178">
      <c r="A178" s="47">
        <f>COUNTIF('Divulgação'!$B:$B,B178)</f>
        <v>1</v>
      </c>
      <c r="B178" s="53" t="s">
        <v>681</v>
      </c>
      <c r="C178" s="19"/>
      <c r="D178" s="50" t="s">
        <v>1314</v>
      </c>
      <c r="E178" s="50" t="s">
        <v>1315</v>
      </c>
      <c r="F178" s="62" t="s">
        <v>2152</v>
      </c>
      <c r="G178" s="50" t="s">
        <v>1316</v>
      </c>
      <c r="H178" s="62" t="s">
        <v>2152</v>
      </c>
      <c r="I178" s="47" t="s">
        <v>1398</v>
      </c>
      <c r="J178" s="62" t="s">
        <v>1399</v>
      </c>
      <c r="K178" s="50" t="s">
        <v>1400</v>
      </c>
      <c r="L178" s="53" t="s">
        <v>982</v>
      </c>
      <c r="M178" s="19"/>
      <c r="N178" s="19"/>
      <c r="O178" s="19"/>
      <c r="P178" s="19"/>
      <c r="Q178" s="50">
        <v>1.0</v>
      </c>
      <c r="R178" s="59">
        <v>45658.0</v>
      </c>
      <c r="S178" s="61">
        <v>45991.0</v>
      </c>
      <c r="T178" s="59">
        <v>45917.0</v>
      </c>
      <c r="U178" s="19"/>
      <c r="V178" s="50" t="s">
        <v>1347</v>
      </c>
      <c r="W178" s="50">
        <v>3.1326001768E11</v>
      </c>
      <c r="X178" s="50" t="s">
        <v>12</v>
      </c>
      <c r="Y178" s="50" t="s">
        <v>1322</v>
      </c>
      <c r="Z178" s="50">
        <v>3.040318561E9</v>
      </c>
      <c r="AA178" s="50" t="s">
        <v>16</v>
      </c>
      <c r="AB178" s="50" t="s">
        <v>1551</v>
      </c>
      <c r="AC178" s="50" t="s">
        <v>1552</v>
      </c>
      <c r="AD178" s="19"/>
      <c r="AE178" s="19"/>
      <c r="AF178" s="19"/>
      <c r="AG178" s="19"/>
    </row>
    <row r="179">
      <c r="A179" s="47">
        <f>COUNTIF('Divulgação'!$B:$B,B179)</f>
        <v>1</v>
      </c>
      <c r="B179" s="53" t="s">
        <v>683</v>
      </c>
      <c r="C179" s="19"/>
      <c r="D179" s="50" t="s">
        <v>1314</v>
      </c>
      <c r="E179" s="50" t="s">
        <v>1315</v>
      </c>
      <c r="F179" s="62" t="s">
        <v>2171</v>
      </c>
      <c r="G179" s="50" t="s">
        <v>1316</v>
      </c>
      <c r="H179" s="62" t="s">
        <v>2171</v>
      </c>
      <c r="I179" s="47" t="s">
        <v>1523</v>
      </c>
      <c r="J179" s="62" t="s">
        <v>1524</v>
      </c>
      <c r="K179" s="50" t="s">
        <v>1525</v>
      </c>
      <c r="L179" s="53" t="s">
        <v>1558</v>
      </c>
      <c r="M179" s="19"/>
      <c r="N179" s="19"/>
      <c r="O179" s="19"/>
      <c r="P179" s="19"/>
      <c r="Q179" s="50">
        <v>1.0</v>
      </c>
      <c r="R179" s="59">
        <v>45936.0</v>
      </c>
      <c r="S179" s="61">
        <v>45971.0</v>
      </c>
      <c r="T179" s="59">
        <v>45937.0</v>
      </c>
      <c r="U179" s="19"/>
      <c r="V179" s="50" t="s">
        <v>1321</v>
      </c>
      <c r="W179" s="19"/>
      <c r="X179" s="50" t="s">
        <v>12</v>
      </c>
      <c r="Y179" s="50" t="s">
        <v>1322</v>
      </c>
      <c r="Z179" s="50">
        <v>3.040253457E9</v>
      </c>
      <c r="AA179" s="50" t="s">
        <v>12</v>
      </c>
      <c r="AB179" s="50" t="s">
        <v>1385</v>
      </c>
      <c r="AC179" s="50" t="s">
        <v>1559</v>
      </c>
      <c r="AD179" s="19"/>
      <c r="AE179" s="19"/>
      <c r="AF179" s="19"/>
      <c r="AG179" s="19"/>
    </row>
    <row r="180">
      <c r="A180" s="47">
        <f>COUNTIF('Divulgação'!$B:$B,B180)</f>
        <v>1</v>
      </c>
      <c r="B180" s="53" t="s">
        <v>685</v>
      </c>
      <c r="C180" s="19"/>
      <c r="D180" s="50" t="s">
        <v>1314</v>
      </c>
      <c r="E180" s="50" t="s">
        <v>1315</v>
      </c>
      <c r="F180" s="62" t="s">
        <v>2171</v>
      </c>
      <c r="G180" s="50" t="s">
        <v>1316</v>
      </c>
      <c r="H180" s="62" t="s">
        <v>2171</v>
      </c>
      <c r="I180" s="47" t="s">
        <v>1523</v>
      </c>
      <c r="J180" s="62" t="s">
        <v>1524</v>
      </c>
      <c r="K180" s="50" t="s">
        <v>1525</v>
      </c>
      <c r="L180" s="53" t="s">
        <v>2172</v>
      </c>
      <c r="M180" s="19"/>
      <c r="N180" s="19"/>
      <c r="O180" s="19"/>
      <c r="P180" s="19"/>
      <c r="Q180" s="50">
        <v>1.0</v>
      </c>
      <c r="R180" s="59">
        <v>45936.0</v>
      </c>
      <c r="S180" s="61">
        <v>45971.0</v>
      </c>
      <c r="T180" s="59">
        <v>45937.0</v>
      </c>
      <c r="U180" s="19"/>
      <c r="V180" s="50" t="s">
        <v>1321</v>
      </c>
      <c r="W180" s="19"/>
      <c r="X180" s="50" t="s">
        <v>12</v>
      </c>
      <c r="Y180" s="50" t="s">
        <v>1322</v>
      </c>
      <c r="Z180" s="50">
        <v>3.040294972E9</v>
      </c>
      <c r="AA180" s="50" t="s">
        <v>1352</v>
      </c>
      <c r="AB180" s="50" t="s">
        <v>2173</v>
      </c>
      <c r="AC180" s="50" t="s">
        <v>2174</v>
      </c>
      <c r="AD180" s="19"/>
      <c r="AE180" s="19"/>
      <c r="AF180" s="19"/>
      <c r="AG180" s="19"/>
    </row>
    <row r="181">
      <c r="A181" s="47">
        <f>COUNTIF('Divulgação'!$B:$B,B181)</f>
        <v>1</v>
      </c>
      <c r="B181" s="53" t="s">
        <v>687</v>
      </c>
      <c r="C181" s="19"/>
      <c r="D181" s="50" t="s">
        <v>1314</v>
      </c>
      <c r="E181" s="50" t="s">
        <v>1315</v>
      </c>
      <c r="F181" s="62" t="s">
        <v>2171</v>
      </c>
      <c r="G181" s="50" t="s">
        <v>1316</v>
      </c>
      <c r="H181" s="62" t="s">
        <v>2171</v>
      </c>
      <c r="I181" s="47" t="s">
        <v>1523</v>
      </c>
      <c r="J181" s="62" t="s">
        <v>1524</v>
      </c>
      <c r="K181" s="50" t="s">
        <v>1525</v>
      </c>
      <c r="L181" s="47" t="s">
        <v>1556</v>
      </c>
      <c r="M181" s="19"/>
      <c r="N181" s="19"/>
      <c r="O181" s="19"/>
      <c r="P181" s="19"/>
      <c r="Q181" s="50">
        <v>1.0</v>
      </c>
      <c r="R181" s="59">
        <v>45936.0</v>
      </c>
      <c r="S181" s="61">
        <v>45971.0</v>
      </c>
      <c r="T181" s="59">
        <v>45937.0</v>
      </c>
      <c r="U181" s="19"/>
      <c r="V181" s="50" t="s">
        <v>1321</v>
      </c>
      <c r="W181" s="19"/>
      <c r="X181" s="50" t="s">
        <v>12</v>
      </c>
      <c r="Y181" s="50" t="s">
        <v>1322</v>
      </c>
      <c r="Z181" s="50">
        <v>3.040278924E9</v>
      </c>
      <c r="AA181" s="50" t="s">
        <v>16</v>
      </c>
      <c r="AB181" s="50" t="s">
        <v>1402</v>
      </c>
      <c r="AC181" s="50" t="s">
        <v>1557</v>
      </c>
      <c r="AD181" s="19"/>
      <c r="AE181" s="19"/>
      <c r="AF181" s="19"/>
      <c r="AG181" s="19"/>
    </row>
    <row r="182">
      <c r="A182" s="47">
        <f>COUNTIF('Divulgação'!$B:$B,B182)</f>
        <v>1</v>
      </c>
      <c r="B182" s="53" t="s">
        <v>689</v>
      </c>
      <c r="C182" s="19"/>
      <c r="D182" s="50" t="s">
        <v>1314</v>
      </c>
      <c r="E182" s="50" t="s">
        <v>1315</v>
      </c>
      <c r="F182" s="62" t="s">
        <v>2171</v>
      </c>
      <c r="G182" s="50" t="s">
        <v>1316</v>
      </c>
      <c r="H182" s="62" t="s">
        <v>2171</v>
      </c>
      <c r="I182" s="47" t="s">
        <v>1523</v>
      </c>
      <c r="J182" s="62" t="s">
        <v>1524</v>
      </c>
      <c r="K182" s="50" t="s">
        <v>1525</v>
      </c>
      <c r="L182" s="47" t="s">
        <v>2175</v>
      </c>
      <c r="M182" s="19"/>
      <c r="N182" s="19"/>
      <c r="O182" s="19"/>
      <c r="P182" s="19"/>
      <c r="Q182" s="50">
        <v>1.0</v>
      </c>
      <c r="R182" s="59">
        <v>45936.0</v>
      </c>
      <c r="S182" s="61">
        <v>45971.0</v>
      </c>
      <c r="T182" s="59">
        <v>45937.0</v>
      </c>
      <c r="U182" s="19"/>
      <c r="V182" s="50" t="s">
        <v>1321</v>
      </c>
      <c r="W182" s="19"/>
      <c r="X182" s="50" t="s">
        <v>12</v>
      </c>
      <c r="Y182" s="50" t="s">
        <v>1322</v>
      </c>
      <c r="Z182" s="50">
        <v>3.040278922E9</v>
      </c>
      <c r="AA182" s="50" t="s">
        <v>16</v>
      </c>
      <c r="AB182" s="50" t="s">
        <v>1860</v>
      </c>
      <c r="AC182" s="50" t="s">
        <v>1627</v>
      </c>
      <c r="AD182" s="19"/>
      <c r="AE182" s="19"/>
      <c r="AF182" s="19"/>
      <c r="AG182" s="19"/>
    </row>
    <row r="183">
      <c r="A183" s="47">
        <f>COUNTIF('Divulgação'!$B:$B,B183)</f>
        <v>1</v>
      </c>
      <c r="B183" s="53" t="s">
        <v>691</v>
      </c>
      <c r="C183" s="19"/>
      <c r="D183" s="50" t="s">
        <v>1314</v>
      </c>
      <c r="E183" s="50" t="s">
        <v>1315</v>
      </c>
      <c r="F183" s="62" t="s">
        <v>2171</v>
      </c>
      <c r="G183" s="50" t="s">
        <v>1316</v>
      </c>
      <c r="H183" s="62" t="s">
        <v>2171</v>
      </c>
      <c r="I183" s="47" t="s">
        <v>1523</v>
      </c>
      <c r="J183" s="62" t="s">
        <v>1524</v>
      </c>
      <c r="K183" s="50" t="s">
        <v>1525</v>
      </c>
      <c r="L183" s="53" t="s">
        <v>2176</v>
      </c>
      <c r="M183" s="19"/>
      <c r="N183" s="19"/>
      <c r="O183" s="19"/>
      <c r="P183" s="19"/>
      <c r="Q183" s="50">
        <v>1.0</v>
      </c>
      <c r="R183" s="59">
        <v>45936.0</v>
      </c>
      <c r="S183" s="61">
        <v>45971.0</v>
      </c>
      <c r="T183" s="59">
        <v>45937.0</v>
      </c>
      <c r="U183" s="19"/>
      <c r="V183" s="50" t="s">
        <v>1321</v>
      </c>
      <c r="W183" s="19"/>
      <c r="X183" s="50" t="s">
        <v>12</v>
      </c>
      <c r="Y183" s="50" t="s">
        <v>1322</v>
      </c>
      <c r="Z183" s="50">
        <v>3.040269411E9</v>
      </c>
      <c r="AA183" s="50" t="s">
        <v>1372</v>
      </c>
      <c r="AB183" s="50" t="s">
        <v>2156</v>
      </c>
      <c r="AC183" s="50" t="s">
        <v>2177</v>
      </c>
      <c r="AD183" s="19"/>
      <c r="AE183" s="19"/>
      <c r="AF183" s="19"/>
      <c r="AG183" s="19"/>
    </row>
    <row r="184">
      <c r="A184" s="47">
        <f>COUNTIF('Divulgação'!$B:$B,B184)</f>
        <v>1</v>
      </c>
      <c r="B184" s="53" t="s">
        <v>693</v>
      </c>
      <c r="C184" s="19"/>
      <c r="D184" s="50" t="s">
        <v>1314</v>
      </c>
      <c r="E184" s="50" t="s">
        <v>1315</v>
      </c>
      <c r="F184" s="62" t="s">
        <v>2171</v>
      </c>
      <c r="G184" s="50" t="s">
        <v>1316</v>
      </c>
      <c r="H184" s="62" t="s">
        <v>2171</v>
      </c>
      <c r="I184" s="47" t="s">
        <v>181</v>
      </c>
      <c r="J184" s="50" t="s">
        <v>232</v>
      </c>
      <c r="K184" s="50" t="s">
        <v>1530</v>
      </c>
      <c r="L184" s="53" t="s">
        <v>1555</v>
      </c>
      <c r="M184" s="19"/>
      <c r="N184" s="19"/>
      <c r="O184" s="19"/>
      <c r="P184" s="19"/>
      <c r="Q184" s="50">
        <v>1.0</v>
      </c>
      <c r="R184" s="59">
        <v>45936.0</v>
      </c>
      <c r="S184" s="61">
        <v>45940.0</v>
      </c>
      <c r="T184" s="59">
        <v>45937.0</v>
      </c>
      <c r="U184" s="19"/>
      <c r="V184" s="50" t="s">
        <v>1321</v>
      </c>
      <c r="W184" s="19"/>
      <c r="X184" s="50" t="s">
        <v>12</v>
      </c>
      <c r="Y184" s="50" t="s">
        <v>1322</v>
      </c>
      <c r="Z184" s="50">
        <v>3.040285493E9</v>
      </c>
      <c r="AA184" s="50" t="s">
        <v>1491</v>
      </c>
      <c r="AB184" s="50" t="s">
        <v>1492</v>
      </c>
      <c r="AC184" s="50" t="s">
        <v>1493</v>
      </c>
      <c r="AD184" s="19"/>
      <c r="AE184" s="19"/>
      <c r="AF184" s="19"/>
      <c r="AG184" s="19"/>
    </row>
    <row r="185">
      <c r="A185" s="47">
        <f>COUNTIF('Divulgação'!$B:$B,B185)</f>
        <v>1</v>
      </c>
      <c r="B185" s="53" t="s">
        <v>695</v>
      </c>
      <c r="C185" s="19"/>
      <c r="D185" s="50" t="s">
        <v>1314</v>
      </c>
      <c r="E185" s="50" t="s">
        <v>1315</v>
      </c>
      <c r="F185" s="62" t="s">
        <v>2178</v>
      </c>
      <c r="G185" s="50" t="s">
        <v>1316</v>
      </c>
      <c r="H185" s="62" t="s">
        <v>2178</v>
      </c>
      <c r="I185" s="47" t="s">
        <v>1560</v>
      </c>
      <c r="J185" s="50" t="s">
        <v>48</v>
      </c>
      <c r="K185" s="50" t="s">
        <v>1561</v>
      </c>
      <c r="L185" s="48"/>
      <c r="M185" s="19"/>
      <c r="N185" s="19"/>
      <c r="O185" s="19"/>
      <c r="P185" s="19"/>
      <c r="Q185" s="50">
        <v>1.0</v>
      </c>
      <c r="R185" s="59">
        <v>45938.0</v>
      </c>
      <c r="S185" s="61">
        <v>45944.0</v>
      </c>
      <c r="T185" s="59">
        <v>45939.0</v>
      </c>
      <c r="U185" s="19"/>
      <c r="V185" s="50" t="s">
        <v>1321</v>
      </c>
      <c r="W185" s="19"/>
      <c r="X185" s="50" t="s">
        <v>12</v>
      </c>
      <c r="Y185" s="50" t="s">
        <v>1322</v>
      </c>
      <c r="Z185" s="50">
        <v>3.04031824E9</v>
      </c>
      <c r="AA185" s="50" t="s">
        <v>1500</v>
      </c>
      <c r="AB185" s="50" t="s">
        <v>1537</v>
      </c>
      <c r="AC185" s="50" t="s">
        <v>1562</v>
      </c>
      <c r="AD185" s="19"/>
      <c r="AE185" s="19"/>
      <c r="AF185" s="19"/>
      <c r="AG185" s="19"/>
    </row>
    <row r="186">
      <c r="A186" s="47">
        <f>COUNTIF('Divulgação'!$B:$B,B186)</f>
        <v>1</v>
      </c>
      <c r="B186" s="53" t="s">
        <v>697</v>
      </c>
      <c r="C186" s="19"/>
      <c r="D186" s="50" t="s">
        <v>1314</v>
      </c>
      <c r="E186" s="50" t="s">
        <v>1315</v>
      </c>
      <c r="F186" s="62" t="s">
        <v>2178</v>
      </c>
      <c r="G186" s="50" t="s">
        <v>1316</v>
      </c>
      <c r="H186" s="62" t="s">
        <v>2178</v>
      </c>
      <c r="I186" s="47" t="s">
        <v>181</v>
      </c>
      <c r="J186" s="50" t="s">
        <v>232</v>
      </c>
      <c r="K186" s="50" t="s">
        <v>1530</v>
      </c>
      <c r="L186" s="53" t="s">
        <v>1567</v>
      </c>
      <c r="M186" s="19"/>
      <c r="N186" s="19"/>
      <c r="O186" s="19"/>
      <c r="P186" s="19"/>
      <c r="Q186" s="50">
        <v>1.0</v>
      </c>
      <c r="R186" s="59">
        <v>45938.0</v>
      </c>
      <c r="S186" s="61">
        <v>45944.0</v>
      </c>
      <c r="T186" s="59">
        <v>45939.0</v>
      </c>
      <c r="U186" s="19"/>
      <c r="V186" s="50" t="s">
        <v>1321</v>
      </c>
      <c r="W186" s="19"/>
      <c r="X186" s="50" t="s">
        <v>12</v>
      </c>
      <c r="Y186" s="50" t="s">
        <v>1322</v>
      </c>
      <c r="Z186" s="50">
        <v>3.040295895E9</v>
      </c>
      <c r="AA186" s="50" t="s">
        <v>1491</v>
      </c>
      <c r="AB186" s="50" t="s">
        <v>1492</v>
      </c>
      <c r="AC186" s="50" t="s">
        <v>1493</v>
      </c>
      <c r="AD186" s="19"/>
      <c r="AE186" s="19"/>
      <c r="AF186" s="19"/>
      <c r="AG186" s="19"/>
    </row>
    <row r="187">
      <c r="A187" s="47">
        <f>COUNTIF('Divulgação'!$B:$B,B187)</f>
        <v>1</v>
      </c>
      <c r="B187" s="53" t="s">
        <v>699</v>
      </c>
      <c r="C187" s="19"/>
      <c r="D187" s="50" t="s">
        <v>1314</v>
      </c>
      <c r="E187" s="50" t="s">
        <v>1315</v>
      </c>
      <c r="F187" s="62" t="s">
        <v>2178</v>
      </c>
      <c r="G187" s="50" t="s">
        <v>1316</v>
      </c>
      <c r="H187" s="62" t="s">
        <v>2178</v>
      </c>
      <c r="I187" s="47" t="s">
        <v>181</v>
      </c>
      <c r="J187" s="50" t="s">
        <v>232</v>
      </c>
      <c r="K187" s="50" t="s">
        <v>1530</v>
      </c>
      <c r="L187" s="53" t="s">
        <v>1565</v>
      </c>
      <c r="M187" s="19"/>
      <c r="N187" s="19"/>
      <c r="O187" s="19"/>
      <c r="P187" s="19"/>
      <c r="Q187" s="50">
        <v>1.0</v>
      </c>
      <c r="R187" s="59">
        <v>45938.0</v>
      </c>
      <c r="S187" s="61">
        <v>45944.0</v>
      </c>
      <c r="T187" s="59">
        <v>45939.0</v>
      </c>
      <c r="U187" s="19"/>
      <c r="V187" s="50" t="s">
        <v>1321</v>
      </c>
      <c r="W187" s="19"/>
      <c r="X187" s="50" t="s">
        <v>12</v>
      </c>
      <c r="Y187" s="50" t="s">
        <v>1322</v>
      </c>
      <c r="Z187" s="50">
        <v>3.040303444E9</v>
      </c>
      <c r="AA187" s="50" t="s">
        <v>1352</v>
      </c>
      <c r="AB187" s="50" t="s">
        <v>1353</v>
      </c>
      <c r="AC187" s="50" t="s">
        <v>1566</v>
      </c>
      <c r="AD187" s="19"/>
      <c r="AE187" s="19"/>
      <c r="AF187" s="19"/>
      <c r="AG187" s="19"/>
    </row>
    <row r="188">
      <c r="A188" s="47">
        <f>COUNTIF('Divulgação'!$B:$B,B188)</f>
        <v>1</v>
      </c>
      <c r="B188" s="53" t="s">
        <v>701</v>
      </c>
      <c r="C188" s="19"/>
      <c r="D188" s="50" t="s">
        <v>1314</v>
      </c>
      <c r="E188" s="50" t="s">
        <v>1315</v>
      </c>
      <c r="F188" s="62" t="s">
        <v>2178</v>
      </c>
      <c r="G188" s="50" t="s">
        <v>1316</v>
      </c>
      <c r="H188" s="62" t="s">
        <v>2178</v>
      </c>
      <c r="I188" s="47" t="s">
        <v>181</v>
      </c>
      <c r="J188" s="50" t="s">
        <v>232</v>
      </c>
      <c r="K188" s="50" t="s">
        <v>1530</v>
      </c>
      <c r="L188" s="53" t="s">
        <v>1563</v>
      </c>
      <c r="M188" s="19"/>
      <c r="N188" s="19"/>
      <c r="O188" s="19"/>
      <c r="P188" s="19"/>
      <c r="Q188" s="50">
        <v>1.0</v>
      </c>
      <c r="R188" s="59">
        <v>45938.0</v>
      </c>
      <c r="S188" s="61">
        <v>45944.0</v>
      </c>
      <c r="T188" s="59">
        <v>45939.0</v>
      </c>
      <c r="U188" s="19"/>
      <c r="V188" s="50" t="s">
        <v>1347</v>
      </c>
      <c r="W188" s="50">
        <v>3.13250017124E11</v>
      </c>
      <c r="X188" s="50" t="s">
        <v>12</v>
      </c>
      <c r="Y188" s="50" t="s">
        <v>1322</v>
      </c>
      <c r="Z188" s="50">
        <v>3.040317799E9</v>
      </c>
      <c r="AA188" s="50" t="s">
        <v>13</v>
      </c>
      <c r="AB188" s="50" t="s">
        <v>1380</v>
      </c>
      <c r="AC188" s="50" t="s">
        <v>1564</v>
      </c>
      <c r="AD188" s="19"/>
      <c r="AE188" s="19"/>
      <c r="AF188" s="19"/>
      <c r="AG188" s="19"/>
    </row>
    <row r="189">
      <c r="A189" s="47">
        <f>COUNTIF('Divulgação'!$B:$B,B189)</f>
        <v>1</v>
      </c>
      <c r="B189" s="53" t="s">
        <v>703</v>
      </c>
      <c r="C189" s="19"/>
      <c r="D189" s="50" t="s">
        <v>1314</v>
      </c>
      <c r="E189" s="50" t="s">
        <v>1315</v>
      </c>
      <c r="F189" s="62" t="s">
        <v>2179</v>
      </c>
      <c r="G189" s="50" t="s">
        <v>1316</v>
      </c>
      <c r="H189" s="62" t="s">
        <v>2179</v>
      </c>
      <c r="I189" s="47" t="s">
        <v>211</v>
      </c>
      <c r="J189" s="62" t="s">
        <v>1318</v>
      </c>
      <c r="K189" s="50" t="s">
        <v>1568</v>
      </c>
      <c r="L189" s="53" t="s">
        <v>1569</v>
      </c>
      <c r="M189" s="19"/>
      <c r="N189" s="19"/>
      <c r="O189" s="19"/>
      <c r="P189" s="19"/>
      <c r="Q189" s="50">
        <v>1.0</v>
      </c>
      <c r="R189" s="61">
        <v>45946.0</v>
      </c>
      <c r="S189" s="61">
        <v>45952.0</v>
      </c>
      <c r="T189" s="61">
        <v>45946.0</v>
      </c>
      <c r="U189" s="19"/>
      <c r="V189" s="50" t="s">
        <v>1321</v>
      </c>
      <c r="W189" s="19"/>
      <c r="X189" s="50" t="s">
        <v>12</v>
      </c>
      <c r="Y189" s="50" t="s">
        <v>1322</v>
      </c>
      <c r="Z189" s="50">
        <v>3.040312898E9</v>
      </c>
      <c r="AA189" s="50" t="s">
        <v>12</v>
      </c>
      <c r="AB189" s="50" t="s">
        <v>1322</v>
      </c>
      <c r="AC189" s="50" t="s">
        <v>1434</v>
      </c>
      <c r="AD189" s="19"/>
      <c r="AE189" s="19"/>
      <c r="AF189" s="19"/>
      <c r="AG189" s="19"/>
    </row>
    <row r="190">
      <c r="A190" s="47">
        <f>COUNTIF('Divulgação'!$B:$B,B190)</f>
        <v>1</v>
      </c>
      <c r="B190" s="53" t="s">
        <v>705</v>
      </c>
      <c r="C190" s="19"/>
      <c r="D190" s="50" t="s">
        <v>1314</v>
      </c>
      <c r="E190" s="50" t="s">
        <v>1315</v>
      </c>
      <c r="F190" s="62" t="s">
        <v>2180</v>
      </c>
      <c r="G190" s="50" t="s">
        <v>1316</v>
      </c>
      <c r="H190" s="62" t="s">
        <v>2180</v>
      </c>
      <c r="I190" s="47" t="s">
        <v>1317</v>
      </c>
      <c r="J190" s="50" t="s">
        <v>1570</v>
      </c>
      <c r="K190" s="50" t="s">
        <v>1571</v>
      </c>
      <c r="L190" s="53" t="s">
        <v>1573</v>
      </c>
      <c r="M190" s="19"/>
      <c r="N190" s="19"/>
      <c r="O190" s="19"/>
      <c r="P190" s="19"/>
      <c r="Q190" s="50">
        <v>1.0</v>
      </c>
      <c r="R190" s="59">
        <v>45965.0</v>
      </c>
      <c r="S190" s="61">
        <v>45971.0</v>
      </c>
      <c r="T190" s="59">
        <v>45965.0</v>
      </c>
      <c r="U190" s="19"/>
      <c r="V190" s="50" t="s">
        <v>1321</v>
      </c>
      <c r="W190" s="19"/>
      <c r="X190" s="50" t="s">
        <v>12</v>
      </c>
      <c r="Y190" s="50" t="s">
        <v>1322</v>
      </c>
      <c r="Z190" s="50">
        <v>3.040311489E9</v>
      </c>
      <c r="AA190" s="50" t="s">
        <v>13</v>
      </c>
      <c r="AB190" s="50" t="s">
        <v>1380</v>
      </c>
      <c r="AC190" s="50" t="s">
        <v>1574</v>
      </c>
      <c r="AD190" s="19"/>
      <c r="AE190" s="19"/>
      <c r="AF190" s="19"/>
      <c r="AG190" s="19"/>
    </row>
    <row r="191">
      <c r="A191" s="47">
        <f>COUNTIF('Divulgação'!$B:$B,B191)</f>
        <v>1</v>
      </c>
      <c r="B191" s="53" t="s">
        <v>707</v>
      </c>
      <c r="C191" s="19"/>
      <c r="D191" s="50" t="s">
        <v>1314</v>
      </c>
      <c r="E191" s="50" t="s">
        <v>1315</v>
      </c>
      <c r="F191" s="62" t="s">
        <v>2180</v>
      </c>
      <c r="G191" s="50" t="s">
        <v>1316</v>
      </c>
      <c r="H191" s="62" t="s">
        <v>2180</v>
      </c>
      <c r="I191" s="47" t="s">
        <v>1317</v>
      </c>
      <c r="J191" s="50" t="s">
        <v>1570</v>
      </c>
      <c r="K191" s="50" t="s">
        <v>1571</v>
      </c>
      <c r="L191" s="53" t="s">
        <v>1572</v>
      </c>
      <c r="M191" s="19"/>
      <c r="N191" s="19"/>
      <c r="O191" s="19"/>
      <c r="P191" s="19"/>
      <c r="Q191" s="50">
        <v>1.0</v>
      </c>
      <c r="R191" s="59">
        <v>45965.0</v>
      </c>
      <c r="S191" s="61">
        <v>45971.0</v>
      </c>
      <c r="T191" s="59">
        <v>45965.0</v>
      </c>
      <c r="U191" s="19"/>
      <c r="V191" s="50" t="s">
        <v>1321</v>
      </c>
      <c r="W191" s="19"/>
      <c r="X191" s="50" t="s">
        <v>12</v>
      </c>
      <c r="Y191" s="50" t="s">
        <v>1322</v>
      </c>
      <c r="Z191" s="50">
        <v>3.04029076E9</v>
      </c>
      <c r="AA191" s="50" t="s">
        <v>17</v>
      </c>
      <c r="AB191" s="50" t="s">
        <v>1343</v>
      </c>
      <c r="AC191" s="50" t="s">
        <v>1508</v>
      </c>
      <c r="AD191" s="19"/>
      <c r="AE191" s="19"/>
      <c r="AF191" s="19"/>
      <c r="AG191" s="19"/>
    </row>
    <row r="192">
      <c r="A192" s="47">
        <f>COUNTIF('Divulgação'!$B:$B,B192)</f>
        <v>1</v>
      </c>
      <c r="B192" s="53" t="s">
        <v>709</v>
      </c>
      <c r="C192" s="19"/>
      <c r="D192" s="50" t="s">
        <v>1314</v>
      </c>
      <c r="E192" s="50" t="s">
        <v>1315</v>
      </c>
      <c r="F192" s="62" t="s">
        <v>2181</v>
      </c>
      <c r="G192" s="50" t="s">
        <v>1316</v>
      </c>
      <c r="H192" s="62" t="s">
        <v>2181</v>
      </c>
      <c r="I192" s="47" t="s">
        <v>105</v>
      </c>
      <c r="J192" s="62" t="s">
        <v>1318</v>
      </c>
      <c r="K192" s="50" t="s">
        <v>106</v>
      </c>
      <c r="L192" s="53" t="s">
        <v>1575</v>
      </c>
      <c r="M192" s="19"/>
      <c r="N192" s="19"/>
      <c r="O192" s="19"/>
      <c r="P192" s="19"/>
      <c r="Q192" s="50">
        <v>1.0</v>
      </c>
      <c r="R192" s="59">
        <v>45967.0</v>
      </c>
      <c r="S192" s="61">
        <v>45973.0</v>
      </c>
      <c r="T192" s="59">
        <v>45967.0</v>
      </c>
      <c r="U192" s="19"/>
      <c r="V192" s="50" t="s">
        <v>1321</v>
      </c>
      <c r="W192" s="19"/>
      <c r="X192" s="50" t="s">
        <v>12</v>
      </c>
      <c r="Y192" s="50" t="s">
        <v>1322</v>
      </c>
      <c r="Z192" s="50">
        <v>3.040308555E9</v>
      </c>
      <c r="AA192" s="50" t="s">
        <v>24</v>
      </c>
      <c r="AB192" s="50" t="s">
        <v>1359</v>
      </c>
      <c r="AC192" s="50" t="s">
        <v>1360</v>
      </c>
      <c r="AD192" s="19"/>
      <c r="AE192" s="19"/>
      <c r="AF192" s="19"/>
      <c r="AG192" s="19"/>
    </row>
    <row r="193">
      <c r="A193" s="47">
        <f>COUNTIF('Divulgação'!$B:$B,B193)</f>
        <v>1</v>
      </c>
      <c r="B193" s="53" t="s">
        <v>711</v>
      </c>
      <c r="C193" s="19"/>
      <c r="D193" s="50" t="s">
        <v>1314</v>
      </c>
      <c r="E193" s="50" t="s">
        <v>1315</v>
      </c>
      <c r="F193" s="62" t="s">
        <v>2182</v>
      </c>
      <c r="G193" s="50" t="s">
        <v>1316</v>
      </c>
      <c r="H193" s="62" t="s">
        <v>2182</v>
      </c>
      <c r="I193" s="47" t="s">
        <v>1576</v>
      </c>
      <c r="J193" s="62" t="s">
        <v>1577</v>
      </c>
      <c r="K193" s="50" t="s">
        <v>1578</v>
      </c>
      <c r="L193" s="47" t="s">
        <v>1579</v>
      </c>
      <c r="M193" s="19"/>
      <c r="N193" s="19"/>
      <c r="O193" s="19"/>
      <c r="P193" s="19"/>
      <c r="Q193" s="50">
        <v>1.0</v>
      </c>
      <c r="R193" s="59">
        <v>45965.0</v>
      </c>
      <c r="S193" s="61">
        <v>45971.0</v>
      </c>
      <c r="T193" s="59">
        <v>45968.0</v>
      </c>
      <c r="U193" s="19"/>
      <c r="V193" s="50" t="s">
        <v>1321</v>
      </c>
      <c r="W193" s="19"/>
      <c r="X193" s="50" t="s">
        <v>12</v>
      </c>
      <c r="Y193" s="50" t="s">
        <v>1322</v>
      </c>
      <c r="Z193" s="50">
        <v>3.040310543E9</v>
      </c>
      <c r="AA193" s="50" t="s">
        <v>12</v>
      </c>
      <c r="AB193" s="50" t="s">
        <v>1322</v>
      </c>
      <c r="AC193" s="50" t="s">
        <v>1336</v>
      </c>
      <c r="AD193" s="19"/>
      <c r="AE193" s="19"/>
      <c r="AF193" s="19"/>
      <c r="AG193" s="19"/>
    </row>
    <row r="194">
      <c r="A194" s="47">
        <f>COUNTIF('Divulgação'!$B:$B,B194)</f>
        <v>1</v>
      </c>
      <c r="B194" s="53" t="s">
        <v>713</v>
      </c>
      <c r="C194" s="19"/>
      <c r="D194" s="50" t="s">
        <v>1314</v>
      </c>
      <c r="E194" s="50" t="s">
        <v>1315</v>
      </c>
      <c r="F194" s="62" t="s">
        <v>2182</v>
      </c>
      <c r="G194" s="50" t="s">
        <v>1316</v>
      </c>
      <c r="H194" s="62" t="s">
        <v>2182</v>
      </c>
      <c r="I194" s="47" t="s">
        <v>1436</v>
      </c>
      <c r="J194" s="62" t="s">
        <v>1395</v>
      </c>
      <c r="K194" s="50" t="s">
        <v>1437</v>
      </c>
      <c r="L194" s="53" t="s">
        <v>2183</v>
      </c>
      <c r="M194" s="19"/>
      <c r="N194" s="19"/>
      <c r="O194" s="19"/>
      <c r="P194" s="19"/>
      <c r="Q194" s="50">
        <v>1.0</v>
      </c>
      <c r="R194" s="59">
        <v>45965.0</v>
      </c>
      <c r="S194" s="61">
        <v>45971.0</v>
      </c>
      <c r="T194" s="59">
        <v>45968.0</v>
      </c>
      <c r="U194" s="19"/>
      <c r="V194" s="50" t="s">
        <v>1321</v>
      </c>
      <c r="W194" s="19"/>
      <c r="X194" s="50" t="s">
        <v>12</v>
      </c>
      <c r="Y194" s="50" t="s">
        <v>1322</v>
      </c>
      <c r="Z194" s="50">
        <v>3.040319447E9</v>
      </c>
      <c r="AA194" s="50" t="s">
        <v>17</v>
      </c>
      <c r="AB194" s="50" t="s">
        <v>1553</v>
      </c>
      <c r="AC194" s="50" t="s">
        <v>1554</v>
      </c>
      <c r="AD194" s="19"/>
      <c r="AE194" s="19"/>
      <c r="AF194" s="19"/>
      <c r="AG194" s="19"/>
    </row>
    <row r="195">
      <c r="A195" s="47">
        <f>COUNTIF('Divulgação'!$B:$B,B195)</f>
        <v>1</v>
      </c>
      <c r="B195" s="53" t="s">
        <v>715</v>
      </c>
      <c r="C195" s="19"/>
      <c r="D195" s="50" t="s">
        <v>1314</v>
      </c>
      <c r="E195" s="50" t="s">
        <v>1315</v>
      </c>
      <c r="F195" s="62" t="s">
        <v>2182</v>
      </c>
      <c r="G195" s="50" t="s">
        <v>1316</v>
      </c>
      <c r="H195" s="62" t="s">
        <v>2182</v>
      </c>
      <c r="I195" s="47" t="s">
        <v>229</v>
      </c>
      <c r="J195" s="62" t="s">
        <v>2024</v>
      </c>
      <c r="K195" s="50" t="s">
        <v>2184</v>
      </c>
      <c r="L195" s="53" t="s">
        <v>2185</v>
      </c>
      <c r="M195" s="19"/>
      <c r="N195" s="19"/>
      <c r="O195" s="19"/>
      <c r="P195" s="19"/>
      <c r="Q195" s="50">
        <v>1.0</v>
      </c>
      <c r="R195" s="59">
        <v>45965.0</v>
      </c>
      <c r="S195" s="61">
        <v>45971.0</v>
      </c>
      <c r="T195" s="59">
        <v>45968.0</v>
      </c>
      <c r="U195" s="19"/>
      <c r="V195" s="50" t="s">
        <v>1347</v>
      </c>
      <c r="W195" s="50">
        <v>3.13260017605E11</v>
      </c>
      <c r="X195" s="50" t="s">
        <v>12</v>
      </c>
      <c r="Y195" s="50" t="s">
        <v>1322</v>
      </c>
      <c r="Z195" s="50">
        <v>3.040319891E9</v>
      </c>
      <c r="AA195" s="50" t="s">
        <v>17</v>
      </c>
      <c r="AB195" s="50" t="s">
        <v>2006</v>
      </c>
      <c r="AC195" s="50" t="s">
        <v>2186</v>
      </c>
      <c r="AD195" s="19"/>
      <c r="AE195" s="19"/>
      <c r="AF195" s="19"/>
      <c r="AG195" s="19"/>
    </row>
    <row r="196">
      <c r="A196" s="47">
        <f>COUNTIF('Divulgação'!$B:$B,B196)</f>
        <v>1</v>
      </c>
      <c r="B196" s="53" t="s">
        <v>717</v>
      </c>
      <c r="C196" s="19"/>
      <c r="D196" s="50" t="s">
        <v>1314</v>
      </c>
      <c r="E196" s="50" t="s">
        <v>1315</v>
      </c>
      <c r="F196" s="62" t="s">
        <v>2187</v>
      </c>
      <c r="G196" s="50" t="s">
        <v>1316</v>
      </c>
      <c r="H196" s="62" t="s">
        <v>2187</v>
      </c>
      <c r="I196" s="47" t="s">
        <v>1841</v>
      </c>
      <c r="J196" s="50" t="s">
        <v>1720</v>
      </c>
      <c r="K196" s="50" t="s">
        <v>1842</v>
      </c>
      <c r="L196" s="47" t="s">
        <v>2188</v>
      </c>
      <c r="M196" s="19"/>
      <c r="N196" s="19"/>
      <c r="O196" s="19"/>
      <c r="P196" s="19"/>
      <c r="Q196" s="50">
        <v>1.0</v>
      </c>
      <c r="R196" s="59">
        <v>45968.0</v>
      </c>
      <c r="S196" s="61">
        <v>45974.0</v>
      </c>
      <c r="T196" s="61">
        <v>45971.0</v>
      </c>
      <c r="U196" s="19"/>
      <c r="V196" s="50" t="s">
        <v>1321</v>
      </c>
      <c r="W196" s="19"/>
      <c r="X196" s="50" t="s">
        <v>12</v>
      </c>
      <c r="Y196" s="50" t="s">
        <v>1322</v>
      </c>
      <c r="Z196" s="50">
        <v>3.040302335E9</v>
      </c>
      <c r="AA196" s="50" t="s">
        <v>15</v>
      </c>
      <c r="AB196" s="50" t="s">
        <v>1348</v>
      </c>
      <c r="AC196" s="50" t="s">
        <v>2189</v>
      </c>
      <c r="AD196" s="19"/>
      <c r="AE196" s="19"/>
      <c r="AF196" s="19"/>
      <c r="AG196" s="19"/>
    </row>
    <row r="197">
      <c r="A197" s="47">
        <f>COUNTIF('Divulgação'!$B:$B,B197)</f>
        <v>1</v>
      </c>
      <c r="B197" s="53" t="s">
        <v>719</v>
      </c>
      <c r="C197" s="19"/>
      <c r="D197" s="50" t="s">
        <v>1314</v>
      </c>
      <c r="E197" s="50" t="s">
        <v>1315</v>
      </c>
      <c r="F197" s="62" t="s">
        <v>2190</v>
      </c>
      <c r="G197" s="50" t="s">
        <v>1316</v>
      </c>
      <c r="H197" s="62" t="s">
        <v>2190</v>
      </c>
      <c r="I197" s="47" t="s">
        <v>133</v>
      </c>
      <c r="J197" s="50" t="s">
        <v>48</v>
      </c>
      <c r="K197" s="50" t="s">
        <v>134</v>
      </c>
      <c r="L197" s="47" t="s">
        <v>2191</v>
      </c>
      <c r="M197" s="19"/>
      <c r="N197" s="19"/>
      <c r="O197" s="19"/>
      <c r="P197" s="19"/>
      <c r="Q197" s="50">
        <v>1.0</v>
      </c>
      <c r="R197" s="61">
        <v>45973.0</v>
      </c>
      <c r="S197" s="61">
        <v>45979.0</v>
      </c>
      <c r="T197" s="61">
        <v>45978.0</v>
      </c>
      <c r="U197" s="19"/>
      <c r="V197" s="50" t="s">
        <v>1321</v>
      </c>
      <c r="W197" s="19"/>
      <c r="X197" s="50" t="s">
        <v>12</v>
      </c>
      <c r="Y197" s="50" t="s">
        <v>1322</v>
      </c>
      <c r="Z197" s="50">
        <v>3.040105344E9</v>
      </c>
      <c r="AA197" s="50" t="s">
        <v>12</v>
      </c>
      <c r="AB197" s="50" t="s">
        <v>1322</v>
      </c>
      <c r="AC197" s="50" t="s">
        <v>1480</v>
      </c>
      <c r="AD197" s="19"/>
      <c r="AE197" s="19"/>
      <c r="AF197" s="19"/>
      <c r="AG197" s="19"/>
    </row>
    <row r="198">
      <c r="A198" s="47">
        <f>COUNTIF('Divulgação'!$B:$B,B198)</f>
        <v>1</v>
      </c>
      <c r="B198" s="53" t="s">
        <v>721</v>
      </c>
      <c r="C198" s="19"/>
      <c r="D198" s="50" t="s">
        <v>1314</v>
      </c>
      <c r="E198" s="50" t="s">
        <v>1315</v>
      </c>
      <c r="F198" s="62" t="s">
        <v>2190</v>
      </c>
      <c r="G198" s="50" t="s">
        <v>1316</v>
      </c>
      <c r="H198" s="62" t="s">
        <v>2190</v>
      </c>
      <c r="I198" s="47" t="s">
        <v>133</v>
      </c>
      <c r="J198" s="50" t="s">
        <v>48</v>
      </c>
      <c r="K198" s="50" t="s">
        <v>134</v>
      </c>
      <c r="L198" s="47" t="s">
        <v>2192</v>
      </c>
      <c r="M198" s="19"/>
      <c r="N198" s="19"/>
      <c r="O198" s="19"/>
      <c r="P198" s="19"/>
      <c r="Q198" s="50">
        <v>1.0</v>
      </c>
      <c r="R198" s="61">
        <v>45973.0</v>
      </c>
      <c r="S198" s="61">
        <v>45979.0</v>
      </c>
      <c r="T198" s="61">
        <v>45978.0</v>
      </c>
      <c r="U198" s="19"/>
      <c r="V198" s="50" t="s">
        <v>1321</v>
      </c>
      <c r="W198" s="19"/>
      <c r="X198" s="50" t="s">
        <v>12</v>
      </c>
      <c r="Y198" s="50" t="s">
        <v>1322</v>
      </c>
      <c r="Z198" s="50">
        <v>3.0402127E9</v>
      </c>
      <c r="AA198" s="50" t="s">
        <v>1415</v>
      </c>
      <c r="AB198" s="50" t="s">
        <v>2193</v>
      </c>
      <c r="AC198" s="50" t="s">
        <v>2194</v>
      </c>
      <c r="AD198" s="19"/>
      <c r="AE198" s="19"/>
      <c r="AF198" s="19"/>
      <c r="AG198" s="19"/>
    </row>
    <row r="199">
      <c r="A199" s="47">
        <f>COUNTIF('Divulgação'!$B:$B,B199)</f>
        <v>1</v>
      </c>
      <c r="B199" s="53" t="s">
        <v>723</v>
      </c>
      <c r="C199" s="19"/>
      <c r="D199" s="50" t="s">
        <v>1314</v>
      </c>
      <c r="E199" s="50" t="s">
        <v>1315</v>
      </c>
      <c r="F199" s="62" t="s">
        <v>2190</v>
      </c>
      <c r="G199" s="50" t="s">
        <v>1316</v>
      </c>
      <c r="H199" s="62" t="s">
        <v>2190</v>
      </c>
      <c r="I199" s="47" t="s">
        <v>133</v>
      </c>
      <c r="J199" s="50" t="s">
        <v>48</v>
      </c>
      <c r="K199" s="50" t="s">
        <v>134</v>
      </c>
      <c r="L199" s="53" t="s">
        <v>2195</v>
      </c>
      <c r="M199" s="19"/>
      <c r="N199" s="19"/>
      <c r="O199" s="19"/>
      <c r="P199" s="19"/>
      <c r="Q199" s="50">
        <v>1.0</v>
      </c>
      <c r="R199" s="61">
        <v>45973.0</v>
      </c>
      <c r="S199" s="61">
        <v>45979.0</v>
      </c>
      <c r="T199" s="61">
        <v>45978.0</v>
      </c>
      <c r="U199" s="19"/>
      <c r="V199" s="50" t="s">
        <v>1321</v>
      </c>
      <c r="W199" s="19"/>
      <c r="X199" s="50" t="s">
        <v>12</v>
      </c>
      <c r="Y199" s="50" t="s">
        <v>1322</v>
      </c>
      <c r="Z199" s="50">
        <v>3.040248741E9</v>
      </c>
      <c r="AA199" s="50" t="s">
        <v>1415</v>
      </c>
      <c r="AB199" s="50" t="s">
        <v>1416</v>
      </c>
      <c r="AC199" s="50" t="s">
        <v>2196</v>
      </c>
      <c r="AD199" s="19"/>
      <c r="AE199" s="19"/>
      <c r="AF199" s="19"/>
      <c r="AG199" s="19"/>
    </row>
    <row r="200">
      <c r="A200" s="47">
        <f>COUNTIF('Divulgação'!$B:$B,B200)</f>
        <v>1</v>
      </c>
      <c r="B200" s="53" t="s">
        <v>725</v>
      </c>
      <c r="C200" s="19"/>
      <c r="D200" s="50" t="s">
        <v>1314</v>
      </c>
      <c r="E200" s="50" t="s">
        <v>1315</v>
      </c>
      <c r="F200" s="62" t="s">
        <v>2197</v>
      </c>
      <c r="G200" s="50" t="s">
        <v>1316</v>
      </c>
      <c r="H200" s="62" t="s">
        <v>2197</v>
      </c>
      <c r="I200" s="47" t="s">
        <v>1580</v>
      </c>
      <c r="J200" s="62" t="s">
        <v>1581</v>
      </c>
      <c r="K200" s="50" t="s">
        <v>146</v>
      </c>
      <c r="L200" s="53" t="s">
        <v>1582</v>
      </c>
      <c r="M200" s="19"/>
      <c r="N200" s="19"/>
      <c r="O200" s="19"/>
      <c r="P200" s="19"/>
      <c r="Q200" s="50">
        <v>1.0</v>
      </c>
      <c r="R200" s="61">
        <v>45978.0</v>
      </c>
      <c r="S200" s="59">
        <v>46128.0</v>
      </c>
      <c r="T200" s="61">
        <v>45979.0</v>
      </c>
      <c r="U200" s="19"/>
      <c r="V200" s="50" t="s">
        <v>1321</v>
      </c>
      <c r="W200" s="19"/>
      <c r="X200" s="50" t="s">
        <v>12</v>
      </c>
      <c r="Y200" s="50" t="s">
        <v>1322</v>
      </c>
      <c r="Z200" s="50">
        <v>3.040301307E9</v>
      </c>
      <c r="AA200" s="50" t="s">
        <v>1500</v>
      </c>
      <c r="AB200" s="50" t="s">
        <v>1501</v>
      </c>
      <c r="AC200" s="50" t="s">
        <v>1502</v>
      </c>
      <c r="AD200" s="19"/>
      <c r="AE200" s="19"/>
      <c r="AF200" s="19"/>
      <c r="AG200" s="19"/>
    </row>
    <row r="201">
      <c r="A201" s="47">
        <f>COUNTIF('Divulgação'!$B:$B,B201)</f>
        <v>1</v>
      </c>
      <c r="B201" s="53" t="s">
        <v>727</v>
      </c>
      <c r="C201" s="19"/>
      <c r="D201" s="50" t="s">
        <v>1314</v>
      </c>
      <c r="E201" s="50" t="s">
        <v>1315</v>
      </c>
      <c r="F201" s="62" t="s">
        <v>2198</v>
      </c>
      <c r="G201" s="50" t="s">
        <v>1316</v>
      </c>
      <c r="H201" s="62" t="s">
        <v>2198</v>
      </c>
      <c r="I201" s="47" t="s">
        <v>133</v>
      </c>
      <c r="J201" s="50" t="s">
        <v>48</v>
      </c>
      <c r="K201" s="50" t="s">
        <v>134</v>
      </c>
      <c r="L201" s="53" t="s">
        <v>692</v>
      </c>
      <c r="M201" s="19"/>
      <c r="N201" s="19"/>
      <c r="O201" s="19"/>
      <c r="P201" s="19"/>
      <c r="Q201" s="50">
        <v>1.0</v>
      </c>
      <c r="R201" s="61">
        <v>45986.0</v>
      </c>
      <c r="S201" s="59">
        <v>45992.0</v>
      </c>
      <c r="T201" s="61">
        <v>45986.0</v>
      </c>
      <c r="U201" s="19"/>
      <c r="V201" s="50" t="s">
        <v>1321</v>
      </c>
      <c r="W201" s="19"/>
      <c r="X201" s="50" t="s">
        <v>12</v>
      </c>
      <c r="Y201" s="50" t="s">
        <v>1322</v>
      </c>
      <c r="Z201" s="50">
        <v>3.040278353E9</v>
      </c>
      <c r="AA201" s="50" t="s">
        <v>17</v>
      </c>
      <c r="AB201" s="50" t="s">
        <v>1343</v>
      </c>
      <c r="AC201" s="50" t="s">
        <v>2196</v>
      </c>
      <c r="AD201" s="19"/>
      <c r="AE201" s="19"/>
      <c r="AF201" s="19"/>
      <c r="AG201" s="19"/>
    </row>
    <row r="202">
      <c r="A202" s="47">
        <f>COUNTIF('Divulgação'!$B:$B,B202)</f>
        <v>1</v>
      </c>
      <c r="B202" s="53" t="s">
        <v>729</v>
      </c>
      <c r="C202" s="19"/>
      <c r="D202" s="50" t="s">
        <v>1314</v>
      </c>
      <c r="E202" s="50" t="s">
        <v>1315</v>
      </c>
      <c r="F202" s="62" t="s">
        <v>2198</v>
      </c>
      <c r="G202" s="50" t="s">
        <v>1316</v>
      </c>
      <c r="H202" s="62" t="s">
        <v>2198</v>
      </c>
      <c r="I202" s="47" t="s">
        <v>133</v>
      </c>
      <c r="J202" s="50" t="s">
        <v>48</v>
      </c>
      <c r="K202" s="50" t="s">
        <v>134</v>
      </c>
      <c r="L202" s="47" t="s">
        <v>1585</v>
      </c>
      <c r="M202" s="19"/>
      <c r="N202" s="19"/>
      <c r="O202" s="19"/>
      <c r="P202" s="19"/>
      <c r="Q202" s="50">
        <v>1.0</v>
      </c>
      <c r="R202" s="61">
        <v>45986.0</v>
      </c>
      <c r="S202" s="59">
        <v>45992.0</v>
      </c>
      <c r="T202" s="61">
        <v>45986.0</v>
      </c>
      <c r="U202" s="19"/>
      <c r="V202" s="50" t="s">
        <v>1321</v>
      </c>
      <c r="W202" s="19"/>
      <c r="X202" s="50" t="s">
        <v>12</v>
      </c>
      <c r="Y202" s="50" t="s">
        <v>1322</v>
      </c>
      <c r="Z202" s="50">
        <v>3.040312875E9</v>
      </c>
      <c r="AA202" s="50" t="s">
        <v>12</v>
      </c>
      <c r="AB202" s="50" t="s">
        <v>1322</v>
      </c>
      <c r="AC202" s="50" t="s">
        <v>1434</v>
      </c>
      <c r="AD202" s="19"/>
      <c r="AE202" s="19"/>
      <c r="AF202" s="19"/>
      <c r="AG202" s="19"/>
    </row>
    <row r="203">
      <c r="A203" s="47">
        <f>COUNTIF('Divulgação'!$B:$B,B203)</f>
        <v>1</v>
      </c>
      <c r="B203" s="53" t="s">
        <v>731</v>
      </c>
      <c r="C203" s="19"/>
      <c r="D203" s="50" t="s">
        <v>1314</v>
      </c>
      <c r="E203" s="50" t="s">
        <v>1315</v>
      </c>
      <c r="F203" s="62" t="s">
        <v>2198</v>
      </c>
      <c r="G203" s="50" t="s">
        <v>1316</v>
      </c>
      <c r="H203" s="62" t="s">
        <v>2198</v>
      </c>
      <c r="I203" s="47" t="s">
        <v>133</v>
      </c>
      <c r="J203" s="50" t="s">
        <v>48</v>
      </c>
      <c r="K203" s="50" t="s">
        <v>134</v>
      </c>
      <c r="L203" s="47" t="s">
        <v>1583</v>
      </c>
      <c r="M203" s="19"/>
      <c r="N203" s="19"/>
      <c r="O203" s="19"/>
      <c r="P203" s="19"/>
      <c r="Q203" s="50">
        <v>1.0</v>
      </c>
      <c r="R203" s="61">
        <v>45986.0</v>
      </c>
      <c r="S203" s="59">
        <v>45992.0</v>
      </c>
      <c r="T203" s="61">
        <v>45986.0</v>
      </c>
      <c r="U203" s="19"/>
      <c r="V203" s="50" t="s">
        <v>1321</v>
      </c>
      <c r="W203" s="19"/>
      <c r="X203" s="50" t="s">
        <v>12</v>
      </c>
      <c r="Y203" s="50" t="s">
        <v>1322</v>
      </c>
      <c r="Z203" s="50">
        <v>3.040285255E9</v>
      </c>
      <c r="AA203" s="50" t="s">
        <v>15</v>
      </c>
      <c r="AB203" s="50" t="s">
        <v>1348</v>
      </c>
      <c r="AC203" s="50" t="s">
        <v>1584</v>
      </c>
      <c r="AD203" s="19"/>
      <c r="AE203" s="19"/>
      <c r="AF203" s="19"/>
      <c r="AG203" s="19"/>
    </row>
    <row r="204">
      <c r="A204" s="47">
        <f>COUNTIF('Divulgação'!$B:$B,B204)</f>
        <v>1</v>
      </c>
      <c r="B204" s="53" t="s">
        <v>733</v>
      </c>
      <c r="C204" s="19"/>
      <c r="D204" s="50" t="s">
        <v>1314</v>
      </c>
      <c r="E204" s="50" t="s">
        <v>1315</v>
      </c>
      <c r="F204" s="62" t="s">
        <v>2198</v>
      </c>
      <c r="G204" s="50" t="s">
        <v>1316</v>
      </c>
      <c r="H204" s="62" t="s">
        <v>2198</v>
      </c>
      <c r="I204" s="47" t="s">
        <v>133</v>
      </c>
      <c r="J204" s="50" t="s">
        <v>48</v>
      </c>
      <c r="K204" s="50" t="s">
        <v>134</v>
      </c>
      <c r="L204" s="47" t="s">
        <v>2199</v>
      </c>
      <c r="M204" s="19"/>
      <c r="N204" s="19"/>
      <c r="O204" s="19"/>
      <c r="P204" s="19"/>
      <c r="Q204" s="50">
        <v>1.0</v>
      </c>
      <c r="R204" s="61">
        <v>45986.0</v>
      </c>
      <c r="S204" s="59">
        <v>45992.0</v>
      </c>
      <c r="T204" s="61">
        <v>45986.0</v>
      </c>
      <c r="U204" s="19"/>
      <c r="V204" s="50" t="s">
        <v>1321</v>
      </c>
      <c r="W204" s="19"/>
      <c r="X204" s="50" t="s">
        <v>12</v>
      </c>
      <c r="Y204" s="50" t="s">
        <v>1322</v>
      </c>
      <c r="Z204" s="50">
        <v>3.040262758E9</v>
      </c>
      <c r="AA204" s="50" t="s">
        <v>1415</v>
      </c>
      <c r="AB204" s="50" t="s">
        <v>1416</v>
      </c>
      <c r="AC204" s="50" t="s">
        <v>2200</v>
      </c>
      <c r="AD204" s="19"/>
      <c r="AE204" s="19"/>
      <c r="AF204" s="19"/>
      <c r="AG204" s="19"/>
    </row>
    <row r="205">
      <c r="A205" s="47">
        <f>COUNTIF('Divulgação'!$B:$B,B205)</f>
        <v>1</v>
      </c>
      <c r="B205" s="53" t="s">
        <v>735</v>
      </c>
      <c r="C205" s="19"/>
      <c r="D205" s="50" t="s">
        <v>1314</v>
      </c>
      <c r="E205" s="50" t="s">
        <v>1315</v>
      </c>
      <c r="F205" s="62" t="s">
        <v>2198</v>
      </c>
      <c r="G205" s="50" t="s">
        <v>1316</v>
      </c>
      <c r="H205" s="62" t="s">
        <v>2198</v>
      </c>
      <c r="I205" s="47" t="s">
        <v>260</v>
      </c>
      <c r="J205" s="62" t="s">
        <v>1318</v>
      </c>
      <c r="K205" s="50" t="s">
        <v>1586</v>
      </c>
      <c r="L205" s="53" t="s">
        <v>1589</v>
      </c>
      <c r="M205" s="19"/>
      <c r="N205" s="19"/>
      <c r="O205" s="19"/>
      <c r="P205" s="19"/>
      <c r="Q205" s="50">
        <v>1.0</v>
      </c>
      <c r="R205" s="61">
        <v>45986.0</v>
      </c>
      <c r="S205" s="59">
        <v>45992.0</v>
      </c>
      <c r="T205" s="61">
        <v>45986.0</v>
      </c>
      <c r="U205" s="19"/>
      <c r="V205" s="50" t="s">
        <v>1321</v>
      </c>
      <c r="W205" s="19"/>
      <c r="X205" s="50" t="s">
        <v>12</v>
      </c>
      <c r="Y205" s="50" t="s">
        <v>1322</v>
      </c>
      <c r="Z205" s="50">
        <v>3.040316668E9</v>
      </c>
      <c r="AA205" s="50" t="s">
        <v>12</v>
      </c>
      <c r="AB205" s="50" t="s">
        <v>1322</v>
      </c>
      <c r="AC205" s="50" t="s">
        <v>1369</v>
      </c>
      <c r="AD205" s="19"/>
      <c r="AE205" s="19"/>
      <c r="AF205" s="19"/>
      <c r="AG205" s="19"/>
    </row>
    <row r="206">
      <c r="A206" s="47">
        <f>COUNTIF('Divulgação'!$B:$B,B206)</f>
        <v>1</v>
      </c>
      <c r="B206" s="53" t="s">
        <v>737</v>
      </c>
      <c r="C206" s="19"/>
      <c r="D206" s="50" t="s">
        <v>1314</v>
      </c>
      <c r="E206" s="50" t="s">
        <v>1315</v>
      </c>
      <c r="F206" s="62" t="s">
        <v>2198</v>
      </c>
      <c r="G206" s="50" t="s">
        <v>1316</v>
      </c>
      <c r="H206" s="62" t="s">
        <v>2198</v>
      </c>
      <c r="I206" s="47" t="s">
        <v>260</v>
      </c>
      <c r="J206" s="62" t="s">
        <v>1318</v>
      </c>
      <c r="K206" s="50" t="s">
        <v>1586</v>
      </c>
      <c r="L206" s="53" t="s">
        <v>1587</v>
      </c>
      <c r="M206" s="19"/>
      <c r="N206" s="19"/>
      <c r="O206" s="19"/>
      <c r="P206" s="19"/>
      <c r="Q206" s="50">
        <v>1.0</v>
      </c>
      <c r="R206" s="61">
        <v>45986.0</v>
      </c>
      <c r="S206" s="59">
        <v>45992.0</v>
      </c>
      <c r="T206" s="61">
        <v>45986.0</v>
      </c>
      <c r="U206" s="19"/>
      <c r="V206" s="50" t="s">
        <v>1321</v>
      </c>
      <c r="W206" s="19"/>
      <c r="X206" s="50" t="s">
        <v>12</v>
      </c>
      <c r="Y206" s="50" t="s">
        <v>1322</v>
      </c>
      <c r="Z206" s="50">
        <v>3.04030424E9</v>
      </c>
      <c r="AA206" s="50" t="s">
        <v>12</v>
      </c>
      <c r="AB206" s="50" t="s">
        <v>1385</v>
      </c>
      <c r="AC206" s="50" t="s">
        <v>1588</v>
      </c>
      <c r="AD206" s="19"/>
      <c r="AE206" s="19"/>
      <c r="AF206" s="19"/>
      <c r="AG206" s="19"/>
    </row>
    <row r="207">
      <c r="A207" s="47">
        <f>COUNTIF('Divulgação'!$B:$B,B207)</f>
        <v>1</v>
      </c>
      <c r="B207" s="53" t="s">
        <v>739</v>
      </c>
      <c r="C207" s="19"/>
      <c r="D207" s="50" t="s">
        <v>1314</v>
      </c>
      <c r="E207" s="50" t="s">
        <v>1315</v>
      </c>
      <c r="F207" s="62" t="s">
        <v>2198</v>
      </c>
      <c r="G207" s="50" t="s">
        <v>1316</v>
      </c>
      <c r="H207" s="62" t="s">
        <v>2198</v>
      </c>
      <c r="I207" s="47" t="s">
        <v>1590</v>
      </c>
      <c r="J207" s="62" t="s">
        <v>1318</v>
      </c>
      <c r="K207" s="50" t="s">
        <v>1591</v>
      </c>
      <c r="L207" s="53" t="s">
        <v>2201</v>
      </c>
      <c r="M207" s="19"/>
      <c r="N207" s="19"/>
      <c r="O207" s="19"/>
      <c r="P207" s="19"/>
      <c r="Q207" s="50">
        <v>1.0</v>
      </c>
      <c r="R207" s="61">
        <v>45986.0</v>
      </c>
      <c r="S207" s="59">
        <v>45992.0</v>
      </c>
      <c r="T207" s="61">
        <v>45986.0</v>
      </c>
      <c r="U207" s="19"/>
      <c r="V207" s="50" t="s">
        <v>1321</v>
      </c>
      <c r="W207" s="19"/>
      <c r="X207" s="50" t="s">
        <v>12</v>
      </c>
      <c r="Y207" s="50" t="s">
        <v>1322</v>
      </c>
      <c r="Z207" s="50">
        <v>3.040308558E9</v>
      </c>
      <c r="AA207" s="50" t="s">
        <v>24</v>
      </c>
      <c r="AB207" s="50" t="s">
        <v>1359</v>
      </c>
      <c r="AC207" s="50" t="s">
        <v>1360</v>
      </c>
      <c r="AD207" s="19"/>
      <c r="AE207" s="19"/>
      <c r="AF207" s="19"/>
      <c r="AG207" s="19"/>
    </row>
    <row r="208">
      <c r="A208" s="47">
        <f>COUNTIF('Divulgação'!$B:$B,B208)</f>
        <v>1</v>
      </c>
      <c r="B208" s="53" t="s">
        <v>741</v>
      </c>
      <c r="C208" s="19"/>
      <c r="D208" s="50" t="s">
        <v>1314</v>
      </c>
      <c r="E208" s="50" t="s">
        <v>1315</v>
      </c>
      <c r="F208" s="62" t="s">
        <v>2198</v>
      </c>
      <c r="G208" s="50" t="s">
        <v>1316</v>
      </c>
      <c r="H208" s="62" t="s">
        <v>2198</v>
      </c>
      <c r="I208" s="47" t="s">
        <v>1590</v>
      </c>
      <c r="J208" s="62" t="s">
        <v>1318</v>
      </c>
      <c r="K208" s="50" t="s">
        <v>1591</v>
      </c>
      <c r="L208" s="53" t="s">
        <v>1592</v>
      </c>
      <c r="M208" s="19"/>
      <c r="N208" s="19"/>
      <c r="O208" s="19"/>
      <c r="P208" s="19"/>
      <c r="Q208" s="50">
        <v>1.0</v>
      </c>
      <c r="R208" s="61">
        <v>45986.0</v>
      </c>
      <c r="S208" s="59">
        <v>45992.0</v>
      </c>
      <c r="T208" s="61">
        <v>45986.0</v>
      </c>
      <c r="U208" s="19"/>
      <c r="V208" s="50" t="s">
        <v>1321</v>
      </c>
      <c r="W208" s="19"/>
      <c r="X208" s="50" t="s">
        <v>12</v>
      </c>
      <c r="Y208" s="50" t="s">
        <v>1322</v>
      </c>
      <c r="Z208" s="50">
        <v>3.040289327E9</v>
      </c>
      <c r="AA208" s="50" t="s">
        <v>17</v>
      </c>
      <c r="AB208" s="50" t="s">
        <v>1343</v>
      </c>
      <c r="AC208" s="50" t="s">
        <v>1593</v>
      </c>
      <c r="AD208" s="19"/>
      <c r="AE208" s="19"/>
      <c r="AF208" s="19"/>
      <c r="AG208" s="19"/>
    </row>
    <row r="209">
      <c r="A209" s="47">
        <f>COUNTIF('Divulgação'!$B:$B,B209)</f>
        <v>1</v>
      </c>
      <c r="B209" s="53" t="s">
        <v>743</v>
      </c>
      <c r="C209" s="19"/>
      <c r="D209" s="50" t="s">
        <v>1314</v>
      </c>
      <c r="E209" s="50" t="s">
        <v>1315</v>
      </c>
      <c r="F209" s="62" t="s">
        <v>2198</v>
      </c>
      <c r="G209" s="50" t="s">
        <v>1316</v>
      </c>
      <c r="H209" s="62" t="s">
        <v>2198</v>
      </c>
      <c r="I209" s="47" t="s">
        <v>1590</v>
      </c>
      <c r="J209" s="62" t="s">
        <v>1318</v>
      </c>
      <c r="K209" s="50" t="s">
        <v>1591</v>
      </c>
      <c r="L209" s="53" t="s">
        <v>1594</v>
      </c>
      <c r="M209" s="19"/>
      <c r="N209" s="19"/>
      <c r="O209" s="19"/>
      <c r="P209" s="19"/>
      <c r="Q209" s="50">
        <v>1.0</v>
      </c>
      <c r="R209" s="61">
        <v>45986.0</v>
      </c>
      <c r="S209" s="59">
        <v>45992.0</v>
      </c>
      <c r="T209" s="61">
        <v>45986.0</v>
      </c>
      <c r="U209" s="19"/>
      <c r="V209" s="50" t="s">
        <v>1321</v>
      </c>
      <c r="W209" s="19"/>
      <c r="X209" s="50" t="s">
        <v>12</v>
      </c>
      <c r="Y209" s="50" t="s">
        <v>1322</v>
      </c>
      <c r="Z209" s="50">
        <v>3.040288563E9</v>
      </c>
      <c r="AA209" s="50" t="s">
        <v>24</v>
      </c>
      <c r="AB209" s="50" t="s">
        <v>1359</v>
      </c>
      <c r="AC209" s="50" t="s">
        <v>1360</v>
      </c>
      <c r="AD209" s="19"/>
      <c r="AE209" s="19"/>
      <c r="AF209" s="19"/>
      <c r="AG209" s="19"/>
    </row>
    <row r="210">
      <c r="A210" s="47">
        <f>COUNTIF('Divulgação'!$B:$B,B210)</f>
        <v>1</v>
      </c>
      <c r="B210" s="53" t="s">
        <v>745</v>
      </c>
      <c r="C210" s="19"/>
      <c r="D210" s="50" t="s">
        <v>1314</v>
      </c>
      <c r="E210" s="50" t="s">
        <v>1315</v>
      </c>
      <c r="F210" s="62" t="s">
        <v>2202</v>
      </c>
      <c r="G210" s="50" t="s">
        <v>1316</v>
      </c>
      <c r="H210" s="62" t="s">
        <v>2202</v>
      </c>
      <c r="I210" s="47" t="s">
        <v>127</v>
      </c>
      <c r="J210" s="50" t="s">
        <v>232</v>
      </c>
      <c r="K210" s="50" t="s">
        <v>128</v>
      </c>
      <c r="L210" s="53" t="s">
        <v>1595</v>
      </c>
      <c r="M210" s="19"/>
      <c r="N210" s="19"/>
      <c r="O210" s="19"/>
      <c r="P210" s="19"/>
      <c r="Q210" s="50">
        <v>1.0</v>
      </c>
      <c r="R210" s="59">
        <v>45996.0</v>
      </c>
      <c r="S210" s="61">
        <v>46002.0</v>
      </c>
      <c r="T210" s="59">
        <v>46000.0</v>
      </c>
      <c r="U210" s="19"/>
      <c r="V210" s="50" t="s">
        <v>1321</v>
      </c>
      <c r="W210" s="19"/>
      <c r="X210" s="50" t="s">
        <v>12</v>
      </c>
      <c r="Y210" s="50" t="s">
        <v>1322</v>
      </c>
      <c r="Z210" s="50">
        <v>3.040312886E9</v>
      </c>
      <c r="AA210" s="50" t="s">
        <v>12</v>
      </c>
      <c r="AB210" s="50" t="s">
        <v>1322</v>
      </c>
      <c r="AC210" s="50" t="s">
        <v>1434</v>
      </c>
      <c r="AD210" s="19"/>
      <c r="AE210" s="19"/>
      <c r="AF210" s="19"/>
      <c r="AG210" s="19"/>
    </row>
    <row r="211">
      <c r="A211" s="47">
        <f>COUNTIF('Divulgação'!$B:$B,B211)</f>
        <v>1</v>
      </c>
      <c r="B211" s="53" t="s">
        <v>747</v>
      </c>
      <c r="C211" s="19"/>
      <c r="D211" s="50" t="s">
        <v>1314</v>
      </c>
      <c r="E211" s="50" t="s">
        <v>1315</v>
      </c>
      <c r="F211" s="62" t="s">
        <v>2202</v>
      </c>
      <c r="G211" s="50" t="s">
        <v>1316</v>
      </c>
      <c r="H211" s="62" t="s">
        <v>2202</v>
      </c>
      <c r="I211" s="47" t="s">
        <v>1596</v>
      </c>
      <c r="J211" s="62" t="s">
        <v>1597</v>
      </c>
      <c r="K211" s="50" t="s">
        <v>1598</v>
      </c>
      <c r="L211" s="47" t="s">
        <v>1599</v>
      </c>
      <c r="M211" s="19"/>
      <c r="N211" s="19"/>
      <c r="O211" s="19"/>
      <c r="P211" s="19"/>
      <c r="Q211" s="50">
        <v>1.0</v>
      </c>
      <c r="R211" s="59">
        <v>45996.0</v>
      </c>
      <c r="S211" s="61">
        <v>46002.0</v>
      </c>
      <c r="T211" s="59">
        <v>46000.0</v>
      </c>
      <c r="U211" s="19"/>
      <c r="V211" s="50" t="s">
        <v>1321</v>
      </c>
      <c r="W211" s="19"/>
      <c r="X211" s="50" t="s">
        <v>12</v>
      </c>
      <c r="Y211" s="50" t="s">
        <v>1322</v>
      </c>
      <c r="Z211" s="50">
        <v>3.040317039E9</v>
      </c>
      <c r="AA211" s="50" t="s">
        <v>12</v>
      </c>
      <c r="AB211" s="50" t="s">
        <v>1322</v>
      </c>
      <c r="AC211" s="50" t="s">
        <v>1369</v>
      </c>
      <c r="AD211" s="19"/>
      <c r="AE211" s="19"/>
      <c r="AF211" s="19"/>
      <c r="AG211" s="19"/>
    </row>
    <row r="212">
      <c r="A212" s="47">
        <f>COUNTIF('Divulgação'!$B:$B,B212)</f>
        <v>1</v>
      </c>
      <c r="B212" s="53" t="s">
        <v>749</v>
      </c>
      <c r="C212" s="19"/>
      <c r="D212" s="50" t="s">
        <v>1314</v>
      </c>
      <c r="E212" s="50" t="s">
        <v>1315</v>
      </c>
      <c r="F212" s="62" t="s">
        <v>2202</v>
      </c>
      <c r="G212" s="50" t="s">
        <v>1316</v>
      </c>
      <c r="H212" s="62" t="s">
        <v>2202</v>
      </c>
      <c r="I212" s="47" t="s">
        <v>1596</v>
      </c>
      <c r="J212" s="62" t="s">
        <v>1597</v>
      </c>
      <c r="K212" s="50" t="s">
        <v>1598</v>
      </c>
      <c r="L212" s="47" t="s">
        <v>2203</v>
      </c>
      <c r="M212" s="19"/>
      <c r="N212" s="19"/>
      <c r="O212" s="19"/>
      <c r="P212" s="19"/>
      <c r="Q212" s="50">
        <v>1.0</v>
      </c>
      <c r="R212" s="59">
        <v>45996.0</v>
      </c>
      <c r="S212" s="61">
        <v>46002.0</v>
      </c>
      <c r="T212" s="59">
        <v>46000.0</v>
      </c>
      <c r="U212" s="19"/>
      <c r="V212" s="50" t="s">
        <v>1321</v>
      </c>
      <c r="W212" s="19"/>
      <c r="X212" s="50" t="s">
        <v>12</v>
      </c>
      <c r="Y212" s="50" t="s">
        <v>1322</v>
      </c>
      <c r="Z212" s="50">
        <v>3.040315526E9</v>
      </c>
      <c r="AA212" s="50" t="s">
        <v>12</v>
      </c>
      <c r="AB212" s="50" t="s">
        <v>1322</v>
      </c>
      <c r="AC212" s="50" t="s">
        <v>1434</v>
      </c>
      <c r="AD212" s="19"/>
      <c r="AE212" s="19"/>
      <c r="AF212" s="19"/>
      <c r="AG212" s="19"/>
    </row>
    <row r="213">
      <c r="A213" s="47">
        <f>COUNTIF('Divulgação'!$B:$B,B213)</f>
        <v>1</v>
      </c>
      <c r="B213" s="53" t="s">
        <v>751</v>
      </c>
      <c r="C213" s="19"/>
      <c r="D213" s="50" t="s">
        <v>1314</v>
      </c>
      <c r="E213" s="50" t="s">
        <v>1315</v>
      </c>
      <c r="F213" s="62" t="s">
        <v>2202</v>
      </c>
      <c r="G213" s="50" t="s">
        <v>1316</v>
      </c>
      <c r="H213" s="62" t="s">
        <v>2202</v>
      </c>
      <c r="I213" s="47" t="s">
        <v>1596</v>
      </c>
      <c r="J213" s="62" t="s">
        <v>1597</v>
      </c>
      <c r="K213" s="50" t="s">
        <v>1598</v>
      </c>
      <c r="L213" s="47" t="s">
        <v>2204</v>
      </c>
      <c r="M213" s="19"/>
      <c r="N213" s="19"/>
      <c r="O213" s="19"/>
      <c r="P213" s="19"/>
      <c r="Q213" s="50">
        <v>1.0</v>
      </c>
      <c r="R213" s="59">
        <v>45996.0</v>
      </c>
      <c r="S213" s="61">
        <v>46002.0</v>
      </c>
      <c r="T213" s="59">
        <v>46000.0</v>
      </c>
      <c r="U213" s="19"/>
      <c r="V213" s="50" t="s">
        <v>1321</v>
      </c>
      <c r="W213" s="19"/>
      <c r="X213" s="50" t="s">
        <v>12</v>
      </c>
      <c r="Y213" s="50" t="s">
        <v>1322</v>
      </c>
      <c r="Z213" s="50">
        <v>3.040316189E9</v>
      </c>
      <c r="AA213" s="50" t="s">
        <v>12</v>
      </c>
      <c r="AB213" s="50" t="s">
        <v>1322</v>
      </c>
      <c r="AC213" s="50" t="s">
        <v>1434</v>
      </c>
      <c r="AD213" s="19"/>
      <c r="AE213" s="19"/>
      <c r="AF213" s="19"/>
      <c r="AG213" s="19"/>
    </row>
    <row r="214">
      <c r="A214" s="47">
        <f>COUNTIF('Divulgação'!$B:$B,B214)</f>
        <v>1</v>
      </c>
      <c r="B214" s="53" t="s">
        <v>753</v>
      </c>
      <c r="C214" s="19"/>
      <c r="D214" s="50" t="s">
        <v>1314</v>
      </c>
      <c r="E214" s="50" t="s">
        <v>1315</v>
      </c>
      <c r="F214" s="62" t="s">
        <v>2205</v>
      </c>
      <c r="G214" s="50" t="s">
        <v>1316</v>
      </c>
      <c r="H214" s="62" t="s">
        <v>2205</v>
      </c>
      <c r="I214" s="47" t="s">
        <v>279</v>
      </c>
      <c r="J214" s="50" t="s">
        <v>48</v>
      </c>
      <c r="K214" s="50" t="s">
        <v>280</v>
      </c>
      <c r="L214" s="53" t="s">
        <v>2206</v>
      </c>
      <c r="M214" s="19"/>
      <c r="N214" s="19"/>
      <c r="O214" s="19"/>
      <c r="P214" s="19"/>
      <c r="Q214" s="50">
        <v>1.0</v>
      </c>
      <c r="R214" s="59">
        <v>46000.0</v>
      </c>
      <c r="S214" s="61">
        <v>46006.0</v>
      </c>
      <c r="T214" s="61">
        <v>46007.0</v>
      </c>
      <c r="U214" s="19"/>
      <c r="V214" s="50" t="s">
        <v>1321</v>
      </c>
      <c r="W214" s="19"/>
      <c r="X214" s="50" t="s">
        <v>12</v>
      </c>
      <c r="Y214" s="50" t="s">
        <v>1322</v>
      </c>
      <c r="Z214" s="50">
        <v>3.040310548E9</v>
      </c>
      <c r="AA214" s="50" t="s">
        <v>12</v>
      </c>
      <c r="AB214" s="50" t="s">
        <v>1322</v>
      </c>
      <c r="AC214" s="50" t="s">
        <v>1336</v>
      </c>
      <c r="AD214" s="19"/>
      <c r="AE214" s="19"/>
      <c r="AF214" s="19"/>
      <c r="AG214" s="19"/>
    </row>
    <row r="215">
      <c r="A215" s="47">
        <f>COUNTIF('Divulgação'!$B:$B,B215)</f>
        <v>1</v>
      </c>
      <c r="B215" s="53" t="s">
        <v>755</v>
      </c>
      <c r="C215" s="19"/>
      <c r="D215" s="50" t="s">
        <v>1314</v>
      </c>
      <c r="E215" s="50" t="s">
        <v>1315</v>
      </c>
      <c r="F215" s="62" t="s">
        <v>2205</v>
      </c>
      <c r="G215" s="50" t="s">
        <v>1316</v>
      </c>
      <c r="H215" s="62" t="s">
        <v>2205</v>
      </c>
      <c r="I215" s="47" t="s">
        <v>1602</v>
      </c>
      <c r="J215" s="62" t="s">
        <v>1318</v>
      </c>
      <c r="K215" s="50" t="s">
        <v>1603</v>
      </c>
      <c r="L215" s="47" t="s">
        <v>1604</v>
      </c>
      <c r="M215" s="19"/>
      <c r="N215" s="19"/>
      <c r="O215" s="19"/>
      <c r="P215" s="19"/>
      <c r="Q215" s="50">
        <v>1.0</v>
      </c>
      <c r="R215" s="59">
        <v>46000.0</v>
      </c>
      <c r="S215" s="61">
        <v>46006.0</v>
      </c>
      <c r="T215" s="61">
        <v>46007.0</v>
      </c>
      <c r="U215" s="19"/>
      <c r="V215" s="50" t="s">
        <v>1321</v>
      </c>
      <c r="W215" s="19"/>
      <c r="X215" s="50" t="s">
        <v>12</v>
      </c>
      <c r="Y215" s="50" t="s">
        <v>1322</v>
      </c>
      <c r="Z215" s="50">
        <v>3.040320858E9</v>
      </c>
      <c r="AA215" s="50" t="s">
        <v>17</v>
      </c>
      <c r="AB215" s="50" t="s">
        <v>1458</v>
      </c>
      <c r="AC215" s="50" t="s">
        <v>1605</v>
      </c>
      <c r="AD215" s="19"/>
      <c r="AE215" s="19"/>
      <c r="AF215" s="19"/>
      <c r="AG215" s="19"/>
    </row>
    <row r="216">
      <c r="A216" s="47">
        <f>COUNTIF('Divulgação'!$B:$B,B216)</f>
        <v>1</v>
      </c>
      <c r="B216" s="53" t="s">
        <v>757</v>
      </c>
      <c r="C216" s="19"/>
      <c r="D216" s="50" t="s">
        <v>1314</v>
      </c>
      <c r="E216" s="50" t="s">
        <v>1315</v>
      </c>
      <c r="F216" s="62" t="s">
        <v>2205</v>
      </c>
      <c r="G216" s="50" t="s">
        <v>1316</v>
      </c>
      <c r="H216" s="62" t="s">
        <v>2205</v>
      </c>
      <c r="I216" s="47" t="s">
        <v>279</v>
      </c>
      <c r="J216" s="50" t="s">
        <v>48</v>
      </c>
      <c r="K216" s="50" t="s">
        <v>280</v>
      </c>
      <c r="L216" s="53" t="s">
        <v>1600</v>
      </c>
      <c r="M216" s="19"/>
      <c r="N216" s="19"/>
      <c r="O216" s="19"/>
      <c r="P216" s="19"/>
      <c r="Q216" s="50">
        <v>1.0</v>
      </c>
      <c r="R216" s="59">
        <v>46000.0</v>
      </c>
      <c r="S216" s="61">
        <v>46006.0</v>
      </c>
      <c r="T216" s="61">
        <v>46007.0</v>
      </c>
      <c r="U216" s="19"/>
      <c r="V216" s="50" t="s">
        <v>1321</v>
      </c>
      <c r="W216" s="19"/>
      <c r="X216" s="50" t="s">
        <v>12</v>
      </c>
      <c r="Y216" s="50" t="s">
        <v>1322</v>
      </c>
      <c r="Z216" s="50">
        <v>3.040310549E9</v>
      </c>
      <c r="AA216" s="50" t="s">
        <v>12</v>
      </c>
      <c r="AB216" s="50" t="s">
        <v>1322</v>
      </c>
      <c r="AC216" s="50" t="s">
        <v>1336</v>
      </c>
      <c r="AD216" s="19"/>
      <c r="AE216" s="19"/>
      <c r="AF216" s="19"/>
      <c r="AG216" s="19"/>
    </row>
    <row r="217">
      <c r="A217" s="47">
        <f>COUNTIF('Divulgação'!$B:$B,B217)</f>
        <v>1</v>
      </c>
      <c r="B217" s="53" t="s">
        <v>759</v>
      </c>
      <c r="C217" s="19"/>
      <c r="D217" s="50" t="s">
        <v>1314</v>
      </c>
      <c r="E217" s="50" t="s">
        <v>1315</v>
      </c>
      <c r="F217" s="62" t="s">
        <v>2207</v>
      </c>
      <c r="G217" s="50" t="s">
        <v>1316</v>
      </c>
      <c r="H217" s="62" t="s">
        <v>2207</v>
      </c>
      <c r="I217" s="47" t="s">
        <v>1608</v>
      </c>
      <c r="J217" s="62" t="s">
        <v>1609</v>
      </c>
      <c r="K217" s="50" t="s">
        <v>1610</v>
      </c>
      <c r="L217" s="47" t="s">
        <v>1882</v>
      </c>
      <c r="M217" s="19"/>
      <c r="N217" s="19"/>
      <c r="O217" s="19"/>
      <c r="P217" s="19"/>
      <c r="Q217" s="50">
        <v>1.0</v>
      </c>
      <c r="R217" s="61">
        <v>46010.0</v>
      </c>
      <c r="S217" s="59">
        <v>46029.0</v>
      </c>
      <c r="T217" s="61">
        <v>46010.0</v>
      </c>
      <c r="U217" s="19"/>
      <c r="V217" s="50" t="s">
        <v>1321</v>
      </c>
      <c r="W217" s="19"/>
      <c r="X217" s="50" t="s">
        <v>12</v>
      </c>
      <c r="Y217" s="50" t="s">
        <v>1322</v>
      </c>
      <c r="Z217" s="50">
        <v>3.040319287E9</v>
      </c>
      <c r="AA217" s="50" t="s">
        <v>12</v>
      </c>
      <c r="AB217" s="50" t="s">
        <v>1322</v>
      </c>
      <c r="AC217" s="50" t="s">
        <v>1434</v>
      </c>
      <c r="AD217" s="19"/>
      <c r="AE217" s="19"/>
      <c r="AF217" s="19"/>
      <c r="AG217" s="19"/>
    </row>
    <row r="218">
      <c r="A218" s="47">
        <f>COUNTIF('Divulgação'!$B:$B,B218)</f>
        <v>1</v>
      </c>
      <c r="B218" s="53" t="s">
        <v>761</v>
      </c>
      <c r="C218" s="19"/>
      <c r="D218" s="50" t="s">
        <v>1314</v>
      </c>
      <c r="E218" s="50" t="s">
        <v>1315</v>
      </c>
      <c r="F218" s="62" t="s">
        <v>2207</v>
      </c>
      <c r="G218" s="50" t="s">
        <v>1316</v>
      </c>
      <c r="H218" s="62" t="s">
        <v>2207</v>
      </c>
      <c r="I218" s="47" t="s">
        <v>1606</v>
      </c>
      <c r="J218" s="50" t="s">
        <v>48</v>
      </c>
      <c r="K218" s="50" t="s">
        <v>168</v>
      </c>
      <c r="L218" s="53" t="s">
        <v>1607</v>
      </c>
      <c r="M218" s="19"/>
      <c r="N218" s="19"/>
      <c r="O218" s="19"/>
      <c r="P218" s="19"/>
      <c r="Q218" s="50">
        <v>1.0</v>
      </c>
      <c r="R218" s="61">
        <v>46010.0</v>
      </c>
      <c r="S218" s="59">
        <v>46029.0</v>
      </c>
      <c r="T218" s="61">
        <v>46010.0</v>
      </c>
      <c r="U218" s="19"/>
      <c r="V218" s="50" t="s">
        <v>1321</v>
      </c>
      <c r="W218" s="19"/>
      <c r="X218" s="50" t="s">
        <v>12</v>
      </c>
      <c r="Y218" s="50" t="s">
        <v>1322</v>
      </c>
      <c r="Z218" s="50">
        <v>3.040297631E9</v>
      </c>
      <c r="AA218" s="50" t="s">
        <v>17</v>
      </c>
      <c r="AB218" s="50" t="s">
        <v>1343</v>
      </c>
      <c r="AC218" s="50" t="s">
        <v>1344</v>
      </c>
      <c r="AD218" s="19"/>
      <c r="AE218" s="19"/>
      <c r="AF218" s="19"/>
      <c r="AG218" s="19"/>
    </row>
    <row r="219">
      <c r="A219" s="47">
        <f>COUNTIF('Divulgação'!$B:$B,B219)</f>
        <v>1</v>
      </c>
      <c r="B219" s="53" t="s">
        <v>763</v>
      </c>
      <c r="C219" s="19"/>
      <c r="D219" s="50" t="s">
        <v>1314</v>
      </c>
      <c r="E219" s="50" t="s">
        <v>1315</v>
      </c>
      <c r="F219" s="62" t="s">
        <v>2207</v>
      </c>
      <c r="G219" s="50" t="s">
        <v>1316</v>
      </c>
      <c r="H219" s="62" t="s">
        <v>2207</v>
      </c>
      <c r="I219" s="47" t="s">
        <v>1608</v>
      </c>
      <c r="J219" s="62" t="s">
        <v>1609</v>
      </c>
      <c r="K219" s="50" t="s">
        <v>1610</v>
      </c>
      <c r="L219" s="47" t="s">
        <v>1611</v>
      </c>
      <c r="M219" s="19"/>
      <c r="N219" s="19"/>
      <c r="O219" s="19"/>
      <c r="P219" s="19"/>
      <c r="Q219" s="50">
        <v>1.0</v>
      </c>
      <c r="R219" s="61">
        <v>46010.0</v>
      </c>
      <c r="S219" s="59">
        <v>46029.0</v>
      </c>
      <c r="T219" s="61">
        <v>46010.0</v>
      </c>
      <c r="U219" s="19"/>
      <c r="V219" s="50" t="s">
        <v>1321</v>
      </c>
      <c r="W219" s="19"/>
      <c r="X219" s="50" t="s">
        <v>12</v>
      </c>
      <c r="Y219" s="50" t="s">
        <v>1322</v>
      </c>
      <c r="Z219" s="50">
        <v>3.040316656E9</v>
      </c>
      <c r="AA219" s="50" t="s">
        <v>12</v>
      </c>
      <c r="AB219" s="50" t="s">
        <v>1322</v>
      </c>
      <c r="AC219" s="50" t="s">
        <v>1434</v>
      </c>
      <c r="AD219" s="19"/>
      <c r="AE219" s="19"/>
      <c r="AF219" s="19"/>
      <c r="AG219" s="19"/>
    </row>
    <row r="220">
      <c r="A220" s="47">
        <f>COUNTIF('Divulgação'!$B:$B,B220)</f>
        <v>1</v>
      </c>
      <c r="B220" s="53" t="s">
        <v>765</v>
      </c>
      <c r="C220" s="19"/>
      <c r="D220" s="50" t="s">
        <v>1314</v>
      </c>
      <c r="E220" s="50" t="s">
        <v>1315</v>
      </c>
      <c r="F220" s="62" t="s">
        <v>2207</v>
      </c>
      <c r="G220" s="50" t="s">
        <v>1316</v>
      </c>
      <c r="H220" s="62" t="s">
        <v>2207</v>
      </c>
      <c r="I220" s="47" t="s">
        <v>1612</v>
      </c>
      <c r="J220" s="50" t="s">
        <v>48</v>
      </c>
      <c r="K220" s="50" t="s">
        <v>1613</v>
      </c>
      <c r="L220" s="47" t="s">
        <v>2208</v>
      </c>
      <c r="M220" s="19"/>
      <c r="N220" s="19"/>
      <c r="O220" s="19"/>
      <c r="P220" s="19"/>
      <c r="Q220" s="50">
        <v>1.0</v>
      </c>
      <c r="R220" s="61">
        <v>46010.0</v>
      </c>
      <c r="S220" s="59">
        <v>46029.0</v>
      </c>
      <c r="T220" s="61">
        <v>46010.0</v>
      </c>
      <c r="U220" s="19"/>
      <c r="V220" s="50" t="s">
        <v>1347</v>
      </c>
      <c r="W220" s="50">
        <v>3.13250017309E11</v>
      </c>
      <c r="X220" s="50" t="s">
        <v>12</v>
      </c>
      <c r="Y220" s="50" t="s">
        <v>1322</v>
      </c>
      <c r="Z220" s="50">
        <v>3.040309457E9</v>
      </c>
      <c r="AA220" s="50" t="s">
        <v>16</v>
      </c>
      <c r="AB220" s="50" t="s">
        <v>1331</v>
      </c>
      <c r="AC220" s="50" t="s">
        <v>1450</v>
      </c>
      <c r="AD220" s="19"/>
      <c r="AE220" s="19"/>
      <c r="AF220" s="19"/>
      <c r="AG220" s="19"/>
    </row>
    <row r="221">
      <c r="A221" s="47">
        <f>COUNTIF('Divulgação'!$B:$B,B221)</f>
        <v>1</v>
      </c>
      <c r="B221" s="53" t="s">
        <v>767</v>
      </c>
      <c r="C221" s="19"/>
      <c r="D221" s="50" t="s">
        <v>1314</v>
      </c>
      <c r="E221" s="50" t="s">
        <v>1315</v>
      </c>
      <c r="F221" s="62" t="s">
        <v>2207</v>
      </c>
      <c r="G221" s="50" t="s">
        <v>1316</v>
      </c>
      <c r="H221" s="62" t="s">
        <v>2207</v>
      </c>
      <c r="I221" s="47" t="s">
        <v>1612</v>
      </c>
      <c r="J221" s="50" t="s">
        <v>48</v>
      </c>
      <c r="K221" s="50" t="s">
        <v>1613</v>
      </c>
      <c r="L221" s="47" t="s">
        <v>1614</v>
      </c>
      <c r="M221" s="19"/>
      <c r="N221" s="19"/>
      <c r="O221" s="19"/>
      <c r="P221" s="19"/>
      <c r="Q221" s="50">
        <v>1.0</v>
      </c>
      <c r="R221" s="59">
        <v>45962.0</v>
      </c>
      <c r="S221" s="59">
        <v>46054.0</v>
      </c>
      <c r="T221" s="61">
        <v>46010.0</v>
      </c>
      <c r="U221" s="19"/>
      <c r="V221" s="50" t="s">
        <v>1321</v>
      </c>
      <c r="W221" s="19"/>
      <c r="X221" s="50" t="s">
        <v>12</v>
      </c>
      <c r="Y221" s="50" t="s">
        <v>1322</v>
      </c>
      <c r="Z221" s="50">
        <v>3.040309287E9</v>
      </c>
      <c r="AA221" s="50" t="s">
        <v>16</v>
      </c>
      <c r="AB221" s="50" t="s">
        <v>1331</v>
      </c>
      <c r="AC221" s="50" t="s">
        <v>1615</v>
      </c>
      <c r="AD221" s="19"/>
      <c r="AE221" s="19"/>
      <c r="AF221" s="19"/>
      <c r="AG221" s="19"/>
    </row>
    <row r="222">
      <c r="A222" s="47">
        <f>COUNTIF('Divulgação'!$B:$B,B222)</f>
        <v>1</v>
      </c>
      <c r="B222" s="53" t="s">
        <v>769</v>
      </c>
      <c r="C222" s="19"/>
      <c r="D222" s="50" t="s">
        <v>1314</v>
      </c>
      <c r="E222" s="50" t="s">
        <v>1315</v>
      </c>
      <c r="F222" s="62" t="s">
        <v>2209</v>
      </c>
      <c r="G222" s="50" t="s">
        <v>1316</v>
      </c>
      <c r="H222" s="62" t="s">
        <v>2209</v>
      </c>
      <c r="I222" s="47" t="s">
        <v>63</v>
      </c>
      <c r="J222" s="62" t="s">
        <v>1395</v>
      </c>
      <c r="K222" s="50" t="s">
        <v>1432</v>
      </c>
      <c r="L222" s="53" t="s">
        <v>2210</v>
      </c>
      <c r="M222" s="19"/>
      <c r="N222" s="19"/>
      <c r="O222" s="19"/>
      <c r="P222" s="19"/>
      <c r="Q222" s="50">
        <v>1.0</v>
      </c>
      <c r="R222" s="61">
        <v>46014.0</v>
      </c>
      <c r="S222" s="59">
        <v>46030.0</v>
      </c>
      <c r="T222" s="59">
        <v>46028.0</v>
      </c>
      <c r="U222" s="19"/>
      <c r="V222" s="50" t="s">
        <v>1347</v>
      </c>
      <c r="W222" s="50">
        <v>3.96250015728E11</v>
      </c>
      <c r="X222" s="50" t="s">
        <v>12</v>
      </c>
      <c r="Y222" s="50" t="s">
        <v>1322</v>
      </c>
      <c r="Z222" s="50">
        <v>3.040322748E9</v>
      </c>
      <c r="AA222" s="50" t="s">
        <v>25</v>
      </c>
      <c r="AB222" s="50" t="s">
        <v>1359</v>
      </c>
      <c r="AC222" s="50" t="s">
        <v>1634</v>
      </c>
      <c r="AD222" s="19"/>
      <c r="AE222" s="19"/>
      <c r="AF222" s="19"/>
      <c r="AG222" s="19"/>
    </row>
    <row r="223">
      <c r="A223" s="47">
        <f>COUNTIF('Divulgação'!$B:$B,B223)</f>
        <v>1</v>
      </c>
      <c r="B223" s="53" t="s">
        <v>771</v>
      </c>
      <c r="C223" s="19"/>
      <c r="D223" s="50" t="s">
        <v>1314</v>
      </c>
      <c r="E223" s="50" t="s">
        <v>1315</v>
      </c>
      <c r="F223" s="62" t="s">
        <v>2209</v>
      </c>
      <c r="G223" s="50" t="s">
        <v>1316</v>
      </c>
      <c r="H223" s="62" t="s">
        <v>2209</v>
      </c>
      <c r="I223" s="47" t="s">
        <v>1394</v>
      </c>
      <c r="J223" s="62" t="s">
        <v>1395</v>
      </c>
      <c r="K223" s="50" t="s">
        <v>1396</v>
      </c>
      <c r="L223" s="53" t="s">
        <v>2211</v>
      </c>
      <c r="M223" s="19"/>
      <c r="N223" s="19"/>
      <c r="O223" s="19"/>
      <c r="P223" s="19"/>
      <c r="Q223" s="50">
        <v>1.0</v>
      </c>
      <c r="R223" s="61">
        <v>46014.0</v>
      </c>
      <c r="S223" s="59">
        <v>46030.0</v>
      </c>
      <c r="T223" s="59">
        <v>46028.0</v>
      </c>
      <c r="U223" s="19"/>
      <c r="V223" s="50" t="s">
        <v>1321</v>
      </c>
      <c r="W223" s="19"/>
      <c r="X223" s="50" t="s">
        <v>12</v>
      </c>
      <c r="Y223" s="50" t="s">
        <v>1322</v>
      </c>
      <c r="Z223" s="50">
        <v>3.040321817E9</v>
      </c>
      <c r="AA223" s="50" t="s">
        <v>15</v>
      </c>
      <c r="AB223" s="50" t="s">
        <v>1439</v>
      </c>
      <c r="AC223" s="50" t="s">
        <v>2212</v>
      </c>
      <c r="AD223" s="19"/>
      <c r="AE223" s="19"/>
      <c r="AF223" s="19"/>
      <c r="AG223" s="19"/>
    </row>
    <row r="224">
      <c r="A224" s="47">
        <f>COUNTIF('Divulgação'!$B:$B,B224)</f>
        <v>1</v>
      </c>
      <c r="B224" s="53" t="s">
        <v>773</v>
      </c>
      <c r="C224" s="19"/>
      <c r="D224" s="50" t="s">
        <v>1314</v>
      </c>
      <c r="E224" s="50" t="s">
        <v>1315</v>
      </c>
      <c r="F224" s="62" t="s">
        <v>2209</v>
      </c>
      <c r="G224" s="50" t="s">
        <v>1316</v>
      </c>
      <c r="H224" s="62" t="s">
        <v>2209</v>
      </c>
      <c r="I224" s="47" t="s">
        <v>1394</v>
      </c>
      <c r="J224" s="62" t="s">
        <v>1395</v>
      </c>
      <c r="K224" s="50" t="s">
        <v>1396</v>
      </c>
      <c r="L224" s="53" t="s">
        <v>2213</v>
      </c>
      <c r="M224" s="19"/>
      <c r="N224" s="19"/>
      <c r="O224" s="19"/>
      <c r="P224" s="19"/>
      <c r="Q224" s="50">
        <v>1.0</v>
      </c>
      <c r="R224" s="61">
        <v>46014.0</v>
      </c>
      <c r="S224" s="59">
        <v>46030.0</v>
      </c>
      <c r="T224" s="59">
        <v>46028.0</v>
      </c>
      <c r="U224" s="19"/>
      <c r="V224" s="50" t="s">
        <v>1347</v>
      </c>
      <c r="W224" s="50">
        <v>6.85260010884E11</v>
      </c>
      <c r="X224" s="50" t="s">
        <v>12</v>
      </c>
      <c r="Y224" s="50" t="s">
        <v>1322</v>
      </c>
      <c r="Z224" s="50">
        <v>3.040319446E9</v>
      </c>
      <c r="AA224" s="50" t="s">
        <v>17</v>
      </c>
      <c r="AB224" s="50" t="s">
        <v>1553</v>
      </c>
      <c r="AC224" s="50" t="s">
        <v>1554</v>
      </c>
      <c r="AD224" s="19"/>
      <c r="AE224" s="19"/>
      <c r="AF224" s="19"/>
      <c r="AG224" s="19"/>
    </row>
    <row r="225">
      <c r="A225" s="47">
        <f>COUNTIF('Divulgação'!$B:$B,B225)</f>
        <v>1</v>
      </c>
      <c r="B225" s="53" t="s">
        <v>775</v>
      </c>
      <c r="C225" s="19"/>
      <c r="D225" s="50" t="s">
        <v>1314</v>
      </c>
      <c r="E225" s="50" t="s">
        <v>1315</v>
      </c>
      <c r="F225" s="62" t="s">
        <v>2209</v>
      </c>
      <c r="G225" s="50" t="s">
        <v>1316</v>
      </c>
      <c r="H225" s="62" t="s">
        <v>2209</v>
      </c>
      <c r="I225" s="47" t="s">
        <v>63</v>
      </c>
      <c r="J225" s="62" t="s">
        <v>1395</v>
      </c>
      <c r="K225" s="50" t="s">
        <v>1432</v>
      </c>
      <c r="L225" s="53" t="s">
        <v>1909</v>
      </c>
      <c r="M225" s="19"/>
      <c r="N225" s="19"/>
      <c r="O225" s="19"/>
      <c r="P225" s="19"/>
      <c r="Q225" s="50">
        <v>1.0</v>
      </c>
      <c r="R225" s="61">
        <v>46014.0</v>
      </c>
      <c r="S225" s="59">
        <v>46030.0</v>
      </c>
      <c r="T225" s="59">
        <v>46028.0</v>
      </c>
      <c r="U225" s="19"/>
      <c r="V225" s="50" t="s">
        <v>1347</v>
      </c>
      <c r="W225" s="50">
        <v>3.96250015729E11</v>
      </c>
      <c r="X225" s="50" t="s">
        <v>12</v>
      </c>
      <c r="Y225" s="50" t="s">
        <v>1322</v>
      </c>
      <c r="Z225" s="50">
        <v>3.040321965E9</v>
      </c>
      <c r="AA225" s="50" t="s">
        <v>12</v>
      </c>
      <c r="AB225" s="50" t="s">
        <v>1322</v>
      </c>
      <c r="AC225" s="50" t="s">
        <v>1369</v>
      </c>
      <c r="AD225" s="19"/>
      <c r="AE225" s="19"/>
      <c r="AF225" s="19"/>
      <c r="AG225" s="19"/>
    </row>
    <row r="226">
      <c r="A226" s="47">
        <f>COUNTIF('Divulgação'!$B:$B,B226)</f>
        <v>1</v>
      </c>
      <c r="B226" s="53" t="s">
        <v>777</v>
      </c>
      <c r="C226" s="19"/>
      <c r="D226" s="50" t="s">
        <v>1314</v>
      </c>
      <c r="E226" s="50" t="s">
        <v>1315</v>
      </c>
      <c r="F226" s="62" t="s">
        <v>2209</v>
      </c>
      <c r="G226" s="50" t="s">
        <v>1316</v>
      </c>
      <c r="H226" s="62" t="s">
        <v>2209</v>
      </c>
      <c r="I226" s="47" t="s">
        <v>1394</v>
      </c>
      <c r="J226" s="62" t="s">
        <v>1395</v>
      </c>
      <c r="K226" s="50" t="s">
        <v>1396</v>
      </c>
      <c r="L226" s="47" t="s">
        <v>2214</v>
      </c>
      <c r="M226" s="19"/>
      <c r="N226" s="19"/>
      <c r="O226" s="19"/>
      <c r="P226" s="19"/>
      <c r="Q226" s="50">
        <v>1.0</v>
      </c>
      <c r="R226" s="61">
        <v>46014.0</v>
      </c>
      <c r="S226" s="59">
        <v>46030.0</v>
      </c>
      <c r="T226" s="59">
        <v>46028.0</v>
      </c>
      <c r="U226" s="19"/>
      <c r="V226" s="50" t="s">
        <v>1321</v>
      </c>
      <c r="W226" s="19"/>
      <c r="X226" s="50" t="s">
        <v>12</v>
      </c>
      <c r="Y226" s="50" t="s">
        <v>1322</v>
      </c>
      <c r="Z226" s="50">
        <v>3.040322672E9</v>
      </c>
      <c r="AA226" s="50" t="s">
        <v>21</v>
      </c>
      <c r="AB226" s="50" t="s">
        <v>1359</v>
      </c>
      <c r="AC226" s="50" t="s">
        <v>1795</v>
      </c>
      <c r="AD226" s="19"/>
      <c r="AE226" s="19"/>
      <c r="AF226" s="19"/>
      <c r="AG226" s="19"/>
    </row>
    <row r="227">
      <c r="A227" s="47">
        <f>COUNTIF('Divulgação'!$B:$B,B227)</f>
        <v>1</v>
      </c>
      <c r="B227" s="53" t="s">
        <v>779</v>
      </c>
      <c r="C227" s="19"/>
      <c r="D227" s="50" t="s">
        <v>1314</v>
      </c>
      <c r="E227" s="50" t="s">
        <v>1315</v>
      </c>
      <c r="F227" s="62" t="s">
        <v>2209</v>
      </c>
      <c r="G227" s="50" t="s">
        <v>1316</v>
      </c>
      <c r="H227" s="62" t="s">
        <v>2209</v>
      </c>
      <c r="I227" s="47" t="s">
        <v>1436</v>
      </c>
      <c r="J227" s="62" t="s">
        <v>1395</v>
      </c>
      <c r="K227" s="50" t="s">
        <v>1437</v>
      </c>
      <c r="L227" s="53" t="s">
        <v>423</v>
      </c>
      <c r="M227" s="19"/>
      <c r="N227" s="19"/>
      <c r="O227" s="19"/>
      <c r="P227" s="19"/>
      <c r="Q227" s="50">
        <v>1.0</v>
      </c>
      <c r="R227" s="61">
        <v>46014.0</v>
      </c>
      <c r="S227" s="59">
        <v>46030.0</v>
      </c>
      <c r="T227" s="59">
        <v>46028.0</v>
      </c>
      <c r="U227" s="19"/>
      <c r="V227" s="50" t="s">
        <v>1321</v>
      </c>
      <c r="W227" s="19"/>
      <c r="X227" s="50" t="s">
        <v>12</v>
      </c>
      <c r="Y227" s="50" t="s">
        <v>1322</v>
      </c>
      <c r="Z227" s="50">
        <v>3.040321818E9</v>
      </c>
      <c r="AA227" s="50" t="s">
        <v>15</v>
      </c>
      <c r="AB227" s="50" t="s">
        <v>1439</v>
      </c>
      <c r="AC227" s="50" t="s">
        <v>2212</v>
      </c>
      <c r="AD227" s="19"/>
      <c r="AE227" s="19"/>
      <c r="AF227" s="19"/>
      <c r="AG227" s="19"/>
    </row>
    <row r="228">
      <c r="A228" s="47">
        <f>COUNTIF('Divulgação'!$B:$B,B228)</f>
        <v>1</v>
      </c>
      <c r="B228" s="53" t="s">
        <v>781</v>
      </c>
      <c r="C228" s="19"/>
      <c r="D228" s="50" t="s">
        <v>1314</v>
      </c>
      <c r="E228" s="50" t="s">
        <v>1315</v>
      </c>
      <c r="F228" s="62" t="s">
        <v>2209</v>
      </c>
      <c r="G228" s="50" t="s">
        <v>1316</v>
      </c>
      <c r="H228" s="62" t="s">
        <v>2209</v>
      </c>
      <c r="I228" s="47" t="s">
        <v>1436</v>
      </c>
      <c r="J228" s="62" t="s">
        <v>1395</v>
      </c>
      <c r="K228" s="50" t="s">
        <v>1437</v>
      </c>
      <c r="L228" s="47" t="s">
        <v>2215</v>
      </c>
      <c r="M228" s="19"/>
      <c r="N228" s="19"/>
      <c r="O228" s="19"/>
      <c r="P228" s="19"/>
      <c r="Q228" s="50">
        <v>1.0</v>
      </c>
      <c r="R228" s="61">
        <v>46014.0</v>
      </c>
      <c r="S228" s="59">
        <v>46030.0</v>
      </c>
      <c r="T228" s="59">
        <v>46028.0</v>
      </c>
      <c r="U228" s="19"/>
      <c r="V228" s="50" t="s">
        <v>1347</v>
      </c>
      <c r="W228" s="50">
        <v>6.85260010883E11</v>
      </c>
      <c r="X228" s="50" t="s">
        <v>12</v>
      </c>
      <c r="Y228" s="50" t="s">
        <v>1322</v>
      </c>
      <c r="Z228" s="50">
        <v>3.040322673E9</v>
      </c>
      <c r="AA228" s="50" t="s">
        <v>21</v>
      </c>
      <c r="AB228" s="50" t="s">
        <v>1359</v>
      </c>
      <c r="AC228" s="50" t="s">
        <v>1795</v>
      </c>
      <c r="AD228" s="19"/>
      <c r="AE228" s="19"/>
      <c r="AF228" s="19"/>
      <c r="AG228" s="19"/>
    </row>
    <row r="229">
      <c r="A229" s="47">
        <f>COUNTIF('Divulgação'!$B:$B,B229)</f>
        <v>1</v>
      </c>
      <c r="B229" s="53" t="s">
        <v>783</v>
      </c>
      <c r="C229" s="19"/>
      <c r="D229" s="50" t="s">
        <v>1314</v>
      </c>
      <c r="E229" s="50" t="s">
        <v>1315</v>
      </c>
      <c r="F229" s="62" t="s">
        <v>2209</v>
      </c>
      <c r="G229" s="50" t="s">
        <v>1316</v>
      </c>
      <c r="H229" s="62" t="s">
        <v>2209</v>
      </c>
      <c r="I229" s="47" t="s">
        <v>61</v>
      </c>
      <c r="J229" s="62" t="s">
        <v>1399</v>
      </c>
      <c r="K229" s="50" t="s">
        <v>1438</v>
      </c>
      <c r="L229" s="47" t="s">
        <v>2216</v>
      </c>
      <c r="M229" s="19"/>
      <c r="N229" s="19"/>
      <c r="O229" s="19"/>
      <c r="P229" s="19"/>
      <c r="Q229" s="50">
        <v>1.0</v>
      </c>
      <c r="R229" s="61">
        <v>46014.0</v>
      </c>
      <c r="S229" s="59">
        <v>46030.0</v>
      </c>
      <c r="T229" s="59">
        <v>46028.0</v>
      </c>
      <c r="U229" s="19"/>
      <c r="V229" s="50" t="s">
        <v>1347</v>
      </c>
      <c r="W229" s="50">
        <v>3.13250017139E11</v>
      </c>
      <c r="X229" s="50" t="s">
        <v>12</v>
      </c>
      <c r="Y229" s="50" t="s">
        <v>1322</v>
      </c>
      <c r="Z229" s="50">
        <v>3.040319448E9</v>
      </c>
      <c r="AA229" s="50" t="s">
        <v>17</v>
      </c>
      <c r="AB229" s="50" t="s">
        <v>1553</v>
      </c>
      <c r="AC229" s="50" t="s">
        <v>1554</v>
      </c>
      <c r="AD229" s="19"/>
      <c r="AE229" s="19"/>
      <c r="AF229" s="19"/>
      <c r="AG229" s="19"/>
    </row>
    <row r="230">
      <c r="A230" s="47">
        <f>COUNTIF('Divulgação'!$B:$B,B230)</f>
        <v>1</v>
      </c>
      <c r="B230" s="53" t="s">
        <v>785</v>
      </c>
      <c r="C230" s="19"/>
      <c r="D230" s="50" t="s">
        <v>1314</v>
      </c>
      <c r="E230" s="50" t="s">
        <v>1315</v>
      </c>
      <c r="F230" s="62" t="s">
        <v>2209</v>
      </c>
      <c r="G230" s="50" t="s">
        <v>1316</v>
      </c>
      <c r="H230" s="62" t="s">
        <v>2209</v>
      </c>
      <c r="I230" s="47" t="s">
        <v>2010</v>
      </c>
      <c r="J230" s="62" t="s">
        <v>2011</v>
      </c>
      <c r="K230" s="50" t="s">
        <v>2012</v>
      </c>
      <c r="L230" s="47" t="s">
        <v>2017</v>
      </c>
      <c r="M230" s="19"/>
      <c r="N230" s="19"/>
      <c r="O230" s="19"/>
      <c r="P230" s="19"/>
      <c r="Q230" s="50">
        <v>1.0</v>
      </c>
      <c r="R230" s="61">
        <v>46014.0</v>
      </c>
      <c r="S230" s="59">
        <v>46030.0</v>
      </c>
      <c r="T230" s="59">
        <v>46028.0</v>
      </c>
      <c r="U230" s="19"/>
      <c r="V230" s="50" t="s">
        <v>1321</v>
      </c>
      <c r="W230" s="19"/>
      <c r="X230" s="50" t="s">
        <v>12</v>
      </c>
      <c r="Y230" s="50" t="s">
        <v>1322</v>
      </c>
      <c r="Z230" s="50">
        <v>3.040321794E9</v>
      </c>
      <c r="AA230" s="50" t="s">
        <v>13</v>
      </c>
      <c r="AB230" s="50" t="s">
        <v>1377</v>
      </c>
      <c r="AC230" s="50" t="s">
        <v>2217</v>
      </c>
      <c r="AD230" s="19"/>
      <c r="AE230" s="19"/>
      <c r="AF230" s="19"/>
      <c r="AG230" s="19"/>
    </row>
    <row r="231">
      <c r="A231" s="47">
        <f>COUNTIF('Divulgação'!$B:$B,B231)</f>
        <v>1</v>
      </c>
      <c r="B231" s="53" t="s">
        <v>787</v>
      </c>
      <c r="C231" s="19"/>
      <c r="D231" s="50" t="s">
        <v>1314</v>
      </c>
      <c r="E231" s="50" t="s">
        <v>1315</v>
      </c>
      <c r="F231" s="62" t="s">
        <v>2209</v>
      </c>
      <c r="G231" s="50" t="s">
        <v>1316</v>
      </c>
      <c r="H231" s="62" t="s">
        <v>2209</v>
      </c>
      <c r="I231" s="47" t="s">
        <v>1596</v>
      </c>
      <c r="J231" s="62" t="s">
        <v>1597</v>
      </c>
      <c r="K231" s="50" t="s">
        <v>1598</v>
      </c>
      <c r="L231" s="47" t="s">
        <v>1619</v>
      </c>
      <c r="M231" s="19"/>
      <c r="N231" s="19"/>
      <c r="O231" s="19"/>
      <c r="P231" s="19"/>
      <c r="Q231" s="50">
        <v>1.0</v>
      </c>
      <c r="R231" s="61">
        <v>46014.0</v>
      </c>
      <c r="S231" s="59">
        <v>46030.0</v>
      </c>
      <c r="T231" s="59">
        <v>46028.0</v>
      </c>
      <c r="U231" s="19"/>
      <c r="V231" s="50" t="s">
        <v>1321</v>
      </c>
      <c r="W231" s="19"/>
      <c r="X231" s="50" t="s">
        <v>12</v>
      </c>
      <c r="Y231" s="50" t="s">
        <v>1322</v>
      </c>
      <c r="Z231" s="50">
        <v>3.040317122E9</v>
      </c>
      <c r="AA231" s="50" t="s">
        <v>12</v>
      </c>
      <c r="AB231" s="50" t="s">
        <v>1322</v>
      </c>
      <c r="AC231" s="50" t="s">
        <v>1369</v>
      </c>
      <c r="AD231" s="19"/>
      <c r="AE231" s="19"/>
      <c r="AF231" s="19"/>
      <c r="AG231" s="19"/>
    </row>
    <row r="232">
      <c r="A232" s="47">
        <f>COUNTIF('Divulgação'!$B:$B,B232)</f>
        <v>1</v>
      </c>
      <c r="B232" s="53" t="s">
        <v>789</v>
      </c>
      <c r="C232" s="19"/>
      <c r="D232" s="50" t="s">
        <v>1314</v>
      </c>
      <c r="E232" s="50" t="s">
        <v>1315</v>
      </c>
      <c r="F232" s="62" t="s">
        <v>2209</v>
      </c>
      <c r="G232" s="50" t="s">
        <v>1316</v>
      </c>
      <c r="H232" s="62" t="s">
        <v>2209</v>
      </c>
      <c r="I232" s="47" t="s">
        <v>1596</v>
      </c>
      <c r="J232" s="62" t="s">
        <v>1597</v>
      </c>
      <c r="K232" s="50" t="s">
        <v>1598</v>
      </c>
      <c r="L232" s="47" t="s">
        <v>1617</v>
      </c>
      <c r="M232" s="19"/>
      <c r="N232" s="19"/>
      <c r="O232" s="19"/>
      <c r="P232" s="19"/>
      <c r="Q232" s="50">
        <v>1.0</v>
      </c>
      <c r="R232" s="61">
        <v>46014.0</v>
      </c>
      <c r="S232" s="59">
        <v>46030.0</v>
      </c>
      <c r="T232" s="59">
        <v>46028.0</v>
      </c>
      <c r="U232" s="19"/>
      <c r="V232" s="50" t="s">
        <v>1321</v>
      </c>
      <c r="W232" s="19"/>
      <c r="X232" s="50" t="s">
        <v>12</v>
      </c>
      <c r="Y232" s="50" t="s">
        <v>1322</v>
      </c>
      <c r="Z232" s="50">
        <v>3.040317044E9</v>
      </c>
      <c r="AA232" s="50" t="s">
        <v>12</v>
      </c>
      <c r="AB232" s="50" t="s">
        <v>1322</v>
      </c>
      <c r="AC232" s="50" t="s">
        <v>1369</v>
      </c>
      <c r="AD232" s="19"/>
      <c r="AE232" s="19"/>
      <c r="AF232" s="19"/>
      <c r="AG232" s="19"/>
    </row>
    <row r="233">
      <c r="A233" s="47">
        <f>COUNTIF('Divulgação'!$B:$B,B233)</f>
        <v>1</v>
      </c>
      <c r="B233" s="53" t="s">
        <v>791</v>
      </c>
      <c r="C233" s="19"/>
      <c r="D233" s="50" t="s">
        <v>1314</v>
      </c>
      <c r="E233" s="50" t="s">
        <v>1315</v>
      </c>
      <c r="F233" s="62" t="s">
        <v>2209</v>
      </c>
      <c r="G233" s="50" t="s">
        <v>1316</v>
      </c>
      <c r="H233" s="62" t="s">
        <v>2209</v>
      </c>
      <c r="I233" s="47" t="s">
        <v>1596</v>
      </c>
      <c r="J233" s="62" t="s">
        <v>1597</v>
      </c>
      <c r="K233" s="50" t="s">
        <v>1598</v>
      </c>
      <c r="L233" s="47" t="s">
        <v>2218</v>
      </c>
      <c r="M233" s="19"/>
      <c r="N233" s="19"/>
      <c r="O233" s="19"/>
      <c r="P233" s="19"/>
      <c r="Q233" s="50">
        <v>1.0</v>
      </c>
      <c r="R233" s="61">
        <v>46014.0</v>
      </c>
      <c r="S233" s="59">
        <v>46030.0</v>
      </c>
      <c r="T233" s="59">
        <v>46028.0</v>
      </c>
      <c r="U233" s="19"/>
      <c r="V233" s="50" t="s">
        <v>1321</v>
      </c>
      <c r="W233" s="19"/>
      <c r="X233" s="50" t="s">
        <v>12</v>
      </c>
      <c r="Y233" s="50" t="s">
        <v>1322</v>
      </c>
      <c r="Z233" s="50">
        <v>3.040317043E9</v>
      </c>
      <c r="AA233" s="50" t="s">
        <v>12</v>
      </c>
      <c r="AB233" s="50" t="s">
        <v>1322</v>
      </c>
      <c r="AC233" s="50" t="s">
        <v>1369</v>
      </c>
      <c r="AD233" s="19"/>
      <c r="AE233" s="19"/>
      <c r="AF233" s="19"/>
      <c r="AG233" s="19"/>
    </row>
    <row r="234">
      <c r="A234" s="47">
        <f>COUNTIF('Divulgação'!$B:$B,B234)</f>
        <v>1</v>
      </c>
      <c r="B234" s="53" t="s">
        <v>793</v>
      </c>
      <c r="C234" s="19"/>
      <c r="D234" s="50" t="s">
        <v>1314</v>
      </c>
      <c r="E234" s="50" t="s">
        <v>1315</v>
      </c>
      <c r="F234" s="62" t="s">
        <v>2209</v>
      </c>
      <c r="G234" s="50" t="s">
        <v>1316</v>
      </c>
      <c r="H234" s="62" t="s">
        <v>2209</v>
      </c>
      <c r="I234" s="47" t="s">
        <v>1596</v>
      </c>
      <c r="J234" s="62" t="s">
        <v>1597</v>
      </c>
      <c r="K234" s="50" t="s">
        <v>1598</v>
      </c>
      <c r="L234" s="47" t="s">
        <v>2219</v>
      </c>
      <c r="M234" s="19"/>
      <c r="N234" s="19"/>
      <c r="O234" s="19"/>
      <c r="P234" s="19"/>
      <c r="Q234" s="50">
        <v>1.0</v>
      </c>
      <c r="R234" s="61">
        <v>46014.0</v>
      </c>
      <c r="S234" s="59">
        <v>46030.0</v>
      </c>
      <c r="T234" s="59">
        <v>46028.0</v>
      </c>
      <c r="U234" s="19"/>
      <c r="V234" s="50" t="s">
        <v>1321</v>
      </c>
      <c r="W234" s="19"/>
      <c r="X234" s="50" t="s">
        <v>12</v>
      </c>
      <c r="Y234" s="50" t="s">
        <v>1322</v>
      </c>
      <c r="Z234" s="50">
        <v>3.040317042E9</v>
      </c>
      <c r="AA234" s="50" t="s">
        <v>12</v>
      </c>
      <c r="AB234" s="50" t="s">
        <v>1322</v>
      </c>
      <c r="AC234" s="50" t="s">
        <v>1369</v>
      </c>
      <c r="AD234" s="19"/>
      <c r="AE234" s="19"/>
      <c r="AF234" s="19"/>
      <c r="AG234" s="19"/>
    </row>
    <row r="235">
      <c r="A235" s="47">
        <f>COUNTIF('Divulgação'!$B:$B,B235)</f>
        <v>1</v>
      </c>
      <c r="B235" s="53" t="s">
        <v>795</v>
      </c>
      <c r="C235" s="19"/>
      <c r="D235" s="50" t="s">
        <v>1314</v>
      </c>
      <c r="E235" s="50" t="s">
        <v>1315</v>
      </c>
      <c r="F235" s="62" t="s">
        <v>2209</v>
      </c>
      <c r="G235" s="50" t="s">
        <v>1316</v>
      </c>
      <c r="H235" s="62" t="s">
        <v>2209</v>
      </c>
      <c r="I235" s="47" t="s">
        <v>1596</v>
      </c>
      <c r="J235" s="62" t="s">
        <v>1597</v>
      </c>
      <c r="K235" s="50" t="s">
        <v>1598</v>
      </c>
      <c r="L235" s="47" t="s">
        <v>1616</v>
      </c>
      <c r="M235" s="19"/>
      <c r="N235" s="19"/>
      <c r="O235" s="19"/>
      <c r="P235" s="19"/>
      <c r="Q235" s="50">
        <v>1.0</v>
      </c>
      <c r="R235" s="61">
        <v>46014.0</v>
      </c>
      <c r="S235" s="59">
        <v>46030.0</v>
      </c>
      <c r="T235" s="59">
        <v>46028.0</v>
      </c>
      <c r="U235" s="19"/>
      <c r="V235" s="50" t="s">
        <v>1321</v>
      </c>
      <c r="W235" s="19"/>
      <c r="X235" s="50" t="s">
        <v>12</v>
      </c>
      <c r="Y235" s="50" t="s">
        <v>1322</v>
      </c>
      <c r="Z235" s="50">
        <v>3.04031704E9</v>
      </c>
      <c r="AA235" s="50" t="s">
        <v>12</v>
      </c>
      <c r="AB235" s="50" t="s">
        <v>1322</v>
      </c>
      <c r="AC235" s="50" t="s">
        <v>1369</v>
      </c>
      <c r="AD235" s="19"/>
      <c r="AE235" s="19"/>
      <c r="AF235" s="19"/>
      <c r="AG235" s="19"/>
    </row>
    <row r="236">
      <c r="A236" s="47">
        <f>COUNTIF('Divulgação'!$B:$B,B236)</f>
        <v>1</v>
      </c>
      <c r="B236" s="53" t="s">
        <v>797</v>
      </c>
      <c r="C236" s="19"/>
      <c r="D236" s="50" t="s">
        <v>1314</v>
      </c>
      <c r="E236" s="50" t="s">
        <v>1315</v>
      </c>
      <c r="F236" s="62" t="s">
        <v>2209</v>
      </c>
      <c r="G236" s="50" t="s">
        <v>1316</v>
      </c>
      <c r="H236" s="62" t="s">
        <v>2209</v>
      </c>
      <c r="I236" s="47" t="s">
        <v>1596</v>
      </c>
      <c r="J236" s="62" t="s">
        <v>1597</v>
      </c>
      <c r="K236" s="50" t="s">
        <v>1598</v>
      </c>
      <c r="L236" s="47" t="s">
        <v>1618</v>
      </c>
      <c r="M236" s="19"/>
      <c r="N236" s="19"/>
      <c r="O236" s="19"/>
      <c r="P236" s="19"/>
      <c r="Q236" s="50">
        <v>1.0</v>
      </c>
      <c r="R236" s="61">
        <v>46014.0</v>
      </c>
      <c r="S236" s="59">
        <v>46030.0</v>
      </c>
      <c r="T236" s="59">
        <v>46028.0</v>
      </c>
      <c r="U236" s="19"/>
      <c r="V236" s="50" t="s">
        <v>1321</v>
      </c>
      <c r="W236" s="19"/>
      <c r="X236" s="50" t="s">
        <v>12</v>
      </c>
      <c r="Y236" s="50" t="s">
        <v>1322</v>
      </c>
      <c r="Z236" s="50">
        <v>3.040317041E9</v>
      </c>
      <c r="AA236" s="50" t="s">
        <v>12</v>
      </c>
      <c r="AB236" s="50" t="s">
        <v>1322</v>
      </c>
      <c r="AC236" s="50" t="s">
        <v>1369</v>
      </c>
      <c r="AD236" s="19"/>
      <c r="AE236" s="19"/>
      <c r="AF236" s="19"/>
      <c r="AG236" s="19"/>
    </row>
    <row r="237">
      <c r="A237" s="47">
        <f>COUNTIF('Divulgação'!$B:$B,B237)</f>
        <v>1</v>
      </c>
      <c r="B237" s="53" t="s">
        <v>799</v>
      </c>
      <c r="C237" s="19"/>
      <c r="D237" s="50" t="s">
        <v>1314</v>
      </c>
      <c r="E237" s="50" t="s">
        <v>1315</v>
      </c>
      <c r="F237" s="62" t="s">
        <v>2209</v>
      </c>
      <c r="G237" s="50" t="s">
        <v>1316</v>
      </c>
      <c r="H237" s="62" t="s">
        <v>2209</v>
      </c>
      <c r="I237" s="47" t="s">
        <v>1361</v>
      </c>
      <c r="J237" s="50" t="s">
        <v>48</v>
      </c>
      <c r="K237" s="50" t="s">
        <v>1362</v>
      </c>
      <c r="L237" s="53" t="s">
        <v>1620</v>
      </c>
      <c r="M237" s="19"/>
      <c r="N237" s="19"/>
      <c r="O237" s="19"/>
      <c r="P237" s="19"/>
      <c r="Q237" s="50">
        <v>1.0</v>
      </c>
      <c r="R237" s="59">
        <v>46028.0</v>
      </c>
      <c r="S237" s="59">
        <v>46034.0</v>
      </c>
      <c r="T237" s="59">
        <v>46028.0</v>
      </c>
      <c r="U237" s="19"/>
      <c r="V237" s="50" t="s">
        <v>1321</v>
      </c>
      <c r="W237" s="19"/>
      <c r="X237" s="50" t="s">
        <v>12</v>
      </c>
      <c r="Y237" s="50" t="s">
        <v>1322</v>
      </c>
      <c r="Z237" s="50">
        <v>3.040098935E9</v>
      </c>
      <c r="AA237" s="50" t="s">
        <v>1621</v>
      </c>
      <c r="AB237" s="50" t="s">
        <v>1622</v>
      </c>
      <c r="AC237" s="50" t="s">
        <v>1623</v>
      </c>
      <c r="AD237" s="19"/>
      <c r="AE237" s="19"/>
      <c r="AF237" s="19"/>
      <c r="AG237" s="19"/>
    </row>
    <row r="238">
      <c r="A238" s="47">
        <f>COUNTIF('Divulgação'!$B:$B,B238)</f>
        <v>1</v>
      </c>
      <c r="B238" s="53" t="s">
        <v>801</v>
      </c>
      <c r="C238" s="19"/>
      <c r="D238" s="50" t="s">
        <v>1314</v>
      </c>
      <c r="E238" s="50" t="s">
        <v>1315</v>
      </c>
      <c r="F238" s="62" t="s">
        <v>2209</v>
      </c>
      <c r="G238" s="50" t="s">
        <v>1316</v>
      </c>
      <c r="H238" s="62" t="s">
        <v>2209</v>
      </c>
      <c r="I238" s="47" t="s">
        <v>1361</v>
      </c>
      <c r="J238" s="50" t="s">
        <v>48</v>
      </c>
      <c r="K238" s="50" t="s">
        <v>1362</v>
      </c>
      <c r="L238" s="53" t="s">
        <v>2220</v>
      </c>
      <c r="M238" s="19"/>
      <c r="N238" s="19"/>
      <c r="O238" s="19"/>
      <c r="P238" s="19"/>
      <c r="Q238" s="50">
        <v>1.0</v>
      </c>
      <c r="R238" s="59">
        <v>46028.0</v>
      </c>
      <c r="S238" s="59">
        <v>46028.0</v>
      </c>
      <c r="T238" s="59">
        <v>46028.0</v>
      </c>
      <c r="U238" s="19"/>
      <c r="V238" s="50" t="s">
        <v>1321</v>
      </c>
      <c r="W238" s="19"/>
      <c r="X238" s="50" t="s">
        <v>12</v>
      </c>
      <c r="Y238" s="50" t="s">
        <v>1322</v>
      </c>
      <c r="Z238" s="50">
        <v>3.040292045E9</v>
      </c>
      <c r="AA238" s="50" t="s">
        <v>20</v>
      </c>
      <c r="AB238" s="50" t="s">
        <v>1695</v>
      </c>
      <c r="AC238" s="50" t="s">
        <v>2221</v>
      </c>
      <c r="AD238" s="19"/>
      <c r="AE238" s="19"/>
      <c r="AF238" s="19"/>
      <c r="AG238" s="19"/>
    </row>
    <row r="239">
      <c r="A239" s="47">
        <f>COUNTIF('Divulgação'!$B:$B,B239)</f>
        <v>1</v>
      </c>
      <c r="B239" s="53" t="s">
        <v>805</v>
      </c>
      <c r="C239" s="19"/>
      <c r="D239" s="50" t="s">
        <v>1314</v>
      </c>
      <c r="E239" s="50" t="s">
        <v>1315</v>
      </c>
      <c r="F239" s="62" t="s">
        <v>2222</v>
      </c>
      <c r="G239" s="50" t="s">
        <v>1316</v>
      </c>
      <c r="H239" s="62" t="s">
        <v>2222</v>
      </c>
      <c r="I239" s="47" t="s">
        <v>1624</v>
      </c>
      <c r="J239" s="62" t="s">
        <v>2164</v>
      </c>
      <c r="K239" s="50" t="s">
        <v>1625</v>
      </c>
      <c r="L239" s="47" t="s">
        <v>1626</v>
      </c>
      <c r="M239" s="19"/>
      <c r="N239" s="19"/>
      <c r="O239" s="19"/>
      <c r="P239" s="19"/>
      <c r="Q239" s="50">
        <v>1.0</v>
      </c>
      <c r="R239" s="59">
        <v>46035.0</v>
      </c>
      <c r="S239" s="59">
        <v>46041.0</v>
      </c>
      <c r="T239" s="59">
        <v>46036.0</v>
      </c>
      <c r="U239" s="19"/>
      <c r="V239" s="50" t="s">
        <v>1321</v>
      </c>
      <c r="W239" s="19"/>
      <c r="X239" s="50" t="s">
        <v>12</v>
      </c>
      <c r="Y239" s="50" t="s">
        <v>1322</v>
      </c>
      <c r="Z239" s="50">
        <v>3.04032319E9</v>
      </c>
      <c r="AA239" s="50" t="s">
        <v>1500</v>
      </c>
      <c r="AB239" s="50" t="s">
        <v>1537</v>
      </c>
      <c r="AC239" s="50" t="s">
        <v>1627</v>
      </c>
      <c r="AD239" s="19"/>
      <c r="AE239" s="19"/>
      <c r="AF239" s="19"/>
      <c r="AG239" s="19"/>
    </row>
    <row r="240">
      <c r="A240" s="47">
        <f>COUNTIF('Divulgação'!$B:$B,B240)</f>
        <v>1</v>
      </c>
      <c r="B240" s="53" t="s">
        <v>807</v>
      </c>
      <c r="C240" s="19"/>
      <c r="D240" s="50" t="s">
        <v>1314</v>
      </c>
      <c r="E240" s="50" t="s">
        <v>1315</v>
      </c>
      <c r="F240" s="62" t="s">
        <v>2222</v>
      </c>
      <c r="G240" s="50" t="s">
        <v>1316</v>
      </c>
      <c r="H240" s="62" t="s">
        <v>2222</v>
      </c>
      <c r="I240" s="47" t="s">
        <v>143</v>
      </c>
      <c r="J240" s="62" t="s">
        <v>2164</v>
      </c>
      <c r="K240" s="50" t="s">
        <v>1625</v>
      </c>
      <c r="L240" s="47" t="s">
        <v>2223</v>
      </c>
      <c r="M240" s="19"/>
      <c r="N240" s="19"/>
      <c r="O240" s="19"/>
      <c r="P240" s="19"/>
      <c r="Q240" s="50">
        <v>1.0</v>
      </c>
      <c r="R240" s="59">
        <v>46035.0</v>
      </c>
      <c r="S240" s="59">
        <v>46041.0</v>
      </c>
      <c r="T240" s="59">
        <v>46036.0</v>
      </c>
      <c r="U240" s="19"/>
      <c r="V240" s="50" t="s">
        <v>1321</v>
      </c>
      <c r="W240" s="19"/>
      <c r="X240" s="50" t="s">
        <v>12</v>
      </c>
      <c r="Y240" s="50" t="s">
        <v>1322</v>
      </c>
      <c r="Z240" s="50">
        <v>3.040323194E9</v>
      </c>
      <c r="AA240" s="50" t="s">
        <v>1500</v>
      </c>
      <c r="AB240" s="50" t="s">
        <v>1537</v>
      </c>
      <c r="AC240" s="50" t="s">
        <v>1846</v>
      </c>
      <c r="AD240" s="19"/>
      <c r="AE240" s="19"/>
      <c r="AF240" s="19"/>
      <c r="AG240" s="19"/>
    </row>
    <row r="241">
      <c r="A241" s="47">
        <f>COUNTIF('Divulgação'!$B:$B,B241)</f>
        <v>1</v>
      </c>
      <c r="B241" s="53" t="s">
        <v>809</v>
      </c>
      <c r="C241" s="19"/>
      <c r="D241" s="50" t="s">
        <v>1314</v>
      </c>
      <c r="E241" s="50" t="s">
        <v>1315</v>
      </c>
      <c r="F241" s="62" t="s">
        <v>2222</v>
      </c>
      <c r="G241" s="50" t="s">
        <v>1316</v>
      </c>
      <c r="H241" s="62" t="s">
        <v>2222</v>
      </c>
      <c r="I241" s="47" t="s">
        <v>1544</v>
      </c>
      <c r="J241" s="62" t="s">
        <v>2164</v>
      </c>
      <c r="K241" s="50" t="s">
        <v>1546</v>
      </c>
      <c r="L241" s="47" t="s">
        <v>2224</v>
      </c>
      <c r="M241" s="19"/>
      <c r="N241" s="19"/>
      <c r="O241" s="19"/>
      <c r="P241" s="19"/>
      <c r="Q241" s="50">
        <v>1.0</v>
      </c>
      <c r="R241" s="59">
        <v>46035.0</v>
      </c>
      <c r="S241" s="59">
        <v>46041.0</v>
      </c>
      <c r="T241" s="59">
        <v>46036.0</v>
      </c>
      <c r="U241" s="19"/>
      <c r="V241" s="50" t="s">
        <v>1321</v>
      </c>
      <c r="W241" s="19"/>
      <c r="X241" s="50" t="s">
        <v>12</v>
      </c>
      <c r="Y241" s="50" t="s">
        <v>1322</v>
      </c>
      <c r="Z241" s="50">
        <v>3.040323193E9</v>
      </c>
      <c r="AA241" s="50" t="s">
        <v>1500</v>
      </c>
      <c r="AB241" s="50" t="s">
        <v>1537</v>
      </c>
      <c r="AC241" s="50" t="s">
        <v>2225</v>
      </c>
      <c r="AD241" s="19"/>
      <c r="AE241" s="19"/>
      <c r="AF241" s="19"/>
      <c r="AG241" s="19"/>
    </row>
    <row r="242">
      <c r="A242" s="47">
        <f>COUNTIF('Divulgação'!$B:$B,B242)</f>
        <v>1</v>
      </c>
      <c r="B242" s="53" t="s">
        <v>811</v>
      </c>
      <c r="C242" s="19"/>
      <c r="D242" s="50" t="s">
        <v>1314</v>
      </c>
      <c r="E242" s="50" t="s">
        <v>1315</v>
      </c>
      <c r="F242" s="62" t="s">
        <v>2222</v>
      </c>
      <c r="G242" s="50" t="s">
        <v>1316</v>
      </c>
      <c r="H242" s="62" t="s">
        <v>2222</v>
      </c>
      <c r="I242" s="47" t="s">
        <v>1628</v>
      </c>
      <c r="J242" s="62" t="s">
        <v>2164</v>
      </c>
      <c r="K242" s="50" t="s">
        <v>1546</v>
      </c>
      <c r="L242" s="47" t="s">
        <v>1629</v>
      </c>
      <c r="M242" s="19"/>
      <c r="N242" s="19"/>
      <c r="O242" s="19"/>
      <c r="P242" s="19"/>
      <c r="Q242" s="50">
        <v>1.0</v>
      </c>
      <c r="R242" s="59">
        <v>46035.0</v>
      </c>
      <c r="S242" s="59">
        <v>46041.0</v>
      </c>
      <c r="T242" s="59">
        <v>46036.0</v>
      </c>
      <c r="U242" s="19"/>
      <c r="V242" s="50" t="s">
        <v>1321</v>
      </c>
      <c r="W242" s="19"/>
      <c r="X242" s="50" t="s">
        <v>12</v>
      </c>
      <c r="Y242" s="50" t="s">
        <v>1322</v>
      </c>
      <c r="Z242" s="50">
        <v>3.040323192E9</v>
      </c>
      <c r="AA242" s="50" t="s">
        <v>1500</v>
      </c>
      <c r="AB242" s="50" t="s">
        <v>1537</v>
      </c>
      <c r="AC242" s="50" t="s">
        <v>1630</v>
      </c>
      <c r="AD242" s="19"/>
      <c r="AE242" s="19"/>
      <c r="AF242" s="19"/>
      <c r="AG242" s="19"/>
    </row>
    <row r="243">
      <c r="A243" s="47">
        <f>COUNTIF('Divulgação'!$B:$B,B243)</f>
        <v>1</v>
      </c>
      <c r="B243" s="53" t="s">
        <v>815</v>
      </c>
      <c r="C243" s="19"/>
      <c r="D243" s="50" t="s">
        <v>1314</v>
      </c>
      <c r="E243" s="50" t="s">
        <v>1315</v>
      </c>
      <c r="F243" s="62" t="s">
        <v>2109</v>
      </c>
      <c r="G243" s="50" t="s">
        <v>1316</v>
      </c>
      <c r="H243" s="62" t="s">
        <v>2109</v>
      </c>
      <c r="I243" s="47" t="s">
        <v>1631</v>
      </c>
      <c r="J243" s="62" t="s">
        <v>1318</v>
      </c>
      <c r="K243" s="50" t="s">
        <v>1632</v>
      </c>
      <c r="L243" s="53" t="s">
        <v>1633</v>
      </c>
      <c r="M243" s="19"/>
      <c r="N243" s="19"/>
      <c r="O243" s="19"/>
      <c r="P243" s="19"/>
      <c r="Q243" s="50">
        <v>1.0</v>
      </c>
      <c r="R243" s="59">
        <v>46048.0</v>
      </c>
      <c r="S243" s="59">
        <v>46052.0</v>
      </c>
      <c r="T243" s="59">
        <v>46048.0</v>
      </c>
      <c r="U243" s="19"/>
      <c r="V243" s="50" t="s">
        <v>1321</v>
      </c>
      <c r="W243" s="19"/>
      <c r="X243" s="50" t="s">
        <v>12</v>
      </c>
      <c r="Y243" s="50" t="s">
        <v>1322</v>
      </c>
      <c r="Z243" s="50">
        <v>3.040293522E9</v>
      </c>
      <c r="AA243" s="50" t="s">
        <v>25</v>
      </c>
      <c r="AB243" s="50" t="s">
        <v>1359</v>
      </c>
      <c r="AC243" s="50" t="s">
        <v>1634</v>
      </c>
      <c r="AD243" s="19"/>
      <c r="AE243" s="19"/>
      <c r="AF243" s="19"/>
      <c r="AG243" s="19"/>
    </row>
    <row r="244">
      <c r="A244" s="47">
        <f>COUNTIF('Divulgação'!$B:$B,B244)</f>
        <v>1</v>
      </c>
      <c r="B244" s="53" t="s">
        <v>817</v>
      </c>
      <c r="C244" s="19"/>
      <c r="D244" s="50" t="s">
        <v>1314</v>
      </c>
      <c r="E244" s="50" t="s">
        <v>1315</v>
      </c>
      <c r="F244" s="62" t="s">
        <v>2109</v>
      </c>
      <c r="G244" s="50" t="s">
        <v>1316</v>
      </c>
      <c r="H244" s="62" t="s">
        <v>2109</v>
      </c>
      <c r="I244" s="47" t="s">
        <v>1631</v>
      </c>
      <c r="J244" s="62" t="s">
        <v>1318</v>
      </c>
      <c r="K244" s="50" t="s">
        <v>1632</v>
      </c>
      <c r="L244" s="53" t="s">
        <v>1635</v>
      </c>
      <c r="M244" s="19"/>
      <c r="N244" s="19"/>
      <c r="O244" s="19"/>
      <c r="P244" s="19"/>
      <c r="Q244" s="50">
        <v>1.0</v>
      </c>
      <c r="R244" s="59">
        <v>46048.0</v>
      </c>
      <c r="S244" s="59">
        <v>46052.0</v>
      </c>
      <c r="T244" s="59">
        <v>46048.0</v>
      </c>
      <c r="U244" s="19"/>
      <c r="V244" s="50" t="s">
        <v>1321</v>
      </c>
      <c r="W244" s="19"/>
      <c r="X244" s="50" t="s">
        <v>12</v>
      </c>
      <c r="Y244" s="50" t="s">
        <v>1322</v>
      </c>
      <c r="Z244" s="50">
        <v>3.0403129E9</v>
      </c>
      <c r="AA244" s="50" t="s">
        <v>12</v>
      </c>
      <c r="AB244" s="50" t="s">
        <v>1322</v>
      </c>
      <c r="AC244" s="50" t="s">
        <v>1434</v>
      </c>
      <c r="AD244" s="19"/>
      <c r="AE244" s="19"/>
      <c r="AF244" s="19"/>
      <c r="AG244" s="19"/>
    </row>
    <row r="245">
      <c r="A245" s="47">
        <f>COUNTIF('Divulgação'!$B:$B,B245)</f>
        <v>1</v>
      </c>
      <c r="B245" s="53" t="s">
        <v>819</v>
      </c>
      <c r="C245" s="19"/>
      <c r="D245" s="50" t="s">
        <v>1314</v>
      </c>
      <c r="E245" s="50" t="s">
        <v>1315</v>
      </c>
      <c r="F245" s="62" t="s">
        <v>2226</v>
      </c>
      <c r="G245" s="50" t="s">
        <v>1316</v>
      </c>
      <c r="H245" s="62" t="s">
        <v>2226</v>
      </c>
      <c r="I245" s="53" t="s">
        <v>1333</v>
      </c>
      <c r="J245" s="62" t="s">
        <v>2024</v>
      </c>
      <c r="K245" s="50" t="s">
        <v>1334</v>
      </c>
      <c r="L245" s="53" t="s">
        <v>2227</v>
      </c>
      <c r="M245" s="19"/>
      <c r="N245" s="19"/>
      <c r="O245" s="19"/>
      <c r="P245" s="19"/>
      <c r="Q245" s="50">
        <v>1.0</v>
      </c>
      <c r="R245" s="59">
        <v>46041.0</v>
      </c>
      <c r="S245" s="59">
        <v>46045.0</v>
      </c>
      <c r="T245" s="59">
        <v>46050.0</v>
      </c>
      <c r="U245" s="19"/>
      <c r="V245" s="50" t="s">
        <v>1321</v>
      </c>
      <c r="W245" s="19"/>
      <c r="X245" s="50" t="s">
        <v>12</v>
      </c>
      <c r="Y245" s="50" t="s">
        <v>1322</v>
      </c>
      <c r="Z245" s="50">
        <v>3.040288169E9</v>
      </c>
      <c r="AA245" s="50" t="s">
        <v>20</v>
      </c>
      <c r="AB245" s="50" t="s">
        <v>2156</v>
      </c>
      <c r="AC245" s="50" t="s">
        <v>2228</v>
      </c>
      <c r="AD245" s="19"/>
      <c r="AE245" s="19"/>
      <c r="AF245" s="19"/>
      <c r="AG245" s="19"/>
    </row>
    <row r="246">
      <c r="A246" s="47">
        <f>COUNTIF('Divulgação'!$B:$B,B246)</f>
        <v>1</v>
      </c>
      <c r="B246" s="53" t="s">
        <v>821</v>
      </c>
      <c r="C246" s="19"/>
      <c r="D246" s="50" t="s">
        <v>1314</v>
      </c>
      <c r="E246" s="50" t="s">
        <v>1315</v>
      </c>
      <c r="F246" s="62" t="s">
        <v>2226</v>
      </c>
      <c r="G246" s="50" t="s">
        <v>1316</v>
      </c>
      <c r="H246" s="62" t="s">
        <v>2226</v>
      </c>
      <c r="I246" s="53" t="s">
        <v>1333</v>
      </c>
      <c r="J246" s="62" t="s">
        <v>2024</v>
      </c>
      <c r="K246" s="50" t="s">
        <v>1334</v>
      </c>
      <c r="L246" s="53" t="s">
        <v>2229</v>
      </c>
      <c r="M246" s="19"/>
      <c r="N246" s="19"/>
      <c r="O246" s="19"/>
      <c r="P246" s="19"/>
      <c r="Q246" s="50">
        <v>1.0</v>
      </c>
      <c r="R246" s="59">
        <v>46041.0</v>
      </c>
      <c r="S246" s="59">
        <v>46080.0</v>
      </c>
      <c r="T246" s="59">
        <v>46050.0</v>
      </c>
      <c r="U246" s="19"/>
      <c r="V246" s="50" t="s">
        <v>1321</v>
      </c>
      <c r="W246" s="19"/>
      <c r="X246" s="50" t="s">
        <v>12</v>
      </c>
      <c r="Y246" s="50" t="s">
        <v>1322</v>
      </c>
      <c r="Z246" s="50">
        <v>3.040290022E9</v>
      </c>
      <c r="AA246" s="50" t="s">
        <v>15</v>
      </c>
      <c r="AB246" s="50" t="s">
        <v>2156</v>
      </c>
      <c r="AC246" s="50" t="s">
        <v>2212</v>
      </c>
      <c r="AD246" s="19"/>
      <c r="AE246" s="19"/>
      <c r="AF246" s="19"/>
      <c r="AG246" s="19"/>
    </row>
    <row r="247">
      <c r="A247" s="47">
        <f>COUNTIF('Divulgação'!$B:$B,B247)</f>
        <v>1</v>
      </c>
      <c r="B247" s="53" t="s">
        <v>823</v>
      </c>
      <c r="C247" s="19"/>
      <c r="D247" s="50" t="s">
        <v>1314</v>
      </c>
      <c r="E247" s="50" t="s">
        <v>1315</v>
      </c>
      <c r="F247" s="62" t="s">
        <v>2226</v>
      </c>
      <c r="G247" s="50" t="s">
        <v>1316</v>
      </c>
      <c r="H247" s="62" t="s">
        <v>2226</v>
      </c>
      <c r="I247" s="47" t="s">
        <v>61</v>
      </c>
      <c r="J247" s="62" t="s">
        <v>1399</v>
      </c>
      <c r="K247" s="50" t="s">
        <v>1438</v>
      </c>
      <c r="L247" s="53" t="s">
        <v>2230</v>
      </c>
      <c r="M247" s="19"/>
      <c r="N247" s="19"/>
      <c r="O247" s="19"/>
      <c r="P247" s="19"/>
      <c r="Q247" s="50">
        <v>1.0</v>
      </c>
      <c r="R247" s="59">
        <v>46023.0</v>
      </c>
      <c r="S247" s="59">
        <v>46053.0</v>
      </c>
      <c r="T247" s="59">
        <v>46050.0</v>
      </c>
      <c r="U247" s="19"/>
      <c r="V247" s="50" t="s">
        <v>1347</v>
      </c>
      <c r="W247" s="50">
        <v>3.9625001573E11</v>
      </c>
      <c r="X247" s="50" t="s">
        <v>12</v>
      </c>
      <c r="Y247" s="50" t="s">
        <v>1322</v>
      </c>
      <c r="Z247" s="50">
        <v>3.040319706E9</v>
      </c>
      <c r="AA247" s="50" t="s">
        <v>12</v>
      </c>
      <c r="AB247" s="50" t="s">
        <v>1322</v>
      </c>
      <c r="AC247" s="50" t="s">
        <v>1434</v>
      </c>
      <c r="AD247" s="19"/>
      <c r="AE247" s="19"/>
      <c r="AF247" s="19"/>
      <c r="AG247" s="19"/>
    </row>
    <row r="248">
      <c r="A248" s="47">
        <f>COUNTIF('Divulgação'!$B:$B,B248)</f>
        <v>1</v>
      </c>
      <c r="B248" s="53" t="s">
        <v>825</v>
      </c>
      <c r="C248" s="19"/>
      <c r="D248" s="50" t="s">
        <v>1314</v>
      </c>
      <c r="E248" s="50" t="s">
        <v>1315</v>
      </c>
      <c r="F248" s="62" t="s">
        <v>2226</v>
      </c>
      <c r="G248" s="50" t="s">
        <v>1316</v>
      </c>
      <c r="H248" s="62" t="s">
        <v>2226</v>
      </c>
      <c r="I248" s="47" t="s">
        <v>1398</v>
      </c>
      <c r="J248" s="62" t="s">
        <v>1399</v>
      </c>
      <c r="K248" s="50" t="s">
        <v>1400</v>
      </c>
      <c r="L248" s="47" t="s">
        <v>1636</v>
      </c>
      <c r="M248" s="19"/>
      <c r="N248" s="19"/>
      <c r="O248" s="19"/>
      <c r="P248" s="19"/>
      <c r="Q248" s="50">
        <v>1.0</v>
      </c>
      <c r="R248" s="59">
        <v>45962.0</v>
      </c>
      <c r="S248" s="61">
        <v>45991.0</v>
      </c>
      <c r="T248" s="59">
        <v>46050.0</v>
      </c>
      <c r="U248" s="19"/>
      <c r="V248" s="50" t="s">
        <v>1321</v>
      </c>
      <c r="W248" s="19"/>
      <c r="X248" s="50" t="s">
        <v>12</v>
      </c>
      <c r="Y248" s="50" t="s">
        <v>1322</v>
      </c>
      <c r="Z248" s="50">
        <v>3.040322989E9</v>
      </c>
      <c r="AA248" s="50" t="s">
        <v>1352</v>
      </c>
      <c r="AB248" s="50" t="s">
        <v>1430</v>
      </c>
      <c r="AC248" s="50" t="s">
        <v>1637</v>
      </c>
      <c r="AD248" s="19"/>
      <c r="AE248" s="19"/>
      <c r="AF248" s="19"/>
      <c r="AG248" s="19"/>
    </row>
    <row r="249">
      <c r="A249" s="47">
        <f>COUNTIF('Divulgação'!$B:$B,B249)</f>
        <v>1</v>
      </c>
      <c r="B249" s="53" t="s">
        <v>827</v>
      </c>
      <c r="C249" s="19"/>
      <c r="D249" s="50" t="s">
        <v>1314</v>
      </c>
      <c r="E249" s="50" t="s">
        <v>1315</v>
      </c>
      <c r="F249" s="62" t="s">
        <v>2231</v>
      </c>
      <c r="G249" s="50" t="s">
        <v>1316</v>
      </c>
      <c r="H249" s="62" t="s">
        <v>2231</v>
      </c>
      <c r="I249" s="53" t="s">
        <v>1333</v>
      </c>
      <c r="J249" s="62" t="s">
        <v>2024</v>
      </c>
      <c r="K249" s="50" t="s">
        <v>1334</v>
      </c>
      <c r="L249" s="53" t="s">
        <v>2232</v>
      </c>
      <c r="M249" s="19"/>
      <c r="N249" s="19"/>
      <c r="O249" s="19"/>
      <c r="P249" s="19"/>
      <c r="Q249" s="50">
        <v>1.0</v>
      </c>
      <c r="R249" s="59">
        <v>46062.0</v>
      </c>
      <c r="S249" s="59">
        <v>46066.0</v>
      </c>
      <c r="T249" s="59">
        <v>46063.0</v>
      </c>
      <c r="U249" s="19"/>
      <c r="V249" s="50" t="s">
        <v>1321</v>
      </c>
      <c r="W249" s="19"/>
      <c r="X249" s="50" t="s">
        <v>12</v>
      </c>
      <c r="Y249" s="50" t="s">
        <v>1322</v>
      </c>
      <c r="Z249" s="50">
        <v>3.040317905E9</v>
      </c>
      <c r="AA249" s="50" t="s">
        <v>1500</v>
      </c>
      <c r="AB249" s="50" t="s">
        <v>1537</v>
      </c>
      <c r="AC249" s="50" t="s">
        <v>2233</v>
      </c>
      <c r="AD249" s="19"/>
      <c r="AE249" s="19"/>
      <c r="AF249" s="19"/>
      <c r="AG249" s="19"/>
    </row>
    <row r="250">
      <c r="A250" s="47">
        <f>COUNTIF('Divulgação'!$B:$B,B250)</f>
        <v>1</v>
      </c>
      <c r="B250" s="53" t="s">
        <v>829</v>
      </c>
      <c r="C250" s="19"/>
      <c r="D250" s="50" t="s">
        <v>1314</v>
      </c>
      <c r="E250" s="50" t="s">
        <v>1315</v>
      </c>
      <c r="F250" s="62" t="s">
        <v>2231</v>
      </c>
      <c r="G250" s="50" t="s">
        <v>1316</v>
      </c>
      <c r="H250" s="62" t="s">
        <v>2231</v>
      </c>
      <c r="I250" s="53" t="s">
        <v>1333</v>
      </c>
      <c r="J250" s="62" t="s">
        <v>2024</v>
      </c>
      <c r="K250" s="50" t="s">
        <v>1334</v>
      </c>
      <c r="L250" s="53" t="s">
        <v>2234</v>
      </c>
      <c r="M250" s="19"/>
      <c r="N250" s="19"/>
      <c r="O250" s="19"/>
      <c r="P250" s="19"/>
      <c r="Q250" s="50">
        <v>1.0</v>
      </c>
      <c r="R250" s="59">
        <v>46062.0</v>
      </c>
      <c r="S250" s="59">
        <v>46092.0</v>
      </c>
      <c r="T250" s="59">
        <v>46063.0</v>
      </c>
      <c r="U250" s="19"/>
      <c r="V250" s="50" t="s">
        <v>1321</v>
      </c>
      <c r="W250" s="19"/>
      <c r="X250" s="50" t="s">
        <v>12</v>
      </c>
      <c r="Y250" s="50" t="s">
        <v>1322</v>
      </c>
      <c r="Z250" s="50">
        <v>3.040310565E9</v>
      </c>
      <c r="AA250" s="50" t="s">
        <v>14</v>
      </c>
      <c r="AB250" s="50" t="s">
        <v>1876</v>
      </c>
      <c r="AC250" s="50" t="s">
        <v>2235</v>
      </c>
      <c r="AD250" s="19"/>
      <c r="AE250" s="19"/>
      <c r="AF250" s="19"/>
      <c r="AG250" s="19"/>
    </row>
    <row r="251">
      <c r="A251" s="47">
        <f>COUNTIF('Divulgação'!$B:$B,B251)</f>
        <v>1</v>
      </c>
      <c r="B251" s="53" t="s">
        <v>831</v>
      </c>
      <c r="C251" s="19"/>
      <c r="D251" s="50" t="s">
        <v>1314</v>
      </c>
      <c r="E251" s="50" t="s">
        <v>1315</v>
      </c>
      <c r="F251" s="62" t="s">
        <v>2231</v>
      </c>
      <c r="G251" s="50" t="s">
        <v>1316</v>
      </c>
      <c r="H251" s="62" t="s">
        <v>2231</v>
      </c>
      <c r="I251" s="53" t="s">
        <v>1333</v>
      </c>
      <c r="J251" s="62" t="s">
        <v>2024</v>
      </c>
      <c r="K251" s="50" t="s">
        <v>1334</v>
      </c>
      <c r="L251" s="53" t="s">
        <v>2236</v>
      </c>
      <c r="M251" s="19"/>
      <c r="N251" s="19"/>
      <c r="O251" s="19"/>
      <c r="P251" s="19"/>
      <c r="Q251" s="50">
        <v>1.0</v>
      </c>
      <c r="R251" s="59">
        <v>46062.0</v>
      </c>
      <c r="S251" s="59">
        <v>46092.0</v>
      </c>
      <c r="T251" s="59">
        <v>46063.0</v>
      </c>
      <c r="U251" s="19"/>
      <c r="V251" s="50" t="s">
        <v>1321</v>
      </c>
      <c r="W251" s="19"/>
      <c r="X251" s="50" t="s">
        <v>12</v>
      </c>
      <c r="Y251" s="50" t="s">
        <v>1322</v>
      </c>
      <c r="Z251" s="50">
        <v>3.040310564E9</v>
      </c>
      <c r="AA251" s="50" t="s">
        <v>14</v>
      </c>
      <c r="AB251" s="50" t="s">
        <v>1876</v>
      </c>
      <c r="AC251" s="50" t="s">
        <v>2235</v>
      </c>
      <c r="AD251" s="19"/>
      <c r="AE251" s="19"/>
      <c r="AF251" s="19"/>
      <c r="AG251" s="19"/>
    </row>
    <row r="252">
      <c r="A252" s="47">
        <f>COUNTIF('Divulgação'!$B:$B,B252)</f>
        <v>1</v>
      </c>
      <c r="B252" s="53" t="s">
        <v>833</v>
      </c>
      <c r="C252" s="19"/>
      <c r="D252" s="50" t="s">
        <v>1314</v>
      </c>
      <c r="E252" s="50" t="s">
        <v>1315</v>
      </c>
      <c r="F252" s="62" t="s">
        <v>2231</v>
      </c>
      <c r="G252" s="50" t="s">
        <v>1316</v>
      </c>
      <c r="H252" s="62" t="s">
        <v>2231</v>
      </c>
      <c r="I252" s="47" t="s">
        <v>1642</v>
      </c>
      <c r="J252" s="62" t="s">
        <v>1356</v>
      </c>
      <c r="K252" s="50" t="s">
        <v>1643</v>
      </c>
      <c r="L252" s="53" t="s">
        <v>1644</v>
      </c>
      <c r="M252" s="19"/>
      <c r="N252" s="19"/>
      <c r="O252" s="19"/>
      <c r="P252" s="19"/>
      <c r="Q252" s="50">
        <v>1.0</v>
      </c>
      <c r="R252" s="59">
        <v>46059.0</v>
      </c>
      <c r="S252" s="59">
        <v>46065.0</v>
      </c>
      <c r="T252" s="59">
        <v>46063.0</v>
      </c>
      <c r="U252" s="19"/>
      <c r="V252" s="50" t="s">
        <v>1321</v>
      </c>
      <c r="W252" s="19"/>
      <c r="X252" s="50" t="s">
        <v>12</v>
      </c>
      <c r="Y252" s="50" t="s">
        <v>1322</v>
      </c>
      <c r="Z252" s="50">
        <v>3.040236465E9</v>
      </c>
      <c r="AA252" s="50" t="s">
        <v>1463</v>
      </c>
      <c r="AB252" s="50" t="s">
        <v>1464</v>
      </c>
      <c r="AC252" s="50" t="s">
        <v>1645</v>
      </c>
      <c r="AD252" s="19"/>
      <c r="AE252" s="19"/>
      <c r="AF252" s="19"/>
      <c r="AG252" s="19"/>
    </row>
    <row r="253">
      <c r="A253" s="47">
        <f>COUNTIF('Divulgação'!$B:$B,B253)</f>
        <v>1</v>
      </c>
      <c r="B253" s="53" t="s">
        <v>835</v>
      </c>
      <c r="C253" s="19"/>
      <c r="D253" s="50" t="s">
        <v>1314</v>
      </c>
      <c r="E253" s="50" t="s">
        <v>1315</v>
      </c>
      <c r="F253" s="62" t="s">
        <v>2231</v>
      </c>
      <c r="G253" s="50" t="s">
        <v>1316</v>
      </c>
      <c r="H253" s="62" t="s">
        <v>2231</v>
      </c>
      <c r="I253" s="47" t="s">
        <v>1638</v>
      </c>
      <c r="J253" s="50" t="s">
        <v>48</v>
      </c>
      <c r="K253" s="50" t="s">
        <v>1639</v>
      </c>
      <c r="L253" s="47" t="s">
        <v>1640</v>
      </c>
      <c r="M253" s="19"/>
      <c r="N253" s="19"/>
      <c r="O253" s="19"/>
      <c r="P253" s="19"/>
      <c r="Q253" s="50">
        <v>1.0</v>
      </c>
      <c r="R253" s="59">
        <v>46059.0</v>
      </c>
      <c r="S253" s="59">
        <v>46065.0</v>
      </c>
      <c r="T253" s="59">
        <v>46063.0</v>
      </c>
      <c r="U253" s="19"/>
      <c r="V253" s="50" t="s">
        <v>1321</v>
      </c>
      <c r="W253" s="19"/>
      <c r="X253" s="50" t="s">
        <v>12</v>
      </c>
      <c r="Y253" s="50" t="s">
        <v>1322</v>
      </c>
      <c r="Z253" s="50">
        <v>3.040319124E9</v>
      </c>
      <c r="AA253" s="50" t="s">
        <v>15</v>
      </c>
      <c r="AB253" s="50" t="s">
        <v>1348</v>
      </c>
      <c r="AC253" s="50" t="s">
        <v>1641</v>
      </c>
      <c r="AD253" s="19"/>
      <c r="AE253" s="19"/>
      <c r="AF253" s="19"/>
      <c r="AG253" s="19"/>
    </row>
    <row r="254">
      <c r="A254" s="47">
        <f>COUNTIF('Divulgação'!$B:$B,B254)</f>
        <v>1</v>
      </c>
      <c r="B254" s="53" t="s">
        <v>837</v>
      </c>
      <c r="C254" s="19"/>
      <c r="D254" s="50" t="s">
        <v>1314</v>
      </c>
      <c r="E254" s="50" t="s">
        <v>1315</v>
      </c>
      <c r="F254" s="62" t="s">
        <v>2231</v>
      </c>
      <c r="G254" s="50" t="s">
        <v>1316</v>
      </c>
      <c r="H254" s="62" t="s">
        <v>2231</v>
      </c>
      <c r="I254" s="47" t="s">
        <v>2237</v>
      </c>
      <c r="J254" s="50" t="s">
        <v>48</v>
      </c>
      <c r="K254" s="50" t="s">
        <v>88</v>
      </c>
      <c r="L254" s="47" t="s">
        <v>2238</v>
      </c>
      <c r="M254" s="19"/>
      <c r="N254" s="19"/>
      <c r="O254" s="19"/>
      <c r="P254" s="19"/>
      <c r="Q254" s="50">
        <v>1.0</v>
      </c>
      <c r="R254" s="59">
        <v>46059.0</v>
      </c>
      <c r="S254" s="59">
        <v>46065.0</v>
      </c>
      <c r="T254" s="59">
        <v>46063.0</v>
      </c>
      <c r="U254" s="19"/>
      <c r="V254" s="50" t="s">
        <v>1321</v>
      </c>
      <c r="W254" s="19"/>
      <c r="X254" s="50" t="s">
        <v>12</v>
      </c>
      <c r="Y254" s="50" t="s">
        <v>1322</v>
      </c>
      <c r="Z254" s="50">
        <v>3.040306479E9</v>
      </c>
      <c r="AA254" s="50" t="s">
        <v>13</v>
      </c>
      <c r="AB254" s="50" t="s">
        <v>1377</v>
      </c>
      <c r="AC254" s="50" t="s">
        <v>1792</v>
      </c>
      <c r="AD254" s="19"/>
      <c r="AE254" s="19"/>
      <c r="AF254" s="19"/>
      <c r="AG254" s="19"/>
    </row>
    <row r="255">
      <c r="A255" s="47">
        <f>COUNTIF('Divulgação'!$B:$B,B255)</f>
        <v>1</v>
      </c>
      <c r="B255" s="53" t="s">
        <v>839</v>
      </c>
      <c r="C255" s="19"/>
      <c r="D255" s="50" t="s">
        <v>1314</v>
      </c>
      <c r="E255" s="50" t="s">
        <v>1315</v>
      </c>
      <c r="F255" s="62" t="s">
        <v>2231</v>
      </c>
      <c r="G255" s="50" t="s">
        <v>1316</v>
      </c>
      <c r="H255" s="62" t="s">
        <v>2231</v>
      </c>
      <c r="I255" s="47" t="s">
        <v>1646</v>
      </c>
      <c r="J255" s="50" t="s">
        <v>232</v>
      </c>
      <c r="K255" s="50" t="s">
        <v>1647</v>
      </c>
      <c r="L255" s="53" t="s">
        <v>1648</v>
      </c>
      <c r="M255" s="19"/>
      <c r="N255" s="19"/>
      <c r="O255" s="19"/>
      <c r="P255" s="19"/>
      <c r="Q255" s="50">
        <v>1.0</v>
      </c>
      <c r="R255" s="59">
        <v>46059.0</v>
      </c>
      <c r="S255" s="59">
        <v>46065.0</v>
      </c>
      <c r="T255" s="59">
        <v>46063.0</v>
      </c>
      <c r="U255" s="19"/>
      <c r="V255" s="50" t="s">
        <v>1321</v>
      </c>
      <c r="W255" s="19"/>
      <c r="X255" s="50" t="s">
        <v>12</v>
      </c>
      <c r="Y255" s="50" t="s">
        <v>1322</v>
      </c>
      <c r="Z255" s="50">
        <v>3.0403033E9</v>
      </c>
      <c r="AA255" s="50" t="s">
        <v>20</v>
      </c>
      <c r="AB255" s="50" t="s">
        <v>1649</v>
      </c>
      <c r="AC255" s="50" t="s">
        <v>1650</v>
      </c>
      <c r="AD255" s="19"/>
      <c r="AE255" s="19"/>
      <c r="AF255" s="19"/>
      <c r="AG255" s="19"/>
    </row>
    <row r="256">
      <c r="A256" s="47">
        <f>COUNTIF('Divulgação'!$B:$B,B256)</f>
        <v>1</v>
      </c>
      <c r="B256" s="53" t="s">
        <v>841</v>
      </c>
      <c r="C256" s="19"/>
      <c r="D256" s="50" t="s">
        <v>1314</v>
      </c>
      <c r="E256" s="50" t="s">
        <v>1315</v>
      </c>
      <c r="F256" s="62" t="s">
        <v>2231</v>
      </c>
      <c r="G256" s="50" t="s">
        <v>1316</v>
      </c>
      <c r="H256" s="62" t="s">
        <v>2231</v>
      </c>
      <c r="I256" s="47" t="s">
        <v>135</v>
      </c>
      <c r="J256" s="50" t="s">
        <v>232</v>
      </c>
      <c r="K256" s="50" t="s">
        <v>2239</v>
      </c>
      <c r="L256" s="53" t="s">
        <v>2240</v>
      </c>
      <c r="M256" s="19"/>
      <c r="N256" s="19"/>
      <c r="O256" s="19"/>
      <c r="P256" s="19"/>
      <c r="Q256" s="50">
        <v>1.0</v>
      </c>
      <c r="R256" s="59">
        <v>46059.0</v>
      </c>
      <c r="S256" s="59">
        <v>46065.0</v>
      </c>
      <c r="T256" s="59">
        <v>46063.0</v>
      </c>
      <c r="U256" s="19"/>
      <c r="V256" s="50" t="s">
        <v>1321</v>
      </c>
      <c r="W256" s="19"/>
      <c r="X256" s="50" t="s">
        <v>12</v>
      </c>
      <c r="Y256" s="50" t="s">
        <v>1322</v>
      </c>
      <c r="Z256" s="50">
        <v>3.040299947E9</v>
      </c>
      <c r="AA256" s="50" t="s">
        <v>16</v>
      </c>
      <c r="AB256" s="50" t="s">
        <v>1331</v>
      </c>
      <c r="AC256" s="50" t="s">
        <v>2127</v>
      </c>
      <c r="AD256" s="19"/>
      <c r="AE256" s="19"/>
      <c r="AF256" s="19"/>
      <c r="AG256" s="19"/>
    </row>
    <row r="257">
      <c r="A257" s="47">
        <f>COUNTIF('Divulgação'!$B:$B,B257)</f>
        <v>1</v>
      </c>
      <c r="B257" s="53" t="s">
        <v>843</v>
      </c>
      <c r="C257" s="19"/>
      <c r="D257" s="50" t="s">
        <v>1314</v>
      </c>
      <c r="E257" s="50" t="s">
        <v>1315</v>
      </c>
      <c r="F257" s="62" t="s">
        <v>2231</v>
      </c>
      <c r="G257" s="50" t="s">
        <v>1316</v>
      </c>
      <c r="H257" s="62" t="s">
        <v>2231</v>
      </c>
      <c r="I257" s="47" t="s">
        <v>135</v>
      </c>
      <c r="J257" s="50" t="s">
        <v>232</v>
      </c>
      <c r="K257" s="50" t="s">
        <v>2239</v>
      </c>
      <c r="L257" s="53" t="s">
        <v>2241</v>
      </c>
      <c r="M257" s="19"/>
      <c r="N257" s="19"/>
      <c r="O257" s="19"/>
      <c r="P257" s="19"/>
      <c r="Q257" s="50">
        <v>1.0</v>
      </c>
      <c r="R257" s="59">
        <v>46059.0</v>
      </c>
      <c r="S257" s="59">
        <v>46065.0</v>
      </c>
      <c r="T257" s="59">
        <v>46063.0</v>
      </c>
      <c r="U257" s="19"/>
      <c r="V257" s="50" t="s">
        <v>1321</v>
      </c>
      <c r="W257" s="19"/>
      <c r="X257" s="50" t="s">
        <v>12</v>
      </c>
      <c r="Y257" s="50" t="s">
        <v>1322</v>
      </c>
      <c r="Z257" s="50">
        <v>3.040302696E9</v>
      </c>
      <c r="AA257" s="50" t="s">
        <v>16</v>
      </c>
      <c r="AB257" s="50" t="s">
        <v>1331</v>
      </c>
      <c r="AC257" s="50" t="s">
        <v>2127</v>
      </c>
      <c r="AD257" s="19"/>
      <c r="AE257" s="19"/>
      <c r="AF257" s="19"/>
      <c r="AG257" s="19"/>
    </row>
    <row r="258">
      <c r="A258" s="47">
        <f>COUNTIF('Divulgação'!$B:$B,B258)</f>
        <v>1</v>
      </c>
      <c r="B258" s="53" t="s">
        <v>845</v>
      </c>
      <c r="C258" s="19"/>
      <c r="D258" s="50" t="s">
        <v>1314</v>
      </c>
      <c r="E258" s="50" t="s">
        <v>1315</v>
      </c>
      <c r="F258" s="62" t="s">
        <v>2231</v>
      </c>
      <c r="G258" s="50" t="s">
        <v>1316</v>
      </c>
      <c r="H258" s="62" t="s">
        <v>2231</v>
      </c>
      <c r="I258" s="47" t="s">
        <v>1631</v>
      </c>
      <c r="J258" s="62" t="s">
        <v>1318</v>
      </c>
      <c r="K258" s="50" t="s">
        <v>1632</v>
      </c>
      <c r="L258" s="53" t="s">
        <v>2242</v>
      </c>
      <c r="M258" s="19"/>
      <c r="N258" s="19"/>
      <c r="O258" s="19"/>
      <c r="P258" s="19"/>
      <c r="Q258" s="50">
        <v>1.0</v>
      </c>
      <c r="R258" s="59">
        <v>46059.0</v>
      </c>
      <c r="S258" s="59">
        <v>46065.0</v>
      </c>
      <c r="T258" s="59">
        <v>46063.0</v>
      </c>
      <c r="U258" s="19"/>
      <c r="V258" s="50" t="s">
        <v>1321</v>
      </c>
      <c r="W258" s="19"/>
      <c r="X258" s="50" t="s">
        <v>12</v>
      </c>
      <c r="Y258" s="50" t="s">
        <v>1322</v>
      </c>
      <c r="Z258" s="50">
        <v>3.040317899E9</v>
      </c>
      <c r="AA258" s="50" t="s">
        <v>1500</v>
      </c>
      <c r="AB258" s="50" t="s">
        <v>1537</v>
      </c>
      <c r="AC258" s="50" t="s">
        <v>2243</v>
      </c>
      <c r="AD258" s="19"/>
      <c r="AE258" s="19"/>
      <c r="AF258" s="19"/>
      <c r="AG258" s="19"/>
    </row>
    <row r="259">
      <c r="A259" s="47">
        <f>COUNTIF('Divulgação'!$B:$B,B259)</f>
        <v>1</v>
      </c>
      <c r="B259" s="53" t="s">
        <v>847</v>
      </c>
      <c r="C259" s="19"/>
      <c r="D259" s="50" t="s">
        <v>1314</v>
      </c>
      <c r="E259" s="50" t="s">
        <v>1315</v>
      </c>
      <c r="F259" s="62" t="s">
        <v>2231</v>
      </c>
      <c r="G259" s="50" t="s">
        <v>1316</v>
      </c>
      <c r="H259" s="62" t="s">
        <v>2231</v>
      </c>
      <c r="I259" s="47" t="s">
        <v>1931</v>
      </c>
      <c r="J259" s="62" t="s">
        <v>1318</v>
      </c>
      <c r="K259" s="50" t="s">
        <v>1782</v>
      </c>
      <c r="L259" s="53" t="s">
        <v>2244</v>
      </c>
      <c r="M259" s="19"/>
      <c r="N259" s="19"/>
      <c r="O259" s="19"/>
      <c r="P259" s="19"/>
      <c r="Q259" s="50">
        <v>1.0</v>
      </c>
      <c r="R259" s="59">
        <v>46059.0</v>
      </c>
      <c r="S259" s="59">
        <v>46065.0</v>
      </c>
      <c r="T259" s="59">
        <v>46063.0</v>
      </c>
      <c r="U259" s="19"/>
      <c r="V259" s="50" t="s">
        <v>1321</v>
      </c>
      <c r="W259" s="19"/>
      <c r="X259" s="50" t="s">
        <v>12</v>
      </c>
      <c r="Y259" s="50" t="s">
        <v>1322</v>
      </c>
      <c r="Z259" s="50">
        <v>3.0403117E9</v>
      </c>
      <c r="AA259" s="50" t="s">
        <v>17</v>
      </c>
      <c r="AB259" s="50" t="s">
        <v>1343</v>
      </c>
      <c r="AC259" s="50" t="s">
        <v>1508</v>
      </c>
      <c r="AD259" s="19"/>
      <c r="AE259" s="19"/>
      <c r="AF259" s="19"/>
      <c r="AG259" s="19"/>
    </row>
    <row r="260">
      <c r="A260" s="47">
        <f>COUNTIF('Divulgação'!$B:$B,B260)</f>
        <v>1</v>
      </c>
      <c r="B260" s="53" t="s">
        <v>849</v>
      </c>
      <c r="C260" s="19"/>
      <c r="D260" s="50" t="s">
        <v>1314</v>
      </c>
      <c r="E260" s="50" t="s">
        <v>1315</v>
      </c>
      <c r="F260" s="62" t="s">
        <v>2231</v>
      </c>
      <c r="G260" s="50" t="s">
        <v>1316</v>
      </c>
      <c r="H260" s="62" t="s">
        <v>2231</v>
      </c>
      <c r="I260" s="47" t="s">
        <v>119</v>
      </c>
      <c r="J260" s="62" t="s">
        <v>1318</v>
      </c>
      <c r="K260" s="50" t="s">
        <v>120</v>
      </c>
      <c r="L260" s="47" t="s">
        <v>1651</v>
      </c>
      <c r="M260" s="19"/>
      <c r="N260" s="19"/>
      <c r="O260" s="19"/>
      <c r="P260" s="19"/>
      <c r="Q260" s="50">
        <v>1.0</v>
      </c>
      <c r="R260" s="59">
        <v>46059.0</v>
      </c>
      <c r="S260" s="59">
        <v>46065.0</v>
      </c>
      <c r="T260" s="59">
        <v>46063.0</v>
      </c>
      <c r="U260" s="19"/>
      <c r="V260" s="50" t="s">
        <v>1321</v>
      </c>
      <c r="W260" s="19"/>
      <c r="X260" s="50" t="s">
        <v>12</v>
      </c>
      <c r="Y260" s="50" t="s">
        <v>1322</v>
      </c>
      <c r="Z260" s="50">
        <v>3.040318046E9</v>
      </c>
      <c r="AA260" s="50" t="s">
        <v>17</v>
      </c>
      <c r="AB260" s="50" t="s">
        <v>1458</v>
      </c>
      <c r="AC260" s="50" t="s">
        <v>1605</v>
      </c>
      <c r="AD260" s="19"/>
      <c r="AE260" s="19"/>
      <c r="AF260" s="19"/>
      <c r="AG260" s="19"/>
    </row>
    <row r="261">
      <c r="A261" s="47">
        <f>COUNTIF('Divulgação'!$B:$B,B261)</f>
        <v>1</v>
      </c>
      <c r="B261" s="53" t="s">
        <v>851</v>
      </c>
      <c r="C261" s="19"/>
      <c r="D261" s="50" t="s">
        <v>1314</v>
      </c>
      <c r="E261" s="50" t="s">
        <v>1315</v>
      </c>
      <c r="F261" s="62" t="s">
        <v>2231</v>
      </c>
      <c r="G261" s="50" t="s">
        <v>1316</v>
      </c>
      <c r="H261" s="62" t="s">
        <v>2231</v>
      </c>
      <c r="I261" s="47" t="s">
        <v>83</v>
      </c>
      <c r="J261" s="62" t="s">
        <v>1318</v>
      </c>
      <c r="K261" s="50" t="s">
        <v>84</v>
      </c>
      <c r="L261" s="53" t="s">
        <v>2245</v>
      </c>
      <c r="M261" s="19"/>
      <c r="N261" s="19"/>
      <c r="O261" s="19"/>
      <c r="P261" s="19"/>
      <c r="Q261" s="50">
        <v>1.0</v>
      </c>
      <c r="R261" s="59">
        <v>46059.0</v>
      </c>
      <c r="S261" s="59">
        <v>46065.0</v>
      </c>
      <c r="T261" s="59">
        <v>46063.0</v>
      </c>
      <c r="U261" s="19"/>
      <c r="V261" s="50" t="s">
        <v>1321</v>
      </c>
      <c r="W261" s="19"/>
      <c r="X261" s="50" t="s">
        <v>12</v>
      </c>
      <c r="Y261" s="50" t="s">
        <v>1322</v>
      </c>
      <c r="Z261" s="50">
        <v>3.040317878E9</v>
      </c>
      <c r="AA261" s="50" t="s">
        <v>1500</v>
      </c>
      <c r="AB261" s="50" t="s">
        <v>1537</v>
      </c>
      <c r="AC261" s="50" t="s">
        <v>2246</v>
      </c>
      <c r="AD261" s="19"/>
      <c r="AE261" s="19"/>
      <c r="AF261" s="19"/>
      <c r="AG261" s="19"/>
    </row>
    <row r="262">
      <c r="A262" s="47">
        <f>COUNTIF('Divulgação'!$B:$B,B262)</f>
        <v>1</v>
      </c>
      <c r="B262" s="53" t="s">
        <v>853</v>
      </c>
      <c r="C262" s="19"/>
      <c r="D262" s="50" t="s">
        <v>1314</v>
      </c>
      <c r="E262" s="50" t="s">
        <v>1315</v>
      </c>
      <c r="F262" s="62" t="s">
        <v>2231</v>
      </c>
      <c r="G262" s="50" t="s">
        <v>1316</v>
      </c>
      <c r="H262" s="62" t="s">
        <v>2231</v>
      </c>
      <c r="I262" s="47" t="s">
        <v>83</v>
      </c>
      <c r="J262" s="62" t="s">
        <v>1318</v>
      </c>
      <c r="K262" s="50" t="s">
        <v>84</v>
      </c>
      <c r="L262" s="53" t="s">
        <v>2247</v>
      </c>
      <c r="M262" s="19"/>
      <c r="N262" s="19"/>
      <c r="O262" s="19"/>
      <c r="P262" s="19"/>
      <c r="Q262" s="50">
        <v>1.0</v>
      </c>
      <c r="R262" s="59">
        <v>46059.0</v>
      </c>
      <c r="S262" s="59">
        <v>46065.0</v>
      </c>
      <c r="T262" s="59">
        <v>46063.0</v>
      </c>
      <c r="U262" s="19"/>
      <c r="V262" s="50" t="s">
        <v>1321</v>
      </c>
      <c r="W262" s="19"/>
      <c r="X262" s="50" t="s">
        <v>12</v>
      </c>
      <c r="Y262" s="50" t="s">
        <v>1322</v>
      </c>
      <c r="Z262" s="50">
        <v>3.040263619E9</v>
      </c>
      <c r="AA262" s="50" t="s">
        <v>1415</v>
      </c>
      <c r="AB262" s="50" t="s">
        <v>1416</v>
      </c>
      <c r="AC262" s="50" t="s">
        <v>1417</v>
      </c>
      <c r="AD262" s="19"/>
      <c r="AE262" s="19"/>
      <c r="AF262" s="19"/>
      <c r="AG262" s="19"/>
    </row>
    <row r="263">
      <c r="A263" s="47">
        <f>COUNTIF('Divulgação'!$B:$B,B263)</f>
        <v>1</v>
      </c>
      <c r="B263" s="53" t="s">
        <v>855</v>
      </c>
      <c r="C263" s="19"/>
      <c r="D263" s="50" t="s">
        <v>1314</v>
      </c>
      <c r="E263" s="50" t="s">
        <v>1315</v>
      </c>
      <c r="F263" s="62" t="s">
        <v>2231</v>
      </c>
      <c r="G263" s="50" t="s">
        <v>1316</v>
      </c>
      <c r="H263" s="62" t="s">
        <v>2231</v>
      </c>
      <c r="I263" s="47" t="s">
        <v>119</v>
      </c>
      <c r="J263" s="62" t="s">
        <v>1318</v>
      </c>
      <c r="K263" s="50" t="s">
        <v>120</v>
      </c>
      <c r="L263" s="53" t="s">
        <v>2248</v>
      </c>
      <c r="M263" s="19"/>
      <c r="N263" s="19"/>
      <c r="O263" s="19"/>
      <c r="P263" s="19"/>
      <c r="Q263" s="50">
        <v>1.0</v>
      </c>
      <c r="R263" s="59">
        <v>46059.0</v>
      </c>
      <c r="S263" s="59">
        <v>46065.0</v>
      </c>
      <c r="T263" s="59">
        <v>46063.0</v>
      </c>
      <c r="U263" s="19"/>
      <c r="V263" s="50" t="s">
        <v>1321</v>
      </c>
      <c r="W263" s="19"/>
      <c r="X263" s="50" t="s">
        <v>12</v>
      </c>
      <c r="Y263" s="50" t="s">
        <v>1322</v>
      </c>
      <c r="Z263" s="50">
        <v>3.040318047E9</v>
      </c>
      <c r="AA263" s="50" t="s">
        <v>17</v>
      </c>
      <c r="AB263" s="50" t="s">
        <v>1458</v>
      </c>
      <c r="AC263" s="50" t="s">
        <v>1605</v>
      </c>
      <c r="AD263" s="19"/>
      <c r="AE263" s="19"/>
      <c r="AF263" s="19"/>
      <c r="AG263" s="19"/>
    </row>
    <row r="264">
      <c r="A264" s="47">
        <f>COUNTIF('Divulgação'!$B:$B,B264)</f>
        <v>1</v>
      </c>
      <c r="B264" s="53" t="s">
        <v>857</v>
      </c>
      <c r="C264" s="19"/>
      <c r="D264" s="50" t="s">
        <v>1314</v>
      </c>
      <c r="E264" s="50" t="s">
        <v>1315</v>
      </c>
      <c r="F264" s="62" t="s">
        <v>2231</v>
      </c>
      <c r="G264" s="50" t="s">
        <v>1316</v>
      </c>
      <c r="H264" s="62" t="s">
        <v>2231</v>
      </c>
      <c r="I264" s="47" t="s">
        <v>1652</v>
      </c>
      <c r="J264" s="62" t="s">
        <v>1318</v>
      </c>
      <c r="K264" s="50" t="s">
        <v>1653</v>
      </c>
      <c r="L264" s="53" t="s">
        <v>1654</v>
      </c>
      <c r="M264" s="19"/>
      <c r="N264" s="19"/>
      <c r="O264" s="19"/>
      <c r="P264" s="19"/>
      <c r="Q264" s="50">
        <v>1.0</v>
      </c>
      <c r="R264" s="59">
        <v>46059.0</v>
      </c>
      <c r="S264" s="59">
        <v>46065.0</v>
      </c>
      <c r="T264" s="59">
        <v>46063.0</v>
      </c>
      <c r="U264" s="19"/>
      <c r="V264" s="50" t="s">
        <v>1321</v>
      </c>
      <c r="W264" s="19"/>
      <c r="X264" s="50" t="s">
        <v>12</v>
      </c>
      <c r="Y264" s="50" t="s">
        <v>1322</v>
      </c>
      <c r="Z264" s="50">
        <v>3.040290696E9</v>
      </c>
      <c r="AA264" s="50" t="s">
        <v>19</v>
      </c>
      <c r="AB264" s="50" t="s">
        <v>1402</v>
      </c>
      <c r="AC264" s="50" t="s">
        <v>1655</v>
      </c>
      <c r="AD264" s="19"/>
      <c r="AE264" s="19"/>
      <c r="AF264" s="19"/>
      <c r="AG264" s="19"/>
    </row>
    <row r="265">
      <c r="A265" s="47">
        <f>COUNTIF('Divulgação'!$B:$B,B265)</f>
        <v>1</v>
      </c>
      <c r="B265" s="53" t="s">
        <v>859</v>
      </c>
      <c r="C265" s="19"/>
      <c r="D265" s="50" t="s">
        <v>1314</v>
      </c>
      <c r="E265" s="50" t="s">
        <v>1315</v>
      </c>
      <c r="F265" s="62" t="s">
        <v>2231</v>
      </c>
      <c r="G265" s="50" t="s">
        <v>1316</v>
      </c>
      <c r="H265" s="62" t="s">
        <v>2231</v>
      </c>
      <c r="I265" s="47" t="s">
        <v>2249</v>
      </c>
      <c r="J265" s="62" t="s">
        <v>1318</v>
      </c>
      <c r="K265" s="50" t="s">
        <v>1782</v>
      </c>
      <c r="L265" s="53" t="s">
        <v>2250</v>
      </c>
      <c r="M265" s="19"/>
      <c r="N265" s="19"/>
      <c r="O265" s="19"/>
      <c r="P265" s="19"/>
      <c r="Q265" s="50">
        <v>1.0</v>
      </c>
      <c r="R265" s="59">
        <v>46059.0</v>
      </c>
      <c r="S265" s="59">
        <v>46065.0</v>
      </c>
      <c r="T265" s="59">
        <v>46063.0</v>
      </c>
      <c r="U265" s="19"/>
      <c r="V265" s="50" t="s">
        <v>1321</v>
      </c>
      <c r="W265" s="19"/>
      <c r="X265" s="50" t="s">
        <v>12</v>
      </c>
      <c r="Y265" s="50" t="s">
        <v>1322</v>
      </c>
      <c r="Z265" s="50">
        <v>3.040285468E9</v>
      </c>
      <c r="AA265" s="50" t="s">
        <v>22</v>
      </c>
      <c r="AB265" s="50" t="s">
        <v>1513</v>
      </c>
      <c r="AC265" s="50" t="s">
        <v>2251</v>
      </c>
      <c r="AD265" s="19"/>
      <c r="AE265" s="19"/>
      <c r="AF265" s="19"/>
      <c r="AG265" s="19"/>
    </row>
    <row r="266">
      <c r="A266" s="47">
        <f>COUNTIF('Divulgação'!$B:$B,B266)</f>
        <v>1</v>
      </c>
      <c r="B266" s="53" t="s">
        <v>861</v>
      </c>
      <c r="C266" s="19"/>
      <c r="D266" s="50" t="s">
        <v>1314</v>
      </c>
      <c r="E266" s="50" t="s">
        <v>1315</v>
      </c>
      <c r="F266" s="62" t="s">
        <v>2231</v>
      </c>
      <c r="G266" s="50" t="s">
        <v>1316</v>
      </c>
      <c r="H266" s="62" t="s">
        <v>2231</v>
      </c>
      <c r="I266" s="47" t="s">
        <v>199</v>
      </c>
      <c r="J266" s="62" t="s">
        <v>1318</v>
      </c>
      <c r="K266" s="50" t="s">
        <v>200</v>
      </c>
      <c r="L266" s="53" t="s">
        <v>1656</v>
      </c>
      <c r="M266" s="19"/>
      <c r="N266" s="19"/>
      <c r="O266" s="19"/>
      <c r="P266" s="19"/>
      <c r="Q266" s="50">
        <v>1.0</v>
      </c>
      <c r="R266" s="59">
        <v>46059.0</v>
      </c>
      <c r="S266" s="59">
        <v>46065.0</v>
      </c>
      <c r="T266" s="59">
        <v>46063.0</v>
      </c>
      <c r="U266" s="19"/>
      <c r="V266" s="50" t="s">
        <v>1321</v>
      </c>
      <c r="W266" s="19"/>
      <c r="X266" s="50" t="s">
        <v>12</v>
      </c>
      <c r="Y266" s="50" t="s">
        <v>1322</v>
      </c>
      <c r="Z266" s="50">
        <v>3.040313103E9</v>
      </c>
      <c r="AA266" s="50" t="s">
        <v>12</v>
      </c>
      <c r="AB266" s="50" t="s">
        <v>1322</v>
      </c>
      <c r="AC266" s="50" t="s">
        <v>1336</v>
      </c>
      <c r="AD266" s="19"/>
      <c r="AE266" s="19"/>
      <c r="AF266" s="19"/>
      <c r="AG266" s="19"/>
    </row>
    <row r="267">
      <c r="A267" s="47">
        <f>COUNTIF('Divulgação'!$B:$B,B267)</f>
        <v>1</v>
      </c>
      <c r="B267" s="53" t="s">
        <v>863</v>
      </c>
      <c r="C267" s="19"/>
      <c r="D267" s="50" t="s">
        <v>1314</v>
      </c>
      <c r="E267" s="50" t="s">
        <v>1315</v>
      </c>
      <c r="F267" s="62" t="s">
        <v>2231</v>
      </c>
      <c r="G267" s="50" t="s">
        <v>1316</v>
      </c>
      <c r="H267" s="62" t="s">
        <v>2231</v>
      </c>
      <c r="I267" s="47" t="s">
        <v>121</v>
      </c>
      <c r="J267" s="62" t="s">
        <v>1318</v>
      </c>
      <c r="K267" s="50" t="s">
        <v>122</v>
      </c>
      <c r="L267" s="53" t="s">
        <v>1657</v>
      </c>
      <c r="M267" s="19"/>
      <c r="N267" s="19"/>
      <c r="O267" s="19"/>
      <c r="P267" s="19"/>
      <c r="Q267" s="50">
        <v>1.0</v>
      </c>
      <c r="R267" s="59">
        <v>46059.0</v>
      </c>
      <c r="S267" s="59">
        <v>46065.0</v>
      </c>
      <c r="T267" s="59">
        <v>46063.0</v>
      </c>
      <c r="U267" s="19"/>
      <c r="V267" s="50" t="s">
        <v>1321</v>
      </c>
      <c r="W267" s="19"/>
      <c r="X267" s="50" t="s">
        <v>12</v>
      </c>
      <c r="Y267" s="50" t="s">
        <v>1322</v>
      </c>
      <c r="Z267" s="50">
        <v>3.040313099E9</v>
      </c>
      <c r="AA267" s="50" t="s">
        <v>12</v>
      </c>
      <c r="AB267" s="50" t="s">
        <v>1322</v>
      </c>
      <c r="AC267" s="50" t="s">
        <v>1434</v>
      </c>
      <c r="AD267" s="19"/>
      <c r="AE267" s="19"/>
      <c r="AF267" s="19"/>
      <c r="AG267" s="19"/>
    </row>
    <row r="268">
      <c r="A268" s="47">
        <f>COUNTIF('Divulgação'!$B:$B,B268)</f>
        <v>1</v>
      </c>
      <c r="B268" s="53" t="s">
        <v>865</v>
      </c>
      <c r="C268" s="19"/>
      <c r="D268" s="50" t="s">
        <v>1314</v>
      </c>
      <c r="E268" s="50" t="s">
        <v>1315</v>
      </c>
      <c r="F268" s="62" t="s">
        <v>2231</v>
      </c>
      <c r="G268" s="50" t="s">
        <v>1316</v>
      </c>
      <c r="H268" s="62" t="s">
        <v>2231</v>
      </c>
      <c r="I268" s="47" t="s">
        <v>1665</v>
      </c>
      <c r="J268" s="50" t="s">
        <v>1666</v>
      </c>
      <c r="K268" s="50" t="s">
        <v>1667</v>
      </c>
      <c r="L268" s="48"/>
      <c r="M268" s="19"/>
      <c r="N268" s="19"/>
      <c r="O268" s="19"/>
      <c r="P268" s="19"/>
      <c r="Q268" s="50">
        <v>1.0</v>
      </c>
      <c r="R268" s="59">
        <v>46059.0</v>
      </c>
      <c r="S268" s="59">
        <v>46065.0</v>
      </c>
      <c r="T268" s="59">
        <v>46063.0</v>
      </c>
      <c r="U268" s="19"/>
      <c r="V268" s="50" t="s">
        <v>1321</v>
      </c>
      <c r="W268" s="19"/>
      <c r="X268" s="50" t="s">
        <v>12</v>
      </c>
      <c r="Y268" s="50" t="s">
        <v>1322</v>
      </c>
      <c r="Z268" s="50">
        <v>3.040290772E9</v>
      </c>
      <c r="AA268" s="50" t="s">
        <v>16</v>
      </c>
      <c r="AB268" s="50" t="s">
        <v>1668</v>
      </c>
      <c r="AC268" s="50" t="s">
        <v>1669</v>
      </c>
      <c r="AD268" s="19"/>
      <c r="AE268" s="19"/>
      <c r="AF268" s="19"/>
      <c r="AG268" s="19"/>
    </row>
    <row r="269">
      <c r="A269" s="47">
        <f>COUNTIF('Divulgação'!$B:$B,B269)</f>
        <v>1</v>
      </c>
      <c r="B269" s="53" t="s">
        <v>867</v>
      </c>
      <c r="C269" s="19"/>
      <c r="D269" s="50" t="s">
        <v>1314</v>
      </c>
      <c r="E269" s="50" t="s">
        <v>1315</v>
      </c>
      <c r="F269" s="62" t="s">
        <v>2231</v>
      </c>
      <c r="G269" s="50" t="s">
        <v>1316</v>
      </c>
      <c r="H269" s="62" t="s">
        <v>2231</v>
      </c>
      <c r="I269" s="47" t="s">
        <v>1658</v>
      </c>
      <c r="J269" s="62" t="s">
        <v>1318</v>
      </c>
      <c r="K269" s="50" t="s">
        <v>90</v>
      </c>
      <c r="L269" s="47" t="s">
        <v>1659</v>
      </c>
      <c r="M269" s="19"/>
      <c r="N269" s="19"/>
      <c r="O269" s="19"/>
      <c r="P269" s="19"/>
      <c r="Q269" s="50">
        <v>1.0</v>
      </c>
      <c r="R269" s="59">
        <v>46059.0</v>
      </c>
      <c r="S269" s="59">
        <v>46059.0</v>
      </c>
      <c r="T269" s="59">
        <v>46063.0</v>
      </c>
      <c r="U269" s="19"/>
      <c r="V269" s="50" t="s">
        <v>1321</v>
      </c>
      <c r="W269" s="19"/>
      <c r="X269" s="50" t="s">
        <v>12</v>
      </c>
      <c r="Y269" s="50" t="s">
        <v>1322</v>
      </c>
      <c r="Z269" s="50">
        <v>3.040235957E9</v>
      </c>
      <c r="AA269" s="50" t="s">
        <v>1660</v>
      </c>
      <c r="AB269" s="50" t="s">
        <v>1328</v>
      </c>
      <c r="AC269" s="50" t="s">
        <v>1661</v>
      </c>
      <c r="AD269" s="19"/>
      <c r="AE269" s="19"/>
      <c r="AF269" s="19"/>
      <c r="AG269" s="19"/>
    </row>
    <row r="270">
      <c r="A270" s="47">
        <f>COUNTIF('Divulgação'!$B:$B,B270)</f>
        <v>1</v>
      </c>
      <c r="B270" s="53" t="s">
        <v>869</v>
      </c>
      <c r="C270" s="19"/>
      <c r="D270" s="50" t="s">
        <v>1314</v>
      </c>
      <c r="E270" s="50" t="s">
        <v>1315</v>
      </c>
      <c r="F270" s="62" t="s">
        <v>2231</v>
      </c>
      <c r="G270" s="50" t="s">
        <v>1316</v>
      </c>
      <c r="H270" s="62" t="s">
        <v>2231</v>
      </c>
      <c r="I270" s="47" t="s">
        <v>1519</v>
      </c>
      <c r="J270" s="62" t="s">
        <v>1318</v>
      </c>
      <c r="K270" s="50" t="s">
        <v>1520</v>
      </c>
      <c r="L270" s="53" t="s">
        <v>1662</v>
      </c>
      <c r="M270" s="19"/>
      <c r="N270" s="19"/>
      <c r="O270" s="19"/>
      <c r="P270" s="19"/>
      <c r="Q270" s="50">
        <v>1.0</v>
      </c>
      <c r="R270" s="59">
        <v>46059.0</v>
      </c>
      <c r="S270" s="59">
        <v>46065.0</v>
      </c>
      <c r="T270" s="59">
        <v>46063.0</v>
      </c>
      <c r="U270" s="19"/>
      <c r="V270" s="50" t="s">
        <v>1321</v>
      </c>
      <c r="W270" s="19"/>
      <c r="X270" s="50" t="s">
        <v>12</v>
      </c>
      <c r="Y270" s="50" t="s">
        <v>1322</v>
      </c>
      <c r="Z270" s="50">
        <v>3.040213471E9</v>
      </c>
      <c r="AA270" s="50" t="s">
        <v>1415</v>
      </c>
      <c r="AB270" s="50" t="s">
        <v>1663</v>
      </c>
      <c r="AC270" s="50" t="s">
        <v>1664</v>
      </c>
      <c r="AD270" s="19"/>
      <c r="AE270" s="19"/>
      <c r="AF270" s="19"/>
      <c r="AG270" s="19"/>
    </row>
    <row r="271">
      <c r="A271" s="47">
        <f>COUNTIF('Divulgação'!$B:$B,B271)</f>
        <v>1</v>
      </c>
      <c r="B271" s="53" t="s">
        <v>871</v>
      </c>
      <c r="C271" s="19"/>
      <c r="D271" s="50" t="s">
        <v>1314</v>
      </c>
      <c r="E271" s="50" t="s">
        <v>1315</v>
      </c>
      <c r="F271" s="62" t="s">
        <v>2231</v>
      </c>
      <c r="G271" s="50" t="s">
        <v>1316</v>
      </c>
      <c r="H271" s="62" t="s">
        <v>2231</v>
      </c>
      <c r="I271" s="47" t="s">
        <v>1818</v>
      </c>
      <c r="J271" s="50" t="s">
        <v>48</v>
      </c>
      <c r="K271" s="50" t="s">
        <v>1819</v>
      </c>
      <c r="L271" s="47" t="s">
        <v>2252</v>
      </c>
      <c r="M271" s="19"/>
      <c r="N271" s="19"/>
      <c r="O271" s="19"/>
      <c r="P271" s="19"/>
      <c r="Q271" s="50">
        <v>1.0</v>
      </c>
      <c r="R271" s="59">
        <v>46059.0</v>
      </c>
      <c r="S271" s="59">
        <v>46065.0</v>
      </c>
      <c r="T271" s="59">
        <v>46063.0</v>
      </c>
      <c r="U271" s="19"/>
      <c r="V271" s="50" t="s">
        <v>1321</v>
      </c>
      <c r="W271" s="19"/>
      <c r="X271" s="50" t="s">
        <v>12</v>
      </c>
      <c r="Y271" s="50" t="s">
        <v>1322</v>
      </c>
      <c r="Z271" s="50">
        <v>3.040322969E9</v>
      </c>
      <c r="AA271" s="50" t="s">
        <v>16</v>
      </c>
      <c r="AB271" s="50" t="s">
        <v>1668</v>
      </c>
      <c r="AC271" s="50" t="s">
        <v>1823</v>
      </c>
      <c r="AD271" s="19"/>
      <c r="AE271" s="19"/>
      <c r="AF271" s="19"/>
      <c r="AG271" s="19"/>
    </row>
    <row r="272">
      <c r="A272" s="47">
        <f>COUNTIF('Divulgação'!$B:$B,B272)</f>
        <v>1</v>
      </c>
      <c r="B272" s="53" t="s">
        <v>873</v>
      </c>
      <c r="C272" s="19"/>
      <c r="D272" s="50" t="s">
        <v>1314</v>
      </c>
      <c r="E272" s="50" t="s">
        <v>1315</v>
      </c>
      <c r="F272" s="62" t="s">
        <v>2231</v>
      </c>
      <c r="G272" s="50" t="s">
        <v>1316</v>
      </c>
      <c r="H272" s="62" t="s">
        <v>2231</v>
      </c>
      <c r="I272" s="47" t="s">
        <v>101</v>
      </c>
      <c r="J272" s="50" t="s">
        <v>48</v>
      </c>
      <c r="K272" s="50" t="s">
        <v>102</v>
      </c>
      <c r="L272" s="47" t="s">
        <v>2253</v>
      </c>
      <c r="M272" s="19"/>
      <c r="N272" s="19"/>
      <c r="O272" s="19"/>
      <c r="P272" s="19"/>
      <c r="Q272" s="50">
        <v>1.0</v>
      </c>
      <c r="R272" s="59">
        <v>46059.0</v>
      </c>
      <c r="S272" s="59">
        <v>46065.0</v>
      </c>
      <c r="T272" s="59">
        <v>46063.0</v>
      </c>
      <c r="U272" s="19"/>
      <c r="V272" s="50" t="s">
        <v>1321</v>
      </c>
      <c r="W272" s="19"/>
      <c r="X272" s="50" t="s">
        <v>12</v>
      </c>
      <c r="Y272" s="50" t="s">
        <v>1322</v>
      </c>
      <c r="Z272" s="50">
        <v>3.040306974E9</v>
      </c>
      <c r="AA272" s="50" t="s">
        <v>13</v>
      </c>
      <c r="AB272" s="50" t="s">
        <v>1447</v>
      </c>
      <c r="AC272" s="50" t="s">
        <v>2254</v>
      </c>
      <c r="AD272" s="19"/>
      <c r="AE272" s="19"/>
      <c r="AF272" s="19"/>
      <c r="AG272" s="19"/>
    </row>
    <row r="273">
      <c r="A273" s="47">
        <f>COUNTIF('Divulgação'!$B:$B,B273)</f>
        <v>1</v>
      </c>
      <c r="B273" s="53" t="s">
        <v>875</v>
      </c>
      <c r="C273" s="19"/>
      <c r="D273" s="50" t="s">
        <v>1314</v>
      </c>
      <c r="E273" s="50" t="s">
        <v>1315</v>
      </c>
      <c r="F273" s="62" t="s">
        <v>2231</v>
      </c>
      <c r="G273" s="50" t="s">
        <v>1316</v>
      </c>
      <c r="H273" s="62" t="s">
        <v>2231</v>
      </c>
      <c r="I273" s="47" t="s">
        <v>2255</v>
      </c>
      <c r="J273" s="50" t="s">
        <v>48</v>
      </c>
      <c r="K273" s="50" t="s">
        <v>2256</v>
      </c>
      <c r="L273" s="53" t="s">
        <v>2257</v>
      </c>
      <c r="M273" s="19"/>
      <c r="N273" s="19"/>
      <c r="O273" s="19"/>
      <c r="P273" s="19"/>
      <c r="Q273" s="50">
        <v>1.0</v>
      </c>
      <c r="R273" s="59">
        <v>46059.0</v>
      </c>
      <c r="S273" s="59">
        <v>46065.0</v>
      </c>
      <c r="T273" s="59">
        <v>46063.0</v>
      </c>
      <c r="U273" s="19"/>
      <c r="V273" s="50" t="s">
        <v>1321</v>
      </c>
      <c r="W273" s="19"/>
      <c r="X273" s="50" t="s">
        <v>12</v>
      </c>
      <c r="Y273" s="50" t="s">
        <v>1322</v>
      </c>
      <c r="Z273" s="50">
        <v>3.04031672E9</v>
      </c>
      <c r="AA273" s="50" t="s">
        <v>12</v>
      </c>
      <c r="AB273" s="50" t="s">
        <v>1322</v>
      </c>
      <c r="AC273" s="50" t="s">
        <v>1369</v>
      </c>
      <c r="AD273" s="19"/>
      <c r="AE273" s="19"/>
      <c r="AF273" s="19"/>
      <c r="AG273" s="19"/>
    </row>
    <row r="274">
      <c r="A274" s="47">
        <f>COUNTIF('Divulgação'!$B:$B,B274)</f>
        <v>1</v>
      </c>
      <c r="B274" s="53" t="s">
        <v>877</v>
      </c>
      <c r="C274" s="19"/>
      <c r="D274" s="50" t="s">
        <v>1314</v>
      </c>
      <c r="E274" s="50" t="s">
        <v>1315</v>
      </c>
      <c r="F274" s="62" t="s">
        <v>2231</v>
      </c>
      <c r="G274" s="50" t="s">
        <v>1316</v>
      </c>
      <c r="H274" s="62" t="s">
        <v>2231</v>
      </c>
      <c r="I274" s="47" t="s">
        <v>1670</v>
      </c>
      <c r="J274" s="50" t="s">
        <v>48</v>
      </c>
      <c r="K274" s="50" t="s">
        <v>1671</v>
      </c>
      <c r="L274" s="47" t="s">
        <v>2258</v>
      </c>
      <c r="M274" s="19"/>
      <c r="N274" s="19"/>
      <c r="O274" s="19"/>
      <c r="P274" s="19"/>
      <c r="Q274" s="50">
        <v>1.0</v>
      </c>
      <c r="R274" s="59">
        <v>46059.0</v>
      </c>
      <c r="S274" s="59">
        <v>46065.0</v>
      </c>
      <c r="T274" s="59">
        <v>46063.0</v>
      </c>
      <c r="U274" s="19"/>
      <c r="V274" s="50" t="s">
        <v>1347</v>
      </c>
      <c r="W274" s="50">
        <v>3.13260017682E11</v>
      </c>
      <c r="X274" s="50" t="s">
        <v>12</v>
      </c>
      <c r="Y274" s="50" t="s">
        <v>1322</v>
      </c>
      <c r="Z274" s="50">
        <v>3.040308426E9</v>
      </c>
      <c r="AA274" s="50" t="s">
        <v>14</v>
      </c>
      <c r="AB274" s="50" t="s">
        <v>1447</v>
      </c>
      <c r="AC274" s="50" t="s">
        <v>2259</v>
      </c>
      <c r="AD274" s="19"/>
      <c r="AE274" s="19"/>
      <c r="AF274" s="19"/>
      <c r="AG274" s="19"/>
    </row>
    <row r="275">
      <c r="A275" s="47">
        <f>COUNTIF('Divulgação'!$B:$B,B275)</f>
        <v>1</v>
      </c>
      <c r="B275" s="53" t="s">
        <v>879</v>
      </c>
      <c r="C275" s="19"/>
      <c r="D275" s="50" t="s">
        <v>1314</v>
      </c>
      <c r="E275" s="50" t="s">
        <v>1315</v>
      </c>
      <c r="F275" s="62" t="s">
        <v>2231</v>
      </c>
      <c r="G275" s="50" t="s">
        <v>1316</v>
      </c>
      <c r="H275" s="62" t="s">
        <v>2231</v>
      </c>
      <c r="I275" s="47" t="s">
        <v>1670</v>
      </c>
      <c r="J275" s="50" t="s">
        <v>48</v>
      </c>
      <c r="K275" s="50" t="s">
        <v>1671</v>
      </c>
      <c r="L275" s="47" t="s">
        <v>1672</v>
      </c>
      <c r="M275" s="19"/>
      <c r="N275" s="19"/>
      <c r="O275" s="19"/>
      <c r="P275" s="19"/>
      <c r="Q275" s="50">
        <v>1.0</v>
      </c>
      <c r="R275" s="59">
        <v>46059.0</v>
      </c>
      <c r="S275" s="59">
        <v>46065.0</v>
      </c>
      <c r="T275" s="59">
        <v>46063.0</v>
      </c>
      <c r="U275" s="19"/>
      <c r="V275" s="50" t="s">
        <v>1321</v>
      </c>
      <c r="W275" s="19"/>
      <c r="X275" s="50" t="s">
        <v>12</v>
      </c>
      <c r="Y275" s="50" t="s">
        <v>1322</v>
      </c>
      <c r="Z275" s="50">
        <v>3.040319739E9</v>
      </c>
      <c r="AA275" s="50" t="s">
        <v>17</v>
      </c>
      <c r="AB275" s="50" t="s">
        <v>1553</v>
      </c>
      <c r="AC275" s="50" t="s">
        <v>1554</v>
      </c>
      <c r="AD275" s="19"/>
      <c r="AE275" s="19"/>
      <c r="AF275" s="19"/>
      <c r="AG275" s="19"/>
    </row>
    <row r="276">
      <c r="A276" s="47">
        <f>COUNTIF('Divulgação'!$B:$B,B276)</f>
        <v>1</v>
      </c>
      <c r="B276" s="53" t="s">
        <v>881</v>
      </c>
      <c r="C276" s="19"/>
      <c r="D276" s="50" t="s">
        <v>1314</v>
      </c>
      <c r="E276" s="50" t="s">
        <v>1315</v>
      </c>
      <c r="F276" s="62" t="s">
        <v>2231</v>
      </c>
      <c r="G276" s="50" t="s">
        <v>1316</v>
      </c>
      <c r="H276" s="62" t="s">
        <v>2231</v>
      </c>
      <c r="I276" s="47" t="s">
        <v>1673</v>
      </c>
      <c r="J276" s="62" t="s">
        <v>1524</v>
      </c>
      <c r="K276" s="50" t="s">
        <v>1674</v>
      </c>
      <c r="L276" s="53" t="s">
        <v>1675</v>
      </c>
      <c r="M276" s="19"/>
      <c r="N276" s="19"/>
      <c r="O276" s="19"/>
      <c r="P276" s="19"/>
      <c r="Q276" s="50">
        <v>1.0</v>
      </c>
      <c r="R276" s="59">
        <v>46059.0</v>
      </c>
      <c r="S276" s="59">
        <v>46089.0</v>
      </c>
      <c r="T276" s="59">
        <v>46063.0</v>
      </c>
      <c r="U276" s="19"/>
      <c r="V276" s="50" t="s">
        <v>1321</v>
      </c>
      <c r="W276" s="19"/>
      <c r="X276" s="50" t="s">
        <v>12</v>
      </c>
      <c r="Y276" s="50" t="s">
        <v>1322</v>
      </c>
      <c r="Z276" s="50">
        <v>3.040317907E9</v>
      </c>
      <c r="AA276" s="50" t="s">
        <v>1500</v>
      </c>
      <c r="AB276" s="50" t="s">
        <v>1537</v>
      </c>
      <c r="AC276" s="50" t="s">
        <v>1502</v>
      </c>
      <c r="AD276" s="19"/>
      <c r="AE276" s="19"/>
      <c r="AF276" s="19"/>
      <c r="AG276" s="19"/>
    </row>
    <row r="277">
      <c r="A277" s="47">
        <f>COUNTIF('Divulgação'!$B:$B,B277)</f>
        <v>1</v>
      </c>
      <c r="B277" s="53" t="s">
        <v>883</v>
      </c>
      <c r="C277" s="19"/>
      <c r="D277" s="50" t="s">
        <v>1314</v>
      </c>
      <c r="E277" s="50" t="s">
        <v>1315</v>
      </c>
      <c r="F277" s="62" t="s">
        <v>2260</v>
      </c>
      <c r="G277" s="50" t="s">
        <v>1316</v>
      </c>
      <c r="H277" s="62" t="s">
        <v>2260</v>
      </c>
      <c r="I277" s="47" t="s">
        <v>1676</v>
      </c>
      <c r="J277" s="62" t="s">
        <v>1509</v>
      </c>
      <c r="K277" s="50" t="s">
        <v>1677</v>
      </c>
      <c r="L277" s="53" t="s">
        <v>1678</v>
      </c>
      <c r="M277" s="19"/>
      <c r="N277" s="19"/>
      <c r="O277" s="19"/>
      <c r="P277" s="19"/>
      <c r="Q277" s="50">
        <v>1.0</v>
      </c>
      <c r="R277" s="59">
        <v>46076.0</v>
      </c>
      <c r="S277" s="59">
        <v>46080.0</v>
      </c>
      <c r="T277" s="59">
        <v>46077.0</v>
      </c>
      <c r="U277" s="19"/>
      <c r="V277" s="50" t="s">
        <v>1321</v>
      </c>
      <c r="W277" s="19"/>
      <c r="X277" s="50" t="s">
        <v>12</v>
      </c>
      <c r="Y277" s="50" t="s">
        <v>1322</v>
      </c>
      <c r="Z277" s="50">
        <v>3.040295557E9</v>
      </c>
      <c r="AA277" s="50" t="s">
        <v>16</v>
      </c>
      <c r="AB277" s="50" t="s">
        <v>1331</v>
      </c>
      <c r="AC277" s="50" t="s">
        <v>1679</v>
      </c>
      <c r="AD277" s="19"/>
      <c r="AE277" s="19"/>
      <c r="AF277" s="19"/>
      <c r="AG277" s="19"/>
    </row>
    <row r="278">
      <c r="A278" s="47">
        <f>COUNTIF('Divulgação'!$B:$B,B278)</f>
        <v>1</v>
      </c>
      <c r="B278" s="53" t="s">
        <v>885</v>
      </c>
      <c r="C278" s="19"/>
      <c r="D278" s="50" t="s">
        <v>1314</v>
      </c>
      <c r="E278" s="50" t="s">
        <v>1315</v>
      </c>
      <c r="F278" s="62" t="s">
        <v>2260</v>
      </c>
      <c r="G278" s="50" t="s">
        <v>1316</v>
      </c>
      <c r="H278" s="62" t="s">
        <v>2260</v>
      </c>
      <c r="I278" s="47" t="s">
        <v>1676</v>
      </c>
      <c r="J278" s="62" t="s">
        <v>1509</v>
      </c>
      <c r="K278" s="50" t="s">
        <v>1677</v>
      </c>
      <c r="L278" s="53" t="s">
        <v>1680</v>
      </c>
      <c r="M278" s="19"/>
      <c r="N278" s="19"/>
      <c r="O278" s="19"/>
      <c r="P278" s="19"/>
      <c r="Q278" s="50">
        <v>1.0</v>
      </c>
      <c r="R278" s="59">
        <v>46076.0</v>
      </c>
      <c r="S278" s="59">
        <v>46080.0</v>
      </c>
      <c r="T278" s="59">
        <v>46077.0</v>
      </c>
      <c r="U278" s="19"/>
      <c r="V278" s="50" t="s">
        <v>1321</v>
      </c>
      <c r="W278" s="19"/>
      <c r="X278" s="50" t="s">
        <v>12</v>
      </c>
      <c r="Y278" s="50" t="s">
        <v>1322</v>
      </c>
      <c r="Z278" s="50">
        <v>3.040298638E9</v>
      </c>
      <c r="AA278" s="50" t="s">
        <v>13</v>
      </c>
      <c r="AB278" s="50" t="s">
        <v>1377</v>
      </c>
      <c r="AC278" s="50" t="s">
        <v>1681</v>
      </c>
      <c r="AD278" s="19"/>
      <c r="AE278" s="19"/>
      <c r="AF278" s="19"/>
      <c r="AG278" s="19"/>
    </row>
    <row r="279">
      <c r="A279" s="47">
        <f>COUNTIF('Divulgação'!$B:$B,B279)</f>
        <v>1</v>
      </c>
      <c r="B279" s="53" t="s">
        <v>887</v>
      </c>
      <c r="C279" s="19"/>
      <c r="D279" s="50" t="s">
        <v>1314</v>
      </c>
      <c r="E279" s="50" t="s">
        <v>1315</v>
      </c>
      <c r="F279" s="62" t="s">
        <v>2261</v>
      </c>
      <c r="G279" s="50" t="s">
        <v>1316</v>
      </c>
      <c r="H279" s="62" t="s">
        <v>2261</v>
      </c>
      <c r="I279" s="47" t="s">
        <v>1682</v>
      </c>
      <c r="J279" s="50" t="s">
        <v>48</v>
      </c>
      <c r="K279" s="50" t="s">
        <v>168</v>
      </c>
      <c r="L279" s="53" t="s">
        <v>1683</v>
      </c>
      <c r="M279" s="19"/>
      <c r="N279" s="19"/>
      <c r="O279" s="19"/>
      <c r="P279" s="19"/>
      <c r="Q279" s="50">
        <v>1.0</v>
      </c>
      <c r="R279" s="59">
        <v>46084.0</v>
      </c>
      <c r="S279" s="59">
        <v>46090.0</v>
      </c>
      <c r="T279" s="59">
        <v>46085.0</v>
      </c>
      <c r="U279" s="19"/>
      <c r="V279" s="50" t="s">
        <v>1321</v>
      </c>
      <c r="W279" s="19"/>
      <c r="X279" s="50" t="s">
        <v>12</v>
      </c>
      <c r="Y279" s="50" t="s">
        <v>1322</v>
      </c>
      <c r="Z279" s="50">
        <v>3.040318072E9</v>
      </c>
      <c r="AA279" s="50" t="s">
        <v>13</v>
      </c>
      <c r="AB279" s="50" t="s">
        <v>1377</v>
      </c>
      <c r="AC279" s="50" t="s">
        <v>1684</v>
      </c>
      <c r="AD279" s="19"/>
      <c r="AE279" s="19"/>
      <c r="AF279" s="19"/>
      <c r="AG279" s="19"/>
    </row>
    <row r="280">
      <c r="A280" s="47">
        <f>COUNTIF('Divulgação'!$B:$B,B280)</f>
        <v>1</v>
      </c>
      <c r="B280" s="53" t="s">
        <v>889</v>
      </c>
      <c r="C280" s="19"/>
      <c r="D280" s="50" t="s">
        <v>1314</v>
      </c>
      <c r="E280" s="50" t="s">
        <v>1315</v>
      </c>
      <c r="F280" s="62" t="s">
        <v>2261</v>
      </c>
      <c r="G280" s="50" t="s">
        <v>1316</v>
      </c>
      <c r="H280" s="62" t="s">
        <v>2261</v>
      </c>
      <c r="I280" s="47" t="s">
        <v>1682</v>
      </c>
      <c r="J280" s="50" t="s">
        <v>48</v>
      </c>
      <c r="K280" s="50" t="s">
        <v>168</v>
      </c>
      <c r="L280" s="53" t="s">
        <v>1685</v>
      </c>
      <c r="M280" s="19"/>
      <c r="N280" s="19"/>
      <c r="O280" s="19"/>
      <c r="P280" s="19"/>
      <c r="Q280" s="50">
        <v>1.0</v>
      </c>
      <c r="R280" s="59">
        <v>46084.0</v>
      </c>
      <c r="S280" s="59">
        <v>46090.0</v>
      </c>
      <c r="T280" s="59">
        <v>46085.0</v>
      </c>
      <c r="U280" s="19"/>
      <c r="V280" s="50" t="s">
        <v>1321</v>
      </c>
      <c r="W280" s="19"/>
      <c r="X280" s="50" t="s">
        <v>12</v>
      </c>
      <c r="Y280" s="50" t="s">
        <v>1322</v>
      </c>
      <c r="Z280" s="50">
        <v>3.040323058E9</v>
      </c>
      <c r="AA280" s="50" t="s">
        <v>13</v>
      </c>
      <c r="AB280" s="50" t="s">
        <v>1377</v>
      </c>
      <c r="AC280" s="50" t="s">
        <v>1686</v>
      </c>
      <c r="AD280" s="19"/>
      <c r="AE280" s="19"/>
      <c r="AF280" s="19"/>
      <c r="AG280" s="19"/>
    </row>
    <row r="281">
      <c r="A281" s="47">
        <f>COUNTIF('Divulgação'!$B:$B,B281)</f>
        <v>1</v>
      </c>
      <c r="B281" s="53" t="s">
        <v>891</v>
      </c>
      <c r="C281" s="19"/>
      <c r="D281" s="50" t="s">
        <v>1314</v>
      </c>
      <c r="E281" s="50" t="s">
        <v>1315</v>
      </c>
      <c r="F281" s="62" t="s">
        <v>2262</v>
      </c>
      <c r="G281" s="50" t="s">
        <v>1316</v>
      </c>
      <c r="H281" s="62" t="s">
        <v>2262</v>
      </c>
      <c r="I281" s="53" t="s">
        <v>1333</v>
      </c>
      <c r="J281" s="62" t="s">
        <v>2024</v>
      </c>
      <c r="K281" s="50" t="s">
        <v>1334</v>
      </c>
      <c r="L281" s="53" t="s">
        <v>2263</v>
      </c>
      <c r="M281" s="19"/>
      <c r="N281" s="19"/>
      <c r="O281" s="19"/>
      <c r="P281" s="19"/>
      <c r="Q281" s="50">
        <v>1.0</v>
      </c>
      <c r="R281" s="59">
        <v>46084.0</v>
      </c>
      <c r="S281" s="59">
        <v>46090.0</v>
      </c>
      <c r="T281" s="59">
        <v>46090.0</v>
      </c>
      <c r="U281" s="19"/>
      <c r="V281" s="50" t="s">
        <v>1321</v>
      </c>
      <c r="W281" s="19"/>
      <c r="X281" s="50" t="s">
        <v>12</v>
      </c>
      <c r="Y281" s="50" t="s">
        <v>1322</v>
      </c>
      <c r="Z281" s="50">
        <v>3.040323964E9</v>
      </c>
      <c r="AA281" s="50" t="s">
        <v>12</v>
      </c>
      <c r="AB281" s="50" t="s">
        <v>1322</v>
      </c>
      <c r="AC281" s="50" t="s">
        <v>1369</v>
      </c>
      <c r="AD281" s="19"/>
      <c r="AE281" s="19"/>
      <c r="AF281" s="19"/>
      <c r="AG281" s="19"/>
    </row>
    <row r="282">
      <c r="A282" s="47">
        <f>COUNTIF('Divulgação'!$B:$B,B282)</f>
        <v>1</v>
      </c>
      <c r="B282" s="53" t="s">
        <v>655</v>
      </c>
      <c r="C282" s="19"/>
      <c r="D282" s="50" t="s">
        <v>1314</v>
      </c>
      <c r="E282" s="50" t="s">
        <v>2007</v>
      </c>
      <c r="F282" s="62" t="s">
        <v>2264</v>
      </c>
      <c r="G282" s="50" t="s">
        <v>1316</v>
      </c>
      <c r="H282" s="19"/>
      <c r="I282" s="47" t="s">
        <v>63</v>
      </c>
      <c r="J282" s="62" t="s">
        <v>1395</v>
      </c>
      <c r="K282" s="50" t="s">
        <v>1432</v>
      </c>
      <c r="L282" s="47" t="s">
        <v>1966</v>
      </c>
      <c r="M282" s="19"/>
      <c r="N282" s="19"/>
      <c r="O282" s="19"/>
      <c r="P282" s="19"/>
      <c r="Q282" s="50">
        <v>1.0</v>
      </c>
      <c r="R282" s="59">
        <v>45910.0</v>
      </c>
      <c r="S282" s="61">
        <v>45971.0</v>
      </c>
      <c r="T282" s="19"/>
      <c r="U282" s="19"/>
      <c r="V282" s="50" t="s">
        <v>1321</v>
      </c>
      <c r="W282" s="19"/>
      <c r="X282" s="50" t="s">
        <v>12</v>
      </c>
      <c r="Y282" s="50" t="s">
        <v>1322</v>
      </c>
      <c r="Z282" s="50">
        <v>3.040245069E9</v>
      </c>
      <c r="AA282" s="50" t="s">
        <v>1364</v>
      </c>
      <c r="AB282" s="50" t="s">
        <v>1528</v>
      </c>
      <c r="AC282" s="50" t="s">
        <v>1529</v>
      </c>
      <c r="AD282" s="19"/>
      <c r="AE282" s="19"/>
      <c r="AF282" s="19"/>
      <c r="AG282" s="19"/>
    </row>
    <row r="283">
      <c r="A283" s="47">
        <f>COUNTIF('Divulgação'!$B:$B,B283)</f>
        <v>1</v>
      </c>
      <c r="B283" s="53" t="s">
        <v>803</v>
      </c>
      <c r="C283" s="19"/>
      <c r="D283" s="50" t="s">
        <v>1314</v>
      </c>
      <c r="E283" s="50" t="s">
        <v>2007</v>
      </c>
      <c r="F283" s="62" t="s">
        <v>2209</v>
      </c>
      <c r="G283" s="50" t="s">
        <v>1316</v>
      </c>
      <c r="H283" s="19"/>
      <c r="I283" s="47" t="s">
        <v>143</v>
      </c>
      <c r="J283" s="62" t="s">
        <v>2164</v>
      </c>
      <c r="K283" s="47" t="s">
        <v>1625</v>
      </c>
      <c r="L283" s="47" t="s">
        <v>1736</v>
      </c>
      <c r="M283" s="19"/>
      <c r="N283" s="19"/>
      <c r="O283" s="19"/>
      <c r="P283" s="19"/>
      <c r="Q283" s="50">
        <v>1.0</v>
      </c>
      <c r="R283" s="59">
        <v>46028.0</v>
      </c>
      <c r="S283" s="59">
        <v>46034.0</v>
      </c>
      <c r="T283" s="19"/>
      <c r="U283" s="19"/>
      <c r="V283" s="50" t="s">
        <v>1321</v>
      </c>
      <c r="W283" s="19"/>
      <c r="X283" s="50" t="s">
        <v>12</v>
      </c>
      <c r="Y283" s="50" t="s">
        <v>1322</v>
      </c>
      <c r="Z283" s="50">
        <v>3.040322306E9</v>
      </c>
      <c r="AA283" s="50" t="s">
        <v>12</v>
      </c>
      <c r="AB283" s="50" t="s">
        <v>1322</v>
      </c>
      <c r="AC283" s="50" t="s">
        <v>1369</v>
      </c>
      <c r="AD283" s="19"/>
      <c r="AE283" s="19"/>
      <c r="AF283" s="19"/>
      <c r="AG283" s="19"/>
    </row>
    <row r="284">
      <c r="A284" s="47">
        <f>COUNTIF('Divulgação'!$B:$B,B284)</f>
        <v>1</v>
      </c>
      <c r="B284" s="47" t="s">
        <v>893</v>
      </c>
      <c r="C284" s="19"/>
      <c r="D284" s="50" t="s">
        <v>1314</v>
      </c>
      <c r="E284" s="50" t="s">
        <v>1315</v>
      </c>
      <c r="F284" s="59">
        <v>46100.0</v>
      </c>
      <c r="G284" s="50" t="s">
        <v>1316</v>
      </c>
      <c r="H284" s="59">
        <v>46100.0</v>
      </c>
      <c r="I284" s="47" t="s">
        <v>1805</v>
      </c>
      <c r="J284" s="50">
        <v>95270.0</v>
      </c>
      <c r="K284" s="50" t="s">
        <v>1718</v>
      </c>
      <c r="L284" s="47" t="s">
        <v>2265</v>
      </c>
      <c r="M284" s="19"/>
      <c r="N284" s="19"/>
      <c r="O284" s="19"/>
      <c r="P284" s="19"/>
      <c r="Q284" s="50">
        <v>1.0</v>
      </c>
      <c r="R284" s="59">
        <v>46098.0</v>
      </c>
      <c r="S284" s="59">
        <v>46104.0</v>
      </c>
      <c r="T284" s="59">
        <v>46100.0</v>
      </c>
      <c r="U284" s="19"/>
      <c r="V284" s="50" t="s">
        <v>1321</v>
      </c>
      <c r="W284" s="19"/>
      <c r="X284" s="50" t="s">
        <v>12</v>
      </c>
      <c r="Y284" s="50" t="s">
        <v>1322</v>
      </c>
      <c r="Z284" s="50">
        <v>3.040299711E9</v>
      </c>
      <c r="AA284" s="50" t="s">
        <v>16</v>
      </c>
      <c r="AB284" s="50" t="s">
        <v>1331</v>
      </c>
      <c r="AC284" s="50" t="s">
        <v>1906</v>
      </c>
      <c r="AD284" s="19"/>
      <c r="AE284" s="19"/>
      <c r="AF284" s="19"/>
      <c r="AG284" s="19"/>
    </row>
    <row r="285">
      <c r="A285" s="47">
        <f>COUNTIF('Divulgação'!$B:$B,B285)</f>
        <v>1</v>
      </c>
      <c r="B285" s="47" t="s">
        <v>895</v>
      </c>
      <c r="C285" s="19"/>
      <c r="D285" s="50" t="s">
        <v>1314</v>
      </c>
      <c r="E285" s="50" t="s">
        <v>1315</v>
      </c>
      <c r="F285" s="59">
        <v>46100.0</v>
      </c>
      <c r="G285" s="50" t="s">
        <v>1316</v>
      </c>
      <c r="H285" s="59">
        <v>46100.0</v>
      </c>
      <c r="I285" s="47" t="s">
        <v>1805</v>
      </c>
      <c r="J285" s="50">
        <v>95270.0</v>
      </c>
      <c r="K285" s="50" t="s">
        <v>1718</v>
      </c>
      <c r="L285" s="47" t="s">
        <v>2266</v>
      </c>
      <c r="M285" s="19"/>
      <c r="N285" s="19"/>
      <c r="O285" s="19"/>
      <c r="P285" s="19"/>
      <c r="Q285" s="50">
        <v>1.0</v>
      </c>
      <c r="R285" s="59">
        <v>46098.0</v>
      </c>
      <c r="S285" s="59">
        <v>46104.0</v>
      </c>
      <c r="T285" s="59">
        <v>46100.0</v>
      </c>
      <c r="U285" s="19"/>
      <c r="V285" s="50" t="s">
        <v>1321</v>
      </c>
      <c r="W285" s="19"/>
      <c r="X285" s="50" t="s">
        <v>12</v>
      </c>
      <c r="Y285" s="50" t="s">
        <v>1322</v>
      </c>
      <c r="Z285" s="50">
        <v>3.040310949E9</v>
      </c>
      <c r="AA285" s="50" t="s">
        <v>16</v>
      </c>
      <c r="AB285" s="50" t="s">
        <v>1331</v>
      </c>
      <c r="AC285" s="50" t="s">
        <v>1452</v>
      </c>
      <c r="AD285" s="19"/>
      <c r="AE285" s="19"/>
      <c r="AF285" s="19"/>
      <c r="AG285" s="19"/>
    </row>
    <row r="286">
      <c r="A286" s="47">
        <f>COUNTIF('Divulgação'!$B:$B,B286)</f>
        <v>1</v>
      </c>
      <c r="B286" s="47" t="s">
        <v>897</v>
      </c>
      <c r="C286" s="19"/>
      <c r="D286" s="50" t="s">
        <v>1314</v>
      </c>
      <c r="E286" s="50" t="s">
        <v>1315</v>
      </c>
      <c r="F286" s="59">
        <v>46100.0</v>
      </c>
      <c r="G286" s="50" t="s">
        <v>1316</v>
      </c>
      <c r="H286" s="59">
        <v>46100.0</v>
      </c>
      <c r="I286" s="47" t="s">
        <v>1596</v>
      </c>
      <c r="J286" s="50">
        <v>32108.0</v>
      </c>
      <c r="K286" s="50" t="s">
        <v>1598</v>
      </c>
      <c r="L286" s="47" t="s">
        <v>2267</v>
      </c>
      <c r="M286" s="19"/>
      <c r="N286" s="19"/>
      <c r="O286" s="19"/>
      <c r="P286" s="19"/>
      <c r="Q286" s="50">
        <v>1.0</v>
      </c>
      <c r="R286" s="59">
        <v>46099.0</v>
      </c>
      <c r="S286" s="59">
        <v>46105.0</v>
      </c>
      <c r="T286" s="59">
        <v>46100.0</v>
      </c>
      <c r="U286" s="19"/>
      <c r="V286" s="50" t="s">
        <v>1321</v>
      </c>
      <c r="W286" s="19"/>
      <c r="X286" s="50" t="s">
        <v>12</v>
      </c>
      <c r="Y286" s="50" t="s">
        <v>1322</v>
      </c>
      <c r="Z286" s="50">
        <v>3.040323367E9</v>
      </c>
      <c r="AA286" s="50" t="s">
        <v>13</v>
      </c>
      <c r="AB286" s="50" t="s">
        <v>1380</v>
      </c>
      <c r="AC286" s="50" t="s">
        <v>1574</v>
      </c>
      <c r="AD286" s="19"/>
      <c r="AE286" s="19"/>
      <c r="AF286" s="19"/>
      <c r="AG286" s="19"/>
    </row>
    <row r="287">
      <c r="A287" s="47">
        <f>COUNTIF('Divulgação'!$B:$B,B287)</f>
        <v>1</v>
      </c>
      <c r="B287" s="47" t="s">
        <v>899</v>
      </c>
      <c r="C287" s="19"/>
      <c r="D287" s="50" t="s">
        <v>1314</v>
      </c>
      <c r="E287" s="50" t="s">
        <v>1315</v>
      </c>
      <c r="F287" s="59">
        <v>46100.0</v>
      </c>
      <c r="G287" s="50" t="s">
        <v>1316</v>
      </c>
      <c r="H287" s="59">
        <v>46100.0</v>
      </c>
      <c r="I287" s="47" t="s">
        <v>1596</v>
      </c>
      <c r="J287" s="50">
        <v>32108.0</v>
      </c>
      <c r="K287" s="50" t="s">
        <v>1598</v>
      </c>
      <c r="L287" s="47" t="s">
        <v>2268</v>
      </c>
      <c r="M287" s="19"/>
      <c r="N287" s="19"/>
      <c r="O287" s="19"/>
      <c r="P287" s="19"/>
      <c r="Q287" s="50">
        <v>1.0</v>
      </c>
      <c r="R287" s="59">
        <v>46099.0</v>
      </c>
      <c r="S287" s="59">
        <v>46105.0</v>
      </c>
      <c r="T287" s="59">
        <v>46100.0</v>
      </c>
      <c r="U287" s="19"/>
      <c r="V287" s="50" t="s">
        <v>1321</v>
      </c>
      <c r="W287" s="19"/>
      <c r="X287" s="50" t="s">
        <v>12</v>
      </c>
      <c r="Y287" s="50" t="s">
        <v>1322</v>
      </c>
      <c r="Z287" s="50">
        <v>3.040324098E9</v>
      </c>
      <c r="AA287" s="50" t="s">
        <v>17</v>
      </c>
      <c r="AB287" s="50" t="s">
        <v>1458</v>
      </c>
      <c r="AC287" s="50" t="s">
        <v>2269</v>
      </c>
      <c r="AD287" s="19"/>
      <c r="AE287" s="19"/>
      <c r="AF287" s="19"/>
      <c r="AG287" s="19"/>
    </row>
    <row r="288">
      <c r="A288" s="47">
        <f>COUNTIF('Divulgação'!$B:$B,B288)</f>
        <v>1</v>
      </c>
      <c r="B288" s="47" t="s">
        <v>901</v>
      </c>
      <c r="C288" s="19"/>
      <c r="D288" s="50" t="s">
        <v>1314</v>
      </c>
      <c r="E288" s="50" t="s">
        <v>1315</v>
      </c>
      <c r="F288" s="59">
        <v>46107.0</v>
      </c>
      <c r="G288" s="50" t="s">
        <v>1316</v>
      </c>
      <c r="H288" s="59">
        <v>46107.0</v>
      </c>
      <c r="I288" s="47" t="s">
        <v>95</v>
      </c>
      <c r="J288" s="50">
        <v>22373.0</v>
      </c>
      <c r="K288" s="50" t="s">
        <v>1751</v>
      </c>
      <c r="L288" s="47" t="s">
        <v>2270</v>
      </c>
      <c r="M288" s="19"/>
      <c r="N288" s="19"/>
      <c r="O288" s="19"/>
      <c r="P288" s="19"/>
      <c r="Q288" s="50">
        <v>1.0</v>
      </c>
      <c r="R288" s="59">
        <v>46105.0</v>
      </c>
      <c r="S288" s="59">
        <v>46111.0</v>
      </c>
      <c r="T288" s="59">
        <v>46107.0</v>
      </c>
      <c r="U288" s="19"/>
      <c r="V288" s="50" t="s">
        <v>1321</v>
      </c>
      <c r="W288" s="19"/>
      <c r="X288" s="50" t="s">
        <v>12</v>
      </c>
      <c r="Y288" s="50" t="s">
        <v>1322</v>
      </c>
      <c r="Z288" s="50">
        <v>3.04022468E9</v>
      </c>
      <c r="AA288" s="50" t="s">
        <v>1372</v>
      </c>
      <c r="AB288" s="50" t="s">
        <v>1373</v>
      </c>
      <c r="AC288" s="50" t="s">
        <v>1780</v>
      </c>
      <c r="AD288" s="19"/>
      <c r="AE288" s="19"/>
      <c r="AF288" s="19"/>
      <c r="AG288" s="19"/>
    </row>
    <row r="289">
      <c r="A289" s="47">
        <f>COUNTIF('Divulgação'!$B:$B,B289)</f>
        <v>1</v>
      </c>
      <c r="B289" s="47" t="s">
        <v>903</v>
      </c>
      <c r="C289" s="19"/>
      <c r="D289" s="50" t="s">
        <v>1314</v>
      </c>
      <c r="E289" s="50" t="s">
        <v>1315</v>
      </c>
      <c r="F289" s="59">
        <v>46107.0</v>
      </c>
      <c r="G289" s="50" t="s">
        <v>1316</v>
      </c>
      <c r="H289" s="59">
        <v>46107.0</v>
      </c>
      <c r="I289" s="47" t="s">
        <v>95</v>
      </c>
      <c r="J289" s="50">
        <v>22373.0</v>
      </c>
      <c r="K289" s="50" t="s">
        <v>1751</v>
      </c>
      <c r="L289" s="47" t="s">
        <v>2271</v>
      </c>
      <c r="M289" s="19"/>
      <c r="N289" s="19"/>
      <c r="O289" s="19"/>
      <c r="P289" s="19"/>
      <c r="Q289" s="50">
        <v>1.0</v>
      </c>
      <c r="R289" s="59">
        <v>46105.0</v>
      </c>
      <c r="S289" s="59">
        <v>46111.0</v>
      </c>
      <c r="T289" s="59">
        <v>46107.0</v>
      </c>
      <c r="U289" s="19"/>
      <c r="V289" s="50" t="s">
        <v>1321</v>
      </c>
      <c r="W289" s="19"/>
      <c r="X289" s="50" t="s">
        <v>12</v>
      </c>
      <c r="Y289" s="50" t="s">
        <v>1322</v>
      </c>
      <c r="Z289" s="50">
        <v>3.040237213E9</v>
      </c>
      <c r="AA289" s="50" t="s">
        <v>1376</v>
      </c>
      <c r="AB289" s="50" t="s">
        <v>1380</v>
      </c>
      <c r="AC289" s="50" t="s">
        <v>1473</v>
      </c>
      <c r="AD289" s="19"/>
      <c r="AE289" s="19"/>
      <c r="AF289" s="19"/>
      <c r="AG289" s="19"/>
    </row>
    <row r="290">
      <c r="A290" s="47">
        <f>COUNTIF('Divulgação'!$B:$B,B290)</f>
        <v>1</v>
      </c>
      <c r="B290" s="47" t="s">
        <v>905</v>
      </c>
      <c r="C290" s="19"/>
      <c r="D290" s="50" t="s">
        <v>1314</v>
      </c>
      <c r="E290" s="50" t="s">
        <v>1315</v>
      </c>
      <c r="F290" s="59">
        <v>46107.0</v>
      </c>
      <c r="G290" s="50" t="s">
        <v>1316</v>
      </c>
      <c r="H290" s="59">
        <v>46107.0</v>
      </c>
      <c r="I290" s="47" t="s">
        <v>95</v>
      </c>
      <c r="J290" s="50">
        <v>22373.0</v>
      </c>
      <c r="K290" s="50" t="s">
        <v>1751</v>
      </c>
      <c r="L290" s="47" t="s">
        <v>2272</v>
      </c>
      <c r="M290" s="19"/>
      <c r="N290" s="19"/>
      <c r="O290" s="19"/>
      <c r="P290" s="19"/>
      <c r="Q290" s="50">
        <v>1.0</v>
      </c>
      <c r="R290" s="59">
        <v>46105.0</v>
      </c>
      <c r="S290" s="59">
        <v>46111.0</v>
      </c>
      <c r="T290" s="59">
        <v>46107.0</v>
      </c>
      <c r="U290" s="19"/>
      <c r="V290" s="50" t="s">
        <v>1347</v>
      </c>
      <c r="W290" s="50">
        <v>3.96260016181E11</v>
      </c>
      <c r="X290" s="50" t="s">
        <v>12</v>
      </c>
      <c r="Y290" s="50" t="s">
        <v>1322</v>
      </c>
      <c r="Z290" s="50">
        <v>3.040244666E9</v>
      </c>
      <c r="AA290" s="50" t="s">
        <v>21</v>
      </c>
      <c r="AB290" s="50" t="s">
        <v>1359</v>
      </c>
      <c r="AC290" s="50" t="s">
        <v>1383</v>
      </c>
      <c r="AD290" s="19"/>
      <c r="AE290" s="19"/>
      <c r="AF290" s="19"/>
      <c r="AG290" s="19"/>
    </row>
    <row r="291">
      <c r="A291" s="47">
        <f>COUNTIF('Divulgação'!$B:$B,B291)</f>
        <v>1</v>
      </c>
      <c r="B291" s="47" t="s">
        <v>907</v>
      </c>
      <c r="C291" s="19"/>
      <c r="D291" s="50" t="s">
        <v>1314</v>
      </c>
      <c r="E291" s="50" t="s">
        <v>1315</v>
      </c>
      <c r="F291" s="59">
        <v>46107.0</v>
      </c>
      <c r="G291" s="50" t="s">
        <v>1316</v>
      </c>
      <c r="H291" s="59">
        <v>46107.0</v>
      </c>
      <c r="I291" s="47" t="s">
        <v>1606</v>
      </c>
      <c r="J291" s="50" t="s">
        <v>48</v>
      </c>
      <c r="K291" s="50" t="s">
        <v>168</v>
      </c>
      <c r="L291" s="47" t="s">
        <v>2273</v>
      </c>
      <c r="M291" s="19"/>
      <c r="N291" s="19"/>
      <c r="O291" s="19"/>
      <c r="P291" s="19"/>
      <c r="Q291" s="50">
        <v>1.0</v>
      </c>
      <c r="R291" s="59">
        <v>46105.0</v>
      </c>
      <c r="S291" s="59">
        <v>46111.0</v>
      </c>
      <c r="T291" s="59">
        <v>46107.0</v>
      </c>
      <c r="U291" s="19"/>
      <c r="V291" s="50" t="s">
        <v>1321</v>
      </c>
      <c r="W291" s="19"/>
      <c r="X291" s="50" t="s">
        <v>12</v>
      </c>
      <c r="Y291" s="50" t="s">
        <v>1322</v>
      </c>
      <c r="Z291" s="50">
        <v>3.040323916E9</v>
      </c>
      <c r="AA291" s="50" t="s">
        <v>17</v>
      </c>
      <c r="AB291" s="50" t="s">
        <v>1458</v>
      </c>
      <c r="AC291" s="50" t="s">
        <v>1810</v>
      </c>
      <c r="AD291" s="19"/>
      <c r="AE291" s="19"/>
      <c r="AF291" s="19"/>
      <c r="AG291" s="19"/>
    </row>
    <row r="292">
      <c r="A292" s="47">
        <f>COUNTIF('Divulgação'!$B:$B,B292)</f>
        <v>1</v>
      </c>
      <c r="B292" s="47" t="s">
        <v>909</v>
      </c>
      <c r="C292" s="19"/>
      <c r="D292" s="50" t="s">
        <v>1314</v>
      </c>
      <c r="E292" s="50" t="s">
        <v>1315</v>
      </c>
      <c r="F292" s="59">
        <v>46107.0</v>
      </c>
      <c r="G292" s="50" t="s">
        <v>1316</v>
      </c>
      <c r="H292" s="59">
        <v>46107.0</v>
      </c>
      <c r="I292" s="47" t="s">
        <v>167</v>
      </c>
      <c r="J292" s="50">
        <v>71379.0</v>
      </c>
      <c r="K292" s="50" t="s">
        <v>168</v>
      </c>
      <c r="L292" s="47" t="s">
        <v>1688</v>
      </c>
      <c r="M292" s="19"/>
      <c r="N292" s="19"/>
      <c r="O292" s="19"/>
      <c r="P292" s="19"/>
      <c r="Q292" s="50">
        <v>1.0</v>
      </c>
      <c r="R292" s="59">
        <v>46105.0</v>
      </c>
      <c r="S292" s="59">
        <v>46111.0</v>
      </c>
      <c r="T292" s="59">
        <v>46107.0</v>
      </c>
      <c r="U292" s="19"/>
      <c r="V292" s="50" t="s">
        <v>1321</v>
      </c>
      <c r="W292" s="19"/>
      <c r="X292" s="50" t="s">
        <v>12</v>
      </c>
      <c r="Y292" s="50" t="s">
        <v>1322</v>
      </c>
      <c r="Z292" s="50">
        <v>3.040323917E9</v>
      </c>
      <c r="AA292" s="50" t="s">
        <v>17</v>
      </c>
      <c r="AB292" s="50" t="s">
        <v>1458</v>
      </c>
      <c r="AC292" s="50" t="s">
        <v>1689</v>
      </c>
      <c r="AD292" s="19"/>
      <c r="AE292" s="19"/>
      <c r="AF292" s="19"/>
      <c r="AG292" s="19"/>
    </row>
    <row r="293">
      <c r="A293" s="47">
        <f>COUNTIF('Divulgação'!$B:$B,B293)</f>
        <v>1</v>
      </c>
      <c r="B293" s="47" t="s">
        <v>911</v>
      </c>
      <c r="C293" s="19"/>
      <c r="D293" s="50" t="s">
        <v>1314</v>
      </c>
      <c r="E293" s="50" t="s">
        <v>1315</v>
      </c>
      <c r="F293" s="59">
        <v>46112.0</v>
      </c>
      <c r="G293" s="50" t="s">
        <v>1316</v>
      </c>
      <c r="H293" s="59">
        <v>46112.0</v>
      </c>
      <c r="I293" s="47" t="s">
        <v>83</v>
      </c>
      <c r="J293" s="50">
        <v>22373.0</v>
      </c>
      <c r="K293" s="50" t="s">
        <v>84</v>
      </c>
      <c r="L293" s="47" t="s">
        <v>1690</v>
      </c>
      <c r="M293" s="19"/>
      <c r="N293" s="19"/>
      <c r="O293" s="19"/>
      <c r="P293" s="19"/>
      <c r="Q293" s="50">
        <v>1.0</v>
      </c>
      <c r="R293" s="59">
        <v>46108.0</v>
      </c>
      <c r="S293" s="59">
        <v>46114.0</v>
      </c>
      <c r="T293" s="59">
        <v>46112.0</v>
      </c>
      <c r="U293" s="19"/>
      <c r="V293" s="50" t="s">
        <v>1321</v>
      </c>
      <c r="W293" s="19"/>
      <c r="X293" s="50" t="s">
        <v>12</v>
      </c>
      <c r="Y293" s="50" t="s">
        <v>1322</v>
      </c>
      <c r="Z293" s="50">
        <v>3.040238083E9</v>
      </c>
      <c r="AA293" s="50" t="s">
        <v>1376</v>
      </c>
      <c r="AB293" s="50" t="s">
        <v>1380</v>
      </c>
      <c r="AC293" s="50" t="s">
        <v>1473</v>
      </c>
      <c r="AD293" s="19"/>
      <c r="AE293" s="19"/>
      <c r="AF293" s="19"/>
      <c r="AG293" s="19"/>
    </row>
    <row r="294">
      <c r="A294" s="47">
        <f>COUNTIF('Divulgação'!$B:$B,B294)</f>
        <v>1</v>
      </c>
      <c r="B294" s="47" t="s">
        <v>913</v>
      </c>
      <c r="C294" s="19"/>
      <c r="D294" s="50" t="s">
        <v>1314</v>
      </c>
      <c r="E294" s="50" t="s">
        <v>1315</v>
      </c>
      <c r="F294" s="59">
        <v>46125.0</v>
      </c>
      <c r="G294" s="50" t="s">
        <v>1316</v>
      </c>
      <c r="H294" s="59">
        <v>46125.0</v>
      </c>
      <c r="I294" s="47" t="s">
        <v>1691</v>
      </c>
      <c r="J294" s="50">
        <v>81205.0</v>
      </c>
      <c r="K294" s="50" t="s">
        <v>1693</v>
      </c>
      <c r="L294" s="47" t="s">
        <v>1694</v>
      </c>
      <c r="M294" s="19"/>
      <c r="N294" s="19"/>
      <c r="O294" s="19"/>
      <c r="P294" s="19"/>
      <c r="Q294" s="50">
        <v>1.0</v>
      </c>
      <c r="R294" s="59">
        <v>46120.0</v>
      </c>
      <c r="S294" s="59">
        <v>46126.0</v>
      </c>
      <c r="T294" s="59">
        <v>46125.0</v>
      </c>
      <c r="U294" s="19"/>
      <c r="V294" s="50" t="s">
        <v>1321</v>
      </c>
      <c r="W294" s="19"/>
      <c r="X294" s="50" t="s">
        <v>12</v>
      </c>
      <c r="Y294" s="50" t="s">
        <v>1322</v>
      </c>
      <c r="Z294" s="50">
        <v>3.040269806E9</v>
      </c>
      <c r="AA294" s="50" t="s">
        <v>1372</v>
      </c>
      <c r="AB294" s="50" t="s">
        <v>1695</v>
      </c>
      <c r="AC294" s="50" t="s">
        <v>1696</v>
      </c>
      <c r="AD294" s="19"/>
      <c r="AE294" s="19"/>
      <c r="AF294" s="19"/>
      <c r="AG294" s="19"/>
    </row>
    <row r="295">
      <c r="A295" s="47">
        <f>COUNTIF('Divulgação'!$B:$B,B295)</f>
        <v>1</v>
      </c>
      <c r="B295" s="47" t="s">
        <v>915</v>
      </c>
      <c r="C295" s="19"/>
      <c r="D295" s="50" t="s">
        <v>1314</v>
      </c>
      <c r="E295" s="50" t="s">
        <v>1315</v>
      </c>
      <c r="F295" s="59">
        <v>46125.0</v>
      </c>
      <c r="G295" s="50" t="s">
        <v>1316</v>
      </c>
      <c r="H295" s="59">
        <v>46125.0</v>
      </c>
      <c r="I295" s="47" t="s">
        <v>1698</v>
      </c>
      <c r="J295" s="50">
        <v>54905.0</v>
      </c>
      <c r="K295" s="50" t="s">
        <v>1700</v>
      </c>
      <c r="L295" s="47" t="s">
        <v>1701</v>
      </c>
      <c r="M295" s="19"/>
      <c r="N295" s="19"/>
      <c r="O295" s="19"/>
      <c r="P295" s="19"/>
      <c r="Q295" s="50">
        <v>1.0</v>
      </c>
      <c r="R295" s="59">
        <v>46120.0</v>
      </c>
      <c r="S295" s="59">
        <v>46126.0</v>
      </c>
      <c r="T295" s="59">
        <v>46125.0</v>
      </c>
      <c r="U295" s="19"/>
      <c r="V295" s="50" t="s">
        <v>1321</v>
      </c>
      <c r="W295" s="19"/>
      <c r="X295" s="50" t="s">
        <v>12</v>
      </c>
      <c r="Y295" s="50" t="s">
        <v>1322</v>
      </c>
      <c r="Z295" s="50">
        <v>3.04030408E9</v>
      </c>
      <c r="AA295" s="50" t="s">
        <v>17</v>
      </c>
      <c r="AB295" s="50" t="s">
        <v>1702</v>
      </c>
      <c r="AC295" s="50" t="s">
        <v>1703</v>
      </c>
      <c r="AD295" s="19"/>
      <c r="AE295" s="19"/>
      <c r="AF295" s="19"/>
      <c r="AG295" s="19"/>
    </row>
    <row r="296">
      <c r="A296" s="47">
        <f>COUNTIF('Divulgação'!$B:$B,B296)</f>
        <v>1</v>
      </c>
      <c r="B296" s="47" t="s">
        <v>917</v>
      </c>
      <c r="C296" s="19"/>
      <c r="D296" s="50" t="s">
        <v>1314</v>
      </c>
      <c r="E296" s="50" t="s">
        <v>1315</v>
      </c>
      <c r="F296" s="59">
        <v>46125.0</v>
      </c>
      <c r="G296" s="50" t="s">
        <v>1316</v>
      </c>
      <c r="H296" s="59">
        <v>46125.0</v>
      </c>
      <c r="I296" s="47" t="s">
        <v>1698</v>
      </c>
      <c r="J296" s="50">
        <v>54905.0</v>
      </c>
      <c r="K296" s="50" t="s">
        <v>1700</v>
      </c>
      <c r="L296" s="47" t="s">
        <v>2274</v>
      </c>
      <c r="M296" s="19"/>
      <c r="N296" s="19"/>
      <c r="O296" s="19"/>
      <c r="P296" s="19"/>
      <c r="Q296" s="50">
        <v>1.0</v>
      </c>
      <c r="R296" s="59">
        <v>46120.0</v>
      </c>
      <c r="S296" s="59">
        <v>46126.0</v>
      </c>
      <c r="T296" s="59">
        <v>46125.0</v>
      </c>
      <c r="U296" s="19"/>
      <c r="V296" s="50" t="s">
        <v>1321</v>
      </c>
      <c r="W296" s="19"/>
      <c r="X296" s="50" t="s">
        <v>12</v>
      </c>
      <c r="Y296" s="50" t="s">
        <v>1322</v>
      </c>
      <c r="Z296" s="50">
        <v>3.040304081E9</v>
      </c>
      <c r="AA296" s="50" t="s">
        <v>17</v>
      </c>
      <c r="AB296" s="50" t="s">
        <v>1702</v>
      </c>
      <c r="AC296" s="50" t="s">
        <v>1703</v>
      </c>
      <c r="AD296" s="19"/>
      <c r="AE296" s="19"/>
      <c r="AF296" s="19"/>
      <c r="AG296" s="19"/>
    </row>
    <row r="297">
      <c r="A297" s="47">
        <f>COUNTIF('Divulgação'!$B:$B,B297)</f>
        <v>1</v>
      </c>
      <c r="B297" s="47" t="s">
        <v>919</v>
      </c>
      <c r="C297" s="19"/>
      <c r="D297" s="50" t="s">
        <v>1314</v>
      </c>
      <c r="E297" s="50" t="s">
        <v>1315</v>
      </c>
      <c r="F297" s="59">
        <v>46125.0</v>
      </c>
      <c r="G297" s="50" t="s">
        <v>1316</v>
      </c>
      <c r="H297" s="59">
        <v>46125.0</v>
      </c>
      <c r="I297" s="47" t="s">
        <v>1698</v>
      </c>
      <c r="J297" s="50">
        <v>54905.0</v>
      </c>
      <c r="K297" s="50" t="s">
        <v>1700</v>
      </c>
      <c r="L297" s="47" t="s">
        <v>2275</v>
      </c>
      <c r="M297" s="19"/>
      <c r="N297" s="19"/>
      <c r="O297" s="19"/>
      <c r="P297" s="19"/>
      <c r="Q297" s="50">
        <v>1.0</v>
      </c>
      <c r="R297" s="59">
        <v>46120.0</v>
      </c>
      <c r="S297" s="59">
        <v>46126.0</v>
      </c>
      <c r="T297" s="59">
        <v>46125.0</v>
      </c>
      <c r="U297" s="19"/>
      <c r="V297" s="50" t="s">
        <v>1321</v>
      </c>
      <c r="W297" s="19"/>
      <c r="X297" s="50" t="s">
        <v>12</v>
      </c>
      <c r="Y297" s="50" t="s">
        <v>1322</v>
      </c>
      <c r="Z297" s="50">
        <v>3.040322049E9</v>
      </c>
      <c r="AA297" s="50" t="s">
        <v>12</v>
      </c>
      <c r="AB297" s="50" t="s">
        <v>1385</v>
      </c>
      <c r="AC297" s="50" t="s">
        <v>1815</v>
      </c>
      <c r="AD297" s="19"/>
      <c r="AE297" s="19"/>
      <c r="AF297" s="19"/>
      <c r="AG297" s="19"/>
    </row>
    <row r="298">
      <c r="A298" s="47">
        <f>COUNTIF('Divulgação'!$B:$B,B298)</f>
        <v>1</v>
      </c>
      <c r="B298" s="47" t="s">
        <v>921</v>
      </c>
      <c r="C298" s="19"/>
      <c r="D298" s="50" t="s">
        <v>1314</v>
      </c>
      <c r="E298" s="50" t="s">
        <v>1315</v>
      </c>
      <c r="F298" s="59">
        <v>46125.0</v>
      </c>
      <c r="G298" s="50" t="s">
        <v>1316</v>
      </c>
      <c r="H298" s="59">
        <v>46125.0</v>
      </c>
      <c r="I298" s="47" t="s">
        <v>161</v>
      </c>
      <c r="J298" s="50" t="s">
        <v>232</v>
      </c>
      <c r="K298" s="50" t="s">
        <v>162</v>
      </c>
      <c r="L298" s="47" t="s">
        <v>2276</v>
      </c>
      <c r="M298" s="19"/>
      <c r="N298" s="19"/>
      <c r="O298" s="19"/>
      <c r="P298" s="19"/>
      <c r="Q298" s="50">
        <v>1.0</v>
      </c>
      <c r="R298" s="59">
        <v>46121.0</v>
      </c>
      <c r="S298" s="59">
        <v>46127.0</v>
      </c>
      <c r="T298" s="59">
        <v>46125.0</v>
      </c>
      <c r="U298" s="19"/>
      <c r="V298" s="50" t="s">
        <v>1321</v>
      </c>
      <c r="W298" s="19"/>
      <c r="X298" s="50" t="s">
        <v>12</v>
      </c>
      <c r="Y298" s="50" t="s">
        <v>1322</v>
      </c>
      <c r="Z298" s="50">
        <v>3.040322206E9</v>
      </c>
      <c r="AA298" s="50" t="s">
        <v>16</v>
      </c>
      <c r="AB298" s="50" t="s">
        <v>1331</v>
      </c>
      <c r="AC298" s="50" t="s">
        <v>1486</v>
      </c>
      <c r="AD298" s="19"/>
      <c r="AE298" s="19"/>
      <c r="AF298" s="19"/>
      <c r="AG298" s="19"/>
    </row>
    <row r="299">
      <c r="A299" s="47">
        <f>COUNTIF('Divulgação'!$B:$B,B299)</f>
        <v>1</v>
      </c>
      <c r="B299" s="47" t="s">
        <v>923</v>
      </c>
      <c r="C299" s="19"/>
      <c r="D299" s="50" t="s">
        <v>1314</v>
      </c>
      <c r="E299" s="50" t="s">
        <v>1315</v>
      </c>
      <c r="F299" s="59">
        <v>46125.0</v>
      </c>
      <c r="G299" s="50" t="s">
        <v>1316</v>
      </c>
      <c r="H299" s="59">
        <v>46125.0</v>
      </c>
      <c r="I299" s="47" t="s">
        <v>161</v>
      </c>
      <c r="J299" s="50" t="s">
        <v>232</v>
      </c>
      <c r="K299" s="50" t="s">
        <v>162</v>
      </c>
      <c r="L299" s="47" t="s">
        <v>1697</v>
      </c>
      <c r="M299" s="19"/>
      <c r="N299" s="19"/>
      <c r="O299" s="19"/>
      <c r="P299" s="19"/>
      <c r="Q299" s="50">
        <v>1.0</v>
      </c>
      <c r="R299" s="59">
        <v>46121.0</v>
      </c>
      <c r="S299" s="59">
        <v>46127.0</v>
      </c>
      <c r="T299" s="59">
        <v>46125.0</v>
      </c>
      <c r="U299" s="19"/>
      <c r="V299" s="50" t="s">
        <v>1321</v>
      </c>
      <c r="W299" s="19"/>
      <c r="X299" s="50" t="s">
        <v>12</v>
      </c>
      <c r="Y299" s="50" t="s">
        <v>1322</v>
      </c>
      <c r="Z299" s="50">
        <v>3.04031986E9</v>
      </c>
      <c r="AA299" s="50" t="s">
        <v>16</v>
      </c>
      <c r="AB299" s="50" t="s">
        <v>1331</v>
      </c>
      <c r="AC299" s="50" t="s">
        <v>1486</v>
      </c>
      <c r="AD299" s="19"/>
      <c r="AE299" s="19"/>
      <c r="AF299" s="19"/>
      <c r="AG299" s="19"/>
    </row>
    <row r="300">
      <c r="A300" s="47">
        <f>COUNTIF('Divulgação'!$B:$B,B300)</f>
        <v>1</v>
      </c>
      <c r="B300" s="47" t="s">
        <v>925</v>
      </c>
      <c r="C300" s="19"/>
      <c r="D300" s="50" t="s">
        <v>1314</v>
      </c>
      <c r="E300" s="50" t="s">
        <v>1315</v>
      </c>
      <c r="F300" s="59">
        <v>46125.0</v>
      </c>
      <c r="G300" s="50" t="s">
        <v>1316</v>
      </c>
      <c r="H300" s="59">
        <v>46125.0</v>
      </c>
      <c r="I300" s="47" t="s">
        <v>282</v>
      </c>
      <c r="J300" s="50" t="s">
        <v>232</v>
      </c>
      <c r="K300" s="50" t="s">
        <v>283</v>
      </c>
      <c r="L300" s="47" t="s">
        <v>2277</v>
      </c>
      <c r="M300" s="19"/>
      <c r="N300" s="19"/>
      <c r="O300" s="19"/>
      <c r="P300" s="19"/>
      <c r="Q300" s="50">
        <v>1.0</v>
      </c>
      <c r="R300" s="59">
        <v>46121.0</v>
      </c>
      <c r="S300" s="59">
        <v>46127.0</v>
      </c>
      <c r="T300" s="59">
        <v>46125.0</v>
      </c>
      <c r="U300" s="19"/>
      <c r="V300" s="50" t="s">
        <v>1321</v>
      </c>
      <c r="W300" s="19"/>
      <c r="X300" s="50" t="s">
        <v>12</v>
      </c>
      <c r="Y300" s="50" t="s">
        <v>1322</v>
      </c>
      <c r="Z300" s="50">
        <v>3.040319937E9</v>
      </c>
      <c r="AA300" s="50" t="s">
        <v>16</v>
      </c>
      <c r="AB300" s="50" t="s">
        <v>1331</v>
      </c>
      <c r="AC300" s="50" t="s">
        <v>1486</v>
      </c>
      <c r="AD300" s="19"/>
      <c r="AE300" s="19"/>
      <c r="AF300" s="19"/>
      <c r="AG300" s="19"/>
    </row>
    <row r="301">
      <c r="A301" s="47">
        <f>COUNTIF('Divulgação'!$B:$B,B301)</f>
        <v>1</v>
      </c>
      <c r="B301" s="47" t="s">
        <v>927</v>
      </c>
      <c r="C301" s="19"/>
      <c r="D301" s="50" t="s">
        <v>1314</v>
      </c>
      <c r="E301" s="50" t="s">
        <v>1315</v>
      </c>
      <c r="F301" s="59">
        <v>46125.0</v>
      </c>
      <c r="G301" s="50" t="s">
        <v>1316</v>
      </c>
      <c r="H301" s="59">
        <v>46125.0</v>
      </c>
      <c r="I301" s="47" t="s">
        <v>282</v>
      </c>
      <c r="J301" s="50" t="s">
        <v>232</v>
      </c>
      <c r="K301" s="50" t="s">
        <v>283</v>
      </c>
      <c r="L301" s="47" t="s">
        <v>2278</v>
      </c>
      <c r="M301" s="19"/>
      <c r="N301" s="19"/>
      <c r="O301" s="19"/>
      <c r="P301" s="19"/>
      <c r="Q301" s="50">
        <v>1.0</v>
      </c>
      <c r="R301" s="59">
        <v>46121.0</v>
      </c>
      <c r="S301" s="59">
        <v>46127.0</v>
      </c>
      <c r="T301" s="59">
        <v>46125.0</v>
      </c>
      <c r="U301" s="19"/>
      <c r="V301" s="50" t="s">
        <v>1321</v>
      </c>
      <c r="W301" s="19"/>
      <c r="X301" s="50" t="s">
        <v>12</v>
      </c>
      <c r="Y301" s="50" t="s">
        <v>1322</v>
      </c>
      <c r="Z301" s="50">
        <v>3.040305018E9</v>
      </c>
      <c r="AA301" s="50" t="s">
        <v>16</v>
      </c>
      <c r="AB301" s="50" t="s">
        <v>1331</v>
      </c>
      <c r="AC301" s="50" t="s">
        <v>1332</v>
      </c>
      <c r="AD301" s="19"/>
      <c r="AE301" s="19"/>
      <c r="AF301" s="19"/>
      <c r="AG301" s="19"/>
    </row>
    <row r="302">
      <c r="A302" s="47">
        <f>COUNTIF('Divulgação'!$B:$B,B302)</f>
        <v>1</v>
      </c>
      <c r="B302" s="47" t="s">
        <v>929</v>
      </c>
      <c r="C302" s="19"/>
      <c r="D302" s="50" t="s">
        <v>1314</v>
      </c>
      <c r="E302" s="50" t="s">
        <v>1315</v>
      </c>
      <c r="F302" s="59">
        <v>46125.0</v>
      </c>
      <c r="G302" s="50" t="s">
        <v>1316</v>
      </c>
      <c r="H302" s="59">
        <v>46125.0</v>
      </c>
      <c r="I302" s="47" t="s">
        <v>282</v>
      </c>
      <c r="J302" s="50" t="s">
        <v>232</v>
      </c>
      <c r="K302" s="50" t="s">
        <v>283</v>
      </c>
      <c r="L302" s="47" t="s">
        <v>2279</v>
      </c>
      <c r="M302" s="19"/>
      <c r="N302" s="19"/>
      <c r="O302" s="19"/>
      <c r="P302" s="19"/>
      <c r="Q302" s="50">
        <v>1.0</v>
      </c>
      <c r="R302" s="59">
        <v>46121.0</v>
      </c>
      <c r="S302" s="59">
        <v>46127.0</v>
      </c>
      <c r="T302" s="59">
        <v>46125.0</v>
      </c>
      <c r="U302" s="19"/>
      <c r="V302" s="50" t="s">
        <v>1321</v>
      </c>
      <c r="W302" s="19"/>
      <c r="X302" s="50" t="s">
        <v>12</v>
      </c>
      <c r="Y302" s="50" t="s">
        <v>1322</v>
      </c>
      <c r="Z302" s="50">
        <v>3.040322689E9</v>
      </c>
      <c r="AA302" s="50" t="s">
        <v>16</v>
      </c>
      <c r="AB302" s="50" t="s">
        <v>1331</v>
      </c>
      <c r="AC302" s="50" t="s">
        <v>2280</v>
      </c>
      <c r="AD302" s="19"/>
      <c r="AE302" s="19"/>
      <c r="AF302" s="19"/>
      <c r="AG302" s="19"/>
    </row>
    <row r="303">
      <c r="A303" s="47">
        <f>COUNTIF('Divulgação'!$B:$B,B303)</f>
        <v>1</v>
      </c>
      <c r="B303" s="47" t="s">
        <v>931</v>
      </c>
      <c r="C303" s="19"/>
      <c r="D303" s="50" t="s">
        <v>1314</v>
      </c>
      <c r="E303" s="50" t="s">
        <v>1315</v>
      </c>
      <c r="F303" s="59">
        <v>46125.0</v>
      </c>
      <c r="G303" s="50" t="s">
        <v>1316</v>
      </c>
      <c r="H303" s="59">
        <v>46125.0</v>
      </c>
      <c r="I303" s="47" t="s">
        <v>111</v>
      </c>
      <c r="J303" s="50">
        <v>22373.0</v>
      </c>
      <c r="K303" s="50" t="s">
        <v>112</v>
      </c>
      <c r="L303" s="47" t="s">
        <v>1706</v>
      </c>
      <c r="M303" s="19"/>
      <c r="N303" s="19"/>
      <c r="O303" s="19"/>
      <c r="P303" s="19"/>
      <c r="Q303" s="50">
        <v>1.0</v>
      </c>
      <c r="R303" s="59">
        <v>45962.0</v>
      </c>
      <c r="S303" s="59">
        <v>46023.0</v>
      </c>
      <c r="T303" s="59">
        <v>46125.0</v>
      </c>
      <c r="U303" s="19"/>
      <c r="V303" s="50" t="s">
        <v>1321</v>
      </c>
      <c r="W303" s="19"/>
      <c r="X303" s="50" t="s">
        <v>12</v>
      </c>
      <c r="Y303" s="50" t="s">
        <v>1322</v>
      </c>
      <c r="Z303" s="50">
        <v>3.040297382E9</v>
      </c>
      <c r="AA303" s="50" t="s">
        <v>13</v>
      </c>
      <c r="AB303" s="50" t="s">
        <v>1380</v>
      </c>
      <c r="AC303" s="50" t="s">
        <v>1543</v>
      </c>
      <c r="AD303" s="19"/>
      <c r="AE303" s="19"/>
      <c r="AF303" s="19"/>
      <c r="AG303" s="19"/>
    </row>
    <row r="304">
      <c r="A304" s="47">
        <f>COUNTIF('Divulgação'!$B:$B,B304)</f>
        <v>1</v>
      </c>
      <c r="B304" s="47" t="s">
        <v>933</v>
      </c>
      <c r="C304" s="19"/>
      <c r="D304" s="50" t="s">
        <v>1314</v>
      </c>
      <c r="E304" s="50" t="s">
        <v>1315</v>
      </c>
      <c r="F304" s="59">
        <v>46125.0</v>
      </c>
      <c r="G304" s="50" t="s">
        <v>1316</v>
      </c>
      <c r="H304" s="59">
        <v>46125.0</v>
      </c>
      <c r="I304" s="47" t="s">
        <v>105</v>
      </c>
      <c r="J304" s="50">
        <v>22373.0</v>
      </c>
      <c r="K304" s="50" t="s">
        <v>106</v>
      </c>
      <c r="L304" s="47" t="s">
        <v>1704</v>
      </c>
      <c r="M304" s="19"/>
      <c r="N304" s="19"/>
      <c r="O304" s="19"/>
      <c r="P304" s="19"/>
      <c r="Q304" s="50">
        <v>1.0</v>
      </c>
      <c r="R304" s="59">
        <v>46120.0</v>
      </c>
      <c r="S304" s="59">
        <v>46126.0</v>
      </c>
      <c r="T304" s="59">
        <v>46125.0</v>
      </c>
      <c r="U304" s="19"/>
      <c r="V304" s="50" t="s">
        <v>1321</v>
      </c>
      <c r="W304" s="19"/>
      <c r="X304" s="50" t="s">
        <v>12</v>
      </c>
      <c r="Y304" s="50" t="s">
        <v>1322</v>
      </c>
      <c r="Z304" s="50">
        <v>3.040321987E9</v>
      </c>
      <c r="AA304" s="50" t="s">
        <v>24</v>
      </c>
      <c r="AB304" s="50" t="s">
        <v>1359</v>
      </c>
      <c r="AC304" s="50" t="s">
        <v>2281</v>
      </c>
      <c r="AD304" s="19"/>
      <c r="AE304" s="19"/>
      <c r="AF304" s="19"/>
      <c r="AG304" s="19"/>
    </row>
    <row r="305">
      <c r="A305" s="47">
        <f>COUNTIF('Divulgação'!$B:$B,B305)</f>
        <v>1</v>
      </c>
      <c r="B305" s="47" t="s">
        <v>935</v>
      </c>
      <c r="C305" s="19"/>
      <c r="D305" s="50" t="s">
        <v>1314</v>
      </c>
      <c r="E305" s="50" t="s">
        <v>1315</v>
      </c>
      <c r="F305" s="59">
        <v>46125.0</v>
      </c>
      <c r="G305" s="50" t="s">
        <v>1316</v>
      </c>
      <c r="H305" s="59">
        <v>46125.0</v>
      </c>
      <c r="I305" s="47" t="s">
        <v>1707</v>
      </c>
      <c r="J305" s="50">
        <v>22373.0</v>
      </c>
      <c r="K305" s="50" t="s">
        <v>1708</v>
      </c>
      <c r="L305" s="47" t="s">
        <v>1709</v>
      </c>
      <c r="M305" s="19"/>
      <c r="N305" s="19"/>
      <c r="O305" s="19"/>
      <c r="P305" s="19"/>
      <c r="Q305" s="50">
        <v>1.0</v>
      </c>
      <c r="R305" s="59">
        <v>46120.0</v>
      </c>
      <c r="S305" s="59">
        <v>46126.0</v>
      </c>
      <c r="T305" s="59">
        <v>46125.0</v>
      </c>
      <c r="U305" s="19"/>
      <c r="V305" s="50" t="s">
        <v>1321</v>
      </c>
      <c r="W305" s="19"/>
      <c r="X305" s="50" t="s">
        <v>12</v>
      </c>
      <c r="Y305" s="50" t="s">
        <v>1322</v>
      </c>
      <c r="Z305" s="50">
        <v>3.040210847E9</v>
      </c>
      <c r="AA305" s="50" t="s">
        <v>1425</v>
      </c>
      <c r="AB305" s="50" t="s">
        <v>1710</v>
      </c>
      <c r="AC305" s="50" t="s">
        <v>1711</v>
      </c>
      <c r="AD305" s="19"/>
      <c r="AE305" s="19"/>
      <c r="AF305" s="19"/>
      <c r="AG305" s="19"/>
    </row>
    <row r="306">
      <c r="A306" s="47">
        <f>COUNTIF('Divulgação'!$B:$B,B306)</f>
        <v>1</v>
      </c>
      <c r="B306" s="47" t="s">
        <v>937</v>
      </c>
      <c r="C306" s="19"/>
      <c r="D306" s="50" t="s">
        <v>1314</v>
      </c>
      <c r="E306" s="50" t="s">
        <v>1315</v>
      </c>
      <c r="F306" s="59">
        <v>46125.0</v>
      </c>
      <c r="G306" s="50" t="s">
        <v>1316</v>
      </c>
      <c r="H306" s="59">
        <v>46125.0</v>
      </c>
      <c r="I306" s="47" t="s">
        <v>1590</v>
      </c>
      <c r="J306" s="50">
        <v>22373.0</v>
      </c>
      <c r="K306" s="50" t="s">
        <v>1591</v>
      </c>
      <c r="L306" s="47" t="s">
        <v>1712</v>
      </c>
      <c r="M306" s="19"/>
      <c r="N306" s="19"/>
      <c r="O306" s="19"/>
      <c r="P306" s="19"/>
      <c r="Q306" s="50">
        <v>1.0</v>
      </c>
      <c r="R306" s="59">
        <v>46120.0</v>
      </c>
      <c r="S306" s="59">
        <v>46126.0</v>
      </c>
      <c r="T306" s="59">
        <v>46125.0</v>
      </c>
      <c r="U306" s="19"/>
      <c r="V306" s="50" t="s">
        <v>1321</v>
      </c>
      <c r="W306" s="19"/>
      <c r="X306" s="50" t="s">
        <v>12</v>
      </c>
      <c r="Y306" s="50" t="s">
        <v>1322</v>
      </c>
      <c r="Z306" s="50">
        <v>3.040308025E9</v>
      </c>
      <c r="AA306" s="50" t="s">
        <v>14</v>
      </c>
      <c r="AB306" s="50" t="s">
        <v>1328</v>
      </c>
      <c r="AC306" s="50" t="s">
        <v>1329</v>
      </c>
      <c r="AD306" s="19"/>
      <c r="AE306" s="19"/>
      <c r="AF306" s="19"/>
      <c r="AG306" s="19"/>
    </row>
    <row r="307">
      <c r="A307" s="47">
        <f>COUNTIF('Divulgação'!$B:$B,B307)</f>
        <v>1</v>
      </c>
      <c r="B307" s="47" t="s">
        <v>939</v>
      </c>
      <c r="C307" s="19"/>
      <c r="D307" s="50" t="s">
        <v>1314</v>
      </c>
      <c r="E307" s="50" t="s">
        <v>1315</v>
      </c>
      <c r="F307" s="59">
        <v>46125.0</v>
      </c>
      <c r="G307" s="50" t="s">
        <v>1316</v>
      </c>
      <c r="H307" s="59">
        <v>46125.0</v>
      </c>
      <c r="I307" s="47" t="s">
        <v>1590</v>
      </c>
      <c r="J307" s="50">
        <v>22373.0</v>
      </c>
      <c r="K307" s="50" t="s">
        <v>1591</v>
      </c>
      <c r="L307" s="47" t="s">
        <v>1714</v>
      </c>
      <c r="M307" s="19"/>
      <c r="N307" s="19"/>
      <c r="O307" s="19"/>
      <c r="P307" s="19"/>
      <c r="Q307" s="50">
        <v>1.0</v>
      </c>
      <c r="R307" s="59">
        <v>46121.0</v>
      </c>
      <c r="S307" s="59">
        <v>46127.0</v>
      </c>
      <c r="T307" s="59">
        <v>46125.0</v>
      </c>
      <c r="U307" s="19"/>
      <c r="V307" s="50" t="s">
        <v>1321</v>
      </c>
      <c r="W307" s="19"/>
      <c r="X307" s="50" t="s">
        <v>12</v>
      </c>
      <c r="Y307" s="50" t="s">
        <v>1322</v>
      </c>
      <c r="Z307" s="50">
        <v>3.04030977E9</v>
      </c>
      <c r="AA307" s="50" t="s">
        <v>14</v>
      </c>
      <c r="AB307" s="50" t="s">
        <v>1328</v>
      </c>
      <c r="AC307" s="50" t="s">
        <v>1715</v>
      </c>
      <c r="AD307" s="19"/>
      <c r="AE307" s="19"/>
      <c r="AF307" s="19"/>
      <c r="AG307" s="19"/>
    </row>
    <row r="308">
      <c r="A308" s="47">
        <f>COUNTIF('Divulgação'!$B:$B,B308)</f>
        <v>1</v>
      </c>
      <c r="B308" s="47" t="s">
        <v>941</v>
      </c>
      <c r="C308" s="19"/>
      <c r="D308" s="50" t="s">
        <v>1314</v>
      </c>
      <c r="E308" s="50" t="s">
        <v>1315</v>
      </c>
      <c r="F308" s="59">
        <v>46125.0</v>
      </c>
      <c r="G308" s="50" t="s">
        <v>1316</v>
      </c>
      <c r="H308" s="59">
        <v>46125.0</v>
      </c>
      <c r="I308" s="47" t="s">
        <v>1590</v>
      </c>
      <c r="J308" s="50">
        <v>22373.0</v>
      </c>
      <c r="K308" s="50" t="s">
        <v>1591</v>
      </c>
      <c r="L308" s="47" t="s">
        <v>2282</v>
      </c>
      <c r="M308" s="19"/>
      <c r="N308" s="19"/>
      <c r="O308" s="19"/>
      <c r="P308" s="19"/>
      <c r="Q308" s="50">
        <v>1.0</v>
      </c>
      <c r="R308" s="59">
        <v>46121.0</v>
      </c>
      <c r="S308" s="59">
        <v>46127.0</v>
      </c>
      <c r="T308" s="59">
        <v>46125.0</v>
      </c>
      <c r="U308" s="19"/>
      <c r="V308" s="50" t="s">
        <v>1321</v>
      </c>
      <c r="W308" s="19"/>
      <c r="X308" s="50" t="s">
        <v>12</v>
      </c>
      <c r="Y308" s="50" t="s">
        <v>1322</v>
      </c>
      <c r="Z308" s="50">
        <v>3.04030856E9</v>
      </c>
      <c r="AA308" s="50" t="s">
        <v>24</v>
      </c>
      <c r="AB308" s="50" t="s">
        <v>1359</v>
      </c>
      <c r="AC308" s="50" t="s">
        <v>1360</v>
      </c>
      <c r="AD308" s="19"/>
      <c r="AE308" s="19"/>
      <c r="AF308" s="19"/>
      <c r="AG308" s="19"/>
    </row>
    <row r="309">
      <c r="A309" s="47">
        <f>COUNTIF('Divulgação'!$B:$B,B309)</f>
        <v>1</v>
      </c>
      <c r="B309" s="47" t="s">
        <v>943</v>
      </c>
      <c r="C309" s="19"/>
      <c r="D309" s="50" t="s">
        <v>1314</v>
      </c>
      <c r="E309" s="50" t="s">
        <v>1315</v>
      </c>
      <c r="F309" s="59">
        <v>46125.0</v>
      </c>
      <c r="G309" s="50" t="s">
        <v>1316</v>
      </c>
      <c r="H309" s="59">
        <v>46125.0</v>
      </c>
      <c r="I309" s="47" t="s">
        <v>1590</v>
      </c>
      <c r="J309" s="50">
        <v>22373.0</v>
      </c>
      <c r="K309" s="50" t="s">
        <v>1591</v>
      </c>
      <c r="L309" s="47" t="s">
        <v>1713</v>
      </c>
      <c r="M309" s="19"/>
      <c r="N309" s="19"/>
      <c r="O309" s="19"/>
      <c r="P309" s="19"/>
      <c r="Q309" s="50">
        <v>1.0</v>
      </c>
      <c r="R309" s="59">
        <v>46121.0</v>
      </c>
      <c r="S309" s="59">
        <v>46127.0</v>
      </c>
      <c r="T309" s="59">
        <v>46125.0</v>
      </c>
      <c r="U309" s="19"/>
      <c r="V309" s="50" t="s">
        <v>1321</v>
      </c>
      <c r="W309" s="19"/>
      <c r="X309" s="50" t="s">
        <v>12</v>
      </c>
      <c r="Y309" s="50" t="s">
        <v>1322</v>
      </c>
      <c r="Z309" s="50">
        <v>3.040308559E9</v>
      </c>
      <c r="AA309" s="50" t="s">
        <v>24</v>
      </c>
      <c r="AB309" s="50" t="s">
        <v>1359</v>
      </c>
      <c r="AC309" s="50" t="s">
        <v>1360</v>
      </c>
      <c r="AD309" s="19"/>
      <c r="AE309" s="19"/>
      <c r="AF309" s="19"/>
      <c r="AG309" s="19"/>
    </row>
    <row r="310">
      <c r="A310" s="47">
        <f>COUNTIF('Divulgação'!$B:$B,B310)</f>
        <v>1</v>
      </c>
      <c r="B310" s="47" t="s">
        <v>945</v>
      </c>
      <c r="C310" s="19"/>
      <c r="D310" s="50" t="s">
        <v>1314</v>
      </c>
      <c r="E310" s="50" t="s">
        <v>1315</v>
      </c>
      <c r="F310" s="59">
        <v>46125.0</v>
      </c>
      <c r="G310" s="50" t="s">
        <v>1316</v>
      </c>
      <c r="H310" s="59">
        <v>46125.0</v>
      </c>
      <c r="I310" s="47" t="s">
        <v>151</v>
      </c>
      <c r="J310" s="50">
        <v>22373.0</v>
      </c>
      <c r="K310" s="50" t="s">
        <v>152</v>
      </c>
      <c r="L310" s="47" t="s">
        <v>2283</v>
      </c>
      <c r="M310" s="19"/>
      <c r="N310" s="19"/>
      <c r="O310" s="19"/>
      <c r="P310" s="19"/>
      <c r="Q310" s="50">
        <v>1.0</v>
      </c>
      <c r="R310" s="59">
        <v>46121.0</v>
      </c>
      <c r="S310" s="59">
        <v>46127.0</v>
      </c>
      <c r="T310" s="59">
        <v>46125.0</v>
      </c>
      <c r="U310" s="19"/>
      <c r="V310" s="50" t="s">
        <v>1321</v>
      </c>
      <c r="W310" s="19"/>
      <c r="X310" s="50" t="s">
        <v>12</v>
      </c>
      <c r="Y310" s="50" t="s">
        <v>1322</v>
      </c>
      <c r="Z310" s="50">
        <v>3.040302424E9</v>
      </c>
      <c r="AA310" s="50" t="s">
        <v>17</v>
      </c>
      <c r="AB310" s="50" t="s">
        <v>1343</v>
      </c>
      <c r="AC310" s="50" t="s">
        <v>1344</v>
      </c>
      <c r="AD310" s="19"/>
      <c r="AE310" s="19"/>
      <c r="AF310" s="19"/>
      <c r="AG310" s="19"/>
    </row>
    <row r="311">
      <c r="A311" s="47">
        <f>COUNTIF('Divulgação'!$B:$B,B311)</f>
        <v>1</v>
      </c>
      <c r="B311" s="47" t="s">
        <v>947</v>
      </c>
      <c r="C311" s="19"/>
      <c r="D311" s="50" t="s">
        <v>1314</v>
      </c>
      <c r="E311" s="50" t="s">
        <v>1315</v>
      </c>
      <c r="F311" s="59">
        <v>46125.0</v>
      </c>
      <c r="G311" s="50" t="s">
        <v>1316</v>
      </c>
      <c r="H311" s="59">
        <v>46125.0</v>
      </c>
      <c r="I311" s="47" t="s">
        <v>1394</v>
      </c>
      <c r="J311" s="50">
        <v>71513.0</v>
      </c>
      <c r="K311" s="50" t="s">
        <v>1396</v>
      </c>
      <c r="L311" s="47" t="s">
        <v>2284</v>
      </c>
      <c r="M311" s="19"/>
      <c r="N311" s="19"/>
      <c r="O311" s="19"/>
      <c r="P311" s="19"/>
      <c r="Q311" s="50">
        <v>1.0</v>
      </c>
      <c r="R311" s="59">
        <v>46119.0</v>
      </c>
      <c r="S311" s="59">
        <v>46125.0</v>
      </c>
      <c r="T311" s="59">
        <v>46125.0</v>
      </c>
      <c r="U311" s="19"/>
      <c r="V311" s="50" t="s">
        <v>1321</v>
      </c>
      <c r="W311" s="19"/>
      <c r="X311" s="50" t="s">
        <v>12</v>
      </c>
      <c r="Y311" s="50" t="s">
        <v>1322</v>
      </c>
      <c r="Z311" s="50">
        <v>3.040324086E9</v>
      </c>
      <c r="AA311" s="50" t="s">
        <v>17</v>
      </c>
      <c r="AB311" s="50" t="s">
        <v>1553</v>
      </c>
      <c r="AC311" s="50" t="s">
        <v>1554</v>
      </c>
      <c r="AD311" s="19"/>
      <c r="AE311" s="19"/>
      <c r="AF311" s="19"/>
      <c r="AG311" s="19"/>
    </row>
    <row r="312">
      <c r="A312" s="47">
        <f>COUNTIF('Divulgação'!$B:$B,B312)</f>
        <v>1</v>
      </c>
      <c r="B312" s="47" t="s">
        <v>949</v>
      </c>
      <c r="C312" s="19"/>
      <c r="D312" s="50" t="s">
        <v>1314</v>
      </c>
      <c r="E312" s="50" t="s">
        <v>1315</v>
      </c>
      <c r="F312" s="59">
        <v>46125.0</v>
      </c>
      <c r="G312" s="50" t="s">
        <v>1316</v>
      </c>
      <c r="H312" s="59">
        <v>46125.0</v>
      </c>
      <c r="I312" s="47" t="s">
        <v>151</v>
      </c>
      <c r="J312" s="50">
        <v>22373.0</v>
      </c>
      <c r="K312" s="50" t="s">
        <v>152</v>
      </c>
      <c r="L312" s="47" t="s">
        <v>1716</v>
      </c>
      <c r="M312" s="19"/>
      <c r="N312" s="19"/>
      <c r="O312" s="19"/>
      <c r="P312" s="19"/>
      <c r="Q312" s="50">
        <v>1.0</v>
      </c>
      <c r="R312" s="59">
        <v>46121.0</v>
      </c>
      <c r="S312" s="59">
        <v>46127.0</v>
      </c>
      <c r="T312" s="59">
        <v>46125.0</v>
      </c>
      <c r="U312" s="19"/>
      <c r="V312" s="50" t="s">
        <v>1321</v>
      </c>
      <c r="W312" s="19"/>
      <c r="X312" s="50" t="s">
        <v>12</v>
      </c>
      <c r="Y312" s="50" t="s">
        <v>1322</v>
      </c>
      <c r="Z312" s="50">
        <v>3.040324062E9</v>
      </c>
      <c r="AA312" s="50" t="s">
        <v>17</v>
      </c>
      <c r="AB312" s="50" t="s">
        <v>1458</v>
      </c>
      <c r="AC312" s="50" t="s">
        <v>1689</v>
      </c>
      <c r="AD312" s="19"/>
      <c r="AE312" s="19"/>
      <c r="AF312" s="19"/>
      <c r="AG312" s="19"/>
    </row>
    <row r="313">
      <c r="A313" s="47">
        <f>COUNTIF('Divulgação'!$B:$B,B313)</f>
        <v>1</v>
      </c>
      <c r="B313" s="47" t="s">
        <v>951</v>
      </c>
      <c r="C313" s="19"/>
      <c r="D313" s="50" t="s">
        <v>1314</v>
      </c>
      <c r="E313" s="50" t="s">
        <v>1315</v>
      </c>
      <c r="F313" s="59">
        <v>46125.0</v>
      </c>
      <c r="G313" s="50" t="s">
        <v>1316</v>
      </c>
      <c r="H313" s="59">
        <v>46125.0</v>
      </c>
      <c r="I313" s="47" t="s">
        <v>1436</v>
      </c>
      <c r="J313" s="50">
        <v>71513.0</v>
      </c>
      <c r="K313" s="50" t="s">
        <v>1437</v>
      </c>
      <c r="L313" s="47" t="s">
        <v>2285</v>
      </c>
      <c r="M313" s="19"/>
      <c r="N313" s="19"/>
      <c r="O313" s="19"/>
      <c r="P313" s="19"/>
      <c r="Q313" s="50">
        <v>1.0</v>
      </c>
      <c r="R313" s="59">
        <v>46119.0</v>
      </c>
      <c r="S313" s="59">
        <v>46125.0</v>
      </c>
      <c r="T313" s="59">
        <v>46125.0</v>
      </c>
      <c r="U313" s="19"/>
      <c r="V313" s="50" t="s">
        <v>1321</v>
      </c>
      <c r="W313" s="19"/>
      <c r="X313" s="50" t="s">
        <v>12</v>
      </c>
      <c r="Y313" s="50" t="s">
        <v>1322</v>
      </c>
      <c r="Z313" s="50">
        <v>3.040324089E9</v>
      </c>
      <c r="AA313" s="50" t="s">
        <v>17</v>
      </c>
      <c r="AB313" s="50" t="s">
        <v>1553</v>
      </c>
      <c r="AC313" s="50" t="s">
        <v>1554</v>
      </c>
      <c r="AD313" s="19"/>
      <c r="AE313" s="19"/>
      <c r="AF313" s="19"/>
      <c r="AG313" s="19"/>
    </row>
    <row r="314">
      <c r="A314" s="47">
        <f>COUNTIF('Divulgação'!$B:$B,B314)</f>
        <v>1</v>
      </c>
      <c r="B314" s="47" t="s">
        <v>953</v>
      </c>
      <c r="C314" s="19"/>
      <c r="D314" s="50" t="s">
        <v>1314</v>
      </c>
      <c r="E314" s="50" t="s">
        <v>1315</v>
      </c>
      <c r="F314" s="59">
        <v>46125.0</v>
      </c>
      <c r="G314" s="50" t="s">
        <v>1316</v>
      </c>
      <c r="H314" s="59">
        <v>46125.0</v>
      </c>
      <c r="I314" s="47" t="s">
        <v>63</v>
      </c>
      <c r="J314" s="50">
        <v>71513.0</v>
      </c>
      <c r="K314" s="50" t="s">
        <v>1432</v>
      </c>
      <c r="L314" s="47" t="s">
        <v>389</v>
      </c>
      <c r="M314" s="19"/>
      <c r="N314" s="19"/>
      <c r="O314" s="19"/>
      <c r="P314" s="19"/>
      <c r="Q314" s="50">
        <v>1.0</v>
      </c>
      <c r="R314" s="59">
        <v>46119.0</v>
      </c>
      <c r="S314" s="59">
        <v>46125.0</v>
      </c>
      <c r="T314" s="59">
        <v>46125.0</v>
      </c>
      <c r="U314" s="19"/>
      <c r="V314" s="50" t="s">
        <v>1321</v>
      </c>
      <c r="W314" s="19"/>
      <c r="X314" s="50" t="s">
        <v>12</v>
      </c>
      <c r="Y314" s="50" t="s">
        <v>1322</v>
      </c>
      <c r="Z314" s="50">
        <v>3.040324087E9</v>
      </c>
      <c r="AA314" s="50" t="s">
        <v>17</v>
      </c>
      <c r="AB314" s="50" t="s">
        <v>1553</v>
      </c>
      <c r="AC314" s="50" t="s">
        <v>1554</v>
      </c>
      <c r="AD314" s="19"/>
      <c r="AE314" s="19"/>
      <c r="AF314" s="19"/>
      <c r="AG314" s="19"/>
    </row>
    <row r="315">
      <c r="A315" s="47">
        <f>COUNTIF('Divulgação'!$B:$B,B315)</f>
        <v>1</v>
      </c>
      <c r="B315" s="47" t="s">
        <v>955</v>
      </c>
      <c r="C315" s="19"/>
      <c r="D315" s="50" t="s">
        <v>1314</v>
      </c>
      <c r="E315" s="50" t="s">
        <v>1315</v>
      </c>
      <c r="F315" s="59">
        <v>46125.0</v>
      </c>
      <c r="G315" s="50" t="s">
        <v>1316</v>
      </c>
      <c r="H315" s="59">
        <v>46125.0</v>
      </c>
      <c r="I315" s="47" t="s">
        <v>63</v>
      </c>
      <c r="J315" s="50">
        <v>71513.0</v>
      </c>
      <c r="K315" s="50" t="s">
        <v>1432</v>
      </c>
      <c r="L315" s="47" t="s">
        <v>2286</v>
      </c>
      <c r="M315" s="19"/>
      <c r="N315" s="19"/>
      <c r="O315" s="19"/>
      <c r="P315" s="19"/>
      <c r="Q315" s="50">
        <v>1.0</v>
      </c>
      <c r="R315" s="59">
        <v>46119.0</v>
      </c>
      <c r="S315" s="59">
        <v>46125.0</v>
      </c>
      <c r="T315" s="59">
        <v>46125.0</v>
      </c>
      <c r="U315" s="19"/>
      <c r="V315" s="50" t="s">
        <v>1321</v>
      </c>
      <c r="W315" s="19"/>
      <c r="X315" s="50" t="s">
        <v>12</v>
      </c>
      <c r="Y315" s="50" t="s">
        <v>1322</v>
      </c>
      <c r="Z315" s="50">
        <v>3.040324088E9</v>
      </c>
      <c r="AA315" s="50" t="s">
        <v>17</v>
      </c>
      <c r="AB315" s="50" t="s">
        <v>1553</v>
      </c>
      <c r="AC315" s="50" t="s">
        <v>1554</v>
      </c>
      <c r="AD315" s="19"/>
      <c r="AE315" s="19"/>
      <c r="AF315" s="19"/>
      <c r="AG315" s="19"/>
    </row>
    <row r="316">
      <c r="A316" s="47">
        <f>COUNTIF('Divulgação'!$B:$B,B316)</f>
        <v>1</v>
      </c>
      <c r="B316" s="47" t="s">
        <v>957</v>
      </c>
      <c r="C316" s="19"/>
      <c r="D316" s="50" t="s">
        <v>1314</v>
      </c>
      <c r="E316" s="50" t="s">
        <v>1315</v>
      </c>
      <c r="F316" s="59">
        <v>46125.0</v>
      </c>
      <c r="G316" s="50" t="s">
        <v>1316</v>
      </c>
      <c r="H316" s="59">
        <v>46125.0</v>
      </c>
      <c r="I316" s="47" t="s">
        <v>61</v>
      </c>
      <c r="J316" s="50">
        <v>33269.0</v>
      </c>
      <c r="K316" s="50" t="s">
        <v>1438</v>
      </c>
      <c r="L316" s="47" t="s">
        <v>2287</v>
      </c>
      <c r="M316" s="19"/>
      <c r="N316" s="19"/>
      <c r="O316" s="19"/>
      <c r="P316" s="19"/>
      <c r="Q316" s="50">
        <v>1.0</v>
      </c>
      <c r="R316" s="59">
        <v>46143.0</v>
      </c>
      <c r="S316" s="59">
        <v>46173.0</v>
      </c>
      <c r="T316" s="59">
        <v>46125.0</v>
      </c>
      <c r="U316" s="19"/>
      <c r="V316" s="50" t="s">
        <v>1321</v>
      </c>
      <c r="W316" s="19"/>
      <c r="X316" s="50" t="s">
        <v>12</v>
      </c>
      <c r="Y316" s="50" t="s">
        <v>1322</v>
      </c>
      <c r="Z316" s="50">
        <v>3.040322749E9</v>
      </c>
      <c r="AA316" s="50" t="s">
        <v>25</v>
      </c>
      <c r="AB316" s="50" t="s">
        <v>1359</v>
      </c>
      <c r="AC316" s="50" t="s">
        <v>1634</v>
      </c>
      <c r="AD316" s="19"/>
      <c r="AE316" s="19"/>
      <c r="AF316" s="19"/>
      <c r="AG316" s="19"/>
    </row>
    <row r="317">
      <c r="A317" s="47">
        <f>COUNTIF('Divulgação'!$B:$B,B317)</f>
        <v>1</v>
      </c>
      <c r="B317" s="47" t="s">
        <v>959</v>
      </c>
      <c r="C317" s="19"/>
      <c r="D317" s="50" t="s">
        <v>1314</v>
      </c>
      <c r="E317" s="50" t="s">
        <v>1315</v>
      </c>
      <c r="F317" s="59">
        <v>46125.0</v>
      </c>
      <c r="G317" s="50" t="s">
        <v>1316</v>
      </c>
      <c r="H317" s="59">
        <v>46125.0</v>
      </c>
      <c r="I317" s="47" t="s">
        <v>61</v>
      </c>
      <c r="J317" s="50">
        <v>33269.0</v>
      </c>
      <c r="K317" s="50" t="s">
        <v>1438</v>
      </c>
      <c r="L317" s="47" t="s">
        <v>2288</v>
      </c>
      <c r="M317" s="19"/>
      <c r="N317" s="19"/>
      <c r="O317" s="19"/>
      <c r="P317" s="19"/>
      <c r="Q317" s="50">
        <v>1.0</v>
      </c>
      <c r="R317" s="59">
        <v>46119.0</v>
      </c>
      <c r="S317" s="59">
        <v>46125.0</v>
      </c>
      <c r="T317" s="59">
        <v>46125.0</v>
      </c>
      <c r="U317" s="19"/>
      <c r="V317" s="50" t="s">
        <v>1321</v>
      </c>
      <c r="W317" s="19"/>
      <c r="X317" s="50" t="s">
        <v>12</v>
      </c>
      <c r="Y317" s="50" t="s">
        <v>1322</v>
      </c>
      <c r="Z317" s="50">
        <v>3.040324091E9</v>
      </c>
      <c r="AA317" s="50" t="s">
        <v>17</v>
      </c>
      <c r="AB317" s="50" t="s">
        <v>1553</v>
      </c>
      <c r="AC317" s="50" t="s">
        <v>1554</v>
      </c>
      <c r="AD317" s="19"/>
      <c r="AE317" s="19"/>
      <c r="AF317" s="19"/>
      <c r="AG317" s="19"/>
    </row>
    <row r="318">
      <c r="A318" s="47">
        <f>COUNTIF('Divulgação'!$B:$B,B318)</f>
        <v>1</v>
      </c>
      <c r="B318" s="47" t="s">
        <v>961</v>
      </c>
      <c r="C318" s="19"/>
      <c r="D318" s="50" t="s">
        <v>1314</v>
      </c>
      <c r="E318" s="50" t="s">
        <v>1315</v>
      </c>
      <c r="F318" s="59">
        <v>46125.0</v>
      </c>
      <c r="G318" s="50" t="s">
        <v>1316</v>
      </c>
      <c r="H318" s="59">
        <v>46125.0</v>
      </c>
      <c r="I318" s="47" t="s">
        <v>61</v>
      </c>
      <c r="J318" s="50">
        <v>33269.0</v>
      </c>
      <c r="K318" s="50" t="s">
        <v>1438</v>
      </c>
      <c r="L318" s="47" t="s">
        <v>2289</v>
      </c>
      <c r="M318" s="19"/>
      <c r="N318" s="19"/>
      <c r="O318" s="19"/>
      <c r="P318" s="19"/>
      <c r="Q318" s="50">
        <v>1.0</v>
      </c>
      <c r="R318" s="59">
        <v>46204.0</v>
      </c>
      <c r="S318" s="59">
        <v>46234.0</v>
      </c>
      <c r="T318" s="59">
        <v>46125.0</v>
      </c>
      <c r="U318" s="19"/>
      <c r="V318" s="50" t="s">
        <v>1321</v>
      </c>
      <c r="W318" s="19"/>
      <c r="X318" s="50" t="s">
        <v>12</v>
      </c>
      <c r="Y318" s="50" t="s">
        <v>1322</v>
      </c>
      <c r="Z318" s="50">
        <v>3.04032409E9</v>
      </c>
      <c r="AA318" s="50" t="s">
        <v>17</v>
      </c>
      <c r="AB318" s="50" t="s">
        <v>1553</v>
      </c>
      <c r="AC318" s="50" t="s">
        <v>1554</v>
      </c>
      <c r="AD318" s="19"/>
      <c r="AE318" s="19"/>
      <c r="AF318" s="19"/>
      <c r="AG318" s="19"/>
    </row>
    <row r="319">
      <c r="A319" s="47">
        <f>COUNTIF('Divulgação'!$B:$B,B319)</f>
        <v>1</v>
      </c>
      <c r="B319" s="47" t="s">
        <v>963</v>
      </c>
      <c r="C319" s="19"/>
      <c r="D319" s="50" t="s">
        <v>1314</v>
      </c>
      <c r="E319" s="50" t="s">
        <v>1315</v>
      </c>
      <c r="F319" s="59">
        <v>46125.0</v>
      </c>
      <c r="G319" s="50" t="s">
        <v>1316</v>
      </c>
      <c r="H319" s="59">
        <v>46125.0</v>
      </c>
      <c r="I319" s="47" t="s">
        <v>81</v>
      </c>
      <c r="J319" s="50">
        <v>95270.0</v>
      </c>
      <c r="K319" s="50" t="s">
        <v>1718</v>
      </c>
      <c r="L319" s="47" t="s">
        <v>2290</v>
      </c>
      <c r="M319" s="19"/>
      <c r="N319" s="19"/>
      <c r="O319" s="19"/>
      <c r="P319" s="19"/>
      <c r="Q319" s="50">
        <v>1.0</v>
      </c>
      <c r="R319" s="59">
        <v>46119.0</v>
      </c>
      <c r="S319" s="59">
        <v>46125.0</v>
      </c>
      <c r="T319" s="59">
        <v>46125.0</v>
      </c>
      <c r="U319" s="19"/>
      <c r="V319" s="50" t="s">
        <v>1321</v>
      </c>
      <c r="W319" s="19"/>
      <c r="X319" s="50" t="s">
        <v>12</v>
      </c>
      <c r="Y319" s="50" t="s">
        <v>1322</v>
      </c>
      <c r="Z319" s="50">
        <v>3.040318231E9</v>
      </c>
      <c r="AA319" s="50" t="s">
        <v>1500</v>
      </c>
      <c r="AB319" s="50" t="s">
        <v>1537</v>
      </c>
      <c r="AC319" s="50" t="s">
        <v>1858</v>
      </c>
      <c r="AD319" s="19"/>
      <c r="AE319" s="19"/>
      <c r="AF319" s="19"/>
      <c r="AG319" s="19"/>
    </row>
    <row r="320">
      <c r="A320" s="47">
        <f>COUNTIF('Divulgação'!$B:$B,B320)</f>
        <v>1</v>
      </c>
      <c r="B320" s="47" t="s">
        <v>965</v>
      </c>
      <c r="C320" s="19"/>
      <c r="D320" s="50" t="s">
        <v>1314</v>
      </c>
      <c r="E320" s="50" t="s">
        <v>1315</v>
      </c>
      <c r="F320" s="59">
        <v>46125.0</v>
      </c>
      <c r="G320" s="50" t="s">
        <v>1316</v>
      </c>
      <c r="H320" s="59">
        <v>46125.0</v>
      </c>
      <c r="I320" s="47" t="s">
        <v>81</v>
      </c>
      <c r="J320" s="50">
        <v>95270.0</v>
      </c>
      <c r="K320" s="50" t="s">
        <v>1718</v>
      </c>
      <c r="L320" s="47" t="s">
        <v>2291</v>
      </c>
      <c r="M320" s="19"/>
      <c r="N320" s="19"/>
      <c r="O320" s="19"/>
      <c r="P320" s="19"/>
      <c r="Q320" s="50">
        <v>1.0</v>
      </c>
      <c r="R320" s="59">
        <v>46119.0</v>
      </c>
      <c r="S320" s="59">
        <v>46125.0</v>
      </c>
      <c r="T320" s="59">
        <v>46125.0</v>
      </c>
      <c r="U320" s="19"/>
      <c r="V320" s="50" t="s">
        <v>1321</v>
      </c>
      <c r="W320" s="19"/>
      <c r="X320" s="50" t="s">
        <v>12</v>
      </c>
      <c r="Y320" s="50" t="s">
        <v>1322</v>
      </c>
      <c r="Z320" s="50">
        <v>3.04031823E9</v>
      </c>
      <c r="AA320" s="50" t="s">
        <v>1500</v>
      </c>
      <c r="AB320" s="50" t="s">
        <v>1537</v>
      </c>
      <c r="AC320" s="50" t="s">
        <v>2292</v>
      </c>
      <c r="AD320" s="19"/>
      <c r="AE320" s="19"/>
      <c r="AF320" s="19"/>
      <c r="AG320" s="19"/>
    </row>
    <row r="321">
      <c r="A321" s="47">
        <f>COUNTIF('Divulgação'!$B:$B,B321)</f>
        <v>1</v>
      </c>
      <c r="B321" s="47" t="s">
        <v>967</v>
      </c>
      <c r="C321" s="19"/>
      <c r="D321" s="50" t="s">
        <v>1314</v>
      </c>
      <c r="E321" s="50" t="s">
        <v>1315</v>
      </c>
      <c r="F321" s="59">
        <v>46125.0</v>
      </c>
      <c r="G321" s="50" t="s">
        <v>1316</v>
      </c>
      <c r="H321" s="59">
        <v>46125.0</v>
      </c>
      <c r="I321" s="47" t="s">
        <v>81</v>
      </c>
      <c r="J321" s="50">
        <v>95270.0</v>
      </c>
      <c r="K321" s="50" t="s">
        <v>1718</v>
      </c>
      <c r="L321" s="47" t="s">
        <v>1719</v>
      </c>
      <c r="M321" s="19"/>
      <c r="N321" s="19"/>
      <c r="O321" s="19"/>
      <c r="P321" s="19"/>
      <c r="Q321" s="50">
        <v>1.0</v>
      </c>
      <c r="R321" s="59">
        <v>46119.0</v>
      </c>
      <c r="S321" s="59">
        <v>46125.0</v>
      </c>
      <c r="T321" s="59">
        <v>46125.0</v>
      </c>
      <c r="U321" s="19"/>
      <c r="V321" s="50" t="s">
        <v>1321</v>
      </c>
      <c r="W321" s="19"/>
      <c r="X321" s="50" t="s">
        <v>12</v>
      </c>
      <c r="Y321" s="50" t="s">
        <v>1322</v>
      </c>
      <c r="Z321" s="50">
        <v>3.040316987E9</v>
      </c>
      <c r="AA321" s="50" t="s">
        <v>12</v>
      </c>
      <c r="AB321" s="50" t="s">
        <v>1322</v>
      </c>
      <c r="AC321" s="50" t="s">
        <v>1369</v>
      </c>
      <c r="AD321" s="19"/>
      <c r="AE321" s="19"/>
      <c r="AF321" s="19"/>
      <c r="AG321" s="19"/>
    </row>
    <row r="322">
      <c r="A322" s="47">
        <f>COUNTIF('Divulgação'!$B:$B,B322)</f>
        <v>1</v>
      </c>
      <c r="B322" s="47" t="s">
        <v>969</v>
      </c>
      <c r="C322" s="19"/>
      <c r="D322" s="50" t="s">
        <v>1314</v>
      </c>
      <c r="E322" s="50" t="s">
        <v>1315</v>
      </c>
      <c r="F322" s="59">
        <v>46125.0</v>
      </c>
      <c r="G322" s="50" t="s">
        <v>1316</v>
      </c>
      <c r="H322" s="59">
        <v>46125.0</v>
      </c>
      <c r="I322" s="47" t="s">
        <v>189</v>
      </c>
      <c r="J322" s="50" t="s">
        <v>1720</v>
      </c>
      <c r="K322" s="50" t="s">
        <v>1721</v>
      </c>
      <c r="L322" s="47" t="s">
        <v>1722</v>
      </c>
      <c r="M322" s="19"/>
      <c r="N322" s="19"/>
      <c r="O322" s="19"/>
      <c r="P322" s="19"/>
      <c r="Q322" s="50">
        <v>1.0</v>
      </c>
      <c r="R322" s="59">
        <v>46121.0</v>
      </c>
      <c r="S322" s="59">
        <v>46127.0</v>
      </c>
      <c r="T322" s="59">
        <v>46125.0</v>
      </c>
      <c r="U322" s="19"/>
      <c r="V322" s="50" t="s">
        <v>1321</v>
      </c>
      <c r="W322" s="19"/>
      <c r="X322" s="50" t="s">
        <v>12</v>
      </c>
      <c r="Y322" s="50" t="s">
        <v>1322</v>
      </c>
      <c r="Z322" s="50">
        <v>3.040321931E9</v>
      </c>
      <c r="AA322" s="50" t="s">
        <v>12</v>
      </c>
      <c r="AB322" s="50" t="s">
        <v>1385</v>
      </c>
      <c r="AC322" s="50" t="s">
        <v>1723</v>
      </c>
      <c r="AD322" s="19"/>
      <c r="AE322" s="19"/>
      <c r="AF322" s="19"/>
      <c r="AG322" s="19"/>
    </row>
    <row r="323">
      <c r="A323" s="47">
        <f>COUNTIF('Divulgação'!$B:$B,B323)</f>
        <v>1</v>
      </c>
      <c r="B323" s="47" t="s">
        <v>971</v>
      </c>
      <c r="C323" s="19"/>
      <c r="D323" s="50" t="s">
        <v>1314</v>
      </c>
      <c r="E323" s="50" t="s">
        <v>1315</v>
      </c>
      <c r="F323" s="59">
        <v>46125.0</v>
      </c>
      <c r="G323" s="50" t="s">
        <v>1316</v>
      </c>
      <c r="H323" s="59">
        <v>46125.0</v>
      </c>
      <c r="I323" s="47" t="s">
        <v>1724</v>
      </c>
      <c r="J323" s="50" t="s">
        <v>48</v>
      </c>
      <c r="K323" s="50" t="s">
        <v>1725</v>
      </c>
      <c r="L323" s="60" t="s">
        <v>1733</v>
      </c>
      <c r="M323" s="19"/>
      <c r="N323" s="19"/>
      <c r="O323" s="19"/>
      <c r="P323" s="19"/>
      <c r="Q323" s="50">
        <v>1.0</v>
      </c>
      <c r="R323" s="59">
        <v>46120.0</v>
      </c>
      <c r="S323" s="59">
        <v>46126.0</v>
      </c>
      <c r="T323" s="59">
        <v>46125.0</v>
      </c>
      <c r="U323" s="19"/>
      <c r="V323" s="50" t="s">
        <v>1321</v>
      </c>
      <c r="W323" s="19"/>
      <c r="X323" s="50" t="s">
        <v>12</v>
      </c>
      <c r="Y323" s="50" t="s">
        <v>1322</v>
      </c>
      <c r="Z323" s="50">
        <v>3.040311759E9</v>
      </c>
      <c r="AA323" s="50" t="s">
        <v>16</v>
      </c>
      <c r="AB323" s="50" t="s">
        <v>1551</v>
      </c>
      <c r="AC323" s="50" t="s">
        <v>1552</v>
      </c>
      <c r="AD323" s="19"/>
      <c r="AE323" s="19"/>
      <c r="AF323" s="19"/>
      <c r="AG323" s="19"/>
    </row>
    <row r="324">
      <c r="A324" s="47">
        <f>COUNTIF('Divulgação'!$B:$B,B324)</f>
        <v>1</v>
      </c>
      <c r="B324" s="47" t="s">
        <v>973</v>
      </c>
      <c r="C324" s="19"/>
      <c r="D324" s="50" t="s">
        <v>1314</v>
      </c>
      <c r="E324" s="50" t="s">
        <v>1315</v>
      </c>
      <c r="F324" s="59">
        <v>46125.0</v>
      </c>
      <c r="G324" s="50" t="s">
        <v>1316</v>
      </c>
      <c r="H324" s="59">
        <v>46125.0</v>
      </c>
      <c r="I324" s="47" t="s">
        <v>1724</v>
      </c>
      <c r="J324" s="50" t="s">
        <v>48</v>
      </c>
      <c r="K324" s="50" t="s">
        <v>1725</v>
      </c>
      <c r="L324" s="47" t="s">
        <v>2293</v>
      </c>
      <c r="M324" s="19"/>
      <c r="N324" s="19"/>
      <c r="O324" s="19"/>
      <c r="P324" s="19"/>
      <c r="Q324" s="50">
        <v>1.0</v>
      </c>
      <c r="R324" s="59">
        <v>46120.0</v>
      </c>
      <c r="S324" s="59">
        <v>46126.0</v>
      </c>
      <c r="T324" s="59">
        <v>46125.0</v>
      </c>
      <c r="U324" s="19"/>
      <c r="V324" s="50" t="s">
        <v>1321</v>
      </c>
      <c r="W324" s="19"/>
      <c r="X324" s="50" t="s">
        <v>12</v>
      </c>
      <c r="Y324" s="50" t="s">
        <v>1322</v>
      </c>
      <c r="Z324" s="50">
        <v>3.040313029E9</v>
      </c>
      <c r="AA324" s="50" t="s">
        <v>19</v>
      </c>
      <c r="AB324" s="50" t="s">
        <v>2071</v>
      </c>
      <c r="AC324" s="50" t="s">
        <v>1403</v>
      </c>
      <c r="AD324" s="19"/>
      <c r="AE324" s="19"/>
      <c r="AF324" s="19"/>
      <c r="AG324" s="19"/>
    </row>
    <row r="325">
      <c r="A325" s="47">
        <f>COUNTIF('Divulgação'!$B:$B,B325)</f>
        <v>1</v>
      </c>
      <c r="B325" s="47" t="s">
        <v>975</v>
      </c>
      <c r="C325" s="19"/>
      <c r="D325" s="50" t="s">
        <v>1314</v>
      </c>
      <c r="E325" s="50" t="s">
        <v>1315</v>
      </c>
      <c r="F325" s="59">
        <v>46125.0</v>
      </c>
      <c r="G325" s="50" t="s">
        <v>1316</v>
      </c>
      <c r="H325" s="59">
        <v>46125.0</v>
      </c>
      <c r="I325" s="47" t="s">
        <v>1724</v>
      </c>
      <c r="J325" s="50" t="s">
        <v>48</v>
      </c>
      <c r="K325" s="50" t="s">
        <v>1725</v>
      </c>
      <c r="L325" s="47" t="s">
        <v>2294</v>
      </c>
      <c r="M325" s="19"/>
      <c r="N325" s="19"/>
      <c r="O325" s="19"/>
      <c r="P325" s="19"/>
      <c r="Q325" s="50">
        <v>1.0</v>
      </c>
      <c r="R325" s="59">
        <v>46120.0</v>
      </c>
      <c r="S325" s="59">
        <v>46126.0</v>
      </c>
      <c r="T325" s="59">
        <v>46125.0</v>
      </c>
      <c r="U325" s="19"/>
      <c r="V325" s="50" t="s">
        <v>1321</v>
      </c>
      <c r="W325" s="19"/>
      <c r="X325" s="50" t="s">
        <v>12</v>
      </c>
      <c r="Y325" s="50" t="s">
        <v>1322</v>
      </c>
      <c r="Z325" s="50">
        <v>3.04031362E9</v>
      </c>
      <c r="AA325" s="50" t="s">
        <v>17</v>
      </c>
      <c r="AB325" s="50" t="s">
        <v>1553</v>
      </c>
      <c r="AC325" s="50" t="s">
        <v>1554</v>
      </c>
      <c r="AD325" s="19"/>
      <c r="AE325" s="19"/>
      <c r="AF325" s="19"/>
      <c r="AG325" s="19"/>
    </row>
    <row r="326">
      <c r="A326" s="47">
        <f>COUNTIF('Divulgação'!$B:$B,B326)</f>
        <v>1</v>
      </c>
      <c r="B326" s="47" t="s">
        <v>977</v>
      </c>
      <c r="C326" s="19"/>
      <c r="D326" s="50" t="s">
        <v>1314</v>
      </c>
      <c r="E326" s="50" t="s">
        <v>1315</v>
      </c>
      <c r="F326" s="59">
        <v>46125.0</v>
      </c>
      <c r="G326" s="50" t="s">
        <v>1316</v>
      </c>
      <c r="H326" s="59">
        <v>46125.0</v>
      </c>
      <c r="I326" s="47" t="s">
        <v>1724</v>
      </c>
      <c r="J326" s="50" t="s">
        <v>48</v>
      </c>
      <c r="K326" s="50" t="s">
        <v>1725</v>
      </c>
      <c r="L326" s="47" t="s">
        <v>1726</v>
      </c>
      <c r="M326" s="19"/>
      <c r="N326" s="19"/>
      <c r="O326" s="19"/>
      <c r="P326" s="19"/>
      <c r="Q326" s="50">
        <v>1.0</v>
      </c>
      <c r="R326" s="59">
        <v>46120.0</v>
      </c>
      <c r="S326" s="59">
        <v>46126.0</v>
      </c>
      <c r="T326" s="59">
        <v>46125.0</v>
      </c>
      <c r="U326" s="19"/>
      <c r="V326" s="50" t="s">
        <v>1321</v>
      </c>
      <c r="W326" s="19"/>
      <c r="X326" s="50" t="s">
        <v>12</v>
      </c>
      <c r="Y326" s="50" t="s">
        <v>1322</v>
      </c>
      <c r="Z326" s="50">
        <v>3.040318925E9</v>
      </c>
      <c r="AA326" s="50" t="s">
        <v>20</v>
      </c>
      <c r="AB326" s="50" t="s">
        <v>1439</v>
      </c>
      <c r="AC326" s="50" t="s">
        <v>1727</v>
      </c>
      <c r="AD326" s="19"/>
      <c r="AE326" s="19"/>
      <c r="AF326" s="19"/>
      <c r="AG326" s="19"/>
    </row>
    <row r="327">
      <c r="A327" s="47">
        <f>COUNTIF('Divulgação'!$B:$B,B327)</f>
        <v>1</v>
      </c>
      <c r="B327" s="47" t="s">
        <v>979</v>
      </c>
      <c r="C327" s="19"/>
      <c r="D327" s="50" t="s">
        <v>1314</v>
      </c>
      <c r="E327" s="50" t="s">
        <v>1315</v>
      </c>
      <c r="F327" s="59">
        <v>46125.0</v>
      </c>
      <c r="G327" s="50" t="s">
        <v>1316</v>
      </c>
      <c r="H327" s="59">
        <v>46125.0</v>
      </c>
      <c r="I327" s="47" t="s">
        <v>1724</v>
      </c>
      <c r="J327" s="50" t="s">
        <v>48</v>
      </c>
      <c r="K327" s="50" t="s">
        <v>1725</v>
      </c>
      <c r="L327" s="47" t="s">
        <v>2295</v>
      </c>
      <c r="M327" s="19"/>
      <c r="N327" s="19"/>
      <c r="O327" s="19"/>
      <c r="P327" s="19"/>
      <c r="Q327" s="50">
        <v>1.0</v>
      </c>
      <c r="R327" s="59">
        <v>46120.0</v>
      </c>
      <c r="S327" s="59">
        <v>46126.0</v>
      </c>
      <c r="T327" s="59">
        <v>46125.0</v>
      </c>
      <c r="U327" s="19"/>
      <c r="V327" s="50" t="s">
        <v>1321</v>
      </c>
      <c r="W327" s="19"/>
      <c r="X327" s="50" t="s">
        <v>12</v>
      </c>
      <c r="Y327" s="50" t="s">
        <v>1322</v>
      </c>
      <c r="Z327" s="50">
        <v>3.040318926E9</v>
      </c>
      <c r="AA327" s="50" t="s">
        <v>20</v>
      </c>
      <c r="AB327" s="50" t="s">
        <v>1439</v>
      </c>
      <c r="AC327" s="50" t="s">
        <v>1727</v>
      </c>
      <c r="AD327" s="19"/>
      <c r="AE327" s="19"/>
      <c r="AF327" s="19"/>
      <c r="AG327" s="19"/>
    </row>
    <row r="328">
      <c r="A328" s="47">
        <f>COUNTIF('Divulgação'!$B:$B,B328)</f>
        <v>1</v>
      </c>
      <c r="B328" s="47" t="s">
        <v>981</v>
      </c>
      <c r="C328" s="19"/>
      <c r="D328" s="50" t="s">
        <v>1314</v>
      </c>
      <c r="E328" s="50" t="s">
        <v>1315</v>
      </c>
      <c r="F328" s="59">
        <v>46125.0</v>
      </c>
      <c r="G328" s="50" t="s">
        <v>1316</v>
      </c>
      <c r="H328" s="59">
        <v>46125.0</v>
      </c>
      <c r="I328" s="47" t="s">
        <v>1724</v>
      </c>
      <c r="J328" s="50" t="s">
        <v>48</v>
      </c>
      <c r="K328" s="50" t="s">
        <v>1725</v>
      </c>
      <c r="L328" s="60" t="s">
        <v>1733</v>
      </c>
      <c r="M328" s="19"/>
      <c r="N328" s="19"/>
      <c r="O328" s="19"/>
      <c r="P328" s="19"/>
      <c r="Q328" s="50">
        <v>1.0</v>
      </c>
      <c r="R328" s="59">
        <v>46120.0</v>
      </c>
      <c r="S328" s="59">
        <v>46163.0</v>
      </c>
      <c r="T328" s="59">
        <v>46125.0</v>
      </c>
      <c r="U328" s="19"/>
      <c r="V328" s="50" t="s">
        <v>1321</v>
      </c>
      <c r="W328" s="19"/>
      <c r="X328" s="50" t="s">
        <v>12</v>
      </c>
      <c r="Y328" s="50" t="s">
        <v>1322</v>
      </c>
      <c r="Z328" s="50">
        <v>3.040324257E9</v>
      </c>
      <c r="AA328" s="50" t="s">
        <v>14</v>
      </c>
      <c r="AB328" s="50" t="s">
        <v>1447</v>
      </c>
      <c r="AC328" s="50" t="s">
        <v>1729</v>
      </c>
      <c r="AD328" s="19"/>
      <c r="AE328" s="19"/>
      <c r="AF328" s="19"/>
      <c r="AG328" s="19"/>
    </row>
    <row r="329">
      <c r="A329" s="47">
        <f>COUNTIF('Divulgação'!$B:$B,B329)</f>
        <v>1</v>
      </c>
      <c r="B329" s="47" t="s">
        <v>983</v>
      </c>
      <c r="C329" s="19"/>
      <c r="D329" s="50" t="s">
        <v>1314</v>
      </c>
      <c r="E329" s="50" t="s">
        <v>1315</v>
      </c>
      <c r="F329" s="59">
        <v>46125.0</v>
      </c>
      <c r="G329" s="50" t="s">
        <v>1316</v>
      </c>
      <c r="H329" s="59">
        <v>46125.0</v>
      </c>
      <c r="I329" s="47" t="s">
        <v>1724</v>
      </c>
      <c r="J329" s="50" t="s">
        <v>48</v>
      </c>
      <c r="K329" s="50" t="s">
        <v>1725</v>
      </c>
      <c r="L329" s="47" t="s">
        <v>1730</v>
      </c>
      <c r="M329" s="19"/>
      <c r="N329" s="19"/>
      <c r="O329" s="19"/>
      <c r="P329" s="19"/>
      <c r="Q329" s="50">
        <v>1.0</v>
      </c>
      <c r="R329" s="59">
        <v>46120.0</v>
      </c>
      <c r="S329" s="59">
        <v>46163.0</v>
      </c>
      <c r="T329" s="59">
        <v>46125.0</v>
      </c>
      <c r="U329" s="19"/>
      <c r="V329" s="50" t="s">
        <v>1321</v>
      </c>
      <c r="W329" s="19"/>
      <c r="X329" s="50" t="s">
        <v>12</v>
      </c>
      <c r="Y329" s="50" t="s">
        <v>1322</v>
      </c>
      <c r="Z329" s="50">
        <v>3.040324258E9</v>
      </c>
      <c r="AA329" s="50" t="s">
        <v>14</v>
      </c>
      <c r="AB329" s="50" t="s">
        <v>1447</v>
      </c>
      <c r="AC329" s="50" t="s">
        <v>1729</v>
      </c>
      <c r="AD329" s="19"/>
      <c r="AE329" s="19"/>
      <c r="AF329" s="19"/>
      <c r="AG329" s="19"/>
    </row>
    <row r="330">
      <c r="A330" s="47">
        <f>COUNTIF('Divulgação'!$B:$B,B330)</f>
        <v>1</v>
      </c>
      <c r="B330" s="47" t="s">
        <v>985</v>
      </c>
      <c r="C330" s="19"/>
      <c r="D330" s="50" t="s">
        <v>1314</v>
      </c>
      <c r="E330" s="50" t="s">
        <v>1315</v>
      </c>
      <c r="F330" s="59">
        <v>46125.0</v>
      </c>
      <c r="G330" s="50" t="s">
        <v>1316</v>
      </c>
      <c r="H330" s="59">
        <v>46125.0</v>
      </c>
      <c r="I330" s="47" t="s">
        <v>1724</v>
      </c>
      <c r="J330" s="50" t="s">
        <v>48</v>
      </c>
      <c r="K330" s="50" t="s">
        <v>1725</v>
      </c>
      <c r="L330" s="47" t="s">
        <v>2296</v>
      </c>
      <c r="M330" s="19"/>
      <c r="N330" s="19"/>
      <c r="O330" s="19"/>
      <c r="P330" s="19"/>
      <c r="Q330" s="50">
        <v>1.0</v>
      </c>
      <c r="R330" s="59">
        <v>46120.0</v>
      </c>
      <c r="S330" s="59">
        <v>46126.0</v>
      </c>
      <c r="T330" s="59">
        <v>46125.0</v>
      </c>
      <c r="U330" s="19"/>
      <c r="V330" s="50" t="s">
        <v>1321</v>
      </c>
      <c r="W330" s="19"/>
      <c r="X330" s="50" t="s">
        <v>12</v>
      </c>
      <c r="Y330" s="50" t="s">
        <v>1322</v>
      </c>
      <c r="Z330" s="50">
        <v>3.040313459E9</v>
      </c>
      <c r="AA330" s="50" t="s">
        <v>12</v>
      </c>
      <c r="AB330" s="50" t="s">
        <v>1322</v>
      </c>
      <c r="AC330" s="50" t="s">
        <v>1369</v>
      </c>
      <c r="AD330" s="19"/>
      <c r="AE330" s="19"/>
      <c r="AF330" s="19"/>
      <c r="AG330" s="19"/>
    </row>
    <row r="331">
      <c r="A331" s="47">
        <f>COUNTIF('Divulgação'!$B:$B,B331)</f>
        <v>1</v>
      </c>
      <c r="B331" s="47" t="s">
        <v>987</v>
      </c>
      <c r="C331" s="19"/>
      <c r="D331" s="50" t="s">
        <v>1314</v>
      </c>
      <c r="E331" s="50" t="s">
        <v>1315</v>
      </c>
      <c r="F331" s="59">
        <v>46125.0</v>
      </c>
      <c r="G331" s="50" t="s">
        <v>1316</v>
      </c>
      <c r="H331" s="59">
        <v>46125.0</v>
      </c>
      <c r="I331" s="47" t="s">
        <v>1724</v>
      </c>
      <c r="J331" s="50" t="s">
        <v>48</v>
      </c>
      <c r="K331" s="50" t="s">
        <v>1725</v>
      </c>
      <c r="L331" s="47" t="s">
        <v>2297</v>
      </c>
      <c r="M331" s="19"/>
      <c r="N331" s="19"/>
      <c r="O331" s="19"/>
      <c r="P331" s="19"/>
      <c r="Q331" s="50">
        <v>1.0</v>
      </c>
      <c r="R331" s="59">
        <v>46120.0</v>
      </c>
      <c r="S331" s="59">
        <v>46126.0</v>
      </c>
      <c r="T331" s="59">
        <v>46125.0</v>
      </c>
      <c r="U331" s="19"/>
      <c r="V331" s="50" t="s">
        <v>1321</v>
      </c>
      <c r="W331" s="19"/>
      <c r="X331" s="50" t="s">
        <v>12</v>
      </c>
      <c r="Y331" s="50" t="s">
        <v>1322</v>
      </c>
      <c r="Z331" s="50">
        <v>3.040313458E9</v>
      </c>
      <c r="AA331" s="50" t="s">
        <v>12</v>
      </c>
      <c r="AB331" s="50" t="s">
        <v>1322</v>
      </c>
      <c r="AC331" s="50" t="s">
        <v>1369</v>
      </c>
      <c r="AD331" s="19"/>
      <c r="AE331" s="19"/>
      <c r="AF331" s="19"/>
      <c r="AG331" s="19"/>
    </row>
    <row r="332">
      <c r="A332" s="47">
        <f>COUNTIF('Divulgação'!$B:$B,B332)</f>
        <v>1</v>
      </c>
      <c r="B332" s="47" t="s">
        <v>989</v>
      </c>
      <c r="C332" s="19"/>
      <c r="D332" s="50" t="s">
        <v>1314</v>
      </c>
      <c r="E332" s="50" t="s">
        <v>1315</v>
      </c>
      <c r="F332" s="59">
        <v>46125.0</v>
      </c>
      <c r="G332" s="50" t="s">
        <v>1316</v>
      </c>
      <c r="H332" s="59">
        <v>46125.0</v>
      </c>
      <c r="I332" s="47" t="s">
        <v>1734</v>
      </c>
      <c r="J332" s="50">
        <v>7213.0</v>
      </c>
      <c r="K332" s="50" t="s">
        <v>1735</v>
      </c>
      <c r="L332" s="47" t="s">
        <v>1736</v>
      </c>
      <c r="M332" s="19"/>
      <c r="N332" s="19"/>
      <c r="O332" s="19"/>
      <c r="P332" s="19"/>
      <c r="Q332" s="50">
        <v>1.0</v>
      </c>
      <c r="R332" s="59">
        <v>46120.0</v>
      </c>
      <c r="S332" s="59">
        <v>46126.0</v>
      </c>
      <c r="T332" s="59">
        <v>46125.0</v>
      </c>
      <c r="U332" s="19"/>
      <c r="V332" s="50" t="s">
        <v>1321</v>
      </c>
      <c r="W332" s="19"/>
      <c r="X332" s="50" t="s">
        <v>12</v>
      </c>
      <c r="Y332" s="50" t="s">
        <v>1322</v>
      </c>
      <c r="Z332" s="50">
        <v>3.040323388E9</v>
      </c>
      <c r="AA332" s="50" t="s">
        <v>12</v>
      </c>
      <c r="AB332" s="50" t="s">
        <v>1322</v>
      </c>
      <c r="AC332" s="50" t="s">
        <v>1369</v>
      </c>
      <c r="AD332" s="19"/>
      <c r="AE332" s="19"/>
      <c r="AF332" s="19"/>
      <c r="AG332" s="19"/>
    </row>
    <row r="333">
      <c r="A333" s="47">
        <f>COUNTIF('Divulgação'!$B:$B,B333)</f>
        <v>1</v>
      </c>
      <c r="B333" s="47" t="s">
        <v>991</v>
      </c>
      <c r="C333" s="19"/>
      <c r="D333" s="50" t="s">
        <v>1314</v>
      </c>
      <c r="E333" s="50" t="s">
        <v>1315</v>
      </c>
      <c r="F333" s="59">
        <v>46125.0</v>
      </c>
      <c r="G333" s="50" t="s">
        <v>1316</v>
      </c>
      <c r="H333" s="59">
        <v>46125.0</v>
      </c>
      <c r="I333" s="47" t="s">
        <v>1355</v>
      </c>
      <c r="J333" s="50">
        <v>13068.0</v>
      </c>
      <c r="K333" s="50" t="s">
        <v>1357</v>
      </c>
      <c r="L333" s="47" t="s">
        <v>1737</v>
      </c>
      <c r="M333" s="19"/>
      <c r="N333" s="19"/>
      <c r="O333" s="19"/>
      <c r="P333" s="19"/>
      <c r="Q333" s="50">
        <v>1.0</v>
      </c>
      <c r="R333" s="59">
        <v>46121.0</v>
      </c>
      <c r="S333" s="59">
        <v>46127.0</v>
      </c>
      <c r="T333" s="59">
        <v>46125.0</v>
      </c>
      <c r="U333" s="19"/>
      <c r="V333" s="50" t="s">
        <v>1321</v>
      </c>
      <c r="W333" s="19"/>
      <c r="X333" s="50" t="s">
        <v>12</v>
      </c>
      <c r="Y333" s="50" t="s">
        <v>1322</v>
      </c>
      <c r="Z333" s="50">
        <v>3.040315567E9</v>
      </c>
      <c r="AA333" s="50" t="s">
        <v>12</v>
      </c>
      <c r="AB333" s="50" t="s">
        <v>1322</v>
      </c>
      <c r="AC333" s="50" t="s">
        <v>1434</v>
      </c>
      <c r="AD333" s="19"/>
      <c r="AE333" s="19"/>
      <c r="AF333" s="19"/>
      <c r="AG333" s="19"/>
    </row>
    <row r="334">
      <c r="A334" s="47">
        <f>COUNTIF('Divulgação'!$B:$B,B334)</f>
        <v>1</v>
      </c>
      <c r="B334" s="47" t="s">
        <v>993</v>
      </c>
      <c r="C334" s="19"/>
      <c r="D334" s="50" t="s">
        <v>1314</v>
      </c>
      <c r="E334" s="50" t="s">
        <v>1315</v>
      </c>
      <c r="F334" s="59">
        <v>46125.0</v>
      </c>
      <c r="G334" s="50" t="s">
        <v>1316</v>
      </c>
      <c r="H334" s="59">
        <v>46125.0</v>
      </c>
      <c r="I334" s="47" t="s">
        <v>227</v>
      </c>
      <c r="J334" s="50">
        <v>71379.0</v>
      </c>
      <c r="K334" s="50" t="s">
        <v>1738</v>
      </c>
      <c r="L334" s="47" t="s">
        <v>722</v>
      </c>
      <c r="M334" s="19"/>
      <c r="N334" s="19"/>
      <c r="O334" s="19"/>
      <c r="P334" s="19"/>
      <c r="Q334" s="50">
        <v>1.0</v>
      </c>
      <c r="R334" s="59">
        <v>46121.0</v>
      </c>
      <c r="S334" s="59">
        <v>46127.0</v>
      </c>
      <c r="T334" s="59">
        <v>46125.0</v>
      </c>
      <c r="U334" s="19"/>
      <c r="V334" s="50" t="s">
        <v>1321</v>
      </c>
      <c r="W334" s="19"/>
      <c r="X334" s="50" t="s">
        <v>12</v>
      </c>
      <c r="Y334" s="50" t="s">
        <v>1322</v>
      </c>
      <c r="Z334" s="50">
        <v>3.040310038E9</v>
      </c>
      <c r="AA334" s="50" t="s">
        <v>16</v>
      </c>
      <c r="AB334" s="50" t="s">
        <v>1331</v>
      </c>
      <c r="AC334" s="50" t="s">
        <v>1450</v>
      </c>
      <c r="AD334" s="19"/>
      <c r="AE334" s="19"/>
      <c r="AF334" s="19"/>
      <c r="AG334" s="19"/>
    </row>
    <row r="335">
      <c r="A335" s="47">
        <f>COUNTIF('Divulgação'!$B:$B,B335)</f>
        <v>1</v>
      </c>
      <c r="B335" s="47" t="s">
        <v>995</v>
      </c>
      <c r="C335" s="19"/>
      <c r="D335" s="50" t="s">
        <v>1314</v>
      </c>
      <c r="E335" s="50" t="s">
        <v>1315</v>
      </c>
      <c r="F335" s="59">
        <v>46125.0</v>
      </c>
      <c r="G335" s="50" t="s">
        <v>1316</v>
      </c>
      <c r="H335" s="59">
        <v>46125.0</v>
      </c>
      <c r="I335" s="47" t="s">
        <v>227</v>
      </c>
      <c r="J335" s="50">
        <v>71379.0</v>
      </c>
      <c r="K335" s="50" t="s">
        <v>1738</v>
      </c>
      <c r="L335" s="47" t="s">
        <v>1739</v>
      </c>
      <c r="M335" s="19"/>
      <c r="N335" s="19"/>
      <c r="O335" s="19"/>
      <c r="P335" s="19"/>
      <c r="Q335" s="50">
        <v>1.0</v>
      </c>
      <c r="R335" s="59">
        <v>46121.0</v>
      </c>
      <c r="S335" s="59">
        <v>46127.0</v>
      </c>
      <c r="T335" s="59">
        <v>46125.0</v>
      </c>
      <c r="U335" s="19"/>
      <c r="V335" s="50" t="s">
        <v>1321</v>
      </c>
      <c r="W335" s="19"/>
      <c r="X335" s="50" t="s">
        <v>12</v>
      </c>
      <c r="Y335" s="50" t="s">
        <v>1322</v>
      </c>
      <c r="Z335" s="50">
        <v>3.040311325E9</v>
      </c>
      <c r="AA335" s="50" t="s">
        <v>17</v>
      </c>
      <c r="AB335" s="50" t="s">
        <v>1458</v>
      </c>
      <c r="AC335" s="50" t="s">
        <v>1459</v>
      </c>
      <c r="AD335" s="19"/>
      <c r="AE335" s="19"/>
      <c r="AF335" s="19"/>
      <c r="AG335" s="19"/>
    </row>
    <row r="336">
      <c r="A336" s="47">
        <f>COUNTIF('Divulgação'!$B:$B,B336)</f>
        <v>1</v>
      </c>
      <c r="B336" s="47" t="s">
        <v>997</v>
      </c>
      <c r="C336" s="19"/>
      <c r="D336" s="50" t="s">
        <v>1314</v>
      </c>
      <c r="E336" s="50" t="s">
        <v>1315</v>
      </c>
      <c r="F336" s="59">
        <v>46127.0</v>
      </c>
      <c r="G336" s="50" t="s">
        <v>1316</v>
      </c>
      <c r="H336" s="59">
        <v>46127.0</v>
      </c>
      <c r="I336" s="47" t="s">
        <v>101</v>
      </c>
      <c r="J336" s="50" t="s">
        <v>48</v>
      </c>
      <c r="K336" s="50" t="s">
        <v>102</v>
      </c>
      <c r="L336" s="47" t="s">
        <v>2298</v>
      </c>
      <c r="M336" s="19"/>
      <c r="N336" s="19"/>
      <c r="O336" s="19"/>
      <c r="P336" s="19"/>
      <c r="Q336" s="50">
        <v>1.0</v>
      </c>
      <c r="R336" s="59">
        <v>45962.0</v>
      </c>
      <c r="S336" s="59">
        <v>46023.0</v>
      </c>
      <c r="T336" s="59">
        <v>46127.0</v>
      </c>
      <c r="U336" s="19"/>
      <c r="V336" s="50" t="s">
        <v>1321</v>
      </c>
      <c r="W336" s="19"/>
      <c r="X336" s="50" t="s">
        <v>12</v>
      </c>
      <c r="Y336" s="50" t="s">
        <v>1322</v>
      </c>
      <c r="Z336" s="50">
        <v>3.040310634E9</v>
      </c>
      <c r="AA336" s="50" t="s">
        <v>1352</v>
      </c>
      <c r="AB336" s="50" t="s">
        <v>1430</v>
      </c>
      <c r="AC336" s="50" t="s">
        <v>1971</v>
      </c>
      <c r="AD336" s="19"/>
      <c r="AE336" s="19"/>
      <c r="AF336" s="19"/>
      <c r="AG336" s="19"/>
    </row>
    <row r="337">
      <c r="A337" s="47">
        <f>COUNTIF('Divulgação'!$B:$B,B337)</f>
        <v>1</v>
      </c>
      <c r="B337" s="47" t="s">
        <v>999</v>
      </c>
      <c r="C337" s="19"/>
      <c r="D337" s="50" t="s">
        <v>1314</v>
      </c>
      <c r="E337" s="50" t="s">
        <v>1315</v>
      </c>
      <c r="F337" s="59">
        <v>46127.0</v>
      </c>
      <c r="G337" s="50" t="s">
        <v>1316</v>
      </c>
      <c r="H337" s="59">
        <v>46127.0</v>
      </c>
      <c r="I337" s="47" t="s">
        <v>101</v>
      </c>
      <c r="J337" s="50" t="s">
        <v>48</v>
      </c>
      <c r="K337" s="50" t="s">
        <v>102</v>
      </c>
      <c r="L337" s="47" t="s">
        <v>2299</v>
      </c>
      <c r="M337" s="19"/>
      <c r="N337" s="19"/>
      <c r="O337" s="19"/>
      <c r="P337" s="19"/>
      <c r="Q337" s="50">
        <v>1.0</v>
      </c>
      <c r="R337" s="59">
        <v>45962.0</v>
      </c>
      <c r="S337" s="59">
        <v>46023.0</v>
      </c>
      <c r="T337" s="59">
        <v>46127.0</v>
      </c>
      <c r="U337" s="19"/>
      <c r="V337" s="50" t="s">
        <v>1321</v>
      </c>
      <c r="W337" s="19"/>
      <c r="X337" s="50" t="s">
        <v>12</v>
      </c>
      <c r="Y337" s="50" t="s">
        <v>1322</v>
      </c>
      <c r="Z337" s="50">
        <v>3.04031346E9</v>
      </c>
      <c r="AA337" s="50" t="s">
        <v>12</v>
      </c>
      <c r="AB337" s="50" t="s">
        <v>1322</v>
      </c>
      <c r="AC337" s="50" t="s">
        <v>1369</v>
      </c>
      <c r="AD337" s="19"/>
      <c r="AE337" s="19"/>
      <c r="AF337" s="19"/>
      <c r="AG337" s="19"/>
    </row>
    <row r="338">
      <c r="A338" s="47">
        <f>COUNTIF('Divulgação'!$B:$B,B338)</f>
        <v>1</v>
      </c>
      <c r="B338" s="47" t="s">
        <v>1001</v>
      </c>
      <c r="C338" s="19"/>
      <c r="D338" s="50" t="s">
        <v>1314</v>
      </c>
      <c r="E338" s="50" t="s">
        <v>1315</v>
      </c>
      <c r="F338" s="59">
        <v>46127.0</v>
      </c>
      <c r="G338" s="50" t="s">
        <v>1316</v>
      </c>
      <c r="H338" s="59">
        <v>46127.0</v>
      </c>
      <c r="I338" s="47" t="s">
        <v>101</v>
      </c>
      <c r="J338" s="50" t="s">
        <v>48</v>
      </c>
      <c r="K338" s="50" t="s">
        <v>102</v>
      </c>
      <c r="L338" s="47" t="s">
        <v>2300</v>
      </c>
      <c r="M338" s="19"/>
      <c r="N338" s="19"/>
      <c r="O338" s="19"/>
      <c r="P338" s="19"/>
      <c r="Q338" s="50">
        <v>1.0</v>
      </c>
      <c r="R338" s="59">
        <v>45962.0</v>
      </c>
      <c r="S338" s="59">
        <v>46023.0</v>
      </c>
      <c r="T338" s="59">
        <v>46127.0</v>
      </c>
      <c r="U338" s="19"/>
      <c r="V338" s="50" t="s">
        <v>1321</v>
      </c>
      <c r="W338" s="19"/>
      <c r="X338" s="50" t="s">
        <v>12</v>
      </c>
      <c r="Y338" s="50" t="s">
        <v>1322</v>
      </c>
      <c r="Z338" s="50">
        <v>3.040318057E9</v>
      </c>
      <c r="AA338" s="50" t="s">
        <v>17</v>
      </c>
      <c r="AB338" s="50" t="s">
        <v>1553</v>
      </c>
      <c r="AC338" s="50" t="s">
        <v>1554</v>
      </c>
      <c r="AD338" s="19"/>
      <c r="AE338" s="19"/>
      <c r="AF338" s="19"/>
      <c r="AG338" s="19"/>
    </row>
    <row r="339">
      <c r="A339" s="47">
        <f>COUNTIF('Divulgação'!$B:$B,B339)</f>
        <v>1</v>
      </c>
      <c r="B339" s="47" t="s">
        <v>1003</v>
      </c>
      <c r="C339" s="19"/>
      <c r="D339" s="50" t="s">
        <v>1314</v>
      </c>
      <c r="E339" s="50" t="s">
        <v>1315</v>
      </c>
      <c r="F339" s="59">
        <v>46127.0</v>
      </c>
      <c r="G339" s="50" t="s">
        <v>1316</v>
      </c>
      <c r="H339" s="59">
        <v>46127.0</v>
      </c>
      <c r="I339" s="47" t="s">
        <v>101</v>
      </c>
      <c r="J339" s="50" t="s">
        <v>48</v>
      </c>
      <c r="K339" s="50" t="s">
        <v>102</v>
      </c>
      <c r="L339" s="47" t="s">
        <v>2301</v>
      </c>
      <c r="M339" s="19"/>
      <c r="N339" s="19"/>
      <c r="O339" s="19"/>
      <c r="P339" s="19"/>
      <c r="Q339" s="50">
        <v>1.0</v>
      </c>
      <c r="R339" s="59">
        <v>46023.0</v>
      </c>
      <c r="S339" s="59">
        <v>46082.0</v>
      </c>
      <c r="T339" s="59">
        <v>46127.0</v>
      </c>
      <c r="U339" s="19"/>
      <c r="V339" s="50" t="s">
        <v>1321</v>
      </c>
      <c r="W339" s="19"/>
      <c r="X339" s="50" t="s">
        <v>12</v>
      </c>
      <c r="Y339" s="50" t="s">
        <v>1322</v>
      </c>
      <c r="Z339" s="50">
        <v>3.040324264E9</v>
      </c>
      <c r="AA339" s="50" t="s">
        <v>13</v>
      </c>
      <c r="AB339" s="50" t="s">
        <v>1447</v>
      </c>
      <c r="AC339" s="50" t="s">
        <v>1911</v>
      </c>
      <c r="AD339" s="19"/>
      <c r="AE339" s="19"/>
      <c r="AF339" s="19"/>
      <c r="AG339" s="19"/>
    </row>
    <row r="340">
      <c r="A340" s="47">
        <f>COUNTIF('Divulgação'!$B:$B,B340)</f>
        <v>1</v>
      </c>
      <c r="B340" s="47" t="s">
        <v>1005</v>
      </c>
      <c r="C340" s="19"/>
      <c r="D340" s="50" t="s">
        <v>1314</v>
      </c>
      <c r="E340" s="50" t="s">
        <v>1315</v>
      </c>
      <c r="F340" s="59">
        <v>46129.0</v>
      </c>
      <c r="G340" s="50" t="s">
        <v>1316</v>
      </c>
      <c r="H340" s="59">
        <v>46129.0</v>
      </c>
      <c r="I340" s="47" t="s">
        <v>1337</v>
      </c>
      <c r="J340" s="50">
        <v>18560.0</v>
      </c>
      <c r="K340" s="50" t="s">
        <v>2302</v>
      </c>
      <c r="L340" s="47" t="s">
        <v>2303</v>
      </c>
      <c r="M340" s="19"/>
      <c r="N340" s="19"/>
      <c r="O340" s="19"/>
      <c r="P340" s="19"/>
      <c r="Q340" s="50">
        <v>1.0</v>
      </c>
      <c r="R340" s="59">
        <v>46129.0</v>
      </c>
      <c r="S340" s="59">
        <v>46136.0</v>
      </c>
      <c r="T340" s="59">
        <v>46129.0</v>
      </c>
      <c r="U340" s="19"/>
      <c r="V340" s="50" t="s">
        <v>1321</v>
      </c>
      <c r="W340" s="19"/>
      <c r="X340" s="50" t="s">
        <v>12</v>
      </c>
      <c r="Y340" s="50" t="s">
        <v>1322</v>
      </c>
      <c r="Z340" s="50">
        <v>3.040325891E9</v>
      </c>
      <c r="AA340" s="50" t="s">
        <v>13</v>
      </c>
      <c r="AB340" s="50" t="s">
        <v>1380</v>
      </c>
      <c r="AC340" s="50" t="s">
        <v>1564</v>
      </c>
      <c r="AD340" s="19"/>
      <c r="AE340" s="19"/>
      <c r="AF340" s="19"/>
      <c r="AG340" s="19"/>
    </row>
    <row r="341">
      <c r="A341" s="47">
        <f>COUNTIF('Divulgação'!$B:$B,B341)</f>
        <v>1</v>
      </c>
      <c r="B341" s="53" t="s">
        <v>1007</v>
      </c>
      <c r="C341" s="19"/>
      <c r="D341" s="50" t="s">
        <v>1314</v>
      </c>
      <c r="E341" s="50" t="s">
        <v>1315</v>
      </c>
      <c r="F341" s="62" t="s">
        <v>2304</v>
      </c>
      <c r="G341" s="50" t="s">
        <v>1316</v>
      </c>
      <c r="H341" s="62" t="s">
        <v>2304</v>
      </c>
      <c r="I341" s="47" t="s">
        <v>1477</v>
      </c>
      <c r="J341" s="50" t="s">
        <v>48</v>
      </c>
      <c r="K341" s="50" t="s">
        <v>1478</v>
      </c>
      <c r="L341" s="53" t="s">
        <v>1740</v>
      </c>
      <c r="M341" s="19"/>
      <c r="N341" s="19"/>
      <c r="O341" s="19"/>
      <c r="P341" s="19"/>
      <c r="Q341" s="62" t="s">
        <v>328</v>
      </c>
      <c r="R341" s="62" t="s">
        <v>2305</v>
      </c>
      <c r="S341" s="62" t="s">
        <v>2306</v>
      </c>
      <c r="T341" s="62" t="s">
        <v>2304</v>
      </c>
      <c r="U341" s="19"/>
      <c r="V341" s="50" t="s">
        <v>1321</v>
      </c>
      <c r="W341" s="19"/>
      <c r="X341" s="50" t="s">
        <v>12</v>
      </c>
      <c r="Y341" s="50" t="s">
        <v>1322</v>
      </c>
      <c r="Z341" s="62" t="s">
        <v>2307</v>
      </c>
      <c r="AA341" s="50" t="s">
        <v>12</v>
      </c>
      <c r="AB341" s="50" t="s">
        <v>1537</v>
      </c>
      <c r="AC341" s="50" t="s">
        <v>1741</v>
      </c>
      <c r="AD341" s="19"/>
      <c r="AE341" s="19"/>
      <c r="AF341" s="19"/>
      <c r="AG341" s="19"/>
    </row>
    <row r="342">
      <c r="A342" s="47">
        <f>COUNTIF('Divulgação'!$B:$B,B342)</f>
        <v>1</v>
      </c>
      <c r="B342" s="53" t="s">
        <v>1009</v>
      </c>
      <c r="C342" s="19"/>
      <c r="D342" s="50" t="s">
        <v>1314</v>
      </c>
      <c r="E342" s="50" t="s">
        <v>1315</v>
      </c>
      <c r="F342" s="62" t="s">
        <v>2304</v>
      </c>
      <c r="G342" s="50" t="s">
        <v>1316</v>
      </c>
      <c r="H342" s="62" t="s">
        <v>2304</v>
      </c>
      <c r="I342" s="47" t="s">
        <v>1477</v>
      </c>
      <c r="J342" s="50" t="s">
        <v>48</v>
      </c>
      <c r="K342" s="50" t="s">
        <v>1478</v>
      </c>
      <c r="L342" s="53" t="s">
        <v>1742</v>
      </c>
      <c r="M342" s="19"/>
      <c r="N342" s="19"/>
      <c r="O342" s="19"/>
      <c r="P342" s="19"/>
      <c r="Q342" s="62" t="s">
        <v>328</v>
      </c>
      <c r="R342" s="62" t="s">
        <v>2305</v>
      </c>
      <c r="S342" s="62" t="s">
        <v>2306</v>
      </c>
      <c r="T342" s="62" t="s">
        <v>2304</v>
      </c>
      <c r="U342" s="19"/>
      <c r="V342" s="50" t="s">
        <v>1321</v>
      </c>
      <c r="W342" s="19"/>
      <c r="X342" s="50" t="s">
        <v>12</v>
      </c>
      <c r="Y342" s="50" t="s">
        <v>1322</v>
      </c>
      <c r="Z342" s="62" t="s">
        <v>2308</v>
      </c>
      <c r="AA342" s="50" t="s">
        <v>1743</v>
      </c>
      <c r="AB342" s="50" t="s">
        <v>1744</v>
      </c>
      <c r="AC342" s="50" t="s">
        <v>1366</v>
      </c>
      <c r="AD342" s="19"/>
      <c r="AE342" s="19"/>
      <c r="AF342" s="19"/>
      <c r="AG342" s="19"/>
    </row>
    <row r="343">
      <c r="A343" s="47">
        <f>COUNTIF('Divulgação'!$B:$B,B343)</f>
        <v>1</v>
      </c>
      <c r="B343" s="53" t="s">
        <v>1011</v>
      </c>
      <c r="C343" s="19"/>
      <c r="D343" s="50" t="s">
        <v>1314</v>
      </c>
      <c r="E343" s="50" t="s">
        <v>1315</v>
      </c>
      <c r="F343" s="62" t="s">
        <v>2304</v>
      </c>
      <c r="G343" s="50" t="s">
        <v>1316</v>
      </c>
      <c r="H343" s="62" t="s">
        <v>2304</v>
      </c>
      <c r="I343" s="47" t="s">
        <v>1745</v>
      </c>
      <c r="J343" s="62" t="s">
        <v>1318</v>
      </c>
      <c r="K343" s="50" t="s">
        <v>1746</v>
      </c>
      <c r="L343" s="53" t="s">
        <v>1747</v>
      </c>
      <c r="M343" s="19"/>
      <c r="N343" s="19"/>
      <c r="O343" s="19"/>
      <c r="P343" s="19"/>
      <c r="Q343" s="62" t="s">
        <v>328</v>
      </c>
      <c r="R343" s="62" t="s">
        <v>2305</v>
      </c>
      <c r="S343" s="62" t="s">
        <v>2306</v>
      </c>
      <c r="T343" s="62" t="s">
        <v>2304</v>
      </c>
      <c r="U343" s="19"/>
      <c r="V343" s="50" t="s">
        <v>1321</v>
      </c>
      <c r="W343" s="19"/>
      <c r="X343" s="50" t="s">
        <v>12</v>
      </c>
      <c r="Y343" s="50" t="s">
        <v>1322</v>
      </c>
      <c r="Z343" s="62" t="s">
        <v>2309</v>
      </c>
      <c r="AA343" s="50" t="s">
        <v>12</v>
      </c>
      <c r="AB343" s="50" t="s">
        <v>1322</v>
      </c>
      <c r="AC343" s="50" t="s">
        <v>1369</v>
      </c>
      <c r="AD343" s="19"/>
      <c r="AE343" s="19"/>
      <c r="AF343" s="19"/>
      <c r="AG343" s="19"/>
    </row>
    <row r="344">
      <c r="A344" s="47">
        <f>COUNTIF('Divulgação'!$B:$B,B344)</f>
        <v>1</v>
      </c>
      <c r="B344" s="53" t="s">
        <v>1013</v>
      </c>
      <c r="C344" s="19"/>
      <c r="D344" s="50" t="s">
        <v>1314</v>
      </c>
      <c r="E344" s="50" t="s">
        <v>1315</v>
      </c>
      <c r="F344" s="62" t="s">
        <v>2304</v>
      </c>
      <c r="G344" s="50" t="s">
        <v>1316</v>
      </c>
      <c r="H344" s="62" t="s">
        <v>2304</v>
      </c>
      <c r="I344" s="47" t="s">
        <v>87</v>
      </c>
      <c r="J344" s="50" t="s">
        <v>48</v>
      </c>
      <c r="K344" s="50" t="s">
        <v>88</v>
      </c>
      <c r="L344" s="47" t="s">
        <v>2310</v>
      </c>
      <c r="M344" s="19"/>
      <c r="N344" s="19"/>
      <c r="O344" s="19"/>
      <c r="P344" s="19"/>
      <c r="Q344" s="62" t="s">
        <v>328</v>
      </c>
      <c r="R344" s="62" t="s">
        <v>2305</v>
      </c>
      <c r="S344" s="62" t="s">
        <v>2306</v>
      </c>
      <c r="T344" s="62" t="s">
        <v>2304</v>
      </c>
      <c r="U344" s="19"/>
      <c r="V344" s="50" t="s">
        <v>1321</v>
      </c>
      <c r="W344" s="19"/>
      <c r="X344" s="50" t="s">
        <v>12</v>
      </c>
      <c r="Y344" s="50" t="s">
        <v>1322</v>
      </c>
      <c r="Z344" s="62" t="s">
        <v>2311</v>
      </c>
      <c r="AA344" s="50" t="s">
        <v>14</v>
      </c>
      <c r="AB344" s="50" t="s">
        <v>1470</v>
      </c>
      <c r="AC344" s="50" t="s">
        <v>1881</v>
      </c>
      <c r="AD344" s="19"/>
      <c r="AE344" s="19"/>
      <c r="AF344" s="19"/>
      <c r="AG344" s="19"/>
    </row>
    <row r="345">
      <c r="A345" s="47">
        <f>COUNTIF('Divulgação'!$B:$B,B345)</f>
        <v>1</v>
      </c>
      <c r="B345" s="53" t="s">
        <v>1015</v>
      </c>
      <c r="C345" s="19"/>
      <c r="D345" s="50" t="s">
        <v>1314</v>
      </c>
      <c r="E345" s="50" t="s">
        <v>1315</v>
      </c>
      <c r="F345" s="62" t="s">
        <v>2304</v>
      </c>
      <c r="G345" s="50" t="s">
        <v>1316</v>
      </c>
      <c r="H345" s="62" t="s">
        <v>2304</v>
      </c>
      <c r="I345" s="47" t="s">
        <v>87</v>
      </c>
      <c r="J345" s="50" t="s">
        <v>48</v>
      </c>
      <c r="K345" s="50" t="s">
        <v>88</v>
      </c>
      <c r="L345" s="47" t="s">
        <v>2312</v>
      </c>
      <c r="M345" s="19"/>
      <c r="N345" s="19"/>
      <c r="O345" s="19"/>
      <c r="P345" s="19"/>
      <c r="Q345" s="62" t="s">
        <v>328</v>
      </c>
      <c r="R345" s="62" t="s">
        <v>2305</v>
      </c>
      <c r="S345" s="62" t="s">
        <v>2313</v>
      </c>
      <c r="T345" s="62" t="s">
        <v>2304</v>
      </c>
      <c r="U345" s="19"/>
      <c r="V345" s="50" t="s">
        <v>1321</v>
      </c>
      <c r="W345" s="19"/>
      <c r="X345" s="50" t="s">
        <v>12</v>
      </c>
      <c r="Y345" s="50" t="s">
        <v>1322</v>
      </c>
      <c r="Z345" s="62" t="s">
        <v>2314</v>
      </c>
      <c r="AA345" s="50" t="s">
        <v>1500</v>
      </c>
      <c r="AB345" s="50" t="s">
        <v>1537</v>
      </c>
      <c r="AC345" s="50" t="s">
        <v>1770</v>
      </c>
      <c r="AD345" s="19"/>
      <c r="AE345" s="19"/>
      <c r="AF345" s="19"/>
      <c r="AG345" s="19"/>
    </row>
    <row r="346">
      <c r="A346" s="47">
        <f>COUNTIF('Divulgação'!$B:$B,B346)</f>
        <v>1</v>
      </c>
      <c r="B346" s="53" t="s">
        <v>1017</v>
      </c>
      <c r="C346" s="19"/>
      <c r="D346" s="50" t="s">
        <v>1314</v>
      </c>
      <c r="E346" s="50" t="s">
        <v>1315</v>
      </c>
      <c r="F346" s="62" t="s">
        <v>2304</v>
      </c>
      <c r="G346" s="50" t="s">
        <v>1316</v>
      </c>
      <c r="H346" s="62" t="s">
        <v>2304</v>
      </c>
      <c r="I346" s="47" t="s">
        <v>129</v>
      </c>
      <c r="J346" s="62" t="s">
        <v>1318</v>
      </c>
      <c r="K346" s="50" t="s">
        <v>130</v>
      </c>
      <c r="L346" s="53" t="s">
        <v>1748</v>
      </c>
      <c r="M346" s="19"/>
      <c r="N346" s="19"/>
      <c r="O346" s="19"/>
      <c r="P346" s="19"/>
      <c r="Q346" s="62" t="s">
        <v>328</v>
      </c>
      <c r="R346" s="62" t="s">
        <v>2305</v>
      </c>
      <c r="S346" s="62" t="s">
        <v>2306</v>
      </c>
      <c r="T346" s="62" t="s">
        <v>2304</v>
      </c>
      <c r="U346" s="19"/>
      <c r="V346" s="50" t="s">
        <v>1347</v>
      </c>
      <c r="W346" s="62" t="s">
        <v>2315</v>
      </c>
      <c r="X346" s="50" t="s">
        <v>12</v>
      </c>
      <c r="Y346" s="50" t="s">
        <v>1322</v>
      </c>
      <c r="Z346" s="62" t="s">
        <v>2316</v>
      </c>
      <c r="AA346" s="50" t="s">
        <v>24</v>
      </c>
      <c r="AB346" s="50" t="s">
        <v>1359</v>
      </c>
      <c r="AC346" s="50" t="s">
        <v>1360</v>
      </c>
      <c r="AD346" s="19"/>
      <c r="AE346" s="19"/>
      <c r="AF346" s="19"/>
      <c r="AG346" s="19"/>
    </row>
    <row r="347">
      <c r="A347" s="47">
        <f>COUNTIF('Divulgação'!$B:$B,B347)</f>
        <v>1</v>
      </c>
      <c r="B347" s="53" t="s">
        <v>1019</v>
      </c>
      <c r="C347" s="19"/>
      <c r="D347" s="50" t="s">
        <v>1314</v>
      </c>
      <c r="E347" s="50" t="s">
        <v>1315</v>
      </c>
      <c r="F347" s="62" t="s">
        <v>2304</v>
      </c>
      <c r="G347" s="50" t="s">
        <v>1316</v>
      </c>
      <c r="H347" s="62" t="s">
        <v>2304</v>
      </c>
      <c r="I347" s="47" t="s">
        <v>95</v>
      </c>
      <c r="J347" s="62" t="s">
        <v>1318</v>
      </c>
      <c r="K347" s="50" t="s">
        <v>1751</v>
      </c>
      <c r="L347" s="53" t="s">
        <v>2317</v>
      </c>
      <c r="M347" s="19"/>
      <c r="N347" s="19"/>
      <c r="O347" s="19"/>
      <c r="P347" s="19"/>
      <c r="Q347" s="62" t="s">
        <v>328</v>
      </c>
      <c r="R347" s="62" t="s">
        <v>2318</v>
      </c>
      <c r="S347" s="62" t="s">
        <v>2319</v>
      </c>
      <c r="T347" s="62" t="s">
        <v>2304</v>
      </c>
      <c r="U347" s="19"/>
      <c r="V347" s="50" t="s">
        <v>1321</v>
      </c>
      <c r="W347" s="19"/>
      <c r="X347" s="50" t="s">
        <v>12</v>
      </c>
      <c r="Y347" s="50" t="s">
        <v>1322</v>
      </c>
      <c r="Z347" s="62" t="s">
        <v>2320</v>
      </c>
      <c r="AA347" s="50" t="s">
        <v>13</v>
      </c>
      <c r="AB347" s="50" t="s">
        <v>1380</v>
      </c>
      <c r="AC347" s="50" t="s">
        <v>1541</v>
      </c>
      <c r="AD347" s="19"/>
      <c r="AE347" s="19"/>
      <c r="AF347" s="19"/>
      <c r="AG347" s="19"/>
    </row>
    <row r="348">
      <c r="A348" s="47">
        <f>COUNTIF('Divulgação'!$B:$B,B348)</f>
        <v>1</v>
      </c>
      <c r="B348" s="53" t="s">
        <v>1021</v>
      </c>
      <c r="C348" s="19"/>
      <c r="D348" s="50" t="s">
        <v>1314</v>
      </c>
      <c r="E348" s="50" t="s">
        <v>1315</v>
      </c>
      <c r="F348" s="62" t="s">
        <v>2304</v>
      </c>
      <c r="G348" s="50" t="s">
        <v>1316</v>
      </c>
      <c r="H348" s="62" t="s">
        <v>2304</v>
      </c>
      <c r="I348" s="47" t="s">
        <v>129</v>
      </c>
      <c r="J348" s="62" t="s">
        <v>1318</v>
      </c>
      <c r="K348" s="50" t="s">
        <v>130</v>
      </c>
      <c r="L348" s="53" t="s">
        <v>2321</v>
      </c>
      <c r="M348" s="19"/>
      <c r="N348" s="19"/>
      <c r="O348" s="19"/>
      <c r="P348" s="19"/>
      <c r="Q348" s="62" t="s">
        <v>328</v>
      </c>
      <c r="R348" s="62" t="s">
        <v>2305</v>
      </c>
      <c r="S348" s="62" t="s">
        <v>2306</v>
      </c>
      <c r="T348" s="62" t="s">
        <v>2304</v>
      </c>
      <c r="U348" s="19"/>
      <c r="V348" s="50" t="s">
        <v>1321</v>
      </c>
      <c r="W348" s="19"/>
      <c r="X348" s="50" t="s">
        <v>12</v>
      </c>
      <c r="Y348" s="50" t="s">
        <v>1322</v>
      </c>
      <c r="Z348" s="62" t="s">
        <v>2322</v>
      </c>
      <c r="AA348" s="50" t="s">
        <v>1500</v>
      </c>
      <c r="AB348" s="50" t="s">
        <v>1537</v>
      </c>
      <c r="AC348" s="50" t="s">
        <v>2019</v>
      </c>
      <c r="AD348" s="19"/>
      <c r="AE348" s="19"/>
      <c r="AF348" s="19"/>
      <c r="AG348" s="19"/>
    </row>
    <row r="349">
      <c r="A349" s="47">
        <f>COUNTIF('Divulgação'!$B:$B,B349)</f>
        <v>1</v>
      </c>
      <c r="B349" s="53" t="s">
        <v>1023</v>
      </c>
      <c r="C349" s="19"/>
      <c r="D349" s="50" t="s">
        <v>1314</v>
      </c>
      <c r="E349" s="50" t="s">
        <v>1315</v>
      </c>
      <c r="F349" s="62" t="s">
        <v>2304</v>
      </c>
      <c r="G349" s="50" t="s">
        <v>1316</v>
      </c>
      <c r="H349" s="62" t="s">
        <v>2304</v>
      </c>
      <c r="I349" s="47" t="s">
        <v>129</v>
      </c>
      <c r="J349" s="62" t="s">
        <v>1318</v>
      </c>
      <c r="K349" s="50" t="s">
        <v>130</v>
      </c>
      <c r="L349" s="53" t="s">
        <v>1749</v>
      </c>
      <c r="M349" s="19"/>
      <c r="N349" s="19"/>
      <c r="O349" s="19"/>
      <c r="P349" s="19"/>
      <c r="Q349" s="62" t="s">
        <v>328</v>
      </c>
      <c r="R349" s="62" t="s">
        <v>2305</v>
      </c>
      <c r="S349" s="62" t="s">
        <v>2306</v>
      </c>
      <c r="T349" s="62" t="s">
        <v>2304</v>
      </c>
      <c r="U349" s="19"/>
      <c r="V349" s="50" t="s">
        <v>1321</v>
      </c>
      <c r="W349" s="19"/>
      <c r="X349" s="50" t="s">
        <v>12</v>
      </c>
      <c r="Y349" s="50" t="s">
        <v>1322</v>
      </c>
      <c r="Z349" s="62" t="s">
        <v>2323</v>
      </c>
      <c r="AA349" s="50" t="s">
        <v>17</v>
      </c>
      <c r="AB349" s="50" t="s">
        <v>1458</v>
      </c>
      <c r="AC349" s="50" t="s">
        <v>1459</v>
      </c>
      <c r="AD349" s="19"/>
      <c r="AE349" s="19"/>
      <c r="AF349" s="19"/>
      <c r="AG349" s="19"/>
    </row>
    <row r="350">
      <c r="A350" s="47">
        <f>COUNTIF('Divulgação'!$B:$B,B350)</f>
        <v>1</v>
      </c>
      <c r="B350" s="53" t="s">
        <v>1025</v>
      </c>
      <c r="C350" s="19"/>
      <c r="D350" s="50" t="s">
        <v>1314</v>
      </c>
      <c r="E350" s="50" t="s">
        <v>1315</v>
      </c>
      <c r="F350" s="62" t="s">
        <v>2304</v>
      </c>
      <c r="G350" s="50" t="s">
        <v>1316</v>
      </c>
      <c r="H350" s="62" t="s">
        <v>2304</v>
      </c>
      <c r="I350" s="47" t="s">
        <v>95</v>
      </c>
      <c r="J350" s="62" t="s">
        <v>1318</v>
      </c>
      <c r="K350" s="50" t="s">
        <v>1751</v>
      </c>
      <c r="L350" s="53" t="s">
        <v>1752</v>
      </c>
      <c r="M350" s="19"/>
      <c r="N350" s="19"/>
      <c r="O350" s="19"/>
      <c r="P350" s="19"/>
      <c r="Q350" s="62" t="s">
        <v>328</v>
      </c>
      <c r="R350" s="62" t="s">
        <v>2318</v>
      </c>
      <c r="S350" s="62" t="s">
        <v>2319</v>
      </c>
      <c r="T350" s="62" t="s">
        <v>2304</v>
      </c>
      <c r="U350" s="19"/>
      <c r="V350" s="50" t="s">
        <v>1321</v>
      </c>
      <c r="W350" s="19"/>
      <c r="X350" s="50" t="s">
        <v>12</v>
      </c>
      <c r="Y350" s="50" t="s">
        <v>1322</v>
      </c>
      <c r="Z350" s="62" t="s">
        <v>2324</v>
      </c>
      <c r="AA350" s="50" t="s">
        <v>12</v>
      </c>
      <c r="AB350" s="50" t="s">
        <v>1322</v>
      </c>
      <c r="AC350" s="50" t="s">
        <v>1369</v>
      </c>
      <c r="AD350" s="19"/>
      <c r="AE350" s="19"/>
      <c r="AF350" s="19"/>
      <c r="AG350" s="19"/>
    </row>
    <row r="351">
      <c r="A351" s="47">
        <f>COUNTIF('Divulgação'!$B:$B,B351)</f>
        <v>1</v>
      </c>
      <c r="B351" s="53" t="s">
        <v>1027</v>
      </c>
      <c r="C351" s="19"/>
      <c r="D351" s="50" t="s">
        <v>1314</v>
      </c>
      <c r="E351" s="50" t="s">
        <v>1315</v>
      </c>
      <c r="F351" s="62" t="s">
        <v>2304</v>
      </c>
      <c r="G351" s="50" t="s">
        <v>1316</v>
      </c>
      <c r="H351" s="62" t="s">
        <v>2304</v>
      </c>
      <c r="I351" s="47" t="s">
        <v>1745</v>
      </c>
      <c r="J351" s="62" t="s">
        <v>1318</v>
      </c>
      <c r="K351" s="50" t="s">
        <v>1746</v>
      </c>
      <c r="L351" s="53" t="s">
        <v>1750</v>
      </c>
      <c r="M351" s="19"/>
      <c r="N351" s="19"/>
      <c r="O351" s="19"/>
      <c r="P351" s="19"/>
      <c r="Q351" s="62" t="s">
        <v>328</v>
      </c>
      <c r="R351" s="62" t="s">
        <v>2305</v>
      </c>
      <c r="S351" s="62" t="s">
        <v>2306</v>
      </c>
      <c r="T351" s="62" t="s">
        <v>2304</v>
      </c>
      <c r="U351" s="19"/>
      <c r="V351" s="50" t="s">
        <v>1321</v>
      </c>
      <c r="W351" s="19"/>
      <c r="X351" s="50" t="s">
        <v>12</v>
      </c>
      <c r="Y351" s="50" t="s">
        <v>1322</v>
      </c>
      <c r="Z351" s="62" t="s">
        <v>2325</v>
      </c>
      <c r="AA351" s="50" t="s">
        <v>12</v>
      </c>
      <c r="AB351" s="50" t="s">
        <v>1322</v>
      </c>
      <c r="AC351" s="50" t="s">
        <v>1369</v>
      </c>
      <c r="AD351" s="19"/>
      <c r="AE351" s="19"/>
      <c r="AF351" s="19"/>
      <c r="AG351" s="19"/>
    </row>
    <row r="352">
      <c r="A352" s="47">
        <f>COUNTIF('Divulgação'!$B:$B,B352)</f>
        <v>1</v>
      </c>
      <c r="B352" s="53" t="s">
        <v>1029</v>
      </c>
      <c r="C352" s="19"/>
      <c r="D352" s="50" t="s">
        <v>1314</v>
      </c>
      <c r="E352" s="50" t="s">
        <v>1315</v>
      </c>
      <c r="F352" s="62" t="s">
        <v>2304</v>
      </c>
      <c r="G352" s="50" t="s">
        <v>1316</v>
      </c>
      <c r="H352" s="62" t="s">
        <v>2304</v>
      </c>
      <c r="I352" s="47" t="s">
        <v>131</v>
      </c>
      <c r="J352" s="50" t="s">
        <v>48</v>
      </c>
      <c r="K352" s="50" t="s">
        <v>1408</v>
      </c>
      <c r="L352" s="53" t="s">
        <v>1753</v>
      </c>
      <c r="M352" s="19"/>
      <c r="N352" s="19"/>
      <c r="O352" s="19"/>
      <c r="P352" s="19"/>
      <c r="Q352" s="62" t="s">
        <v>328</v>
      </c>
      <c r="R352" s="62" t="s">
        <v>2305</v>
      </c>
      <c r="S352" s="62" t="s">
        <v>2306</v>
      </c>
      <c r="T352" s="62" t="s">
        <v>2304</v>
      </c>
      <c r="U352" s="19"/>
      <c r="V352" s="50" t="s">
        <v>1321</v>
      </c>
      <c r="W352" s="50"/>
      <c r="X352" s="50" t="s">
        <v>12</v>
      </c>
      <c r="Y352" s="50" t="s">
        <v>1322</v>
      </c>
      <c r="Z352" s="62" t="s">
        <v>2326</v>
      </c>
      <c r="AA352" s="50" t="s">
        <v>12</v>
      </c>
      <c r="AB352" s="50" t="s">
        <v>1322</v>
      </c>
      <c r="AC352" s="50" t="s">
        <v>1336</v>
      </c>
      <c r="AD352" s="19"/>
      <c r="AE352" s="19"/>
      <c r="AF352" s="19"/>
      <c r="AG352" s="19"/>
    </row>
    <row r="353">
      <c r="A353" s="47">
        <f>COUNTIF('Divulgação'!$B:$B,B353)</f>
        <v>1</v>
      </c>
      <c r="B353" s="53" t="s">
        <v>1031</v>
      </c>
      <c r="C353" s="19"/>
      <c r="D353" s="50" t="s">
        <v>1314</v>
      </c>
      <c r="E353" s="50" t="s">
        <v>1315</v>
      </c>
      <c r="F353" s="62" t="s">
        <v>2304</v>
      </c>
      <c r="G353" s="50" t="s">
        <v>1316</v>
      </c>
      <c r="H353" s="62" t="s">
        <v>2304</v>
      </c>
      <c r="I353" s="47" t="s">
        <v>131</v>
      </c>
      <c r="J353" s="50" t="s">
        <v>48</v>
      </c>
      <c r="K353" s="50" t="s">
        <v>1408</v>
      </c>
      <c r="L353" s="53" t="s">
        <v>1754</v>
      </c>
      <c r="M353" s="19"/>
      <c r="N353" s="19"/>
      <c r="O353" s="19"/>
      <c r="P353" s="19"/>
      <c r="Q353" s="62" t="s">
        <v>328</v>
      </c>
      <c r="R353" s="62" t="s">
        <v>2305</v>
      </c>
      <c r="S353" s="62" t="s">
        <v>2306</v>
      </c>
      <c r="T353" s="62" t="s">
        <v>2304</v>
      </c>
      <c r="U353" s="19"/>
      <c r="V353" s="50" t="s">
        <v>1321</v>
      </c>
      <c r="W353" s="19"/>
      <c r="X353" s="50" t="s">
        <v>12</v>
      </c>
      <c r="Y353" s="50" t="s">
        <v>1322</v>
      </c>
      <c r="Z353" s="62" t="s">
        <v>2327</v>
      </c>
      <c r="AA353" s="50" t="s">
        <v>12</v>
      </c>
      <c r="AB353" s="50" t="s">
        <v>1322</v>
      </c>
      <c r="AC353" s="50" t="s">
        <v>1336</v>
      </c>
      <c r="AD353" s="19"/>
      <c r="AE353" s="19"/>
      <c r="AF353" s="19"/>
      <c r="AG353" s="19"/>
    </row>
    <row r="354">
      <c r="A354" s="47">
        <f>COUNTIF('Divulgação'!$B:$B,B354)</f>
        <v>1</v>
      </c>
      <c r="B354" s="53" t="s">
        <v>1033</v>
      </c>
      <c r="C354" s="19"/>
      <c r="D354" s="50" t="s">
        <v>1314</v>
      </c>
      <c r="E354" s="50" t="s">
        <v>1315</v>
      </c>
      <c r="F354" s="62" t="s">
        <v>2304</v>
      </c>
      <c r="G354" s="50" t="s">
        <v>1316</v>
      </c>
      <c r="H354" s="62" t="s">
        <v>2304</v>
      </c>
      <c r="I354" s="47" t="s">
        <v>87</v>
      </c>
      <c r="J354" s="50" t="s">
        <v>48</v>
      </c>
      <c r="K354" s="50" t="s">
        <v>88</v>
      </c>
      <c r="L354" s="47" t="s">
        <v>1755</v>
      </c>
      <c r="M354" s="19"/>
      <c r="N354" s="19"/>
      <c r="O354" s="19"/>
      <c r="P354" s="19"/>
      <c r="Q354" s="62" t="s">
        <v>328</v>
      </c>
      <c r="R354" s="62" t="s">
        <v>2305</v>
      </c>
      <c r="S354" s="62" t="s">
        <v>2306</v>
      </c>
      <c r="T354" s="62" t="s">
        <v>2304</v>
      </c>
      <c r="U354" s="19"/>
      <c r="V354" s="50" t="s">
        <v>1321</v>
      </c>
      <c r="W354" s="19"/>
      <c r="X354" s="50" t="s">
        <v>12</v>
      </c>
      <c r="Y354" s="50" t="s">
        <v>1322</v>
      </c>
      <c r="Z354" s="62" t="s">
        <v>2328</v>
      </c>
      <c r="AA354" s="50" t="s">
        <v>17</v>
      </c>
      <c r="AB354" s="50" t="s">
        <v>1343</v>
      </c>
      <c r="AC354" s="50" t="s">
        <v>1344</v>
      </c>
      <c r="AD354" s="19"/>
      <c r="AE354" s="19"/>
      <c r="AF354" s="19"/>
      <c r="AG354" s="19"/>
    </row>
    <row r="355">
      <c r="A355" s="47">
        <f>COUNTIF('Divulgação'!$B:$B,B355)</f>
        <v>1</v>
      </c>
      <c r="B355" s="53" t="s">
        <v>1035</v>
      </c>
      <c r="C355" s="19"/>
      <c r="D355" s="50" t="s">
        <v>1314</v>
      </c>
      <c r="E355" s="50" t="s">
        <v>1315</v>
      </c>
      <c r="F355" s="62" t="s">
        <v>2304</v>
      </c>
      <c r="G355" s="50" t="s">
        <v>1316</v>
      </c>
      <c r="H355" s="62" t="s">
        <v>2304</v>
      </c>
      <c r="I355" s="47" t="s">
        <v>95</v>
      </c>
      <c r="J355" s="62" t="s">
        <v>1318</v>
      </c>
      <c r="K355" s="50" t="s">
        <v>1751</v>
      </c>
      <c r="L355" s="53" t="s">
        <v>1756</v>
      </c>
      <c r="M355" s="19"/>
      <c r="N355" s="19"/>
      <c r="O355" s="19"/>
      <c r="P355" s="19"/>
      <c r="Q355" s="62" t="s">
        <v>328</v>
      </c>
      <c r="R355" s="62" t="s">
        <v>2319</v>
      </c>
      <c r="S355" s="62" t="s">
        <v>2329</v>
      </c>
      <c r="T355" s="62" t="s">
        <v>2304</v>
      </c>
      <c r="U355" s="19"/>
      <c r="V355" s="50" t="s">
        <v>1321</v>
      </c>
      <c r="W355" s="19"/>
      <c r="X355" s="50" t="s">
        <v>12</v>
      </c>
      <c r="Y355" s="50" t="s">
        <v>1322</v>
      </c>
      <c r="Z355" s="62" t="s">
        <v>2330</v>
      </c>
      <c r="AA355" s="50" t="s">
        <v>1376</v>
      </c>
      <c r="AB355" s="50" t="s">
        <v>1380</v>
      </c>
      <c r="AC355" s="50" t="s">
        <v>1473</v>
      </c>
      <c r="AD355" s="19"/>
      <c r="AE355" s="19"/>
      <c r="AF355" s="19"/>
      <c r="AG355" s="19"/>
    </row>
    <row r="356">
      <c r="A356" s="47">
        <f>COUNTIF('Divulgação'!$B:$B,B356)</f>
        <v>1</v>
      </c>
      <c r="B356" s="53" t="s">
        <v>1037</v>
      </c>
      <c r="C356" s="19"/>
      <c r="D356" s="50" t="s">
        <v>1314</v>
      </c>
      <c r="E356" s="50" t="s">
        <v>1315</v>
      </c>
      <c r="F356" s="62" t="s">
        <v>2304</v>
      </c>
      <c r="G356" s="50" t="s">
        <v>1316</v>
      </c>
      <c r="H356" s="62" t="s">
        <v>2304</v>
      </c>
      <c r="I356" s="47" t="s">
        <v>1745</v>
      </c>
      <c r="J356" s="62" t="s">
        <v>1318</v>
      </c>
      <c r="K356" s="50" t="s">
        <v>1746</v>
      </c>
      <c r="L356" s="53" t="s">
        <v>1757</v>
      </c>
      <c r="M356" s="19"/>
      <c r="N356" s="19"/>
      <c r="O356" s="19"/>
      <c r="P356" s="19"/>
      <c r="Q356" s="62" t="s">
        <v>328</v>
      </c>
      <c r="R356" s="62" t="s">
        <v>2305</v>
      </c>
      <c r="S356" s="62" t="s">
        <v>2306</v>
      </c>
      <c r="T356" s="62" t="s">
        <v>2304</v>
      </c>
      <c r="U356" s="19"/>
      <c r="V356" s="50" t="s">
        <v>1321</v>
      </c>
      <c r="W356" s="19"/>
      <c r="X356" s="50" t="s">
        <v>12</v>
      </c>
      <c r="Y356" s="50" t="s">
        <v>1322</v>
      </c>
      <c r="Z356" s="62" t="s">
        <v>2331</v>
      </c>
      <c r="AA356" s="50" t="s">
        <v>12</v>
      </c>
      <c r="AB356" s="50" t="s">
        <v>1385</v>
      </c>
      <c r="AC356" s="50" t="s">
        <v>1758</v>
      </c>
      <c r="AD356" s="19"/>
      <c r="AE356" s="19"/>
      <c r="AF356" s="19"/>
      <c r="AG356" s="19"/>
    </row>
    <row r="357">
      <c r="A357" s="47">
        <f>COUNTIF('Divulgação'!$B:$B,B357)</f>
        <v>1</v>
      </c>
      <c r="B357" s="53" t="s">
        <v>1039</v>
      </c>
      <c r="C357" s="19"/>
      <c r="D357" s="50" t="s">
        <v>1314</v>
      </c>
      <c r="E357" s="50" t="s">
        <v>1315</v>
      </c>
      <c r="F357" s="62" t="s">
        <v>2304</v>
      </c>
      <c r="G357" s="50" t="s">
        <v>1316</v>
      </c>
      <c r="H357" s="62" t="s">
        <v>2304</v>
      </c>
      <c r="I357" s="47" t="s">
        <v>129</v>
      </c>
      <c r="J357" s="62" t="s">
        <v>1318</v>
      </c>
      <c r="K357" s="50" t="s">
        <v>130</v>
      </c>
      <c r="L357" s="53" t="s">
        <v>2332</v>
      </c>
      <c r="M357" s="19"/>
      <c r="N357" s="19"/>
      <c r="O357" s="19"/>
      <c r="P357" s="19"/>
      <c r="Q357" s="62" t="s">
        <v>328</v>
      </c>
      <c r="R357" s="62" t="s">
        <v>2305</v>
      </c>
      <c r="S357" s="62" t="s">
        <v>2306</v>
      </c>
      <c r="T357" s="62" t="s">
        <v>2304</v>
      </c>
      <c r="U357" s="19"/>
      <c r="V357" s="50" t="s">
        <v>1321</v>
      </c>
      <c r="W357" s="19"/>
      <c r="X357" s="50" t="s">
        <v>12</v>
      </c>
      <c r="Y357" s="50" t="s">
        <v>1322</v>
      </c>
      <c r="Z357" s="62" t="s">
        <v>2333</v>
      </c>
      <c r="AA357" s="50" t="s">
        <v>15</v>
      </c>
      <c r="AB357" s="50" t="s">
        <v>1348</v>
      </c>
      <c r="AC357" s="50" t="s">
        <v>1584</v>
      </c>
      <c r="AD357" s="19"/>
      <c r="AE357" s="19"/>
      <c r="AF357" s="19"/>
      <c r="AG357" s="19"/>
    </row>
    <row r="358">
      <c r="A358" s="47">
        <f>COUNTIF('Divulgação'!$B:$B,B358)</f>
        <v>1</v>
      </c>
      <c r="B358" s="53" t="s">
        <v>1041</v>
      </c>
      <c r="C358" s="19"/>
      <c r="D358" s="50" t="s">
        <v>1314</v>
      </c>
      <c r="E358" s="50" t="s">
        <v>1315</v>
      </c>
      <c r="F358" s="62" t="s">
        <v>2304</v>
      </c>
      <c r="G358" s="50" t="s">
        <v>1316</v>
      </c>
      <c r="H358" s="62" t="s">
        <v>2304</v>
      </c>
      <c r="I358" s="47" t="s">
        <v>1765</v>
      </c>
      <c r="J358" s="50" t="s">
        <v>232</v>
      </c>
      <c r="K358" s="50" t="s">
        <v>1766</v>
      </c>
      <c r="L358" s="53" t="s">
        <v>1767</v>
      </c>
      <c r="M358" s="19"/>
      <c r="N358" s="19"/>
      <c r="O358" s="19"/>
      <c r="P358" s="19"/>
      <c r="Q358" s="62" t="s">
        <v>328</v>
      </c>
      <c r="R358" s="62" t="s">
        <v>2305</v>
      </c>
      <c r="S358" s="62" t="s">
        <v>2306</v>
      </c>
      <c r="T358" s="62" t="s">
        <v>2304</v>
      </c>
      <c r="U358" s="19"/>
      <c r="V358" s="50" t="s">
        <v>1321</v>
      </c>
      <c r="W358" s="19"/>
      <c r="X358" s="50" t="s">
        <v>12</v>
      </c>
      <c r="Y358" s="50" t="s">
        <v>1322</v>
      </c>
      <c r="Z358" s="62" t="s">
        <v>2334</v>
      </c>
      <c r="AA358" s="50" t="s">
        <v>1352</v>
      </c>
      <c r="AB358" s="50" t="s">
        <v>1353</v>
      </c>
      <c r="AC358" s="50" t="s">
        <v>1566</v>
      </c>
      <c r="AD358" s="19"/>
      <c r="AE358" s="19"/>
      <c r="AF358" s="19"/>
      <c r="AG358" s="19"/>
    </row>
    <row r="359">
      <c r="A359" s="47">
        <f>COUNTIF('Divulgação'!$B:$B,B359)</f>
        <v>1</v>
      </c>
      <c r="B359" s="53" t="s">
        <v>1043</v>
      </c>
      <c r="C359" s="19"/>
      <c r="D359" s="50" t="s">
        <v>1314</v>
      </c>
      <c r="E359" s="50" t="s">
        <v>1315</v>
      </c>
      <c r="F359" s="62" t="s">
        <v>2304</v>
      </c>
      <c r="G359" s="50" t="s">
        <v>1316</v>
      </c>
      <c r="H359" s="62" t="s">
        <v>2304</v>
      </c>
      <c r="I359" s="47" t="s">
        <v>1765</v>
      </c>
      <c r="J359" s="50" t="s">
        <v>232</v>
      </c>
      <c r="K359" s="50" t="s">
        <v>1766</v>
      </c>
      <c r="L359" s="53" t="s">
        <v>2335</v>
      </c>
      <c r="M359" s="19"/>
      <c r="N359" s="19"/>
      <c r="O359" s="19"/>
      <c r="P359" s="19"/>
      <c r="Q359" s="62" t="s">
        <v>328</v>
      </c>
      <c r="R359" s="62" t="s">
        <v>2305</v>
      </c>
      <c r="S359" s="62" t="s">
        <v>2306</v>
      </c>
      <c r="T359" s="62" t="s">
        <v>2304</v>
      </c>
      <c r="U359" s="19"/>
      <c r="V359" s="50" t="s">
        <v>1321</v>
      </c>
      <c r="W359" s="19"/>
      <c r="X359" s="50" t="s">
        <v>12</v>
      </c>
      <c r="Y359" s="50" t="s">
        <v>1322</v>
      </c>
      <c r="Z359" s="62" t="s">
        <v>2336</v>
      </c>
      <c r="AA359" s="50" t="s">
        <v>1352</v>
      </c>
      <c r="AB359" s="50" t="s">
        <v>1353</v>
      </c>
      <c r="AC359" s="50" t="s">
        <v>1566</v>
      </c>
      <c r="AD359" s="19"/>
      <c r="AE359" s="19"/>
      <c r="AF359" s="19"/>
      <c r="AG359" s="19"/>
    </row>
    <row r="360">
      <c r="A360" s="47">
        <f>COUNTIF('Divulgação'!$B:$B,B360)</f>
        <v>1</v>
      </c>
      <c r="B360" s="53" t="s">
        <v>1045</v>
      </c>
      <c r="C360" s="19"/>
      <c r="D360" s="50" t="s">
        <v>1314</v>
      </c>
      <c r="E360" s="50" t="s">
        <v>1315</v>
      </c>
      <c r="F360" s="62" t="s">
        <v>2304</v>
      </c>
      <c r="G360" s="50" t="s">
        <v>1316</v>
      </c>
      <c r="H360" s="62" t="s">
        <v>2304</v>
      </c>
      <c r="I360" s="47" t="s">
        <v>1765</v>
      </c>
      <c r="J360" s="50" t="s">
        <v>232</v>
      </c>
      <c r="K360" s="50" t="s">
        <v>1766</v>
      </c>
      <c r="L360" s="53" t="s">
        <v>2337</v>
      </c>
      <c r="M360" s="19"/>
      <c r="N360" s="19"/>
      <c r="O360" s="19"/>
      <c r="P360" s="19"/>
      <c r="Q360" s="62" t="s">
        <v>328</v>
      </c>
      <c r="R360" s="62" t="s">
        <v>2305</v>
      </c>
      <c r="S360" s="62" t="s">
        <v>2306</v>
      </c>
      <c r="T360" s="62" t="s">
        <v>2304</v>
      </c>
      <c r="U360" s="19"/>
      <c r="V360" s="50" t="s">
        <v>1321</v>
      </c>
      <c r="W360" s="19"/>
      <c r="X360" s="50" t="s">
        <v>12</v>
      </c>
      <c r="Y360" s="50" t="s">
        <v>1322</v>
      </c>
      <c r="Z360" s="62" t="s">
        <v>2338</v>
      </c>
      <c r="AA360" s="50" t="s">
        <v>16</v>
      </c>
      <c r="AB360" s="50" t="s">
        <v>1331</v>
      </c>
      <c r="AC360" s="50" t="s">
        <v>1332</v>
      </c>
      <c r="AD360" s="19"/>
      <c r="AE360" s="19"/>
      <c r="AF360" s="19"/>
      <c r="AG360" s="19"/>
    </row>
    <row r="361">
      <c r="A361" s="47">
        <f>COUNTIF('Divulgação'!$B:$B,B361)</f>
        <v>1</v>
      </c>
      <c r="B361" s="53" t="s">
        <v>1047</v>
      </c>
      <c r="C361" s="19"/>
      <c r="D361" s="50" t="s">
        <v>1314</v>
      </c>
      <c r="E361" s="50" t="s">
        <v>1315</v>
      </c>
      <c r="F361" s="62" t="s">
        <v>2304</v>
      </c>
      <c r="G361" s="50" t="s">
        <v>1316</v>
      </c>
      <c r="H361" s="62" t="s">
        <v>2304</v>
      </c>
      <c r="I361" s="47" t="s">
        <v>1759</v>
      </c>
      <c r="J361" s="50" t="s">
        <v>48</v>
      </c>
      <c r="K361" s="50" t="s">
        <v>88</v>
      </c>
      <c r="L361" s="47" t="s">
        <v>1764</v>
      </c>
      <c r="M361" s="19"/>
      <c r="N361" s="19"/>
      <c r="O361" s="19"/>
      <c r="P361" s="19"/>
      <c r="Q361" s="62" t="s">
        <v>328</v>
      </c>
      <c r="R361" s="62" t="s">
        <v>2305</v>
      </c>
      <c r="S361" s="62" t="s">
        <v>2306</v>
      </c>
      <c r="T361" s="62" t="s">
        <v>2304</v>
      </c>
      <c r="U361" s="19"/>
      <c r="V361" s="50" t="s">
        <v>1321</v>
      </c>
      <c r="W361" s="19"/>
      <c r="X361" s="50" t="s">
        <v>12</v>
      </c>
      <c r="Y361" s="50" t="s">
        <v>1322</v>
      </c>
      <c r="Z361" s="62" t="s">
        <v>2339</v>
      </c>
      <c r="AA361" s="50" t="s">
        <v>12</v>
      </c>
      <c r="AB361" s="50" t="s">
        <v>1322</v>
      </c>
      <c r="AC361" s="50" t="s">
        <v>1336</v>
      </c>
      <c r="AD361" s="19"/>
      <c r="AE361" s="19"/>
      <c r="AF361" s="19"/>
      <c r="AG361" s="19"/>
    </row>
    <row r="362">
      <c r="A362" s="47">
        <f>COUNTIF('Divulgação'!$B:$B,B362)</f>
        <v>1</v>
      </c>
      <c r="B362" s="53" t="s">
        <v>1049</v>
      </c>
      <c r="C362" s="19"/>
      <c r="D362" s="50" t="s">
        <v>1314</v>
      </c>
      <c r="E362" s="50" t="s">
        <v>1315</v>
      </c>
      <c r="F362" s="62" t="s">
        <v>2304</v>
      </c>
      <c r="G362" s="50" t="s">
        <v>1316</v>
      </c>
      <c r="H362" s="62" t="s">
        <v>2304</v>
      </c>
      <c r="I362" s="47" t="s">
        <v>1759</v>
      </c>
      <c r="J362" s="50" t="s">
        <v>48</v>
      </c>
      <c r="K362" s="50" t="s">
        <v>88</v>
      </c>
      <c r="L362" s="47" t="s">
        <v>1762</v>
      </c>
      <c r="M362" s="19"/>
      <c r="N362" s="19"/>
      <c r="O362" s="19"/>
      <c r="P362" s="19"/>
      <c r="Q362" s="62" t="s">
        <v>328</v>
      </c>
      <c r="R362" s="62" t="s">
        <v>2305</v>
      </c>
      <c r="S362" s="62" t="s">
        <v>2306</v>
      </c>
      <c r="T362" s="62" t="s">
        <v>2304</v>
      </c>
      <c r="U362" s="19"/>
      <c r="V362" s="50" t="s">
        <v>1321</v>
      </c>
      <c r="W362" s="19"/>
      <c r="X362" s="50" t="s">
        <v>12</v>
      </c>
      <c r="Y362" s="50" t="s">
        <v>1322</v>
      </c>
      <c r="Z362" s="62" t="s">
        <v>2340</v>
      </c>
      <c r="AA362" s="50" t="s">
        <v>12</v>
      </c>
      <c r="AB362" s="50" t="s">
        <v>1322</v>
      </c>
      <c r="AC362" s="50" t="s">
        <v>1336</v>
      </c>
      <c r="AD362" s="19"/>
      <c r="AE362" s="19"/>
      <c r="AF362" s="19"/>
      <c r="AG362" s="19"/>
    </row>
    <row r="363">
      <c r="A363" s="47">
        <f>COUNTIF('Divulgação'!$B:$B,B363)</f>
        <v>1</v>
      </c>
      <c r="B363" s="53" t="s">
        <v>1051</v>
      </c>
      <c r="C363" s="19"/>
      <c r="D363" s="50" t="s">
        <v>1314</v>
      </c>
      <c r="E363" s="50" t="s">
        <v>1315</v>
      </c>
      <c r="F363" s="62" t="s">
        <v>2304</v>
      </c>
      <c r="G363" s="50" t="s">
        <v>1316</v>
      </c>
      <c r="H363" s="62" t="s">
        <v>2304</v>
      </c>
      <c r="I363" s="47" t="s">
        <v>1759</v>
      </c>
      <c r="J363" s="50" t="s">
        <v>48</v>
      </c>
      <c r="K363" s="50" t="s">
        <v>88</v>
      </c>
      <c r="L363" s="47" t="s">
        <v>1761</v>
      </c>
      <c r="M363" s="19"/>
      <c r="N363" s="19"/>
      <c r="O363" s="19"/>
      <c r="P363" s="19"/>
      <c r="Q363" s="62" t="s">
        <v>328</v>
      </c>
      <c r="R363" s="62" t="s">
        <v>2305</v>
      </c>
      <c r="S363" s="62" t="s">
        <v>2306</v>
      </c>
      <c r="T363" s="62" t="s">
        <v>2304</v>
      </c>
      <c r="U363" s="19"/>
      <c r="V363" s="50" t="s">
        <v>1321</v>
      </c>
      <c r="W363" s="19"/>
      <c r="X363" s="50" t="s">
        <v>12</v>
      </c>
      <c r="Y363" s="50" t="s">
        <v>1322</v>
      </c>
      <c r="Z363" s="62" t="s">
        <v>2341</v>
      </c>
      <c r="AA363" s="50" t="s">
        <v>14</v>
      </c>
      <c r="AB363" s="50" t="s">
        <v>1470</v>
      </c>
      <c r="AC363" s="50" t="s">
        <v>1471</v>
      </c>
      <c r="AD363" s="19"/>
      <c r="AE363" s="19"/>
      <c r="AF363" s="19"/>
      <c r="AG363" s="19"/>
    </row>
    <row r="364">
      <c r="A364" s="47">
        <f>COUNTIF('Divulgação'!$B:$B,B364)</f>
        <v>1</v>
      </c>
      <c r="B364" s="53" t="s">
        <v>1053</v>
      </c>
      <c r="C364" s="19"/>
      <c r="D364" s="50" t="s">
        <v>1314</v>
      </c>
      <c r="E364" s="50" t="s">
        <v>1315</v>
      </c>
      <c r="F364" s="62" t="s">
        <v>2304</v>
      </c>
      <c r="G364" s="50" t="s">
        <v>1316</v>
      </c>
      <c r="H364" s="62" t="s">
        <v>2304</v>
      </c>
      <c r="I364" s="47" t="s">
        <v>1759</v>
      </c>
      <c r="J364" s="50" t="s">
        <v>48</v>
      </c>
      <c r="K364" s="50" t="s">
        <v>88</v>
      </c>
      <c r="L364" s="47" t="s">
        <v>1760</v>
      </c>
      <c r="M364" s="19"/>
      <c r="N364" s="19"/>
      <c r="O364" s="19"/>
      <c r="P364" s="19"/>
      <c r="Q364" s="62" t="s">
        <v>328</v>
      </c>
      <c r="R364" s="62" t="s">
        <v>2305</v>
      </c>
      <c r="S364" s="62" t="s">
        <v>2306</v>
      </c>
      <c r="T364" s="62" t="s">
        <v>2304</v>
      </c>
      <c r="U364" s="19"/>
      <c r="V364" s="50" t="s">
        <v>1321</v>
      </c>
      <c r="W364" s="19"/>
      <c r="X364" s="50" t="s">
        <v>12</v>
      </c>
      <c r="Y364" s="50" t="s">
        <v>1322</v>
      </c>
      <c r="Z364" s="62" t="s">
        <v>2342</v>
      </c>
      <c r="AA364" s="50" t="s">
        <v>14</v>
      </c>
      <c r="AB364" s="50" t="s">
        <v>1470</v>
      </c>
      <c r="AC364" s="50" t="s">
        <v>1471</v>
      </c>
      <c r="AD364" s="19"/>
      <c r="AE364" s="19"/>
      <c r="AF364" s="19"/>
      <c r="AG364" s="19"/>
    </row>
    <row r="365">
      <c r="A365" s="47">
        <f>COUNTIF('Divulgação'!$B:$B,B365)</f>
        <v>1</v>
      </c>
      <c r="B365" s="53" t="s">
        <v>1055</v>
      </c>
      <c r="C365" s="19"/>
      <c r="D365" s="50" t="s">
        <v>1314</v>
      </c>
      <c r="E365" s="50" t="s">
        <v>1315</v>
      </c>
      <c r="F365" s="62" t="s">
        <v>2304</v>
      </c>
      <c r="G365" s="50" t="s">
        <v>1316</v>
      </c>
      <c r="H365" s="62" t="s">
        <v>2304</v>
      </c>
      <c r="I365" s="47" t="s">
        <v>1759</v>
      </c>
      <c r="J365" s="50" t="s">
        <v>48</v>
      </c>
      <c r="K365" s="50" t="s">
        <v>88</v>
      </c>
      <c r="L365" s="47" t="s">
        <v>1763</v>
      </c>
      <c r="M365" s="19"/>
      <c r="N365" s="19"/>
      <c r="O365" s="19"/>
      <c r="P365" s="19"/>
      <c r="Q365" s="62" t="s">
        <v>328</v>
      </c>
      <c r="R365" s="62" t="s">
        <v>2305</v>
      </c>
      <c r="S365" s="62" t="s">
        <v>2306</v>
      </c>
      <c r="T365" s="62" t="s">
        <v>2304</v>
      </c>
      <c r="U365" s="19"/>
      <c r="V365" s="50" t="s">
        <v>1321</v>
      </c>
      <c r="W365" s="19"/>
      <c r="X365" s="50" t="s">
        <v>12</v>
      </c>
      <c r="Y365" s="50" t="s">
        <v>1322</v>
      </c>
      <c r="Z365" s="62" t="s">
        <v>2343</v>
      </c>
      <c r="AA365" s="50" t="s">
        <v>12</v>
      </c>
      <c r="AB365" s="50" t="s">
        <v>1322</v>
      </c>
      <c r="AC365" s="50" t="s">
        <v>1336</v>
      </c>
      <c r="AD365" s="19"/>
      <c r="AE365" s="19"/>
      <c r="AF365" s="19"/>
      <c r="AG365" s="19"/>
    </row>
    <row r="366">
      <c r="A366" s="47">
        <f>COUNTIF('Divulgação'!$B:$B,B366)</f>
        <v>1</v>
      </c>
      <c r="B366" s="53" t="s">
        <v>1057</v>
      </c>
      <c r="C366" s="19"/>
      <c r="D366" s="50" t="s">
        <v>1314</v>
      </c>
      <c r="E366" s="50" t="s">
        <v>1315</v>
      </c>
      <c r="F366" s="62" t="s">
        <v>2304</v>
      </c>
      <c r="G366" s="50" t="s">
        <v>1316</v>
      </c>
      <c r="H366" s="62" t="s">
        <v>2304</v>
      </c>
      <c r="I366" s="47" t="s">
        <v>131</v>
      </c>
      <c r="J366" s="50" t="s">
        <v>48</v>
      </c>
      <c r="K366" s="50" t="s">
        <v>1408</v>
      </c>
      <c r="L366" s="53" t="s">
        <v>1768</v>
      </c>
      <c r="M366" s="19"/>
      <c r="N366" s="19"/>
      <c r="O366" s="19"/>
      <c r="P366" s="19"/>
      <c r="Q366" s="62" t="s">
        <v>328</v>
      </c>
      <c r="R366" s="62" t="s">
        <v>2305</v>
      </c>
      <c r="S366" s="62" t="s">
        <v>2306</v>
      </c>
      <c r="T366" s="62" t="s">
        <v>2304</v>
      </c>
      <c r="U366" s="19"/>
      <c r="V366" s="50" t="s">
        <v>1321</v>
      </c>
      <c r="W366" s="19"/>
      <c r="X366" s="50" t="s">
        <v>12</v>
      </c>
      <c r="Y366" s="50" t="s">
        <v>1322</v>
      </c>
      <c r="Z366" s="62" t="s">
        <v>2344</v>
      </c>
      <c r="AA366" s="50" t="s">
        <v>12</v>
      </c>
      <c r="AB366" s="50" t="s">
        <v>1322</v>
      </c>
      <c r="AC366" s="50" t="s">
        <v>1336</v>
      </c>
      <c r="AD366" s="19"/>
      <c r="AE366" s="19"/>
      <c r="AF366" s="19"/>
      <c r="AG366" s="19"/>
    </row>
    <row r="367">
      <c r="A367" s="47">
        <f>COUNTIF('Divulgação'!$B:$B,B367)</f>
        <v>1</v>
      </c>
      <c r="B367" s="53" t="s">
        <v>1059</v>
      </c>
      <c r="C367" s="19"/>
      <c r="D367" s="50" t="s">
        <v>1314</v>
      </c>
      <c r="E367" s="50" t="s">
        <v>1315</v>
      </c>
      <c r="F367" s="62" t="s">
        <v>2345</v>
      </c>
      <c r="G367" s="50" t="s">
        <v>1316</v>
      </c>
      <c r="H367" s="62" t="s">
        <v>2345</v>
      </c>
      <c r="I367" s="47" t="s">
        <v>1421</v>
      </c>
      <c r="J367" s="62" t="s">
        <v>1318</v>
      </c>
      <c r="K367" s="50" t="s">
        <v>1422</v>
      </c>
      <c r="L367" s="53" t="s">
        <v>2346</v>
      </c>
      <c r="M367" s="19"/>
      <c r="N367" s="19"/>
      <c r="O367" s="19"/>
      <c r="P367" s="19"/>
      <c r="Q367" s="62" t="s">
        <v>328</v>
      </c>
      <c r="R367" s="62" t="s">
        <v>2306</v>
      </c>
      <c r="S367" s="62" t="s">
        <v>2347</v>
      </c>
      <c r="T367" s="62" t="s">
        <v>2345</v>
      </c>
      <c r="U367" s="19"/>
      <c r="V367" s="50" t="s">
        <v>1321</v>
      </c>
      <c r="W367" s="19"/>
      <c r="X367" s="50" t="s">
        <v>12</v>
      </c>
      <c r="Y367" s="50" t="s">
        <v>1322</v>
      </c>
      <c r="Z367" s="62" t="s">
        <v>2348</v>
      </c>
      <c r="AA367" s="50" t="s">
        <v>15</v>
      </c>
      <c r="AB367" s="50" t="s">
        <v>1348</v>
      </c>
      <c r="AC367" s="50" t="s">
        <v>1349</v>
      </c>
      <c r="AD367" s="19"/>
      <c r="AE367" s="19"/>
      <c r="AF367" s="19"/>
      <c r="AG367" s="19"/>
    </row>
    <row r="368">
      <c r="A368" s="47">
        <f>COUNTIF('Divulgação'!$B:$B,B368)</f>
        <v>1</v>
      </c>
      <c r="B368" s="53" t="s">
        <v>1061</v>
      </c>
      <c r="C368" s="19"/>
      <c r="D368" s="50" t="s">
        <v>1314</v>
      </c>
      <c r="E368" s="50" t="s">
        <v>1315</v>
      </c>
      <c r="F368" s="62" t="s">
        <v>2345</v>
      </c>
      <c r="G368" s="50" t="s">
        <v>1316</v>
      </c>
      <c r="H368" s="62" t="s">
        <v>2345</v>
      </c>
      <c r="I368" s="47" t="s">
        <v>1421</v>
      </c>
      <c r="J368" s="62" t="s">
        <v>1318</v>
      </c>
      <c r="K368" s="50" t="s">
        <v>1422</v>
      </c>
      <c r="L368" s="53" t="s">
        <v>2349</v>
      </c>
      <c r="M368" s="19"/>
      <c r="N368" s="19"/>
      <c r="O368" s="19"/>
      <c r="P368" s="19"/>
      <c r="Q368" s="62" t="s">
        <v>328</v>
      </c>
      <c r="R368" s="62" t="s">
        <v>2306</v>
      </c>
      <c r="S368" s="62" t="s">
        <v>2347</v>
      </c>
      <c r="T368" s="62" t="s">
        <v>2345</v>
      </c>
      <c r="U368" s="19"/>
      <c r="V368" s="50" t="s">
        <v>1321</v>
      </c>
      <c r="W368" s="19"/>
      <c r="X368" s="50" t="s">
        <v>12</v>
      </c>
      <c r="Y368" s="50" t="s">
        <v>1322</v>
      </c>
      <c r="Z368" s="62" t="s">
        <v>2350</v>
      </c>
      <c r="AA368" s="50" t="s">
        <v>17</v>
      </c>
      <c r="AB368" s="50" t="s">
        <v>1458</v>
      </c>
      <c r="AC368" s="50" t="s">
        <v>1459</v>
      </c>
      <c r="AD368" s="19"/>
      <c r="AE368" s="19"/>
      <c r="AF368" s="19"/>
      <c r="AG368" s="19"/>
    </row>
    <row r="369">
      <c r="A369" s="47">
        <f>COUNTIF('Divulgação'!$B:$B,B369)</f>
        <v>1</v>
      </c>
      <c r="B369" s="53" t="s">
        <v>1063</v>
      </c>
      <c r="C369" s="19"/>
      <c r="D369" s="50" t="s">
        <v>1314</v>
      </c>
      <c r="E369" s="50" t="s">
        <v>1315</v>
      </c>
      <c r="F369" s="62" t="s">
        <v>2345</v>
      </c>
      <c r="G369" s="50" t="s">
        <v>1316</v>
      </c>
      <c r="H369" s="62" t="s">
        <v>2345</v>
      </c>
      <c r="I369" s="47" t="s">
        <v>1421</v>
      </c>
      <c r="J369" s="62" t="s">
        <v>1318</v>
      </c>
      <c r="K369" s="50" t="s">
        <v>1422</v>
      </c>
      <c r="L369" s="53" t="s">
        <v>1769</v>
      </c>
      <c r="M369" s="19"/>
      <c r="N369" s="19"/>
      <c r="O369" s="19"/>
      <c r="P369" s="19"/>
      <c r="Q369" s="62" t="s">
        <v>328</v>
      </c>
      <c r="R369" s="62" t="s">
        <v>2306</v>
      </c>
      <c r="S369" s="62" t="s">
        <v>2351</v>
      </c>
      <c r="T369" s="62" t="s">
        <v>2345</v>
      </c>
      <c r="U369" s="19"/>
      <c r="V369" s="50" t="s">
        <v>1321</v>
      </c>
      <c r="W369" s="19"/>
      <c r="X369" s="50" t="s">
        <v>12</v>
      </c>
      <c r="Y369" s="50" t="s">
        <v>1322</v>
      </c>
      <c r="Z369" s="62" t="s">
        <v>2352</v>
      </c>
      <c r="AA369" s="50" t="s">
        <v>1500</v>
      </c>
      <c r="AB369" s="50" t="s">
        <v>1537</v>
      </c>
      <c r="AC369" s="50" t="s">
        <v>1770</v>
      </c>
      <c r="AD369" s="19"/>
      <c r="AE369" s="19"/>
      <c r="AF369" s="19"/>
      <c r="AG369" s="19"/>
    </row>
    <row r="370">
      <c r="A370" s="47">
        <f>COUNTIF('Divulgação'!$B:$B,B370)</f>
        <v>1</v>
      </c>
      <c r="B370" s="53" t="s">
        <v>1065</v>
      </c>
      <c r="C370" s="19"/>
      <c r="D370" s="50" t="s">
        <v>1314</v>
      </c>
      <c r="E370" s="50" t="s">
        <v>1315</v>
      </c>
      <c r="F370" s="62" t="s">
        <v>2345</v>
      </c>
      <c r="G370" s="50" t="s">
        <v>1316</v>
      </c>
      <c r="H370" s="62" t="s">
        <v>2345</v>
      </c>
      <c r="I370" s="47" t="s">
        <v>1745</v>
      </c>
      <c r="J370" s="62" t="s">
        <v>1318</v>
      </c>
      <c r="K370" s="50" t="s">
        <v>1746</v>
      </c>
      <c r="L370" s="53" t="s">
        <v>1775</v>
      </c>
      <c r="M370" s="19"/>
      <c r="N370" s="19"/>
      <c r="O370" s="19"/>
      <c r="P370" s="19"/>
      <c r="Q370" s="62" t="s">
        <v>328</v>
      </c>
      <c r="R370" s="62" t="s">
        <v>2306</v>
      </c>
      <c r="S370" s="62" t="s">
        <v>2347</v>
      </c>
      <c r="T370" s="62" t="s">
        <v>2345</v>
      </c>
      <c r="U370" s="19"/>
      <c r="V370" s="50" t="s">
        <v>1321</v>
      </c>
      <c r="W370" s="19"/>
      <c r="X370" s="50" t="s">
        <v>12</v>
      </c>
      <c r="Y370" s="50" t="s">
        <v>1322</v>
      </c>
      <c r="Z370" s="62" t="s">
        <v>2353</v>
      </c>
      <c r="AA370" s="50" t="s">
        <v>12</v>
      </c>
      <c r="AB370" s="50" t="s">
        <v>1322</v>
      </c>
      <c r="AC370" s="50" t="s">
        <v>1434</v>
      </c>
      <c r="AD370" s="19"/>
      <c r="AE370" s="19"/>
      <c r="AF370" s="19"/>
      <c r="AG370" s="19"/>
    </row>
    <row r="371">
      <c r="A371" s="47">
        <f>COUNTIF('Divulgação'!$B:$B,B371)</f>
        <v>1</v>
      </c>
      <c r="B371" s="53" t="s">
        <v>1067</v>
      </c>
      <c r="C371" s="19"/>
      <c r="D371" s="50" t="s">
        <v>1314</v>
      </c>
      <c r="E371" s="50" t="s">
        <v>1315</v>
      </c>
      <c r="F371" s="62" t="s">
        <v>2345</v>
      </c>
      <c r="G371" s="50" t="s">
        <v>1316</v>
      </c>
      <c r="H371" s="62" t="s">
        <v>2345</v>
      </c>
      <c r="I371" s="47" t="s">
        <v>1745</v>
      </c>
      <c r="J371" s="62" t="s">
        <v>1318</v>
      </c>
      <c r="K371" s="50" t="s">
        <v>1746</v>
      </c>
      <c r="L371" s="53" t="s">
        <v>1773</v>
      </c>
      <c r="M371" s="19"/>
      <c r="N371" s="19"/>
      <c r="O371" s="19"/>
      <c r="P371" s="19"/>
      <c r="Q371" s="62" t="s">
        <v>328</v>
      </c>
      <c r="R371" s="62" t="s">
        <v>2306</v>
      </c>
      <c r="S371" s="62" t="s">
        <v>2347</v>
      </c>
      <c r="T371" s="62" t="s">
        <v>2345</v>
      </c>
      <c r="U371" s="19"/>
      <c r="V371" s="50" t="s">
        <v>1321</v>
      </c>
      <c r="W371" s="19"/>
      <c r="X371" s="50" t="s">
        <v>12</v>
      </c>
      <c r="Y371" s="50" t="s">
        <v>1322</v>
      </c>
      <c r="Z371" s="62" t="s">
        <v>2354</v>
      </c>
      <c r="AA371" s="50" t="s">
        <v>22</v>
      </c>
      <c r="AB371" s="50" t="s">
        <v>1513</v>
      </c>
      <c r="AC371" s="50" t="s">
        <v>1774</v>
      </c>
      <c r="AD371" s="19"/>
      <c r="AE371" s="19"/>
      <c r="AF371" s="19"/>
      <c r="AG371" s="19"/>
    </row>
    <row r="372">
      <c r="A372" s="47">
        <f>COUNTIF('Divulgação'!$B:$B,B372)</f>
        <v>1</v>
      </c>
      <c r="B372" s="53" t="s">
        <v>1069</v>
      </c>
      <c r="C372" s="19"/>
      <c r="D372" s="50" t="s">
        <v>1314</v>
      </c>
      <c r="E372" s="50" t="s">
        <v>1315</v>
      </c>
      <c r="F372" s="62" t="s">
        <v>2345</v>
      </c>
      <c r="G372" s="50" t="s">
        <v>1316</v>
      </c>
      <c r="H372" s="62" t="s">
        <v>2345</v>
      </c>
      <c r="I372" s="47" t="s">
        <v>1745</v>
      </c>
      <c r="J372" s="62" t="s">
        <v>1318</v>
      </c>
      <c r="K372" s="50" t="s">
        <v>1746</v>
      </c>
      <c r="L372" s="53" t="s">
        <v>1771</v>
      </c>
      <c r="M372" s="19"/>
      <c r="N372" s="19"/>
      <c r="O372" s="19"/>
      <c r="P372" s="19"/>
      <c r="Q372" s="62" t="s">
        <v>328</v>
      </c>
      <c r="R372" s="62" t="s">
        <v>2306</v>
      </c>
      <c r="S372" s="62" t="s">
        <v>2347</v>
      </c>
      <c r="T372" s="62" t="s">
        <v>2345</v>
      </c>
      <c r="U372" s="19"/>
      <c r="V372" s="50" t="s">
        <v>1321</v>
      </c>
      <c r="W372" s="19"/>
      <c r="X372" s="50" t="s">
        <v>12</v>
      </c>
      <c r="Y372" s="50" t="s">
        <v>1322</v>
      </c>
      <c r="Z372" s="62" t="s">
        <v>2355</v>
      </c>
      <c r="AA372" s="50" t="s">
        <v>14</v>
      </c>
      <c r="AB372" s="50" t="s">
        <v>1328</v>
      </c>
      <c r="AC372" s="50" t="s">
        <v>1772</v>
      </c>
      <c r="AD372" s="19"/>
      <c r="AE372" s="19"/>
      <c r="AF372" s="19"/>
      <c r="AG372" s="19"/>
    </row>
    <row r="373">
      <c r="A373" s="47">
        <f>COUNTIF('Divulgação'!$B:$B,B373)</f>
        <v>1</v>
      </c>
      <c r="B373" s="53" t="s">
        <v>1071</v>
      </c>
      <c r="C373" s="19"/>
      <c r="D373" s="50" t="s">
        <v>1314</v>
      </c>
      <c r="E373" s="50" t="s">
        <v>1315</v>
      </c>
      <c r="F373" s="62" t="s">
        <v>2345</v>
      </c>
      <c r="G373" s="50" t="s">
        <v>1316</v>
      </c>
      <c r="H373" s="62" t="s">
        <v>2345</v>
      </c>
      <c r="I373" s="47" t="s">
        <v>1590</v>
      </c>
      <c r="J373" s="62" t="s">
        <v>1318</v>
      </c>
      <c r="K373" s="50" t="s">
        <v>1591</v>
      </c>
      <c r="L373" s="47" t="s">
        <v>2356</v>
      </c>
      <c r="M373" s="19"/>
      <c r="N373" s="19"/>
      <c r="O373" s="19"/>
      <c r="P373" s="19"/>
      <c r="Q373" s="62" t="s">
        <v>328</v>
      </c>
      <c r="R373" s="62" t="s">
        <v>2345</v>
      </c>
      <c r="S373" s="62" t="s">
        <v>2357</v>
      </c>
      <c r="T373" s="62" t="s">
        <v>2345</v>
      </c>
      <c r="U373" s="19"/>
      <c r="V373" s="50" t="s">
        <v>1321</v>
      </c>
      <c r="W373" s="19"/>
      <c r="X373" s="50" t="s">
        <v>12</v>
      </c>
      <c r="Y373" s="50" t="s">
        <v>1322</v>
      </c>
      <c r="Z373" s="62" t="s">
        <v>2358</v>
      </c>
      <c r="AA373" s="50" t="s">
        <v>21</v>
      </c>
      <c r="AB373" s="50" t="s">
        <v>1359</v>
      </c>
      <c r="AC373" s="50" t="s">
        <v>1795</v>
      </c>
      <c r="AD373" s="19"/>
      <c r="AE373" s="19"/>
      <c r="AF373" s="19"/>
      <c r="AG373" s="19"/>
    </row>
    <row r="374">
      <c r="A374" s="47">
        <f>COUNTIF('Divulgação'!$B:$B,B374)</f>
        <v>1</v>
      </c>
      <c r="B374" s="53" t="s">
        <v>1073</v>
      </c>
      <c r="C374" s="19"/>
      <c r="D374" s="50" t="s">
        <v>1314</v>
      </c>
      <c r="E374" s="50" t="s">
        <v>1315</v>
      </c>
      <c r="F374" s="62" t="s">
        <v>2359</v>
      </c>
      <c r="G374" s="50" t="s">
        <v>1316</v>
      </c>
      <c r="H374" s="62" t="s">
        <v>2359</v>
      </c>
      <c r="I374" s="47" t="s">
        <v>143</v>
      </c>
      <c r="J374" s="62" t="s">
        <v>2164</v>
      </c>
      <c r="K374" s="50" t="s">
        <v>1625</v>
      </c>
      <c r="L374" s="47" t="s">
        <v>1776</v>
      </c>
      <c r="M374" s="19"/>
      <c r="N374" s="19"/>
      <c r="O374" s="19"/>
      <c r="P374" s="19"/>
      <c r="Q374" s="62" t="s">
        <v>328</v>
      </c>
      <c r="R374" s="62" t="s">
        <v>2345</v>
      </c>
      <c r="S374" s="62" t="s">
        <v>2357</v>
      </c>
      <c r="T374" s="62" t="s">
        <v>2359</v>
      </c>
      <c r="U374" s="19"/>
      <c r="V374" s="50" t="s">
        <v>1321</v>
      </c>
      <c r="W374" s="19"/>
      <c r="X374" s="50" t="s">
        <v>12</v>
      </c>
      <c r="Y374" s="50" t="s">
        <v>1322</v>
      </c>
      <c r="Z374" s="62" t="s">
        <v>2360</v>
      </c>
      <c r="AA374" s="50" t="s">
        <v>12</v>
      </c>
      <c r="AB374" s="50" t="s">
        <v>1322</v>
      </c>
      <c r="AC374" s="50" t="s">
        <v>1336</v>
      </c>
      <c r="AD374" s="19"/>
      <c r="AE374" s="19"/>
      <c r="AF374" s="19"/>
      <c r="AG374" s="19"/>
    </row>
    <row r="375">
      <c r="A375" s="47">
        <f>COUNTIF('Divulgação'!$B:$B,B375)</f>
        <v>1</v>
      </c>
      <c r="B375" s="53" t="s">
        <v>1075</v>
      </c>
      <c r="C375" s="19"/>
      <c r="D375" s="50" t="s">
        <v>1314</v>
      </c>
      <c r="E375" s="50" t="s">
        <v>1315</v>
      </c>
      <c r="F375" s="62" t="s">
        <v>2359</v>
      </c>
      <c r="G375" s="50" t="s">
        <v>1316</v>
      </c>
      <c r="H375" s="62" t="s">
        <v>2359</v>
      </c>
      <c r="I375" s="47" t="s">
        <v>143</v>
      </c>
      <c r="J375" s="62" t="s">
        <v>2164</v>
      </c>
      <c r="K375" s="50" t="s">
        <v>1625</v>
      </c>
      <c r="L375" s="47" t="s">
        <v>1777</v>
      </c>
      <c r="M375" s="19"/>
      <c r="N375" s="19"/>
      <c r="O375" s="19"/>
      <c r="P375" s="19"/>
      <c r="Q375" s="62" t="s">
        <v>328</v>
      </c>
      <c r="R375" s="62" t="s">
        <v>2345</v>
      </c>
      <c r="S375" s="62" t="s">
        <v>2357</v>
      </c>
      <c r="T375" s="62" t="s">
        <v>2359</v>
      </c>
      <c r="U375" s="19"/>
      <c r="V375" s="50" t="s">
        <v>1321</v>
      </c>
      <c r="W375" s="19"/>
      <c r="X375" s="50" t="s">
        <v>12</v>
      </c>
      <c r="Y375" s="50" t="s">
        <v>1322</v>
      </c>
      <c r="Z375" s="62" t="s">
        <v>2361</v>
      </c>
      <c r="AA375" s="50" t="s">
        <v>12</v>
      </c>
      <c r="AB375" s="50" t="s">
        <v>1322</v>
      </c>
      <c r="AC375" s="50" t="s">
        <v>1336</v>
      </c>
      <c r="AD375" s="19"/>
      <c r="AE375" s="19"/>
      <c r="AF375" s="19"/>
      <c r="AG375" s="19"/>
    </row>
    <row r="376">
      <c r="A376" s="47">
        <f>COUNTIF('Divulgação'!$B:$B,B376)</f>
        <v>1</v>
      </c>
      <c r="B376" s="53" t="s">
        <v>1077</v>
      </c>
      <c r="C376" s="19"/>
      <c r="D376" s="50" t="s">
        <v>1314</v>
      </c>
      <c r="E376" s="50" t="s">
        <v>1315</v>
      </c>
      <c r="F376" s="62" t="s">
        <v>2357</v>
      </c>
      <c r="G376" s="50" t="s">
        <v>1316</v>
      </c>
      <c r="H376" s="62" t="s">
        <v>2357</v>
      </c>
      <c r="I376" s="47" t="s">
        <v>137</v>
      </c>
      <c r="J376" s="62" t="s">
        <v>1318</v>
      </c>
      <c r="K376" s="50" t="s">
        <v>1778</v>
      </c>
      <c r="L376" s="53" t="s">
        <v>1779</v>
      </c>
      <c r="M376" s="19"/>
      <c r="N376" s="19"/>
      <c r="O376" s="19"/>
      <c r="P376" s="19"/>
      <c r="Q376" s="62" t="s">
        <v>328</v>
      </c>
      <c r="R376" s="62" t="s">
        <v>2318</v>
      </c>
      <c r="S376" s="62" t="s">
        <v>2362</v>
      </c>
      <c r="T376" s="62" t="s">
        <v>2357</v>
      </c>
      <c r="U376" s="19"/>
      <c r="V376" s="50" t="s">
        <v>1321</v>
      </c>
      <c r="W376" s="19"/>
      <c r="X376" s="50" t="s">
        <v>12</v>
      </c>
      <c r="Y376" s="50" t="s">
        <v>1322</v>
      </c>
      <c r="Z376" s="62" t="s">
        <v>2363</v>
      </c>
      <c r="AA376" s="50" t="s">
        <v>1372</v>
      </c>
      <c r="AB376" s="50" t="s">
        <v>1348</v>
      </c>
      <c r="AC376" s="50" t="s">
        <v>1780</v>
      </c>
      <c r="AD376" s="19"/>
      <c r="AE376" s="19"/>
      <c r="AF376" s="19"/>
      <c r="AG376" s="19"/>
    </row>
    <row r="377">
      <c r="A377" s="47">
        <f>COUNTIF('Divulgação'!$B:$B,B377)</f>
        <v>1</v>
      </c>
      <c r="B377" s="53" t="s">
        <v>1079</v>
      </c>
      <c r="C377" s="19"/>
      <c r="D377" s="50" t="s">
        <v>1314</v>
      </c>
      <c r="E377" s="50" t="s">
        <v>1315</v>
      </c>
      <c r="F377" s="62" t="s">
        <v>2357</v>
      </c>
      <c r="G377" s="50" t="s">
        <v>1316</v>
      </c>
      <c r="H377" s="62" t="s">
        <v>2357</v>
      </c>
      <c r="I377" s="47" t="s">
        <v>1781</v>
      </c>
      <c r="J377" s="62" t="s">
        <v>1318</v>
      </c>
      <c r="K377" s="50" t="s">
        <v>1782</v>
      </c>
      <c r="L377" s="53" t="s">
        <v>1783</v>
      </c>
      <c r="M377" s="19"/>
      <c r="N377" s="19"/>
      <c r="O377" s="19"/>
      <c r="P377" s="19"/>
      <c r="Q377" s="62" t="s">
        <v>328</v>
      </c>
      <c r="R377" s="62" t="s">
        <v>2347</v>
      </c>
      <c r="S377" s="62" t="s">
        <v>2364</v>
      </c>
      <c r="T377" s="62" t="s">
        <v>2357</v>
      </c>
      <c r="U377" s="19"/>
      <c r="V377" s="50" t="s">
        <v>1321</v>
      </c>
      <c r="W377" s="19"/>
      <c r="X377" s="50" t="s">
        <v>12</v>
      </c>
      <c r="Y377" s="50" t="s">
        <v>1322</v>
      </c>
      <c r="Z377" s="62" t="s">
        <v>2365</v>
      </c>
      <c r="AA377" s="50" t="s">
        <v>13</v>
      </c>
      <c r="AB377" s="50" t="s">
        <v>1380</v>
      </c>
      <c r="AC377" s="50" t="s">
        <v>1541</v>
      </c>
      <c r="AD377" s="19"/>
      <c r="AE377" s="19"/>
      <c r="AF377" s="19"/>
      <c r="AG377" s="19"/>
    </row>
    <row r="378">
      <c r="A378" s="47">
        <f>COUNTIF('Divulgação'!$B:$B,B378)</f>
        <v>1</v>
      </c>
      <c r="B378" s="53" t="s">
        <v>1081</v>
      </c>
      <c r="C378" s="19"/>
      <c r="D378" s="50" t="s">
        <v>1314</v>
      </c>
      <c r="E378" s="50" t="s">
        <v>1315</v>
      </c>
      <c r="F378" s="62" t="s">
        <v>2357</v>
      </c>
      <c r="G378" s="50" t="s">
        <v>1316</v>
      </c>
      <c r="H378" s="62" t="s">
        <v>2357</v>
      </c>
      <c r="I378" s="47" t="s">
        <v>1781</v>
      </c>
      <c r="J378" s="62" t="s">
        <v>1318</v>
      </c>
      <c r="K378" s="50" t="s">
        <v>1782</v>
      </c>
      <c r="L378" s="53" t="s">
        <v>2366</v>
      </c>
      <c r="M378" s="19"/>
      <c r="N378" s="19"/>
      <c r="O378" s="19"/>
      <c r="P378" s="19"/>
      <c r="Q378" s="62" t="s">
        <v>328</v>
      </c>
      <c r="R378" s="62" t="s">
        <v>2347</v>
      </c>
      <c r="S378" s="62" t="s">
        <v>2364</v>
      </c>
      <c r="T378" s="62" t="s">
        <v>2357</v>
      </c>
      <c r="U378" s="19"/>
      <c r="V378" s="50" t="s">
        <v>1321</v>
      </c>
      <c r="W378" s="19"/>
      <c r="X378" s="50" t="s">
        <v>12</v>
      </c>
      <c r="Y378" s="50" t="s">
        <v>1322</v>
      </c>
      <c r="Z378" s="62" t="s">
        <v>2367</v>
      </c>
      <c r="AA378" s="50" t="s">
        <v>16</v>
      </c>
      <c r="AB378" s="50" t="s">
        <v>1331</v>
      </c>
      <c r="AC378" s="50" t="s">
        <v>1332</v>
      </c>
      <c r="AD378" s="19"/>
      <c r="AE378" s="19"/>
      <c r="AF378" s="19"/>
      <c r="AG378" s="19"/>
    </row>
    <row r="379">
      <c r="A379" s="47">
        <f>COUNTIF('Divulgação'!$B:$B,B379)</f>
        <v>1</v>
      </c>
      <c r="B379" s="53" t="s">
        <v>1083</v>
      </c>
      <c r="C379" s="19"/>
      <c r="D379" s="50" t="s">
        <v>1314</v>
      </c>
      <c r="E379" s="50" t="s">
        <v>1315</v>
      </c>
      <c r="F379" s="62" t="s">
        <v>2357</v>
      </c>
      <c r="G379" s="50" t="s">
        <v>1316</v>
      </c>
      <c r="H379" s="62" t="s">
        <v>2357</v>
      </c>
      <c r="I379" s="47" t="s">
        <v>1781</v>
      </c>
      <c r="J379" s="62" t="s">
        <v>1318</v>
      </c>
      <c r="K379" s="50" t="s">
        <v>1782</v>
      </c>
      <c r="L379" s="53" t="s">
        <v>1784</v>
      </c>
      <c r="M379" s="19"/>
      <c r="N379" s="19"/>
      <c r="O379" s="19"/>
      <c r="P379" s="19"/>
      <c r="Q379" s="62" t="s">
        <v>328</v>
      </c>
      <c r="R379" s="62" t="s">
        <v>2347</v>
      </c>
      <c r="S379" s="62" t="s">
        <v>2364</v>
      </c>
      <c r="T379" s="62" t="s">
        <v>2357</v>
      </c>
      <c r="U379" s="19"/>
      <c r="V379" s="50" t="s">
        <v>1321</v>
      </c>
      <c r="W379" s="19"/>
      <c r="X379" s="50" t="s">
        <v>12</v>
      </c>
      <c r="Y379" s="50" t="s">
        <v>1322</v>
      </c>
      <c r="Z379" s="62" t="s">
        <v>2368</v>
      </c>
      <c r="AA379" s="50" t="s">
        <v>13</v>
      </c>
      <c r="AB379" s="50" t="s">
        <v>1380</v>
      </c>
      <c r="AC379" s="50" t="s">
        <v>1541</v>
      </c>
      <c r="AD379" s="19"/>
      <c r="AE379" s="19"/>
      <c r="AF379" s="19"/>
      <c r="AG379" s="19"/>
    </row>
    <row r="380">
      <c r="A380" s="47">
        <f>COUNTIF('Divulgação'!$B:$B,B380)</f>
        <v>1</v>
      </c>
      <c r="B380" s="53" t="s">
        <v>1085</v>
      </c>
      <c r="C380" s="19"/>
      <c r="D380" s="50" t="s">
        <v>1314</v>
      </c>
      <c r="E380" s="50" t="s">
        <v>1315</v>
      </c>
      <c r="F380" s="62" t="s">
        <v>2357</v>
      </c>
      <c r="G380" s="50" t="s">
        <v>1316</v>
      </c>
      <c r="H380" s="62" t="s">
        <v>2357</v>
      </c>
      <c r="I380" s="47" t="s">
        <v>149</v>
      </c>
      <c r="J380" s="62" t="s">
        <v>1318</v>
      </c>
      <c r="K380" s="50" t="s">
        <v>1785</v>
      </c>
      <c r="L380" s="53" t="s">
        <v>1786</v>
      </c>
      <c r="M380" s="19"/>
      <c r="N380" s="19"/>
      <c r="O380" s="19"/>
      <c r="P380" s="19"/>
      <c r="Q380" s="62" t="s">
        <v>328</v>
      </c>
      <c r="R380" s="62" t="s">
        <v>2347</v>
      </c>
      <c r="S380" s="62" t="s">
        <v>2364</v>
      </c>
      <c r="T380" s="62" t="s">
        <v>2357</v>
      </c>
      <c r="U380" s="19"/>
      <c r="V380" s="50" t="s">
        <v>1321</v>
      </c>
      <c r="W380" s="19"/>
      <c r="X380" s="50" t="s">
        <v>12</v>
      </c>
      <c r="Y380" s="50" t="s">
        <v>1322</v>
      </c>
      <c r="Z380" s="62" t="s">
        <v>2369</v>
      </c>
      <c r="AA380" s="50" t="s">
        <v>12</v>
      </c>
      <c r="AB380" s="50" t="s">
        <v>1322</v>
      </c>
      <c r="AC380" s="50" t="s">
        <v>1434</v>
      </c>
      <c r="AD380" s="19"/>
      <c r="AE380" s="19"/>
      <c r="AF380" s="19"/>
      <c r="AG380" s="19"/>
    </row>
    <row r="381">
      <c r="A381" s="47">
        <f>COUNTIF('Divulgação'!$B:$B,B381)</f>
        <v>1</v>
      </c>
      <c r="B381" s="53" t="s">
        <v>1087</v>
      </c>
      <c r="C381" s="19"/>
      <c r="D381" s="50" t="s">
        <v>1314</v>
      </c>
      <c r="E381" s="50" t="s">
        <v>1315</v>
      </c>
      <c r="F381" s="62" t="s">
        <v>2357</v>
      </c>
      <c r="G381" s="50" t="s">
        <v>1316</v>
      </c>
      <c r="H381" s="62" t="s">
        <v>2357</v>
      </c>
      <c r="I381" s="47" t="s">
        <v>149</v>
      </c>
      <c r="J381" s="62" t="s">
        <v>1318</v>
      </c>
      <c r="K381" s="50" t="s">
        <v>1785</v>
      </c>
      <c r="L381" s="53" t="s">
        <v>1788</v>
      </c>
      <c r="M381" s="19"/>
      <c r="N381" s="19"/>
      <c r="O381" s="19"/>
      <c r="P381" s="19"/>
      <c r="Q381" s="62" t="s">
        <v>328</v>
      </c>
      <c r="R381" s="62" t="s">
        <v>2347</v>
      </c>
      <c r="S381" s="62" t="s">
        <v>2364</v>
      </c>
      <c r="T381" s="62" t="s">
        <v>2357</v>
      </c>
      <c r="U381" s="19"/>
      <c r="V381" s="50" t="s">
        <v>1321</v>
      </c>
      <c r="W381" s="19"/>
      <c r="X381" s="50" t="s">
        <v>12</v>
      </c>
      <c r="Y381" s="50" t="s">
        <v>1322</v>
      </c>
      <c r="Z381" s="62" t="s">
        <v>2370</v>
      </c>
      <c r="AA381" s="50" t="s">
        <v>12</v>
      </c>
      <c r="AB381" s="50" t="s">
        <v>1322</v>
      </c>
      <c r="AC381" s="50" t="s">
        <v>1336</v>
      </c>
      <c r="AD381" s="19"/>
      <c r="AE381" s="19"/>
      <c r="AF381" s="19"/>
      <c r="AG381" s="19"/>
    </row>
    <row r="382">
      <c r="A382" s="47">
        <f>COUNTIF('Divulgação'!$B:$B,B382)</f>
        <v>1</v>
      </c>
      <c r="B382" s="53" t="s">
        <v>1089</v>
      </c>
      <c r="C382" s="19"/>
      <c r="D382" s="50" t="s">
        <v>1314</v>
      </c>
      <c r="E382" s="50" t="s">
        <v>1315</v>
      </c>
      <c r="F382" s="62" t="s">
        <v>2357</v>
      </c>
      <c r="G382" s="50" t="s">
        <v>1316</v>
      </c>
      <c r="H382" s="62" t="s">
        <v>2357</v>
      </c>
      <c r="I382" s="47" t="s">
        <v>149</v>
      </c>
      <c r="J382" s="62" t="s">
        <v>1318</v>
      </c>
      <c r="K382" s="50" t="s">
        <v>1785</v>
      </c>
      <c r="L382" s="53" t="s">
        <v>1787</v>
      </c>
      <c r="M382" s="19"/>
      <c r="N382" s="19"/>
      <c r="O382" s="19"/>
      <c r="P382" s="19"/>
      <c r="Q382" s="62" t="s">
        <v>328</v>
      </c>
      <c r="R382" s="62" t="s">
        <v>2347</v>
      </c>
      <c r="S382" s="62" t="s">
        <v>2364</v>
      </c>
      <c r="T382" s="62" t="s">
        <v>2357</v>
      </c>
      <c r="U382" s="19"/>
      <c r="V382" s="50" t="s">
        <v>1321</v>
      </c>
      <c r="W382" s="19"/>
      <c r="X382" s="50" t="s">
        <v>12</v>
      </c>
      <c r="Y382" s="50" t="s">
        <v>1322</v>
      </c>
      <c r="Z382" s="62" t="s">
        <v>2371</v>
      </c>
      <c r="AA382" s="50" t="s">
        <v>12</v>
      </c>
      <c r="AB382" s="50" t="s">
        <v>1322</v>
      </c>
      <c r="AC382" s="50" t="s">
        <v>1336</v>
      </c>
      <c r="AD382" s="19"/>
      <c r="AE382" s="19"/>
      <c r="AF382" s="19"/>
      <c r="AG382" s="19"/>
    </row>
    <row r="383">
      <c r="A383" s="47">
        <f>COUNTIF('Divulgação'!$B:$B,B383)</f>
        <v>1</v>
      </c>
      <c r="B383" s="53" t="s">
        <v>1091</v>
      </c>
      <c r="C383" s="19"/>
      <c r="D383" s="50" t="s">
        <v>1314</v>
      </c>
      <c r="E383" s="50" t="s">
        <v>1315</v>
      </c>
      <c r="F383" s="62" t="s">
        <v>2357</v>
      </c>
      <c r="G383" s="50" t="s">
        <v>1316</v>
      </c>
      <c r="H383" s="62" t="s">
        <v>2357</v>
      </c>
      <c r="I383" s="47" t="s">
        <v>1789</v>
      </c>
      <c r="J383" s="50" t="s">
        <v>48</v>
      </c>
      <c r="K383" s="50" t="s">
        <v>1790</v>
      </c>
      <c r="L383" s="53" t="s">
        <v>1791</v>
      </c>
      <c r="M383" s="19"/>
      <c r="N383" s="19"/>
      <c r="O383" s="19"/>
      <c r="P383" s="19"/>
      <c r="Q383" s="62" t="s">
        <v>328</v>
      </c>
      <c r="R383" s="62" t="s">
        <v>2345</v>
      </c>
      <c r="S383" s="62" t="s">
        <v>2357</v>
      </c>
      <c r="T383" s="62" t="s">
        <v>2357</v>
      </c>
      <c r="U383" s="19"/>
      <c r="V383" s="50" t="s">
        <v>1321</v>
      </c>
      <c r="W383" s="19"/>
      <c r="X383" s="50" t="s">
        <v>12</v>
      </c>
      <c r="Y383" s="50" t="s">
        <v>1322</v>
      </c>
      <c r="Z383" s="62" t="s">
        <v>2372</v>
      </c>
      <c r="AA383" s="50" t="s">
        <v>13</v>
      </c>
      <c r="AB383" s="50" t="s">
        <v>1377</v>
      </c>
      <c r="AC383" s="50" t="s">
        <v>1792</v>
      </c>
      <c r="AD383" s="19"/>
      <c r="AE383" s="19"/>
      <c r="AF383" s="19"/>
      <c r="AG383" s="19"/>
    </row>
    <row r="384">
      <c r="A384" s="47">
        <f>COUNTIF('Divulgação'!$B:$B,B384)</f>
        <v>1</v>
      </c>
      <c r="B384" s="53" t="s">
        <v>1093</v>
      </c>
      <c r="C384" s="19"/>
      <c r="D384" s="50" t="s">
        <v>1314</v>
      </c>
      <c r="E384" s="50" t="s">
        <v>1315</v>
      </c>
      <c r="F384" s="62" t="s">
        <v>2357</v>
      </c>
      <c r="G384" s="50" t="s">
        <v>1316</v>
      </c>
      <c r="H384" s="62" t="s">
        <v>2357</v>
      </c>
      <c r="I384" s="47" t="s">
        <v>1789</v>
      </c>
      <c r="J384" s="50" t="s">
        <v>48</v>
      </c>
      <c r="K384" s="50" t="s">
        <v>1790</v>
      </c>
      <c r="L384" s="53" t="s">
        <v>1793</v>
      </c>
      <c r="M384" s="19"/>
      <c r="N384" s="19"/>
      <c r="O384" s="19"/>
      <c r="P384" s="19"/>
      <c r="Q384" s="62" t="s">
        <v>328</v>
      </c>
      <c r="R384" s="62" t="s">
        <v>2345</v>
      </c>
      <c r="S384" s="62" t="s">
        <v>2357</v>
      </c>
      <c r="T384" s="62" t="s">
        <v>2357</v>
      </c>
      <c r="U384" s="19"/>
      <c r="V384" s="50" t="s">
        <v>1321</v>
      </c>
      <c r="W384" s="19"/>
      <c r="X384" s="50" t="s">
        <v>12</v>
      </c>
      <c r="Y384" s="50" t="s">
        <v>1322</v>
      </c>
      <c r="Z384" s="62" t="s">
        <v>2373</v>
      </c>
      <c r="AA384" s="50" t="s">
        <v>12</v>
      </c>
      <c r="AB384" s="50" t="s">
        <v>1322</v>
      </c>
      <c r="AC384" s="50" t="s">
        <v>1336</v>
      </c>
      <c r="AD384" s="19"/>
      <c r="AE384" s="19"/>
      <c r="AF384" s="19"/>
      <c r="AG384" s="19"/>
    </row>
    <row r="385">
      <c r="A385" s="47">
        <f>COUNTIF('Divulgação'!$B:$B,B385)</f>
        <v>1</v>
      </c>
      <c r="B385" s="53" t="s">
        <v>1095</v>
      </c>
      <c r="C385" s="19"/>
      <c r="D385" s="50" t="s">
        <v>1314</v>
      </c>
      <c r="E385" s="50" t="s">
        <v>1315</v>
      </c>
      <c r="F385" s="62" t="s">
        <v>2374</v>
      </c>
      <c r="G385" s="50" t="s">
        <v>1316</v>
      </c>
      <c r="H385" s="62" t="s">
        <v>2374</v>
      </c>
      <c r="I385" s="47" t="s">
        <v>1724</v>
      </c>
      <c r="J385" s="50" t="s">
        <v>48</v>
      </c>
      <c r="K385" s="50" t="s">
        <v>1725</v>
      </c>
      <c r="L385" s="53" t="s">
        <v>1794</v>
      </c>
      <c r="M385" s="19"/>
      <c r="N385" s="19"/>
      <c r="O385" s="19"/>
      <c r="P385" s="19"/>
      <c r="Q385" s="62" t="s">
        <v>328</v>
      </c>
      <c r="R385" s="62" t="s">
        <v>2375</v>
      </c>
      <c r="S385" s="62" t="s">
        <v>2374</v>
      </c>
      <c r="T385" s="62" t="s">
        <v>2374</v>
      </c>
      <c r="U385" s="19"/>
      <c r="V385" s="50" t="s">
        <v>1321</v>
      </c>
      <c r="W385" s="19"/>
      <c r="X385" s="50" t="s">
        <v>12</v>
      </c>
      <c r="Y385" s="50" t="s">
        <v>1322</v>
      </c>
      <c r="Z385" s="62" t="s">
        <v>2376</v>
      </c>
      <c r="AA385" s="50" t="s">
        <v>21</v>
      </c>
      <c r="AB385" s="50" t="s">
        <v>1359</v>
      </c>
      <c r="AC385" s="50" t="s">
        <v>1795</v>
      </c>
      <c r="AD385" s="19"/>
      <c r="AE385" s="19"/>
      <c r="AF385" s="19"/>
      <c r="AG385" s="19"/>
    </row>
    <row r="386">
      <c r="A386" s="47">
        <f>COUNTIF('Divulgação'!$B:$B,B386)</f>
        <v>1</v>
      </c>
      <c r="B386" s="53" t="s">
        <v>1097</v>
      </c>
      <c r="C386" s="19"/>
      <c r="D386" s="50" t="s">
        <v>1314</v>
      </c>
      <c r="E386" s="50" t="s">
        <v>1315</v>
      </c>
      <c r="F386" s="62" t="s">
        <v>2374</v>
      </c>
      <c r="G386" s="50" t="s">
        <v>1316</v>
      </c>
      <c r="H386" s="62" t="s">
        <v>2374</v>
      </c>
      <c r="I386" s="47" t="s">
        <v>1724</v>
      </c>
      <c r="J386" s="50" t="s">
        <v>48</v>
      </c>
      <c r="K386" s="50" t="s">
        <v>1725</v>
      </c>
      <c r="L386" s="53" t="s">
        <v>2377</v>
      </c>
      <c r="M386" s="19"/>
      <c r="N386" s="19"/>
      <c r="O386" s="19"/>
      <c r="P386" s="19"/>
      <c r="Q386" s="62" t="s">
        <v>328</v>
      </c>
      <c r="R386" s="62" t="s">
        <v>2375</v>
      </c>
      <c r="S386" s="62" t="s">
        <v>2374</v>
      </c>
      <c r="T386" s="62" t="s">
        <v>2374</v>
      </c>
      <c r="U386" s="19"/>
      <c r="V386" s="50" t="s">
        <v>1321</v>
      </c>
      <c r="W386" s="19"/>
      <c r="X386" s="50" t="s">
        <v>12</v>
      </c>
      <c r="Y386" s="50" t="s">
        <v>1322</v>
      </c>
      <c r="Z386" s="62" t="s">
        <v>2378</v>
      </c>
      <c r="AA386" s="50" t="s">
        <v>21</v>
      </c>
      <c r="AB386" s="50" t="s">
        <v>1359</v>
      </c>
      <c r="AC386" s="50" t="s">
        <v>1795</v>
      </c>
      <c r="AD386" s="19"/>
      <c r="AE386" s="19"/>
      <c r="AF386" s="19"/>
      <c r="AG386" s="19"/>
    </row>
    <row r="387">
      <c r="A387" s="47">
        <f>COUNTIF('Divulgação'!$B:$B,B387)</f>
        <v>1</v>
      </c>
      <c r="B387" s="53" t="s">
        <v>1099</v>
      </c>
      <c r="C387" s="19"/>
      <c r="D387" s="50" t="s">
        <v>1314</v>
      </c>
      <c r="E387" s="50" t="s">
        <v>1315</v>
      </c>
      <c r="F387" s="62" t="s">
        <v>2379</v>
      </c>
      <c r="G387" s="50" t="s">
        <v>1316</v>
      </c>
      <c r="H387" s="62" t="s">
        <v>2379</v>
      </c>
      <c r="I387" s="47" t="s">
        <v>1745</v>
      </c>
      <c r="J387" s="62" t="s">
        <v>1318</v>
      </c>
      <c r="K387" s="50" t="s">
        <v>1746</v>
      </c>
      <c r="L387" s="53" t="s">
        <v>1801</v>
      </c>
      <c r="M387" s="19"/>
      <c r="N387" s="19"/>
      <c r="O387" s="19"/>
      <c r="P387" s="19"/>
      <c r="Q387" s="62" t="s">
        <v>328</v>
      </c>
      <c r="R387" s="62" t="s">
        <v>2380</v>
      </c>
      <c r="S387" s="62" t="s">
        <v>2381</v>
      </c>
      <c r="T387" s="62" t="s">
        <v>2379</v>
      </c>
      <c r="U387" s="19"/>
      <c r="V387" s="50" t="s">
        <v>1321</v>
      </c>
      <c r="W387" s="19"/>
      <c r="X387" s="50" t="s">
        <v>12</v>
      </c>
      <c r="Y387" s="50" t="s">
        <v>1322</v>
      </c>
      <c r="Z387" s="62" t="s">
        <v>2382</v>
      </c>
      <c r="AA387" s="50" t="s">
        <v>12</v>
      </c>
      <c r="AB387" s="50" t="s">
        <v>1322</v>
      </c>
      <c r="AC387" s="50" t="s">
        <v>1434</v>
      </c>
      <c r="AD387" s="19"/>
      <c r="AE387" s="19"/>
      <c r="AF387" s="19"/>
      <c r="AG387" s="19"/>
    </row>
    <row r="388">
      <c r="A388" s="47">
        <f>COUNTIF('Divulgação'!$B:$B,B388)</f>
        <v>1</v>
      </c>
      <c r="B388" s="53" t="s">
        <v>1101</v>
      </c>
      <c r="C388" s="19"/>
      <c r="D388" s="50" t="s">
        <v>1314</v>
      </c>
      <c r="E388" s="50" t="s">
        <v>1315</v>
      </c>
      <c r="F388" s="62" t="s">
        <v>2379</v>
      </c>
      <c r="G388" s="50" t="s">
        <v>1316</v>
      </c>
      <c r="H388" s="62" t="s">
        <v>2379</v>
      </c>
      <c r="I388" s="47" t="s">
        <v>1745</v>
      </c>
      <c r="J388" s="62" t="s">
        <v>1318</v>
      </c>
      <c r="K388" s="50" t="s">
        <v>1746</v>
      </c>
      <c r="L388" s="53" t="s">
        <v>1798</v>
      </c>
      <c r="M388" s="19"/>
      <c r="N388" s="19"/>
      <c r="O388" s="19"/>
      <c r="P388" s="19"/>
      <c r="Q388" s="62" t="s">
        <v>328</v>
      </c>
      <c r="R388" s="62" t="s">
        <v>2380</v>
      </c>
      <c r="S388" s="62" t="s">
        <v>2381</v>
      </c>
      <c r="T388" s="62" t="s">
        <v>2379</v>
      </c>
      <c r="U388" s="19"/>
      <c r="V388" s="50" t="s">
        <v>1321</v>
      </c>
      <c r="W388" s="19"/>
      <c r="X388" s="50" t="s">
        <v>12</v>
      </c>
      <c r="Y388" s="50" t="s">
        <v>1322</v>
      </c>
      <c r="Z388" s="62" t="s">
        <v>2383</v>
      </c>
      <c r="AA388" s="50" t="s">
        <v>1500</v>
      </c>
      <c r="AB388" s="50" t="s">
        <v>1537</v>
      </c>
      <c r="AC388" s="50" t="s">
        <v>1473</v>
      </c>
      <c r="AD388" s="19"/>
      <c r="AE388" s="19"/>
      <c r="AF388" s="19"/>
      <c r="AG388" s="19"/>
    </row>
    <row r="389">
      <c r="A389" s="47">
        <f>COUNTIF('Divulgação'!$B:$B,B389)</f>
        <v>1</v>
      </c>
      <c r="B389" s="53" t="s">
        <v>1103</v>
      </c>
      <c r="C389" s="19"/>
      <c r="D389" s="50" t="s">
        <v>1314</v>
      </c>
      <c r="E389" s="50" t="s">
        <v>1315</v>
      </c>
      <c r="F389" s="62" t="s">
        <v>2379</v>
      </c>
      <c r="G389" s="50" t="s">
        <v>1316</v>
      </c>
      <c r="H389" s="62" t="s">
        <v>2379</v>
      </c>
      <c r="I389" s="47" t="s">
        <v>129</v>
      </c>
      <c r="J389" s="62" t="s">
        <v>1318</v>
      </c>
      <c r="K389" s="50" t="s">
        <v>130</v>
      </c>
      <c r="L389" s="53" t="s">
        <v>1802</v>
      </c>
      <c r="M389" s="19"/>
      <c r="N389" s="19"/>
      <c r="O389" s="19"/>
      <c r="P389" s="19"/>
      <c r="Q389" s="62" t="s">
        <v>328</v>
      </c>
      <c r="R389" s="62" t="s">
        <v>2380</v>
      </c>
      <c r="S389" s="62" t="s">
        <v>2381</v>
      </c>
      <c r="T389" s="62" t="s">
        <v>2379</v>
      </c>
      <c r="U389" s="19"/>
      <c r="V389" s="50" t="s">
        <v>1321</v>
      </c>
      <c r="W389" s="19"/>
      <c r="X389" s="50" t="s">
        <v>12</v>
      </c>
      <c r="Y389" s="50" t="s">
        <v>1322</v>
      </c>
      <c r="Z389" s="62" t="s">
        <v>2384</v>
      </c>
      <c r="AA389" s="50" t="s">
        <v>12</v>
      </c>
      <c r="AB389" s="50" t="s">
        <v>1322</v>
      </c>
      <c r="AC389" s="50" t="s">
        <v>1369</v>
      </c>
      <c r="AD389" s="50" t="s">
        <v>1803</v>
      </c>
      <c r="AE389" s="19"/>
      <c r="AF389" s="19"/>
      <c r="AG389" s="19"/>
    </row>
    <row r="390">
      <c r="A390" s="47">
        <f>COUNTIF('Divulgação'!$B:$B,B390)</f>
        <v>1</v>
      </c>
      <c r="B390" s="53" t="s">
        <v>1105</v>
      </c>
      <c r="C390" s="19"/>
      <c r="D390" s="50" t="s">
        <v>1314</v>
      </c>
      <c r="E390" s="50" t="s">
        <v>1315</v>
      </c>
      <c r="F390" s="62" t="s">
        <v>2379</v>
      </c>
      <c r="G390" s="50" t="s">
        <v>1316</v>
      </c>
      <c r="H390" s="62" t="s">
        <v>2379</v>
      </c>
      <c r="I390" s="47" t="s">
        <v>1805</v>
      </c>
      <c r="J390" s="50" t="s">
        <v>1806</v>
      </c>
      <c r="K390" s="50" t="s">
        <v>1718</v>
      </c>
      <c r="L390" s="47" t="s">
        <v>1807</v>
      </c>
      <c r="M390" s="19"/>
      <c r="N390" s="19"/>
      <c r="O390" s="19"/>
      <c r="P390" s="19"/>
      <c r="Q390" s="62" t="s">
        <v>328</v>
      </c>
      <c r="R390" s="62" t="s">
        <v>2380</v>
      </c>
      <c r="S390" s="62" t="s">
        <v>2381</v>
      </c>
      <c r="T390" s="62" t="s">
        <v>2379</v>
      </c>
      <c r="U390" s="19"/>
      <c r="V390" s="50" t="s">
        <v>1321</v>
      </c>
      <c r="W390" s="19"/>
      <c r="X390" s="50" t="s">
        <v>12</v>
      </c>
      <c r="Y390" s="50" t="s">
        <v>1322</v>
      </c>
      <c r="Z390" s="62" t="s">
        <v>2385</v>
      </c>
      <c r="AA390" s="50" t="s">
        <v>16</v>
      </c>
      <c r="AB390" s="50" t="s">
        <v>1331</v>
      </c>
      <c r="AC390" s="50" t="s">
        <v>1615</v>
      </c>
      <c r="AD390" s="19"/>
      <c r="AE390" s="19"/>
      <c r="AF390" s="19"/>
      <c r="AG390" s="19"/>
    </row>
    <row r="391">
      <c r="A391" s="47">
        <f>COUNTIF('Divulgação'!$B:$B,B391)</f>
        <v>1</v>
      </c>
      <c r="B391" s="53" t="s">
        <v>1107</v>
      </c>
      <c r="C391" s="19"/>
      <c r="D391" s="50" t="s">
        <v>1314</v>
      </c>
      <c r="E391" s="50" t="s">
        <v>1315</v>
      </c>
      <c r="F391" s="62" t="s">
        <v>2379</v>
      </c>
      <c r="G391" s="50" t="s">
        <v>1316</v>
      </c>
      <c r="H391" s="62" t="s">
        <v>2379</v>
      </c>
      <c r="I391" s="47" t="s">
        <v>1805</v>
      </c>
      <c r="J391" s="62" t="s">
        <v>1717</v>
      </c>
      <c r="K391" s="50" t="s">
        <v>1718</v>
      </c>
      <c r="L391" s="47" t="s">
        <v>2386</v>
      </c>
      <c r="M391" s="19"/>
      <c r="N391" s="19"/>
      <c r="O391" s="19"/>
      <c r="P391" s="19"/>
      <c r="Q391" s="62" t="s">
        <v>328</v>
      </c>
      <c r="R391" s="62" t="s">
        <v>2380</v>
      </c>
      <c r="S391" s="62" t="s">
        <v>2381</v>
      </c>
      <c r="T391" s="62" t="s">
        <v>2379</v>
      </c>
      <c r="U391" s="19"/>
      <c r="V391" s="50" t="s">
        <v>1321</v>
      </c>
      <c r="W391" s="19"/>
      <c r="X391" s="50" t="s">
        <v>12</v>
      </c>
      <c r="Y391" s="50" t="s">
        <v>1322</v>
      </c>
      <c r="Z391" s="62" t="s">
        <v>2387</v>
      </c>
      <c r="AA391" s="50" t="s">
        <v>13</v>
      </c>
      <c r="AB391" s="50" t="s">
        <v>1377</v>
      </c>
      <c r="AC391" s="50" t="s">
        <v>1686</v>
      </c>
      <c r="AD391" s="19"/>
      <c r="AE391" s="19"/>
      <c r="AF391" s="19"/>
      <c r="AG391" s="19"/>
    </row>
    <row r="392">
      <c r="A392" s="47">
        <f>COUNTIF('Divulgação'!$B:$B,B392)</f>
        <v>1</v>
      </c>
      <c r="B392" s="53" t="s">
        <v>1109</v>
      </c>
      <c r="C392" s="19"/>
      <c r="D392" s="50" t="s">
        <v>1314</v>
      </c>
      <c r="E392" s="50" t="s">
        <v>1315</v>
      </c>
      <c r="F392" s="62" t="s">
        <v>2379</v>
      </c>
      <c r="G392" s="50" t="s">
        <v>1316</v>
      </c>
      <c r="H392" s="62" t="s">
        <v>2379</v>
      </c>
      <c r="I392" s="47" t="s">
        <v>143</v>
      </c>
      <c r="J392" s="62" t="s">
        <v>2164</v>
      </c>
      <c r="K392" s="50" t="s">
        <v>1625</v>
      </c>
      <c r="L392" s="47" t="s">
        <v>1883</v>
      </c>
      <c r="M392" s="19"/>
      <c r="N392" s="19"/>
      <c r="O392" s="19"/>
      <c r="P392" s="19"/>
      <c r="Q392" s="62" t="s">
        <v>328</v>
      </c>
      <c r="R392" s="62" t="s">
        <v>2388</v>
      </c>
      <c r="S392" s="62" t="s">
        <v>2380</v>
      </c>
      <c r="T392" s="62" t="s">
        <v>2379</v>
      </c>
      <c r="U392" s="19"/>
      <c r="V392" s="50" t="s">
        <v>1321</v>
      </c>
      <c r="W392" s="19"/>
      <c r="X392" s="50" t="s">
        <v>12</v>
      </c>
      <c r="Y392" s="50" t="s">
        <v>1322</v>
      </c>
      <c r="Z392" s="62" t="s">
        <v>2389</v>
      </c>
      <c r="AA392" s="50" t="s">
        <v>13</v>
      </c>
      <c r="AB392" s="50" t="s">
        <v>2390</v>
      </c>
      <c r="AC392" s="50" t="s">
        <v>1854</v>
      </c>
      <c r="AD392" s="19"/>
      <c r="AE392" s="19"/>
      <c r="AF392" s="19"/>
      <c r="AG392" s="19"/>
    </row>
    <row r="393">
      <c r="A393" s="47">
        <f>COUNTIF('Divulgação'!$B:$B,B393)</f>
        <v>1</v>
      </c>
      <c r="B393" s="53" t="s">
        <v>1111</v>
      </c>
      <c r="C393" s="19"/>
      <c r="D393" s="50" t="s">
        <v>1314</v>
      </c>
      <c r="E393" s="50" t="s">
        <v>1315</v>
      </c>
      <c r="F393" s="62" t="s">
        <v>2379</v>
      </c>
      <c r="G393" s="50" t="s">
        <v>1316</v>
      </c>
      <c r="H393" s="62" t="s">
        <v>2379</v>
      </c>
      <c r="I393" s="47" t="s">
        <v>195</v>
      </c>
      <c r="J393" s="50" t="s">
        <v>48</v>
      </c>
      <c r="K393" s="50" t="s">
        <v>1833</v>
      </c>
      <c r="L393" s="47" t="s">
        <v>2391</v>
      </c>
      <c r="M393" s="19"/>
      <c r="N393" s="19"/>
      <c r="O393" s="19"/>
      <c r="P393" s="19"/>
      <c r="Q393" s="62" t="s">
        <v>328</v>
      </c>
      <c r="R393" s="62" t="s">
        <v>2392</v>
      </c>
      <c r="S393" s="62" t="s">
        <v>2393</v>
      </c>
      <c r="T393" s="62" t="s">
        <v>2379</v>
      </c>
      <c r="U393" s="19"/>
      <c r="V393" s="50" t="s">
        <v>1321</v>
      </c>
      <c r="W393" s="19"/>
      <c r="X393" s="50" t="s">
        <v>12</v>
      </c>
      <c r="Y393" s="50" t="s">
        <v>1322</v>
      </c>
      <c r="Z393" s="62" t="s">
        <v>2394</v>
      </c>
      <c r="AA393" s="50" t="s">
        <v>12</v>
      </c>
      <c r="AB393" s="50" t="s">
        <v>1322</v>
      </c>
      <c r="AC393" s="50" t="s">
        <v>1434</v>
      </c>
      <c r="AD393" s="19"/>
      <c r="AE393" s="19"/>
      <c r="AF393" s="19"/>
      <c r="AG393" s="19"/>
    </row>
    <row r="394">
      <c r="A394" s="47">
        <f>COUNTIF('Divulgação'!$B:$B,B394)</f>
        <v>1</v>
      </c>
      <c r="B394" s="53" t="s">
        <v>1113</v>
      </c>
      <c r="C394" s="19"/>
      <c r="D394" s="50" t="s">
        <v>1314</v>
      </c>
      <c r="E394" s="50" t="s">
        <v>1315</v>
      </c>
      <c r="F394" s="62" t="s">
        <v>2379</v>
      </c>
      <c r="G394" s="50" t="s">
        <v>1316</v>
      </c>
      <c r="H394" s="62" t="s">
        <v>2379</v>
      </c>
      <c r="I394" s="47" t="s">
        <v>195</v>
      </c>
      <c r="J394" s="50" t="s">
        <v>48</v>
      </c>
      <c r="K394" s="50" t="s">
        <v>1833</v>
      </c>
      <c r="L394" s="53" t="s">
        <v>2395</v>
      </c>
      <c r="M394" s="19"/>
      <c r="N394" s="19"/>
      <c r="O394" s="19"/>
      <c r="P394" s="19"/>
      <c r="Q394" s="62" t="s">
        <v>328</v>
      </c>
      <c r="R394" s="62" t="s">
        <v>2392</v>
      </c>
      <c r="S394" s="62" t="s">
        <v>2393</v>
      </c>
      <c r="T394" s="62" t="s">
        <v>2379</v>
      </c>
      <c r="U394" s="19"/>
      <c r="V394" s="50" t="s">
        <v>1321</v>
      </c>
      <c r="W394" s="19"/>
      <c r="X394" s="50" t="s">
        <v>12</v>
      </c>
      <c r="Y394" s="50" t="s">
        <v>1322</v>
      </c>
      <c r="Z394" s="62" t="s">
        <v>2396</v>
      </c>
      <c r="AA394" s="50" t="s">
        <v>19</v>
      </c>
      <c r="AB394" s="50" t="s">
        <v>1402</v>
      </c>
      <c r="AC394" s="50" t="s">
        <v>2019</v>
      </c>
      <c r="AD394" s="19"/>
      <c r="AE394" s="19"/>
      <c r="AF394" s="19"/>
      <c r="AG394" s="19"/>
    </row>
    <row r="395">
      <c r="A395" s="47">
        <f>COUNTIF('Divulgação'!$B:$B,B395)</f>
        <v>1</v>
      </c>
      <c r="B395" s="53" t="s">
        <v>1115</v>
      </c>
      <c r="C395" s="19"/>
      <c r="D395" s="50" t="s">
        <v>1314</v>
      </c>
      <c r="E395" s="50" t="s">
        <v>1315</v>
      </c>
      <c r="F395" s="62" t="s">
        <v>2379</v>
      </c>
      <c r="G395" s="50" t="s">
        <v>1316</v>
      </c>
      <c r="H395" s="62" t="s">
        <v>2379</v>
      </c>
      <c r="I395" s="47" t="s">
        <v>187</v>
      </c>
      <c r="J395" s="62" t="s">
        <v>1597</v>
      </c>
      <c r="K395" s="50" t="s">
        <v>1598</v>
      </c>
      <c r="L395" s="47" t="s">
        <v>2397</v>
      </c>
      <c r="M395" s="19"/>
      <c r="N395" s="19"/>
      <c r="O395" s="19"/>
      <c r="P395" s="19"/>
      <c r="Q395" s="62" t="s">
        <v>328</v>
      </c>
      <c r="R395" s="62" t="s">
        <v>2380</v>
      </c>
      <c r="S395" s="62" t="s">
        <v>2381</v>
      </c>
      <c r="T395" s="62" t="s">
        <v>2379</v>
      </c>
      <c r="U395" s="19"/>
      <c r="V395" s="50" t="s">
        <v>1321</v>
      </c>
      <c r="W395" s="19"/>
      <c r="X395" s="50" t="s">
        <v>12</v>
      </c>
      <c r="Y395" s="50" t="s">
        <v>1322</v>
      </c>
      <c r="Z395" s="62" t="s">
        <v>2398</v>
      </c>
      <c r="AA395" s="50" t="s">
        <v>13</v>
      </c>
      <c r="AB395" s="50" t="s">
        <v>1380</v>
      </c>
      <c r="AC395" s="50" t="s">
        <v>1541</v>
      </c>
      <c r="AD395" s="19"/>
      <c r="AE395" s="19"/>
      <c r="AF395" s="19"/>
      <c r="AG395" s="19"/>
    </row>
    <row r="396">
      <c r="A396" s="47">
        <f>COUNTIF('Divulgação'!$B:$B,B396)</f>
        <v>1</v>
      </c>
      <c r="B396" s="53" t="s">
        <v>1117</v>
      </c>
      <c r="C396" s="19"/>
      <c r="D396" s="50" t="s">
        <v>1314</v>
      </c>
      <c r="E396" s="50" t="s">
        <v>1315</v>
      </c>
      <c r="F396" s="62" t="s">
        <v>2379</v>
      </c>
      <c r="G396" s="50" t="s">
        <v>1316</v>
      </c>
      <c r="H396" s="62" t="s">
        <v>2379</v>
      </c>
      <c r="I396" s="47" t="s">
        <v>187</v>
      </c>
      <c r="J396" s="62" t="s">
        <v>1597</v>
      </c>
      <c r="K396" s="50" t="s">
        <v>1598</v>
      </c>
      <c r="L396" s="47" t="s">
        <v>2399</v>
      </c>
      <c r="M396" s="19"/>
      <c r="N396" s="19"/>
      <c r="O396" s="19"/>
      <c r="P396" s="19"/>
      <c r="Q396" s="62" t="s">
        <v>328</v>
      </c>
      <c r="R396" s="62" t="s">
        <v>2392</v>
      </c>
      <c r="S396" s="62" t="s">
        <v>2393</v>
      </c>
      <c r="T396" s="62" t="s">
        <v>2379</v>
      </c>
      <c r="U396" s="19"/>
      <c r="V396" s="50" t="s">
        <v>1321</v>
      </c>
      <c r="W396" s="19"/>
      <c r="X396" s="50" t="s">
        <v>12</v>
      </c>
      <c r="Y396" s="50" t="s">
        <v>1322</v>
      </c>
      <c r="Z396" s="62" t="s">
        <v>2400</v>
      </c>
      <c r="AA396" s="50" t="s">
        <v>1491</v>
      </c>
      <c r="AB396" s="50" t="s">
        <v>1492</v>
      </c>
      <c r="AC396" s="50" t="s">
        <v>1493</v>
      </c>
      <c r="AD396" s="19"/>
      <c r="AE396" s="19"/>
      <c r="AF396" s="19"/>
      <c r="AG396" s="19"/>
    </row>
    <row r="397">
      <c r="A397" s="47">
        <f>COUNTIF('Divulgação'!$B:$B,B397)</f>
        <v>1</v>
      </c>
      <c r="B397" s="53" t="s">
        <v>1119</v>
      </c>
      <c r="C397" s="19"/>
      <c r="D397" s="50" t="s">
        <v>1314</v>
      </c>
      <c r="E397" s="50" t="s">
        <v>1315</v>
      </c>
      <c r="F397" s="62" t="s">
        <v>2379</v>
      </c>
      <c r="G397" s="50" t="s">
        <v>1316</v>
      </c>
      <c r="H397" s="62" t="s">
        <v>2379</v>
      </c>
      <c r="I397" s="47" t="s">
        <v>187</v>
      </c>
      <c r="J397" s="62" t="s">
        <v>1597</v>
      </c>
      <c r="K397" s="50" t="s">
        <v>1598</v>
      </c>
      <c r="L397" s="47" t="s">
        <v>2401</v>
      </c>
      <c r="M397" s="19"/>
      <c r="N397" s="19"/>
      <c r="O397" s="19"/>
      <c r="P397" s="19"/>
      <c r="Q397" s="62" t="s">
        <v>328</v>
      </c>
      <c r="R397" s="62" t="s">
        <v>2380</v>
      </c>
      <c r="S397" s="62" t="s">
        <v>2381</v>
      </c>
      <c r="T397" s="62" t="s">
        <v>2379</v>
      </c>
      <c r="U397" s="19"/>
      <c r="V397" s="50" t="s">
        <v>1321</v>
      </c>
      <c r="W397" s="19"/>
      <c r="X397" s="50" t="s">
        <v>12</v>
      </c>
      <c r="Y397" s="50" t="s">
        <v>1322</v>
      </c>
      <c r="Z397" s="62" t="s">
        <v>2402</v>
      </c>
      <c r="AA397" s="50" t="s">
        <v>1491</v>
      </c>
      <c r="AB397" s="50" t="s">
        <v>1492</v>
      </c>
      <c r="AC397" s="50" t="s">
        <v>1493</v>
      </c>
      <c r="AD397" s="19"/>
      <c r="AE397" s="19"/>
      <c r="AF397" s="19"/>
      <c r="AG397" s="19"/>
    </row>
    <row r="398">
      <c r="A398" s="47">
        <f>COUNTIF('Divulgação'!$B:$B,B398)</f>
        <v>1</v>
      </c>
      <c r="B398" s="53" t="s">
        <v>1121</v>
      </c>
      <c r="C398" s="19"/>
      <c r="D398" s="50" t="s">
        <v>1314</v>
      </c>
      <c r="E398" s="50" t="s">
        <v>1315</v>
      </c>
      <c r="F398" s="62" t="s">
        <v>2379</v>
      </c>
      <c r="G398" s="50" t="s">
        <v>1316</v>
      </c>
      <c r="H398" s="62" t="s">
        <v>2379</v>
      </c>
      <c r="I398" s="47" t="s">
        <v>187</v>
      </c>
      <c r="J398" s="62" t="s">
        <v>1597</v>
      </c>
      <c r="K398" s="50" t="s">
        <v>1598</v>
      </c>
      <c r="L398" s="47" t="s">
        <v>2403</v>
      </c>
      <c r="M398" s="19"/>
      <c r="N398" s="19"/>
      <c r="O398" s="19"/>
      <c r="P398" s="19"/>
      <c r="Q398" s="62" t="s">
        <v>328</v>
      </c>
      <c r="R398" s="62" t="s">
        <v>2380</v>
      </c>
      <c r="S398" s="62" t="s">
        <v>2381</v>
      </c>
      <c r="T398" s="62" t="s">
        <v>2379</v>
      </c>
      <c r="U398" s="19"/>
      <c r="V398" s="50" t="s">
        <v>1321</v>
      </c>
      <c r="W398" s="19"/>
      <c r="X398" s="50" t="s">
        <v>12</v>
      </c>
      <c r="Y398" s="50" t="s">
        <v>1322</v>
      </c>
      <c r="Z398" s="62" t="s">
        <v>2404</v>
      </c>
      <c r="AA398" s="50" t="s">
        <v>1491</v>
      </c>
      <c r="AB398" s="50" t="s">
        <v>1492</v>
      </c>
      <c r="AC398" s="50" t="s">
        <v>1493</v>
      </c>
      <c r="AD398" s="19"/>
      <c r="AE398" s="19"/>
      <c r="AF398" s="19"/>
      <c r="AG398" s="19"/>
    </row>
    <row r="399">
      <c r="A399" s="47">
        <f>COUNTIF('Divulgação'!$B:$B,B399)</f>
        <v>1</v>
      </c>
      <c r="B399" s="53" t="s">
        <v>1123</v>
      </c>
      <c r="C399" s="19"/>
      <c r="D399" s="50" t="s">
        <v>1314</v>
      </c>
      <c r="E399" s="50" t="s">
        <v>1315</v>
      </c>
      <c r="F399" s="62" t="s">
        <v>2379</v>
      </c>
      <c r="G399" s="50" t="s">
        <v>1316</v>
      </c>
      <c r="H399" s="62" t="s">
        <v>2379</v>
      </c>
      <c r="I399" s="47" t="s">
        <v>187</v>
      </c>
      <c r="J399" s="62" t="s">
        <v>1597</v>
      </c>
      <c r="K399" s="50" t="s">
        <v>1598</v>
      </c>
      <c r="L399" s="47" t="s">
        <v>2405</v>
      </c>
      <c r="M399" s="19"/>
      <c r="N399" s="19"/>
      <c r="O399" s="19"/>
      <c r="P399" s="19"/>
      <c r="Q399" s="62" t="s">
        <v>328</v>
      </c>
      <c r="R399" s="62" t="s">
        <v>2380</v>
      </c>
      <c r="S399" s="62" t="s">
        <v>2381</v>
      </c>
      <c r="T399" s="62" t="s">
        <v>2379</v>
      </c>
      <c r="U399" s="19"/>
      <c r="V399" s="50" t="s">
        <v>1321</v>
      </c>
      <c r="W399" s="19"/>
      <c r="X399" s="50" t="s">
        <v>12</v>
      </c>
      <c r="Y399" s="50" t="s">
        <v>1322</v>
      </c>
      <c r="Z399" s="62" t="s">
        <v>2406</v>
      </c>
      <c r="AA399" s="50" t="s">
        <v>1491</v>
      </c>
      <c r="AB399" s="50" t="s">
        <v>1492</v>
      </c>
      <c r="AC399" s="50" t="s">
        <v>1493</v>
      </c>
      <c r="AD399" s="19"/>
      <c r="AE399" s="19"/>
      <c r="AF399" s="19"/>
      <c r="AG399" s="19"/>
    </row>
    <row r="400">
      <c r="A400" s="47">
        <f>COUNTIF('Divulgação'!$B:$B,B400)</f>
        <v>1</v>
      </c>
      <c r="B400" s="53" t="s">
        <v>1125</v>
      </c>
      <c r="C400" s="19"/>
      <c r="D400" s="50" t="s">
        <v>1314</v>
      </c>
      <c r="E400" s="50" t="s">
        <v>2007</v>
      </c>
      <c r="F400" s="62" t="s">
        <v>2388</v>
      </c>
      <c r="G400" s="50" t="s">
        <v>1316</v>
      </c>
      <c r="H400" s="19"/>
      <c r="I400" s="47" t="s">
        <v>1866</v>
      </c>
      <c r="J400" s="62" t="s">
        <v>2154</v>
      </c>
      <c r="K400" s="50" t="s">
        <v>1546</v>
      </c>
      <c r="L400" s="47" t="s">
        <v>2155</v>
      </c>
      <c r="M400" s="19"/>
      <c r="N400" s="19"/>
      <c r="O400" s="19"/>
      <c r="P400" s="19"/>
      <c r="Q400" s="62" t="s">
        <v>328</v>
      </c>
      <c r="R400" s="62" t="s">
        <v>2388</v>
      </c>
      <c r="S400" s="62" t="s">
        <v>2380</v>
      </c>
      <c r="T400" s="19"/>
      <c r="U400" s="19"/>
      <c r="V400" s="50" t="s">
        <v>1321</v>
      </c>
      <c r="W400" s="19"/>
      <c r="X400" s="50" t="s">
        <v>12</v>
      </c>
      <c r="Y400" s="50" t="s">
        <v>1322</v>
      </c>
      <c r="Z400" s="62" t="s">
        <v>2407</v>
      </c>
      <c r="AA400" s="50" t="s">
        <v>13</v>
      </c>
      <c r="AB400" s="50" t="s">
        <v>2390</v>
      </c>
      <c r="AC400" s="50" t="s">
        <v>1854</v>
      </c>
      <c r="AD400" s="19"/>
      <c r="AE400" s="19"/>
      <c r="AF400" s="19"/>
      <c r="AG400" s="19"/>
    </row>
    <row r="401">
      <c r="A401" s="47">
        <f>COUNTIF('Divulgação'!$B:$B,B401)</f>
        <v>1</v>
      </c>
      <c r="B401" s="53" t="s">
        <v>1127</v>
      </c>
      <c r="C401" s="19"/>
      <c r="D401" s="50" t="s">
        <v>1314</v>
      </c>
      <c r="E401" s="50" t="s">
        <v>1315</v>
      </c>
      <c r="F401" s="62" t="s">
        <v>2379</v>
      </c>
      <c r="G401" s="50" t="s">
        <v>1316</v>
      </c>
      <c r="H401" s="62" t="s">
        <v>2379</v>
      </c>
      <c r="I401" s="47" t="s">
        <v>1590</v>
      </c>
      <c r="J401" s="62" t="s">
        <v>1318</v>
      </c>
      <c r="K401" s="50" t="s">
        <v>1591</v>
      </c>
      <c r="L401" s="53" t="s">
        <v>1796</v>
      </c>
      <c r="M401" s="19"/>
      <c r="N401" s="19"/>
      <c r="O401" s="19"/>
      <c r="P401" s="19"/>
      <c r="Q401" s="62" t="s">
        <v>328</v>
      </c>
      <c r="R401" s="62" t="s">
        <v>2408</v>
      </c>
      <c r="S401" s="62" t="s">
        <v>2409</v>
      </c>
      <c r="T401" s="62" t="s">
        <v>2379</v>
      </c>
      <c r="U401" s="19"/>
      <c r="V401" s="50" t="s">
        <v>1321</v>
      </c>
      <c r="W401" s="19"/>
      <c r="X401" s="50" t="s">
        <v>12</v>
      </c>
      <c r="Y401" s="50" t="s">
        <v>1322</v>
      </c>
      <c r="Z401" s="62" t="s">
        <v>2410</v>
      </c>
      <c r="AA401" s="50" t="s">
        <v>13</v>
      </c>
      <c r="AB401" s="50" t="s">
        <v>1377</v>
      </c>
      <c r="AC401" s="50" t="s">
        <v>1797</v>
      </c>
      <c r="AD401" s="19"/>
      <c r="AE401" s="19"/>
      <c r="AF401" s="19"/>
      <c r="AG401" s="19"/>
    </row>
    <row r="402">
      <c r="A402" s="47">
        <f>COUNTIF('Divulgação'!$B:$B,B402)</f>
        <v>1</v>
      </c>
      <c r="B402" s="53" t="s">
        <v>1129</v>
      </c>
      <c r="C402" s="19"/>
      <c r="D402" s="50" t="s">
        <v>1314</v>
      </c>
      <c r="E402" s="50" t="s">
        <v>1315</v>
      </c>
      <c r="F402" s="62" t="s">
        <v>2379</v>
      </c>
      <c r="G402" s="50" t="s">
        <v>1316</v>
      </c>
      <c r="H402" s="62" t="s">
        <v>2379</v>
      </c>
      <c r="I402" s="47" t="s">
        <v>1590</v>
      </c>
      <c r="J402" s="62" t="s">
        <v>1318</v>
      </c>
      <c r="K402" s="50" t="s">
        <v>1591</v>
      </c>
      <c r="L402" s="53" t="s">
        <v>2411</v>
      </c>
      <c r="M402" s="19"/>
      <c r="N402" s="19"/>
      <c r="O402" s="19"/>
      <c r="P402" s="19"/>
      <c r="Q402" s="62" t="s">
        <v>328</v>
      </c>
      <c r="R402" s="62" t="s">
        <v>2408</v>
      </c>
      <c r="S402" s="62" t="s">
        <v>2409</v>
      </c>
      <c r="T402" s="62" t="s">
        <v>2379</v>
      </c>
      <c r="U402" s="19"/>
      <c r="V402" s="50" t="s">
        <v>1321</v>
      </c>
      <c r="W402" s="19"/>
      <c r="X402" s="50" t="s">
        <v>12</v>
      </c>
      <c r="Y402" s="50" t="s">
        <v>1322</v>
      </c>
      <c r="Z402" s="62" t="s">
        <v>2412</v>
      </c>
      <c r="AA402" s="50" t="s">
        <v>1500</v>
      </c>
      <c r="AB402" s="50" t="s">
        <v>1537</v>
      </c>
      <c r="AC402" s="50" t="s">
        <v>2292</v>
      </c>
      <c r="AD402" s="19"/>
      <c r="AE402" s="19"/>
      <c r="AF402" s="19"/>
      <c r="AG402" s="19"/>
    </row>
    <row r="403">
      <c r="A403" s="47">
        <f>COUNTIF('Divulgação'!$B:$B,B403)</f>
        <v>1</v>
      </c>
      <c r="B403" s="53" t="s">
        <v>1131</v>
      </c>
      <c r="C403" s="19"/>
      <c r="D403" s="50" t="s">
        <v>1314</v>
      </c>
      <c r="E403" s="50" t="s">
        <v>1315</v>
      </c>
      <c r="F403" s="62" t="s">
        <v>2379</v>
      </c>
      <c r="G403" s="50" t="s">
        <v>1316</v>
      </c>
      <c r="H403" s="62" t="s">
        <v>2379</v>
      </c>
      <c r="I403" s="47" t="s">
        <v>1590</v>
      </c>
      <c r="J403" s="62" t="s">
        <v>1318</v>
      </c>
      <c r="K403" s="50" t="s">
        <v>1591</v>
      </c>
      <c r="L403" s="53" t="s">
        <v>1799</v>
      </c>
      <c r="M403" s="19"/>
      <c r="N403" s="19"/>
      <c r="O403" s="19"/>
      <c r="P403" s="19"/>
      <c r="Q403" s="62" t="s">
        <v>328</v>
      </c>
      <c r="R403" s="62" t="s">
        <v>2408</v>
      </c>
      <c r="S403" s="62" t="s">
        <v>2409</v>
      </c>
      <c r="T403" s="62" t="s">
        <v>2379</v>
      </c>
      <c r="U403" s="19"/>
      <c r="V403" s="50" t="s">
        <v>1321</v>
      </c>
      <c r="W403" s="19"/>
      <c r="X403" s="50" t="s">
        <v>12</v>
      </c>
      <c r="Y403" s="50" t="s">
        <v>1322</v>
      </c>
      <c r="Z403" s="62" t="s">
        <v>2413</v>
      </c>
      <c r="AA403" s="50" t="s">
        <v>1500</v>
      </c>
      <c r="AB403" s="50" t="s">
        <v>1537</v>
      </c>
      <c r="AC403" s="50" t="s">
        <v>1800</v>
      </c>
      <c r="AD403" s="19"/>
      <c r="AE403" s="19"/>
      <c r="AF403" s="19"/>
      <c r="AG403" s="19"/>
    </row>
    <row r="404">
      <c r="A404" s="47">
        <f>COUNTIF('Divulgação'!$B:$B,B404)</f>
        <v>1</v>
      </c>
      <c r="B404" s="53" t="s">
        <v>1133</v>
      </c>
      <c r="C404" s="19"/>
      <c r="D404" s="50" t="s">
        <v>1314</v>
      </c>
      <c r="E404" s="50" t="s">
        <v>1315</v>
      </c>
      <c r="F404" s="62" t="s">
        <v>2379</v>
      </c>
      <c r="G404" s="50" t="s">
        <v>1316</v>
      </c>
      <c r="H404" s="62" t="s">
        <v>2379</v>
      </c>
      <c r="I404" s="47" t="s">
        <v>123</v>
      </c>
      <c r="J404" s="62" t="s">
        <v>1318</v>
      </c>
      <c r="K404" s="50" t="s">
        <v>1506</v>
      </c>
      <c r="L404" s="53" t="s">
        <v>1804</v>
      </c>
      <c r="M404" s="19"/>
      <c r="N404" s="19"/>
      <c r="O404" s="19"/>
      <c r="P404" s="19"/>
      <c r="Q404" s="62" t="s">
        <v>328</v>
      </c>
      <c r="R404" s="62" t="s">
        <v>2408</v>
      </c>
      <c r="S404" s="62" t="s">
        <v>2409</v>
      </c>
      <c r="T404" s="62" t="s">
        <v>2379</v>
      </c>
      <c r="U404" s="19"/>
      <c r="V404" s="50" t="s">
        <v>1321</v>
      </c>
      <c r="W404" s="19"/>
      <c r="X404" s="50" t="s">
        <v>12</v>
      </c>
      <c r="Y404" s="50" t="s">
        <v>1322</v>
      </c>
      <c r="Z404" s="62" t="s">
        <v>2414</v>
      </c>
      <c r="AA404" s="50" t="s">
        <v>12</v>
      </c>
      <c r="AB404" s="50" t="s">
        <v>1322</v>
      </c>
      <c r="AC404" s="50" t="s">
        <v>1434</v>
      </c>
      <c r="AD404" s="19"/>
      <c r="AE404" s="19"/>
      <c r="AF404" s="19"/>
      <c r="AG404" s="19"/>
    </row>
    <row r="405">
      <c r="A405" s="47">
        <f>COUNTIF('Divulgação'!$B:$B,B405)</f>
        <v>1</v>
      </c>
      <c r="B405" s="53" t="s">
        <v>1135</v>
      </c>
      <c r="C405" s="19"/>
      <c r="D405" s="50" t="s">
        <v>1314</v>
      </c>
      <c r="E405" s="50" t="s">
        <v>1315</v>
      </c>
      <c r="F405" s="62" t="s">
        <v>2379</v>
      </c>
      <c r="G405" s="50" t="s">
        <v>1316</v>
      </c>
      <c r="H405" s="62" t="s">
        <v>2379</v>
      </c>
      <c r="I405" s="47" t="s">
        <v>123</v>
      </c>
      <c r="J405" s="62" t="s">
        <v>1318</v>
      </c>
      <c r="K405" s="50" t="s">
        <v>1506</v>
      </c>
      <c r="L405" s="53" t="s">
        <v>1808</v>
      </c>
      <c r="M405" s="19"/>
      <c r="N405" s="19"/>
      <c r="O405" s="19"/>
      <c r="P405" s="19"/>
      <c r="Q405" s="62" t="s">
        <v>328</v>
      </c>
      <c r="R405" s="62" t="s">
        <v>2408</v>
      </c>
      <c r="S405" s="62" t="s">
        <v>2409</v>
      </c>
      <c r="T405" s="62" t="s">
        <v>2379</v>
      </c>
      <c r="U405" s="19"/>
      <c r="V405" s="50" t="s">
        <v>1321</v>
      </c>
      <c r="W405" s="19"/>
      <c r="X405" s="50" t="s">
        <v>12</v>
      </c>
      <c r="Y405" s="50" t="s">
        <v>1322</v>
      </c>
      <c r="Z405" s="62" t="s">
        <v>2415</v>
      </c>
      <c r="AA405" s="50" t="s">
        <v>12</v>
      </c>
      <c r="AB405" s="50" t="s">
        <v>1322</v>
      </c>
      <c r="AC405" s="50" t="s">
        <v>1434</v>
      </c>
      <c r="AD405" s="19"/>
      <c r="AE405" s="19"/>
      <c r="AF405" s="19"/>
      <c r="AG405" s="19"/>
    </row>
    <row r="406">
      <c r="A406" s="47">
        <f>COUNTIF('Divulgação'!$B:$B,B406)</f>
        <v>1</v>
      </c>
      <c r="B406" s="47" t="s">
        <v>1136</v>
      </c>
      <c r="C406" s="19"/>
      <c r="D406" s="50" t="s">
        <v>1314</v>
      </c>
      <c r="E406" s="50" t="s">
        <v>1315</v>
      </c>
      <c r="F406" s="59">
        <v>46183.0</v>
      </c>
      <c r="G406" s="50" t="s">
        <v>1316</v>
      </c>
      <c r="H406" s="59">
        <v>46183.0</v>
      </c>
      <c r="I406" s="47" t="s">
        <v>129</v>
      </c>
      <c r="J406" s="50">
        <v>22373.0</v>
      </c>
      <c r="K406" s="50" t="s">
        <v>130</v>
      </c>
      <c r="L406" s="47" t="s">
        <v>2416</v>
      </c>
      <c r="M406" s="19"/>
      <c r="N406" s="19"/>
      <c r="O406" s="19"/>
      <c r="P406" s="19"/>
      <c r="Q406" s="50">
        <v>1.0</v>
      </c>
      <c r="R406" s="59">
        <v>46183.0</v>
      </c>
      <c r="S406" s="59">
        <v>46189.0</v>
      </c>
      <c r="T406" s="59">
        <v>46183.0</v>
      </c>
      <c r="U406" s="19"/>
      <c r="V406" s="50" t="s">
        <v>1321</v>
      </c>
      <c r="W406" s="19"/>
      <c r="X406" s="50" t="s">
        <v>12</v>
      </c>
      <c r="Y406" s="50" t="s">
        <v>1322</v>
      </c>
      <c r="Z406" s="50">
        <v>3.040326045E9</v>
      </c>
      <c r="AA406" s="50" t="s">
        <v>14</v>
      </c>
      <c r="AB406" s="50" t="s">
        <v>1470</v>
      </c>
      <c r="AC406" s="50" t="s">
        <v>1881</v>
      </c>
      <c r="AD406" s="19"/>
      <c r="AE406" s="19"/>
      <c r="AF406" s="19"/>
      <c r="AG406" s="19"/>
    </row>
    <row r="407">
      <c r="A407" s="47">
        <f>COUNTIF('Divulgação'!$B:$B,B407)</f>
        <v>1</v>
      </c>
      <c r="B407" s="47" t="s">
        <v>1137</v>
      </c>
      <c r="C407" s="19"/>
      <c r="D407" s="50" t="s">
        <v>1314</v>
      </c>
      <c r="E407" s="50" t="s">
        <v>1315</v>
      </c>
      <c r="F407" s="59">
        <v>46183.0</v>
      </c>
      <c r="G407" s="50" t="s">
        <v>1316</v>
      </c>
      <c r="H407" s="59">
        <v>46183.0</v>
      </c>
      <c r="I407" s="47" t="s">
        <v>129</v>
      </c>
      <c r="J407" s="50">
        <v>22373.0</v>
      </c>
      <c r="K407" s="50" t="s">
        <v>130</v>
      </c>
      <c r="L407" s="47" t="s">
        <v>1816</v>
      </c>
      <c r="M407" s="19"/>
      <c r="N407" s="19"/>
      <c r="O407" s="19"/>
      <c r="P407" s="19"/>
      <c r="Q407" s="50">
        <v>1.0</v>
      </c>
      <c r="R407" s="59">
        <v>46183.0</v>
      </c>
      <c r="S407" s="59">
        <v>46189.0</v>
      </c>
      <c r="T407" s="59">
        <v>46183.0</v>
      </c>
      <c r="U407" s="19"/>
      <c r="V407" s="50" t="s">
        <v>1321</v>
      </c>
      <c r="W407" s="19"/>
      <c r="X407" s="50" t="s">
        <v>12</v>
      </c>
      <c r="Y407" s="50" t="s">
        <v>1322</v>
      </c>
      <c r="Z407" s="50">
        <v>3.040325717E9</v>
      </c>
      <c r="AA407" s="50" t="s">
        <v>12</v>
      </c>
      <c r="AB407" s="50" t="s">
        <v>1814</v>
      </c>
      <c r="AC407" s="50" t="s">
        <v>1817</v>
      </c>
      <c r="AD407" s="19"/>
      <c r="AE407" s="19"/>
      <c r="AF407" s="19"/>
      <c r="AG407" s="19"/>
    </row>
    <row r="408">
      <c r="A408" s="47">
        <f>COUNTIF('Divulgação'!$B:$B,B408)</f>
        <v>1</v>
      </c>
      <c r="B408" s="47" t="s">
        <v>1138</v>
      </c>
      <c r="C408" s="19"/>
      <c r="D408" s="50" t="s">
        <v>1314</v>
      </c>
      <c r="E408" s="50" t="s">
        <v>1315</v>
      </c>
      <c r="F408" s="59">
        <v>46183.0</v>
      </c>
      <c r="G408" s="50" t="s">
        <v>1316</v>
      </c>
      <c r="H408" s="59">
        <v>46183.0</v>
      </c>
      <c r="I408" s="47" t="s">
        <v>129</v>
      </c>
      <c r="J408" s="50">
        <v>22373.0</v>
      </c>
      <c r="K408" s="50" t="s">
        <v>130</v>
      </c>
      <c r="L408" s="47" t="s">
        <v>1809</v>
      </c>
      <c r="M408" s="19"/>
      <c r="N408" s="19"/>
      <c r="O408" s="19"/>
      <c r="P408" s="19"/>
      <c r="Q408" s="50">
        <v>1.0</v>
      </c>
      <c r="R408" s="59">
        <v>46183.0</v>
      </c>
      <c r="S408" s="59">
        <v>46189.0</v>
      </c>
      <c r="T408" s="59">
        <v>46183.0</v>
      </c>
      <c r="U408" s="19"/>
      <c r="V408" s="50" t="s">
        <v>1321</v>
      </c>
      <c r="W408" s="19"/>
      <c r="X408" s="50" t="s">
        <v>12</v>
      </c>
      <c r="Y408" s="50" t="s">
        <v>1322</v>
      </c>
      <c r="Z408" s="50">
        <v>3.040324059E9</v>
      </c>
      <c r="AA408" s="50" t="s">
        <v>17</v>
      </c>
      <c r="AB408" s="50" t="s">
        <v>1458</v>
      </c>
      <c r="AC408" s="50" t="s">
        <v>1810</v>
      </c>
      <c r="AD408" s="19"/>
      <c r="AE408" s="19"/>
      <c r="AF408" s="19"/>
      <c r="AG408" s="19"/>
    </row>
    <row r="409">
      <c r="A409" s="47">
        <f>COUNTIF('Divulgação'!$B:$B,B409)</f>
        <v>1</v>
      </c>
      <c r="B409" s="47" t="s">
        <v>1139</v>
      </c>
      <c r="C409" s="19"/>
      <c r="D409" s="50" t="s">
        <v>1314</v>
      </c>
      <c r="E409" s="50" t="s">
        <v>1315</v>
      </c>
      <c r="F409" s="59">
        <v>46183.0</v>
      </c>
      <c r="G409" s="50" t="s">
        <v>1316</v>
      </c>
      <c r="H409" s="59">
        <v>46183.0</v>
      </c>
      <c r="I409" s="47" t="s">
        <v>129</v>
      </c>
      <c r="J409" s="50">
        <v>22373.0</v>
      </c>
      <c r="K409" s="50" t="s">
        <v>130</v>
      </c>
      <c r="L409" s="47" t="s">
        <v>1812</v>
      </c>
      <c r="M409" s="19"/>
      <c r="N409" s="19"/>
      <c r="O409" s="19"/>
      <c r="P409" s="19"/>
      <c r="Q409" s="50">
        <v>1.0</v>
      </c>
      <c r="R409" s="59">
        <v>46183.0</v>
      </c>
      <c r="S409" s="59">
        <v>46189.0</v>
      </c>
      <c r="T409" s="59">
        <v>46183.0</v>
      </c>
      <c r="U409" s="19"/>
      <c r="V409" s="50" t="s">
        <v>1321</v>
      </c>
      <c r="W409" s="19"/>
      <c r="X409" s="50" t="s">
        <v>12</v>
      </c>
      <c r="Y409" s="50" t="s">
        <v>1322</v>
      </c>
      <c r="Z409" s="50">
        <v>3.04032406E9</v>
      </c>
      <c r="AA409" s="50" t="s">
        <v>17</v>
      </c>
      <c r="AB409" s="50" t="s">
        <v>1458</v>
      </c>
      <c r="AC409" s="50" t="s">
        <v>1689</v>
      </c>
      <c r="AD409" s="19"/>
      <c r="AE409" s="19"/>
      <c r="AF409" s="19"/>
      <c r="AG409" s="19"/>
    </row>
    <row r="410">
      <c r="A410" s="47">
        <f>COUNTIF('Divulgação'!$B:$B,B410)</f>
        <v>1</v>
      </c>
      <c r="B410" s="47" t="s">
        <v>1140</v>
      </c>
      <c r="C410" s="19"/>
      <c r="D410" s="50" t="s">
        <v>1314</v>
      </c>
      <c r="E410" s="50" t="s">
        <v>1315</v>
      </c>
      <c r="F410" s="59">
        <v>46183.0</v>
      </c>
      <c r="G410" s="50" t="s">
        <v>1316</v>
      </c>
      <c r="H410" s="59">
        <v>46183.0</v>
      </c>
      <c r="I410" s="47" t="s">
        <v>129</v>
      </c>
      <c r="J410" s="50">
        <v>22373.0</v>
      </c>
      <c r="K410" s="50" t="s">
        <v>130</v>
      </c>
      <c r="L410" s="47" t="s">
        <v>1813</v>
      </c>
      <c r="M410" s="19"/>
      <c r="N410" s="19"/>
      <c r="O410" s="19"/>
      <c r="P410" s="19"/>
      <c r="Q410" s="50">
        <v>1.0</v>
      </c>
      <c r="R410" s="59">
        <v>46183.0</v>
      </c>
      <c r="S410" s="59">
        <v>46189.0</v>
      </c>
      <c r="T410" s="59">
        <v>46183.0</v>
      </c>
      <c r="U410" s="19"/>
      <c r="V410" s="50" t="s">
        <v>1321</v>
      </c>
      <c r="W410" s="19"/>
      <c r="X410" s="50" t="s">
        <v>12</v>
      </c>
      <c r="Y410" s="50" t="s">
        <v>1322</v>
      </c>
      <c r="Z410" s="50">
        <v>3.040325007E9</v>
      </c>
      <c r="AA410" s="50" t="s">
        <v>12</v>
      </c>
      <c r="AB410" s="50" t="s">
        <v>1814</v>
      </c>
      <c r="AC410" s="50" t="s">
        <v>1815</v>
      </c>
      <c r="AD410" s="19"/>
      <c r="AE410" s="19"/>
      <c r="AF410" s="19"/>
      <c r="AG410" s="19"/>
    </row>
    <row r="411">
      <c r="A411" s="47">
        <f>COUNTIF('Divulgação'!$B:$B,B411)</f>
        <v>1</v>
      </c>
      <c r="B411" s="47" t="s">
        <v>1141</v>
      </c>
      <c r="C411" s="19"/>
      <c r="D411" s="50" t="s">
        <v>1314</v>
      </c>
      <c r="E411" s="50" t="s">
        <v>1315</v>
      </c>
      <c r="F411" s="59">
        <v>46183.0</v>
      </c>
      <c r="G411" s="50" t="s">
        <v>1316</v>
      </c>
      <c r="H411" s="59">
        <v>46183.0</v>
      </c>
      <c r="I411" s="47" t="s">
        <v>129</v>
      </c>
      <c r="J411" s="50">
        <v>22373.0</v>
      </c>
      <c r="K411" s="50" t="s">
        <v>130</v>
      </c>
      <c r="L411" s="47" t="s">
        <v>1811</v>
      </c>
      <c r="M411" s="19"/>
      <c r="N411" s="19"/>
      <c r="O411" s="19"/>
      <c r="P411" s="19"/>
      <c r="Q411" s="50">
        <v>1.0</v>
      </c>
      <c r="R411" s="59">
        <v>46183.0</v>
      </c>
      <c r="S411" s="59">
        <v>46189.0</v>
      </c>
      <c r="T411" s="59">
        <v>46183.0</v>
      </c>
      <c r="U411" s="19"/>
      <c r="V411" s="50" t="s">
        <v>1321</v>
      </c>
      <c r="W411" s="19"/>
      <c r="X411" s="50" t="s">
        <v>12</v>
      </c>
      <c r="Y411" s="50" t="s">
        <v>1322</v>
      </c>
      <c r="Z411" s="50">
        <v>3.040317877E9</v>
      </c>
      <c r="AA411" s="50" t="s">
        <v>1500</v>
      </c>
      <c r="AB411" s="50" t="s">
        <v>1537</v>
      </c>
      <c r="AC411" s="50" t="s">
        <v>2019</v>
      </c>
      <c r="AD411" s="19"/>
      <c r="AE411" s="19"/>
      <c r="AF411" s="19"/>
      <c r="AG411" s="19"/>
    </row>
    <row r="412">
      <c r="A412" s="47">
        <f>COUNTIF('Divulgação'!$B:$B,B412)</f>
        <v>1</v>
      </c>
      <c r="B412" s="47" t="s">
        <v>1142</v>
      </c>
      <c r="C412" s="19"/>
      <c r="D412" s="50" t="s">
        <v>1314</v>
      </c>
      <c r="E412" s="50" t="s">
        <v>1315</v>
      </c>
      <c r="F412" s="59">
        <v>46188.0</v>
      </c>
      <c r="G412" s="50" t="s">
        <v>1316</v>
      </c>
      <c r="H412" s="59">
        <v>46188.0</v>
      </c>
      <c r="I412" s="47" t="s">
        <v>1818</v>
      </c>
      <c r="J412" s="50" t="s">
        <v>48</v>
      </c>
      <c r="K412" s="50" t="s">
        <v>1819</v>
      </c>
      <c r="L412" s="47" t="s">
        <v>1822</v>
      </c>
      <c r="M412" s="19"/>
      <c r="N412" s="19"/>
      <c r="O412" s="19"/>
      <c r="P412" s="19"/>
      <c r="Q412" s="50">
        <v>1.0</v>
      </c>
      <c r="R412" s="59">
        <v>46184.0</v>
      </c>
      <c r="S412" s="59">
        <v>46190.0</v>
      </c>
      <c r="T412" s="59">
        <v>46188.0</v>
      </c>
      <c r="U412" s="19"/>
      <c r="V412" s="50" t="s">
        <v>1321</v>
      </c>
      <c r="W412" s="19"/>
      <c r="X412" s="50" t="s">
        <v>12</v>
      </c>
      <c r="Y412" s="50" t="s">
        <v>1322</v>
      </c>
      <c r="Z412" s="50">
        <v>3.04032297E9</v>
      </c>
      <c r="AA412" s="50" t="s">
        <v>16</v>
      </c>
      <c r="AB412" s="50" t="s">
        <v>1668</v>
      </c>
      <c r="AC412" s="50" t="s">
        <v>1823</v>
      </c>
      <c r="AD412" s="19"/>
      <c r="AE412" s="19"/>
      <c r="AF412" s="19"/>
      <c r="AG412" s="19"/>
    </row>
    <row r="413">
      <c r="A413" s="47">
        <f>COUNTIF('Divulgação'!$B:$B,B413)</f>
        <v>1</v>
      </c>
      <c r="B413" s="47" t="s">
        <v>1143</v>
      </c>
      <c r="C413" s="19"/>
      <c r="D413" s="50" t="s">
        <v>1314</v>
      </c>
      <c r="E413" s="50" t="s">
        <v>1315</v>
      </c>
      <c r="F413" s="59">
        <v>46188.0</v>
      </c>
      <c r="G413" s="50" t="s">
        <v>1316</v>
      </c>
      <c r="H413" s="59">
        <v>46188.0</v>
      </c>
      <c r="I413" s="47" t="s">
        <v>1818</v>
      </c>
      <c r="J413" s="50" t="s">
        <v>48</v>
      </c>
      <c r="K413" s="50" t="s">
        <v>1819</v>
      </c>
      <c r="L413" s="47" t="s">
        <v>1824</v>
      </c>
      <c r="M413" s="19"/>
      <c r="N413" s="19"/>
      <c r="O413" s="19"/>
      <c r="P413" s="19"/>
      <c r="Q413" s="50">
        <v>1.0</v>
      </c>
      <c r="R413" s="59">
        <v>46184.0</v>
      </c>
      <c r="S413" s="59">
        <v>46190.0</v>
      </c>
      <c r="T413" s="59">
        <v>46188.0</v>
      </c>
      <c r="U413" s="19"/>
      <c r="V413" s="50" t="s">
        <v>1321</v>
      </c>
      <c r="W413" s="19"/>
      <c r="X413" s="50" t="s">
        <v>12</v>
      </c>
      <c r="Y413" s="50" t="s">
        <v>1322</v>
      </c>
      <c r="Z413" s="50">
        <v>3.040318246E9</v>
      </c>
      <c r="AA413" s="50" t="s">
        <v>1500</v>
      </c>
      <c r="AB413" s="50" t="s">
        <v>1537</v>
      </c>
      <c r="AC413" s="50" t="s">
        <v>1825</v>
      </c>
      <c r="AD413" s="19"/>
      <c r="AE413" s="19"/>
      <c r="AF413" s="19"/>
      <c r="AG413" s="19"/>
    </row>
    <row r="414">
      <c r="A414" s="47">
        <f>COUNTIF('Divulgação'!$B:$B,B414)</f>
        <v>1</v>
      </c>
      <c r="B414" s="47" t="s">
        <v>1144</v>
      </c>
      <c r="C414" s="19"/>
      <c r="D414" s="50" t="s">
        <v>1314</v>
      </c>
      <c r="E414" s="50" t="s">
        <v>1315</v>
      </c>
      <c r="F414" s="59">
        <v>46188.0</v>
      </c>
      <c r="G414" s="50" t="s">
        <v>1316</v>
      </c>
      <c r="H414" s="59">
        <v>46188.0</v>
      </c>
      <c r="I414" s="47" t="s">
        <v>1818</v>
      </c>
      <c r="J414" s="50" t="s">
        <v>48</v>
      </c>
      <c r="K414" s="50" t="s">
        <v>1819</v>
      </c>
      <c r="L414" s="47" t="s">
        <v>1820</v>
      </c>
      <c r="M414" s="19"/>
      <c r="N414" s="19"/>
      <c r="O414" s="19"/>
      <c r="P414" s="19"/>
      <c r="Q414" s="50">
        <v>1.0</v>
      </c>
      <c r="R414" s="59">
        <v>46184.0</v>
      </c>
      <c r="S414" s="59">
        <v>46190.0</v>
      </c>
      <c r="T414" s="59">
        <v>46188.0</v>
      </c>
      <c r="U414" s="19"/>
      <c r="V414" s="50" t="s">
        <v>1321</v>
      </c>
      <c r="W414" s="19"/>
      <c r="X414" s="50" t="s">
        <v>12</v>
      </c>
      <c r="Y414" s="50" t="s">
        <v>1322</v>
      </c>
      <c r="Z414" s="50">
        <v>3.040318245E9</v>
      </c>
      <c r="AA414" s="50" t="s">
        <v>1500</v>
      </c>
      <c r="AB414" s="50" t="s">
        <v>1537</v>
      </c>
      <c r="AC414" s="50" t="s">
        <v>1821</v>
      </c>
      <c r="AD414" s="19"/>
      <c r="AE414" s="19"/>
      <c r="AF414" s="19"/>
      <c r="AG414" s="19"/>
    </row>
    <row r="415">
      <c r="A415" s="47">
        <f>COUNTIF('Divulgação'!$B:$B,B415)</f>
        <v>1</v>
      </c>
      <c r="B415" s="47" t="s">
        <v>1145</v>
      </c>
      <c r="C415" s="19"/>
      <c r="D415" s="50" t="s">
        <v>1314</v>
      </c>
      <c r="E415" s="50" t="s">
        <v>1315</v>
      </c>
      <c r="F415" s="59">
        <v>46188.0</v>
      </c>
      <c r="G415" s="50" t="s">
        <v>1316</v>
      </c>
      <c r="H415" s="59">
        <v>46188.0</v>
      </c>
      <c r="I415" s="47" t="s">
        <v>1818</v>
      </c>
      <c r="J415" s="50" t="s">
        <v>48</v>
      </c>
      <c r="K415" s="50" t="s">
        <v>1819</v>
      </c>
      <c r="L415" s="47" t="s">
        <v>2417</v>
      </c>
      <c r="M415" s="19"/>
      <c r="N415" s="19"/>
      <c r="O415" s="19"/>
      <c r="P415" s="19"/>
      <c r="Q415" s="50">
        <v>1.0</v>
      </c>
      <c r="R415" s="59">
        <v>46184.0</v>
      </c>
      <c r="S415" s="59">
        <v>46190.0</v>
      </c>
      <c r="T415" s="59">
        <v>46188.0</v>
      </c>
      <c r="U415" s="19"/>
      <c r="V415" s="50" t="s">
        <v>1321</v>
      </c>
      <c r="W415" s="19"/>
      <c r="X415" s="50" t="s">
        <v>12</v>
      </c>
      <c r="Y415" s="50" t="s">
        <v>1322</v>
      </c>
      <c r="Z415" s="50">
        <v>3.040318244E9</v>
      </c>
      <c r="AA415" s="50" t="s">
        <v>1500</v>
      </c>
      <c r="AB415" s="50" t="s">
        <v>1537</v>
      </c>
      <c r="AC415" s="50" t="s">
        <v>2418</v>
      </c>
      <c r="AD415" s="19"/>
      <c r="AE415" s="19"/>
      <c r="AF415" s="19"/>
      <c r="AG415" s="19"/>
    </row>
    <row r="416">
      <c r="A416" s="47">
        <f>COUNTIF('Divulgação'!$B:$B,B416)</f>
        <v>1</v>
      </c>
      <c r="B416" s="47" t="s">
        <v>1146</v>
      </c>
      <c r="C416" s="19"/>
      <c r="D416" s="50" t="s">
        <v>1314</v>
      </c>
      <c r="E416" s="50" t="s">
        <v>1315</v>
      </c>
      <c r="F416" s="59">
        <v>46188.0</v>
      </c>
      <c r="G416" s="50" t="s">
        <v>1316</v>
      </c>
      <c r="H416" s="59">
        <v>46188.0</v>
      </c>
      <c r="I416" s="47" t="s">
        <v>1544</v>
      </c>
      <c r="J416" s="50">
        <v>7213.0</v>
      </c>
      <c r="K416" s="50" t="s">
        <v>1546</v>
      </c>
      <c r="L416" s="47" t="s">
        <v>2224</v>
      </c>
      <c r="M416" s="19"/>
      <c r="N416" s="19"/>
      <c r="O416" s="19"/>
      <c r="P416" s="19"/>
      <c r="Q416" s="50">
        <v>1.0</v>
      </c>
      <c r="R416" s="59">
        <v>46188.0</v>
      </c>
      <c r="S416" s="59">
        <v>46192.0</v>
      </c>
      <c r="T416" s="59">
        <v>46188.0</v>
      </c>
      <c r="U416" s="19"/>
      <c r="V416" s="50" t="s">
        <v>1321</v>
      </c>
      <c r="W416" s="19"/>
      <c r="X416" s="50" t="s">
        <v>12</v>
      </c>
      <c r="Y416" s="50" t="s">
        <v>1322</v>
      </c>
      <c r="Z416" s="50">
        <v>3.040327877E9</v>
      </c>
      <c r="AA416" s="50" t="s">
        <v>13</v>
      </c>
      <c r="AB416" s="50" t="s">
        <v>2390</v>
      </c>
      <c r="AC416" s="50" t="s">
        <v>1854</v>
      </c>
      <c r="AD416" s="19"/>
      <c r="AE416" s="19"/>
      <c r="AF416" s="19"/>
      <c r="AG416" s="19"/>
    </row>
    <row r="417">
      <c r="A417" s="47">
        <f>COUNTIF('Divulgação'!$B:$B,B417)</f>
        <v>1</v>
      </c>
      <c r="B417" s="47" t="s">
        <v>1147</v>
      </c>
      <c r="C417" s="19"/>
      <c r="D417" s="50" t="s">
        <v>1314</v>
      </c>
      <c r="E417" s="50" t="s">
        <v>2007</v>
      </c>
      <c r="F417" s="59">
        <v>46188.0</v>
      </c>
      <c r="G417" s="50" t="s">
        <v>1316</v>
      </c>
      <c r="H417" s="19"/>
      <c r="I417" s="47" t="s">
        <v>1453</v>
      </c>
      <c r="J417" s="50" t="s">
        <v>1454</v>
      </c>
      <c r="K417" s="50" t="s">
        <v>1455</v>
      </c>
      <c r="L417" s="47" t="s">
        <v>1845</v>
      </c>
      <c r="M417" s="19"/>
      <c r="N417" s="19"/>
      <c r="O417" s="19"/>
      <c r="P417" s="19"/>
      <c r="Q417" s="50">
        <v>1.0</v>
      </c>
      <c r="R417" s="59">
        <v>46143.0</v>
      </c>
      <c r="S417" s="59">
        <v>46173.0</v>
      </c>
      <c r="T417" s="19"/>
      <c r="U417" s="19"/>
      <c r="V417" s="50" t="s">
        <v>1321</v>
      </c>
      <c r="W417" s="19"/>
      <c r="X417" s="50" t="s">
        <v>12</v>
      </c>
      <c r="Y417" s="50" t="s">
        <v>1322</v>
      </c>
      <c r="Z417" s="50">
        <v>3.04032664E9</v>
      </c>
      <c r="AA417" s="50" t="s">
        <v>1500</v>
      </c>
      <c r="AB417" s="50" t="s">
        <v>1537</v>
      </c>
      <c r="AC417" s="50" t="s">
        <v>1846</v>
      </c>
      <c r="AD417" s="19"/>
      <c r="AE417" s="19"/>
      <c r="AF417" s="19"/>
      <c r="AG417" s="19"/>
    </row>
    <row r="418">
      <c r="A418" s="47">
        <f>COUNTIF('Divulgação'!$B:$B,B418)</f>
        <v>1</v>
      </c>
      <c r="B418" s="47" t="s">
        <v>1148</v>
      </c>
      <c r="C418" s="19"/>
      <c r="D418" s="50" t="s">
        <v>1314</v>
      </c>
      <c r="E418" s="50" t="s">
        <v>2007</v>
      </c>
      <c r="F418" s="59">
        <v>46188.0</v>
      </c>
      <c r="G418" s="50" t="s">
        <v>1316</v>
      </c>
      <c r="H418" s="19"/>
      <c r="I418" s="47" t="s">
        <v>1849</v>
      </c>
      <c r="J418" s="50">
        <v>95270.0</v>
      </c>
      <c r="K418" s="50" t="s">
        <v>1850</v>
      </c>
      <c r="L418" s="47" t="s">
        <v>2419</v>
      </c>
      <c r="M418" s="19"/>
      <c r="N418" s="19"/>
      <c r="O418" s="19"/>
      <c r="P418" s="19"/>
      <c r="Q418" s="50">
        <v>1.0</v>
      </c>
      <c r="R418" s="59">
        <v>46188.0</v>
      </c>
      <c r="S418" s="59">
        <v>46192.0</v>
      </c>
      <c r="T418" s="19"/>
      <c r="U418" s="19"/>
      <c r="V418" s="50" t="s">
        <v>1321</v>
      </c>
      <c r="W418" s="19"/>
      <c r="X418" s="50" t="s">
        <v>12</v>
      </c>
      <c r="Y418" s="50" t="s">
        <v>1322</v>
      </c>
      <c r="Z418" s="50">
        <v>3.040320864E9</v>
      </c>
      <c r="AA418" s="50" t="s">
        <v>21</v>
      </c>
      <c r="AB418" s="50" t="s">
        <v>1359</v>
      </c>
      <c r="AC418" s="50" t="s">
        <v>2420</v>
      </c>
      <c r="AD418" s="19"/>
      <c r="AE418" s="19"/>
      <c r="AF418" s="19"/>
      <c r="AG418" s="19"/>
    </row>
    <row r="419">
      <c r="A419" s="47">
        <f>COUNTIF('Divulgação'!$B:$B,B419)</f>
        <v>1</v>
      </c>
      <c r="B419" s="47" t="s">
        <v>1149</v>
      </c>
      <c r="C419" s="19"/>
      <c r="D419" s="50" t="s">
        <v>1314</v>
      </c>
      <c r="E419" s="50" t="s">
        <v>2007</v>
      </c>
      <c r="F419" s="59">
        <v>46188.0</v>
      </c>
      <c r="G419" s="50" t="s">
        <v>1316</v>
      </c>
      <c r="H419" s="19"/>
      <c r="I419" s="47" t="s">
        <v>1849</v>
      </c>
      <c r="J419" s="50">
        <v>95270.0</v>
      </c>
      <c r="K419" s="50" t="s">
        <v>1850</v>
      </c>
      <c r="L419" s="47" t="s">
        <v>2421</v>
      </c>
      <c r="M419" s="19"/>
      <c r="N419" s="19"/>
      <c r="O419" s="19"/>
      <c r="P419" s="19"/>
      <c r="Q419" s="50">
        <v>1.0</v>
      </c>
      <c r="R419" s="59">
        <v>46188.0</v>
      </c>
      <c r="S419" s="59">
        <v>46192.0</v>
      </c>
      <c r="T419" s="19"/>
      <c r="U419" s="19"/>
      <c r="V419" s="50" t="s">
        <v>1321</v>
      </c>
      <c r="W419" s="19"/>
      <c r="X419" s="50" t="s">
        <v>12</v>
      </c>
      <c r="Y419" s="50" t="s">
        <v>1322</v>
      </c>
      <c r="Z419" s="50">
        <v>3.040322114E9</v>
      </c>
      <c r="AA419" s="50" t="s">
        <v>1500</v>
      </c>
      <c r="AB419" s="50" t="s">
        <v>1537</v>
      </c>
      <c r="AC419" s="50" t="s">
        <v>2422</v>
      </c>
      <c r="AD419" s="19"/>
      <c r="AE419" s="19"/>
      <c r="AF419" s="19"/>
      <c r="AG419" s="19"/>
    </row>
    <row r="420">
      <c r="A420" s="47">
        <f>COUNTIF('Divulgação'!$B:$B,B420)</f>
        <v>1</v>
      </c>
      <c r="B420" s="47" t="s">
        <v>1150</v>
      </c>
      <c r="C420" s="19"/>
      <c r="D420" s="50" t="s">
        <v>1314</v>
      </c>
      <c r="E420" s="50" t="s">
        <v>2007</v>
      </c>
      <c r="F420" s="59">
        <v>46188.0</v>
      </c>
      <c r="G420" s="50" t="s">
        <v>1316</v>
      </c>
      <c r="H420" s="19"/>
      <c r="I420" s="47" t="s">
        <v>1849</v>
      </c>
      <c r="J420" s="50">
        <v>95270.0</v>
      </c>
      <c r="K420" s="50" t="s">
        <v>1850</v>
      </c>
      <c r="L420" s="47" t="s">
        <v>1851</v>
      </c>
      <c r="M420" s="19"/>
      <c r="N420" s="19"/>
      <c r="O420" s="19"/>
      <c r="P420" s="19"/>
      <c r="Q420" s="50">
        <v>1.0</v>
      </c>
      <c r="R420" s="59">
        <v>46188.0</v>
      </c>
      <c r="S420" s="59">
        <v>46192.0</v>
      </c>
      <c r="T420" s="19"/>
      <c r="U420" s="19"/>
      <c r="V420" s="50" t="s">
        <v>1321</v>
      </c>
      <c r="W420" s="19"/>
      <c r="X420" s="50" t="s">
        <v>12</v>
      </c>
      <c r="Y420" s="50" t="s">
        <v>1322</v>
      </c>
      <c r="Z420" s="50">
        <v>3.040326086E9</v>
      </c>
      <c r="AA420" s="50" t="s">
        <v>15</v>
      </c>
      <c r="AB420" s="50" t="s">
        <v>1348</v>
      </c>
      <c r="AC420" s="50" t="s">
        <v>1349</v>
      </c>
      <c r="AD420" s="19"/>
      <c r="AE420" s="19"/>
      <c r="AF420" s="19"/>
      <c r="AG420" s="19"/>
    </row>
    <row r="421">
      <c r="A421" s="47">
        <f>COUNTIF('Divulgação'!$B:$B,B421)</f>
        <v>1</v>
      </c>
      <c r="B421" s="47" t="s">
        <v>1151</v>
      </c>
      <c r="C421" s="19"/>
      <c r="D421" s="50" t="s">
        <v>1314</v>
      </c>
      <c r="E421" s="50" t="s">
        <v>2007</v>
      </c>
      <c r="F421" s="59">
        <v>46188.0</v>
      </c>
      <c r="G421" s="50" t="s">
        <v>1316</v>
      </c>
      <c r="H421" s="19"/>
      <c r="I421" s="47" t="s">
        <v>195</v>
      </c>
      <c r="J421" s="50" t="s">
        <v>48</v>
      </c>
      <c r="K421" s="50" t="s">
        <v>1833</v>
      </c>
      <c r="L421" s="47" t="s">
        <v>1834</v>
      </c>
      <c r="M421" s="19"/>
      <c r="N421" s="19"/>
      <c r="O421" s="19"/>
      <c r="P421" s="19"/>
      <c r="Q421" s="50">
        <v>1.0</v>
      </c>
      <c r="R421" s="59">
        <v>46188.0</v>
      </c>
      <c r="S421" s="59">
        <v>46192.0</v>
      </c>
      <c r="T421" s="19"/>
      <c r="U421" s="19"/>
      <c r="V421" s="50" t="s">
        <v>1321</v>
      </c>
      <c r="W421" s="19"/>
      <c r="X421" s="50" t="s">
        <v>12</v>
      </c>
      <c r="Y421" s="50" t="s">
        <v>1322</v>
      </c>
      <c r="Z421" s="50">
        <v>3.040248874E9</v>
      </c>
      <c r="AA421" s="50" t="s">
        <v>12</v>
      </c>
      <c r="AB421" s="50" t="s">
        <v>1392</v>
      </c>
      <c r="AC421" s="50" t="s">
        <v>1835</v>
      </c>
      <c r="AD421" s="19"/>
      <c r="AE421" s="19"/>
      <c r="AF421" s="19"/>
      <c r="AG421" s="19"/>
    </row>
    <row r="422">
      <c r="A422" s="47">
        <f>COUNTIF('Divulgação'!$B:$B,B422)</f>
        <v>1</v>
      </c>
      <c r="B422" s="47" t="s">
        <v>1152</v>
      </c>
      <c r="C422" s="19"/>
      <c r="D422" s="50" t="s">
        <v>1314</v>
      </c>
      <c r="E422" s="50" t="s">
        <v>2007</v>
      </c>
      <c r="F422" s="59">
        <v>46188.0</v>
      </c>
      <c r="G422" s="50" t="s">
        <v>1316</v>
      </c>
      <c r="H422" s="19"/>
      <c r="I422" s="47" t="s">
        <v>197</v>
      </c>
      <c r="J422" s="50">
        <v>86887.0</v>
      </c>
      <c r="K422" s="50" t="s">
        <v>1836</v>
      </c>
      <c r="L422" s="47" t="s">
        <v>1838</v>
      </c>
      <c r="M422" s="19"/>
      <c r="N422" s="19"/>
      <c r="O422" s="19"/>
      <c r="P422" s="19"/>
      <c r="Q422" s="50">
        <v>1.0</v>
      </c>
      <c r="R422" s="59">
        <v>46188.0</v>
      </c>
      <c r="S422" s="59">
        <v>46192.0</v>
      </c>
      <c r="T422" s="19"/>
      <c r="U422" s="19"/>
      <c r="V422" s="50" t="s">
        <v>1321</v>
      </c>
      <c r="W422" s="19"/>
      <c r="X422" s="50" t="s">
        <v>12</v>
      </c>
      <c r="Y422" s="50" t="s">
        <v>1322</v>
      </c>
      <c r="Z422" s="50">
        <v>3.040277243E9</v>
      </c>
      <c r="AA422" s="50" t="s">
        <v>1463</v>
      </c>
      <c r="AB422" s="50" t="s">
        <v>1464</v>
      </c>
      <c r="AC422" s="50" t="s">
        <v>1450</v>
      </c>
      <c r="AD422" s="19"/>
      <c r="AE422" s="19"/>
      <c r="AF422" s="19"/>
      <c r="AG422" s="19"/>
    </row>
    <row r="423">
      <c r="A423" s="47">
        <f>COUNTIF('Divulgação'!$B:$B,B423)</f>
        <v>1</v>
      </c>
      <c r="B423" s="47" t="s">
        <v>1153</v>
      </c>
      <c r="C423" s="19"/>
      <c r="D423" s="50" t="s">
        <v>1314</v>
      </c>
      <c r="E423" s="50" t="s">
        <v>2007</v>
      </c>
      <c r="F423" s="59">
        <v>46188.0</v>
      </c>
      <c r="G423" s="50" t="s">
        <v>1316</v>
      </c>
      <c r="H423" s="19"/>
      <c r="I423" s="47" t="s">
        <v>197</v>
      </c>
      <c r="J423" s="50">
        <v>86887.0</v>
      </c>
      <c r="K423" s="50" t="s">
        <v>1836</v>
      </c>
      <c r="L423" s="47" t="s">
        <v>1837</v>
      </c>
      <c r="M423" s="19"/>
      <c r="N423" s="19"/>
      <c r="O423" s="19"/>
      <c r="P423" s="19"/>
      <c r="Q423" s="50">
        <v>1.0</v>
      </c>
      <c r="R423" s="59">
        <v>46188.0</v>
      </c>
      <c r="S423" s="59">
        <v>46192.0</v>
      </c>
      <c r="T423" s="19"/>
      <c r="U423" s="19"/>
      <c r="V423" s="50" t="s">
        <v>1321</v>
      </c>
      <c r="W423" s="19"/>
      <c r="X423" s="50" t="s">
        <v>12</v>
      </c>
      <c r="Y423" s="50" t="s">
        <v>1322</v>
      </c>
      <c r="Z423" s="50">
        <v>3.040313107E9</v>
      </c>
      <c r="AA423" s="50" t="s">
        <v>12</v>
      </c>
      <c r="AB423" s="50" t="s">
        <v>1322</v>
      </c>
      <c r="AC423" s="50" t="s">
        <v>1336</v>
      </c>
      <c r="AD423" s="19"/>
      <c r="AE423" s="19"/>
      <c r="AF423" s="19"/>
      <c r="AG423" s="19"/>
    </row>
    <row r="424">
      <c r="A424" s="47">
        <f>COUNTIF('Divulgação'!$B:$B,B424)</f>
        <v>1</v>
      </c>
      <c r="B424" s="47" t="s">
        <v>1154</v>
      </c>
      <c r="C424" s="19"/>
      <c r="D424" s="50" t="s">
        <v>1314</v>
      </c>
      <c r="E424" s="50" t="s">
        <v>2007</v>
      </c>
      <c r="F424" s="59">
        <v>46188.0</v>
      </c>
      <c r="G424" s="50" t="s">
        <v>1316</v>
      </c>
      <c r="H424" s="19"/>
      <c r="I424" s="47" t="s">
        <v>197</v>
      </c>
      <c r="J424" s="50">
        <v>86887.0</v>
      </c>
      <c r="K424" s="50" t="s">
        <v>1836</v>
      </c>
      <c r="L424" s="47" t="s">
        <v>1839</v>
      </c>
      <c r="M424" s="19"/>
      <c r="N424" s="19"/>
      <c r="O424" s="19"/>
      <c r="P424" s="19"/>
      <c r="Q424" s="50">
        <v>1.0</v>
      </c>
      <c r="R424" s="59">
        <v>46188.0</v>
      </c>
      <c r="S424" s="59">
        <v>46192.0</v>
      </c>
      <c r="T424" s="19"/>
      <c r="U424" s="19"/>
      <c r="V424" s="50" t="s">
        <v>1321</v>
      </c>
      <c r="W424" s="19"/>
      <c r="X424" s="50" t="s">
        <v>12</v>
      </c>
      <c r="Y424" s="50" t="s">
        <v>1322</v>
      </c>
      <c r="Z424" s="50">
        <v>3.040317875E9</v>
      </c>
      <c r="AA424" s="50" t="s">
        <v>1500</v>
      </c>
      <c r="AB424" s="50" t="s">
        <v>1537</v>
      </c>
      <c r="AC424" s="50" t="s">
        <v>1679</v>
      </c>
      <c r="AD424" s="19"/>
      <c r="AE424" s="19"/>
      <c r="AF424" s="19"/>
      <c r="AG424" s="19"/>
    </row>
    <row r="425">
      <c r="A425" s="47">
        <f>COUNTIF('Divulgação'!$B:$B,B425)</f>
        <v>1</v>
      </c>
      <c r="B425" s="47" t="s">
        <v>1155</v>
      </c>
      <c r="C425" s="19"/>
      <c r="D425" s="50" t="s">
        <v>1314</v>
      </c>
      <c r="E425" s="50" t="s">
        <v>2007</v>
      </c>
      <c r="F425" s="59">
        <v>46188.0</v>
      </c>
      <c r="G425" s="50" t="s">
        <v>1316</v>
      </c>
      <c r="H425" s="19"/>
      <c r="I425" s="47" t="s">
        <v>153</v>
      </c>
      <c r="J425" s="50">
        <v>26055.0</v>
      </c>
      <c r="K425" s="50" t="s">
        <v>154</v>
      </c>
      <c r="L425" s="47" t="s">
        <v>1826</v>
      </c>
      <c r="M425" s="19"/>
      <c r="N425" s="19"/>
      <c r="O425" s="19"/>
      <c r="P425" s="19"/>
      <c r="Q425" s="50">
        <v>1.0</v>
      </c>
      <c r="R425" s="59">
        <v>46188.0</v>
      </c>
      <c r="S425" s="59">
        <v>46192.0</v>
      </c>
      <c r="T425" s="19"/>
      <c r="U425" s="19"/>
      <c r="V425" s="50" t="s">
        <v>1321</v>
      </c>
      <c r="W425" s="19"/>
      <c r="X425" s="50" t="s">
        <v>12</v>
      </c>
      <c r="Y425" s="50" t="s">
        <v>1322</v>
      </c>
      <c r="Z425" s="50">
        <v>3.040304977E9</v>
      </c>
      <c r="AA425" s="50" t="s">
        <v>19</v>
      </c>
      <c r="AB425" s="50" t="s">
        <v>1827</v>
      </c>
      <c r="AC425" s="50" t="s">
        <v>2019</v>
      </c>
      <c r="AD425" s="19"/>
      <c r="AE425" s="19"/>
      <c r="AF425" s="19"/>
      <c r="AG425" s="19"/>
    </row>
    <row r="426">
      <c r="A426" s="47">
        <f>COUNTIF('Divulgação'!$B:$B,B426)</f>
        <v>1</v>
      </c>
      <c r="B426" s="47" t="s">
        <v>1156</v>
      </c>
      <c r="C426" s="19"/>
      <c r="D426" s="50" t="s">
        <v>1314</v>
      </c>
      <c r="E426" s="50" t="s">
        <v>2007</v>
      </c>
      <c r="F426" s="59">
        <v>46188.0</v>
      </c>
      <c r="G426" s="50" t="s">
        <v>1316</v>
      </c>
      <c r="H426" s="19"/>
      <c r="I426" s="47" t="s">
        <v>153</v>
      </c>
      <c r="J426" s="50">
        <v>26055.0</v>
      </c>
      <c r="K426" s="50" t="s">
        <v>154</v>
      </c>
      <c r="L426" s="47" t="s">
        <v>1844</v>
      </c>
      <c r="M426" s="19"/>
      <c r="N426" s="19"/>
      <c r="O426" s="19"/>
      <c r="P426" s="19"/>
      <c r="Q426" s="50">
        <v>1.0</v>
      </c>
      <c r="R426" s="59">
        <v>46188.0</v>
      </c>
      <c r="S426" s="59">
        <v>46192.0</v>
      </c>
      <c r="T426" s="19"/>
      <c r="U426" s="19"/>
      <c r="V426" s="50" t="s">
        <v>1321</v>
      </c>
      <c r="W426" s="19"/>
      <c r="X426" s="50" t="s">
        <v>12</v>
      </c>
      <c r="Y426" s="50" t="s">
        <v>1322</v>
      </c>
      <c r="Z426" s="50">
        <v>3.040310003E9</v>
      </c>
      <c r="AA426" s="50" t="s">
        <v>14</v>
      </c>
      <c r="AB426" s="50" t="s">
        <v>1470</v>
      </c>
      <c r="AC426" s="50" t="s">
        <v>1471</v>
      </c>
      <c r="AD426" s="19"/>
      <c r="AE426" s="19"/>
      <c r="AF426" s="19"/>
      <c r="AG426" s="19"/>
    </row>
    <row r="427">
      <c r="A427" s="47">
        <f>COUNTIF('Divulgação'!$B:$B,B427)</f>
        <v>1</v>
      </c>
      <c r="B427" s="47" t="s">
        <v>1157</v>
      </c>
      <c r="C427" s="19"/>
      <c r="D427" s="50" t="s">
        <v>1314</v>
      </c>
      <c r="E427" s="50" t="s">
        <v>2007</v>
      </c>
      <c r="F427" s="59">
        <v>46188.0</v>
      </c>
      <c r="G427" s="50" t="s">
        <v>1316</v>
      </c>
      <c r="H427" s="19"/>
      <c r="I427" s="47" t="s">
        <v>1841</v>
      </c>
      <c r="J427" s="50" t="s">
        <v>1720</v>
      </c>
      <c r="K427" s="50" t="s">
        <v>1842</v>
      </c>
      <c r="L427" s="47" t="s">
        <v>1843</v>
      </c>
      <c r="M427" s="19"/>
      <c r="N427" s="19"/>
      <c r="O427" s="19"/>
      <c r="P427" s="19"/>
      <c r="Q427" s="50">
        <v>1.0</v>
      </c>
      <c r="R427" s="59">
        <v>46188.0</v>
      </c>
      <c r="S427" s="59">
        <v>46192.0</v>
      </c>
      <c r="T427" s="19"/>
      <c r="U427" s="19"/>
      <c r="V427" s="50" t="s">
        <v>1321</v>
      </c>
      <c r="W427" s="19"/>
      <c r="X427" s="50" t="s">
        <v>12</v>
      </c>
      <c r="Y427" s="50" t="s">
        <v>1322</v>
      </c>
      <c r="Z427" s="50">
        <v>3.040324064E9</v>
      </c>
      <c r="AA427" s="50" t="s">
        <v>17</v>
      </c>
      <c r="AB427" s="50" t="s">
        <v>1458</v>
      </c>
      <c r="AC427" s="50" t="s">
        <v>1689</v>
      </c>
      <c r="AD427" s="19"/>
      <c r="AE427" s="19"/>
      <c r="AF427" s="19"/>
      <c r="AG427" s="19"/>
    </row>
    <row r="428">
      <c r="A428" s="47">
        <f>COUNTIF('Divulgação'!$B:$B,B428)</f>
        <v>1</v>
      </c>
      <c r="B428" s="47" t="s">
        <v>1158</v>
      </c>
      <c r="C428" s="19"/>
      <c r="D428" s="50" t="s">
        <v>1314</v>
      </c>
      <c r="E428" s="50" t="s">
        <v>2007</v>
      </c>
      <c r="F428" s="59">
        <v>46188.0</v>
      </c>
      <c r="G428" s="50" t="s">
        <v>1316</v>
      </c>
      <c r="H428" s="19"/>
      <c r="I428" s="47" t="s">
        <v>1828</v>
      </c>
      <c r="J428" s="50" t="s">
        <v>48</v>
      </c>
      <c r="K428" s="50" t="s">
        <v>1829</v>
      </c>
      <c r="L428" s="47" t="s">
        <v>1830</v>
      </c>
      <c r="M428" s="19"/>
      <c r="N428" s="19"/>
      <c r="O428" s="19"/>
      <c r="P428" s="19"/>
      <c r="Q428" s="50">
        <v>1.0</v>
      </c>
      <c r="R428" s="59">
        <v>46188.0</v>
      </c>
      <c r="S428" s="59">
        <v>46192.0</v>
      </c>
      <c r="T428" s="19"/>
      <c r="U428" s="19"/>
      <c r="V428" s="50" t="s">
        <v>1321</v>
      </c>
      <c r="W428" s="19"/>
      <c r="X428" s="50" t="s">
        <v>12</v>
      </c>
      <c r="Y428" s="50" t="s">
        <v>1322</v>
      </c>
      <c r="Z428" s="50">
        <v>3.040228584E9</v>
      </c>
      <c r="AA428" s="50" t="s">
        <v>1415</v>
      </c>
      <c r="AB428" s="50" t="s">
        <v>1831</v>
      </c>
      <c r="AC428" s="50" t="s">
        <v>1832</v>
      </c>
      <c r="AD428" s="19"/>
      <c r="AE428" s="19"/>
      <c r="AF428" s="19"/>
      <c r="AG428" s="19"/>
    </row>
    <row r="429">
      <c r="A429" s="47">
        <f>COUNTIF('Divulgação'!$B:$B,B429)</f>
        <v>1</v>
      </c>
      <c r="B429" s="47" t="s">
        <v>1159</v>
      </c>
      <c r="C429" s="19"/>
      <c r="D429" s="50" t="s">
        <v>1314</v>
      </c>
      <c r="E429" s="50" t="s">
        <v>2007</v>
      </c>
      <c r="F429" s="59">
        <v>46188.0</v>
      </c>
      <c r="G429" s="50" t="s">
        <v>1316</v>
      </c>
      <c r="H429" s="19"/>
      <c r="I429" s="47" t="s">
        <v>2423</v>
      </c>
      <c r="J429" s="50" t="s">
        <v>48</v>
      </c>
      <c r="K429" s="50" t="s">
        <v>1829</v>
      </c>
      <c r="L429" s="47" t="s">
        <v>2424</v>
      </c>
      <c r="M429" s="19"/>
      <c r="N429" s="19"/>
      <c r="O429" s="19"/>
      <c r="P429" s="19"/>
      <c r="Q429" s="50">
        <v>1.0</v>
      </c>
      <c r="R429" s="59">
        <v>46188.0</v>
      </c>
      <c r="S429" s="59">
        <v>46192.0</v>
      </c>
      <c r="T429" s="19"/>
      <c r="U429" s="19"/>
      <c r="V429" s="50" t="s">
        <v>1321</v>
      </c>
      <c r="W429" s="19"/>
      <c r="X429" s="50" t="s">
        <v>12</v>
      </c>
      <c r="Y429" s="50" t="s">
        <v>1322</v>
      </c>
      <c r="Z429" s="50">
        <v>3.040265829E9</v>
      </c>
      <c r="AA429" s="50" t="s">
        <v>12</v>
      </c>
      <c r="AB429" s="50" t="s">
        <v>1385</v>
      </c>
      <c r="AC429" s="50" t="s">
        <v>1386</v>
      </c>
      <c r="AD429" s="19"/>
      <c r="AE429" s="19"/>
      <c r="AF429" s="19"/>
      <c r="AG429" s="19"/>
    </row>
    <row r="430">
      <c r="A430" s="47">
        <f>COUNTIF('Divulgação'!$B:$B,B430)</f>
        <v>1</v>
      </c>
      <c r="B430" s="47" t="s">
        <v>1160</v>
      </c>
      <c r="C430" s="19"/>
      <c r="D430" s="50" t="s">
        <v>1314</v>
      </c>
      <c r="E430" s="50" t="s">
        <v>2007</v>
      </c>
      <c r="F430" s="59">
        <v>46188.0</v>
      </c>
      <c r="G430" s="50" t="s">
        <v>1316</v>
      </c>
      <c r="H430" s="19"/>
      <c r="I430" s="47" t="s">
        <v>2423</v>
      </c>
      <c r="J430" s="50" t="s">
        <v>48</v>
      </c>
      <c r="K430" s="50" t="s">
        <v>1829</v>
      </c>
      <c r="L430" s="47" t="s">
        <v>2425</v>
      </c>
      <c r="M430" s="19"/>
      <c r="N430" s="19"/>
      <c r="O430" s="19"/>
      <c r="P430" s="19"/>
      <c r="Q430" s="50">
        <v>1.0</v>
      </c>
      <c r="R430" s="59">
        <v>46188.0</v>
      </c>
      <c r="S430" s="59">
        <v>46192.0</v>
      </c>
      <c r="T430" s="19"/>
      <c r="U430" s="19"/>
      <c r="V430" s="50" t="s">
        <v>1321</v>
      </c>
      <c r="W430" s="19"/>
      <c r="X430" s="50" t="s">
        <v>12</v>
      </c>
      <c r="Y430" s="50" t="s">
        <v>1322</v>
      </c>
      <c r="Z430" s="50">
        <v>3.040311509E9</v>
      </c>
      <c r="AA430" s="50" t="s">
        <v>15</v>
      </c>
      <c r="AB430" s="50" t="s">
        <v>1348</v>
      </c>
      <c r="AC430" s="50" t="s">
        <v>1584</v>
      </c>
      <c r="AD430" s="19"/>
      <c r="AE430" s="19"/>
      <c r="AF430" s="19"/>
      <c r="AG430" s="19"/>
    </row>
    <row r="431">
      <c r="A431" s="47">
        <f>COUNTIF('Divulgação'!$B:$B,B431)</f>
        <v>1</v>
      </c>
      <c r="B431" s="47" t="s">
        <v>1161</v>
      </c>
      <c r="C431" s="19"/>
      <c r="D431" s="50" t="s">
        <v>1314</v>
      </c>
      <c r="E431" s="50" t="s">
        <v>2007</v>
      </c>
      <c r="F431" s="59">
        <v>46188.0</v>
      </c>
      <c r="G431" s="50" t="s">
        <v>1316</v>
      </c>
      <c r="H431" s="19"/>
      <c r="I431" s="47" t="s">
        <v>1855</v>
      </c>
      <c r="J431" s="50">
        <v>66503.0</v>
      </c>
      <c r="K431" s="50" t="s">
        <v>1856</v>
      </c>
      <c r="L431" s="47" t="s">
        <v>1857</v>
      </c>
      <c r="M431" s="19"/>
      <c r="N431" s="19"/>
      <c r="O431" s="19"/>
      <c r="P431" s="19"/>
      <c r="Q431" s="50">
        <v>1.0</v>
      </c>
      <c r="R431" s="59">
        <v>46188.0</v>
      </c>
      <c r="S431" s="59">
        <v>46248.0</v>
      </c>
      <c r="T431" s="19"/>
      <c r="U431" s="19"/>
      <c r="V431" s="50" t="s">
        <v>1321</v>
      </c>
      <c r="W431" s="19"/>
      <c r="X431" s="50" t="s">
        <v>12</v>
      </c>
      <c r="Y431" s="50" t="s">
        <v>1322</v>
      </c>
      <c r="Z431" s="50">
        <v>3.040317908E9</v>
      </c>
      <c r="AA431" s="50" t="s">
        <v>1500</v>
      </c>
      <c r="AB431" s="50" t="s">
        <v>1537</v>
      </c>
      <c r="AC431" s="50" t="s">
        <v>1858</v>
      </c>
      <c r="AD431" s="19"/>
      <c r="AE431" s="19"/>
      <c r="AF431" s="19"/>
      <c r="AG431" s="19"/>
    </row>
    <row r="432">
      <c r="A432" s="47">
        <f>COUNTIF('Divulgação'!$B:$B,B432)</f>
        <v>1</v>
      </c>
      <c r="B432" s="47" t="s">
        <v>1162</v>
      </c>
      <c r="C432" s="19"/>
      <c r="D432" s="50" t="s">
        <v>1314</v>
      </c>
      <c r="E432" s="50" t="s">
        <v>2007</v>
      </c>
      <c r="F432" s="59">
        <v>46188.0</v>
      </c>
      <c r="G432" s="50" t="s">
        <v>1316</v>
      </c>
      <c r="H432" s="19"/>
      <c r="I432" s="47" t="s">
        <v>179</v>
      </c>
      <c r="J432" s="50">
        <v>66503.0</v>
      </c>
      <c r="K432" s="50" t="s">
        <v>1852</v>
      </c>
      <c r="L432" s="47" t="s">
        <v>1853</v>
      </c>
      <c r="M432" s="19"/>
      <c r="N432" s="19"/>
      <c r="O432" s="19"/>
      <c r="P432" s="19"/>
      <c r="Q432" s="50">
        <v>1.0</v>
      </c>
      <c r="R432" s="59">
        <v>46188.0</v>
      </c>
      <c r="S432" s="59">
        <v>46192.0</v>
      </c>
      <c r="T432" s="19"/>
      <c r="U432" s="19"/>
      <c r="V432" s="50" t="s">
        <v>1321</v>
      </c>
      <c r="W432" s="19"/>
      <c r="X432" s="50" t="s">
        <v>12</v>
      </c>
      <c r="Y432" s="50" t="s">
        <v>1322</v>
      </c>
      <c r="Z432" s="50">
        <v>3.040317906E9</v>
      </c>
      <c r="AA432" s="50" t="s">
        <v>1500</v>
      </c>
      <c r="AB432" s="50" t="s">
        <v>1537</v>
      </c>
      <c r="AC432" s="50" t="s">
        <v>1854</v>
      </c>
      <c r="AD432" s="19"/>
      <c r="AE432" s="19"/>
      <c r="AF432" s="19"/>
      <c r="AG432" s="19"/>
    </row>
    <row r="433">
      <c r="A433" s="47">
        <f>COUNTIF('Divulgação'!$B:$B,B433)</f>
        <v>1</v>
      </c>
      <c r="B433" s="47" t="s">
        <v>1163</v>
      </c>
      <c r="C433" s="19"/>
      <c r="D433" s="50" t="s">
        <v>1314</v>
      </c>
      <c r="E433" s="50" t="s">
        <v>2007</v>
      </c>
      <c r="F433" s="59">
        <v>46188.0</v>
      </c>
      <c r="G433" s="50" t="s">
        <v>1316</v>
      </c>
      <c r="H433" s="19"/>
      <c r="I433" s="47" t="s">
        <v>179</v>
      </c>
      <c r="J433" s="50">
        <v>66503.0</v>
      </c>
      <c r="K433" s="50" t="s">
        <v>1852</v>
      </c>
      <c r="L433" s="47" t="s">
        <v>1859</v>
      </c>
      <c r="M433" s="19"/>
      <c r="N433" s="19"/>
      <c r="O433" s="19"/>
      <c r="P433" s="19"/>
      <c r="Q433" s="50">
        <v>1.0</v>
      </c>
      <c r="R433" s="59">
        <v>46188.0</v>
      </c>
      <c r="S433" s="59">
        <v>46192.0</v>
      </c>
      <c r="T433" s="19"/>
      <c r="U433" s="19"/>
      <c r="V433" s="50" t="s">
        <v>1321</v>
      </c>
      <c r="W433" s="19"/>
      <c r="X433" s="50" t="s">
        <v>12</v>
      </c>
      <c r="Y433" s="50" t="s">
        <v>1322</v>
      </c>
      <c r="Z433" s="50">
        <v>3.040324072E9</v>
      </c>
      <c r="AA433" s="50" t="s">
        <v>16</v>
      </c>
      <c r="AB433" s="50" t="s">
        <v>1860</v>
      </c>
      <c r="AC433" s="50" t="s">
        <v>1861</v>
      </c>
      <c r="AD433" s="19"/>
      <c r="AE433" s="19"/>
      <c r="AF433" s="19"/>
      <c r="AG433" s="19"/>
    </row>
    <row r="434">
      <c r="A434" s="47">
        <f>COUNTIF('Divulgação'!$B:$B,B434)</f>
        <v>1</v>
      </c>
      <c r="B434" s="47" t="s">
        <v>1164</v>
      </c>
      <c r="C434" s="19"/>
      <c r="D434" s="50" t="s">
        <v>1314</v>
      </c>
      <c r="E434" s="50" t="s">
        <v>2007</v>
      </c>
      <c r="F434" s="59">
        <v>46188.0</v>
      </c>
      <c r="G434" s="50" t="s">
        <v>1316</v>
      </c>
      <c r="H434" s="19"/>
      <c r="I434" s="47" t="s">
        <v>1398</v>
      </c>
      <c r="J434" s="50">
        <v>33269.0</v>
      </c>
      <c r="K434" s="50" t="s">
        <v>1400</v>
      </c>
      <c r="L434" s="47" t="s">
        <v>1840</v>
      </c>
      <c r="M434" s="19"/>
      <c r="N434" s="19"/>
      <c r="O434" s="19"/>
      <c r="P434" s="19"/>
      <c r="Q434" s="50">
        <v>1.0</v>
      </c>
      <c r="R434" s="59">
        <v>46188.0</v>
      </c>
      <c r="S434" s="59">
        <v>46192.0</v>
      </c>
      <c r="T434" s="19"/>
      <c r="U434" s="19"/>
      <c r="V434" s="50" t="s">
        <v>1321</v>
      </c>
      <c r="W434" s="19"/>
      <c r="X434" s="50" t="s">
        <v>12</v>
      </c>
      <c r="Y434" s="50" t="s">
        <v>1322</v>
      </c>
      <c r="Z434" s="50">
        <v>3.040325528E9</v>
      </c>
      <c r="AA434" s="50" t="s">
        <v>16</v>
      </c>
      <c r="AB434" s="50" t="s">
        <v>1551</v>
      </c>
      <c r="AC434" s="50" t="s">
        <v>1552</v>
      </c>
      <c r="AD434" s="19"/>
      <c r="AE434" s="19"/>
      <c r="AF434" s="19"/>
      <c r="AG434" s="19"/>
    </row>
    <row r="435">
      <c r="A435" s="47">
        <f>COUNTIF('Divulgação'!$B:$B,B435)</f>
        <v>1</v>
      </c>
      <c r="B435" s="47" t="s">
        <v>1165</v>
      </c>
      <c r="C435" s="19"/>
      <c r="D435" s="50" t="s">
        <v>1314</v>
      </c>
      <c r="E435" s="50" t="s">
        <v>2007</v>
      </c>
      <c r="F435" s="59">
        <v>46188.0</v>
      </c>
      <c r="G435" s="50" t="s">
        <v>1316</v>
      </c>
      <c r="H435" s="19"/>
      <c r="I435" s="47" t="s">
        <v>1398</v>
      </c>
      <c r="J435" s="50">
        <v>33269.0</v>
      </c>
      <c r="K435" s="50" t="s">
        <v>1400</v>
      </c>
      <c r="L435" s="47" t="s">
        <v>984</v>
      </c>
      <c r="M435" s="19"/>
      <c r="N435" s="19"/>
      <c r="O435" s="19"/>
      <c r="P435" s="19"/>
      <c r="Q435" s="50">
        <v>1.0</v>
      </c>
      <c r="R435" s="59">
        <v>46188.0</v>
      </c>
      <c r="S435" s="59">
        <v>46192.0</v>
      </c>
      <c r="T435" s="19"/>
      <c r="U435" s="19"/>
      <c r="V435" s="50" t="s">
        <v>1321</v>
      </c>
      <c r="W435" s="19"/>
      <c r="X435" s="50" t="s">
        <v>12</v>
      </c>
      <c r="Y435" s="50" t="s">
        <v>1322</v>
      </c>
      <c r="Z435" s="50">
        <v>3.040325529E9</v>
      </c>
      <c r="AA435" s="50" t="s">
        <v>16</v>
      </c>
      <c r="AB435" s="50" t="s">
        <v>1551</v>
      </c>
      <c r="AC435" s="50" t="s">
        <v>1552</v>
      </c>
      <c r="AD435" s="19"/>
      <c r="AE435" s="19"/>
      <c r="AF435" s="19"/>
      <c r="AG435" s="19"/>
    </row>
    <row r="436">
      <c r="A436" s="47">
        <f>COUNTIF('Divulgação'!$B:$B,B436)</f>
        <v>1</v>
      </c>
      <c r="B436" s="47" t="s">
        <v>1166</v>
      </c>
      <c r="C436" s="19"/>
      <c r="D436" s="50" t="s">
        <v>1314</v>
      </c>
      <c r="E436" s="50" t="s">
        <v>2007</v>
      </c>
      <c r="F436" s="59">
        <v>46188.0</v>
      </c>
      <c r="G436" s="50" t="s">
        <v>1316</v>
      </c>
      <c r="H436" s="19"/>
      <c r="I436" s="47" t="s">
        <v>1394</v>
      </c>
      <c r="J436" s="50">
        <v>71513.0</v>
      </c>
      <c r="K436" s="50" t="s">
        <v>1396</v>
      </c>
      <c r="L436" s="47" t="s">
        <v>882</v>
      </c>
      <c r="M436" s="19"/>
      <c r="N436" s="19"/>
      <c r="O436" s="19"/>
      <c r="P436" s="19"/>
      <c r="Q436" s="50">
        <v>1.0</v>
      </c>
      <c r="R436" s="59">
        <v>46188.0</v>
      </c>
      <c r="S436" s="59">
        <v>46192.0</v>
      </c>
      <c r="T436" s="19"/>
      <c r="U436" s="19"/>
      <c r="V436" s="50" t="s">
        <v>1321</v>
      </c>
      <c r="W436" s="19"/>
      <c r="X436" s="50" t="s">
        <v>12</v>
      </c>
      <c r="Y436" s="50" t="s">
        <v>1322</v>
      </c>
      <c r="Z436" s="50">
        <v>3.040326277E9</v>
      </c>
      <c r="AA436" s="50" t="s">
        <v>12</v>
      </c>
      <c r="AB436" s="50" t="s">
        <v>1322</v>
      </c>
      <c r="AC436" s="50" t="s">
        <v>1336</v>
      </c>
      <c r="AD436" s="19"/>
      <c r="AE436" s="19"/>
      <c r="AF436" s="19"/>
      <c r="AG436" s="19"/>
    </row>
    <row r="437">
      <c r="A437" s="47">
        <f>COUNTIF('Divulgação'!$B:$B,B437)</f>
        <v>1</v>
      </c>
      <c r="B437" s="47" t="s">
        <v>1167</v>
      </c>
      <c r="C437" s="19"/>
      <c r="D437" s="50" t="s">
        <v>1314</v>
      </c>
      <c r="E437" s="50" t="s">
        <v>2007</v>
      </c>
      <c r="F437" s="59">
        <v>46188.0</v>
      </c>
      <c r="G437" s="50" t="s">
        <v>1316</v>
      </c>
      <c r="H437" s="19"/>
      <c r="I437" s="47" t="s">
        <v>63</v>
      </c>
      <c r="J437" s="50">
        <v>71513.0</v>
      </c>
      <c r="K437" s="50" t="s">
        <v>1432</v>
      </c>
      <c r="L437" s="47" t="s">
        <v>1847</v>
      </c>
      <c r="M437" s="19"/>
      <c r="N437" s="19"/>
      <c r="O437" s="19"/>
      <c r="P437" s="19"/>
      <c r="Q437" s="50">
        <v>1.0</v>
      </c>
      <c r="R437" s="59">
        <v>46188.0</v>
      </c>
      <c r="S437" s="59">
        <v>46192.0</v>
      </c>
      <c r="T437" s="19"/>
      <c r="U437" s="19"/>
      <c r="V437" s="50" t="s">
        <v>1321</v>
      </c>
      <c r="W437" s="19"/>
      <c r="X437" s="50" t="s">
        <v>12</v>
      </c>
      <c r="Y437" s="50" t="s">
        <v>1322</v>
      </c>
      <c r="Z437" s="50">
        <v>3.040326033E9</v>
      </c>
      <c r="AA437" s="50" t="s">
        <v>14</v>
      </c>
      <c r="AB437" s="50" t="s">
        <v>1447</v>
      </c>
      <c r="AC437" s="50" t="s">
        <v>1848</v>
      </c>
      <c r="AD437" s="19"/>
      <c r="AE437" s="19"/>
      <c r="AF437" s="19"/>
      <c r="AG437" s="19"/>
    </row>
    <row r="438">
      <c r="A438" s="47">
        <f>COUNTIF('Divulgação'!$B:$B,B438)</f>
        <v>1</v>
      </c>
      <c r="B438" s="47" t="s">
        <v>1168</v>
      </c>
      <c r="C438" s="19"/>
      <c r="D438" s="50" t="s">
        <v>1314</v>
      </c>
      <c r="E438" s="50" t="s">
        <v>2007</v>
      </c>
      <c r="F438" s="59">
        <v>46188.0</v>
      </c>
      <c r="G438" s="50" t="s">
        <v>1316</v>
      </c>
      <c r="H438" s="19"/>
      <c r="I438" s="47" t="s">
        <v>63</v>
      </c>
      <c r="J438" s="50">
        <v>71513.0</v>
      </c>
      <c r="K438" s="50" t="s">
        <v>1432</v>
      </c>
      <c r="L438" s="47" t="s">
        <v>348</v>
      </c>
      <c r="M438" s="19"/>
      <c r="N438" s="19"/>
      <c r="O438" s="19"/>
      <c r="P438" s="19"/>
      <c r="Q438" s="50">
        <v>1.0</v>
      </c>
      <c r="R438" s="59">
        <v>46188.0</v>
      </c>
      <c r="S438" s="59">
        <v>46192.0</v>
      </c>
      <c r="T438" s="19"/>
      <c r="U438" s="19"/>
      <c r="V438" s="50" t="s">
        <v>1321</v>
      </c>
      <c r="W438" s="19"/>
      <c r="X438" s="50" t="s">
        <v>12</v>
      </c>
      <c r="Y438" s="50" t="s">
        <v>1322</v>
      </c>
      <c r="Z438" s="50">
        <v>3.040326276E9</v>
      </c>
      <c r="AA438" s="50" t="s">
        <v>12</v>
      </c>
      <c r="AB438" s="50" t="s">
        <v>1322</v>
      </c>
      <c r="AC438" s="50" t="s">
        <v>1336</v>
      </c>
      <c r="AD438" s="19"/>
      <c r="AE438" s="19"/>
      <c r="AF438" s="19"/>
      <c r="AG438" s="19"/>
    </row>
    <row r="439">
      <c r="A439" s="47">
        <f>COUNTIF('Divulgação'!$B:$B,B439)</f>
        <v>1</v>
      </c>
      <c r="B439" s="47" t="s">
        <v>1169</v>
      </c>
      <c r="C439" s="19"/>
      <c r="D439" s="50" t="s">
        <v>1314</v>
      </c>
      <c r="E439" s="50" t="s">
        <v>2007</v>
      </c>
      <c r="F439" s="59">
        <v>46188.0</v>
      </c>
      <c r="G439" s="50" t="s">
        <v>1316</v>
      </c>
      <c r="H439" s="19"/>
      <c r="I439" s="47" t="s">
        <v>1436</v>
      </c>
      <c r="J439" s="50">
        <v>71513.0</v>
      </c>
      <c r="K439" s="50" t="s">
        <v>1437</v>
      </c>
      <c r="L439" s="47" t="s">
        <v>2008</v>
      </c>
      <c r="M439" s="19"/>
      <c r="N439" s="19"/>
      <c r="O439" s="19"/>
      <c r="P439" s="19"/>
      <c r="Q439" s="50">
        <v>1.0</v>
      </c>
      <c r="R439" s="59">
        <v>46188.0</v>
      </c>
      <c r="S439" s="59">
        <v>46192.0</v>
      </c>
      <c r="T439" s="19"/>
      <c r="U439" s="19"/>
      <c r="V439" s="50" t="s">
        <v>1321</v>
      </c>
      <c r="W439" s="19"/>
      <c r="X439" s="50" t="s">
        <v>12</v>
      </c>
      <c r="Y439" s="50" t="s">
        <v>1322</v>
      </c>
      <c r="Z439" s="50">
        <v>3.040327144E9</v>
      </c>
      <c r="AA439" s="50" t="s">
        <v>1352</v>
      </c>
      <c r="AB439" s="50" t="s">
        <v>1430</v>
      </c>
      <c r="AC439" s="50" t="s">
        <v>2009</v>
      </c>
      <c r="AD439" s="19"/>
      <c r="AE439" s="19"/>
      <c r="AF439" s="19"/>
      <c r="AG439" s="19"/>
    </row>
    <row r="440">
      <c r="A440" s="47">
        <f>COUNTIF('Divulgação'!$B:$B,B440)</f>
        <v>1</v>
      </c>
      <c r="B440" s="47" t="s">
        <v>1170</v>
      </c>
      <c r="C440" s="48"/>
      <c r="D440" s="47" t="s">
        <v>1314</v>
      </c>
      <c r="E440" s="47" t="s">
        <v>1315</v>
      </c>
      <c r="F440" s="47" t="s">
        <v>2426</v>
      </c>
      <c r="G440" s="47" t="s">
        <v>1316</v>
      </c>
      <c r="H440" s="47" t="s">
        <v>2426</v>
      </c>
      <c r="I440" s="47" t="s">
        <v>155</v>
      </c>
      <c r="J440" s="47" t="s">
        <v>232</v>
      </c>
      <c r="K440" s="47" t="s">
        <v>156</v>
      </c>
      <c r="L440" s="47" t="s">
        <v>1863</v>
      </c>
      <c r="M440" s="48"/>
      <c r="N440" s="48"/>
      <c r="O440" s="48"/>
      <c r="P440" s="48"/>
      <c r="Q440" s="47" t="s">
        <v>328</v>
      </c>
      <c r="R440" s="47" t="s">
        <v>2427</v>
      </c>
      <c r="S440" s="47" t="s">
        <v>2428</v>
      </c>
      <c r="T440" s="47" t="s">
        <v>2426</v>
      </c>
      <c r="U440" s="48"/>
      <c r="V440" s="47" t="s">
        <v>1321</v>
      </c>
      <c r="W440" s="48"/>
      <c r="X440" s="47" t="s">
        <v>12</v>
      </c>
      <c r="Y440" s="47" t="s">
        <v>1322</v>
      </c>
      <c r="Z440" s="47" t="s">
        <v>2429</v>
      </c>
      <c r="AA440" s="47" t="s">
        <v>1463</v>
      </c>
      <c r="AB440" s="47" t="s">
        <v>1464</v>
      </c>
      <c r="AC440" s="47" t="s">
        <v>1864</v>
      </c>
      <c r="AD440" s="48"/>
      <c r="AE440" s="48"/>
      <c r="AF440" s="48"/>
      <c r="AG440" s="48"/>
    </row>
    <row r="441">
      <c r="A441" s="47">
        <f>COUNTIF('Divulgação'!$B:$B,B441)</f>
        <v>1</v>
      </c>
      <c r="B441" s="47" t="s">
        <v>1171</v>
      </c>
      <c r="C441" s="48"/>
      <c r="D441" s="47" t="s">
        <v>1314</v>
      </c>
      <c r="E441" s="47" t="s">
        <v>1315</v>
      </c>
      <c r="F441" s="47" t="s">
        <v>2426</v>
      </c>
      <c r="G441" s="47" t="s">
        <v>1316</v>
      </c>
      <c r="H441" s="47" t="s">
        <v>2426</v>
      </c>
      <c r="I441" s="47" t="s">
        <v>155</v>
      </c>
      <c r="J441" s="47" t="s">
        <v>232</v>
      </c>
      <c r="K441" s="47" t="s">
        <v>156</v>
      </c>
      <c r="L441" s="47" t="s">
        <v>1862</v>
      </c>
      <c r="M441" s="48"/>
      <c r="N441" s="48"/>
      <c r="O441" s="48"/>
      <c r="P441" s="48"/>
      <c r="Q441" s="47" t="s">
        <v>328</v>
      </c>
      <c r="R441" s="47" t="s">
        <v>2427</v>
      </c>
      <c r="S441" s="47" t="s">
        <v>2428</v>
      </c>
      <c r="T441" s="47" t="s">
        <v>2426</v>
      </c>
      <c r="U441" s="48"/>
      <c r="V441" s="47" t="s">
        <v>1321</v>
      </c>
      <c r="W441" s="48"/>
      <c r="X441" s="47" t="s">
        <v>12</v>
      </c>
      <c r="Y441" s="47" t="s">
        <v>1322</v>
      </c>
      <c r="Z441" s="47" t="s">
        <v>2430</v>
      </c>
      <c r="AA441" s="47" t="s">
        <v>16</v>
      </c>
      <c r="AB441" s="47" t="s">
        <v>1331</v>
      </c>
      <c r="AC441" s="47" t="s">
        <v>1332</v>
      </c>
      <c r="AD441" s="48"/>
      <c r="AE441" s="48"/>
      <c r="AF441" s="48"/>
      <c r="AG441" s="48"/>
    </row>
    <row r="442">
      <c r="A442" s="47">
        <f>COUNTIF('Divulgação'!$B:$B,B442)</f>
        <v>1</v>
      </c>
      <c r="B442" s="47" t="s">
        <v>1172</v>
      </c>
      <c r="C442" s="48"/>
      <c r="D442" s="50" t="s">
        <v>1314</v>
      </c>
      <c r="E442" s="50" t="s">
        <v>1315</v>
      </c>
      <c r="F442" s="59">
        <v>46203.0</v>
      </c>
      <c r="G442" s="50" t="s">
        <v>1316</v>
      </c>
      <c r="H442" s="59">
        <v>46203.0</v>
      </c>
      <c r="I442" s="47" t="s">
        <v>1765</v>
      </c>
      <c r="J442" s="50" t="s">
        <v>232</v>
      </c>
      <c r="K442" s="50" t="s">
        <v>1766</v>
      </c>
      <c r="L442" s="47" t="s">
        <v>1865</v>
      </c>
      <c r="M442" s="48"/>
      <c r="N442" s="48"/>
      <c r="O442" s="48"/>
      <c r="P442" s="48"/>
      <c r="Q442" s="50">
        <v>1.0</v>
      </c>
      <c r="R442" s="59">
        <v>46199.0</v>
      </c>
      <c r="S442" s="59">
        <v>46205.0</v>
      </c>
      <c r="T442" s="59">
        <v>46203.0</v>
      </c>
      <c r="U442" s="48"/>
      <c r="V442" s="50" t="s">
        <v>1321</v>
      </c>
      <c r="W442" s="48"/>
      <c r="X442" s="50" t="s">
        <v>12</v>
      </c>
      <c r="Y442" s="50" t="s">
        <v>1322</v>
      </c>
      <c r="Z442" s="50">
        <v>3.040307753E9</v>
      </c>
      <c r="AA442" s="50" t="s">
        <v>16</v>
      </c>
      <c r="AB442" s="50" t="s">
        <v>1331</v>
      </c>
      <c r="AC442" s="50" t="s">
        <v>1486</v>
      </c>
      <c r="AD442" s="19"/>
      <c r="AE442" s="19"/>
      <c r="AF442" s="19"/>
      <c r="AG442" s="19"/>
    </row>
    <row r="443">
      <c r="A443" s="47">
        <f>COUNTIF('Divulgação'!$B:$B,B443)</f>
        <v>1</v>
      </c>
      <c r="B443" s="47" t="s">
        <v>1173</v>
      </c>
      <c r="C443" s="48"/>
      <c r="D443" s="50" t="s">
        <v>1314</v>
      </c>
      <c r="E443" s="50" t="s">
        <v>1315</v>
      </c>
      <c r="F443" s="59">
        <v>46203.0</v>
      </c>
      <c r="G443" s="50" t="s">
        <v>1316</v>
      </c>
      <c r="H443" s="59">
        <v>46203.0</v>
      </c>
      <c r="I443" s="47" t="s">
        <v>1765</v>
      </c>
      <c r="J443" s="50" t="s">
        <v>232</v>
      </c>
      <c r="K443" s="50" t="s">
        <v>1766</v>
      </c>
      <c r="L443" s="47" t="s">
        <v>2431</v>
      </c>
      <c r="M443" s="48"/>
      <c r="N443" s="48"/>
      <c r="O443" s="48"/>
      <c r="P443" s="48"/>
      <c r="Q443" s="50">
        <v>1.0</v>
      </c>
      <c r="R443" s="59">
        <v>46199.0</v>
      </c>
      <c r="S443" s="59">
        <v>46205.0</v>
      </c>
      <c r="T443" s="59">
        <v>46203.0</v>
      </c>
      <c r="U443" s="48"/>
      <c r="V443" s="50" t="s">
        <v>1321</v>
      </c>
      <c r="W443" s="48"/>
      <c r="X443" s="50" t="s">
        <v>12</v>
      </c>
      <c r="Y443" s="50" t="s">
        <v>1322</v>
      </c>
      <c r="Z443" s="50">
        <v>3.040309513E9</v>
      </c>
      <c r="AA443" s="50" t="s">
        <v>19</v>
      </c>
      <c r="AB443" s="50" t="s">
        <v>1402</v>
      </c>
      <c r="AC443" s="50" t="s">
        <v>1711</v>
      </c>
      <c r="AD443" s="19"/>
      <c r="AE443" s="19"/>
      <c r="AF443" s="19"/>
      <c r="AG443" s="19"/>
    </row>
    <row r="444">
      <c r="A444" s="47">
        <f>COUNTIF('Divulgação'!$B:$B,B444)</f>
        <v>1</v>
      </c>
      <c r="B444" s="47" t="s">
        <v>1174</v>
      </c>
      <c r="C444" s="48"/>
      <c r="D444" s="50" t="s">
        <v>1314</v>
      </c>
      <c r="E444" s="50" t="s">
        <v>1315</v>
      </c>
      <c r="F444" s="59">
        <v>46205.0</v>
      </c>
      <c r="G444" s="50" t="s">
        <v>1316</v>
      </c>
      <c r="H444" s="59">
        <v>46205.0</v>
      </c>
      <c r="I444" s="47" t="s">
        <v>1866</v>
      </c>
      <c r="J444" s="50">
        <v>6848.0</v>
      </c>
      <c r="K444" s="50" t="s">
        <v>1546</v>
      </c>
      <c r="L444" s="47" t="s">
        <v>1868</v>
      </c>
      <c r="M444" s="48"/>
      <c r="N444" s="48"/>
      <c r="O444" s="48"/>
      <c r="P444" s="48"/>
      <c r="Q444" s="50">
        <v>1.0</v>
      </c>
      <c r="R444" s="59">
        <v>46205.0</v>
      </c>
      <c r="S444" s="59">
        <v>46211.0</v>
      </c>
      <c r="T444" s="59">
        <v>46205.0</v>
      </c>
      <c r="U444" s="48"/>
      <c r="V444" s="50" t="s">
        <v>1321</v>
      </c>
      <c r="W444" s="48"/>
      <c r="X444" s="50" t="s">
        <v>12</v>
      </c>
      <c r="Y444" s="50" t="s">
        <v>1322</v>
      </c>
      <c r="Z444" s="50">
        <v>3.040328401E9</v>
      </c>
      <c r="AA444" s="50" t="s">
        <v>16</v>
      </c>
      <c r="AB444" s="50" t="s">
        <v>1860</v>
      </c>
      <c r="AC444" s="50" t="s">
        <v>1869</v>
      </c>
      <c r="AD444" s="48"/>
      <c r="AE444" s="19"/>
      <c r="AF444" s="19"/>
      <c r="AG444" s="19"/>
    </row>
    <row r="445">
      <c r="A445" s="47">
        <f>COUNTIF('Divulgação'!$B:$B,B445)</f>
        <v>1</v>
      </c>
      <c r="B445" s="47" t="s">
        <v>1175</v>
      </c>
      <c r="C445" s="48"/>
      <c r="D445" s="50" t="s">
        <v>1314</v>
      </c>
      <c r="E445" s="50" t="s">
        <v>1315</v>
      </c>
      <c r="F445" s="59">
        <v>46205.0</v>
      </c>
      <c r="G445" s="50" t="s">
        <v>1316</v>
      </c>
      <c r="H445" s="59">
        <v>46205.0</v>
      </c>
      <c r="I445" s="47" t="s">
        <v>143</v>
      </c>
      <c r="J445" s="50">
        <v>7213.0</v>
      </c>
      <c r="K445" s="50" t="s">
        <v>1625</v>
      </c>
      <c r="L445" s="47" t="s">
        <v>2432</v>
      </c>
      <c r="M445" s="48"/>
      <c r="N445" s="48"/>
      <c r="O445" s="48"/>
      <c r="P445" s="48"/>
      <c r="Q445" s="50">
        <v>1.0</v>
      </c>
      <c r="R445" s="59">
        <v>46205.0</v>
      </c>
      <c r="S445" s="59">
        <v>46211.0</v>
      </c>
      <c r="T445" s="59">
        <v>46205.0</v>
      </c>
      <c r="U445" s="48"/>
      <c r="V445" s="50" t="s">
        <v>1321</v>
      </c>
      <c r="W445" s="48"/>
      <c r="X445" s="50" t="s">
        <v>12</v>
      </c>
      <c r="Y445" s="50" t="s">
        <v>1322</v>
      </c>
      <c r="Z445" s="50">
        <v>3.04032826E9</v>
      </c>
      <c r="AA445" s="50" t="s">
        <v>21</v>
      </c>
      <c r="AB445" s="50" t="s">
        <v>1359</v>
      </c>
      <c r="AC445" s="50" t="s">
        <v>2420</v>
      </c>
      <c r="AD445" s="48"/>
      <c r="AE445" s="19"/>
      <c r="AF445" s="19"/>
      <c r="AG445" s="19"/>
    </row>
    <row r="446">
      <c r="A446" s="47">
        <f>COUNTIF('Divulgação'!$B:$B,B446)</f>
        <v>1</v>
      </c>
      <c r="B446" s="47" t="s">
        <v>1176</v>
      </c>
      <c r="C446" s="48"/>
      <c r="D446" s="50" t="s">
        <v>1314</v>
      </c>
      <c r="E446" s="50" t="s">
        <v>1315</v>
      </c>
      <c r="F446" s="59">
        <v>46205.0</v>
      </c>
      <c r="G446" s="50" t="s">
        <v>1316</v>
      </c>
      <c r="H446" s="59">
        <v>46205.0</v>
      </c>
      <c r="I446" s="47" t="s">
        <v>1333</v>
      </c>
      <c r="J446" s="50">
        <v>198.0</v>
      </c>
      <c r="K446" s="50" t="s">
        <v>1334</v>
      </c>
      <c r="L446" s="47" t="s">
        <v>1952</v>
      </c>
      <c r="M446" s="48"/>
      <c r="N446" s="48"/>
      <c r="O446" s="48"/>
      <c r="P446" s="48"/>
      <c r="Q446" s="50">
        <v>1.0</v>
      </c>
      <c r="R446" s="59">
        <v>46205.0</v>
      </c>
      <c r="S446" s="59">
        <v>46211.0</v>
      </c>
      <c r="T446" s="59">
        <v>46205.0</v>
      </c>
      <c r="U446" s="48"/>
      <c r="V446" s="50" t="s">
        <v>1321</v>
      </c>
      <c r="W446" s="48"/>
      <c r="X446" s="50" t="s">
        <v>12</v>
      </c>
      <c r="Y446" s="50" t="s">
        <v>1322</v>
      </c>
      <c r="Z446" s="50">
        <v>3.040328259E9</v>
      </c>
      <c r="AA446" s="50" t="s">
        <v>21</v>
      </c>
      <c r="AB446" s="50" t="s">
        <v>1359</v>
      </c>
      <c r="AC446" s="50" t="s">
        <v>2420</v>
      </c>
      <c r="AD446" s="48"/>
      <c r="AE446" s="19"/>
      <c r="AF446" s="19"/>
      <c r="AG446" s="19"/>
    </row>
    <row r="447">
      <c r="A447" s="47">
        <f>COUNTIF('Divulgação'!$B:$B,B447)</f>
        <v>1</v>
      </c>
      <c r="B447" s="47" t="s">
        <v>1177</v>
      </c>
      <c r="C447" s="48"/>
      <c r="D447" s="50" t="s">
        <v>1314</v>
      </c>
      <c r="E447" s="50" t="s">
        <v>1315</v>
      </c>
      <c r="F447" s="59">
        <v>46211.0</v>
      </c>
      <c r="G447" s="50" t="s">
        <v>1316</v>
      </c>
      <c r="H447" s="59">
        <v>46211.0</v>
      </c>
      <c r="I447" s="47" t="s">
        <v>282</v>
      </c>
      <c r="J447" s="50" t="s">
        <v>232</v>
      </c>
      <c r="K447" s="50" t="s">
        <v>283</v>
      </c>
      <c r="L447" s="47" t="s">
        <v>1871</v>
      </c>
      <c r="M447" s="48"/>
      <c r="N447" s="48"/>
      <c r="O447" s="48"/>
      <c r="P447" s="48"/>
      <c r="Q447" s="50">
        <v>1.0</v>
      </c>
      <c r="R447" s="59">
        <v>46210.0</v>
      </c>
      <c r="S447" s="59">
        <v>46216.0</v>
      </c>
      <c r="T447" s="59">
        <v>46211.0</v>
      </c>
      <c r="U447" s="48"/>
      <c r="V447" s="50" t="s">
        <v>1321</v>
      </c>
      <c r="W447" s="48"/>
      <c r="X447" s="50" t="s">
        <v>12</v>
      </c>
      <c r="Y447" s="50" t="s">
        <v>1322</v>
      </c>
      <c r="Z447" s="50">
        <v>3.040328109E9</v>
      </c>
      <c r="AA447" s="50" t="s">
        <v>13</v>
      </c>
      <c r="AB447" s="50" t="s">
        <v>1380</v>
      </c>
      <c r="AC447" s="50" t="s">
        <v>1564</v>
      </c>
      <c r="AD447" s="48"/>
      <c r="AE447" s="19"/>
      <c r="AF447" s="19"/>
      <c r="AG447" s="19"/>
    </row>
    <row r="448">
      <c r="A448" s="47">
        <f>COUNTIF('Divulgação'!$B:$B,B448)</f>
        <v>1</v>
      </c>
      <c r="B448" s="47" t="s">
        <v>1178</v>
      </c>
      <c r="C448" s="48"/>
      <c r="D448" s="50" t="s">
        <v>1314</v>
      </c>
      <c r="E448" s="50" t="s">
        <v>1315</v>
      </c>
      <c r="F448" s="59">
        <v>46211.0</v>
      </c>
      <c r="G448" s="50" t="s">
        <v>1316</v>
      </c>
      <c r="H448" s="59">
        <v>46211.0</v>
      </c>
      <c r="I448" s="47" t="s">
        <v>282</v>
      </c>
      <c r="J448" s="50" t="s">
        <v>232</v>
      </c>
      <c r="K448" s="50" t="s">
        <v>283</v>
      </c>
      <c r="L448" s="47" t="s">
        <v>1870</v>
      </c>
      <c r="M448" s="48"/>
      <c r="N448" s="48"/>
      <c r="O448" s="48"/>
      <c r="P448" s="48"/>
      <c r="Q448" s="50">
        <v>1.0</v>
      </c>
      <c r="R448" s="59">
        <v>46210.0</v>
      </c>
      <c r="S448" s="59">
        <v>46216.0</v>
      </c>
      <c r="T448" s="59">
        <v>46211.0</v>
      </c>
      <c r="U448" s="48"/>
      <c r="V448" s="50" t="s">
        <v>1321</v>
      </c>
      <c r="W448" s="48"/>
      <c r="X448" s="50" t="s">
        <v>12</v>
      </c>
      <c r="Y448" s="50" t="s">
        <v>1322</v>
      </c>
      <c r="Z448" s="50">
        <v>3.040325767E9</v>
      </c>
      <c r="AA448" s="50" t="s">
        <v>13</v>
      </c>
      <c r="AB448" s="50" t="s">
        <v>1380</v>
      </c>
      <c r="AC448" s="50" t="s">
        <v>1574</v>
      </c>
      <c r="AD448" s="48"/>
      <c r="AE448" s="19"/>
      <c r="AF448" s="19"/>
      <c r="AG448" s="19"/>
    </row>
    <row r="449">
      <c r="A449" s="47">
        <f>COUNTIF('Divulgação'!$B:$B,B449)</f>
        <v>1</v>
      </c>
      <c r="B449" s="47" t="s">
        <v>1179</v>
      </c>
      <c r="C449" s="48"/>
      <c r="D449" s="50" t="s">
        <v>1314</v>
      </c>
      <c r="E449" s="50" t="s">
        <v>1315</v>
      </c>
      <c r="F449" s="59">
        <v>46226.0</v>
      </c>
      <c r="G449" s="50" t="s">
        <v>1316</v>
      </c>
      <c r="H449" s="59">
        <v>46226.0</v>
      </c>
      <c r="I449" s="47" t="s">
        <v>149</v>
      </c>
      <c r="J449" s="50">
        <v>22373.0</v>
      </c>
      <c r="K449" s="50" t="s">
        <v>1785</v>
      </c>
      <c r="L449" s="47" t="s">
        <v>1872</v>
      </c>
      <c r="M449" s="48"/>
      <c r="N449" s="48"/>
      <c r="O449" s="48"/>
      <c r="P449" s="48"/>
      <c r="Q449" s="50">
        <v>1.0</v>
      </c>
      <c r="R449" s="59">
        <v>46225.0</v>
      </c>
      <c r="S449" s="59">
        <v>46231.0</v>
      </c>
      <c r="T449" s="59">
        <v>46226.0</v>
      </c>
      <c r="U449" s="48"/>
      <c r="V449" s="50" t="s">
        <v>1321</v>
      </c>
      <c r="W449" s="48"/>
      <c r="X449" s="50" t="s">
        <v>12</v>
      </c>
      <c r="Y449" s="50" t="s">
        <v>1322</v>
      </c>
      <c r="Z449" s="50">
        <v>3.040322966E9</v>
      </c>
      <c r="AA449" s="50" t="s">
        <v>14</v>
      </c>
      <c r="AB449" s="50" t="s">
        <v>1328</v>
      </c>
      <c r="AC449" s="50" t="s">
        <v>1329</v>
      </c>
      <c r="AD449" s="19"/>
      <c r="AE449" s="19"/>
      <c r="AF449" s="19"/>
      <c r="AG449" s="19"/>
    </row>
    <row r="450">
      <c r="A450" s="47">
        <f>COUNTIF('Divulgação'!$B:$B,B450)</f>
        <v>1</v>
      </c>
      <c r="B450" s="47" t="s">
        <v>1180</v>
      </c>
      <c r="C450" s="48"/>
      <c r="D450" s="50" t="s">
        <v>1314</v>
      </c>
      <c r="E450" s="50" t="s">
        <v>1315</v>
      </c>
      <c r="F450" s="59">
        <v>46226.0</v>
      </c>
      <c r="G450" s="50" t="s">
        <v>1316</v>
      </c>
      <c r="H450" s="59">
        <v>46226.0</v>
      </c>
      <c r="I450" s="47" t="s">
        <v>149</v>
      </c>
      <c r="J450" s="50">
        <v>22373.0</v>
      </c>
      <c r="K450" s="50" t="s">
        <v>1785</v>
      </c>
      <c r="L450" s="47" t="s">
        <v>1874</v>
      </c>
      <c r="M450" s="48"/>
      <c r="N450" s="48"/>
      <c r="O450" s="48"/>
      <c r="P450" s="48"/>
      <c r="Q450" s="50">
        <v>1.0</v>
      </c>
      <c r="R450" s="59">
        <v>46225.0</v>
      </c>
      <c r="S450" s="59">
        <v>46231.0</v>
      </c>
      <c r="T450" s="59">
        <v>46226.0</v>
      </c>
      <c r="U450" s="48"/>
      <c r="V450" s="50" t="s">
        <v>1321</v>
      </c>
      <c r="W450" s="48"/>
      <c r="X450" s="50" t="s">
        <v>12</v>
      </c>
      <c r="Y450" s="50" t="s">
        <v>1322</v>
      </c>
      <c r="Z450" s="50">
        <v>3.040320686E9</v>
      </c>
      <c r="AA450" s="50" t="s">
        <v>17</v>
      </c>
      <c r="AB450" s="50" t="s">
        <v>1458</v>
      </c>
      <c r="AC450" s="50" t="s">
        <v>1605</v>
      </c>
      <c r="AD450" s="19"/>
      <c r="AE450" s="19"/>
      <c r="AF450" s="19"/>
      <c r="AG450" s="19"/>
    </row>
    <row r="451">
      <c r="A451" s="47">
        <f>COUNTIF('Divulgação'!$B:$B,B451)</f>
        <v>1</v>
      </c>
      <c r="B451" s="47" t="s">
        <v>1181</v>
      </c>
      <c r="C451" s="48"/>
      <c r="D451" s="50" t="s">
        <v>1314</v>
      </c>
      <c r="E451" s="50" t="s">
        <v>1315</v>
      </c>
      <c r="F451" s="59">
        <v>46226.0</v>
      </c>
      <c r="G451" s="50" t="s">
        <v>1316</v>
      </c>
      <c r="H451" s="59">
        <v>46226.0</v>
      </c>
      <c r="I451" s="47" t="s">
        <v>149</v>
      </c>
      <c r="J451" s="50">
        <v>22373.0</v>
      </c>
      <c r="K451" s="50" t="s">
        <v>1785</v>
      </c>
      <c r="L451" s="47" t="s">
        <v>1873</v>
      </c>
      <c r="M451" s="48"/>
      <c r="N451" s="48"/>
      <c r="O451" s="48"/>
      <c r="P451" s="48"/>
      <c r="Q451" s="50">
        <v>1.0</v>
      </c>
      <c r="R451" s="59">
        <v>46225.0</v>
      </c>
      <c r="S451" s="59">
        <v>46231.0</v>
      </c>
      <c r="T451" s="59">
        <v>46226.0</v>
      </c>
      <c r="U451" s="48"/>
      <c r="V451" s="50" t="s">
        <v>1321</v>
      </c>
      <c r="W451" s="48"/>
      <c r="X451" s="50" t="s">
        <v>12</v>
      </c>
      <c r="Y451" s="50" t="s">
        <v>1322</v>
      </c>
      <c r="Z451" s="50">
        <v>3.040314606E9</v>
      </c>
      <c r="AA451" s="50" t="s">
        <v>14</v>
      </c>
      <c r="AB451" s="50" t="s">
        <v>1328</v>
      </c>
      <c r="AC451" s="50" t="s">
        <v>1772</v>
      </c>
      <c r="AD451" s="19"/>
      <c r="AE451" s="19"/>
      <c r="AF451" s="19"/>
      <c r="AG451" s="19"/>
    </row>
    <row r="452">
      <c r="A452" s="47">
        <f>COUNTIF('Divulgação'!$B:$B,B452)</f>
        <v>1</v>
      </c>
      <c r="B452" s="47" t="s">
        <v>1182</v>
      </c>
      <c r="C452" s="48"/>
      <c r="D452" s="50" t="s">
        <v>1314</v>
      </c>
      <c r="E452" s="50" t="s">
        <v>1315</v>
      </c>
      <c r="F452" s="59">
        <v>46230.0</v>
      </c>
      <c r="G452" s="50" t="s">
        <v>1316</v>
      </c>
      <c r="H452" s="59">
        <v>46230.0</v>
      </c>
      <c r="I452" s="47" t="s">
        <v>1608</v>
      </c>
      <c r="J452" s="50">
        <v>71653.0</v>
      </c>
      <c r="K452" s="50" t="s">
        <v>1610</v>
      </c>
      <c r="L452" s="47" t="s">
        <v>1882</v>
      </c>
      <c r="M452" s="48"/>
      <c r="N452" s="48"/>
      <c r="O452" s="48"/>
      <c r="P452" s="48"/>
      <c r="Q452" s="50">
        <v>1.0</v>
      </c>
      <c r="R452" s="59">
        <v>46226.0</v>
      </c>
      <c r="S452" s="59">
        <v>46232.0</v>
      </c>
      <c r="T452" s="59">
        <v>46230.0</v>
      </c>
      <c r="U452" s="48"/>
      <c r="V452" s="50" t="s">
        <v>1321</v>
      </c>
      <c r="W452" s="48"/>
      <c r="X452" s="50" t="s">
        <v>12</v>
      </c>
      <c r="Y452" s="50" t="s">
        <v>1322</v>
      </c>
      <c r="Z452" s="50">
        <v>3.040325921E9</v>
      </c>
      <c r="AA452" s="50" t="s">
        <v>12</v>
      </c>
      <c r="AB452" s="50" t="s">
        <v>1322</v>
      </c>
      <c r="AC452" s="50" t="s">
        <v>1336</v>
      </c>
      <c r="AD452" s="19"/>
      <c r="AE452" s="19"/>
      <c r="AF452" s="19"/>
      <c r="AG452" s="19"/>
    </row>
    <row r="453">
      <c r="A453" s="47">
        <f>COUNTIF('Divulgação'!$B:$B,B453)</f>
        <v>1</v>
      </c>
      <c r="B453" s="47" t="s">
        <v>1183</v>
      </c>
      <c r="C453" s="48"/>
      <c r="D453" s="50" t="s">
        <v>1314</v>
      </c>
      <c r="E453" s="50" t="s">
        <v>1315</v>
      </c>
      <c r="F453" s="59">
        <v>46230.0</v>
      </c>
      <c r="G453" s="50" t="s">
        <v>1316</v>
      </c>
      <c r="H453" s="59">
        <v>46230.0</v>
      </c>
      <c r="I453" s="47" t="s">
        <v>1608</v>
      </c>
      <c r="J453" s="50">
        <v>71653.0</v>
      </c>
      <c r="K453" s="50" t="s">
        <v>1610</v>
      </c>
      <c r="L453" s="47" t="s">
        <v>2433</v>
      </c>
      <c r="M453" s="48"/>
      <c r="N453" s="48"/>
      <c r="O453" s="48"/>
      <c r="P453" s="48"/>
      <c r="Q453" s="50">
        <v>1.0</v>
      </c>
      <c r="R453" s="59">
        <v>46226.0</v>
      </c>
      <c r="S453" s="59">
        <v>46232.0</v>
      </c>
      <c r="T453" s="59">
        <v>46230.0</v>
      </c>
      <c r="U453" s="48"/>
      <c r="V453" s="50" t="s">
        <v>1321</v>
      </c>
      <c r="W453" s="48"/>
      <c r="X453" s="50" t="s">
        <v>12</v>
      </c>
      <c r="Y453" s="50" t="s">
        <v>1322</v>
      </c>
      <c r="Z453" s="50">
        <v>3.040323045E9</v>
      </c>
      <c r="AA453" s="50" t="s">
        <v>14</v>
      </c>
      <c r="AB453" s="50" t="s">
        <v>1470</v>
      </c>
      <c r="AC453" s="50" t="s">
        <v>1471</v>
      </c>
      <c r="AD453" s="19"/>
      <c r="AE453" s="19"/>
      <c r="AF453" s="19"/>
      <c r="AG453" s="19"/>
    </row>
    <row r="454">
      <c r="A454" s="47">
        <f>COUNTIF('Divulgação'!$B:$B,B454)</f>
        <v>1</v>
      </c>
      <c r="B454" s="47" t="s">
        <v>1184</v>
      </c>
      <c r="C454" s="48"/>
      <c r="D454" s="50" t="s">
        <v>1314</v>
      </c>
      <c r="E454" s="50" t="s">
        <v>1315</v>
      </c>
      <c r="F454" s="59">
        <v>46230.0</v>
      </c>
      <c r="G454" s="50" t="s">
        <v>1316</v>
      </c>
      <c r="H454" s="59">
        <v>46230.0</v>
      </c>
      <c r="I454" s="47" t="s">
        <v>1612</v>
      </c>
      <c r="J454" s="50" t="s">
        <v>48</v>
      </c>
      <c r="K454" s="50" t="s">
        <v>1613</v>
      </c>
      <c r="L454" s="47" t="s">
        <v>1880</v>
      </c>
      <c r="M454" s="48"/>
      <c r="N454" s="48"/>
      <c r="O454" s="48"/>
      <c r="P454" s="48"/>
      <c r="Q454" s="50">
        <v>1.0</v>
      </c>
      <c r="R454" s="59">
        <v>46226.0</v>
      </c>
      <c r="S454" s="59">
        <v>46232.0</v>
      </c>
      <c r="T454" s="59">
        <v>46230.0</v>
      </c>
      <c r="U454" s="48"/>
      <c r="V454" s="50" t="s">
        <v>1321</v>
      </c>
      <c r="W454" s="48"/>
      <c r="X454" s="50" t="s">
        <v>12</v>
      </c>
      <c r="Y454" s="50" t="s">
        <v>1322</v>
      </c>
      <c r="Z454" s="50">
        <v>3.040312639E9</v>
      </c>
      <c r="AA454" s="50" t="s">
        <v>14</v>
      </c>
      <c r="AB454" s="50" t="s">
        <v>1470</v>
      </c>
      <c r="AC454" s="50" t="s">
        <v>1881</v>
      </c>
      <c r="AD454" s="19"/>
      <c r="AE454" s="19"/>
      <c r="AF454" s="19"/>
      <c r="AG454" s="19"/>
    </row>
    <row r="455">
      <c r="A455" s="47">
        <f>COUNTIF('Divulgação'!$B:$B,B455)</f>
        <v>1</v>
      </c>
      <c r="B455" s="47" t="s">
        <v>1185</v>
      </c>
      <c r="C455" s="48"/>
      <c r="D455" s="50" t="s">
        <v>1314</v>
      </c>
      <c r="E455" s="50" t="s">
        <v>1315</v>
      </c>
      <c r="F455" s="59">
        <v>46230.0</v>
      </c>
      <c r="G455" s="50" t="s">
        <v>1316</v>
      </c>
      <c r="H455" s="59">
        <v>46230.0</v>
      </c>
      <c r="I455" s="47" t="s">
        <v>1624</v>
      </c>
      <c r="J455" s="50">
        <v>7213.0</v>
      </c>
      <c r="K455" s="50" t="s">
        <v>1625</v>
      </c>
      <c r="L455" s="47" t="s">
        <v>1875</v>
      </c>
      <c r="M455" s="48"/>
      <c r="N455" s="48"/>
      <c r="O455" s="48"/>
      <c r="P455" s="48"/>
      <c r="Q455" s="50">
        <v>1.0</v>
      </c>
      <c r="R455" s="59">
        <v>46226.0</v>
      </c>
      <c r="S455" s="59">
        <v>46232.0</v>
      </c>
      <c r="T455" s="59">
        <v>46230.0</v>
      </c>
      <c r="U455" s="48"/>
      <c r="V455" s="50" t="s">
        <v>1321</v>
      </c>
      <c r="W455" s="48"/>
      <c r="X455" s="50" t="s">
        <v>12</v>
      </c>
      <c r="Y455" s="50" t="s">
        <v>1322</v>
      </c>
      <c r="Z455" s="50">
        <v>3.040326393E9</v>
      </c>
      <c r="AA455" s="50" t="s">
        <v>14</v>
      </c>
      <c r="AB455" s="50" t="s">
        <v>1876</v>
      </c>
      <c r="AC455" s="50" t="s">
        <v>1877</v>
      </c>
      <c r="AD455" s="19"/>
      <c r="AE455" s="19"/>
      <c r="AF455" s="19"/>
      <c r="AG455" s="19"/>
    </row>
    <row r="456">
      <c r="A456" s="47">
        <f>COUNTIF('Divulgação'!$B:$B,B456)</f>
        <v>1</v>
      </c>
      <c r="B456" s="47" t="s">
        <v>1186</v>
      </c>
      <c r="C456" s="48"/>
      <c r="D456" s="50" t="s">
        <v>1314</v>
      </c>
      <c r="E456" s="50" t="s">
        <v>1315</v>
      </c>
      <c r="F456" s="59">
        <v>46230.0</v>
      </c>
      <c r="G456" s="50" t="s">
        <v>1316</v>
      </c>
      <c r="H456" s="59">
        <v>46230.0</v>
      </c>
      <c r="I456" s="47" t="s">
        <v>1878</v>
      </c>
      <c r="J456" s="50" t="s">
        <v>48</v>
      </c>
      <c r="K456" s="50" t="s">
        <v>1610</v>
      </c>
      <c r="L456" s="47" t="s">
        <v>1879</v>
      </c>
      <c r="M456" s="48"/>
      <c r="N456" s="48"/>
      <c r="O456" s="48"/>
      <c r="P456" s="48"/>
      <c r="Q456" s="50">
        <v>1.0</v>
      </c>
      <c r="R456" s="59">
        <v>46226.0</v>
      </c>
      <c r="S456" s="59">
        <v>46232.0</v>
      </c>
      <c r="T456" s="59">
        <v>46230.0</v>
      </c>
      <c r="U456" s="48"/>
      <c r="V456" s="50" t="s">
        <v>1321</v>
      </c>
      <c r="W456" s="48"/>
      <c r="X456" s="50" t="s">
        <v>12</v>
      </c>
      <c r="Y456" s="50" t="s">
        <v>1322</v>
      </c>
      <c r="Z456" s="50">
        <v>3.040297932E9</v>
      </c>
      <c r="AA456" s="50" t="s">
        <v>17</v>
      </c>
      <c r="AB456" s="50" t="s">
        <v>1343</v>
      </c>
      <c r="AC456" s="50" t="s">
        <v>1344</v>
      </c>
      <c r="AD456" s="19"/>
      <c r="AE456" s="19"/>
      <c r="AF456" s="19"/>
      <c r="AG456" s="19"/>
    </row>
    <row r="457">
      <c r="A457" s="47">
        <f>COUNTIF('Divulgação'!$B:$B,B457)</f>
        <v>1</v>
      </c>
      <c r="B457" s="47" t="s">
        <v>1187</v>
      </c>
      <c r="C457" s="48"/>
      <c r="D457" s="50" t="s">
        <v>1314</v>
      </c>
      <c r="E457" s="50" t="s">
        <v>1315</v>
      </c>
      <c r="F457" s="59">
        <v>46230.0</v>
      </c>
      <c r="G457" s="50" t="s">
        <v>1316</v>
      </c>
      <c r="H457" s="59">
        <v>46230.0</v>
      </c>
      <c r="I457" s="47" t="s">
        <v>1878</v>
      </c>
      <c r="J457" s="50" t="s">
        <v>48</v>
      </c>
      <c r="K457" s="50" t="s">
        <v>1610</v>
      </c>
      <c r="L457" s="47" t="s">
        <v>2434</v>
      </c>
      <c r="M457" s="48"/>
      <c r="N457" s="48"/>
      <c r="O457" s="48"/>
      <c r="P457" s="48"/>
      <c r="Q457" s="50">
        <v>1.0</v>
      </c>
      <c r="R457" s="59">
        <v>46226.0</v>
      </c>
      <c r="S457" s="59">
        <v>46232.0</v>
      </c>
      <c r="T457" s="59">
        <v>46230.0</v>
      </c>
      <c r="U457" s="48"/>
      <c r="V457" s="50" t="s">
        <v>1321</v>
      </c>
      <c r="W457" s="48"/>
      <c r="X457" s="50" t="s">
        <v>12</v>
      </c>
      <c r="Y457" s="50" t="s">
        <v>1322</v>
      </c>
      <c r="Z457" s="50">
        <v>3.04029216E9</v>
      </c>
      <c r="AA457" s="50" t="s">
        <v>19</v>
      </c>
      <c r="AB457" s="50" t="s">
        <v>1402</v>
      </c>
      <c r="AC457" s="50" t="s">
        <v>2019</v>
      </c>
      <c r="AD457" s="19"/>
      <c r="AE457" s="19"/>
      <c r="AF457" s="19"/>
      <c r="AG457" s="19"/>
    </row>
    <row r="458">
      <c r="A458" s="47">
        <f>COUNTIF('Divulgação'!$B:$B,B458)</f>
        <v>1</v>
      </c>
      <c r="B458" s="47" t="s">
        <v>1188</v>
      </c>
      <c r="C458" s="48"/>
      <c r="D458" s="50" t="s">
        <v>1314</v>
      </c>
      <c r="E458" s="50" t="s">
        <v>1315</v>
      </c>
      <c r="F458" s="59">
        <v>46230.0</v>
      </c>
      <c r="G458" s="50" t="s">
        <v>1316</v>
      </c>
      <c r="H458" s="59">
        <v>46230.0</v>
      </c>
      <c r="I458" s="47" t="s">
        <v>1612</v>
      </c>
      <c r="J458" s="50" t="s">
        <v>48</v>
      </c>
      <c r="K458" s="50" t="s">
        <v>1613</v>
      </c>
      <c r="L458" s="47" t="s">
        <v>340</v>
      </c>
      <c r="M458" s="48"/>
      <c r="N458" s="48"/>
      <c r="O458" s="48"/>
      <c r="P458" s="48"/>
      <c r="Q458" s="50">
        <v>1.0</v>
      </c>
      <c r="R458" s="59">
        <v>46226.0</v>
      </c>
      <c r="S458" s="59">
        <v>46232.0</v>
      </c>
      <c r="T458" s="59">
        <v>46230.0</v>
      </c>
      <c r="U458" s="48"/>
      <c r="V458" s="50" t="s">
        <v>1321</v>
      </c>
      <c r="W458" s="48"/>
      <c r="X458" s="50" t="s">
        <v>12</v>
      </c>
      <c r="Y458" s="50" t="s">
        <v>1322</v>
      </c>
      <c r="Z458" s="50">
        <v>3.04031264E9</v>
      </c>
      <c r="AA458" s="50" t="s">
        <v>14</v>
      </c>
      <c r="AB458" s="50" t="s">
        <v>1470</v>
      </c>
      <c r="AC458" s="50" t="s">
        <v>1881</v>
      </c>
      <c r="AD458" s="19"/>
      <c r="AE458" s="19"/>
      <c r="AF458" s="19"/>
      <c r="AG458" s="19"/>
    </row>
    <row r="459">
      <c r="A459" s="47">
        <f>COUNTIF('Divulgação'!$B:$B,B459)</f>
        <v>1</v>
      </c>
      <c r="B459" s="47" t="s">
        <v>1189</v>
      </c>
      <c r="C459" s="48"/>
      <c r="D459" s="50" t="s">
        <v>1314</v>
      </c>
      <c r="E459" s="50" t="s">
        <v>1315</v>
      </c>
      <c r="F459" s="59">
        <v>46231.0</v>
      </c>
      <c r="G459" s="50" t="s">
        <v>1316</v>
      </c>
      <c r="H459" s="59">
        <v>46231.0</v>
      </c>
      <c r="I459" s="47" t="s">
        <v>143</v>
      </c>
      <c r="J459" s="50">
        <v>7213.0</v>
      </c>
      <c r="K459" s="50" t="s">
        <v>1625</v>
      </c>
      <c r="L459" s="47" t="s">
        <v>1883</v>
      </c>
      <c r="M459" s="48"/>
      <c r="N459" s="48"/>
      <c r="O459" s="48"/>
      <c r="P459" s="48"/>
      <c r="Q459" s="50">
        <v>1.0</v>
      </c>
      <c r="R459" s="59">
        <v>46231.0</v>
      </c>
      <c r="S459" s="59">
        <v>46237.0</v>
      </c>
      <c r="T459" s="59">
        <v>46231.0</v>
      </c>
      <c r="U459" s="48"/>
      <c r="V459" s="50" t="s">
        <v>1321</v>
      </c>
      <c r="W459" s="48"/>
      <c r="X459" s="50" t="s">
        <v>12</v>
      </c>
      <c r="Y459" s="50" t="s">
        <v>1322</v>
      </c>
      <c r="Z459" s="50">
        <v>3.040329193E9</v>
      </c>
      <c r="AA459" s="50" t="s">
        <v>21</v>
      </c>
      <c r="AB459" s="50" t="s">
        <v>1359</v>
      </c>
      <c r="AC459" s="50" t="s">
        <v>1795</v>
      </c>
      <c r="AD459" s="19"/>
      <c r="AE459" s="19"/>
      <c r="AF459" s="19"/>
      <c r="AG459" s="19"/>
    </row>
    <row r="460">
      <c r="A460" s="47">
        <f>COUNTIF('Divulgação'!$B:$B,B460)</f>
        <v>1</v>
      </c>
      <c r="B460" s="47" t="s">
        <v>1190</v>
      </c>
      <c r="C460" s="48"/>
      <c r="D460" s="50" t="s">
        <v>1314</v>
      </c>
      <c r="E460" s="50" t="s">
        <v>1315</v>
      </c>
      <c r="F460" s="59">
        <v>46233.0</v>
      </c>
      <c r="G460" s="50" t="s">
        <v>1316</v>
      </c>
      <c r="H460" s="59">
        <v>46233.0</v>
      </c>
      <c r="I460" s="47" t="s">
        <v>131</v>
      </c>
      <c r="J460" s="50" t="s">
        <v>48</v>
      </c>
      <c r="K460" s="50" t="s">
        <v>1408</v>
      </c>
      <c r="L460" s="47" t="s">
        <v>1886</v>
      </c>
      <c r="M460" s="48"/>
      <c r="N460" s="48"/>
      <c r="O460" s="48"/>
      <c r="P460" s="48"/>
      <c r="Q460" s="50">
        <v>1.0</v>
      </c>
      <c r="R460" s="59">
        <v>46224.0</v>
      </c>
      <c r="S460" s="59">
        <v>46230.0</v>
      </c>
      <c r="T460" s="59">
        <v>46233.0</v>
      </c>
      <c r="U460" s="48"/>
      <c r="V460" s="50" t="s">
        <v>1321</v>
      </c>
      <c r="W460" s="48"/>
      <c r="X460" s="50" t="s">
        <v>12</v>
      </c>
      <c r="Y460" s="50" t="s">
        <v>1322</v>
      </c>
      <c r="Z460" s="50">
        <v>3.040264307E9</v>
      </c>
      <c r="AA460" s="50" t="s">
        <v>12</v>
      </c>
      <c r="AB460" s="50" t="s">
        <v>1392</v>
      </c>
      <c r="AC460" s="50" t="s">
        <v>1800</v>
      </c>
      <c r="AD460" s="19"/>
      <c r="AE460" s="19"/>
      <c r="AF460" s="19"/>
      <c r="AG460" s="19"/>
    </row>
    <row r="461">
      <c r="A461" s="47">
        <f>COUNTIF('Divulgação'!$B:$B,B461)</f>
        <v>1</v>
      </c>
      <c r="B461" s="47" t="s">
        <v>1191</v>
      </c>
      <c r="C461" s="48"/>
      <c r="D461" s="50" t="s">
        <v>1314</v>
      </c>
      <c r="E461" s="50" t="s">
        <v>1315</v>
      </c>
      <c r="F461" s="59">
        <v>46233.0</v>
      </c>
      <c r="G461" s="50" t="s">
        <v>1316</v>
      </c>
      <c r="H461" s="59">
        <v>46233.0</v>
      </c>
      <c r="I461" s="47" t="s">
        <v>131</v>
      </c>
      <c r="J461" s="50" t="s">
        <v>48</v>
      </c>
      <c r="K461" s="50" t="s">
        <v>1408</v>
      </c>
      <c r="L461" s="47" t="s">
        <v>1887</v>
      </c>
      <c r="M461" s="48"/>
      <c r="N461" s="48"/>
      <c r="O461" s="48"/>
      <c r="P461" s="48"/>
      <c r="Q461" s="50">
        <v>1.0</v>
      </c>
      <c r="R461" s="59">
        <v>46224.0</v>
      </c>
      <c r="S461" s="59">
        <v>46224.0</v>
      </c>
      <c r="T461" s="59">
        <v>46233.0</v>
      </c>
      <c r="U461" s="48"/>
      <c r="V461" s="50" t="s">
        <v>1321</v>
      </c>
      <c r="W461" s="48"/>
      <c r="X461" s="50" t="s">
        <v>12</v>
      </c>
      <c r="Y461" s="50" t="s">
        <v>1322</v>
      </c>
      <c r="Z461" s="50">
        <v>3.040285202E9</v>
      </c>
      <c r="AA461" s="50" t="s">
        <v>19</v>
      </c>
      <c r="AB461" s="50" t="s">
        <v>1402</v>
      </c>
      <c r="AC461" s="50" t="s">
        <v>1888</v>
      </c>
      <c r="AD461" s="19"/>
      <c r="AE461" s="19"/>
      <c r="AF461" s="19"/>
      <c r="AG461" s="19"/>
    </row>
    <row r="462">
      <c r="A462" s="47">
        <f>COUNTIF('Divulgação'!$B:$B,B462)</f>
        <v>1</v>
      </c>
      <c r="B462" s="47" t="s">
        <v>1192</v>
      </c>
      <c r="C462" s="48"/>
      <c r="D462" s="50" t="s">
        <v>1314</v>
      </c>
      <c r="E462" s="50" t="s">
        <v>1315</v>
      </c>
      <c r="F462" s="59">
        <v>46233.0</v>
      </c>
      <c r="G462" s="50" t="s">
        <v>1316</v>
      </c>
      <c r="H462" s="59">
        <v>46233.0</v>
      </c>
      <c r="I462" s="47" t="s">
        <v>131</v>
      </c>
      <c r="J462" s="50" t="s">
        <v>48</v>
      </c>
      <c r="K462" s="50" t="s">
        <v>1408</v>
      </c>
      <c r="L462" s="47" t="s">
        <v>1884</v>
      </c>
      <c r="M462" s="48"/>
      <c r="N462" s="48"/>
      <c r="O462" s="48"/>
      <c r="P462" s="48"/>
      <c r="Q462" s="50">
        <v>1.0</v>
      </c>
      <c r="R462" s="59">
        <v>46224.0</v>
      </c>
      <c r="S462" s="59">
        <v>46230.0</v>
      </c>
      <c r="T462" s="59">
        <v>46233.0</v>
      </c>
      <c r="U462" s="48"/>
      <c r="V462" s="50" t="s">
        <v>1321</v>
      </c>
      <c r="W462" s="48"/>
      <c r="X462" s="50" t="s">
        <v>12</v>
      </c>
      <c r="Y462" s="50" t="s">
        <v>1322</v>
      </c>
      <c r="Z462" s="50">
        <v>3.040312966E9</v>
      </c>
      <c r="AA462" s="50" t="s">
        <v>12</v>
      </c>
      <c r="AB462" s="50" t="s">
        <v>1322</v>
      </c>
      <c r="AC462" s="50" t="s">
        <v>1336</v>
      </c>
      <c r="AD462" s="19"/>
      <c r="AE462" s="19"/>
      <c r="AF462" s="19"/>
      <c r="AG462" s="19"/>
    </row>
    <row r="463">
      <c r="A463" s="47">
        <f>COUNTIF('Divulgação'!$B:$B,B463)</f>
        <v>1</v>
      </c>
      <c r="B463" s="47" t="s">
        <v>1193</v>
      </c>
      <c r="C463" s="48"/>
      <c r="D463" s="50" t="s">
        <v>1314</v>
      </c>
      <c r="E463" s="50" t="s">
        <v>1315</v>
      </c>
      <c r="F463" s="59">
        <v>46233.0</v>
      </c>
      <c r="G463" s="50" t="s">
        <v>1316</v>
      </c>
      <c r="H463" s="59">
        <v>46233.0</v>
      </c>
      <c r="I463" s="47" t="s">
        <v>131</v>
      </c>
      <c r="J463" s="50" t="s">
        <v>48</v>
      </c>
      <c r="K463" s="50" t="s">
        <v>1408</v>
      </c>
      <c r="L463" s="47" t="s">
        <v>1885</v>
      </c>
      <c r="M463" s="48"/>
      <c r="N463" s="48"/>
      <c r="O463" s="48"/>
      <c r="P463" s="48"/>
      <c r="Q463" s="50">
        <v>1.0</v>
      </c>
      <c r="R463" s="59">
        <v>46224.0</v>
      </c>
      <c r="S463" s="59">
        <v>46230.0</v>
      </c>
      <c r="T463" s="59">
        <v>46233.0</v>
      </c>
      <c r="U463" s="48"/>
      <c r="V463" s="50" t="s">
        <v>1321</v>
      </c>
      <c r="W463" s="48"/>
      <c r="X463" s="50" t="s">
        <v>12</v>
      </c>
      <c r="Y463" s="50" t="s">
        <v>1322</v>
      </c>
      <c r="Z463" s="50">
        <v>3.04031794E9</v>
      </c>
      <c r="AA463" s="50" t="s">
        <v>12</v>
      </c>
      <c r="AB463" s="50" t="s">
        <v>1322</v>
      </c>
      <c r="AC463" s="50" t="s">
        <v>1434</v>
      </c>
      <c r="AD463" s="19"/>
      <c r="AE463" s="19"/>
      <c r="AF463" s="19"/>
      <c r="AG463" s="19"/>
    </row>
    <row r="464">
      <c r="A464" s="47">
        <f>COUNTIF('Divulgação'!$B:$B,B464)</f>
        <v>1</v>
      </c>
      <c r="B464" s="47" t="s">
        <v>1194</v>
      </c>
      <c r="C464" s="48"/>
      <c r="D464" s="50" t="s">
        <v>1314</v>
      </c>
      <c r="E464" s="50" t="s">
        <v>1315</v>
      </c>
      <c r="F464" s="59">
        <v>46234.0</v>
      </c>
      <c r="G464" s="50" t="s">
        <v>1316</v>
      </c>
      <c r="H464" s="59">
        <v>46234.0</v>
      </c>
      <c r="I464" s="47" t="s">
        <v>1765</v>
      </c>
      <c r="J464" s="50" t="s">
        <v>232</v>
      </c>
      <c r="K464" s="50" t="s">
        <v>1766</v>
      </c>
      <c r="L464" s="47" t="s">
        <v>1889</v>
      </c>
      <c r="M464" s="48"/>
      <c r="N464" s="48"/>
      <c r="O464" s="48"/>
      <c r="P464" s="48"/>
      <c r="Q464" s="50">
        <v>1.0</v>
      </c>
      <c r="R464" s="59">
        <v>46230.0</v>
      </c>
      <c r="S464" s="59">
        <v>46234.0</v>
      </c>
      <c r="T464" s="59">
        <v>46234.0</v>
      </c>
      <c r="U464" s="48"/>
      <c r="V464" s="50" t="s">
        <v>1321</v>
      </c>
      <c r="W464" s="48"/>
      <c r="X464" s="50" t="s">
        <v>12</v>
      </c>
      <c r="Y464" s="50" t="s">
        <v>1322</v>
      </c>
      <c r="Z464" s="50">
        <v>3.040317296E9</v>
      </c>
      <c r="AA464" s="50" t="s">
        <v>16</v>
      </c>
      <c r="AB464" s="50" t="s">
        <v>1331</v>
      </c>
      <c r="AC464" s="50" t="s">
        <v>1486</v>
      </c>
      <c r="AD464" s="19"/>
      <c r="AE464" s="19"/>
      <c r="AF464" s="19"/>
      <c r="AG464" s="19"/>
    </row>
    <row r="465">
      <c r="A465" s="47">
        <f>COUNTIF('Divulgação'!$B:$B,B465)</f>
        <v>1</v>
      </c>
      <c r="B465" s="47" t="s">
        <v>1195</v>
      </c>
      <c r="C465" s="48"/>
      <c r="D465" s="50" t="s">
        <v>1314</v>
      </c>
      <c r="E465" s="50" t="s">
        <v>2007</v>
      </c>
      <c r="F465" s="59">
        <v>46230.0</v>
      </c>
      <c r="G465" s="50" t="s">
        <v>1316</v>
      </c>
      <c r="H465" s="48"/>
      <c r="I465" s="47" t="s">
        <v>127</v>
      </c>
      <c r="J465" s="50" t="s">
        <v>232</v>
      </c>
      <c r="K465" s="50" t="s">
        <v>128</v>
      </c>
      <c r="L465" s="47" t="s">
        <v>1929</v>
      </c>
      <c r="M465" s="48"/>
      <c r="N465" s="48"/>
      <c r="O465" s="48"/>
      <c r="P465" s="48"/>
      <c r="Q465" s="50">
        <v>1.0</v>
      </c>
      <c r="R465" s="59">
        <v>46230.0</v>
      </c>
      <c r="S465" s="59">
        <v>46234.0</v>
      </c>
      <c r="T465" s="48"/>
      <c r="U465" s="48"/>
      <c r="V465" s="50" t="s">
        <v>1321</v>
      </c>
      <c r="W465" s="48"/>
      <c r="X465" s="50" t="s">
        <v>12</v>
      </c>
      <c r="Y465" s="50" t="s">
        <v>1322</v>
      </c>
      <c r="Z465" s="50">
        <v>3.04031289E9</v>
      </c>
      <c r="AA465" s="50" t="s">
        <v>12</v>
      </c>
      <c r="AB465" s="50" t="s">
        <v>1322</v>
      </c>
      <c r="AC465" s="50" t="s">
        <v>1434</v>
      </c>
      <c r="AD465" s="19"/>
      <c r="AE465" s="19"/>
      <c r="AF465" s="19"/>
      <c r="AG465" s="19"/>
    </row>
    <row r="466">
      <c r="A466" s="47">
        <f>COUNTIF('Divulgação'!$B:$B,B466)</f>
        <v>1</v>
      </c>
      <c r="B466" s="47" t="s">
        <v>1196</v>
      </c>
      <c r="C466" s="48"/>
      <c r="D466" s="50" t="s">
        <v>1314</v>
      </c>
      <c r="E466" s="50" t="s">
        <v>2007</v>
      </c>
      <c r="F466" s="59">
        <v>46230.0</v>
      </c>
      <c r="G466" s="50" t="s">
        <v>1316</v>
      </c>
      <c r="H466" s="48"/>
      <c r="I466" s="47" t="s">
        <v>127</v>
      </c>
      <c r="J466" s="50" t="s">
        <v>232</v>
      </c>
      <c r="K466" s="50" t="s">
        <v>128</v>
      </c>
      <c r="L466" s="47" t="s">
        <v>1925</v>
      </c>
      <c r="M466" s="48"/>
      <c r="N466" s="48"/>
      <c r="O466" s="48"/>
      <c r="P466" s="48"/>
      <c r="Q466" s="50">
        <v>1.0</v>
      </c>
      <c r="R466" s="59">
        <v>46230.0</v>
      </c>
      <c r="S466" s="59">
        <v>46234.0</v>
      </c>
      <c r="T466" s="48"/>
      <c r="U466" s="48"/>
      <c r="V466" s="50" t="s">
        <v>1321</v>
      </c>
      <c r="W466" s="48"/>
      <c r="X466" s="50" t="s">
        <v>12</v>
      </c>
      <c r="Y466" s="50" t="s">
        <v>1322</v>
      </c>
      <c r="Z466" s="50">
        <v>3.040312961E9</v>
      </c>
      <c r="AA466" s="50" t="s">
        <v>12</v>
      </c>
      <c r="AB466" s="50" t="s">
        <v>1322</v>
      </c>
      <c r="AC466" s="50" t="s">
        <v>1434</v>
      </c>
      <c r="AD466" s="19"/>
      <c r="AE466" s="19"/>
      <c r="AF466" s="19"/>
      <c r="AG466" s="19"/>
    </row>
    <row r="467">
      <c r="A467" s="47">
        <f>COUNTIF('Divulgação'!$B:$B,B467)</f>
        <v>1</v>
      </c>
      <c r="B467" s="47" t="s">
        <v>1197</v>
      </c>
      <c r="C467" s="48"/>
      <c r="D467" s="50" t="s">
        <v>1314</v>
      </c>
      <c r="E467" s="50" t="s">
        <v>2007</v>
      </c>
      <c r="F467" s="59">
        <v>46230.0</v>
      </c>
      <c r="G467" s="50" t="s">
        <v>1316</v>
      </c>
      <c r="H467" s="48"/>
      <c r="I467" s="47" t="s">
        <v>1896</v>
      </c>
      <c r="J467" s="50" t="s">
        <v>48</v>
      </c>
      <c r="K467" s="50" t="s">
        <v>1897</v>
      </c>
      <c r="L467" s="47" t="s">
        <v>1899</v>
      </c>
      <c r="M467" s="48"/>
      <c r="N467" s="48"/>
      <c r="O467" s="48"/>
      <c r="P467" s="48"/>
      <c r="Q467" s="50">
        <v>1.0</v>
      </c>
      <c r="R467" s="59">
        <v>46230.0</v>
      </c>
      <c r="S467" s="59">
        <v>46234.0</v>
      </c>
      <c r="T467" s="48"/>
      <c r="U467" s="48"/>
      <c r="V467" s="50" t="s">
        <v>1321</v>
      </c>
      <c r="W467" s="48"/>
      <c r="X467" s="50" t="s">
        <v>12</v>
      </c>
      <c r="Y467" s="50" t="s">
        <v>1322</v>
      </c>
      <c r="Z467" s="50">
        <v>3.040295136E9</v>
      </c>
      <c r="AA467" s="50" t="s">
        <v>19</v>
      </c>
      <c r="AB467" s="50" t="s">
        <v>1827</v>
      </c>
      <c r="AC467" s="50" t="s">
        <v>2019</v>
      </c>
      <c r="AD467" s="19"/>
      <c r="AE467" s="19"/>
      <c r="AF467" s="19"/>
      <c r="AG467" s="19"/>
    </row>
    <row r="468">
      <c r="A468" s="47">
        <f>COUNTIF('Divulgação'!$B:$B,B468)</f>
        <v>1</v>
      </c>
      <c r="B468" s="47" t="s">
        <v>1198</v>
      </c>
      <c r="C468" s="48"/>
      <c r="D468" s="50" t="s">
        <v>1314</v>
      </c>
      <c r="E468" s="50" t="s">
        <v>2007</v>
      </c>
      <c r="F468" s="59">
        <v>46230.0</v>
      </c>
      <c r="G468" s="50" t="s">
        <v>1316</v>
      </c>
      <c r="H468" s="48"/>
      <c r="I468" s="47" t="s">
        <v>1896</v>
      </c>
      <c r="J468" s="50" t="s">
        <v>48</v>
      </c>
      <c r="K468" s="50" t="s">
        <v>1897</v>
      </c>
      <c r="L468" s="47" t="s">
        <v>1900</v>
      </c>
      <c r="M468" s="48"/>
      <c r="N468" s="48"/>
      <c r="O468" s="48"/>
      <c r="P468" s="48"/>
      <c r="Q468" s="50">
        <v>1.0</v>
      </c>
      <c r="R468" s="59">
        <v>46230.0</v>
      </c>
      <c r="S468" s="59">
        <v>46234.0</v>
      </c>
      <c r="T468" s="48"/>
      <c r="U468" s="48"/>
      <c r="V468" s="50" t="s">
        <v>1321</v>
      </c>
      <c r="W468" s="48"/>
      <c r="X468" s="50" t="s">
        <v>12</v>
      </c>
      <c r="Y468" s="50" t="s">
        <v>1322</v>
      </c>
      <c r="Z468" s="50">
        <v>3.040297179E9</v>
      </c>
      <c r="AA468" s="50" t="s">
        <v>22</v>
      </c>
      <c r="AB468" s="50" t="s">
        <v>1649</v>
      </c>
      <c r="AC468" s="50" t="s">
        <v>1901</v>
      </c>
      <c r="AD468" s="19"/>
      <c r="AE468" s="19"/>
      <c r="AF468" s="19"/>
      <c r="AG468" s="19"/>
    </row>
    <row r="469">
      <c r="A469" s="47">
        <f>COUNTIF('Divulgação'!$B:$B,B469)</f>
        <v>1</v>
      </c>
      <c r="B469" s="47" t="s">
        <v>1199</v>
      </c>
      <c r="C469" s="48"/>
      <c r="D469" s="50" t="s">
        <v>1314</v>
      </c>
      <c r="E469" s="50" t="s">
        <v>2007</v>
      </c>
      <c r="F469" s="59">
        <v>46230.0</v>
      </c>
      <c r="G469" s="50" t="s">
        <v>1316</v>
      </c>
      <c r="H469" s="48"/>
      <c r="I469" s="47" t="s">
        <v>1896</v>
      </c>
      <c r="J469" s="50" t="s">
        <v>48</v>
      </c>
      <c r="K469" s="50" t="s">
        <v>1897</v>
      </c>
      <c r="L469" s="47" t="s">
        <v>1902</v>
      </c>
      <c r="M469" s="48"/>
      <c r="N469" s="48"/>
      <c r="O469" s="48"/>
      <c r="P469" s="48"/>
      <c r="Q469" s="50">
        <v>1.0</v>
      </c>
      <c r="R469" s="59">
        <v>46230.0</v>
      </c>
      <c r="S469" s="59">
        <v>46234.0</v>
      </c>
      <c r="T469" s="48"/>
      <c r="U469" s="48"/>
      <c r="V469" s="50" t="s">
        <v>1321</v>
      </c>
      <c r="W469" s="48"/>
      <c r="X469" s="50" t="s">
        <v>12</v>
      </c>
      <c r="Y469" s="50" t="s">
        <v>1322</v>
      </c>
      <c r="Z469" s="50">
        <v>3.040299234E9</v>
      </c>
      <c r="AA469" s="50" t="s">
        <v>19</v>
      </c>
      <c r="AB469" s="50" t="s">
        <v>1827</v>
      </c>
      <c r="AC469" s="50" t="s">
        <v>1903</v>
      </c>
      <c r="AD469" s="19"/>
      <c r="AE469" s="19"/>
      <c r="AF469" s="19"/>
      <c r="AG469" s="19"/>
    </row>
    <row r="470">
      <c r="A470" s="47">
        <f>COUNTIF('Divulgação'!$B:$B,B470)</f>
        <v>1</v>
      </c>
      <c r="B470" s="47" t="s">
        <v>1200</v>
      </c>
      <c r="C470" s="48"/>
      <c r="D470" s="50" t="s">
        <v>1314</v>
      </c>
      <c r="E470" s="50" t="s">
        <v>2007</v>
      </c>
      <c r="F470" s="59">
        <v>46230.0</v>
      </c>
      <c r="G470" s="50" t="s">
        <v>1316</v>
      </c>
      <c r="H470" s="48"/>
      <c r="I470" s="47" t="s">
        <v>1896</v>
      </c>
      <c r="J470" s="50" t="s">
        <v>48</v>
      </c>
      <c r="K470" s="50" t="s">
        <v>1897</v>
      </c>
      <c r="L470" s="47" t="s">
        <v>1898</v>
      </c>
      <c r="M470" s="48"/>
      <c r="N470" s="48"/>
      <c r="O470" s="48"/>
      <c r="P470" s="48"/>
      <c r="Q470" s="50">
        <v>1.0</v>
      </c>
      <c r="R470" s="59">
        <v>46230.0</v>
      </c>
      <c r="S470" s="59">
        <v>46234.0</v>
      </c>
      <c r="T470" s="48"/>
      <c r="U470" s="48"/>
      <c r="V470" s="50" t="s">
        <v>1321</v>
      </c>
      <c r="W470" s="48"/>
      <c r="X470" s="50" t="s">
        <v>12</v>
      </c>
      <c r="Y470" s="50" t="s">
        <v>1322</v>
      </c>
      <c r="Z470" s="50">
        <v>3.040306368E9</v>
      </c>
      <c r="AA470" s="50" t="s">
        <v>19</v>
      </c>
      <c r="AB470" s="50" t="s">
        <v>1827</v>
      </c>
      <c r="AC470" s="50" t="s">
        <v>2019</v>
      </c>
      <c r="AD470" s="19"/>
      <c r="AE470" s="19"/>
      <c r="AF470" s="19"/>
      <c r="AG470" s="19"/>
    </row>
    <row r="471">
      <c r="A471" s="47">
        <f>COUNTIF('Divulgação'!$B:$B,B471)</f>
        <v>1</v>
      </c>
      <c r="B471" s="47" t="s">
        <v>1201</v>
      </c>
      <c r="C471" s="48"/>
      <c r="D471" s="50" t="s">
        <v>1314</v>
      </c>
      <c r="E471" s="50" t="s">
        <v>2007</v>
      </c>
      <c r="F471" s="59">
        <v>46230.0</v>
      </c>
      <c r="G471" s="50" t="s">
        <v>1316</v>
      </c>
      <c r="H471" s="48"/>
      <c r="I471" s="47" t="s">
        <v>1612</v>
      </c>
      <c r="J471" s="50" t="s">
        <v>48</v>
      </c>
      <c r="K471" s="50" t="s">
        <v>1613</v>
      </c>
      <c r="L471" s="47" t="s">
        <v>2435</v>
      </c>
      <c r="M471" s="48"/>
      <c r="N471" s="48"/>
      <c r="O471" s="48"/>
      <c r="P471" s="48"/>
      <c r="Q471" s="50">
        <v>1.0</v>
      </c>
      <c r="R471" s="59">
        <v>46230.0</v>
      </c>
      <c r="S471" s="59">
        <v>46234.0</v>
      </c>
      <c r="T471" s="48"/>
      <c r="U471" s="48"/>
      <c r="V471" s="50" t="s">
        <v>1321</v>
      </c>
      <c r="W471" s="48"/>
      <c r="X471" s="50" t="s">
        <v>12</v>
      </c>
      <c r="Y471" s="50" t="s">
        <v>1322</v>
      </c>
      <c r="Z471" s="50">
        <v>3.040313649E9</v>
      </c>
      <c r="AA471" s="50" t="s">
        <v>12</v>
      </c>
      <c r="AB471" s="50" t="s">
        <v>1385</v>
      </c>
      <c r="AC471" s="50" t="s">
        <v>2292</v>
      </c>
      <c r="AD471" s="19"/>
      <c r="AE471" s="19"/>
      <c r="AF471" s="19"/>
      <c r="AG471" s="19"/>
    </row>
    <row r="472">
      <c r="A472" s="47">
        <f>COUNTIF('Divulgação'!$B:$B,B472)</f>
        <v>1</v>
      </c>
      <c r="B472" s="47" t="s">
        <v>1202</v>
      </c>
      <c r="C472" s="48"/>
      <c r="D472" s="50" t="s">
        <v>1314</v>
      </c>
      <c r="E472" s="50" t="s">
        <v>2007</v>
      </c>
      <c r="F472" s="59">
        <v>46230.0</v>
      </c>
      <c r="G472" s="50" t="s">
        <v>1316</v>
      </c>
      <c r="H472" s="48"/>
      <c r="I472" s="47" t="s">
        <v>1612</v>
      </c>
      <c r="J472" s="50" t="s">
        <v>48</v>
      </c>
      <c r="K472" s="50" t="s">
        <v>1613</v>
      </c>
      <c r="L472" s="47" t="s">
        <v>1904</v>
      </c>
      <c r="M472" s="48"/>
      <c r="N472" s="48"/>
      <c r="O472" s="48"/>
      <c r="P472" s="48"/>
      <c r="Q472" s="50">
        <v>1.0</v>
      </c>
      <c r="R472" s="59">
        <v>46230.0</v>
      </c>
      <c r="S472" s="59">
        <v>46234.0</v>
      </c>
      <c r="T472" s="48"/>
      <c r="U472" s="48"/>
      <c r="V472" s="50" t="s">
        <v>1321</v>
      </c>
      <c r="W472" s="48"/>
      <c r="X472" s="50" t="s">
        <v>12</v>
      </c>
      <c r="Y472" s="50" t="s">
        <v>1322</v>
      </c>
      <c r="Z472" s="50">
        <v>3.04032405E9</v>
      </c>
      <c r="AA472" s="50" t="s">
        <v>16</v>
      </c>
      <c r="AB472" s="50" t="s">
        <v>1331</v>
      </c>
      <c r="AC472" s="50" t="s">
        <v>1452</v>
      </c>
      <c r="AD472" s="19"/>
      <c r="AE472" s="19"/>
      <c r="AF472" s="19"/>
      <c r="AG472" s="19"/>
    </row>
    <row r="473">
      <c r="A473" s="47">
        <f>COUNTIF('Divulgação'!$B:$B,B473)</f>
        <v>1</v>
      </c>
      <c r="B473" s="47" t="s">
        <v>1203</v>
      </c>
      <c r="C473" s="48"/>
      <c r="D473" s="50" t="s">
        <v>1314</v>
      </c>
      <c r="E473" s="50" t="s">
        <v>2007</v>
      </c>
      <c r="F473" s="59">
        <v>46230.0</v>
      </c>
      <c r="G473" s="50" t="s">
        <v>1316</v>
      </c>
      <c r="H473" s="48"/>
      <c r="I473" s="47" t="s">
        <v>1878</v>
      </c>
      <c r="J473" s="50" t="s">
        <v>48</v>
      </c>
      <c r="K473" s="50" t="s">
        <v>1610</v>
      </c>
      <c r="L473" s="47" t="s">
        <v>336</v>
      </c>
      <c r="M473" s="48"/>
      <c r="N473" s="48"/>
      <c r="O473" s="48"/>
      <c r="P473" s="48"/>
      <c r="Q473" s="50">
        <v>1.0</v>
      </c>
      <c r="R473" s="59">
        <v>46230.0</v>
      </c>
      <c r="S473" s="59">
        <v>46234.0</v>
      </c>
      <c r="T473" s="48"/>
      <c r="U473" s="48"/>
      <c r="V473" s="50" t="s">
        <v>1321</v>
      </c>
      <c r="W473" s="48"/>
      <c r="X473" s="50" t="s">
        <v>12</v>
      </c>
      <c r="Y473" s="50" t="s">
        <v>1322</v>
      </c>
      <c r="Z473" s="50">
        <v>3.04031309E9</v>
      </c>
      <c r="AA473" s="50" t="s">
        <v>12</v>
      </c>
      <c r="AB473" s="50" t="s">
        <v>1322</v>
      </c>
      <c r="AC473" s="50" t="s">
        <v>1434</v>
      </c>
      <c r="AD473" s="19"/>
      <c r="AE473" s="19"/>
      <c r="AF473" s="19"/>
      <c r="AG473" s="19"/>
    </row>
    <row r="474">
      <c r="A474" s="47">
        <f>COUNTIF('Divulgação'!$B:$B,B474)</f>
        <v>1</v>
      </c>
      <c r="B474" s="47" t="s">
        <v>1204</v>
      </c>
      <c r="C474" s="48"/>
      <c r="D474" s="50" t="s">
        <v>1314</v>
      </c>
      <c r="E474" s="50" t="s">
        <v>2007</v>
      </c>
      <c r="F474" s="59">
        <v>46230.0</v>
      </c>
      <c r="G474" s="50" t="s">
        <v>1316</v>
      </c>
      <c r="H474" s="48"/>
      <c r="I474" s="47" t="s">
        <v>1878</v>
      </c>
      <c r="J474" s="50" t="s">
        <v>48</v>
      </c>
      <c r="K474" s="50" t="s">
        <v>1610</v>
      </c>
      <c r="L474" s="47" t="s">
        <v>1895</v>
      </c>
      <c r="M474" s="48"/>
      <c r="N474" s="48"/>
      <c r="O474" s="48"/>
      <c r="P474" s="48"/>
      <c r="Q474" s="50">
        <v>1.0</v>
      </c>
      <c r="R474" s="59">
        <v>46230.0</v>
      </c>
      <c r="S474" s="59">
        <v>46234.0</v>
      </c>
      <c r="T474" s="48"/>
      <c r="U474" s="48"/>
      <c r="V474" s="50" t="s">
        <v>1321</v>
      </c>
      <c r="W474" s="48"/>
      <c r="X474" s="50" t="s">
        <v>12</v>
      </c>
      <c r="Y474" s="50" t="s">
        <v>1322</v>
      </c>
      <c r="Z474" s="50">
        <v>3.040232792E9</v>
      </c>
      <c r="AA474" s="50" t="s">
        <v>1463</v>
      </c>
      <c r="AB474" s="50" t="s">
        <v>1464</v>
      </c>
      <c r="AC474" s="50" t="s">
        <v>1645</v>
      </c>
      <c r="AD474" s="19"/>
      <c r="AE474" s="19"/>
      <c r="AF474" s="19"/>
      <c r="AG474" s="19"/>
    </row>
    <row r="475">
      <c r="A475" s="47">
        <f>COUNTIF('Divulgação'!$B:$B,B475)</f>
        <v>1</v>
      </c>
      <c r="B475" s="47" t="s">
        <v>1205</v>
      </c>
      <c r="C475" s="48"/>
      <c r="D475" s="50" t="s">
        <v>1314</v>
      </c>
      <c r="E475" s="50" t="s">
        <v>2007</v>
      </c>
      <c r="F475" s="59">
        <v>46231.0</v>
      </c>
      <c r="G475" s="50" t="s">
        <v>1316</v>
      </c>
      <c r="H475" s="48"/>
      <c r="I475" s="47" t="s">
        <v>123</v>
      </c>
      <c r="J475" s="50">
        <v>22373.0</v>
      </c>
      <c r="K475" s="50" t="s">
        <v>1506</v>
      </c>
      <c r="L475" s="47" t="s">
        <v>1940</v>
      </c>
      <c r="M475" s="48"/>
      <c r="N475" s="48"/>
      <c r="O475" s="48"/>
      <c r="P475" s="48"/>
      <c r="Q475" s="50">
        <v>1.0</v>
      </c>
      <c r="R475" s="59">
        <v>46231.0</v>
      </c>
      <c r="S475" s="59">
        <v>46237.0</v>
      </c>
      <c r="T475" s="48"/>
      <c r="U475" s="48"/>
      <c r="V475" s="50" t="s">
        <v>1321</v>
      </c>
      <c r="W475" s="48"/>
      <c r="X475" s="50" t="s">
        <v>12</v>
      </c>
      <c r="Y475" s="50" t="s">
        <v>1322</v>
      </c>
      <c r="Z475" s="50">
        <v>3.040316667E9</v>
      </c>
      <c r="AA475" s="50" t="s">
        <v>12</v>
      </c>
      <c r="AB475" s="50" t="s">
        <v>1322</v>
      </c>
      <c r="AC475" s="50" t="s">
        <v>1434</v>
      </c>
      <c r="AD475" s="19"/>
      <c r="AE475" s="19"/>
      <c r="AF475" s="19"/>
      <c r="AG475" s="19"/>
    </row>
    <row r="476">
      <c r="A476" s="47">
        <f>COUNTIF('Divulgação'!$B:$B,B476)</f>
        <v>1</v>
      </c>
      <c r="B476" s="47" t="s">
        <v>1206</v>
      </c>
      <c r="C476" s="48"/>
      <c r="D476" s="50" t="s">
        <v>1314</v>
      </c>
      <c r="E476" s="50" t="s">
        <v>2007</v>
      </c>
      <c r="F476" s="59">
        <v>46231.0</v>
      </c>
      <c r="G476" s="50" t="s">
        <v>1316</v>
      </c>
      <c r="H476" s="48"/>
      <c r="I476" s="47" t="s">
        <v>123</v>
      </c>
      <c r="J476" s="50">
        <v>22373.0</v>
      </c>
      <c r="K476" s="50" t="s">
        <v>1506</v>
      </c>
      <c r="L476" s="47" t="s">
        <v>1939</v>
      </c>
      <c r="M476" s="48"/>
      <c r="N476" s="48"/>
      <c r="O476" s="48"/>
      <c r="P476" s="48"/>
      <c r="Q476" s="50">
        <v>1.0</v>
      </c>
      <c r="R476" s="59">
        <v>46231.0</v>
      </c>
      <c r="S476" s="59">
        <v>46237.0</v>
      </c>
      <c r="T476" s="48"/>
      <c r="U476" s="48"/>
      <c r="V476" s="50" t="s">
        <v>1321</v>
      </c>
      <c r="W476" s="48"/>
      <c r="X476" s="50" t="s">
        <v>12</v>
      </c>
      <c r="Y476" s="50" t="s">
        <v>1322</v>
      </c>
      <c r="Z476" s="50">
        <v>3.040326958E9</v>
      </c>
      <c r="AA476" s="50" t="s">
        <v>21</v>
      </c>
      <c r="AB476" s="50" t="s">
        <v>1359</v>
      </c>
      <c r="AC476" s="50" t="s">
        <v>1795</v>
      </c>
      <c r="AD476" s="19"/>
      <c r="AE476" s="19"/>
      <c r="AF476" s="19"/>
      <c r="AG476" s="19"/>
    </row>
    <row r="477">
      <c r="A477" s="47">
        <f>COUNTIF('Divulgação'!$B:$B,B477)</f>
        <v>1</v>
      </c>
      <c r="B477" s="47" t="s">
        <v>1207</v>
      </c>
      <c r="C477" s="48"/>
      <c r="D477" s="50" t="s">
        <v>1314</v>
      </c>
      <c r="E477" s="50" t="s">
        <v>2007</v>
      </c>
      <c r="F477" s="59">
        <v>46231.0</v>
      </c>
      <c r="G477" s="50" t="s">
        <v>1316</v>
      </c>
      <c r="H477" s="48"/>
      <c r="I477" s="47" t="s">
        <v>207</v>
      </c>
      <c r="J477" s="50" t="s">
        <v>48</v>
      </c>
      <c r="K477" s="50" t="s">
        <v>208</v>
      </c>
      <c r="L477" s="47" t="s">
        <v>600</v>
      </c>
      <c r="M477" s="48"/>
      <c r="N477" s="48"/>
      <c r="O477" s="48"/>
      <c r="P477" s="48"/>
      <c r="Q477" s="50">
        <v>1.0</v>
      </c>
      <c r="R477" s="59">
        <v>46231.0</v>
      </c>
      <c r="S477" s="59">
        <v>46237.0</v>
      </c>
      <c r="T477" s="48"/>
      <c r="U477" s="48"/>
      <c r="V477" s="50" t="s">
        <v>1321</v>
      </c>
      <c r="W477" s="48"/>
      <c r="X477" s="50" t="s">
        <v>12</v>
      </c>
      <c r="Y477" s="50" t="s">
        <v>1322</v>
      </c>
      <c r="Z477" s="50">
        <v>3.040325527E9</v>
      </c>
      <c r="AA477" s="50" t="s">
        <v>16</v>
      </c>
      <c r="AB477" s="50" t="s">
        <v>1551</v>
      </c>
      <c r="AC477" s="50" t="s">
        <v>1552</v>
      </c>
      <c r="AD477" s="19"/>
      <c r="AE477" s="19"/>
      <c r="AF477" s="19"/>
      <c r="AG477" s="19"/>
    </row>
    <row r="478">
      <c r="A478" s="47">
        <f>COUNTIF('Divulgação'!$B:$B,B478)</f>
        <v>1</v>
      </c>
      <c r="B478" s="47" t="s">
        <v>1208</v>
      </c>
      <c r="C478" s="48"/>
      <c r="D478" s="50" t="s">
        <v>1314</v>
      </c>
      <c r="E478" s="50" t="s">
        <v>2007</v>
      </c>
      <c r="F478" s="59">
        <v>46231.0</v>
      </c>
      <c r="G478" s="50" t="s">
        <v>1316</v>
      </c>
      <c r="H478" s="48"/>
      <c r="I478" s="47" t="s">
        <v>1590</v>
      </c>
      <c r="J478" s="50">
        <v>22373.0</v>
      </c>
      <c r="K478" s="50" t="s">
        <v>1591</v>
      </c>
      <c r="L478" s="47" t="s">
        <v>1930</v>
      </c>
      <c r="M478" s="48"/>
      <c r="N478" s="48"/>
      <c r="O478" s="48"/>
      <c r="P478" s="48"/>
      <c r="Q478" s="50">
        <v>1.0</v>
      </c>
      <c r="R478" s="59">
        <v>46231.0</v>
      </c>
      <c r="S478" s="59">
        <v>46237.0</v>
      </c>
      <c r="T478" s="48"/>
      <c r="U478" s="48"/>
      <c r="V478" s="50" t="s">
        <v>1321</v>
      </c>
      <c r="W478" s="48"/>
      <c r="X478" s="50" t="s">
        <v>12</v>
      </c>
      <c r="Y478" s="50" t="s">
        <v>1322</v>
      </c>
      <c r="Z478" s="50">
        <v>3.040323038E9</v>
      </c>
      <c r="AA478" s="50" t="s">
        <v>14</v>
      </c>
      <c r="AB478" s="50" t="s">
        <v>1470</v>
      </c>
      <c r="AC478" s="50" t="s">
        <v>1471</v>
      </c>
      <c r="AD478" s="19"/>
      <c r="AE478" s="19"/>
      <c r="AF478" s="19"/>
      <c r="AG478" s="19"/>
    </row>
    <row r="479">
      <c r="A479" s="47">
        <f>COUNTIF('Divulgação'!$B:$B,B479)</f>
        <v>1</v>
      </c>
      <c r="B479" s="47" t="s">
        <v>1209</v>
      </c>
      <c r="C479" s="48"/>
      <c r="D479" s="50" t="s">
        <v>1314</v>
      </c>
      <c r="E479" s="50" t="s">
        <v>2007</v>
      </c>
      <c r="F479" s="59">
        <v>46231.0</v>
      </c>
      <c r="G479" s="50" t="s">
        <v>1316</v>
      </c>
      <c r="H479" s="48"/>
      <c r="I479" s="47" t="s">
        <v>1590</v>
      </c>
      <c r="J479" s="50">
        <v>22373.0</v>
      </c>
      <c r="K479" s="50" t="s">
        <v>1591</v>
      </c>
      <c r="L479" s="47" t="s">
        <v>1924</v>
      </c>
      <c r="M479" s="48"/>
      <c r="N479" s="48"/>
      <c r="O479" s="48"/>
      <c r="P479" s="48"/>
      <c r="Q479" s="50">
        <v>1.0</v>
      </c>
      <c r="R479" s="59">
        <v>46231.0</v>
      </c>
      <c r="S479" s="59">
        <v>46237.0</v>
      </c>
      <c r="T479" s="48"/>
      <c r="U479" s="48"/>
      <c r="V479" s="50" t="s">
        <v>1321</v>
      </c>
      <c r="W479" s="48"/>
      <c r="X479" s="50" t="s">
        <v>12</v>
      </c>
      <c r="Y479" s="50" t="s">
        <v>1322</v>
      </c>
      <c r="Z479" s="50">
        <v>3.040324061E9</v>
      </c>
      <c r="AA479" s="50" t="s">
        <v>17</v>
      </c>
      <c r="AB479" s="50" t="s">
        <v>1458</v>
      </c>
      <c r="AC479" s="50" t="s">
        <v>1689</v>
      </c>
      <c r="AD479" s="19"/>
      <c r="AE479" s="19"/>
      <c r="AF479" s="19"/>
      <c r="AG479" s="19"/>
    </row>
    <row r="480">
      <c r="A480" s="47">
        <f>COUNTIF('Divulgação'!$B:$B,B480)</f>
        <v>1</v>
      </c>
      <c r="B480" s="47" t="s">
        <v>1210</v>
      </c>
      <c r="C480" s="48"/>
      <c r="D480" s="50" t="s">
        <v>1314</v>
      </c>
      <c r="E480" s="50" t="s">
        <v>2007</v>
      </c>
      <c r="F480" s="59">
        <v>46231.0</v>
      </c>
      <c r="G480" s="50" t="s">
        <v>1316</v>
      </c>
      <c r="H480" s="48"/>
      <c r="I480" s="47" t="s">
        <v>1590</v>
      </c>
      <c r="J480" s="50">
        <v>22373.0</v>
      </c>
      <c r="K480" s="50" t="s">
        <v>1591</v>
      </c>
      <c r="L480" s="47" t="s">
        <v>1928</v>
      </c>
      <c r="M480" s="48"/>
      <c r="N480" s="48"/>
      <c r="O480" s="48"/>
      <c r="P480" s="48"/>
      <c r="Q480" s="50">
        <v>1.0</v>
      </c>
      <c r="R480" s="59">
        <v>46231.0</v>
      </c>
      <c r="S480" s="59">
        <v>46237.0</v>
      </c>
      <c r="T480" s="48"/>
      <c r="U480" s="48"/>
      <c r="V480" s="50" t="s">
        <v>1321</v>
      </c>
      <c r="W480" s="48"/>
      <c r="X480" s="50" t="s">
        <v>12</v>
      </c>
      <c r="Y480" s="50" t="s">
        <v>1322</v>
      </c>
      <c r="Z480" s="50">
        <v>3.040325526E9</v>
      </c>
      <c r="AA480" s="50" t="s">
        <v>24</v>
      </c>
      <c r="AB480" s="50" t="s">
        <v>1359</v>
      </c>
      <c r="AC480" s="50" t="s">
        <v>1360</v>
      </c>
      <c r="AD480" s="19"/>
      <c r="AE480" s="19"/>
      <c r="AF480" s="19"/>
      <c r="AG480" s="19"/>
    </row>
    <row r="481">
      <c r="A481" s="47">
        <f>COUNTIF('Divulgação'!$B:$B,B481)</f>
        <v>1</v>
      </c>
      <c r="B481" s="47" t="s">
        <v>1211</v>
      </c>
      <c r="C481" s="48"/>
      <c r="D481" s="50" t="s">
        <v>1314</v>
      </c>
      <c r="E481" s="50" t="s">
        <v>2007</v>
      </c>
      <c r="F481" s="59">
        <v>46231.0</v>
      </c>
      <c r="G481" s="50" t="s">
        <v>1316</v>
      </c>
      <c r="H481" s="48"/>
      <c r="I481" s="47" t="s">
        <v>1590</v>
      </c>
      <c r="J481" s="50">
        <v>22373.0</v>
      </c>
      <c r="K481" s="50" t="s">
        <v>1591</v>
      </c>
      <c r="L481" s="47" t="s">
        <v>1926</v>
      </c>
      <c r="M481" s="48"/>
      <c r="N481" s="48"/>
      <c r="O481" s="48"/>
      <c r="P481" s="48"/>
      <c r="Q481" s="50">
        <v>1.0</v>
      </c>
      <c r="R481" s="59">
        <v>46231.0</v>
      </c>
      <c r="S481" s="59">
        <v>46237.0</v>
      </c>
      <c r="T481" s="48"/>
      <c r="U481" s="48"/>
      <c r="V481" s="50" t="s">
        <v>1321</v>
      </c>
      <c r="W481" s="48"/>
      <c r="X481" s="50" t="s">
        <v>12</v>
      </c>
      <c r="Y481" s="50" t="s">
        <v>1322</v>
      </c>
      <c r="Z481" s="50">
        <v>3.040326257E9</v>
      </c>
      <c r="AA481" s="50" t="s">
        <v>21</v>
      </c>
      <c r="AB481" s="50" t="s">
        <v>1359</v>
      </c>
      <c r="AC481" s="50" t="s">
        <v>1927</v>
      </c>
      <c r="AD481" s="19"/>
      <c r="AE481" s="19"/>
      <c r="AF481" s="19"/>
      <c r="AG481" s="19"/>
    </row>
    <row r="482">
      <c r="A482" s="47">
        <f>COUNTIF('Divulgação'!$B:$B,B482)</f>
        <v>1</v>
      </c>
      <c r="B482" s="47" t="s">
        <v>1212</v>
      </c>
      <c r="C482" s="48"/>
      <c r="D482" s="50" t="s">
        <v>1314</v>
      </c>
      <c r="E482" s="50" t="s">
        <v>2007</v>
      </c>
      <c r="F482" s="59">
        <v>46231.0</v>
      </c>
      <c r="G482" s="50" t="s">
        <v>1316</v>
      </c>
      <c r="H482" s="48"/>
      <c r="I482" s="47" t="s">
        <v>131</v>
      </c>
      <c r="J482" s="50" t="s">
        <v>48</v>
      </c>
      <c r="K482" s="50" t="s">
        <v>1408</v>
      </c>
      <c r="L482" s="47" t="s">
        <v>1919</v>
      </c>
      <c r="M482" s="48"/>
      <c r="N482" s="48"/>
      <c r="O482" s="48"/>
      <c r="P482" s="48"/>
      <c r="Q482" s="50">
        <v>1.0</v>
      </c>
      <c r="R482" s="59">
        <v>46231.0</v>
      </c>
      <c r="S482" s="59">
        <v>46231.0</v>
      </c>
      <c r="T482" s="48"/>
      <c r="U482" s="48"/>
      <c r="V482" s="50" t="s">
        <v>1321</v>
      </c>
      <c r="W482" s="48"/>
      <c r="X482" s="50" t="s">
        <v>12</v>
      </c>
      <c r="Y482" s="50" t="s">
        <v>1322</v>
      </c>
      <c r="Z482" s="50">
        <v>3.040285201E9</v>
      </c>
      <c r="AA482" s="50" t="s">
        <v>19</v>
      </c>
      <c r="AB482" s="50" t="s">
        <v>1402</v>
      </c>
      <c r="AC482" s="50" t="s">
        <v>1888</v>
      </c>
      <c r="AD482" s="19"/>
      <c r="AE482" s="19"/>
      <c r="AF482" s="19"/>
      <c r="AG482" s="19"/>
    </row>
    <row r="483">
      <c r="A483" s="47">
        <f>COUNTIF('Divulgação'!$B:$B,B483)</f>
        <v>1</v>
      </c>
      <c r="B483" s="47" t="s">
        <v>1213</v>
      </c>
      <c r="C483" s="48"/>
      <c r="D483" s="50" t="s">
        <v>1314</v>
      </c>
      <c r="E483" s="50" t="s">
        <v>2007</v>
      </c>
      <c r="F483" s="59">
        <v>46231.0</v>
      </c>
      <c r="G483" s="50" t="s">
        <v>1316</v>
      </c>
      <c r="H483" s="48"/>
      <c r="I483" s="47" t="s">
        <v>131</v>
      </c>
      <c r="J483" s="50" t="s">
        <v>48</v>
      </c>
      <c r="K483" s="50" t="s">
        <v>1408</v>
      </c>
      <c r="L483" s="47" t="s">
        <v>1921</v>
      </c>
      <c r="M483" s="48"/>
      <c r="N483" s="48"/>
      <c r="O483" s="48"/>
      <c r="P483" s="48"/>
      <c r="Q483" s="50">
        <v>1.0</v>
      </c>
      <c r="R483" s="59">
        <v>46231.0</v>
      </c>
      <c r="S483" s="59">
        <v>46237.0</v>
      </c>
      <c r="T483" s="48"/>
      <c r="U483" s="48"/>
      <c r="V483" s="50" t="s">
        <v>1321</v>
      </c>
      <c r="W483" s="48"/>
      <c r="X483" s="50" t="s">
        <v>12</v>
      </c>
      <c r="Y483" s="50" t="s">
        <v>1322</v>
      </c>
      <c r="Z483" s="50">
        <v>3.040289265E9</v>
      </c>
      <c r="AA483" s="50" t="s">
        <v>24</v>
      </c>
      <c r="AB483" s="50" t="s">
        <v>1359</v>
      </c>
      <c r="AC483" s="50" t="s">
        <v>1360</v>
      </c>
      <c r="AD483" s="19"/>
      <c r="AE483" s="19"/>
      <c r="AF483" s="19"/>
      <c r="AG483" s="19"/>
    </row>
    <row r="484">
      <c r="A484" s="47">
        <f>COUNTIF('Divulgação'!$B:$B,B484)</f>
        <v>1</v>
      </c>
      <c r="B484" s="47" t="s">
        <v>1214</v>
      </c>
      <c r="C484" s="48"/>
      <c r="D484" s="50" t="s">
        <v>1314</v>
      </c>
      <c r="E484" s="50" t="s">
        <v>2007</v>
      </c>
      <c r="F484" s="59">
        <v>46231.0</v>
      </c>
      <c r="G484" s="50" t="s">
        <v>1316</v>
      </c>
      <c r="H484" s="48"/>
      <c r="I484" s="47" t="s">
        <v>131</v>
      </c>
      <c r="J484" s="50" t="s">
        <v>48</v>
      </c>
      <c r="K484" s="50" t="s">
        <v>1408</v>
      </c>
      <c r="L484" s="47" t="s">
        <v>1917</v>
      </c>
      <c r="M484" s="48"/>
      <c r="N484" s="48"/>
      <c r="O484" s="48"/>
      <c r="P484" s="48"/>
      <c r="Q484" s="50">
        <v>1.0</v>
      </c>
      <c r="R484" s="59">
        <v>46231.0</v>
      </c>
      <c r="S484" s="59">
        <v>46237.0</v>
      </c>
      <c r="T484" s="48"/>
      <c r="U484" s="48"/>
      <c r="V484" s="50" t="s">
        <v>1321</v>
      </c>
      <c r="W484" s="48"/>
      <c r="X484" s="50" t="s">
        <v>12</v>
      </c>
      <c r="Y484" s="50" t="s">
        <v>1322</v>
      </c>
      <c r="Z484" s="50">
        <v>3.040294656E9</v>
      </c>
      <c r="AA484" s="50" t="s">
        <v>12</v>
      </c>
      <c r="AB484" s="50" t="s">
        <v>1385</v>
      </c>
      <c r="AC484" s="50" t="s">
        <v>1918</v>
      </c>
      <c r="AD484" s="19"/>
      <c r="AE484" s="19"/>
      <c r="AF484" s="19"/>
      <c r="AG484" s="19"/>
    </row>
    <row r="485">
      <c r="A485" s="47">
        <f>COUNTIF('Divulgação'!$B:$B,B485)</f>
        <v>1</v>
      </c>
      <c r="B485" s="47" t="s">
        <v>1215</v>
      </c>
      <c r="C485" s="48"/>
      <c r="D485" s="50" t="s">
        <v>1314</v>
      </c>
      <c r="E485" s="50" t="s">
        <v>2007</v>
      </c>
      <c r="F485" s="59">
        <v>46231.0</v>
      </c>
      <c r="G485" s="50" t="s">
        <v>1316</v>
      </c>
      <c r="H485" s="48"/>
      <c r="I485" s="47" t="s">
        <v>131</v>
      </c>
      <c r="J485" s="50" t="s">
        <v>48</v>
      </c>
      <c r="K485" s="50" t="s">
        <v>1408</v>
      </c>
      <c r="L485" s="47" t="s">
        <v>1916</v>
      </c>
      <c r="M485" s="48"/>
      <c r="N485" s="48"/>
      <c r="O485" s="48"/>
      <c r="P485" s="48"/>
      <c r="Q485" s="50">
        <v>1.0</v>
      </c>
      <c r="R485" s="59">
        <v>46231.0</v>
      </c>
      <c r="S485" s="59">
        <v>46237.0</v>
      </c>
      <c r="T485" s="48"/>
      <c r="U485" s="48"/>
      <c r="V485" s="50" t="s">
        <v>1321</v>
      </c>
      <c r="W485" s="48"/>
      <c r="X485" s="50" t="s">
        <v>12</v>
      </c>
      <c r="Y485" s="50" t="s">
        <v>1322</v>
      </c>
      <c r="Z485" s="50">
        <v>3.040297627E9</v>
      </c>
      <c r="AA485" s="50" t="s">
        <v>17</v>
      </c>
      <c r="AB485" s="50" t="s">
        <v>1343</v>
      </c>
      <c r="AC485" s="50" t="s">
        <v>1344</v>
      </c>
      <c r="AD485" s="19"/>
      <c r="AE485" s="19"/>
      <c r="AF485" s="19"/>
      <c r="AG485" s="19"/>
    </row>
    <row r="486">
      <c r="A486" s="47">
        <f>COUNTIF('Divulgação'!$B:$B,B486)</f>
        <v>1</v>
      </c>
      <c r="B486" s="47" t="s">
        <v>1216</v>
      </c>
      <c r="C486" s="48"/>
      <c r="D486" s="50" t="s">
        <v>1314</v>
      </c>
      <c r="E486" s="50" t="s">
        <v>2007</v>
      </c>
      <c r="F486" s="59">
        <v>46231.0</v>
      </c>
      <c r="G486" s="50" t="s">
        <v>1316</v>
      </c>
      <c r="H486" s="48"/>
      <c r="I486" s="47" t="s">
        <v>131</v>
      </c>
      <c r="J486" s="50" t="s">
        <v>48</v>
      </c>
      <c r="K486" s="50" t="s">
        <v>1408</v>
      </c>
      <c r="L486" s="47" t="s">
        <v>1915</v>
      </c>
      <c r="M486" s="48"/>
      <c r="N486" s="48"/>
      <c r="O486" s="48"/>
      <c r="P486" s="48"/>
      <c r="Q486" s="50">
        <v>1.0</v>
      </c>
      <c r="R486" s="59">
        <v>46231.0</v>
      </c>
      <c r="S486" s="59">
        <v>46237.0</v>
      </c>
      <c r="T486" s="48"/>
      <c r="U486" s="48"/>
      <c r="V486" s="50" t="s">
        <v>1321</v>
      </c>
      <c r="W486" s="48"/>
      <c r="X486" s="50" t="s">
        <v>12</v>
      </c>
      <c r="Y486" s="50" t="s">
        <v>1322</v>
      </c>
      <c r="Z486" s="50">
        <v>3.040306738E9</v>
      </c>
      <c r="AA486" s="50" t="s">
        <v>13</v>
      </c>
      <c r="AB486" s="50" t="s">
        <v>1377</v>
      </c>
      <c r="AC486" s="50" t="s">
        <v>1792</v>
      </c>
      <c r="AD486" s="19"/>
      <c r="AE486" s="19"/>
      <c r="AF486" s="19"/>
      <c r="AG486" s="19"/>
    </row>
    <row r="487">
      <c r="A487" s="47">
        <f>COUNTIF('Divulgação'!$B:$B,B487)</f>
        <v>1</v>
      </c>
      <c r="B487" s="47" t="s">
        <v>1217</v>
      </c>
      <c r="C487" s="48"/>
      <c r="D487" s="50" t="s">
        <v>1314</v>
      </c>
      <c r="E487" s="50" t="s">
        <v>2007</v>
      </c>
      <c r="F487" s="59">
        <v>46231.0</v>
      </c>
      <c r="G487" s="50" t="s">
        <v>1316</v>
      </c>
      <c r="H487" s="48"/>
      <c r="I487" s="47" t="s">
        <v>131</v>
      </c>
      <c r="J487" s="50" t="s">
        <v>48</v>
      </c>
      <c r="K487" s="50" t="s">
        <v>1408</v>
      </c>
      <c r="L487" s="47" t="s">
        <v>1914</v>
      </c>
      <c r="M487" s="48"/>
      <c r="N487" s="48"/>
      <c r="O487" s="48"/>
      <c r="P487" s="48"/>
      <c r="Q487" s="50">
        <v>1.0</v>
      </c>
      <c r="R487" s="59">
        <v>46231.0</v>
      </c>
      <c r="S487" s="59">
        <v>46237.0</v>
      </c>
      <c r="T487" s="48"/>
      <c r="U487" s="48"/>
      <c r="V487" s="50" t="s">
        <v>1321</v>
      </c>
      <c r="W487" s="48"/>
      <c r="X487" s="50" t="s">
        <v>12</v>
      </c>
      <c r="Y487" s="50" t="s">
        <v>1322</v>
      </c>
      <c r="Z487" s="50">
        <v>3.040308003E9</v>
      </c>
      <c r="AA487" s="50" t="s">
        <v>14</v>
      </c>
      <c r="AB487" s="50" t="s">
        <v>1470</v>
      </c>
      <c r="AC487" s="50" t="s">
        <v>1471</v>
      </c>
      <c r="AD487" s="19"/>
      <c r="AE487" s="19"/>
      <c r="AF487" s="19"/>
      <c r="AG487" s="19"/>
    </row>
    <row r="488">
      <c r="A488" s="47">
        <f>COUNTIF('Divulgação'!$B:$B,B488)</f>
        <v>1</v>
      </c>
      <c r="B488" s="47" t="s">
        <v>1218</v>
      </c>
      <c r="C488" s="48"/>
      <c r="D488" s="50" t="s">
        <v>1314</v>
      </c>
      <c r="E488" s="50" t="s">
        <v>2007</v>
      </c>
      <c r="F488" s="59">
        <v>46231.0</v>
      </c>
      <c r="G488" s="50" t="s">
        <v>1316</v>
      </c>
      <c r="H488" s="48"/>
      <c r="I488" s="47" t="s">
        <v>1781</v>
      </c>
      <c r="J488" s="50">
        <v>22373.0</v>
      </c>
      <c r="K488" s="50" t="s">
        <v>1782</v>
      </c>
      <c r="L488" s="47" t="s">
        <v>1934</v>
      </c>
      <c r="M488" s="48"/>
      <c r="N488" s="48"/>
      <c r="O488" s="48"/>
      <c r="P488" s="48"/>
      <c r="Q488" s="50">
        <v>1.0</v>
      </c>
      <c r="R488" s="59">
        <v>46231.0</v>
      </c>
      <c r="S488" s="59">
        <v>46237.0</v>
      </c>
      <c r="T488" s="48"/>
      <c r="U488" s="48"/>
      <c r="V488" s="50" t="s">
        <v>1321</v>
      </c>
      <c r="W488" s="48"/>
      <c r="X488" s="50" t="s">
        <v>12</v>
      </c>
      <c r="Y488" s="50" t="s">
        <v>1322</v>
      </c>
      <c r="Z488" s="50">
        <v>3.040308519E9</v>
      </c>
      <c r="AA488" s="50" t="s">
        <v>15</v>
      </c>
      <c r="AB488" s="50" t="s">
        <v>1348</v>
      </c>
      <c r="AC488" s="50" t="s">
        <v>1584</v>
      </c>
      <c r="AD488" s="19"/>
      <c r="AE488" s="19"/>
      <c r="AF488" s="19"/>
      <c r="AG488" s="19"/>
    </row>
    <row r="489">
      <c r="A489" s="47">
        <f>COUNTIF('Divulgação'!$B:$B,B489)</f>
        <v>1</v>
      </c>
      <c r="B489" s="47" t="s">
        <v>1219</v>
      </c>
      <c r="C489" s="48"/>
      <c r="D489" s="50" t="s">
        <v>1314</v>
      </c>
      <c r="E489" s="50" t="s">
        <v>2007</v>
      </c>
      <c r="F489" s="59">
        <v>46231.0</v>
      </c>
      <c r="G489" s="50" t="s">
        <v>1316</v>
      </c>
      <c r="H489" s="48"/>
      <c r="I489" s="47" t="s">
        <v>1781</v>
      </c>
      <c r="J489" s="50">
        <v>22373.0</v>
      </c>
      <c r="K489" s="50" t="s">
        <v>1782</v>
      </c>
      <c r="L489" s="47" t="s">
        <v>1936</v>
      </c>
      <c r="M489" s="48"/>
      <c r="N489" s="48"/>
      <c r="O489" s="48"/>
      <c r="P489" s="48"/>
      <c r="Q489" s="50">
        <v>1.0</v>
      </c>
      <c r="R489" s="59">
        <v>46231.0</v>
      </c>
      <c r="S489" s="59">
        <v>46237.0</v>
      </c>
      <c r="T489" s="48"/>
      <c r="U489" s="48"/>
      <c r="V489" s="50" t="s">
        <v>1321</v>
      </c>
      <c r="W489" s="48"/>
      <c r="X489" s="50" t="s">
        <v>12</v>
      </c>
      <c r="Y489" s="50" t="s">
        <v>1322</v>
      </c>
      <c r="Z489" s="50">
        <v>3.040310009E9</v>
      </c>
      <c r="AA489" s="50" t="s">
        <v>16</v>
      </c>
      <c r="AB489" s="50" t="s">
        <v>1331</v>
      </c>
      <c r="AC489" s="50" t="s">
        <v>1332</v>
      </c>
      <c r="AD489" s="19"/>
      <c r="AE489" s="19"/>
      <c r="AF489" s="19"/>
      <c r="AG489" s="19"/>
    </row>
    <row r="490">
      <c r="A490" s="47">
        <f>COUNTIF('Divulgação'!$B:$B,B490)</f>
        <v>1</v>
      </c>
      <c r="B490" s="47" t="s">
        <v>1220</v>
      </c>
      <c r="C490" s="48"/>
      <c r="D490" s="50" t="s">
        <v>1314</v>
      </c>
      <c r="E490" s="50" t="s">
        <v>2007</v>
      </c>
      <c r="F490" s="59">
        <v>46231.0</v>
      </c>
      <c r="G490" s="50" t="s">
        <v>1316</v>
      </c>
      <c r="H490" s="48"/>
      <c r="I490" s="47" t="s">
        <v>1781</v>
      </c>
      <c r="J490" s="50">
        <v>22373.0</v>
      </c>
      <c r="K490" s="50" t="s">
        <v>1782</v>
      </c>
      <c r="L490" s="47" t="s">
        <v>1935</v>
      </c>
      <c r="M490" s="48"/>
      <c r="N490" s="48"/>
      <c r="O490" s="48"/>
      <c r="P490" s="48"/>
      <c r="Q490" s="50">
        <v>1.0</v>
      </c>
      <c r="R490" s="59">
        <v>46231.0</v>
      </c>
      <c r="S490" s="59">
        <v>46237.0</v>
      </c>
      <c r="T490" s="48"/>
      <c r="U490" s="48"/>
      <c r="V490" s="50" t="s">
        <v>1321</v>
      </c>
      <c r="W490" s="48"/>
      <c r="X490" s="50" t="s">
        <v>12</v>
      </c>
      <c r="Y490" s="50" t="s">
        <v>1322</v>
      </c>
      <c r="Z490" s="50">
        <v>3.040312888E9</v>
      </c>
      <c r="AA490" s="50" t="s">
        <v>12</v>
      </c>
      <c r="AB490" s="50" t="s">
        <v>1322</v>
      </c>
      <c r="AC490" s="50" t="s">
        <v>1434</v>
      </c>
      <c r="AD490" s="19"/>
      <c r="AE490" s="19"/>
      <c r="AF490" s="19"/>
      <c r="AG490" s="19"/>
    </row>
    <row r="491">
      <c r="A491" s="47">
        <f>COUNTIF('Divulgação'!$B:$B,B491)</f>
        <v>1</v>
      </c>
      <c r="B491" s="47" t="s">
        <v>1221</v>
      </c>
      <c r="C491" s="48"/>
      <c r="D491" s="50" t="s">
        <v>1314</v>
      </c>
      <c r="E491" s="50" t="s">
        <v>2007</v>
      </c>
      <c r="F491" s="59">
        <v>46231.0</v>
      </c>
      <c r="G491" s="50" t="s">
        <v>1316</v>
      </c>
      <c r="H491" s="48"/>
      <c r="I491" s="47" t="s">
        <v>149</v>
      </c>
      <c r="J491" s="50">
        <v>22373.0</v>
      </c>
      <c r="K491" s="50" t="s">
        <v>1785</v>
      </c>
      <c r="L491" s="47" t="s">
        <v>1938</v>
      </c>
      <c r="M491" s="48"/>
      <c r="N491" s="48"/>
      <c r="O491" s="48"/>
      <c r="P491" s="48"/>
      <c r="Q491" s="50">
        <v>1.0</v>
      </c>
      <c r="R491" s="59">
        <v>46231.0</v>
      </c>
      <c r="S491" s="59">
        <v>46237.0</v>
      </c>
      <c r="T491" s="48"/>
      <c r="U491" s="48"/>
      <c r="V491" s="50" t="s">
        <v>1321</v>
      </c>
      <c r="W491" s="48"/>
      <c r="X491" s="50" t="s">
        <v>12</v>
      </c>
      <c r="Y491" s="50" t="s">
        <v>1322</v>
      </c>
      <c r="Z491" s="50">
        <v>3.040313661E9</v>
      </c>
      <c r="AA491" s="50" t="s">
        <v>12</v>
      </c>
      <c r="AB491" s="50" t="s">
        <v>1322</v>
      </c>
      <c r="AC491" s="50" t="s">
        <v>1434</v>
      </c>
      <c r="AD491" s="19"/>
      <c r="AE491" s="19"/>
      <c r="AF491" s="19"/>
      <c r="AG491" s="19"/>
    </row>
    <row r="492">
      <c r="A492" s="47">
        <f>COUNTIF('Divulgação'!$B:$B,B492)</f>
        <v>1</v>
      </c>
      <c r="B492" s="47" t="s">
        <v>1222</v>
      </c>
      <c r="C492" s="48"/>
      <c r="D492" s="50" t="s">
        <v>1314</v>
      </c>
      <c r="E492" s="50" t="s">
        <v>2007</v>
      </c>
      <c r="F492" s="59">
        <v>46231.0</v>
      </c>
      <c r="G492" s="50" t="s">
        <v>1316</v>
      </c>
      <c r="H492" s="48"/>
      <c r="I492" s="47" t="s">
        <v>149</v>
      </c>
      <c r="J492" s="50">
        <v>22373.0</v>
      </c>
      <c r="K492" s="50" t="s">
        <v>1785</v>
      </c>
      <c r="L492" s="47" t="s">
        <v>1937</v>
      </c>
      <c r="M492" s="48"/>
      <c r="N492" s="48"/>
      <c r="O492" s="48"/>
      <c r="P492" s="48"/>
      <c r="Q492" s="50">
        <v>1.0</v>
      </c>
      <c r="R492" s="59">
        <v>46231.0</v>
      </c>
      <c r="S492" s="59">
        <v>46237.0</v>
      </c>
      <c r="T492" s="48"/>
      <c r="U492" s="48"/>
      <c r="V492" s="50" t="s">
        <v>1321</v>
      </c>
      <c r="W492" s="48"/>
      <c r="X492" s="50" t="s">
        <v>12</v>
      </c>
      <c r="Y492" s="50" t="s">
        <v>1322</v>
      </c>
      <c r="Z492" s="50">
        <v>3.040313662E9</v>
      </c>
      <c r="AA492" s="50" t="s">
        <v>12</v>
      </c>
      <c r="AB492" s="50" t="s">
        <v>1322</v>
      </c>
      <c r="AC492" s="50" t="s">
        <v>1434</v>
      </c>
      <c r="AD492" s="19"/>
      <c r="AE492" s="19"/>
      <c r="AF492" s="19"/>
      <c r="AG492" s="19"/>
    </row>
    <row r="493">
      <c r="A493" s="47">
        <f>COUNTIF('Divulgação'!$B:$B,B493)</f>
        <v>1</v>
      </c>
      <c r="B493" s="47" t="s">
        <v>1223</v>
      </c>
      <c r="C493" s="48"/>
      <c r="D493" s="50" t="s">
        <v>1314</v>
      </c>
      <c r="E493" s="50" t="s">
        <v>2007</v>
      </c>
      <c r="F493" s="59">
        <v>46231.0</v>
      </c>
      <c r="G493" s="50" t="s">
        <v>1316</v>
      </c>
      <c r="H493" s="48"/>
      <c r="I493" s="47" t="s">
        <v>2010</v>
      </c>
      <c r="J493" s="50">
        <v>74025.0</v>
      </c>
      <c r="K493" s="50" t="s">
        <v>2012</v>
      </c>
      <c r="L493" s="47" t="s">
        <v>2013</v>
      </c>
      <c r="M493" s="48"/>
      <c r="N493" s="48"/>
      <c r="O493" s="48"/>
      <c r="P493" s="48"/>
      <c r="Q493" s="50">
        <v>1.0</v>
      </c>
      <c r="R493" s="59">
        <v>46231.0</v>
      </c>
      <c r="S493" s="59">
        <v>46237.0</v>
      </c>
      <c r="T493" s="48"/>
      <c r="U493" s="48"/>
      <c r="V493" s="50" t="s">
        <v>1321</v>
      </c>
      <c r="W493" s="48"/>
      <c r="X493" s="50" t="s">
        <v>12</v>
      </c>
      <c r="Y493" s="50" t="s">
        <v>1322</v>
      </c>
      <c r="Z493" s="50">
        <v>3.040328253E9</v>
      </c>
      <c r="AA493" s="50" t="s">
        <v>12</v>
      </c>
      <c r="AB493" s="50" t="s">
        <v>1322</v>
      </c>
      <c r="AC493" s="50" t="s">
        <v>1369</v>
      </c>
      <c r="AD493" s="19"/>
      <c r="AE493" s="19"/>
      <c r="AF493" s="19"/>
      <c r="AG493" s="19"/>
    </row>
    <row r="494">
      <c r="A494" s="47">
        <f>COUNTIF('Divulgação'!$B:$B,B494)</f>
        <v>1</v>
      </c>
      <c r="B494" s="47" t="s">
        <v>1224</v>
      </c>
      <c r="C494" s="48"/>
      <c r="D494" s="50" t="s">
        <v>1314</v>
      </c>
      <c r="E494" s="50" t="s">
        <v>2007</v>
      </c>
      <c r="F494" s="59">
        <v>46231.0</v>
      </c>
      <c r="G494" s="50" t="s">
        <v>1316</v>
      </c>
      <c r="H494" s="48"/>
      <c r="I494" s="47" t="s">
        <v>2010</v>
      </c>
      <c r="J494" s="50">
        <v>74025.0</v>
      </c>
      <c r="K494" s="50" t="s">
        <v>2012</v>
      </c>
      <c r="L494" s="47" t="s">
        <v>2014</v>
      </c>
      <c r="M494" s="48"/>
      <c r="N494" s="48"/>
      <c r="O494" s="48"/>
      <c r="P494" s="48"/>
      <c r="Q494" s="50">
        <v>1.0</v>
      </c>
      <c r="R494" s="59">
        <v>46231.0</v>
      </c>
      <c r="S494" s="59">
        <v>46237.0</v>
      </c>
      <c r="T494" s="48"/>
      <c r="U494" s="48"/>
      <c r="V494" s="50" t="s">
        <v>1321</v>
      </c>
      <c r="W494" s="48"/>
      <c r="X494" s="50" t="s">
        <v>12</v>
      </c>
      <c r="Y494" s="50" t="s">
        <v>1322</v>
      </c>
      <c r="Z494" s="50">
        <v>3.040328254E9</v>
      </c>
      <c r="AA494" s="50" t="s">
        <v>12</v>
      </c>
      <c r="AB494" s="50" t="s">
        <v>1322</v>
      </c>
      <c r="AC494" s="50" t="s">
        <v>1369</v>
      </c>
      <c r="AD494" s="19"/>
      <c r="AE494" s="19"/>
      <c r="AF494" s="19"/>
      <c r="AG494" s="19"/>
    </row>
    <row r="495">
      <c r="A495" s="47">
        <f>COUNTIF('Divulgação'!$B:$B,B495)</f>
        <v>1</v>
      </c>
      <c r="B495" s="47" t="s">
        <v>1225</v>
      </c>
      <c r="C495" s="48"/>
      <c r="D495" s="50" t="s">
        <v>1314</v>
      </c>
      <c r="E495" s="50" t="s">
        <v>2007</v>
      </c>
      <c r="F495" s="59">
        <v>46231.0</v>
      </c>
      <c r="G495" s="50" t="s">
        <v>1316</v>
      </c>
      <c r="H495" s="48"/>
      <c r="I495" s="47" t="s">
        <v>2010</v>
      </c>
      <c r="J495" s="50">
        <v>74025.0</v>
      </c>
      <c r="K495" s="50" t="s">
        <v>2012</v>
      </c>
      <c r="L495" s="47" t="s">
        <v>2015</v>
      </c>
      <c r="M495" s="48"/>
      <c r="N495" s="48"/>
      <c r="O495" s="48"/>
      <c r="P495" s="48"/>
      <c r="Q495" s="50">
        <v>1.0</v>
      </c>
      <c r="R495" s="59">
        <v>46231.0</v>
      </c>
      <c r="S495" s="59">
        <v>46237.0</v>
      </c>
      <c r="T495" s="48"/>
      <c r="U495" s="48"/>
      <c r="V495" s="50" t="s">
        <v>1321</v>
      </c>
      <c r="W495" s="48"/>
      <c r="X495" s="50" t="s">
        <v>12</v>
      </c>
      <c r="Y495" s="50" t="s">
        <v>1322</v>
      </c>
      <c r="Z495" s="50">
        <v>3.040328255E9</v>
      </c>
      <c r="AA495" s="50" t="s">
        <v>12</v>
      </c>
      <c r="AB495" s="50" t="s">
        <v>1322</v>
      </c>
      <c r="AC495" s="50" t="s">
        <v>1369</v>
      </c>
      <c r="AD495" s="19"/>
      <c r="AE495" s="19"/>
      <c r="AF495" s="19"/>
      <c r="AG495" s="19"/>
    </row>
    <row r="496">
      <c r="A496" s="47">
        <f>COUNTIF('Divulgação'!$B:$B,B496)</f>
        <v>1</v>
      </c>
      <c r="B496" s="47" t="s">
        <v>1226</v>
      </c>
      <c r="C496" s="48"/>
      <c r="D496" s="50" t="s">
        <v>1314</v>
      </c>
      <c r="E496" s="50" t="s">
        <v>2007</v>
      </c>
      <c r="F496" s="59">
        <v>46231.0</v>
      </c>
      <c r="G496" s="50" t="s">
        <v>1316</v>
      </c>
      <c r="H496" s="48"/>
      <c r="I496" s="47" t="s">
        <v>2010</v>
      </c>
      <c r="J496" s="50">
        <v>74025.0</v>
      </c>
      <c r="K496" s="50" t="s">
        <v>2012</v>
      </c>
      <c r="L496" s="47" t="s">
        <v>2016</v>
      </c>
      <c r="M496" s="48"/>
      <c r="N496" s="48"/>
      <c r="O496" s="48"/>
      <c r="P496" s="48"/>
      <c r="Q496" s="50">
        <v>1.0</v>
      </c>
      <c r="R496" s="59">
        <v>46231.0</v>
      </c>
      <c r="S496" s="59">
        <v>46237.0</v>
      </c>
      <c r="T496" s="48"/>
      <c r="U496" s="48"/>
      <c r="V496" s="50" t="s">
        <v>1321</v>
      </c>
      <c r="W496" s="48"/>
      <c r="X496" s="50" t="s">
        <v>12</v>
      </c>
      <c r="Y496" s="50" t="s">
        <v>1322</v>
      </c>
      <c r="Z496" s="50">
        <v>3.040328256E9</v>
      </c>
      <c r="AA496" s="50" t="s">
        <v>12</v>
      </c>
      <c r="AB496" s="50" t="s">
        <v>1322</v>
      </c>
      <c r="AC496" s="50" t="s">
        <v>1369</v>
      </c>
      <c r="AD496" s="19"/>
      <c r="AE496" s="19"/>
      <c r="AF496" s="19"/>
      <c r="AG496" s="19"/>
    </row>
    <row r="497">
      <c r="A497" s="47">
        <f>COUNTIF('Divulgação'!$B:$B,B497)</f>
        <v>1</v>
      </c>
      <c r="B497" s="47" t="s">
        <v>1227</v>
      </c>
      <c r="C497" s="48"/>
      <c r="D497" s="50" t="s">
        <v>1314</v>
      </c>
      <c r="E497" s="50" t="s">
        <v>2007</v>
      </c>
      <c r="F497" s="59">
        <v>46231.0</v>
      </c>
      <c r="G497" s="50" t="s">
        <v>1316</v>
      </c>
      <c r="H497" s="48"/>
      <c r="I497" s="47" t="s">
        <v>2010</v>
      </c>
      <c r="J497" s="50">
        <v>74025.0</v>
      </c>
      <c r="K497" s="50" t="s">
        <v>2012</v>
      </c>
      <c r="L497" s="47" t="s">
        <v>2017</v>
      </c>
      <c r="M497" s="48"/>
      <c r="N497" s="48"/>
      <c r="O497" s="48"/>
      <c r="P497" s="48"/>
      <c r="Q497" s="50">
        <v>1.0</v>
      </c>
      <c r="R497" s="59">
        <v>46231.0</v>
      </c>
      <c r="S497" s="59">
        <v>46237.0</v>
      </c>
      <c r="T497" s="48"/>
      <c r="U497" s="48"/>
      <c r="V497" s="50" t="s">
        <v>1321</v>
      </c>
      <c r="W497" s="48"/>
      <c r="X497" s="50" t="s">
        <v>12</v>
      </c>
      <c r="Y497" s="50" t="s">
        <v>1322</v>
      </c>
      <c r="Z497" s="50">
        <v>3.040328257E9</v>
      </c>
      <c r="AA497" s="50" t="s">
        <v>12</v>
      </c>
      <c r="AB497" s="50" t="s">
        <v>1322</v>
      </c>
      <c r="AC497" s="50" t="s">
        <v>1369</v>
      </c>
      <c r="AD497" s="19"/>
      <c r="AE497" s="19"/>
      <c r="AF497" s="19"/>
      <c r="AG497" s="19"/>
    </row>
    <row r="498">
      <c r="A498" s="47">
        <f>COUNTIF('Divulgação'!$B:$B,B498)</f>
        <v>1</v>
      </c>
      <c r="B498" s="47" t="s">
        <v>1228</v>
      </c>
      <c r="C498" s="48"/>
      <c r="D498" s="50" t="s">
        <v>1314</v>
      </c>
      <c r="E498" s="50" t="s">
        <v>2007</v>
      </c>
      <c r="F498" s="59">
        <v>46231.0</v>
      </c>
      <c r="G498" s="50" t="s">
        <v>1316</v>
      </c>
      <c r="H498" s="48"/>
      <c r="I498" s="47" t="s">
        <v>1724</v>
      </c>
      <c r="J498" s="50" t="s">
        <v>48</v>
      </c>
      <c r="K498" s="50" t="s">
        <v>1725</v>
      </c>
      <c r="L498" s="47" t="s">
        <v>1912</v>
      </c>
      <c r="M498" s="48"/>
      <c r="N498" s="48"/>
      <c r="O498" s="48"/>
      <c r="P498" s="48"/>
      <c r="Q498" s="50">
        <v>1.0</v>
      </c>
      <c r="R498" s="59">
        <v>46231.0</v>
      </c>
      <c r="S498" s="59">
        <v>46237.0</v>
      </c>
      <c r="T498" s="48"/>
      <c r="U498" s="48"/>
      <c r="V498" s="50" t="s">
        <v>1321</v>
      </c>
      <c r="W498" s="48"/>
      <c r="X498" s="50" t="s">
        <v>12</v>
      </c>
      <c r="Y498" s="50" t="s">
        <v>1322</v>
      </c>
      <c r="Z498" s="50">
        <v>3.040328927E9</v>
      </c>
      <c r="AA498" s="50" t="s">
        <v>16</v>
      </c>
      <c r="AB498" s="50" t="s">
        <v>1551</v>
      </c>
      <c r="AC498" s="50" t="s">
        <v>1552</v>
      </c>
      <c r="AD498" s="19"/>
      <c r="AE498" s="19"/>
      <c r="AF498" s="19"/>
      <c r="AG498" s="19"/>
    </row>
    <row r="499">
      <c r="A499" s="47">
        <f>COUNTIF('Divulgação'!$B:$B,B499)</f>
        <v>1</v>
      </c>
      <c r="B499" s="47" t="s">
        <v>1229</v>
      </c>
      <c r="C499" s="48"/>
      <c r="D499" s="50" t="s">
        <v>1314</v>
      </c>
      <c r="E499" s="50" t="s">
        <v>2007</v>
      </c>
      <c r="F499" s="59">
        <v>46231.0</v>
      </c>
      <c r="G499" s="50" t="s">
        <v>1316</v>
      </c>
      <c r="H499" s="48"/>
      <c r="I499" s="47" t="s">
        <v>1724</v>
      </c>
      <c r="J499" s="50" t="s">
        <v>48</v>
      </c>
      <c r="K499" s="50" t="s">
        <v>1725</v>
      </c>
      <c r="L499" s="47" t="s">
        <v>1913</v>
      </c>
      <c r="M499" s="48"/>
      <c r="N499" s="48"/>
      <c r="O499" s="48"/>
      <c r="P499" s="48"/>
      <c r="Q499" s="50">
        <v>1.0</v>
      </c>
      <c r="R499" s="59">
        <v>46231.0</v>
      </c>
      <c r="S499" s="59">
        <v>46237.0</v>
      </c>
      <c r="T499" s="48"/>
      <c r="U499" s="48"/>
      <c r="V499" s="50" t="s">
        <v>1321</v>
      </c>
      <c r="W499" s="48"/>
      <c r="X499" s="50" t="s">
        <v>12</v>
      </c>
      <c r="Y499" s="50" t="s">
        <v>1322</v>
      </c>
      <c r="Z499" s="50">
        <v>3.040328928E9</v>
      </c>
      <c r="AA499" s="50" t="s">
        <v>16</v>
      </c>
      <c r="AB499" s="50" t="s">
        <v>1551</v>
      </c>
      <c r="AC499" s="50" t="s">
        <v>1552</v>
      </c>
      <c r="AD499" s="19"/>
      <c r="AE499" s="19"/>
      <c r="AF499" s="19"/>
      <c r="AG499" s="19"/>
    </row>
    <row r="500">
      <c r="A500" s="47">
        <f>COUNTIF('Divulgação'!$B:$B,B500)</f>
        <v>1</v>
      </c>
      <c r="B500" s="47" t="s">
        <v>1230</v>
      </c>
      <c r="C500" s="48"/>
      <c r="D500" s="50" t="s">
        <v>1314</v>
      </c>
      <c r="E500" s="50" t="s">
        <v>2007</v>
      </c>
      <c r="F500" s="59">
        <v>46231.0</v>
      </c>
      <c r="G500" s="50" t="s">
        <v>1316</v>
      </c>
      <c r="H500" s="48"/>
      <c r="I500" s="47" t="s">
        <v>1394</v>
      </c>
      <c r="J500" s="50">
        <v>71513.0</v>
      </c>
      <c r="K500" s="50" t="s">
        <v>1396</v>
      </c>
      <c r="L500" s="47" t="s">
        <v>2018</v>
      </c>
      <c r="M500" s="48"/>
      <c r="N500" s="48"/>
      <c r="O500" s="48"/>
      <c r="P500" s="48"/>
      <c r="Q500" s="50">
        <v>1.0</v>
      </c>
      <c r="R500" s="59">
        <v>46231.0</v>
      </c>
      <c r="S500" s="59">
        <v>46237.0</v>
      </c>
      <c r="T500" s="48"/>
      <c r="U500" s="48"/>
      <c r="V500" s="50" t="s">
        <v>1321</v>
      </c>
      <c r="W500" s="48"/>
      <c r="X500" s="50" t="s">
        <v>12</v>
      </c>
      <c r="Y500" s="50" t="s">
        <v>1322</v>
      </c>
      <c r="Z500" s="50">
        <v>3.040327143E9</v>
      </c>
      <c r="AA500" s="50" t="s">
        <v>1352</v>
      </c>
      <c r="AB500" s="50" t="s">
        <v>1430</v>
      </c>
      <c r="AC500" s="50" t="s">
        <v>2009</v>
      </c>
      <c r="AD500" s="19"/>
      <c r="AE500" s="19"/>
      <c r="AF500" s="19"/>
      <c r="AG500" s="19"/>
    </row>
    <row r="501">
      <c r="A501" s="47">
        <f>COUNTIF('Divulgação'!$B:$B,B501)</f>
        <v>1</v>
      </c>
      <c r="B501" s="47" t="s">
        <v>1231</v>
      </c>
      <c r="C501" s="48"/>
      <c r="D501" s="50" t="s">
        <v>1314</v>
      </c>
      <c r="E501" s="50" t="s">
        <v>2007</v>
      </c>
      <c r="F501" s="59">
        <v>46231.0</v>
      </c>
      <c r="G501" s="50" t="s">
        <v>1316</v>
      </c>
      <c r="H501" s="48"/>
      <c r="I501" s="47" t="s">
        <v>63</v>
      </c>
      <c r="J501" s="50">
        <v>71513.0</v>
      </c>
      <c r="K501" s="50" t="s">
        <v>1432</v>
      </c>
      <c r="L501" s="47" t="s">
        <v>407</v>
      </c>
      <c r="M501" s="48"/>
      <c r="N501" s="48"/>
      <c r="O501" s="48"/>
      <c r="P501" s="48"/>
      <c r="Q501" s="50">
        <v>1.0</v>
      </c>
      <c r="R501" s="59">
        <v>46231.0</v>
      </c>
      <c r="S501" s="59">
        <v>46237.0</v>
      </c>
      <c r="T501" s="48"/>
      <c r="U501" s="48"/>
      <c r="V501" s="50" t="s">
        <v>1321</v>
      </c>
      <c r="W501" s="48"/>
      <c r="X501" s="50" t="s">
        <v>12</v>
      </c>
      <c r="Y501" s="50" t="s">
        <v>1322</v>
      </c>
      <c r="Z501" s="50">
        <v>3.040329227E9</v>
      </c>
      <c r="AA501" s="50" t="s">
        <v>13</v>
      </c>
      <c r="AB501" s="50" t="s">
        <v>1447</v>
      </c>
      <c r="AC501" s="50" t="s">
        <v>1911</v>
      </c>
      <c r="AD501" s="19"/>
      <c r="AE501" s="19"/>
      <c r="AF501" s="19"/>
      <c r="AG501" s="19"/>
    </row>
    <row r="502">
      <c r="A502" s="47">
        <f>COUNTIF('Divulgação'!$B:$B,B502)</f>
        <v>1</v>
      </c>
      <c r="B502" s="47" t="s">
        <v>1232</v>
      </c>
      <c r="C502" s="48"/>
      <c r="D502" s="50" t="s">
        <v>1314</v>
      </c>
      <c r="E502" s="50" t="s">
        <v>2007</v>
      </c>
      <c r="F502" s="59">
        <v>46231.0</v>
      </c>
      <c r="G502" s="50" t="s">
        <v>1316</v>
      </c>
      <c r="H502" s="48"/>
      <c r="I502" s="47" t="s">
        <v>1931</v>
      </c>
      <c r="J502" s="50">
        <v>22373.0</v>
      </c>
      <c r="K502" s="50" t="s">
        <v>1782</v>
      </c>
      <c r="L502" s="47" t="s">
        <v>1932</v>
      </c>
      <c r="M502" s="48"/>
      <c r="N502" s="48"/>
      <c r="O502" s="48"/>
      <c r="P502" s="48"/>
      <c r="Q502" s="50">
        <v>1.0</v>
      </c>
      <c r="R502" s="59">
        <v>46231.0</v>
      </c>
      <c r="S502" s="59">
        <v>46237.0</v>
      </c>
      <c r="T502" s="48"/>
      <c r="U502" s="48"/>
      <c r="V502" s="50" t="s">
        <v>1321</v>
      </c>
      <c r="W502" s="48"/>
      <c r="X502" s="50" t="s">
        <v>12</v>
      </c>
      <c r="Y502" s="50" t="s">
        <v>1322</v>
      </c>
      <c r="Z502" s="50">
        <v>3.040312895E9</v>
      </c>
      <c r="AA502" s="50" t="s">
        <v>12</v>
      </c>
      <c r="AB502" s="50" t="s">
        <v>1322</v>
      </c>
      <c r="AC502" s="50" t="s">
        <v>1434</v>
      </c>
      <c r="AD502" s="19"/>
      <c r="AE502" s="19"/>
      <c r="AF502" s="19"/>
      <c r="AG502" s="19"/>
    </row>
    <row r="503">
      <c r="A503" s="47">
        <f>COUNTIF('Divulgação'!$B:$B,B503)</f>
        <v>1</v>
      </c>
      <c r="B503" s="47" t="s">
        <v>1233</v>
      </c>
      <c r="C503" s="48"/>
      <c r="D503" s="50" t="s">
        <v>1314</v>
      </c>
      <c r="E503" s="50" t="s">
        <v>2007</v>
      </c>
      <c r="F503" s="59">
        <v>46231.0</v>
      </c>
      <c r="G503" s="50" t="s">
        <v>1316</v>
      </c>
      <c r="H503" s="48"/>
      <c r="I503" s="47" t="s">
        <v>1931</v>
      </c>
      <c r="J503" s="50">
        <v>22373.0</v>
      </c>
      <c r="K503" s="50" t="s">
        <v>1782</v>
      </c>
      <c r="L503" s="47" t="s">
        <v>1933</v>
      </c>
      <c r="M503" s="48"/>
      <c r="N503" s="48"/>
      <c r="O503" s="48"/>
      <c r="P503" s="48"/>
      <c r="Q503" s="50">
        <v>1.0</v>
      </c>
      <c r="R503" s="59">
        <v>46231.0</v>
      </c>
      <c r="S503" s="59">
        <v>46237.0</v>
      </c>
      <c r="T503" s="48"/>
      <c r="U503" s="48"/>
      <c r="V503" s="50" t="s">
        <v>1321</v>
      </c>
      <c r="W503" s="48"/>
      <c r="X503" s="50" t="s">
        <v>12</v>
      </c>
      <c r="Y503" s="50" t="s">
        <v>1322</v>
      </c>
      <c r="Z503" s="50">
        <v>3.040312896E9</v>
      </c>
      <c r="AA503" s="50" t="s">
        <v>12</v>
      </c>
      <c r="AB503" s="50" t="s">
        <v>1322</v>
      </c>
      <c r="AC503" s="50" t="s">
        <v>1434</v>
      </c>
      <c r="AD503" s="19"/>
      <c r="AE503" s="19"/>
      <c r="AF503" s="19"/>
      <c r="AG503" s="19"/>
    </row>
    <row r="504">
      <c r="A504" s="47">
        <f>COUNTIF('Divulgação'!$B:$B,B504)</f>
        <v>1</v>
      </c>
      <c r="B504" s="47" t="s">
        <v>1234</v>
      </c>
      <c r="C504" s="48"/>
      <c r="D504" s="50" t="s">
        <v>1314</v>
      </c>
      <c r="E504" s="50" t="s">
        <v>2007</v>
      </c>
      <c r="F504" s="59">
        <v>46231.0</v>
      </c>
      <c r="G504" s="50" t="s">
        <v>1316</v>
      </c>
      <c r="H504" s="48"/>
      <c r="I504" s="47" t="s">
        <v>1460</v>
      </c>
      <c r="J504" s="50">
        <v>71379.0</v>
      </c>
      <c r="K504" s="50" t="s">
        <v>1461</v>
      </c>
      <c r="L504" s="47" t="s">
        <v>1954</v>
      </c>
      <c r="M504" s="48"/>
      <c r="N504" s="48"/>
      <c r="O504" s="48"/>
      <c r="P504" s="48"/>
      <c r="Q504" s="50">
        <v>1.0</v>
      </c>
      <c r="R504" s="59">
        <v>46231.0</v>
      </c>
      <c r="S504" s="59">
        <v>46237.0</v>
      </c>
      <c r="T504" s="48"/>
      <c r="U504" s="48"/>
      <c r="V504" s="50" t="s">
        <v>1321</v>
      </c>
      <c r="W504" s="48"/>
      <c r="X504" s="50" t="s">
        <v>12</v>
      </c>
      <c r="Y504" s="50" t="s">
        <v>1322</v>
      </c>
      <c r="Z504" s="50">
        <v>3.040148938E9</v>
      </c>
      <c r="AA504" s="50" t="s">
        <v>1491</v>
      </c>
      <c r="AB504" s="50" t="s">
        <v>1492</v>
      </c>
      <c r="AC504" s="50" t="s">
        <v>1955</v>
      </c>
      <c r="AD504" s="19"/>
      <c r="AE504" s="19"/>
      <c r="AF504" s="19"/>
      <c r="AG504" s="19"/>
    </row>
    <row r="505">
      <c r="A505" s="47">
        <f>COUNTIF('Divulgação'!$B:$B,B505)</f>
        <v>1</v>
      </c>
      <c r="B505" s="47" t="s">
        <v>1235</v>
      </c>
      <c r="C505" s="48"/>
      <c r="D505" s="50" t="s">
        <v>1314</v>
      </c>
      <c r="E505" s="50" t="s">
        <v>2007</v>
      </c>
      <c r="F505" s="59">
        <v>46232.0</v>
      </c>
      <c r="G505" s="50" t="s">
        <v>1316</v>
      </c>
      <c r="H505" s="48"/>
      <c r="I505" s="47" t="s">
        <v>1941</v>
      </c>
      <c r="J505" s="50" t="s">
        <v>1942</v>
      </c>
      <c r="K505" s="50" t="s">
        <v>1943</v>
      </c>
      <c r="L505" s="47" t="s">
        <v>1944</v>
      </c>
      <c r="M505" s="48"/>
      <c r="N505" s="48"/>
      <c r="O505" s="48"/>
      <c r="P505" s="48"/>
      <c r="Q505" s="50">
        <v>1.0</v>
      </c>
      <c r="R505" s="59">
        <v>46232.0</v>
      </c>
      <c r="S505" s="59">
        <v>46238.0</v>
      </c>
      <c r="T505" s="48"/>
      <c r="U505" s="48"/>
      <c r="V505" s="50" t="s">
        <v>1321</v>
      </c>
      <c r="W505" s="48"/>
      <c r="X505" s="50" t="s">
        <v>12</v>
      </c>
      <c r="Y505" s="50" t="s">
        <v>1322</v>
      </c>
      <c r="Z505" s="50">
        <v>3.040325543E9</v>
      </c>
      <c r="AA505" s="50" t="s">
        <v>20</v>
      </c>
      <c r="AB505" s="50" t="s">
        <v>1649</v>
      </c>
      <c r="AC505" s="50" t="s">
        <v>1945</v>
      </c>
      <c r="AD505" s="19"/>
      <c r="AE505" s="19"/>
      <c r="AF505" s="19"/>
      <c r="AG505" s="19"/>
    </row>
    <row r="506">
      <c r="A506" s="47">
        <f>COUNTIF('Divulgação'!$B:$B,B506)</f>
        <v>1</v>
      </c>
      <c r="B506" s="47" t="s">
        <v>1236</v>
      </c>
      <c r="C506" s="48"/>
      <c r="D506" s="50" t="s">
        <v>1314</v>
      </c>
      <c r="E506" s="50" t="s">
        <v>2007</v>
      </c>
      <c r="F506" s="59">
        <v>46232.0</v>
      </c>
      <c r="G506" s="50" t="s">
        <v>1316</v>
      </c>
      <c r="H506" s="48"/>
      <c r="I506" s="47" t="s">
        <v>1946</v>
      </c>
      <c r="J506" s="50" t="s">
        <v>48</v>
      </c>
      <c r="K506" s="50" t="s">
        <v>1947</v>
      </c>
      <c r="L506" s="47" t="s">
        <v>1948</v>
      </c>
      <c r="M506" s="48"/>
      <c r="N506" s="48"/>
      <c r="O506" s="48"/>
      <c r="P506" s="48"/>
      <c r="Q506" s="50">
        <v>1.0</v>
      </c>
      <c r="R506" s="59">
        <v>46232.0</v>
      </c>
      <c r="S506" s="59">
        <v>46238.0</v>
      </c>
      <c r="T506" s="48"/>
      <c r="U506" s="48"/>
      <c r="V506" s="50" t="s">
        <v>1321</v>
      </c>
      <c r="W506" s="48"/>
      <c r="X506" s="50" t="s">
        <v>12</v>
      </c>
      <c r="Y506" s="50" t="s">
        <v>1322</v>
      </c>
      <c r="Z506" s="50">
        <v>3.040326169E9</v>
      </c>
      <c r="AA506" s="50" t="s">
        <v>12</v>
      </c>
      <c r="AB506" s="50" t="s">
        <v>1385</v>
      </c>
      <c r="AC506" s="50" t="s">
        <v>1949</v>
      </c>
      <c r="AD506" s="19"/>
      <c r="AE506" s="19"/>
      <c r="AF506" s="19"/>
      <c r="AG506" s="19"/>
    </row>
    <row r="507">
      <c r="A507" s="47">
        <f>COUNTIF('Divulgação'!$B:$B,B507)</f>
        <v>1</v>
      </c>
      <c r="B507" s="47" t="s">
        <v>1237</v>
      </c>
      <c r="C507" s="48"/>
      <c r="D507" s="50" t="s">
        <v>1314</v>
      </c>
      <c r="E507" s="50" t="s">
        <v>2007</v>
      </c>
      <c r="F507" s="59">
        <v>46232.0</v>
      </c>
      <c r="G507" s="50" t="s">
        <v>1316</v>
      </c>
      <c r="H507" s="48"/>
      <c r="I507" s="47" t="s">
        <v>1946</v>
      </c>
      <c r="J507" s="50" t="s">
        <v>48</v>
      </c>
      <c r="K507" s="50" t="s">
        <v>1947</v>
      </c>
      <c r="L507" s="47" t="s">
        <v>1950</v>
      </c>
      <c r="M507" s="48"/>
      <c r="N507" s="48"/>
      <c r="O507" s="48"/>
      <c r="P507" s="48"/>
      <c r="Q507" s="50">
        <v>1.0</v>
      </c>
      <c r="R507" s="59">
        <v>46232.0</v>
      </c>
      <c r="S507" s="59">
        <v>46238.0</v>
      </c>
      <c r="T507" s="48"/>
      <c r="U507" s="48"/>
      <c r="V507" s="50" t="s">
        <v>1321</v>
      </c>
      <c r="W507" s="48"/>
      <c r="X507" s="50" t="s">
        <v>12</v>
      </c>
      <c r="Y507" s="50" t="s">
        <v>1322</v>
      </c>
      <c r="Z507" s="50">
        <v>3.040328944E9</v>
      </c>
      <c r="AA507" s="50" t="s">
        <v>12</v>
      </c>
      <c r="AB507" s="50" t="s">
        <v>1385</v>
      </c>
      <c r="AC507" s="50" t="s">
        <v>1949</v>
      </c>
      <c r="AD507" s="19"/>
      <c r="AE507" s="19"/>
      <c r="AF507" s="19"/>
      <c r="AG507" s="19"/>
    </row>
    <row r="508">
      <c r="A508" s="47">
        <f>COUNTIF('Divulgação'!$B:$B,B508)</f>
        <v>1</v>
      </c>
      <c r="B508" s="47" t="s">
        <v>1238</v>
      </c>
      <c r="C508" s="48"/>
      <c r="D508" s="50" t="s">
        <v>1314</v>
      </c>
      <c r="E508" s="50" t="s">
        <v>2007</v>
      </c>
      <c r="F508" s="59">
        <v>46237.0</v>
      </c>
      <c r="G508" s="50" t="s">
        <v>1316</v>
      </c>
      <c r="H508" s="48"/>
      <c r="I508" s="47" t="s">
        <v>1890</v>
      </c>
      <c r="J508" s="50">
        <v>53468.0</v>
      </c>
      <c r="K508" s="50" t="s">
        <v>1598</v>
      </c>
      <c r="L508" s="47" t="s">
        <v>1893</v>
      </c>
      <c r="M508" s="48"/>
      <c r="N508" s="48"/>
      <c r="O508" s="48"/>
      <c r="P508" s="48"/>
      <c r="Q508" s="50">
        <v>1.0</v>
      </c>
      <c r="R508" s="59">
        <v>46237.0</v>
      </c>
      <c r="S508" s="59">
        <v>46241.0</v>
      </c>
      <c r="T508" s="48"/>
      <c r="U508" s="48"/>
      <c r="V508" s="50" t="s">
        <v>1321</v>
      </c>
      <c r="W508" s="48"/>
      <c r="X508" s="50" t="s">
        <v>12</v>
      </c>
      <c r="Y508" s="50" t="s">
        <v>1322</v>
      </c>
      <c r="Z508" s="50">
        <v>3.040317035E9</v>
      </c>
      <c r="AA508" s="50" t="s">
        <v>12</v>
      </c>
      <c r="AB508" s="50" t="s">
        <v>1322</v>
      </c>
      <c r="AC508" s="50" t="s">
        <v>1369</v>
      </c>
      <c r="AD508" s="19"/>
      <c r="AE508" s="19"/>
      <c r="AF508" s="19"/>
      <c r="AG508" s="19"/>
    </row>
    <row r="509">
      <c r="A509" s="47">
        <f>COUNTIF('Divulgação'!$B:$B,B509)</f>
        <v>1</v>
      </c>
      <c r="B509" s="47" t="s">
        <v>1239</v>
      </c>
      <c r="C509" s="48"/>
      <c r="D509" s="50" t="s">
        <v>1314</v>
      </c>
      <c r="E509" s="50" t="s">
        <v>2007</v>
      </c>
      <c r="F509" s="59">
        <v>46237.0</v>
      </c>
      <c r="G509" s="50" t="s">
        <v>1316</v>
      </c>
      <c r="H509" s="48"/>
      <c r="I509" s="47" t="s">
        <v>1890</v>
      </c>
      <c r="J509" s="50">
        <v>53468.0</v>
      </c>
      <c r="K509" s="50" t="s">
        <v>1598</v>
      </c>
      <c r="L509" s="47" t="s">
        <v>2436</v>
      </c>
      <c r="M509" s="48"/>
      <c r="N509" s="48"/>
      <c r="O509" s="48"/>
      <c r="P509" s="48"/>
      <c r="Q509" s="50">
        <v>1.0</v>
      </c>
      <c r="R509" s="59">
        <v>46237.0</v>
      </c>
      <c r="S509" s="59">
        <v>46272.0</v>
      </c>
      <c r="T509" s="48"/>
      <c r="U509" s="48"/>
      <c r="V509" s="50" t="s">
        <v>1321</v>
      </c>
      <c r="W509" s="48"/>
      <c r="X509" s="50" t="s">
        <v>12</v>
      </c>
      <c r="Y509" s="50" t="s">
        <v>1322</v>
      </c>
      <c r="Z509" s="50">
        <v>3.040317036E9</v>
      </c>
      <c r="AA509" s="50" t="s">
        <v>12</v>
      </c>
      <c r="AB509" s="50" t="s">
        <v>1322</v>
      </c>
      <c r="AC509" s="50" t="s">
        <v>1369</v>
      </c>
      <c r="AD509" s="19"/>
      <c r="AE509" s="19"/>
      <c r="AF509" s="19"/>
      <c r="AG509" s="19"/>
    </row>
    <row r="510">
      <c r="A510" s="47">
        <f>COUNTIF('Divulgação'!$B:$B,B510)</f>
        <v>1</v>
      </c>
      <c r="B510" s="47" t="s">
        <v>1240</v>
      </c>
      <c r="C510" s="48"/>
      <c r="D510" s="50" t="s">
        <v>1314</v>
      </c>
      <c r="E510" s="50" t="s">
        <v>2007</v>
      </c>
      <c r="F510" s="59">
        <v>46237.0</v>
      </c>
      <c r="G510" s="50" t="s">
        <v>1316</v>
      </c>
      <c r="H510" s="48"/>
      <c r="I510" s="47" t="s">
        <v>1890</v>
      </c>
      <c r="J510" s="50">
        <v>53468.0</v>
      </c>
      <c r="K510" s="50" t="s">
        <v>1598</v>
      </c>
      <c r="L510" s="47" t="s">
        <v>1892</v>
      </c>
      <c r="M510" s="48"/>
      <c r="N510" s="48"/>
      <c r="O510" s="48"/>
      <c r="P510" s="48"/>
      <c r="Q510" s="50">
        <v>1.0</v>
      </c>
      <c r="R510" s="59">
        <v>46237.0</v>
      </c>
      <c r="S510" s="59">
        <v>46241.0</v>
      </c>
      <c r="T510" s="48"/>
      <c r="U510" s="48"/>
      <c r="V510" s="50" t="s">
        <v>1321</v>
      </c>
      <c r="W510" s="48"/>
      <c r="X510" s="50" t="s">
        <v>12</v>
      </c>
      <c r="Y510" s="50" t="s">
        <v>1322</v>
      </c>
      <c r="Z510" s="50">
        <v>3.040317037E9</v>
      </c>
      <c r="AA510" s="50" t="s">
        <v>12</v>
      </c>
      <c r="AB510" s="50" t="s">
        <v>1322</v>
      </c>
      <c r="AC510" s="50" t="s">
        <v>1369</v>
      </c>
      <c r="AD510" s="19"/>
      <c r="AE510" s="19"/>
      <c r="AF510" s="19"/>
      <c r="AG510" s="19"/>
    </row>
    <row r="511">
      <c r="A511" s="47">
        <f>COUNTIF('Divulgação'!$B:$B,B511)</f>
        <v>1</v>
      </c>
      <c r="B511" s="47" t="s">
        <v>1241</v>
      </c>
      <c r="C511" s="48"/>
      <c r="D511" s="50" t="s">
        <v>1314</v>
      </c>
      <c r="E511" s="50" t="s">
        <v>2007</v>
      </c>
      <c r="F511" s="59">
        <v>46237.0</v>
      </c>
      <c r="G511" s="50" t="s">
        <v>1316</v>
      </c>
      <c r="H511" s="48"/>
      <c r="I511" s="47" t="s">
        <v>1890</v>
      </c>
      <c r="J511" s="50">
        <v>53468.0</v>
      </c>
      <c r="K511" s="50" t="s">
        <v>1598</v>
      </c>
      <c r="L511" s="47" t="s">
        <v>1894</v>
      </c>
      <c r="M511" s="48"/>
      <c r="N511" s="48"/>
      <c r="O511" s="48"/>
      <c r="P511" s="48"/>
      <c r="Q511" s="50">
        <v>1.0</v>
      </c>
      <c r="R511" s="59">
        <v>46237.0</v>
      </c>
      <c r="S511" s="59">
        <v>46272.0</v>
      </c>
      <c r="T511" s="48"/>
      <c r="U511" s="48"/>
      <c r="V511" s="50" t="s">
        <v>1321</v>
      </c>
      <c r="W511" s="48"/>
      <c r="X511" s="50" t="s">
        <v>12</v>
      </c>
      <c r="Y511" s="50" t="s">
        <v>1322</v>
      </c>
      <c r="Z511" s="50">
        <v>3.040317038E9</v>
      </c>
      <c r="AA511" s="50" t="s">
        <v>12</v>
      </c>
      <c r="AB511" s="50" t="s">
        <v>1322</v>
      </c>
      <c r="AC511" s="50" t="s">
        <v>1369</v>
      </c>
      <c r="AD511" s="19"/>
      <c r="AE511" s="19"/>
      <c r="AF511" s="19"/>
      <c r="AG511" s="19"/>
    </row>
    <row r="512">
      <c r="A512" s="47">
        <f>COUNTIF('Divulgação'!$B:$B,B512)</f>
        <v>1</v>
      </c>
      <c r="B512" s="47" t="s">
        <v>1242</v>
      </c>
      <c r="C512" s="48"/>
      <c r="D512" s="50" t="s">
        <v>1314</v>
      </c>
      <c r="E512" s="50" t="s">
        <v>1315</v>
      </c>
      <c r="F512" s="59">
        <v>46240.0</v>
      </c>
      <c r="G512" s="50" t="s">
        <v>1316</v>
      </c>
      <c r="H512" s="59">
        <v>46240.0</v>
      </c>
      <c r="I512" s="47" t="s">
        <v>157</v>
      </c>
      <c r="J512" s="50" t="s">
        <v>232</v>
      </c>
      <c r="K512" s="50" t="s">
        <v>158</v>
      </c>
      <c r="L512" s="47" t="s">
        <v>1905</v>
      </c>
      <c r="M512" s="48"/>
      <c r="N512" s="48"/>
      <c r="O512" s="48"/>
      <c r="P512" s="48"/>
      <c r="Q512" s="50">
        <v>1.0</v>
      </c>
      <c r="R512" s="59">
        <v>46238.0</v>
      </c>
      <c r="S512" s="59">
        <v>46244.0</v>
      </c>
      <c r="T512" s="59">
        <v>46240.0</v>
      </c>
      <c r="U512" s="48"/>
      <c r="V512" s="50" t="s">
        <v>1321</v>
      </c>
      <c r="W512" s="48"/>
      <c r="X512" s="50" t="s">
        <v>12</v>
      </c>
      <c r="Y512" s="50" t="s">
        <v>1322</v>
      </c>
      <c r="Z512" s="50">
        <v>3.040286082E9</v>
      </c>
      <c r="AA512" s="50" t="s">
        <v>16</v>
      </c>
      <c r="AB512" s="50" t="s">
        <v>1331</v>
      </c>
      <c r="AC512" s="50" t="s">
        <v>1906</v>
      </c>
      <c r="AD512" s="19"/>
      <c r="AE512" s="19"/>
      <c r="AF512" s="19"/>
      <c r="AG512" s="19"/>
    </row>
    <row r="513">
      <c r="A513" s="47">
        <f>COUNTIF('Divulgação'!$B:$B,B513)</f>
        <v>1</v>
      </c>
      <c r="B513" s="47" t="s">
        <v>1243</v>
      </c>
      <c r="C513" s="48"/>
      <c r="D513" s="50" t="s">
        <v>1314</v>
      </c>
      <c r="E513" s="50" t="s">
        <v>1315</v>
      </c>
      <c r="F513" s="59">
        <v>46240.0</v>
      </c>
      <c r="G513" s="50" t="s">
        <v>1316</v>
      </c>
      <c r="H513" s="59">
        <v>46240.0</v>
      </c>
      <c r="I513" s="47" t="s">
        <v>157</v>
      </c>
      <c r="J513" s="50" t="s">
        <v>232</v>
      </c>
      <c r="K513" s="50" t="s">
        <v>158</v>
      </c>
      <c r="L513" s="47" t="s">
        <v>1907</v>
      </c>
      <c r="M513" s="48"/>
      <c r="N513" s="48"/>
      <c r="O513" s="48"/>
      <c r="P513" s="48"/>
      <c r="Q513" s="50">
        <v>1.0</v>
      </c>
      <c r="R513" s="59">
        <v>46238.0</v>
      </c>
      <c r="S513" s="59">
        <v>46244.0</v>
      </c>
      <c r="T513" s="59">
        <v>46240.0</v>
      </c>
      <c r="U513" s="48"/>
      <c r="V513" s="50" t="s">
        <v>1321</v>
      </c>
      <c r="W513" s="48"/>
      <c r="X513" s="50" t="s">
        <v>12</v>
      </c>
      <c r="Y513" s="50" t="s">
        <v>1322</v>
      </c>
      <c r="Z513" s="50">
        <v>3.040293676E9</v>
      </c>
      <c r="AA513" s="50" t="s">
        <v>16</v>
      </c>
      <c r="AB513" s="50" t="s">
        <v>1331</v>
      </c>
      <c r="AC513" s="50" t="s">
        <v>1906</v>
      </c>
      <c r="AD513" s="19"/>
      <c r="AE513" s="19"/>
      <c r="AF513" s="19"/>
      <c r="AG513" s="19"/>
    </row>
    <row r="514">
      <c r="A514" s="47">
        <f>COUNTIF('Divulgação'!$B:$B,B514)</f>
        <v>1</v>
      </c>
      <c r="B514" s="47" t="s">
        <v>1244</v>
      </c>
      <c r="C514" s="48"/>
      <c r="D514" s="50" t="s">
        <v>1314</v>
      </c>
      <c r="E514" s="50" t="s">
        <v>1315</v>
      </c>
      <c r="F514" s="59">
        <v>46244.0</v>
      </c>
      <c r="G514" s="50" t="s">
        <v>1316</v>
      </c>
      <c r="H514" s="59">
        <v>46244.0</v>
      </c>
      <c r="I514" s="47" t="s">
        <v>171</v>
      </c>
      <c r="J514" s="50" t="s">
        <v>48</v>
      </c>
      <c r="K514" s="50" t="s">
        <v>1370</v>
      </c>
      <c r="L514" s="47" t="s">
        <v>1908</v>
      </c>
      <c r="M514" s="48"/>
      <c r="N514" s="48"/>
      <c r="O514" s="48"/>
      <c r="P514" s="48"/>
      <c r="Q514" s="50">
        <v>1.0</v>
      </c>
      <c r="R514" s="59">
        <v>46244.0</v>
      </c>
      <c r="S514" s="59">
        <v>46248.0</v>
      </c>
      <c r="T514" s="59">
        <v>46244.0</v>
      </c>
      <c r="U514" s="48"/>
      <c r="V514" s="50" t="s">
        <v>1321</v>
      </c>
      <c r="W514" s="48"/>
      <c r="X514" s="50" t="s">
        <v>12</v>
      </c>
      <c r="Y514" s="50" t="s">
        <v>1322</v>
      </c>
      <c r="Z514" s="50">
        <v>3.040311294E9</v>
      </c>
      <c r="AA514" s="50" t="s">
        <v>13</v>
      </c>
      <c r="AB514" s="50" t="s">
        <v>1377</v>
      </c>
      <c r="AC514" s="50" t="s">
        <v>1686</v>
      </c>
      <c r="AD514" s="19"/>
      <c r="AE514" s="19"/>
      <c r="AF514" s="19"/>
      <c r="AG514" s="19"/>
    </row>
    <row r="515">
      <c r="A515" s="47">
        <f>COUNTIF('Divulgação'!$B:$B,B515)</f>
        <v>1</v>
      </c>
      <c r="B515" s="47" t="s">
        <v>1245</v>
      </c>
      <c r="C515" s="48"/>
      <c r="D515" s="50" t="s">
        <v>1314</v>
      </c>
      <c r="E515" s="50" t="s">
        <v>1315</v>
      </c>
      <c r="F515" s="59">
        <v>46244.0</v>
      </c>
      <c r="G515" s="50" t="s">
        <v>1316</v>
      </c>
      <c r="H515" s="59">
        <v>46244.0</v>
      </c>
      <c r="I515" s="47" t="s">
        <v>171</v>
      </c>
      <c r="J515" s="50" t="s">
        <v>48</v>
      </c>
      <c r="K515" s="50" t="s">
        <v>1370</v>
      </c>
      <c r="L515" s="47" t="s">
        <v>1096</v>
      </c>
      <c r="M515" s="48"/>
      <c r="N515" s="48"/>
      <c r="O515" s="48"/>
      <c r="P515" s="48"/>
      <c r="Q515" s="50">
        <v>1.0</v>
      </c>
      <c r="R515" s="59">
        <v>46244.0</v>
      </c>
      <c r="S515" s="59">
        <v>46248.0</v>
      </c>
      <c r="T515" s="59">
        <v>46244.0</v>
      </c>
      <c r="U515" s="48"/>
      <c r="V515" s="50" t="s">
        <v>1321</v>
      </c>
      <c r="W515" s="48"/>
      <c r="X515" s="50" t="s">
        <v>12</v>
      </c>
      <c r="Y515" s="50" t="s">
        <v>1322</v>
      </c>
      <c r="Z515" s="50">
        <v>3.040323968E9</v>
      </c>
      <c r="AA515" s="50" t="s">
        <v>12</v>
      </c>
      <c r="AB515" s="50" t="s">
        <v>1322</v>
      </c>
      <c r="AC515" s="50" t="s">
        <v>1369</v>
      </c>
      <c r="AD515" s="19"/>
      <c r="AE515" s="19"/>
      <c r="AF515" s="19"/>
      <c r="AG515" s="19"/>
    </row>
    <row r="516">
      <c r="A516" s="47">
        <f>COUNTIF('Divulgação'!$B:$B,B516)</f>
        <v>1</v>
      </c>
      <c r="B516" s="47" t="s">
        <v>1246</v>
      </c>
      <c r="C516" s="48"/>
      <c r="D516" s="50" t="s">
        <v>1314</v>
      </c>
      <c r="E516" s="50" t="s">
        <v>1315</v>
      </c>
      <c r="F516" s="59">
        <v>46244.0</v>
      </c>
      <c r="G516" s="50" t="s">
        <v>1316</v>
      </c>
      <c r="H516" s="59">
        <v>46244.0</v>
      </c>
      <c r="I516" s="47" t="s">
        <v>171</v>
      </c>
      <c r="J516" s="50" t="s">
        <v>48</v>
      </c>
      <c r="K516" s="50" t="s">
        <v>1370</v>
      </c>
      <c r="L516" s="47" t="s">
        <v>1909</v>
      </c>
      <c r="M516" s="48"/>
      <c r="N516" s="48"/>
      <c r="O516" s="48"/>
      <c r="P516" s="48"/>
      <c r="Q516" s="50">
        <v>1.0</v>
      </c>
      <c r="R516" s="59">
        <v>46244.0</v>
      </c>
      <c r="S516" s="59">
        <v>46248.0</v>
      </c>
      <c r="T516" s="59">
        <v>46244.0</v>
      </c>
      <c r="U516" s="48"/>
      <c r="V516" s="50" t="s">
        <v>1321</v>
      </c>
      <c r="W516" s="48"/>
      <c r="X516" s="50" t="s">
        <v>12</v>
      </c>
      <c r="Y516" s="50" t="s">
        <v>1322</v>
      </c>
      <c r="Z516" s="50">
        <v>3.040314102E9</v>
      </c>
      <c r="AA516" s="50" t="s">
        <v>12</v>
      </c>
      <c r="AB516" s="50" t="s">
        <v>1385</v>
      </c>
      <c r="AC516" s="50" t="s">
        <v>1910</v>
      </c>
      <c r="AD516" s="19"/>
      <c r="AE516" s="19"/>
      <c r="AF516" s="19"/>
      <c r="AG516" s="19"/>
    </row>
    <row r="517">
      <c r="A517" s="47">
        <f>COUNTIF('Divulgação'!$B:$B,B517)</f>
        <v>1</v>
      </c>
      <c r="B517" s="47" t="s">
        <v>1247</v>
      </c>
      <c r="C517" s="48"/>
      <c r="D517" s="50" t="s">
        <v>1314</v>
      </c>
      <c r="E517" s="50" t="s">
        <v>1315</v>
      </c>
      <c r="F517" s="59">
        <v>46252.0</v>
      </c>
      <c r="G517" s="50" t="s">
        <v>1316</v>
      </c>
      <c r="H517" s="59">
        <v>46252.0</v>
      </c>
      <c r="I517" s="47" t="s">
        <v>171</v>
      </c>
      <c r="J517" s="50" t="s">
        <v>48</v>
      </c>
      <c r="K517" s="50" t="s">
        <v>1370</v>
      </c>
      <c r="L517" s="47" t="s">
        <v>1923</v>
      </c>
      <c r="M517" s="48"/>
      <c r="N517" s="48"/>
      <c r="O517" s="48"/>
      <c r="P517" s="48"/>
      <c r="Q517" s="50">
        <v>1.0</v>
      </c>
      <c r="R517" s="59">
        <v>46244.0</v>
      </c>
      <c r="S517" s="59">
        <v>46248.0</v>
      </c>
      <c r="T517" s="59">
        <v>46252.0</v>
      </c>
      <c r="U517" s="48"/>
      <c r="V517" s="50" t="s">
        <v>1321</v>
      </c>
      <c r="W517" s="48"/>
      <c r="X517" s="50" t="s">
        <v>12</v>
      </c>
      <c r="Y517" s="50" t="s">
        <v>1322</v>
      </c>
      <c r="Z517" s="50">
        <v>3.040313181E9</v>
      </c>
      <c r="AA517" s="50" t="s">
        <v>12</v>
      </c>
      <c r="AB517" s="50" t="s">
        <v>1322</v>
      </c>
      <c r="AC517" s="50" t="s">
        <v>1434</v>
      </c>
      <c r="AD517" s="19"/>
      <c r="AE517" s="19"/>
      <c r="AF517" s="19"/>
      <c r="AG517" s="19"/>
    </row>
    <row r="518">
      <c r="A518" s="47">
        <f>COUNTIF('Divulgação'!$B:$B,B518)</f>
        <v>1</v>
      </c>
      <c r="B518" s="47" t="s">
        <v>1248</v>
      </c>
      <c r="C518" s="48"/>
      <c r="D518" s="50" t="s">
        <v>1314</v>
      </c>
      <c r="E518" s="50" t="s">
        <v>1315</v>
      </c>
      <c r="F518" s="59">
        <v>46252.0</v>
      </c>
      <c r="G518" s="50" t="s">
        <v>1316</v>
      </c>
      <c r="H518" s="59">
        <v>46252.0</v>
      </c>
      <c r="I518" s="47" t="s">
        <v>171</v>
      </c>
      <c r="J518" s="50" t="s">
        <v>48</v>
      </c>
      <c r="K518" s="50" t="s">
        <v>1370</v>
      </c>
      <c r="L518" s="47" t="s">
        <v>1920</v>
      </c>
      <c r="M518" s="48"/>
      <c r="N518" s="48"/>
      <c r="O518" s="48"/>
      <c r="P518" s="48"/>
      <c r="Q518" s="50">
        <v>1.0</v>
      </c>
      <c r="R518" s="59">
        <v>46244.0</v>
      </c>
      <c r="S518" s="59">
        <v>46248.0</v>
      </c>
      <c r="T518" s="59">
        <v>46252.0</v>
      </c>
      <c r="U518" s="48"/>
      <c r="V518" s="50" t="s">
        <v>1321</v>
      </c>
      <c r="W518" s="48"/>
      <c r="X518" s="50" t="s">
        <v>12</v>
      </c>
      <c r="Y518" s="50" t="s">
        <v>1322</v>
      </c>
      <c r="Z518" s="50">
        <v>3.040319889E9</v>
      </c>
      <c r="AA518" s="50" t="s">
        <v>17</v>
      </c>
      <c r="AB518" s="50" t="s">
        <v>1458</v>
      </c>
      <c r="AC518" s="50" t="s">
        <v>1459</v>
      </c>
      <c r="AD518" s="19"/>
      <c r="AE518" s="19"/>
      <c r="AF518" s="19"/>
      <c r="AG518" s="19"/>
    </row>
    <row r="519">
      <c r="A519" s="47">
        <f>COUNTIF('Divulgação'!$B:$B,B519)</f>
        <v>1</v>
      </c>
      <c r="B519" s="47" t="s">
        <v>1249</v>
      </c>
      <c r="C519" s="48"/>
      <c r="D519" s="50" t="s">
        <v>1314</v>
      </c>
      <c r="E519" s="50" t="s">
        <v>1315</v>
      </c>
      <c r="F519" s="59">
        <v>46252.0</v>
      </c>
      <c r="G519" s="50" t="s">
        <v>1316</v>
      </c>
      <c r="H519" s="59">
        <v>46252.0</v>
      </c>
      <c r="I519" s="47" t="s">
        <v>171</v>
      </c>
      <c r="J519" s="50" t="s">
        <v>48</v>
      </c>
      <c r="K519" s="50" t="s">
        <v>1370</v>
      </c>
      <c r="L519" s="47" t="s">
        <v>1922</v>
      </c>
      <c r="M519" s="48"/>
      <c r="N519" s="48"/>
      <c r="O519" s="48"/>
      <c r="P519" s="48"/>
      <c r="Q519" s="50">
        <v>1.0</v>
      </c>
      <c r="R519" s="59">
        <v>46244.0</v>
      </c>
      <c r="S519" s="59">
        <v>46248.0</v>
      </c>
      <c r="T519" s="59">
        <v>46252.0</v>
      </c>
      <c r="U519" s="48"/>
      <c r="V519" s="50" t="s">
        <v>1321</v>
      </c>
      <c r="W519" s="48"/>
      <c r="X519" s="50" t="s">
        <v>12</v>
      </c>
      <c r="Y519" s="50" t="s">
        <v>1322</v>
      </c>
      <c r="Z519" s="50">
        <v>3.040323969E9</v>
      </c>
      <c r="AA519" s="50" t="s">
        <v>12</v>
      </c>
      <c r="AB519" s="50" t="s">
        <v>1322</v>
      </c>
      <c r="AC519" s="50" t="s">
        <v>1369</v>
      </c>
      <c r="AD519" s="19"/>
      <c r="AE519" s="19"/>
      <c r="AF519" s="19"/>
      <c r="AG519" s="19"/>
    </row>
    <row r="520">
      <c r="A520" s="47">
        <f>COUNTIF('Divulgação'!$B:$B,B520)</f>
        <v>2</v>
      </c>
      <c r="B520" s="47" t="s">
        <v>1250</v>
      </c>
      <c r="C520" s="48"/>
      <c r="D520" s="50" t="s">
        <v>1314</v>
      </c>
      <c r="E520" s="50" t="s">
        <v>1315</v>
      </c>
      <c r="F520" s="59">
        <v>46254.0</v>
      </c>
      <c r="G520" s="50" t="s">
        <v>1316</v>
      </c>
      <c r="H520" s="59">
        <v>46254.0</v>
      </c>
      <c r="I520" s="47" t="s">
        <v>1745</v>
      </c>
      <c r="J520" s="50">
        <v>22373.0</v>
      </c>
      <c r="K520" s="50" t="s">
        <v>1746</v>
      </c>
      <c r="L520" s="47" t="s">
        <v>1952</v>
      </c>
      <c r="M520" s="48"/>
      <c r="N520" s="48"/>
      <c r="O520" s="48"/>
      <c r="P520" s="48"/>
      <c r="Q520" s="50">
        <v>1.0</v>
      </c>
      <c r="R520" s="59">
        <v>46253.0</v>
      </c>
      <c r="S520" s="59">
        <v>46259.0</v>
      </c>
      <c r="T520" s="59">
        <v>46254.0</v>
      </c>
      <c r="U520" s="48"/>
      <c r="V520" s="50" t="s">
        <v>1321</v>
      </c>
      <c r="W520" s="48"/>
      <c r="X520" s="50" t="s">
        <v>12</v>
      </c>
      <c r="Y520" s="50" t="s">
        <v>1322</v>
      </c>
      <c r="Z520" s="50">
        <v>3.040323974E9</v>
      </c>
      <c r="AA520" s="50" t="s">
        <v>12</v>
      </c>
      <c r="AB520" s="50" t="s">
        <v>1322</v>
      </c>
      <c r="AC520" s="50" t="s">
        <v>1369</v>
      </c>
      <c r="AD520" s="19"/>
      <c r="AE520" s="19"/>
      <c r="AF520" s="19"/>
      <c r="AG520" s="19"/>
    </row>
    <row r="521">
      <c r="A521" s="47">
        <f>COUNTIF('Divulgação'!$B:$B,B521)</f>
        <v>2</v>
      </c>
      <c r="B521" s="47" t="s">
        <v>1251</v>
      </c>
      <c r="C521" s="48"/>
      <c r="D521" s="50" t="s">
        <v>1314</v>
      </c>
      <c r="E521" s="50" t="s">
        <v>1315</v>
      </c>
      <c r="F521" s="59">
        <v>46254.0</v>
      </c>
      <c r="G521" s="50" t="s">
        <v>1316</v>
      </c>
      <c r="H521" s="59">
        <v>46254.0</v>
      </c>
      <c r="I521" s="47" t="s">
        <v>1745</v>
      </c>
      <c r="J521" s="50">
        <v>22373.0</v>
      </c>
      <c r="K521" s="50" t="s">
        <v>1746</v>
      </c>
      <c r="L521" s="47" t="s">
        <v>1951</v>
      </c>
      <c r="M521" s="48"/>
      <c r="N521" s="48"/>
      <c r="O521" s="48"/>
      <c r="P521" s="48"/>
      <c r="Q521" s="50">
        <v>1.0</v>
      </c>
      <c r="R521" s="59">
        <v>46253.0</v>
      </c>
      <c r="S521" s="59">
        <v>46259.0</v>
      </c>
      <c r="T521" s="59">
        <v>46254.0</v>
      </c>
      <c r="U521" s="48"/>
      <c r="V521" s="50" t="s">
        <v>1321</v>
      </c>
      <c r="W521" s="48"/>
      <c r="X521" s="50" t="s">
        <v>12</v>
      </c>
      <c r="Y521" s="50" t="s">
        <v>1322</v>
      </c>
      <c r="Z521" s="50">
        <v>3.040324236E9</v>
      </c>
      <c r="AA521" s="50" t="s">
        <v>17</v>
      </c>
      <c r="AB521" s="50" t="s">
        <v>1458</v>
      </c>
      <c r="AC521" s="50" t="s">
        <v>1689</v>
      </c>
      <c r="AD521" s="19"/>
      <c r="AE521" s="19"/>
      <c r="AF521" s="19"/>
      <c r="AG521" s="19"/>
    </row>
    <row r="522">
      <c r="A522" s="47">
        <f>COUNTIF('Divulgação'!$B:$B,B522)</f>
        <v>1</v>
      </c>
      <c r="B522" s="47" t="s">
        <v>1252</v>
      </c>
      <c r="C522" s="48"/>
      <c r="D522" s="50" t="s">
        <v>1314</v>
      </c>
      <c r="E522" s="50" t="s">
        <v>1315</v>
      </c>
      <c r="F522" s="59">
        <v>46254.0</v>
      </c>
      <c r="G522" s="50" t="s">
        <v>1316</v>
      </c>
      <c r="H522" s="59">
        <v>46254.0</v>
      </c>
      <c r="I522" s="47" t="s">
        <v>1745</v>
      </c>
      <c r="J522" s="50">
        <v>22373.0</v>
      </c>
      <c r="K522" s="50" t="s">
        <v>1746</v>
      </c>
      <c r="L522" s="47" t="s">
        <v>1953</v>
      </c>
      <c r="M522" s="48"/>
      <c r="N522" s="48"/>
      <c r="O522" s="48"/>
      <c r="P522" s="48"/>
      <c r="Q522" s="50">
        <v>1.0</v>
      </c>
      <c r="R522" s="59">
        <v>46253.0</v>
      </c>
      <c r="S522" s="59">
        <v>46259.0</v>
      </c>
      <c r="T522" s="59">
        <v>46254.0</v>
      </c>
      <c r="U522" s="48"/>
      <c r="V522" s="50" t="s">
        <v>1321</v>
      </c>
      <c r="W522" s="48"/>
      <c r="X522" s="50" t="s">
        <v>12</v>
      </c>
      <c r="Y522" s="50" t="s">
        <v>1322</v>
      </c>
      <c r="Z522" s="50">
        <v>3.040323053E9</v>
      </c>
      <c r="AA522" s="50" t="s">
        <v>15</v>
      </c>
      <c r="AB522" s="50" t="s">
        <v>1348</v>
      </c>
      <c r="AC522" s="50" t="s">
        <v>1641</v>
      </c>
      <c r="AD522" s="19"/>
      <c r="AE522" s="19"/>
      <c r="AF522" s="19"/>
      <c r="AG522" s="19"/>
    </row>
    <row r="523">
      <c r="A523" s="47">
        <f>COUNTIF('Divulgação'!$B:$B,B523)</f>
        <v>1</v>
      </c>
      <c r="B523" s="47" t="s">
        <v>1253</v>
      </c>
      <c r="C523" s="48"/>
      <c r="D523" s="50" t="s">
        <v>1314</v>
      </c>
      <c r="E523" s="50" t="s">
        <v>1315</v>
      </c>
      <c r="F523" s="59">
        <v>46265.0</v>
      </c>
      <c r="G523" s="50" t="s">
        <v>1316</v>
      </c>
      <c r="H523" s="59">
        <v>46265.0</v>
      </c>
      <c r="I523" s="47" t="s">
        <v>169</v>
      </c>
      <c r="J523" s="50" t="s">
        <v>48</v>
      </c>
      <c r="K523" s="50" t="s">
        <v>170</v>
      </c>
      <c r="L523" s="47" t="s">
        <v>1958</v>
      </c>
      <c r="M523" s="48"/>
      <c r="N523" s="48"/>
      <c r="O523" s="48"/>
      <c r="P523" s="48"/>
      <c r="Q523" s="50">
        <v>1.0</v>
      </c>
      <c r="R523" s="59">
        <v>46265.0</v>
      </c>
      <c r="S523" s="59">
        <v>46293.0</v>
      </c>
      <c r="T523" s="59">
        <v>46265.0</v>
      </c>
      <c r="U523" s="48"/>
      <c r="V523" s="50" t="s">
        <v>1321</v>
      </c>
      <c r="W523" s="48"/>
      <c r="X523" s="50" t="s">
        <v>12</v>
      </c>
      <c r="Y523" s="50" t="s">
        <v>1322</v>
      </c>
      <c r="Z523" s="50">
        <v>3.040253768E9</v>
      </c>
      <c r="AA523" s="50" t="s">
        <v>12</v>
      </c>
      <c r="AB523" s="50" t="s">
        <v>1385</v>
      </c>
      <c r="AC523" s="50" t="s">
        <v>1959</v>
      </c>
      <c r="AD523" s="19"/>
      <c r="AE523" s="19"/>
      <c r="AF523" s="19"/>
      <c r="AG523" s="19"/>
    </row>
    <row r="524">
      <c r="A524" s="47">
        <f>COUNTIF('Divulgação'!$B:$B,B524)</f>
        <v>1</v>
      </c>
      <c r="B524" s="47" t="s">
        <v>1254</v>
      </c>
      <c r="C524" s="48"/>
      <c r="D524" s="50" t="s">
        <v>1314</v>
      </c>
      <c r="E524" s="50" t="s">
        <v>1315</v>
      </c>
      <c r="F524" s="59">
        <v>46265.0</v>
      </c>
      <c r="G524" s="50" t="s">
        <v>1316</v>
      </c>
      <c r="H524" s="59">
        <v>46265.0</v>
      </c>
      <c r="I524" s="47" t="s">
        <v>169</v>
      </c>
      <c r="J524" s="50" t="s">
        <v>48</v>
      </c>
      <c r="K524" s="50" t="s">
        <v>170</v>
      </c>
      <c r="L524" s="47" t="s">
        <v>1956</v>
      </c>
      <c r="M524" s="48"/>
      <c r="N524" s="48"/>
      <c r="O524" s="48"/>
      <c r="P524" s="48"/>
      <c r="Q524" s="50">
        <v>1.0</v>
      </c>
      <c r="R524" s="59">
        <v>46265.0</v>
      </c>
      <c r="S524" s="59">
        <v>46269.0</v>
      </c>
      <c r="T524" s="59">
        <v>46265.0</v>
      </c>
      <c r="U524" s="48"/>
      <c r="V524" s="50" t="s">
        <v>1321</v>
      </c>
      <c r="W524" s="48"/>
      <c r="X524" s="50" t="s">
        <v>12</v>
      </c>
      <c r="Y524" s="50" t="s">
        <v>1322</v>
      </c>
      <c r="Z524" s="50">
        <v>3.04023719E9</v>
      </c>
      <c r="AA524" s="50" t="s">
        <v>1376</v>
      </c>
      <c r="AB524" s="50" t="s">
        <v>1377</v>
      </c>
      <c r="AC524" s="50" t="s">
        <v>1369</v>
      </c>
      <c r="AD524" s="19"/>
      <c r="AE524" s="19"/>
      <c r="AF524" s="19"/>
      <c r="AG524" s="19"/>
    </row>
    <row r="525">
      <c r="A525" s="47">
        <f>COUNTIF('Divulgação'!$B:$B,B525)</f>
        <v>1</v>
      </c>
      <c r="B525" s="47" t="s">
        <v>1255</v>
      </c>
      <c r="C525" s="48"/>
      <c r="D525" s="50" t="s">
        <v>1314</v>
      </c>
      <c r="E525" s="50" t="s">
        <v>1315</v>
      </c>
      <c r="F525" s="59">
        <v>46265.0</v>
      </c>
      <c r="G525" s="50" t="s">
        <v>1316</v>
      </c>
      <c r="H525" s="59">
        <v>46265.0</v>
      </c>
      <c r="I525" s="47" t="s">
        <v>169</v>
      </c>
      <c r="J525" s="50" t="s">
        <v>48</v>
      </c>
      <c r="K525" s="50" t="s">
        <v>170</v>
      </c>
      <c r="L525" s="47" t="s">
        <v>1957</v>
      </c>
      <c r="M525" s="48"/>
      <c r="N525" s="48"/>
      <c r="O525" s="48"/>
      <c r="P525" s="48"/>
      <c r="Q525" s="50">
        <v>1.0</v>
      </c>
      <c r="R525" s="59">
        <v>46265.0</v>
      </c>
      <c r="S525" s="59">
        <v>46269.0</v>
      </c>
      <c r="T525" s="59">
        <v>46265.0</v>
      </c>
      <c r="U525" s="48"/>
      <c r="V525" s="50" t="s">
        <v>1321</v>
      </c>
      <c r="W525" s="48"/>
      <c r="X525" s="50" t="s">
        <v>12</v>
      </c>
      <c r="Y525" s="50" t="s">
        <v>1322</v>
      </c>
      <c r="Z525" s="50">
        <v>3.040083159E9</v>
      </c>
      <c r="AA525" s="50" t="s">
        <v>12</v>
      </c>
      <c r="AB525" s="50" t="s">
        <v>1385</v>
      </c>
      <c r="AC525" s="50" t="s">
        <v>1835</v>
      </c>
      <c r="AD525" s="19"/>
      <c r="AE525" s="19"/>
      <c r="AF525" s="19"/>
      <c r="AG525" s="19"/>
    </row>
    <row r="526">
      <c r="A526" s="47">
        <f>COUNTIF('Divulgação'!$B:$B,B526)</f>
        <v>1</v>
      </c>
      <c r="B526" s="47" t="s">
        <v>1256</v>
      </c>
      <c r="C526" s="48"/>
      <c r="D526" s="50" t="s">
        <v>1314</v>
      </c>
      <c r="E526" s="50" t="s">
        <v>1315</v>
      </c>
      <c r="F526" s="59">
        <v>46265.0</v>
      </c>
      <c r="G526" s="50" t="s">
        <v>1316</v>
      </c>
      <c r="H526" s="59">
        <v>46265.0</v>
      </c>
      <c r="I526" s="47" t="s">
        <v>169</v>
      </c>
      <c r="J526" s="50" t="s">
        <v>48</v>
      </c>
      <c r="K526" s="50" t="s">
        <v>170</v>
      </c>
      <c r="L526" s="47" t="s">
        <v>1960</v>
      </c>
      <c r="M526" s="48"/>
      <c r="N526" s="48"/>
      <c r="O526" s="48"/>
      <c r="P526" s="48"/>
      <c r="Q526" s="50">
        <v>1.0</v>
      </c>
      <c r="R526" s="59">
        <v>46265.0</v>
      </c>
      <c r="S526" s="59">
        <v>46269.0</v>
      </c>
      <c r="T526" s="59">
        <v>46265.0</v>
      </c>
      <c r="U526" s="48"/>
      <c r="V526" s="50" t="s">
        <v>1321</v>
      </c>
      <c r="W526" s="48"/>
      <c r="X526" s="50" t="s">
        <v>12</v>
      </c>
      <c r="Y526" s="50" t="s">
        <v>1322</v>
      </c>
      <c r="Z526" s="50">
        <v>3.040286561E9</v>
      </c>
      <c r="AA526" s="50" t="s">
        <v>19</v>
      </c>
      <c r="AB526" s="50" t="s">
        <v>1402</v>
      </c>
      <c r="AC526" s="50" t="s">
        <v>2019</v>
      </c>
      <c r="AD526" s="19"/>
      <c r="AE526" s="19"/>
      <c r="AF526" s="19"/>
      <c r="AG526" s="19"/>
    </row>
    <row r="527">
      <c r="A527" s="47">
        <f>COUNTIF('Divulgação'!$B:$B,B527)</f>
        <v>1</v>
      </c>
      <c r="B527" s="47" t="s">
        <v>1257</v>
      </c>
      <c r="C527" s="48"/>
      <c r="D527" s="50" t="s">
        <v>1314</v>
      </c>
      <c r="E527" s="50" t="s">
        <v>1315</v>
      </c>
      <c r="F527" s="59">
        <v>46269.0</v>
      </c>
      <c r="G527" s="50" t="s">
        <v>1316</v>
      </c>
      <c r="H527" s="59">
        <v>46269.0</v>
      </c>
      <c r="I527" s="47" t="s">
        <v>1961</v>
      </c>
      <c r="J527" s="50" t="s">
        <v>48</v>
      </c>
      <c r="K527" s="50" t="s">
        <v>1671</v>
      </c>
      <c r="L527" s="47" t="s">
        <v>1962</v>
      </c>
      <c r="M527" s="48"/>
      <c r="N527" s="48"/>
      <c r="O527" s="48"/>
      <c r="P527" s="48"/>
      <c r="Q527" s="50">
        <v>1.0</v>
      </c>
      <c r="R527" s="59">
        <v>46268.0</v>
      </c>
      <c r="S527" s="59">
        <v>46275.0</v>
      </c>
      <c r="T527" s="59">
        <v>46269.0</v>
      </c>
      <c r="U527" s="48"/>
      <c r="V527" s="50" t="s">
        <v>1321</v>
      </c>
      <c r="W527" s="48"/>
      <c r="X527" s="50" t="s">
        <v>12</v>
      </c>
      <c r="Y527" s="50" t="s">
        <v>1322</v>
      </c>
      <c r="Z527" s="50">
        <v>3.040327226E9</v>
      </c>
      <c r="AA527" s="50" t="s">
        <v>16</v>
      </c>
      <c r="AB527" s="50" t="s">
        <v>1551</v>
      </c>
      <c r="AC527" s="50" t="s">
        <v>1552</v>
      </c>
      <c r="AD527" s="19"/>
      <c r="AE527" s="19"/>
      <c r="AF527" s="19"/>
      <c r="AG527" s="19"/>
    </row>
    <row r="528">
      <c r="A528" s="47">
        <f>COUNTIF('Divulgação'!$B:$B,B528)</f>
        <v>1</v>
      </c>
      <c r="B528" s="47" t="s">
        <v>1258</v>
      </c>
      <c r="C528" s="48"/>
      <c r="D528" s="50" t="s">
        <v>1314</v>
      </c>
      <c r="E528" s="50" t="s">
        <v>1315</v>
      </c>
      <c r="F528" s="59">
        <v>46274.0</v>
      </c>
      <c r="G528" s="50" t="s">
        <v>1316</v>
      </c>
      <c r="H528" s="59">
        <v>46274.0</v>
      </c>
      <c r="I528" s="47" t="s">
        <v>1361</v>
      </c>
      <c r="J528" s="50" t="s">
        <v>48</v>
      </c>
      <c r="K528" s="50" t="s">
        <v>1362</v>
      </c>
      <c r="L528" s="47" t="s">
        <v>1963</v>
      </c>
      <c r="M528" s="48"/>
      <c r="N528" s="48"/>
      <c r="O528" s="48"/>
      <c r="P528" s="48"/>
      <c r="Q528" s="50">
        <v>1.0</v>
      </c>
      <c r="R528" s="59">
        <v>46273.0</v>
      </c>
      <c r="S528" s="59">
        <v>46279.0</v>
      </c>
      <c r="T528" s="59">
        <v>46274.0</v>
      </c>
      <c r="U528" s="48"/>
      <c r="V528" s="50" t="s">
        <v>1321</v>
      </c>
      <c r="W528" s="48"/>
      <c r="X528" s="50" t="s">
        <v>12</v>
      </c>
      <c r="Y528" s="50" t="s">
        <v>1322</v>
      </c>
      <c r="Z528" s="50">
        <v>3.040326247E9</v>
      </c>
      <c r="AA528" s="50" t="s">
        <v>12</v>
      </c>
      <c r="AB528" s="50" t="s">
        <v>1322</v>
      </c>
      <c r="AC528" s="50" t="s">
        <v>1336</v>
      </c>
      <c r="AD528" s="19"/>
      <c r="AE528" s="19"/>
      <c r="AF528" s="19"/>
      <c r="AG528" s="19"/>
    </row>
    <row r="529">
      <c r="A529" s="47">
        <f>COUNTIF('Divulgação'!$B:$B,B529)</f>
        <v>1</v>
      </c>
      <c r="B529" s="47" t="s">
        <v>1259</v>
      </c>
      <c r="C529" s="48"/>
      <c r="D529" s="50" t="s">
        <v>1314</v>
      </c>
      <c r="E529" s="50" t="s">
        <v>1315</v>
      </c>
      <c r="F529" s="59">
        <v>46274.0</v>
      </c>
      <c r="G529" s="50" t="s">
        <v>1316</v>
      </c>
      <c r="H529" s="59">
        <v>46274.0</v>
      </c>
      <c r="I529" s="47" t="s">
        <v>1361</v>
      </c>
      <c r="J529" s="50" t="s">
        <v>48</v>
      </c>
      <c r="K529" s="50" t="s">
        <v>1362</v>
      </c>
      <c r="L529" s="47" t="s">
        <v>1964</v>
      </c>
      <c r="M529" s="48"/>
      <c r="N529" s="48"/>
      <c r="O529" s="48"/>
      <c r="P529" s="48"/>
      <c r="Q529" s="50">
        <v>1.0</v>
      </c>
      <c r="R529" s="59">
        <v>46273.0</v>
      </c>
      <c r="S529" s="59">
        <v>46279.0</v>
      </c>
      <c r="T529" s="59">
        <v>46274.0</v>
      </c>
      <c r="U529" s="48"/>
      <c r="V529" s="50" t="s">
        <v>1321</v>
      </c>
      <c r="W529" s="48"/>
      <c r="X529" s="50" t="s">
        <v>12</v>
      </c>
      <c r="Y529" s="50" t="s">
        <v>1322</v>
      </c>
      <c r="Z529" s="50">
        <v>3.040328239E9</v>
      </c>
      <c r="AA529" s="50" t="s">
        <v>17</v>
      </c>
      <c r="AB529" s="50" t="s">
        <v>1458</v>
      </c>
      <c r="AC529" s="50" t="s">
        <v>1965</v>
      </c>
      <c r="AD529" s="19"/>
      <c r="AE529" s="19"/>
      <c r="AF529" s="19"/>
      <c r="AG529" s="19"/>
    </row>
    <row r="530">
      <c r="A530" s="47">
        <f>COUNTIF('Divulgação'!$B:$B,B530)</f>
        <v>1</v>
      </c>
      <c r="B530" s="47" t="s">
        <v>1260</v>
      </c>
      <c r="C530" s="48"/>
      <c r="D530" s="50" t="s">
        <v>1314</v>
      </c>
      <c r="E530" s="50" t="s">
        <v>1315</v>
      </c>
      <c r="F530" s="59">
        <v>46274.0</v>
      </c>
      <c r="G530" s="50" t="s">
        <v>1316</v>
      </c>
      <c r="H530" s="59">
        <v>46274.0</v>
      </c>
      <c r="I530" s="47" t="s">
        <v>1394</v>
      </c>
      <c r="J530" s="50" t="s">
        <v>1395</v>
      </c>
      <c r="K530" s="50" t="s">
        <v>1396</v>
      </c>
      <c r="L530" s="47" t="s">
        <v>1967</v>
      </c>
      <c r="M530" s="48"/>
      <c r="N530" s="48"/>
      <c r="O530" s="48"/>
      <c r="P530" s="48"/>
      <c r="Q530" s="50">
        <v>1.0</v>
      </c>
      <c r="R530" s="59">
        <v>46273.0</v>
      </c>
      <c r="S530" s="59">
        <v>46279.0</v>
      </c>
      <c r="T530" s="59">
        <v>46274.0</v>
      </c>
      <c r="U530" s="48"/>
      <c r="V530" s="50" t="s">
        <v>1321</v>
      </c>
      <c r="W530" s="48"/>
      <c r="X530" s="50" t="s">
        <v>12</v>
      </c>
      <c r="Y530" s="50" t="s">
        <v>1322</v>
      </c>
      <c r="Z530" s="50">
        <v>3.040330022E9</v>
      </c>
      <c r="AA530" s="50" t="s">
        <v>1491</v>
      </c>
      <c r="AB530" s="50" t="s">
        <v>1492</v>
      </c>
      <c r="AC530" s="50" t="s">
        <v>1968</v>
      </c>
      <c r="AD530" s="19"/>
      <c r="AE530" s="19"/>
      <c r="AF530" s="19"/>
      <c r="AG530" s="19"/>
    </row>
    <row r="531">
      <c r="A531" s="47">
        <f>COUNTIF('Divulgação'!$B:$B,B531)</f>
        <v>1</v>
      </c>
      <c r="B531" s="47" t="s">
        <v>1261</v>
      </c>
      <c r="C531" s="48"/>
      <c r="D531" s="50" t="s">
        <v>1314</v>
      </c>
      <c r="E531" s="50" t="s">
        <v>1315</v>
      </c>
      <c r="F531" s="59">
        <v>46274.0</v>
      </c>
      <c r="G531" s="50" t="s">
        <v>1316</v>
      </c>
      <c r="H531" s="59">
        <v>46274.0</v>
      </c>
      <c r="I531" s="47" t="s">
        <v>61</v>
      </c>
      <c r="J531" s="50" t="s">
        <v>1399</v>
      </c>
      <c r="K531" s="50" t="s">
        <v>1438</v>
      </c>
      <c r="L531" s="47" t="s">
        <v>1969</v>
      </c>
      <c r="M531" s="48"/>
      <c r="N531" s="48"/>
      <c r="O531" s="48"/>
      <c r="P531" s="48"/>
      <c r="Q531" s="50">
        <v>1.0</v>
      </c>
      <c r="R531" s="59">
        <v>46273.0</v>
      </c>
      <c r="S531" s="59">
        <v>46279.0</v>
      </c>
      <c r="T531" s="59">
        <v>46274.0</v>
      </c>
      <c r="U531" s="48"/>
      <c r="V531" s="50" t="s">
        <v>1321</v>
      </c>
      <c r="W531" s="48"/>
      <c r="X531" s="50" t="s">
        <v>12</v>
      </c>
      <c r="Y531" s="50" t="s">
        <v>1322</v>
      </c>
      <c r="Z531" s="50">
        <v>3.040328926E9</v>
      </c>
      <c r="AA531" s="50" t="s">
        <v>16</v>
      </c>
      <c r="AB531" s="50" t="s">
        <v>1551</v>
      </c>
      <c r="AC531" s="50" t="s">
        <v>1552</v>
      </c>
      <c r="AD531" s="19"/>
      <c r="AE531" s="19"/>
      <c r="AF531" s="19"/>
      <c r="AG531" s="19"/>
    </row>
    <row r="532">
      <c r="A532" s="47">
        <f>COUNTIF('Divulgação'!$B:$B,B532)</f>
        <v>1</v>
      </c>
      <c r="B532" s="47" t="s">
        <v>1262</v>
      </c>
      <c r="C532" s="48"/>
      <c r="D532" s="50" t="s">
        <v>1314</v>
      </c>
      <c r="E532" s="50" t="s">
        <v>1315</v>
      </c>
      <c r="F532" s="59">
        <v>46274.0</v>
      </c>
      <c r="G532" s="50" t="s">
        <v>1316</v>
      </c>
      <c r="H532" s="59">
        <v>46274.0</v>
      </c>
      <c r="I532" s="47" t="s">
        <v>1436</v>
      </c>
      <c r="J532" s="50" t="s">
        <v>1395</v>
      </c>
      <c r="K532" s="50" t="s">
        <v>1437</v>
      </c>
      <c r="L532" s="47" t="s">
        <v>419</v>
      </c>
      <c r="M532" s="48"/>
      <c r="N532" s="48"/>
      <c r="O532" s="48"/>
      <c r="P532" s="48"/>
      <c r="Q532" s="50">
        <v>1.0</v>
      </c>
      <c r="R532" s="59">
        <v>46273.0</v>
      </c>
      <c r="S532" s="59">
        <v>46279.0</v>
      </c>
      <c r="T532" s="59">
        <v>46274.0</v>
      </c>
      <c r="U532" s="48"/>
      <c r="V532" s="50" t="s">
        <v>1321</v>
      </c>
      <c r="W532" s="48"/>
      <c r="X532" s="50" t="s">
        <v>12</v>
      </c>
      <c r="Y532" s="50" t="s">
        <v>1322</v>
      </c>
      <c r="Z532" s="50">
        <v>3.040330023E9</v>
      </c>
      <c r="AA532" s="50" t="s">
        <v>1491</v>
      </c>
      <c r="AB532" s="50" t="s">
        <v>1492</v>
      </c>
      <c r="AC532" s="50" t="s">
        <v>1968</v>
      </c>
      <c r="AD532" s="19"/>
      <c r="AE532" s="19"/>
      <c r="AF532" s="19"/>
      <c r="AG532" s="19"/>
    </row>
    <row r="533">
      <c r="A533" s="47">
        <f>COUNTIF('Divulgação'!$B:$B,B533)</f>
        <v>1</v>
      </c>
      <c r="B533" s="47" t="s">
        <v>1263</v>
      </c>
      <c r="C533" s="48"/>
      <c r="D533" s="50" t="s">
        <v>1314</v>
      </c>
      <c r="E533" s="50" t="s">
        <v>1315</v>
      </c>
      <c r="F533" s="59">
        <v>46274.0</v>
      </c>
      <c r="G533" s="50" t="s">
        <v>1316</v>
      </c>
      <c r="H533" s="59">
        <v>46274.0</v>
      </c>
      <c r="I533" s="47" t="s">
        <v>1724</v>
      </c>
      <c r="J533" s="50" t="s">
        <v>48</v>
      </c>
      <c r="K533" s="50" t="s">
        <v>1725</v>
      </c>
      <c r="L533" s="47" t="s">
        <v>1970</v>
      </c>
      <c r="M533" s="48"/>
      <c r="N533" s="48"/>
      <c r="O533" s="48"/>
      <c r="P533" s="48"/>
      <c r="Q533" s="50">
        <v>1.0</v>
      </c>
      <c r="R533" s="59">
        <v>46273.0</v>
      </c>
      <c r="S533" s="59">
        <v>46279.0</v>
      </c>
      <c r="T533" s="59">
        <v>46274.0</v>
      </c>
      <c r="U533" s="48"/>
      <c r="V533" s="50" t="s">
        <v>1321</v>
      </c>
      <c r="W533" s="48"/>
      <c r="X533" s="50" t="s">
        <v>12</v>
      </c>
      <c r="Y533" s="50" t="s">
        <v>1322</v>
      </c>
      <c r="Z533" s="50">
        <v>3.040329234E9</v>
      </c>
      <c r="AA533" s="50" t="s">
        <v>1352</v>
      </c>
      <c r="AB533" s="50" t="s">
        <v>1430</v>
      </c>
      <c r="AC533" s="50" t="s">
        <v>1971</v>
      </c>
      <c r="AD533" s="19"/>
      <c r="AE533" s="19"/>
      <c r="AF533" s="19"/>
      <c r="AG533" s="19"/>
    </row>
    <row r="534">
      <c r="A534" s="47">
        <f>COUNTIF('Divulgação'!$B:$B,B534)</f>
        <v>1</v>
      </c>
      <c r="B534" s="47" t="s">
        <v>1264</v>
      </c>
      <c r="C534" s="48"/>
      <c r="D534" s="50" t="s">
        <v>1314</v>
      </c>
      <c r="E534" s="50" t="s">
        <v>1315</v>
      </c>
      <c r="F534" s="59">
        <v>46274.0</v>
      </c>
      <c r="G534" s="50" t="s">
        <v>1316</v>
      </c>
      <c r="H534" s="59">
        <v>46274.0</v>
      </c>
      <c r="I534" s="47" t="s">
        <v>1724</v>
      </c>
      <c r="J534" s="50" t="s">
        <v>48</v>
      </c>
      <c r="K534" s="50" t="s">
        <v>1725</v>
      </c>
      <c r="L534" s="47" t="s">
        <v>1972</v>
      </c>
      <c r="M534" s="48"/>
      <c r="N534" s="48"/>
      <c r="O534" s="48"/>
      <c r="P534" s="48"/>
      <c r="Q534" s="50">
        <v>1.0</v>
      </c>
      <c r="R534" s="59">
        <v>46273.0</v>
      </c>
      <c r="S534" s="59">
        <v>46279.0</v>
      </c>
      <c r="T534" s="59">
        <v>46274.0</v>
      </c>
      <c r="U534" s="48"/>
      <c r="V534" s="50" t="s">
        <v>1321</v>
      </c>
      <c r="W534" s="48"/>
      <c r="X534" s="50" t="s">
        <v>12</v>
      </c>
      <c r="Y534" s="50" t="s">
        <v>1322</v>
      </c>
      <c r="Z534" s="50">
        <v>3.040329235E9</v>
      </c>
      <c r="AA534" s="50" t="s">
        <v>1352</v>
      </c>
      <c r="AB534" s="50" t="s">
        <v>1430</v>
      </c>
      <c r="AC534" s="50" t="s">
        <v>1971</v>
      </c>
      <c r="AD534" s="19"/>
      <c r="AE534" s="19"/>
      <c r="AF534" s="19"/>
      <c r="AG534" s="19"/>
    </row>
    <row r="535">
      <c r="A535" s="47">
        <f>COUNTIF('Divulgação'!$B:$B,B535)</f>
        <v>1</v>
      </c>
      <c r="B535" s="47" t="s">
        <v>1265</v>
      </c>
      <c r="C535" s="48"/>
      <c r="D535" s="50" t="s">
        <v>1314</v>
      </c>
      <c r="E535" s="50" t="s">
        <v>1315</v>
      </c>
      <c r="F535" s="59">
        <v>46274.0</v>
      </c>
      <c r="G535" s="50" t="s">
        <v>1316</v>
      </c>
      <c r="H535" s="59">
        <v>46274.0</v>
      </c>
      <c r="I535" s="47" t="s">
        <v>1724</v>
      </c>
      <c r="J535" s="50" t="s">
        <v>48</v>
      </c>
      <c r="K535" s="50" t="s">
        <v>1725</v>
      </c>
      <c r="L535" s="47" t="s">
        <v>1973</v>
      </c>
      <c r="M535" s="48"/>
      <c r="N535" s="48"/>
      <c r="O535" s="48"/>
      <c r="P535" s="48"/>
      <c r="Q535" s="50">
        <v>1.0</v>
      </c>
      <c r="R535" s="59">
        <v>46273.0</v>
      </c>
      <c r="S535" s="59">
        <v>46279.0</v>
      </c>
      <c r="T535" s="59">
        <v>46274.0</v>
      </c>
      <c r="U535" s="48"/>
      <c r="V535" s="50" t="s">
        <v>1321</v>
      </c>
      <c r="W535" s="48"/>
      <c r="X535" s="50" t="s">
        <v>12</v>
      </c>
      <c r="Y535" s="50" t="s">
        <v>1322</v>
      </c>
      <c r="Z535" s="50">
        <v>3.040329701E9</v>
      </c>
      <c r="AA535" s="50" t="s">
        <v>17</v>
      </c>
      <c r="AB535" s="50" t="s">
        <v>1553</v>
      </c>
      <c r="AC535" s="50" t="s">
        <v>1554</v>
      </c>
      <c r="AD535" s="19"/>
      <c r="AE535" s="19"/>
      <c r="AF535" s="19"/>
      <c r="AG535" s="19"/>
    </row>
    <row r="536">
      <c r="A536" s="47">
        <f>COUNTIF('Divulgação'!$B:$B,B536)</f>
        <v>1</v>
      </c>
      <c r="B536" s="47" t="s">
        <v>1266</v>
      </c>
      <c r="C536" s="48"/>
      <c r="D536" s="50" t="s">
        <v>1314</v>
      </c>
      <c r="E536" s="50" t="s">
        <v>1315</v>
      </c>
      <c r="F536" s="59">
        <v>46274.0</v>
      </c>
      <c r="G536" s="50" t="s">
        <v>1316</v>
      </c>
      <c r="H536" s="59">
        <v>46274.0</v>
      </c>
      <c r="I536" s="47" t="s">
        <v>1724</v>
      </c>
      <c r="J536" s="50" t="s">
        <v>48</v>
      </c>
      <c r="K536" s="50" t="s">
        <v>1725</v>
      </c>
      <c r="L536" s="47" t="s">
        <v>1974</v>
      </c>
      <c r="M536" s="48"/>
      <c r="N536" s="48"/>
      <c r="O536" s="48"/>
      <c r="P536" s="48"/>
      <c r="Q536" s="50">
        <v>1.0</v>
      </c>
      <c r="R536" s="59">
        <v>46273.0</v>
      </c>
      <c r="S536" s="59">
        <v>46279.0</v>
      </c>
      <c r="T536" s="59">
        <v>46274.0</v>
      </c>
      <c r="U536" s="48"/>
      <c r="V536" s="50" t="s">
        <v>1321</v>
      </c>
      <c r="W536" s="48"/>
      <c r="X536" s="50" t="s">
        <v>12</v>
      </c>
      <c r="Y536" s="50" t="s">
        <v>1322</v>
      </c>
      <c r="Z536" s="50">
        <v>3.0403297E9</v>
      </c>
      <c r="AA536" s="50" t="s">
        <v>17</v>
      </c>
      <c r="AB536" s="50" t="s">
        <v>1553</v>
      </c>
      <c r="AC536" s="50" t="s">
        <v>1554</v>
      </c>
      <c r="AD536" s="19"/>
      <c r="AE536" s="19"/>
      <c r="AF536" s="19"/>
      <c r="AG536" s="19"/>
    </row>
    <row r="537">
      <c r="A537" s="47">
        <f>COUNTIF('Divulgação'!$B:$B,B537)</f>
        <v>1</v>
      </c>
      <c r="B537" s="47" t="s">
        <v>1267</v>
      </c>
      <c r="C537" s="48"/>
      <c r="D537" s="50" t="s">
        <v>1314</v>
      </c>
      <c r="E537" s="50" t="s">
        <v>1315</v>
      </c>
      <c r="F537" s="59">
        <v>46274.0</v>
      </c>
      <c r="G537" s="50" t="s">
        <v>1316</v>
      </c>
      <c r="H537" s="59">
        <v>46274.0</v>
      </c>
      <c r="I537" s="47" t="s">
        <v>1975</v>
      </c>
      <c r="J537" s="50" t="s">
        <v>48</v>
      </c>
      <c r="K537" s="50" t="s">
        <v>1976</v>
      </c>
      <c r="L537" s="47" t="s">
        <v>1977</v>
      </c>
      <c r="M537" s="48"/>
      <c r="N537" s="48"/>
      <c r="O537" s="48"/>
      <c r="P537" s="48"/>
      <c r="Q537" s="50">
        <v>1.0</v>
      </c>
      <c r="R537" s="59">
        <v>46273.0</v>
      </c>
      <c r="S537" s="59">
        <v>46279.0</v>
      </c>
      <c r="T537" s="59">
        <v>46274.0</v>
      </c>
      <c r="U537" s="48"/>
      <c r="V537" s="50" t="s">
        <v>1321</v>
      </c>
      <c r="W537" s="48"/>
      <c r="X537" s="50" t="s">
        <v>12</v>
      </c>
      <c r="Y537" s="50" t="s">
        <v>1322</v>
      </c>
      <c r="Z537" s="50">
        <v>3.040317437E9</v>
      </c>
      <c r="AA537" s="50" t="s">
        <v>12</v>
      </c>
      <c r="AB537" s="50" t="s">
        <v>1322</v>
      </c>
      <c r="AC537" s="50" t="s">
        <v>1336</v>
      </c>
      <c r="AD537" s="19"/>
      <c r="AE537" s="19"/>
      <c r="AF537" s="19"/>
      <c r="AG537" s="19"/>
    </row>
    <row r="538">
      <c r="A538" s="47">
        <f>COUNTIF('Divulgação'!$B:$B,B538)</f>
        <v>1</v>
      </c>
      <c r="B538" s="47" t="s">
        <v>1268</v>
      </c>
      <c r="C538" s="48"/>
      <c r="D538" s="50" t="s">
        <v>1314</v>
      </c>
      <c r="E538" s="50" t="s">
        <v>1315</v>
      </c>
      <c r="F538" s="59">
        <v>46274.0</v>
      </c>
      <c r="G538" s="50" t="s">
        <v>1316</v>
      </c>
      <c r="H538" s="59">
        <v>46274.0</v>
      </c>
      <c r="I538" s="47" t="s">
        <v>1978</v>
      </c>
      <c r="J538" s="50" t="s">
        <v>48</v>
      </c>
      <c r="K538" s="50" t="s">
        <v>1979</v>
      </c>
      <c r="L538" s="47" t="s">
        <v>369</v>
      </c>
      <c r="M538" s="48"/>
      <c r="N538" s="48"/>
      <c r="O538" s="48"/>
      <c r="P538" s="48"/>
      <c r="Q538" s="50">
        <v>1.0</v>
      </c>
      <c r="R538" s="59">
        <v>46273.0</v>
      </c>
      <c r="S538" s="59">
        <v>46279.0</v>
      </c>
      <c r="T538" s="59">
        <v>46274.0</v>
      </c>
      <c r="U538" s="48"/>
      <c r="V538" s="50" t="s">
        <v>1321</v>
      </c>
      <c r="W538" s="48"/>
      <c r="X538" s="50" t="s">
        <v>12</v>
      </c>
      <c r="Y538" s="50" t="s">
        <v>1322</v>
      </c>
      <c r="Z538" s="50">
        <v>3.040323457E9</v>
      </c>
      <c r="AA538" s="50" t="s">
        <v>12</v>
      </c>
      <c r="AB538" s="50" t="s">
        <v>1980</v>
      </c>
      <c r="AC538" s="50" t="s">
        <v>1981</v>
      </c>
      <c r="AD538" s="19"/>
      <c r="AE538" s="19"/>
      <c r="AF538" s="19"/>
      <c r="AG538" s="19"/>
    </row>
    <row r="539">
      <c r="A539" s="47">
        <f>COUNTIF('Divulgação'!$B:$B,B539)</f>
        <v>1</v>
      </c>
      <c r="B539" s="47" t="s">
        <v>1269</v>
      </c>
      <c r="C539" s="48"/>
      <c r="D539" s="50" t="s">
        <v>1314</v>
      </c>
      <c r="E539" s="50" t="s">
        <v>1315</v>
      </c>
      <c r="F539" s="59">
        <v>46274.0</v>
      </c>
      <c r="G539" s="50" t="s">
        <v>1316</v>
      </c>
      <c r="H539" s="59">
        <v>46274.0</v>
      </c>
      <c r="I539" s="47" t="s">
        <v>1978</v>
      </c>
      <c r="J539" s="50" t="s">
        <v>48</v>
      </c>
      <c r="K539" s="50" t="s">
        <v>1979</v>
      </c>
      <c r="L539" s="47" t="s">
        <v>1982</v>
      </c>
      <c r="M539" s="48"/>
      <c r="N539" s="48"/>
      <c r="O539" s="48"/>
      <c r="P539" s="48"/>
      <c r="Q539" s="50">
        <v>1.0</v>
      </c>
      <c r="R539" s="59">
        <v>46273.0</v>
      </c>
      <c r="S539" s="59">
        <v>46279.0</v>
      </c>
      <c r="T539" s="59">
        <v>46274.0</v>
      </c>
      <c r="U539" s="48"/>
      <c r="V539" s="50" t="s">
        <v>1321</v>
      </c>
      <c r="W539" s="48"/>
      <c r="X539" s="50" t="s">
        <v>12</v>
      </c>
      <c r="Y539" s="50" t="s">
        <v>1322</v>
      </c>
      <c r="Z539" s="50">
        <v>3.040321838E9</v>
      </c>
      <c r="AA539" s="50" t="s">
        <v>17</v>
      </c>
      <c r="AB539" s="50" t="s">
        <v>1553</v>
      </c>
      <c r="AC539" s="50" t="s">
        <v>1554</v>
      </c>
      <c r="AD539" s="19"/>
      <c r="AE539" s="19"/>
      <c r="AF539" s="19"/>
      <c r="AG539" s="19"/>
    </row>
    <row r="540">
      <c r="A540" s="47">
        <f>COUNTIF('Divulgação'!$B:$B,B540)</f>
        <v>1</v>
      </c>
      <c r="B540" s="47" t="s">
        <v>1270</v>
      </c>
      <c r="C540" s="48"/>
      <c r="D540" s="50" t="s">
        <v>1314</v>
      </c>
      <c r="E540" s="50" t="s">
        <v>1315</v>
      </c>
      <c r="F540" s="59">
        <v>46274.0</v>
      </c>
      <c r="G540" s="50" t="s">
        <v>1316</v>
      </c>
      <c r="H540" s="59">
        <v>46274.0</v>
      </c>
      <c r="I540" s="47" t="s">
        <v>1975</v>
      </c>
      <c r="J540" s="50" t="s">
        <v>48</v>
      </c>
      <c r="K540" s="50" t="s">
        <v>1976</v>
      </c>
      <c r="L540" s="47" t="s">
        <v>1983</v>
      </c>
      <c r="M540" s="48"/>
      <c r="N540" s="48"/>
      <c r="O540" s="48"/>
      <c r="P540" s="48"/>
      <c r="Q540" s="50">
        <v>1.0</v>
      </c>
      <c r="R540" s="59">
        <v>46273.0</v>
      </c>
      <c r="S540" s="59">
        <v>46279.0</v>
      </c>
      <c r="T540" s="59">
        <v>46274.0</v>
      </c>
      <c r="U540" s="48"/>
      <c r="V540" s="50" t="s">
        <v>1321</v>
      </c>
      <c r="W540" s="48"/>
      <c r="X540" s="50" t="s">
        <v>12</v>
      </c>
      <c r="Y540" s="50" t="s">
        <v>1322</v>
      </c>
      <c r="Z540" s="50">
        <v>3.040317423E9</v>
      </c>
      <c r="AA540" s="50" t="s">
        <v>12</v>
      </c>
      <c r="AB540" s="50" t="s">
        <v>1322</v>
      </c>
      <c r="AC540" s="50" t="s">
        <v>1336</v>
      </c>
      <c r="AD540" s="19"/>
      <c r="AE540" s="19"/>
      <c r="AF540" s="19"/>
      <c r="AG540" s="19"/>
    </row>
    <row r="541">
      <c r="A541" s="47">
        <f>COUNTIF('Divulgação'!$B:$B,B541)</f>
        <v>1</v>
      </c>
      <c r="B541" s="47" t="s">
        <v>1271</v>
      </c>
      <c r="C541" s="48"/>
      <c r="D541" s="50" t="s">
        <v>1314</v>
      </c>
      <c r="E541" s="50" t="s">
        <v>1315</v>
      </c>
      <c r="F541" s="59">
        <v>46274.0</v>
      </c>
      <c r="G541" s="50" t="s">
        <v>1316</v>
      </c>
      <c r="H541" s="59">
        <v>46274.0</v>
      </c>
      <c r="I541" s="47" t="s">
        <v>1445</v>
      </c>
      <c r="J541" s="50" t="s">
        <v>48</v>
      </c>
      <c r="K541" s="50" t="s">
        <v>1446</v>
      </c>
      <c r="L541" s="47" t="s">
        <v>1984</v>
      </c>
      <c r="M541" s="48"/>
      <c r="N541" s="48"/>
      <c r="O541" s="48"/>
      <c r="P541" s="48"/>
      <c r="Q541" s="50">
        <v>1.0</v>
      </c>
      <c r="R541" s="59">
        <v>46273.0</v>
      </c>
      <c r="S541" s="59">
        <v>46279.0</v>
      </c>
      <c r="T541" s="59">
        <v>46274.0</v>
      </c>
      <c r="U541" s="48"/>
      <c r="V541" s="50" t="s">
        <v>1321</v>
      </c>
      <c r="W541" s="48"/>
      <c r="X541" s="50" t="s">
        <v>12</v>
      </c>
      <c r="Y541" s="50" t="s">
        <v>1322</v>
      </c>
      <c r="Z541" s="50">
        <v>3.04032441E9</v>
      </c>
      <c r="AA541" s="50" t="s">
        <v>13</v>
      </c>
      <c r="AB541" s="50" t="s">
        <v>1447</v>
      </c>
      <c r="AC541" s="50" t="s">
        <v>1911</v>
      </c>
      <c r="AD541" s="19"/>
      <c r="AE541" s="19"/>
      <c r="AF541" s="19"/>
      <c r="AG541" s="19"/>
    </row>
    <row r="542">
      <c r="A542" s="47">
        <f>COUNTIF('Divulgação'!$B:$B,B542)</f>
        <v>1</v>
      </c>
      <c r="B542" s="47" t="s">
        <v>1272</v>
      </c>
      <c r="C542" s="48"/>
      <c r="D542" s="50" t="s">
        <v>1314</v>
      </c>
      <c r="E542" s="50" t="s">
        <v>1315</v>
      </c>
      <c r="F542" s="59">
        <v>46274.0</v>
      </c>
      <c r="G542" s="50" t="s">
        <v>1316</v>
      </c>
      <c r="H542" s="59">
        <v>46274.0</v>
      </c>
      <c r="I542" s="47" t="s">
        <v>1445</v>
      </c>
      <c r="J542" s="50" t="s">
        <v>48</v>
      </c>
      <c r="K542" s="50" t="s">
        <v>1446</v>
      </c>
      <c r="L542" s="47" t="s">
        <v>1985</v>
      </c>
      <c r="M542" s="48"/>
      <c r="N542" s="48"/>
      <c r="O542" s="48"/>
      <c r="P542" s="48"/>
      <c r="Q542" s="50">
        <v>1.0</v>
      </c>
      <c r="R542" s="59">
        <v>46273.0</v>
      </c>
      <c r="S542" s="59">
        <v>46279.0</v>
      </c>
      <c r="T542" s="59">
        <v>46274.0</v>
      </c>
      <c r="U542" s="48"/>
      <c r="V542" s="50" t="s">
        <v>1321</v>
      </c>
      <c r="W542" s="48"/>
      <c r="X542" s="50" t="s">
        <v>12</v>
      </c>
      <c r="Y542" s="50" t="s">
        <v>1322</v>
      </c>
      <c r="Z542" s="50">
        <v>3.040317807E9</v>
      </c>
      <c r="AA542" s="50" t="s">
        <v>1500</v>
      </c>
      <c r="AB542" s="50" t="s">
        <v>1537</v>
      </c>
      <c r="AC542" s="50" t="s">
        <v>1986</v>
      </c>
      <c r="AD542" s="19"/>
      <c r="AE542" s="19"/>
      <c r="AF542" s="19"/>
      <c r="AG542" s="19"/>
    </row>
    <row r="543">
      <c r="A543" s="47">
        <f>COUNTIF('Divulgação'!$B:$B,B543)</f>
        <v>1</v>
      </c>
      <c r="B543" s="47" t="s">
        <v>1273</v>
      </c>
      <c r="C543" s="48"/>
      <c r="D543" s="50" t="s">
        <v>1314</v>
      </c>
      <c r="E543" s="50" t="s">
        <v>1315</v>
      </c>
      <c r="F543" s="59">
        <v>46274.0</v>
      </c>
      <c r="G543" s="50" t="s">
        <v>1316</v>
      </c>
      <c r="H543" s="59">
        <v>46274.0</v>
      </c>
      <c r="I543" s="47" t="s">
        <v>1445</v>
      </c>
      <c r="J543" s="50" t="s">
        <v>48</v>
      </c>
      <c r="K543" s="50" t="s">
        <v>1446</v>
      </c>
      <c r="L543" s="47" t="s">
        <v>1987</v>
      </c>
      <c r="M543" s="48"/>
      <c r="N543" s="48"/>
      <c r="O543" s="48"/>
      <c r="P543" s="48"/>
      <c r="Q543" s="50">
        <v>1.0</v>
      </c>
      <c r="R543" s="59">
        <v>46273.0</v>
      </c>
      <c r="S543" s="59">
        <v>46279.0</v>
      </c>
      <c r="T543" s="59">
        <v>46274.0</v>
      </c>
      <c r="U543" s="48"/>
      <c r="V543" s="50" t="s">
        <v>1321</v>
      </c>
      <c r="W543" s="48"/>
      <c r="X543" s="50" t="s">
        <v>12</v>
      </c>
      <c r="Y543" s="50" t="s">
        <v>1322</v>
      </c>
      <c r="Z543" s="50">
        <v>3.040317806E9</v>
      </c>
      <c r="AA543" s="50" t="s">
        <v>1500</v>
      </c>
      <c r="AB543" s="50" t="s">
        <v>1537</v>
      </c>
      <c r="AC543" s="50" t="s">
        <v>1988</v>
      </c>
      <c r="AD543" s="19"/>
      <c r="AE543" s="19"/>
      <c r="AF543" s="19"/>
      <c r="AG543" s="19"/>
    </row>
    <row r="544">
      <c r="A544" s="47">
        <f>COUNTIF('Divulgação'!$B:$B,B544)</f>
        <v>1</v>
      </c>
      <c r="B544" s="47" t="s">
        <v>1274</v>
      </c>
      <c r="C544" s="48"/>
      <c r="D544" s="50" t="s">
        <v>1314</v>
      </c>
      <c r="E544" s="50" t="s">
        <v>1315</v>
      </c>
      <c r="F544" s="59">
        <v>46274.0</v>
      </c>
      <c r="G544" s="50" t="s">
        <v>1316</v>
      </c>
      <c r="H544" s="59">
        <v>46274.0</v>
      </c>
      <c r="I544" s="47" t="s">
        <v>1961</v>
      </c>
      <c r="J544" s="50" t="s">
        <v>48</v>
      </c>
      <c r="K544" s="50" t="s">
        <v>1671</v>
      </c>
      <c r="L544" s="47" t="s">
        <v>1064</v>
      </c>
      <c r="M544" s="48"/>
      <c r="N544" s="48"/>
      <c r="O544" s="48"/>
      <c r="P544" s="48"/>
      <c r="Q544" s="50">
        <v>1.0</v>
      </c>
      <c r="R544" s="59">
        <v>46268.0</v>
      </c>
      <c r="S544" s="59">
        <v>46275.0</v>
      </c>
      <c r="T544" s="59">
        <v>46274.0</v>
      </c>
      <c r="U544" s="48"/>
      <c r="V544" s="50" t="s">
        <v>1321</v>
      </c>
      <c r="W544" s="48"/>
      <c r="X544" s="50" t="s">
        <v>12</v>
      </c>
      <c r="Y544" s="50" t="s">
        <v>1322</v>
      </c>
      <c r="Z544" s="50">
        <v>3.04031765E9</v>
      </c>
      <c r="AA544" s="50" t="s">
        <v>13</v>
      </c>
      <c r="AB544" s="50" t="s">
        <v>1447</v>
      </c>
      <c r="AC544" s="50" t="s">
        <v>1911</v>
      </c>
      <c r="AD544" s="19"/>
      <c r="AE544" s="19"/>
      <c r="AF544" s="19"/>
      <c r="AG544" s="19"/>
    </row>
    <row r="545">
      <c r="A545" s="47">
        <f>COUNTIF('Divulgação'!$B:$B,B545)</f>
        <v>1</v>
      </c>
      <c r="B545" s="47" t="s">
        <v>1275</v>
      </c>
      <c r="C545" s="48"/>
      <c r="D545" s="50" t="s">
        <v>1314</v>
      </c>
      <c r="E545" s="50" t="s">
        <v>1315</v>
      </c>
      <c r="F545" s="59">
        <v>46281.0</v>
      </c>
      <c r="G545" s="50" t="s">
        <v>1316</v>
      </c>
      <c r="H545" s="59">
        <v>46281.0</v>
      </c>
      <c r="I545" s="47" t="s">
        <v>1989</v>
      </c>
      <c r="J545" s="50" t="s">
        <v>48</v>
      </c>
      <c r="K545" s="50" t="s">
        <v>1990</v>
      </c>
      <c r="L545" s="47" t="s">
        <v>1991</v>
      </c>
      <c r="M545" s="48"/>
      <c r="N545" s="48"/>
      <c r="O545" s="48"/>
      <c r="P545" s="48"/>
      <c r="Q545" s="50">
        <v>1.0</v>
      </c>
      <c r="R545" s="59">
        <v>46279.0</v>
      </c>
      <c r="S545" s="59">
        <v>46283.0</v>
      </c>
      <c r="T545" s="59">
        <v>46281.0</v>
      </c>
      <c r="U545" s="48"/>
      <c r="V545" s="50" t="s">
        <v>1321</v>
      </c>
      <c r="W545" s="48"/>
      <c r="X545" s="50" t="s">
        <v>12</v>
      </c>
      <c r="Y545" s="50" t="s">
        <v>1322</v>
      </c>
      <c r="Z545" s="50">
        <v>3.040321373E9</v>
      </c>
      <c r="AA545" s="50" t="s">
        <v>17</v>
      </c>
      <c r="AB545" s="50" t="s">
        <v>1458</v>
      </c>
      <c r="AC545" s="50" t="s">
        <v>1459</v>
      </c>
      <c r="AD545" s="19"/>
      <c r="AE545" s="19"/>
      <c r="AF545" s="19"/>
      <c r="AG545" s="19"/>
    </row>
    <row r="546">
      <c r="A546" s="47">
        <f>COUNTIF('Divulgação'!$B:$B,B546)</f>
        <v>1</v>
      </c>
      <c r="B546" s="47" t="s">
        <v>1276</v>
      </c>
      <c r="C546" s="48"/>
      <c r="D546" s="50" t="s">
        <v>1314</v>
      </c>
      <c r="E546" s="50" t="s">
        <v>1315</v>
      </c>
      <c r="F546" s="59">
        <v>46281.0</v>
      </c>
      <c r="G546" s="50" t="s">
        <v>1316</v>
      </c>
      <c r="H546" s="59">
        <v>46281.0</v>
      </c>
      <c r="I546" s="47" t="s">
        <v>119</v>
      </c>
      <c r="J546" s="50" t="s">
        <v>1318</v>
      </c>
      <c r="K546" s="50" t="s">
        <v>120</v>
      </c>
      <c r="L546" s="47" t="s">
        <v>1992</v>
      </c>
      <c r="M546" s="48"/>
      <c r="N546" s="48"/>
      <c r="O546" s="48"/>
      <c r="P546" s="48"/>
      <c r="Q546" s="50">
        <v>1.0</v>
      </c>
      <c r="R546" s="59">
        <v>46279.0</v>
      </c>
      <c r="S546" s="59">
        <v>46283.0</v>
      </c>
      <c r="T546" s="59">
        <v>46281.0</v>
      </c>
      <c r="U546" s="48"/>
      <c r="V546" s="50" t="s">
        <v>1321</v>
      </c>
      <c r="W546" s="48"/>
      <c r="X546" s="50" t="s">
        <v>12</v>
      </c>
      <c r="Y546" s="50" t="s">
        <v>1322</v>
      </c>
      <c r="Z546" s="50">
        <v>3.040286376E9</v>
      </c>
      <c r="AA546" s="50" t="s">
        <v>21</v>
      </c>
      <c r="AB546" s="50" t="s">
        <v>1359</v>
      </c>
      <c r="AC546" s="50" t="s">
        <v>1993</v>
      </c>
      <c r="AD546" s="19"/>
      <c r="AE546" s="19"/>
      <c r="AF546" s="19"/>
      <c r="AG546" s="19"/>
    </row>
    <row r="547">
      <c r="A547" s="47">
        <f>COUNTIF('Divulgação'!$B:$B,B547)</f>
        <v>1</v>
      </c>
      <c r="B547" s="47" t="s">
        <v>1277</v>
      </c>
      <c r="C547" s="48"/>
      <c r="D547" s="50" t="s">
        <v>1314</v>
      </c>
      <c r="E547" s="50" t="s">
        <v>1315</v>
      </c>
      <c r="F547" s="59">
        <v>46281.0</v>
      </c>
      <c r="G547" s="50" t="s">
        <v>1316</v>
      </c>
      <c r="H547" s="59">
        <v>46281.0</v>
      </c>
      <c r="I547" s="47" t="s">
        <v>171</v>
      </c>
      <c r="J547" s="50" t="s">
        <v>48</v>
      </c>
      <c r="K547" s="50" t="s">
        <v>1370</v>
      </c>
      <c r="L547" s="47" t="s">
        <v>1994</v>
      </c>
      <c r="M547" s="48"/>
      <c r="N547" s="48"/>
      <c r="O547" s="48"/>
      <c r="P547" s="48"/>
      <c r="Q547" s="50">
        <v>1.0</v>
      </c>
      <c r="R547" s="59">
        <v>46279.0</v>
      </c>
      <c r="S547" s="59">
        <v>46283.0</v>
      </c>
      <c r="T547" s="59">
        <v>46281.0</v>
      </c>
      <c r="U547" s="48"/>
      <c r="V547" s="50" t="s">
        <v>1321</v>
      </c>
      <c r="W547" s="48"/>
      <c r="X547" s="50" t="s">
        <v>12</v>
      </c>
      <c r="Y547" s="50" t="s">
        <v>1322</v>
      </c>
      <c r="Z547" s="50">
        <v>3.040324502E9</v>
      </c>
      <c r="AA547" s="50" t="s">
        <v>14</v>
      </c>
      <c r="AB547" s="50" t="s">
        <v>1470</v>
      </c>
      <c r="AC547" s="50" t="s">
        <v>1471</v>
      </c>
      <c r="AD547" s="19"/>
      <c r="AE547" s="19"/>
      <c r="AF547" s="19"/>
      <c r="AG547" s="19"/>
    </row>
    <row r="548">
      <c r="A548" s="47">
        <f>COUNTIF('Divulgação'!$B:$B,B548)</f>
        <v>1</v>
      </c>
      <c r="B548" s="47" t="s">
        <v>1278</v>
      </c>
      <c r="C548" s="48"/>
      <c r="D548" s="50" t="s">
        <v>1314</v>
      </c>
      <c r="E548" s="50" t="s">
        <v>1315</v>
      </c>
      <c r="F548" s="59">
        <v>46281.0</v>
      </c>
      <c r="G548" s="50" t="s">
        <v>1316</v>
      </c>
      <c r="H548" s="59">
        <v>46281.0</v>
      </c>
      <c r="I548" s="47" t="s">
        <v>171</v>
      </c>
      <c r="J548" s="50" t="s">
        <v>48</v>
      </c>
      <c r="K548" s="50" t="s">
        <v>1370</v>
      </c>
      <c r="L548" s="47" t="s">
        <v>1995</v>
      </c>
      <c r="M548" s="48"/>
      <c r="N548" s="48"/>
      <c r="O548" s="48"/>
      <c r="P548" s="48"/>
      <c r="Q548" s="50">
        <v>1.0</v>
      </c>
      <c r="R548" s="59">
        <v>46279.0</v>
      </c>
      <c r="S548" s="59">
        <v>46283.0</v>
      </c>
      <c r="T548" s="59">
        <v>46281.0</v>
      </c>
      <c r="U548" s="48"/>
      <c r="V548" s="50" t="s">
        <v>1321</v>
      </c>
      <c r="W548" s="48"/>
      <c r="X548" s="50" t="s">
        <v>12</v>
      </c>
      <c r="Y548" s="50" t="s">
        <v>1322</v>
      </c>
      <c r="Z548" s="50">
        <v>3.040326074E9</v>
      </c>
      <c r="AA548" s="50" t="s">
        <v>14</v>
      </c>
      <c r="AB548" s="50" t="s">
        <v>1470</v>
      </c>
      <c r="AC548" s="50" t="s">
        <v>1471</v>
      </c>
      <c r="AD548" s="19"/>
      <c r="AE548" s="19"/>
      <c r="AF548" s="19"/>
      <c r="AG548" s="19"/>
    </row>
    <row r="549">
      <c r="A549" s="47">
        <f>COUNTIF('Divulgação'!$B:$B,B549)</f>
        <v>1</v>
      </c>
      <c r="B549" s="47" t="s">
        <v>1279</v>
      </c>
      <c r="C549" s="48"/>
      <c r="D549" s="50" t="s">
        <v>1314</v>
      </c>
      <c r="E549" s="50" t="s">
        <v>1315</v>
      </c>
      <c r="F549" s="59">
        <v>46281.0</v>
      </c>
      <c r="G549" s="50" t="s">
        <v>1316</v>
      </c>
      <c r="H549" s="59">
        <v>46281.0</v>
      </c>
      <c r="I549" s="47" t="s">
        <v>171</v>
      </c>
      <c r="J549" s="50" t="s">
        <v>48</v>
      </c>
      <c r="K549" s="50" t="s">
        <v>1370</v>
      </c>
      <c r="L549" s="47" t="s">
        <v>1996</v>
      </c>
      <c r="M549" s="48"/>
      <c r="N549" s="48"/>
      <c r="O549" s="48"/>
      <c r="P549" s="48"/>
      <c r="Q549" s="50">
        <v>1.0</v>
      </c>
      <c r="R549" s="59">
        <v>46279.0</v>
      </c>
      <c r="S549" s="59">
        <v>46283.0</v>
      </c>
      <c r="T549" s="59">
        <v>46281.0</v>
      </c>
      <c r="U549" s="48"/>
      <c r="V549" s="50" t="s">
        <v>1321</v>
      </c>
      <c r="W549" s="48"/>
      <c r="X549" s="50" t="s">
        <v>12</v>
      </c>
      <c r="Y549" s="50" t="s">
        <v>1322</v>
      </c>
      <c r="Z549" s="50">
        <v>3.040326292E9</v>
      </c>
      <c r="AA549" s="50" t="s">
        <v>14</v>
      </c>
      <c r="AB549" s="50" t="s">
        <v>1470</v>
      </c>
      <c r="AC549" s="50" t="s">
        <v>1471</v>
      </c>
      <c r="AD549" s="19"/>
      <c r="AE549" s="19"/>
      <c r="AF549" s="19"/>
      <c r="AG549" s="19"/>
    </row>
    <row r="550">
      <c r="A550" s="47">
        <f>COUNTIF('Divulgação'!$B:$B,B550)</f>
        <v>1</v>
      </c>
      <c r="B550" s="47" t="s">
        <v>1280</v>
      </c>
      <c r="C550" s="48"/>
      <c r="D550" s="50" t="s">
        <v>1314</v>
      </c>
      <c r="E550" s="50" t="s">
        <v>1315</v>
      </c>
      <c r="F550" s="59">
        <v>46281.0</v>
      </c>
      <c r="G550" s="50" t="s">
        <v>1316</v>
      </c>
      <c r="H550" s="59">
        <v>46281.0</v>
      </c>
      <c r="I550" s="47" t="s">
        <v>137</v>
      </c>
      <c r="J550" s="50" t="s">
        <v>1318</v>
      </c>
      <c r="K550" s="50" t="s">
        <v>1778</v>
      </c>
      <c r="L550" s="47" t="s">
        <v>1997</v>
      </c>
      <c r="M550" s="48"/>
      <c r="N550" s="48"/>
      <c r="O550" s="48"/>
      <c r="P550" s="48"/>
      <c r="Q550" s="50">
        <v>1.0</v>
      </c>
      <c r="R550" s="59">
        <v>46279.0</v>
      </c>
      <c r="S550" s="59">
        <v>46283.0</v>
      </c>
      <c r="T550" s="59">
        <v>46281.0</v>
      </c>
      <c r="U550" s="48"/>
      <c r="V550" s="50" t="s">
        <v>1321</v>
      </c>
      <c r="W550" s="48"/>
      <c r="X550" s="50" t="s">
        <v>12</v>
      </c>
      <c r="Y550" s="50" t="s">
        <v>1322</v>
      </c>
      <c r="Z550" s="50">
        <v>3.040313669E9</v>
      </c>
      <c r="AA550" s="50" t="s">
        <v>12</v>
      </c>
      <c r="AB550" s="50" t="s">
        <v>1322</v>
      </c>
      <c r="AC550" s="50" t="s">
        <v>1369</v>
      </c>
      <c r="AD550" s="19"/>
      <c r="AE550" s="19"/>
      <c r="AF550" s="19"/>
      <c r="AG550" s="19"/>
    </row>
    <row r="551">
      <c r="A551" s="47">
        <f>COUNTIF('Divulgação'!$B:$B,B551)</f>
        <v>1</v>
      </c>
      <c r="B551" s="47" t="s">
        <v>1281</v>
      </c>
      <c r="C551" s="48"/>
      <c r="D551" s="50" t="s">
        <v>1314</v>
      </c>
      <c r="E551" s="50" t="s">
        <v>1315</v>
      </c>
      <c r="F551" s="59">
        <v>46281.0</v>
      </c>
      <c r="G551" s="50" t="s">
        <v>1316</v>
      </c>
      <c r="H551" s="59">
        <v>46281.0</v>
      </c>
      <c r="I551" s="47" t="s">
        <v>137</v>
      </c>
      <c r="J551" s="50" t="s">
        <v>1318</v>
      </c>
      <c r="K551" s="50" t="s">
        <v>1778</v>
      </c>
      <c r="L551" s="47" t="s">
        <v>1998</v>
      </c>
      <c r="M551" s="48"/>
      <c r="N551" s="48"/>
      <c r="O551" s="48"/>
      <c r="P551" s="48"/>
      <c r="Q551" s="50">
        <v>1.0</v>
      </c>
      <c r="R551" s="59">
        <v>46279.0</v>
      </c>
      <c r="S551" s="59">
        <v>46283.0</v>
      </c>
      <c r="T551" s="59">
        <v>46281.0</v>
      </c>
      <c r="U551" s="48"/>
      <c r="V551" s="50" t="s">
        <v>1321</v>
      </c>
      <c r="W551" s="48"/>
      <c r="X551" s="50" t="s">
        <v>12</v>
      </c>
      <c r="Y551" s="50" t="s">
        <v>1322</v>
      </c>
      <c r="Z551" s="50">
        <v>3.040306345E9</v>
      </c>
      <c r="AA551" s="50" t="s">
        <v>19</v>
      </c>
      <c r="AB551" s="50" t="s">
        <v>1827</v>
      </c>
      <c r="AC551" s="50" t="s">
        <v>1903</v>
      </c>
      <c r="AD551" s="19"/>
      <c r="AE551" s="19"/>
      <c r="AF551" s="19"/>
      <c r="AG551" s="19"/>
    </row>
    <row r="552">
      <c r="A552" s="47">
        <f>COUNTIF('Divulgação'!$B:$B,B552)</f>
        <v>1</v>
      </c>
      <c r="B552" s="47" t="s">
        <v>1282</v>
      </c>
      <c r="C552" s="48"/>
      <c r="D552" s="50" t="s">
        <v>1314</v>
      </c>
      <c r="E552" s="50" t="s">
        <v>1315</v>
      </c>
      <c r="F552" s="59">
        <v>46281.0</v>
      </c>
      <c r="G552" s="50" t="s">
        <v>1316</v>
      </c>
      <c r="H552" s="59">
        <v>46281.0</v>
      </c>
      <c r="I552" s="47" t="s">
        <v>119</v>
      </c>
      <c r="J552" s="50" t="s">
        <v>1318</v>
      </c>
      <c r="K552" s="50" t="s">
        <v>120</v>
      </c>
      <c r="L552" s="47" t="s">
        <v>1999</v>
      </c>
      <c r="M552" s="48"/>
      <c r="N552" s="48"/>
      <c r="O552" s="48"/>
      <c r="P552" s="48"/>
      <c r="Q552" s="50">
        <v>1.0</v>
      </c>
      <c r="R552" s="59">
        <v>46279.0</v>
      </c>
      <c r="S552" s="59">
        <v>46283.0</v>
      </c>
      <c r="T552" s="59">
        <v>46281.0</v>
      </c>
      <c r="U552" s="48"/>
      <c r="V552" s="50" t="s">
        <v>1321</v>
      </c>
      <c r="W552" s="48"/>
      <c r="X552" s="50" t="s">
        <v>12</v>
      </c>
      <c r="Y552" s="50" t="s">
        <v>1322</v>
      </c>
      <c r="Z552" s="50">
        <v>3.040289267E9</v>
      </c>
      <c r="AA552" s="50" t="s">
        <v>24</v>
      </c>
      <c r="AB552" s="50" t="s">
        <v>1359</v>
      </c>
      <c r="AC552" s="50" t="s">
        <v>1360</v>
      </c>
      <c r="AD552" s="19"/>
      <c r="AE552" s="19"/>
      <c r="AF552" s="19"/>
      <c r="AG552" s="19"/>
    </row>
    <row r="553">
      <c r="A553" s="47">
        <f>COUNTIF('Divulgação'!$B:$B,B553)</f>
        <v>1</v>
      </c>
      <c r="B553" s="47" t="s">
        <v>1283</v>
      </c>
      <c r="C553" s="48"/>
      <c r="D553" s="50" t="s">
        <v>1314</v>
      </c>
      <c r="E553" s="50" t="s">
        <v>1315</v>
      </c>
      <c r="F553" s="59">
        <v>46281.0</v>
      </c>
      <c r="G553" s="50" t="s">
        <v>1316</v>
      </c>
      <c r="H553" s="59">
        <v>46281.0</v>
      </c>
      <c r="I553" s="47" t="s">
        <v>119</v>
      </c>
      <c r="J553" s="50" t="s">
        <v>1318</v>
      </c>
      <c r="K553" s="50" t="s">
        <v>120</v>
      </c>
      <c r="L553" s="47" t="s">
        <v>2000</v>
      </c>
      <c r="M553" s="48"/>
      <c r="N553" s="48"/>
      <c r="O553" s="48"/>
      <c r="P553" s="48"/>
      <c r="Q553" s="50">
        <v>1.0</v>
      </c>
      <c r="R553" s="59">
        <v>46279.0</v>
      </c>
      <c r="S553" s="59">
        <v>46283.0</v>
      </c>
      <c r="T553" s="59">
        <v>46281.0</v>
      </c>
      <c r="U553" s="48"/>
      <c r="V553" s="50" t="s">
        <v>1321</v>
      </c>
      <c r="W553" s="48"/>
      <c r="X553" s="50" t="s">
        <v>12</v>
      </c>
      <c r="Y553" s="50" t="s">
        <v>1322</v>
      </c>
      <c r="Z553" s="50">
        <v>3.040289701E9</v>
      </c>
      <c r="AA553" s="50" t="s">
        <v>17</v>
      </c>
      <c r="AB553" s="50" t="s">
        <v>1343</v>
      </c>
      <c r="AC553" s="50" t="s">
        <v>1508</v>
      </c>
      <c r="AD553" s="19"/>
      <c r="AE553" s="19"/>
      <c r="AF553" s="19"/>
      <c r="AG553" s="19"/>
    </row>
    <row r="554">
      <c r="A554" s="47">
        <f>COUNTIF('Divulgação'!$B:$B,B554)</f>
        <v>1</v>
      </c>
      <c r="B554" s="47" t="s">
        <v>1284</v>
      </c>
      <c r="C554" s="48"/>
      <c r="D554" s="50" t="s">
        <v>1314</v>
      </c>
      <c r="E554" s="50" t="s">
        <v>1315</v>
      </c>
      <c r="F554" s="59">
        <v>46281.0</v>
      </c>
      <c r="G554" s="50" t="s">
        <v>1316</v>
      </c>
      <c r="H554" s="59">
        <v>46281.0</v>
      </c>
      <c r="I554" s="47" t="s">
        <v>137</v>
      </c>
      <c r="J554" s="50" t="s">
        <v>1318</v>
      </c>
      <c r="K554" s="50" t="s">
        <v>1778</v>
      </c>
      <c r="L554" s="47" t="s">
        <v>2001</v>
      </c>
      <c r="M554" s="48"/>
      <c r="N554" s="48"/>
      <c r="O554" s="48"/>
      <c r="P554" s="48"/>
      <c r="Q554" s="50">
        <v>1.0</v>
      </c>
      <c r="R554" s="59">
        <v>46279.0</v>
      </c>
      <c r="S554" s="59">
        <v>46283.0</v>
      </c>
      <c r="T554" s="59">
        <v>46281.0</v>
      </c>
      <c r="U554" s="48"/>
      <c r="V554" s="50" t="s">
        <v>1321</v>
      </c>
      <c r="W554" s="48"/>
      <c r="X554" s="50" t="s">
        <v>12</v>
      </c>
      <c r="Y554" s="50" t="s">
        <v>1322</v>
      </c>
      <c r="Z554" s="50">
        <v>3.040318235E9</v>
      </c>
      <c r="AA554" s="50" t="s">
        <v>1500</v>
      </c>
      <c r="AB554" s="50" t="s">
        <v>1537</v>
      </c>
      <c r="AC554" s="50" t="s">
        <v>2002</v>
      </c>
      <c r="AD554" s="19"/>
      <c r="AE554" s="19"/>
      <c r="AF554" s="19"/>
      <c r="AG554" s="19"/>
    </row>
    <row r="555">
      <c r="A555" s="47">
        <f>COUNTIF('Divulgação'!$B:$B,B555)</f>
        <v>1</v>
      </c>
      <c r="B555" s="47" t="s">
        <v>1285</v>
      </c>
      <c r="C555" s="48"/>
      <c r="D555" s="50" t="s">
        <v>1314</v>
      </c>
      <c r="E555" s="50" t="s">
        <v>1315</v>
      </c>
      <c r="F555" s="59">
        <v>46281.0</v>
      </c>
      <c r="G555" s="50" t="s">
        <v>1316</v>
      </c>
      <c r="H555" s="59">
        <v>46281.0</v>
      </c>
      <c r="I555" s="47" t="s">
        <v>1590</v>
      </c>
      <c r="J555" s="50" t="s">
        <v>1318</v>
      </c>
      <c r="K555" s="50" t="s">
        <v>1591</v>
      </c>
      <c r="L555" s="47" t="s">
        <v>2003</v>
      </c>
      <c r="M555" s="48"/>
      <c r="N555" s="48"/>
      <c r="O555" s="48"/>
      <c r="P555" s="48"/>
      <c r="Q555" s="50">
        <v>1.0</v>
      </c>
      <c r="R555" s="59">
        <v>46279.0</v>
      </c>
      <c r="S555" s="59">
        <v>46283.0</v>
      </c>
      <c r="T555" s="59">
        <v>46281.0</v>
      </c>
      <c r="U555" s="48"/>
      <c r="V555" s="50" t="s">
        <v>1321</v>
      </c>
      <c r="W555" s="48"/>
      <c r="X555" s="50" t="s">
        <v>12</v>
      </c>
      <c r="Y555" s="50" t="s">
        <v>1322</v>
      </c>
      <c r="Z555" s="50">
        <v>3.040327621E9</v>
      </c>
      <c r="AA555" s="50" t="s">
        <v>17</v>
      </c>
      <c r="AB555" s="50" t="s">
        <v>1458</v>
      </c>
      <c r="AC555" s="50" t="s">
        <v>1689</v>
      </c>
      <c r="AD555" s="19"/>
      <c r="AE555" s="19"/>
      <c r="AF555" s="19"/>
      <c r="AG555" s="19"/>
    </row>
    <row r="556">
      <c r="A556" s="47">
        <f>COUNTIF('Divulgação'!$B:$B,B556)</f>
        <v>1</v>
      </c>
      <c r="B556" s="47" t="s">
        <v>1286</v>
      </c>
      <c r="C556" s="48"/>
      <c r="D556" s="50" t="s">
        <v>1314</v>
      </c>
      <c r="E556" s="50" t="s">
        <v>1315</v>
      </c>
      <c r="F556" s="59">
        <v>46288.0</v>
      </c>
      <c r="G556" s="50" t="s">
        <v>1316</v>
      </c>
      <c r="H556" s="59">
        <v>46288.0</v>
      </c>
      <c r="I556" s="47" t="s">
        <v>1523</v>
      </c>
      <c r="J556" s="50" t="s">
        <v>1524</v>
      </c>
      <c r="K556" s="50" t="s">
        <v>1525</v>
      </c>
      <c r="L556" s="47" t="s">
        <v>2004</v>
      </c>
      <c r="M556" s="48"/>
      <c r="N556" s="48"/>
      <c r="O556" s="48"/>
      <c r="P556" s="48"/>
      <c r="Q556" s="50">
        <v>1.0</v>
      </c>
      <c r="R556" s="59">
        <v>46286.0</v>
      </c>
      <c r="S556" s="59">
        <v>46290.0</v>
      </c>
      <c r="T556" s="59">
        <v>46288.0</v>
      </c>
      <c r="U556" s="48"/>
      <c r="V556" s="50" t="s">
        <v>1321</v>
      </c>
      <c r="W556" s="48"/>
      <c r="X556" s="50" t="s">
        <v>12</v>
      </c>
      <c r="Y556" s="50" t="s">
        <v>1322</v>
      </c>
      <c r="Z556" s="50">
        <v>3.040328459E9</v>
      </c>
      <c r="AA556" s="50" t="s">
        <v>12</v>
      </c>
      <c r="AB556" s="50" t="s">
        <v>1385</v>
      </c>
      <c r="AC556" s="50" t="s">
        <v>1949</v>
      </c>
      <c r="AD556" s="19"/>
      <c r="AE556" s="19"/>
      <c r="AF556" s="19"/>
      <c r="AG556" s="19"/>
    </row>
    <row r="557">
      <c r="A557" s="47">
        <f>COUNTIF('Divulgação'!$B:$B,B557)</f>
        <v>1</v>
      </c>
      <c r="B557" s="47" t="s">
        <v>1287</v>
      </c>
      <c r="C557" s="48"/>
      <c r="D557" s="50" t="s">
        <v>1314</v>
      </c>
      <c r="E557" s="50" t="s">
        <v>1315</v>
      </c>
      <c r="F557" s="59">
        <v>46288.0</v>
      </c>
      <c r="G557" s="50" t="s">
        <v>1316</v>
      </c>
      <c r="H557" s="59">
        <v>46288.0</v>
      </c>
      <c r="I557" s="47" t="s">
        <v>1523</v>
      </c>
      <c r="J557" s="50" t="s">
        <v>1524</v>
      </c>
      <c r="K557" s="50" t="s">
        <v>1525</v>
      </c>
      <c r="L557" s="47" t="s">
        <v>2005</v>
      </c>
      <c r="M557" s="48"/>
      <c r="N557" s="48"/>
      <c r="O557" s="48"/>
      <c r="P557" s="48"/>
      <c r="Q557" s="50">
        <v>1.0</v>
      </c>
      <c r="R557" s="59">
        <v>46286.0</v>
      </c>
      <c r="S557" s="59">
        <v>46290.0</v>
      </c>
      <c r="T557" s="59">
        <v>46288.0</v>
      </c>
      <c r="U557" s="48"/>
      <c r="V557" s="50" t="s">
        <v>1321</v>
      </c>
      <c r="W557" s="48"/>
      <c r="X557" s="50" t="s">
        <v>12</v>
      </c>
      <c r="Y557" s="50" t="s">
        <v>1322</v>
      </c>
      <c r="Z557" s="50">
        <v>3.040326456E9</v>
      </c>
      <c r="AA557" s="50" t="s">
        <v>17</v>
      </c>
      <c r="AB557" s="50" t="s">
        <v>2006</v>
      </c>
      <c r="AC557" s="50" t="s">
        <v>1846</v>
      </c>
      <c r="AD557" s="19"/>
      <c r="AE557" s="19"/>
      <c r="AF557" s="19"/>
      <c r="AG557" s="19"/>
    </row>
    <row r="558">
      <c r="A558" s="48"/>
      <c r="B558" s="48"/>
      <c r="C558" s="19"/>
      <c r="D558" s="19"/>
      <c r="E558" s="19"/>
      <c r="F558" s="19"/>
      <c r="G558" s="19"/>
      <c r="H558" s="19"/>
      <c r="I558" s="19"/>
      <c r="J558" s="19"/>
      <c r="K558" s="19"/>
      <c r="L558" s="48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>
      <c r="A559" s="48"/>
      <c r="B559" s="48"/>
      <c r="C559" s="19"/>
      <c r="D559" s="19"/>
      <c r="E559" s="19"/>
      <c r="F559" s="19"/>
      <c r="G559" s="19"/>
      <c r="H559" s="19"/>
      <c r="I559" s="19"/>
      <c r="J559" s="19"/>
      <c r="K559" s="19"/>
      <c r="L559" s="48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>
      <c r="A560" s="48"/>
      <c r="B560" s="48"/>
      <c r="C560" s="19"/>
      <c r="D560" s="19"/>
      <c r="E560" s="19"/>
      <c r="F560" s="19"/>
      <c r="G560" s="19"/>
      <c r="H560" s="19"/>
      <c r="I560" s="19"/>
      <c r="J560" s="19"/>
      <c r="K560" s="19"/>
      <c r="L560" s="48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>
      <c r="A561" s="48"/>
      <c r="B561" s="48"/>
      <c r="C561" s="19"/>
      <c r="D561" s="19"/>
      <c r="E561" s="19"/>
      <c r="F561" s="19"/>
      <c r="G561" s="19"/>
      <c r="H561" s="19"/>
      <c r="I561" s="19"/>
      <c r="J561" s="19"/>
      <c r="K561" s="19"/>
      <c r="L561" s="48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>
      <c r="A562" s="48"/>
      <c r="B562" s="48"/>
      <c r="C562" s="19"/>
      <c r="D562" s="19"/>
      <c r="E562" s="19"/>
      <c r="F562" s="19"/>
      <c r="G562" s="19"/>
      <c r="H562" s="19"/>
      <c r="I562" s="19"/>
      <c r="J562" s="19"/>
      <c r="K562" s="19"/>
      <c r="L562" s="48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>
      <c r="A563" s="48"/>
      <c r="B563" s="48"/>
      <c r="C563" s="19"/>
      <c r="D563" s="19"/>
      <c r="E563" s="19"/>
      <c r="F563" s="19"/>
      <c r="G563" s="19"/>
      <c r="H563" s="19"/>
      <c r="I563" s="19"/>
      <c r="J563" s="19"/>
      <c r="K563" s="19"/>
      <c r="L563" s="48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>
      <c r="A564" s="48"/>
      <c r="B564" s="48"/>
      <c r="C564" s="19"/>
      <c r="D564" s="19"/>
      <c r="E564" s="19"/>
      <c r="F564" s="19"/>
      <c r="G564" s="19"/>
      <c r="H564" s="19"/>
      <c r="I564" s="19"/>
      <c r="J564" s="19"/>
      <c r="K564" s="19"/>
      <c r="L564" s="48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>
      <c r="A565" s="48"/>
      <c r="B565" s="48"/>
      <c r="C565" s="19"/>
      <c r="D565" s="19"/>
      <c r="E565" s="19"/>
      <c r="F565" s="19"/>
      <c r="G565" s="19"/>
      <c r="H565" s="19"/>
      <c r="I565" s="19"/>
      <c r="J565" s="19"/>
      <c r="K565" s="19"/>
      <c r="L565" s="48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>
      <c r="A566" s="48"/>
      <c r="B566" s="48"/>
      <c r="C566" s="19"/>
      <c r="D566" s="19"/>
      <c r="E566" s="19"/>
      <c r="F566" s="19"/>
      <c r="G566" s="19"/>
      <c r="H566" s="19"/>
      <c r="I566" s="19"/>
      <c r="J566" s="19"/>
      <c r="K566" s="19"/>
      <c r="L566" s="48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>
      <c r="A567" s="48"/>
      <c r="B567" s="48"/>
      <c r="C567" s="19"/>
      <c r="D567" s="19"/>
      <c r="E567" s="19"/>
      <c r="F567" s="19"/>
      <c r="G567" s="19"/>
      <c r="H567" s="19"/>
      <c r="I567" s="19"/>
      <c r="J567" s="19"/>
      <c r="K567" s="19"/>
      <c r="L567" s="48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>
      <c r="A568" s="48"/>
      <c r="B568" s="48"/>
      <c r="C568" s="19"/>
      <c r="D568" s="19"/>
      <c r="E568" s="19"/>
      <c r="F568" s="19"/>
      <c r="G568" s="19"/>
      <c r="H568" s="19"/>
      <c r="I568" s="19"/>
      <c r="J568" s="19"/>
      <c r="K568" s="19"/>
      <c r="L568" s="48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>
      <c r="A569" s="48"/>
      <c r="B569" s="48"/>
      <c r="C569" s="19"/>
      <c r="D569" s="19"/>
      <c r="E569" s="19"/>
      <c r="F569" s="19"/>
      <c r="G569" s="19"/>
      <c r="H569" s="19"/>
      <c r="I569" s="19"/>
      <c r="J569" s="19"/>
      <c r="K569" s="19"/>
      <c r="L569" s="48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>
      <c r="A570" s="48"/>
      <c r="B570" s="48"/>
      <c r="C570" s="19"/>
      <c r="D570" s="19"/>
      <c r="E570" s="19"/>
      <c r="F570" s="19"/>
      <c r="G570" s="19"/>
      <c r="H570" s="19"/>
      <c r="I570" s="19"/>
      <c r="J570" s="19"/>
      <c r="K570" s="19"/>
      <c r="L570" s="48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>
      <c r="A571" s="48"/>
      <c r="B571" s="48"/>
      <c r="C571" s="19"/>
      <c r="D571" s="19"/>
      <c r="E571" s="19"/>
      <c r="F571" s="19"/>
      <c r="G571" s="19"/>
      <c r="H571" s="19"/>
      <c r="I571" s="19"/>
      <c r="J571" s="19"/>
      <c r="K571" s="19"/>
      <c r="L571" s="48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>
      <c r="A572" s="48"/>
      <c r="B572" s="48"/>
      <c r="C572" s="19"/>
      <c r="D572" s="19"/>
      <c r="E572" s="19"/>
      <c r="F572" s="19"/>
      <c r="G572" s="19"/>
      <c r="H572" s="19"/>
      <c r="I572" s="19"/>
      <c r="J572" s="19"/>
      <c r="K572" s="19"/>
      <c r="L572" s="48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>
      <c r="A573" s="48"/>
      <c r="B573" s="48"/>
      <c r="C573" s="19"/>
      <c r="D573" s="19"/>
      <c r="E573" s="19"/>
      <c r="F573" s="19"/>
      <c r="G573" s="19"/>
      <c r="H573" s="19"/>
      <c r="I573" s="19"/>
      <c r="J573" s="19"/>
      <c r="K573" s="19"/>
      <c r="L573" s="48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>
      <c r="A574" s="48"/>
      <c r="B574" s="48"/>
      <c r="C574" s="19"/>
      <c r="D574" s="19"/>
      <c r="E574" s="19"/>
      <c r="F574" s="19"/>
      <c r="G574" s="19"/>
      <c r="H574" s="19"/>
      <c r="I574" s="19"/>
      <c r="J574" s="19"/>
      <c r="K574" s="19"/>
      <c r="L574" s="48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>
      <c r="A575" s="48"/>
      <c r="B575" s="48"/>
      <c r="C575" s="19"/>
      <c r="D575" s="19"/>
      <c r="E575" s="19"/>
      <c r="F575" s="19"/>
      <c r="G575" s="19"/>
      <c r="H575" s="19"/>
      <c r="I575" s="19"/>
      <c r="J575" s="19"/>
      <c r="K575" s="19"/>
      <c r="L575" s="48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>
      <c r="A576" s="48"/>
      <c r="B576" s="48"/>
      <c r="C576" s="19"/>
      <c r="D576" s="19"/>
      <c r="E576" s="19"/>
      <c r="F576" s="19"/>
      <c r="G576" s="19"/>
      <c r="H576" s="19"/>
      <c r="I576" s="19"/>
      <c r="J576" s="19"/>
      <c r="K576" s="19"/>
      <c r="L576" s="48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>
      <c r="A577" s="48"/>
      <c r="B577" s="48"/>
      <c r="C577" s="19"/>
      <c r="D577" s="19"/>
      <c r="E577" s="19"/>
      <c r="F577" s="19"/>
      <c r="G577" s="19"/>
      <c r="H577" s="19"/>
      <c r="I577" s="19"/>
      <c r="J577" s="19"/>
      <c r="K577" s="19"/>
      <c r="L577" s="48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>
      <c r="A578" s="48"/>
      <c r="B578" s="48"/>
      <c r="C578" s="19"/>
      <c r="D578" s="19"/>
      <c r="E578" s="19"/>
      <c r="F578" s="19"/>
      <c r="G578" s="19"/>
      <c r="H578" s="19"/>
      <c r="I578" s="19"/>
      <c r="J578" s="19"/>
      <c r="K578" s="19"/>
      <c r="L578" s="48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>
      <c r="A579" s="48"/>
      <c r="B579" s="48"/>
      <c r="C579" s="19"/>
      <c r="D579" s="19"/>
      <c r="E579" s="19"/>
      <c r="F579" s="19"/>
      <c r="G579" s="19"/>
      <c r="H579" s="19"/>
      <c r="I579" s="19"/>
      <c r="J579" s="19"/>
      <c r="K579" s="19"/>
      <c r="L579" s="48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>
      <c r="A580" s="48"/>
      <c r="B580" s="48"/>
      <c r="C580" s="19"/>
      <c r="D580" s="19"/>
      <c r="E580" s="19"/>
      <c r="F580" s="19"/>
      <c r="G580" s="19"/>
      <c r="H580" s="19"/>
      <c r="I580" s="19"/>
      <c r="J580" s="19"/>
      <c r="K580" s="19"/>
      <c r="L580" s="48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>
      <c r="A581" s="48"/>
      <c r="B581" s="48"/>
      <c r="C581" s="19"/>
      <c r="D581" s="19"/>
      <c r="E581" s="19"/>
      <c r="F581" s="19"/>
      <c r="G581" s="19"/>
      <c r="H581" s="19"/>
      <c r="I581" s="19"/>
      <c r="J581" s="19"/>
      <c r="K581" s="19"/>
      <c r="L581" s="48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>
      <c r="A582" s="48"/>
      <c r="B582" s="48"/>
      <c r="C582" s="19"/>
      <c r="D582" s="19"/>
      <c r="E582" s="19"/>
      <c r="F582" s="19"/>
      <c r="G582" s="19"/>
      <c r="H582" s="19"/>
      <c r="I582" s="19"/>
      <c r="J582" s="19"/>
      <c r="K582" s="19"/>
      <c r="L582" s="48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>
      <c r="A583" s="48"/>
      <c r="B583" s="48"/>
      <c r="C583" s="19"/>
      <c r="D583" s="19"/>
      <c r="E583" s="19"/>
      <c r="F583" s="19"/>
      <c r="G583" s="19"/>
      <c r="H583" s="19"/>
      <c r="I583" s="19"/>
      <c r="J583" s="19"/>
      <c r="K583" s="19"/>
      <c r="L583" s="48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>
      <c r="A584" s="48"/>
      <c r="B584" s="48"/>
      <c r="C584" s="19"/>
      <c r="D584" s="19"/>
      <c r="E584" s="19"/>
      <c r="F584" s="19"/>
      <c r="G584" s="19"/>
      <c r="H584" s="19"/>
      <c r="I584" s="19"/>
      <c r="J584" s="19"/>
      <c r="K584" s="19"/>
      <c r="L584" s="48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>
      <c r="A585" s="48"/>
      <c r="B585" s="48"/>
      <c r="C585" s="19"/>
      <c r="D585" s="19"/>
      <c r="E585" s="19"/>
      <c r="F585" s="19"/>
      <c r="G585" s="19"/>
      <c r="H585" s="19"/>
      <c r="I585" s="19"/>
      <c r="J585" s="19"/>
      <c r="K585" s="19"/>
      <c r="L585" s="48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>
      <c r="A586" s="48"/>
      <c r="B586" s="48"/>
      <c r="C586" s="19"/>
      <c r="D586" s="19"/>
      <c r="E586" s="19"/>
      <c r="F586" s="19"/>
      <c r="G586" s="19"/>
      <c r="H586" s="19"/>
      <c r="I586" s="19"/>
      <c r="J586" s="19"/>
      <c r="K586" s="19"/>
      <c r="L586" s="48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>
      <c r="A587" s="48"/>
      <c r="B587" s="48"/>
      <c r="C587" s="19"/>
      <c r="D587" s="19"/>
      <c r="E587" s="19"/>
      <c r="F587" s="19"/>
      <c r="G587" s="19"/>
      <c r="H587" s="19"/>
      <c r="I587" s="19"/>
      <c r="J587" s="19"/>
      <c r="K587" s="19"/>
      <c r="L587" s="48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>
      <c r="A588" s="48"/>
      <c r="B588" s="48"/>
      <c r="C588" s="19"/>
      <c r="D588" s="19"/>
      <c r="E588" s="19"/>
      <c r="F588" s="19"/>
      <c r="G588" s="19"/>
      <c r="H588" s="19"/>
      <c r="I588" s="19"/>
      <c r="J588" s="19"/>
      <c r="K588" s="19"/>
      <c r="L588" s="48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>
      <c r="A589" s="48"/>
      <c r="B589" s="48"/>
      <c r="C589" s="19"/>
      <c r="D589" s="19"/>
      <c r="E589" s="19"/>
      <c r="F589" s="19"/>
      <c r="G589" s="19"/>
      <c r="H589" s="19"/>
      <c r="I589" s="19"/>
      <c r="J589" s="19"/>
      <c r="K589" s="19"/>
      <c r="L589" s="48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>
      <c r="A590" s="48"/>
      <c r="B590" s="48"/>
      <c r="C590" s="19"/>
      <c r="D590" s="19"/>
      <c r="E590" s="19"/>
      <c r="F590" s="19"/>
      <c r="G590" s="19"/>
      <c r="H590" s="19"/>
      <c r="I590" s="19"/>
      <c r="J590" s="19"/>
      <c r="K590" s="19"/>
      <c r="L590" s="48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>
      <c r="A591" s="48"/>
      <c r="B591" s="48"/>
      <c r="C591" s="19"/>
      <c r="D591" s="19"/>
      <c r="E591" s="19"/>
      <c r="F591" s="19"/>
      <c r="G591" s="19"/>
      <c r="H591" s="19"/>
      <c r="I591" s="19"/>
      <c r="J591" s="19"/>
      <c r="K591" s="19"/>
      <c r="L591" s="48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>
      <c r="A592" s="48"/>
      <c r="B592" s="48"/>
      <c r="C592" s="19"/>
      <c r="D592" s="19"/>
      <c r="E592" s="19"/>
      <c r="F592" s="19"/>
      <c r="G592" s="19"/>
      <c r="H592" s="19"/>
      <c r="I592" s="19"/>
      <c r="J592" s="19"/>
      <c r="K592" s="19"/>
      <c r="L592" s="48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>
      <c r="A593" s="48"/>
      <c r="B593" s="48"/>
      <c r="C593" s="19"/>
      <c r="D593" s="19"/>
      <c r="E593" s="19"/>
      <c r="F593" s="19"/>
      <c r="G593" s="19"/>
      <c r="H593" s="19"/>
      <c r="I593" s="19"/>
      <c r="J593" s="19"/>
      <c r="K593" s="19"/>
      <c r="L593" s="48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>
      <c r="A594" s="48"/>
      <c r="B594" s="48"/>
      <c r="C594" s="19"/>
      <c r="D594" s="19"/>
      <c r="E594" s="19"/>
      <c r="F594" s="19"/>
      <c r="G594" s="19"/>
      <c r="H594" s="19"/>
      <c r="I594" s="19"/>
      <c r="J594" s="19"/>
      <c r="K594" s="19"/>
      <c r="L594" s="48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>
      <c r="A595" s="48"/>
      <c r="B595" s="48"/>
      <c r="C595" s="19"/>
      <c r="D595" s="19"/>
      <c r="E595" s="19"/>
      <c r="F595" s="19"/>
      <c r="G595" s="19"/>
      <c r="H595" s="19"/>
      <c r="I595" s="19"/>
      <c r="J595" s="19"/>
      <c r="K595" s="19"/>
      <c r="L595" s="48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>
      <c r="A596" s="48"/>
      <c r="B596" s="48"/>
      <c r="C596" s="19"/>
      <c r="D596" s="19"/>
      <c r="E596" s="19"/>
      <c r="F596" s="19"/>
      <c r="G596" s="19"/>
      <c r="H596" s="19"/>
      <c r="I596" s="19"/>
      <c r="J596" s="19"/>
      <c r="K596" s="19"/>
      <c r="L596" s="48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>
      <c r="A597" s="48"/>
      <c r="B597" s="48"/>
      <c r="C597" s="19"/>
      <c r="D597" s="19"/>
      <c r="E597" s="19"/>
      <c r="F597" s="19"/>
      <c r="G597" s="19"/>
      <c r="H597" s="19"/>
      <c r="I597" s="19"/>
      <c r="J597" s="19"/>
      <c r="K597" s="19"/>
      <c r="L597" s="48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>
      <c r="A598" s="48"/>
      <c r="B598" s="48"/>
      <c r="C598" s="19"/>
      <c r="D598" s="19"/>
      <c r="E598" s="19"/>
      <c r="F598" s="19"/>
      <c r="G598" s="19"/>
      <c r="H598" s="19"/>
      <c r="I598" s="19"/>
      <c r="J598" s="19"/>
      <c r="K598" s="19"/>
      <c r="L598" s="48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>
      <c r="A599" s="48"/>
      <c r="B599" s="48"/>
      <c r="C599" s="19"/>
      <c r="D599" s="19"/>
      <c r="E599" s="19"/>
      <c r="F599" s="19"/>
      <c r="G599" s="19"/>
      <c r="H599" s="19"/>
      <c r="I599" s="19"/>
      <c r="J599" s="19"/>
      <c r="K599" s="19"/>
      <c r="L599" s="48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>
      <c r="A600" s="48"/>
      <c r="B600" s="48"/>
      <c r="C600" s="19"/>
      <c r="D600" s="19"/>
      <c r="E600" s="19"/>
      <c r="F600" s="19"/>
      <c r="G600" s="19"/>
      <c r="H600" s="19"/>
      <c r="I600" s="19"/>
      <c r="J600" s="19"/>
      <c r="K600" s="19"/>
      <c r="L600" s="48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>
      <c r="A601" s="48"/>
      <c r="B601" s="48"/>
      <c r="C601" s="19"/>
      <c r="D601" s="19"/>
      <c r="E601" s="19"/>
      <c r="F601" s="19"/>
      <c r="G601" s="19"/>
      <c r="H601" s="19"/>
      <c r="I601" s="19"/>
      <c r="J601" s="19"/>
      <c r="K601" s="19"/>
      <c r="L601" s="48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>
      <c r="A602" s="48"/>
      <c r="B602" s="48"/>
      <c r="C602" s="19"/>
      <c r="D602" s="19"/>
      <c r="E602" s="19"/>
      <c r="F602" s="19"/>
      <c r="G602" s="19"/>
      <c r="H602" s="19"/>
      <c r="I602" s="19"/>
      <c r="J602" s="19"/>
      <c r="K602" s="19"/>
      <c r="L602" s="48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>
      <c r="A603" s="48"/>
      <c r="B603" s="48"/>
      <c r="C603" s="19"/>
      <c r="D603" s="19"/>
      <c r="E603" s="19"/>
      <c r="F603" s="19"/>
      <c r="G603" s="19"/>
      <c r="H603" s="19"/>
      <c r="I603" s="19"/>
      <c r="J603" s="19"/>
      <c r="K603" s="19"/>
      <c r="L603" s="48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>
      <c r="A604" s="48"/>
      <c r="B604" s="48"/>
      <c r="C604" s="19"/>
      <c r="D604" s="19"/>
      <c r="E604" s="19"/>
      <c r="F604" s="19"/>
      <c r="G604" s="19"/>
      <c r="H604" s="19"/>
      <c r="I604" s="19"/>
      <c r="J604" s="19"/>
      <c r="K604" s="19"/>
      <c r="L604" s="48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>
      <c r="A605" s="48"/>
      <c r="B605" s="48"/>
      <c r="C605" s="19"/>
      <c r="D605" s="19"/>
      <c r="E605" s="19"/>
      <c r="F605" s="19"/>
      <c r="G605" s="19"/>
      <c r="H605" s="19"/>
      <c r="I605" s="19"/>
      <c r="J605" s="19"/>
      <c r="K605" s="19"/>
      <c r="L605" s="48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>
      <c r="A606" s="48"/>
      <c r="B606" s="48"/>
      <c r="C606" s="19"/>
      <c r="D606" s="19"/>
      <c r="E606" s="19"/>
      <c r="F606" s="19"/>
      <c r="G606" s="19"/>
      <c r="H606" s="19"/>
      <c r="I606" s="19"/>
      <c r="J606" s="19"/>
      <c r="K606" s="19"/>
      <c r="L606" s="48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>
      <c r="A607" s="48"/>
      <c r="B607" s="48"/>
      <c r="C607" s="19"/>
      <c r="D607" s="19"/>
      <c r="E607" s="19"/>
      <c r="F607" s="19"/>
      <c r="G607" s="19"/>
      <c r="H607" s="19"/>
      <c r="I607" s="19"/>
      <c r="J607" s="19"/>
      <c r="K607" s="19"/>
      <c r="L607" s="48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>
      <c r="A608" s="48"/>
      <c r="B608" s="48"/>
      <c r="C608" s="19"/>
      <c r="D608" s="19"/>
      <c r="E608" s="19"/>
      <c r="F608" s="19"/>
      <c r="G608" s="19"/>
      <c r="H608" s="19"/>
      <c r="I608" s="19"/>
      <c r="J608" s="19"/>
      <c r="K608" s="19"/>
      <c r="L608" s="48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>
      <c r="A609" s="48"/>
      <c r="B609" s="48"/>
      <c r="C609" s="19"/>
      <c r="D609" s="19"/>
      <c r="E609" s="19"/>
      <c r="F609" s="19"/>
      <c r="G609" s="19"/>
      <c r="H609" s="19"/>
      <c r="I609" s="19"/>
      <c r="J609" s="19"/>
      <c r="K609" s="19"/>
      <c r="L609" s="48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>
      <c r="A610" s="48"/>
      <c r="B610" s="48"/>
      <c r="C610" s="19"/>
      <c r="D610" s="19"/>
      <c r="E610" s="19"/>
      <c r="F610" s="19"/>
      <c r="G610" s="19"/>
      <c r="H610" s="19"/>
      <c r="I610" s="19"/>
      <c r="J610" s="19"/>
      <c r="K610" s="19"/>
      <c r="L610" s="48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>
      <c r="A611" s="48"/>
      <c r="B611" s="48"/>
      <c r="C611" s="19"/>
      <c r="D611" s="19"/>
      <c r="E611" s="19"/>
      <c r="F611" s="19"/>
      <c r="G611" s="19"/>
      <c r="H611" s="19"/>
      <c r="I611" s="19"/>
      <c r="J611" s="19"/>
      <c r="K611" s="19"/>
      <c r="L611" s="48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>
      <c r="A612" s="48"/>
      <c r="B612" s="48"/>
      <c r="C612" s="19"/>
      <c r="D612" s="19"/>
      <c r="E612" s="19"/>
      <c r="F612" s="19"/>
      <c r="G612" s="19"/>
      <c r="H612" s="19"/>
      <c r="I612" s="19"/>
      <c r="J612" s="19"/>
      <c r="K612" s="19"/>
      <c r="L612" s="48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>
      <c r="A613" s="48"/>
      <c r="B613" s="48"/>
      <c r="C613" s="19"/>
      <c r="D613" s="19"/>
      <c r="E613" s="19"/>
      <c r="F613" s="19"/>
      <c r="G613" s="19"/>
      <c r="H613" s="19"/>
      <c r="I613" s="19"/>
      <c r="J613" s="19"/>
      <c r="K613" s="19"/>
      <c r="L613" s="48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>
      <c r="A614" s="48"/>
      <c r="B614" s="48"/>
      <c r="C614" s="19"/>
      <c r="D614" s="19"/>
      <c r="E614" s="19"/>
      <c r="F614" s="19"/>
      <c r="G614" s="19"/>
      <c r="H614" s="19"/>
      <c r="I614" s="19"/>
      <c r="J614" s="19"/>
      <c r="K614" s="19"/>
      <c r="L614" s="48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>
      <c r="A615" s="48"/>
      <c r="B615" s="48"/>
      <c r="C615" s="19"/>
      <c r="D615" s="19"/>
      <c r="E615" s="19"/>
      <c r="F615" s="19"/>
      <c r="G615" s="19"/>
      <c r="H615" s="19"/>
      <c r="I615" s="19"/>
      <c r="J615" s="19"/>
      <c r="K615" s="19"/>
      <c r="L615" s="48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>
      <c r="A616" s="48"/>
      <c r="B616" s="48"/>
      <c r="C616" s="19"/>
      <c r="D616" s="19"/>
      <c r="E616" s="19"/>
      <c r="F616" s="19"/>
      <c r="G616" s="19"/>
      <c r="H616" s="19"/>
      <c r="I616" s="19"/>
      <c r="J616" s="19"/>
      <c r="K616" s="19"/>
      <c r="L616" s="48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>
      <c r="A617" s="48"/>
      <c r="B617" s="48"/>
      <c r="C617" s="19"/>
      <c r="D617" s="19"/>
      <c r="E617" s="19"/>
      <c r="F617" s="19"/>
      <c r="G617" s="19"/>
      <c r="H617" s="19"/>
      <c r="I617" s="19"/>
      <c r="J617" s="19"/>
      <c r="K617" s="19"/>
      <c r="L617" s="48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>
      <c r="A618" s="48"/>
      <c r="B618" s="48"/>
      <c r="C618" s="19"/>
      <c r="D618" s="19"/>
      <c r="E618" s="19"/>
      <c r="F618" s="19"/>
      <c r="G618" s="19"/>
      <c r="H618" s="19"/>
      <c r="I618" s="19"/>
      <c r="J618" s="19"/>
      <c r="K618" s="19"/>
      <c r="L618" s="48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>
      <c r="A619" s="48"/>
      <c r="B619" s="48"/>
      <c r="C619" s="19"/>
      <c r="D619" s="19"/>
      <c r="E619" s="19"/>
      <c r="F619" s="19"/>
      <c r="G619" s="19"/>
      <c r="H619" s="19"/>
      <c r="I619" s="19"/>
      <c r="J619" s="19"/>
      <c r="K619" s="19"/>
      <c r="L619" s="48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>
      <c r="A620" s="48"/>
      <c r="B620" s="48"/>
      <c r="C620" s="19"/>
      <c r="D620" s="19"/>
      <c r="E620" s="19"/>
      <c r="F620" s="19"/>
      <c r="G620" s="19"/>
      <c r="H620" s="19"/>
      <c r="I620" s="19"/>
      <c r="J620" s="19"/>
      <c r="K620" s="19"/>
      <c r="L620" s="48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>
      <c r="A621" s="48"/>
      <c r="B621" s="48"/>
      <c r="C621" s="19"/>
      <c r="D621" s="19"/>
      <c r="E621" s="19"/>
      <c r="F621" s="19"/>
      <c r="G621" s="19"/>
      <c r="H621" s="19"/>
      <c r="I621" s="19"/>
      <c r="J621" s="19"/>
      <c r="K621" s="19"/>
      <c r="L621" s="48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>
      <c r="A622" s="48"/>
      <c r="B622" s="48"/>
      <c r="C622" s="19"/>
      <c r="D622" s="19"/>
      <c r="E622" s="19"/>
      <c r="F622" s="19"/>
      <c r="G622" s="19"/>
      <c r="H622" s="19"/>
      <c r="I622" s="19"/>
      <c r="J622" s="19"/>
      <c r="K622" s="19"/>
      <c r="L622" s="48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>
      <c r="A623" s="48"/>
      <c r="B623" s="48"/>
      <c r="C623" s="19"/>
      <c r="D623" s="19"/>
      <c r="E623" s="19"/>
      <c r="F623" s="19"/>
      <c r="G623" s="19"/>
      <c r="H623" s="19"/>
      <c r="I623" s="19"/>
      <c r="J623" s="19"/>
      <c r="K623" s="19"/>
      <c r="L623" s="48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>
      <c r="A624" s="48"/>
      <c r="B624" s="48"/>
      <c r="C624" s="19"/>
      <c r="D624" s="19"/>
      <c r="E624" s="19"/>
      <c r="F624" s="19"/>
      <c r="G624" s="19"/>
      <c r="H624" s="19"/>
      <c r="I624" s="19"/>
      <c r="J624" s="19"/>
      <c r="K624" s="19"/>
      <c r="L624" s="48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>
      <c r="A625" s="48"/>
      <c r="B625" s="48"/>
      <c r="C625" s="19"/>
      <c r="D625" s="19"/>
      <c r="E625" s="19"/>
      <c r="F625" s="19"/>
      <c r="G625" s="19"/>
      <c r="H625" s="19"/>
      <c r="I625" s="19"/>
      <c r="J625" s="19"/>
      <c r="K625" s="19"/>
      <c r="L625" s="48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>
      <c r="A626" s="48"/>
      <c r="B626" s="48"/>
      <c r="C626" s="19"/>
      <c r="D626" s="19"/>
      <c r="E626" s="19"/>
      <c r="F626" s="19"/>
      <c r="G626" s="19"/>
      <c r="H626" s="19"/>
      <c r="I626" s="19"/>
      <c r="J626" s="19"/>
      <c r="K626" s="19"/>
      <c r="L626" s="48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>
      <c r="A627" s="48"/>
      <c r="B627" s="48"/>
      <c r="C627" s="19"/>
      <c r="D627" s="19"/>
      <c r="E627" s="19"/>
      <c r="F627" s="19"/>
      <c r="G627" s="19"/>
      <c r="H627" s="19"/>
      <c r="I627" s="19"/>
      <c r="J627" s="19"/>
      <c r="K627" s="19"/>
      <c r="L627" s="48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>
      <c r="A628" s="48"/>
      <c r="B628" s="48"/>
      <c r="C628" s="19"/>
      <c r="D628" s="19"/>
      <c r="E628" s="19"/>
      <c r="F628" s="19"/>
      <c r="G628" s="19"/>
      <c r="H628" s="19"/>
      <c r="I628" s="19"/>
      <c r="J628" s="19"/>
      <c r="K628" s="19"/>
      <c r="L628" s="48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>
      <c r="A629" s="48"/>
      <c r="B629" s="48"/>
      <c r="C629" s="19"/>
      <c r="D629" s="19"/>
      <c r="E629" s="19"/>
      <c r="F629" s="19"/>
      <c r="G629" s="19"/>
      <c r="H629" s="19"/>
      <c r="I629" s="19"/>
      <c r="J629" s="19"/>
      <c r="K629" s="19"/>
      <c r="L629" s="48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>
      <c r="A630" s="48"/>
      <c r="B630" s="48"/>
      <c r="C630" s="19"/>
      <c r="D630" s="19"/>
      <c r="E630" s="19"/>
      <c r="F630" s="19"/>
      <c r="G630" s="19"/>
      <c r="H630" s="19"/>
      <c r="I630" s="19"/>
      <c r="J630" s="19"/>
      <c r="K630" s="19"/>
      <c r="L630" s="48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>
      <c r="A631" s="48"/>
      <c r="B631" s="48"/>
      <c r="C631" s="19"/>
      <c r="D631" s="19"/>
      <c r="E631" s="19"/>
      <c r="F631" s="19"/>
      <c r="G631" s="19"/>
      <c r="H631" s="19"/>
      <c r="I631" s="19"/>
      <c r="J631" s="19"/>
      <c r="K631" s="19"/>
      <c r="L631" s="48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>
      <c r="A632" s="48"/>
      <c r="B632" s="48"/>
      <c r="C632" s="19"/>
      <c r="D632" s="19"/>
      <c r="E632" s="19"/>
      <c r="F632" s="19"/>
      <c r="G632" s="19"/>
      <c r="H632" s="19"/>
      <c r="I632" s="19"/>
      <c r="J632" s="19"/>
      <c r="K632" s="19"/>
      <c r="L632" s="48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>
      <c r="A633" s="48"/>
      <c r="B633" s="48"/>
      <c r="C633" s="19"/>
      <c r="D633" s="19"/>
      <c r="E633" s="19"/>
      <c r="F633" s="19"/>
      <c r="G633" s="19"/>
      <c r="H633" s="19"/>
      <c r="I633" s="19"/>
      <c r="J633" s="19"/>
      <c r="K633" s="19"/>
      <c r="L633" s="48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>
      <c r="A634" s="48"/>
      <c r="B634" s="48"/>
      <c r="C634" s="19"/>
      <c r="D634" s="19"/>
      <c r="E634" s="19"/>
      <c r="F634" s="19"/>
      <c r="G634" s="19"/>
      <c r="H634" s="19"/>
      <c r="I634" s="19"/>
      <c r="J634" s="19"/>
      <c r="K634" s="19"/>
      <c r="L634" s="48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>
      <c r="A635" s="48"/>
      <c r="B635" s="48"/>
      <c r="C635" s="19"/>
      <c r="D635" s="19"/>
      <c r="E635" s="19"/>
      <c r="F635" s="19"/>
      <c r="G635" s="19"/>
      <c r="H635" s="19"/>
      <c r="I635" s="19"/>
      <c r="J635" s="19"/>
      <c r="K635" s="19"/>
      <c r="L635" s="48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>
      <c r="A636" s="48"/>
      <c r="B636" s="48"/>
      <c r="C636" s="19"/>
      <c r="D636" s="19"/>
      <c r="E636" s="19"/>
      <c r="F636" s="19"/>
      <c r="G636" s="19"/>
      <c r="H636" s="19"/>
      <c r="I636" s="19"/>
      <c r="J636" s="19"/>
      <c r="K636" s="19"/>
      <c r="L636" s="48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>
      <c r="A637" s="48"/>
      <c r="B637" s="48"/>
      <c r="C637" s="19"/>
      <c r="D637" s="19"/>
      <c r="E637" s="19"/>
      <c r="F637" s="19"/>
      <c r="G637" s="19"/>
      <c r="H637" s="19"/>
      <c r="I637" s="19"/>
      <c r="J637" s="19"/>
      <c r="K637" s="19"/>
      <c r="L637" s="48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>
      <c r="A638" s="48"/>
      <c r="B638" s="48"/>
      <c r="C638" s="19"/>
      <c r="D638" s="19"/>
      <c r="E638" s="19"/>
      <c r="F638" s="19"/>
      <c r="G638" s="19"/>
      <c r="H638" s="19"/>
      <c r="I638" s="19"/>
      <c r="J638" s="19"/>
      <c r="K638" s="19"/>
      <c r="L638" s="48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>
      <c r="A639" s="48"/>
      <c r="B639" s="48"/>
      <c r="C639" s="19"/>
      <c r="D639" s="19"/>
      <c r="E639" s="19"/>
      <c r="F639" s="19"/>
      <c r="G639" s="19"/>
      <c r="H639" s="19"/>
      <c r="I639" s="19"/>
      <c r="J639" s="19"/>
      <c r="K639" s="19"/>
      <c r="L639" s="48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>
      <c r="A640" s="48"/>
      <c r="B640" s="48"/>
      <c r="C640" s="19"/>
      <c r="D640" s="19"/>
      <c r="E640" s="19"/>
      <c r="F640" s="19"/>
      <c r="G640" s="19"/>
      <c r="H640" s="19"/>
      <c r="I640" s="19"/>
      <c r="J640" s="19"/>
      <c r="K640" s="19"/>
      <c r="L640" s="48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>
      <c r="A641" s="48"/>
      <c r="B641" s="48"/>
      <c r="C641" s="19"/>
      <c r="D641" s="19"/>
      <c r="E641" s="19"/>
      <c r="F641" s="19"/>
      <c r="G641" s="19"/>
      <c r="H641" s="19"/>
      <c r="I641" s="19"/>
      <c r="J641" s="19"/>
      <c r="K641" s="19"/>
      <c r="L641" s="48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>
      <c r="A642" s="48"/>
      <c r="B642" s="48"/>
      <c r="C642" s="19"/>
      <c r="D642" s="19"/>
      <c r="E642" s="19"/>
      <c r="F642" s="19"/>
      <c r="G642" s="19"/>
      <c r="H642" s="19"/>
      <c r="I642" s="19"/>
      <c r="J642" s="19"/>
      <c r="K642" s="19"/>
      <c r="L642" s="48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>
      <c r="A643" s="48"/>
      <c r="B643" s="48"/>
      <c r="C643" s="19"/>
      <c r="D643" s="19"/>
      <c r="E643" s="19"/>
      <c r="F643" s="19"/>
      <c r="G643" s="19"/>
      <c r="H643" s="19"/>
      <c r="I643" s="19"/>
      <c r="J643" s="19"/>
      <c r="K643" s="19"/>
      <c r="L643" s="48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>
      <c r="A644" s="48"/>
      <c r="B644" s="48"/>
      <c r="C644" s="19"/>
      <c r="D644" s="19"/>
      <c r="E644" s="19"/>
      <c r="F644" s="19"/>
      <c r="G644" s="19"/>
      <c r="H644" s="19"/>
      <c r="I644" s="19"/>
      <c r="J644" s="19"/>
      <c r="K644" s="19"/>
      <c r="L644" s="48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>
      <c r="A645" s="48"/>
      <c r="B645" s="48"/>
      <c r="C645" s="19"/>
      <c r="D645" s="19"/>
      <c r="E645" s="19"/>
      <c r="F645" s="19"/>
      <c r="G645" s="19"/>
      <c r="H645" s="19"/>
      <c r="I645" s="19"/>
      <c r="J645" s="19"/>
      <c r="K645" s="19"/>
      <c r="L645" s="48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>
      <c r="A646" s="48"/>
      <c r="B646" s="48"/>
      <c r="C646" s="19"/>
      <c r="D646" s="19"/>
      <c r="E646" s="19"/>
      <c r="F646" s="19"/>
      <c r="G646" s="19"/>
      <c r="H646" s="19"/>
      <c r="I646" s="19"/>
      <c r="J646" s="19"/>
      <c r="K646" s="19"/>
      <c r="L646" s="48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>
      <c r="A647" s="48"/>
      <c r="B647" s="48"/>
      <c r="C647" s="19"/>
      <c r="D647" s="19"/>
      <c r="E647" s="19"/>
      <c r="F647" s="19"/>
      <c r="G647" s="19"/>
      <c r="H647" s="19"/>
      <c r="I647" s="19"/>
      <c r="J647" s="19"/>
      <c r="K647" s="19"/>
      <c r="L647" s="48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>
      <c r="A648" s="48"/>
      <c r="B648" s="48"/>
      <c r="C648" s="19"/>
      <c r="D648" s="19"/>
      <c r="E648" s="19"/>
      <c r="F648" s="19"/>
      <c r="G648" s="19"/>
      <c r="H648" s="19"/>
      <c r="I648" s="19"/>
      <c r="J648" s="19"/>
      <c r="K648" s="19"/>
      <c r="L648" s="48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>
      <c r="A649" s="48"/>
      <c r="B649" s="48"/>
      <c r="C649" s="19"/>
      <c r="D649" s="19"/>
      <c r="E649" s="19"/>
      <c r="F649" s="19"/>
      <c r="G649" s="19"/>
      <c r="H649" s="19"/>
      <c r="I649" s="19"/>
      <c r="J649" s="19"/>
      <c r="K649" s="19"/>
      <c r="L649" s="48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>
      <c r="A650" s="48"/>
      <c r="B650" s="48"/>
      <c r="C650" s="19"/>
      <c r="D650" s="19"/>
      <c r="E650" s="19"/>
      <c r="F650" s="19"/>
      <c r="G650" s="19"/>
      <c r="H650" s="19"/>
      <c r="I650" s="19"/>
      <c r="J650" s="19"/>
      <c r="K650" s="19"/>
      <c r="L650" s="48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>
      <c r="A651" s="48"/>
      <c r="B651" s="48"/>
      <c r="C651" s="19"/>
      <c r="D651" s="19"/>
      <c r="E651" s="19"/>
      <c r="F651" s="19"/>
      <c r="G651" s="19"/>
      <c r="H651" s="19"/>
      <c r="I651" s="19"/>
      <c r="J651" s="19"/>
      <c r="K651" s="19"/>
      <c r="L651" s="48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>
      <c r="A652" s="48"/>
      <c r="B652" s="48"/>
      <c r="C652" s="19"/>
      <c r="D652" s="19"/>
      <c r="E652" s="19"/>
      <c r="F652" s="19"/>
      <c r="G652" s="19"/>
      <c r="H652" s="19"/>
      <c r="I652" s="19"/>
      <c r="J652" s="19"/>
      <c r="K652" s="19"/>
      <c r="L652" s="48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>
      <c r="A653" s="48"/>
      <c r="B653" s="48"/>
      <c r="C653" s="19"/>
      <c r="D653" s="19"/>
      <c r="E653" s="19"/>
      <c r="F653" s="19"/>
      <c r="G653" s="19"/>
      <c r="H653" s="19"/>
      <c r="I653" s="19"/>
      <c r="J653" s="19"/>
      <c r="K653" s="19"/>
      <c r="L653" s="48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>
      <c r="A654" s="48"/>
      <c r="B654" s="48"/>
      <c r="C654" s="19"/>
      <c r="D654" s="19"/>
      <c r="E654" s="19"/>
      <c r="F654" s="19"/>
      <c r="G654" s="19"/>
      <c r="H654" s="19"/>
      <c r="I654" s="19"/>
      <c r="J654" s="19"/>
      <c r="K654" s="19"/>
      <c r="L654" s="48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>
      <c r="A655" s="48"/>
      <c r="B655" s="48"/>
      <c r="C655" s="19"/>
      <c r="D655" s="19"/>
      <c r="E655" s="19"/>
      <c r="F655" s="19"/>
      <c r="G655" s="19"/>
      <c r="H655" s="19"/>
      <c r="I655" s="19"/>
      <c r="J655" s="19"/>
      <c r="K655" s="19"/>
      <c r="L655" s="48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>
      <c r="A656" s="48"/>
      <c r="B656" s="48"/>
      <c r="C656" s="19"/>
      <c r="D656" s="19"/>
      <c r="E656" s="19"/>
      <c r="F656" s="19"/>
      <c r="G656" s="19"/>
      <c r="H656" s="19"/>
      <c r="I656" s="19"/>
      <c r="J656" s="19"/>
      <c r="K656" s="19"/>
      <c r="L656" s="48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>
      <c r="A657" s="48"/>
      <c r="B657" s="48"/>
      <c r="C657" s="19"/>
      <c r="D657" s="19"/>
      <c r="E657" s="19"/>
      <c r="F657" s="19"/>
      <c r="G657" s="19"/>
      <c r="H657" s="19"/>
      <c r="I657" s="19"/>
      <c r="J657" s="19"/>
      <c r="K657" s="19"/>
      <c r="L657" s="48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>
      <c r="A658" s="48"/>
      <c r="B658" s="48"/>
      <c r="C658" s="19"/>
      <c r="D658" s="19"/>
      <c r="E658" s="19"/>
      <c r="F658" s="19"/>
      <c r="G658" s="19"/>
      <c r="H658" s="19"/>
      <c r="I658" s="19"/>
      <c r="J658" s="19"/>
      <c r="K658" s="19"/>
      <c r="L658" s="48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>
      <c r="A659" s="48"/>
      <c r="B659" s="48"/>
      <c r="C659" s="19"/>
      <c r="D659" s="19"/>
      <c r="E659" s="19"/>
      <c r="F659" s="19"/>
      <c r="G659" s="19"/>
      <c r="H659" s="19"/>
      <c r="I659" s="19"/>
      <c r="J659" s="19"/>
      <c r="K659" s="19"/>
      <c r="L659" s="48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>
      <c r="A660" s="48"/>
      <c r="B660" s="48"/>
      <c r="C660" s="19"/>
      <c r="D660" s="19"/>
      <c r="E660" s="19"/>
      <c r="F660" s="19"/>
      <c r="G660" s="19"/>
      <c r="H660" s="19"/>
      <c r="I660" s="19"/>
      <c r="J660" s="19"/>
      <c r="K660" s="19"/>
      <c r="L660" s="48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>
      <c r="A661" s="48"/>
      <c r="B661" s="48"/>
      <c r="C661" s="19"/>
      <c r="D661" s="19"/>
      <c r="E661" s="19"/>
      <c r="F661" s="19"/>
      <c r="G661" s="19"/>
      <c r="H661" s="19"/>
      <c r="I661" s="19"/>
      <c r="J661" s="19"/>
      <c r="K661" s="19"/>
      <c r="L661" s="48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>
      <c r="A662" s="48"/>
      <c r="B662" s="48"/>
      <c r="C662" s="19"/>
      <c r="D662" s="19"/>
      <c r="E662" s="19"/>
      <c r="F662" s="19"/>
      <c r="G662" s="19"/>
      <c r="H662" s="19"/>
      <c r="I662" s="19"/>
      <c r="J662" s="19"/>
      <c r="K662" s="19"/>
      <c r="L662" s="48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>
      <c r="A663" s="48"/>
      <c r="B663" s="48"/>
      <c r="C663" s="19"/>
      <c r="D663" s="19"/>
      <c r="E663" s="19"/>
      <c r="F663" s="19"/>
      <c r="G663" s="19"/>
      <c r="H663" s="19"/>
      <c r="I663" s="19"/>
      <c r="J663" s="19"/>
      <c r="K663" s="19"/>
      <c r="L663" s="48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>
      <c r="A664" s="48"/>
      <c r="B664" s="48"/>
      <c r="C664" s="19"/>
      <c r="D664" s="19"/>
      <c r="E664" s="19"/>
      <c r="F664" s="19"/>
      <c r="G664" s="19"/>
      <c r="H664" s="19"/>
      <c r="I664" s="19"/>
      <c r="J664" s="19"/>
      <c r="K664" s="19"/>
      <c r="L664" s="48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>
      <c r="A665" s="48"/>
      <c r="B665" s="48"/>
      <c r="C665" s="19"/>
      <c r="D665" s="19"/>
      <c r="E665" s="19"/>
      <c r="F665" s="19"/>
      <c r="G665" s="19"/>
      <c r="H665" s="19"/>
      <c r="I665" s="19"/>
      <c r="J665" s="19"/>
      <c r="K665" s="19"/>
      <c r="L665" s="48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>
      <c r="A666" s="48"/>
      <c r="B666" s="48"/>
      <c r="C666" s="19"/>
      <c r="D666" s="19"/>
      <c r="E666" s="19"/>
      <c r="F666" s="19"/>
      <c r="G666" s="19"/>
      <c r="H666" s="19"/>
      <c r="I666" s="19"/>
      <c r="J666" s="19"/>
      <c r="K666" s="19"/>
      <c r="L666" s="48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>
      <c r="A667" s="48"/>
      <c r="B667" s="48"/>
      <c r="C667" s="19"/>
      <c r="D667" s="19"/>
      <c r="E667" s="19"/>
      <c r="F667" s="19"/>
      <c r="G667" s="19"/>
      <c r="H667" s="19"/>
      <c r="I667" s="19"/>
      <c r="J667" s="19"/>
      <c r="K667" s="19"/>
      <c r="L667" s="48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>
      <c r="A668" s="48"/>
      <c r="B668" s="48"/>
      <c r="C668" s="19"/>
      <c r="D668" s="19"/>
      <c r="E668" s="19"/>
      <c r="F668" s="19"/>
      <c r="G668" s="19"/>
      <c r="H668" s="19"/>
      <c r="I668" s="19"/>
      <c r="J668" s="19"/>
      <c r="K668" s="19"/>
      <c r="L668" s="48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>
      <c r="A669" s="48"/>
      <c r="B669" s="48"/>
      <c r="C669" s="19"/>
      <c r="D669" s="19"/>
      <c r="E669" s="19"/>
      <c r="F669" s="19"/>
      <c r="G669" s="19"/>
      <c r="H669" s="19"/>
      <c r="I669" s="19"/>
      <c r="J669" s="19"/>
      <c r="K669" s="19"/>
      <c r="L669" s="48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>
      <c r="A670" s="48"/>
      <c r="B670" s="48"/>
      <c r="C670" s="19"/>
      <c r="D670" s="19"/>
      <c r="E670" s="19"/>
      <c r="F670" s="19"/>
      <c r="G670" s="19"/>
      <c r="H670" s="19"/>
      <c r="I670" s="19"/>
      <c r="J670" s="19"/>
      <c r="K670" s="19"/>
      <c r="L670" s="48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>
      <c r="A671" s="48"/>
      <c r="B671" s="48"/>
      <c r="C671" s="19"/>
      <c r="D671" s="19"/>
      <c r="E671" s="19"/>
      <c r="F671" s="19"/>
      <c r="G671" s="19"/>
      <c r="H671" s="19"/>
      <c r="I671" s="19"/>
      <c r="J671" s="19"/>
      <c r="K671" s="19"/>
      <c r="L671" s="48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>
      <c r="A672" s="48"/>
      <c r="B672" s="48"/>
      <c r="C672" s="19"/>
      <c r="D672" s="19"/>
      <c r="E672" s="19"/>
      <c r="F672" s="19"/>
      <c r="G672" s="19"/>
      <c r="H672" s="19"/>
      <c r="I672" s="19"/>
      <c r="J672" s="19"/>
      <c r="K672" s="19"/>
      <c r="L672" s="48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>
      <c r="A673" s="48"/>
      <c r="B673" s="48"/>
      <c r="C673" s="19"/>
      <c r="D673" s="19"/>
      <c r="E673" s="19"/>
      <c r="F673" s="19"/>
      <c r="G673" s="19"/>
      <c r="H673" s="19"/>
      <c r="I673" s="19"/>
      <c r="J673" s="19"/>
      <c r="K673" s="19"/>
      <c r="L673" s="48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>
      <c r="A674" s="48"/>
      <c r="B674" s="48"/>
      <c r="C674" s="19"/>
      <c r="D674" s="19"/>
      <c r="E674" s="19"/>
      <c r="F674" s="19"/>
      <c r="G674" s="19"/>
      <c r="H674" s="19"/>
      <c r="I674" s="19"/>
      <c r="J674" s="19"/>
      <c r="K674" s="19"/>
      <c r="L674" s="48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>
      <c r="A675" s="48"/>
      <c r="B675" s="48"/>
      <c r="C675" s="19"/>
      <c r="D675" s="19"/>
      <c r="E675" s="19"/>
      <c r="F675" s="19"/>
      <c r="G675" s="19"/>
      <c r="H675" s="19"/>
      <c r="I675" s="19"/>
      <c r="J675" s="19"/>
      <c r="K675" s="19"/>
      <c r="L675" s="48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>
      <c r="A676" s="48"/>
      <c r="B676" s="48"/>
      <c r="C676" s="19"/>
      <c r="D676" s="19"/>
      <c r="E676" s="19"/>
      <c r="F676" s="19"/>
      <c r="G676" s="19"/>
      <c r="H676" s="19"/>
      <c r="I676" s="19"/>
      <c r="J676" s="19"/>
      <c r="K676" s="19"/>
      <c r="L676" s="48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>
      <c r="A677" s="48"/>
      <c r="B677" s="48"/>
      <c r="C677" s="19"/>
      <c r="D677" s="19"/>
      <c r="E677" s="19"/>
      <c r="F677" s="19"/>
      <c r="G677" s="19"/>
      <c r="H677" s="19"/>
      <c r="I677" s="19"/>
      <c r="J677" s="19"/>
      <c r="K677" s="19"/>
      <c r="L677" s="48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>
      <c r="A678" s="48"/>
      <c r="B678" s="48"/>
      <c r="C678" s="19"/>
      <c r="D678" s="19"/>
      <c r="E678" s="19"/>
      <c r="F678" s="19"/>
      <c r="G678" s="19"/>
      <c r="H678" s="19"/>
      <c r="I678" s="19"/>
      <c r="J678" s="19"/>
      <c r="K678" s="19"/>
      <c r="L678" s="48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>
      <c r="A679" s="48"/>
      <c r="B679" s="48"/>
      <c r="C679" s="19"/>
      <c r="D679" s="19"/>
      <c r="E679" s="19"/>
      <c r="F679" s="19"/>
      <c r="G679" s="19"/>
      <c r="H679" s="19"/>
      <c r="I679" s="19"/>
      <c r="J679" s="19"/>
      <c r="K679" s="19"/>
      <c r="L679" s="48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>
      <c r="A680" s="48"/>
      <c r="B680" s="48"/>
      <c r="C680" s="19"/>
      <c r="D680" s="19"/>
      <c r="E680" s="19"/>
      <c r="F680" s="19"/>
      <c r="G680" s="19"/>
      <c r="H680" s="19"/>
      <c r="I680" s="19"/>
      <c r="J680" s="19"/>
      <c r="K680" s="19"/>
      <c r="L680" s="48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>
      <c r="A681" s="48"/>
      <c r="B681" s="48"/>
      <c r="C681" s="19"/>
      <c r="D681" s="19"/>
      <c r="E681" s="19"/>
      <c r="F681" s="19"/>
      <c r="G681" s="19"/>
      <c r="H681" s="19"/>
      <c r="I681" s="19"/>
      <c r="J681" s="19"/>
      <c r="K681" s="19"/>
      <c r="L681" s="48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>
      <c r="A682" s="48"/>
      <c r="B682" s="48"/>
      <c r="C682" s="19"/>
      <c r="D682" s="19"/>
      <c r="E682" s="19"/>
      <c r="F682" s="19"/>
      <c r="G682" s="19"/>
      <c r="H682" s="19"/>
      <c r="I682" s="19"/>
      <c r="J682" s="19"/>
      <c r="K682" s="19"/>
      <c r="L682" s="48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>
      <c r="A683" s="48"/>
      <c r="B683" s="48"/>
      <c r="C683" s="19"/>
      <c r="D683" s="19"/>
      <c r="E683" s="19"/>
      <c r="F683" s="19"/>
      <c r="G683" s="19"/>
      <c r="H683" s="19"/>
      <c r="I683" s="19"/>
      <c r="J683" s="19"/>
      <c r="K683" s="19"/>
      <c r="L683" s="48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>
      <c r="A684" s="48"/>
      <c r="B684" s="48"/>
      <c r="C684" s="19"/>
      <c r="D684" s="19"/>
      <c r="E684" s="19"/>
      <c r="F684" s="19"/>
      <c r="G684" s="19"/>
      <c r="H684" s="19"/>
      <c r="I684" s="19"/>
      <c r="J684" s="19"/>
      <c r="K684" s="19"/>
      <c r="L684" s="48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>
      <c r="A685" s="48"/>
      <c r="B685" s="48"/>
      <c r="C685" s="19"/>
      <c r="D685" s="19"/>
      <c r="E685" s="19"/>
      <c r="F685" s="19"/>
      <c r="G685" s="19"/>
      <c r="H685" s="19"/>
      <c r="I685" s="19"/>
      <c r="J685" s="19"/>
      <c r="K685" s="19"/>
      <c r="L685" s="48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>
      <c r="A686" s="48"/>
      <c r="B686" s="48"/>
      <c r="C686" s="19"/>
      <c r="D686" s="19"/>
      <c r="E686" s="19"/>
      <c r="F686" s="19"/>
      <c r="G686" s="19"/>
      <c r="H686" s="19"/>
      <c r="I686" s="19"/>
      <c r="J686" s="19"/>
      <c r="K686" s="19"/>
      <c r="L686" s="48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>
      <c r="A687" s="48"/>
      <c r="B687" s="48"/>
      <c r="C687" s="19"/>
      <c r="D687" s="19"/>
      <c r="E687" s="19"/>
      <c r="F687" s="19"/>
      <c r="G687" s="19"/>
      <c r="H687" s="19"/>
      <c r="I687" s="19"/>
      <c r="J687" s="19"/>
      <c r="K687" s="19"/>
      <c r="L687" s="48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>
      <c r="A688" s="48"/>
      <c r="B688" s="48"/>
      <c r="C688" s="19"/>
      <c r="D688" s="19"/>
      <c r="E688" s="19"/>
      <c r="F688" s="19"/>
      <c r="G688" s="19"/>
      <c r="H688" s="19"/>
      <c r="I688" s="19"/>
      <c r="J688" s="19"/>
      <c r="K688" s="19"/>
      <c r="L688" s="48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>
      <c r="A689" s="48"/>
      <c r="B689" s="48"/>
      <c r="C689" s="19"/>
      <c r="D689" s="19"/>
      <c r="E689" s="19"/>
      <c r="F689" s="19"/>
      <c r="G689" s="19"/>
      <c r="H689" s="19"/>
      <c r="I689" s="19"/>
      <c r="J689" s="19"/>
      <c r="K689" s="19"/>
      <c r="L689" s="48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>
      <c r="A690" s="48"/>
      <c r="B690" s="48"/>
      <c r="C690" s="19"/>
      <c r="D690" s="19"/>
      <c r="E690" s="19"/>
      <c r="F690" s="19"/>
      <c r="G690" s="19"/>
      <c r="H690" s="19"/>
      <c r="I690" s="19"/>
      <c r="J690" s="19"/>
      <c r="K690" s="19"/>
      <c r="L690" s="48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>
      <c r="A691" s="48"/>
      <c r="B691" s="48"/>
      <c r="C691" s="19"/>
      <c r="D691" s="19"/>
      <c r="E691" s="19"/>
      <c r="F691" s="19"/>
      <c r="G691" s="19"/>
      <c r="H691" s="19"/>
      <c r="I691" s="19"/>
      <c r="J691" s="19"/>
      <c r="K691" s="19"/>
      <c r="L691" s="48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>
      <c r="A692" s="48"/>
      <c r="B692" s="48"/>
      <c r="C692" s="19"/>
      <c r="D692" s="19"/>
      <c r="E692" s="19"/>
      <c r="F692" s="19"/>
      <c r="G692" s="19"/>
      <c r="H692" s="19"/>
      <c r="I692" s="19"/>
      <c r="J692" s="19"/>
      <c r="K692" s="19"/>
      <c r="L692" s="48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>
      <c r="A693" s="48"/>
      <c r="B693" s="48"/>
      <c r="C693" s="19"/>
      <c r="D693" s="19"/>
      <c r="E693" s="19"/>
      <c r="F693" s="19"/>
      <c r="G693" s="19"/>
      <c r="H693" s="19"/>
      <c r="I693" s="19"/>
      <c r="J693" s="19"/>
      <c r="K693" s="19"/>
      <c r="L693" s="48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>
      <c r="A694" s="48"/>
      <c r="B694" s="48"/>
      <c r="C694" s="19"/>
      <c r="D694" s="19"/>
      <c r="E694" s="19"/>
      <c r="F694" s="19"/>
      <c r="G694" s="19"/>
      <c r="H694" s="19"/>
      <c r="I694" s="19"/>
      <c r="J694" s="19"/>
      <c r="K694" s="19"/>
      <c r="L694" s="48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>
      <c r="A695" s="48"/>
      <c r="B695" s="48"/>
      <c r="C695" s="19"/>
      <c r="D695" s="19"/>
      <c r="E695" s="19"/>
      <c r="F695" s="19"/>
      <c r="G695" s="19"/>
      <c r="H695" s="19"/>
      <c r="I695" s="19"/>
      <c r="J695" s="19"/>
      <c r="K695" s="19"/>
      <c r="L695" s="48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>
      <c r="A696" s="48"/>
      <c r="B696" s="48"/>
      <c r="C696" s="19"/>
      <c r="D696" s="19"/>
      <c r="E696" s="19"/>
      <c r="F696" s="19"/>
      <c r="G696" s="19"/>
      <c r="H696" s="19"/>
      <c r="I696" s="19"/>
      <c r="J696" s="19"/>
      <c r="K696" s="19"/>
      <c r="L696" s="48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</row>
    <row r="697">
      <c r="A697" s="48"/>
      <c r="B697" s="48"/>
      <c r="C697" s="19"/>
      <c r="D697" s="19"/>
      <c r="E697" s="19"/>
      <c r="F697" s="19"/>
      <c r="G697" s="19"/>
      <c r="H697" s="19"/>
      <c r="I697" s="19"/>
      <c r="J697" s="19"/>
      <c r="K697" s="19"/>
      <c r="L697" s="48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>
      <c r="A698" s="48"/>
      <c r="B698" s="48"/>
      <c r="C698" s="19"/>
      <c r="D698" s="19"/>
      <c r="E698" s="19"/>
      <c r="F698" s="19"/>
      <c r="G698" s="19"/>
      <c r="H698" s="19"/>
      <c r="I698" s="19"/>
      <c r="J698" s="19"/>
      <c r="K698" s="19"/>
      <c r="L698" s="48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>
      <c r="A699" s="48"/>
      <c r="B699" s="48"/>
      <c r="C699" s="19"/>
      <c r="D699" s="19"/>
      <c r="E699" s="19"/>
      <c r="F699" s="19"/>
      <c r="G699" s="19"/>
      <c r="H699" s="19"/>
      <c r="I699" s="19"/>
      <c r="J699" s="19"/>
      <c r="K699" s="19"/>
      <c r="L699" s="48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>
      <c r="A700" s="48"/>
      <c r="B700" s="48"/>
      <c r="C700" s="19"/>
      <c r="D700" s="19"/>
      <c r="E700" s="19"/>
      <c r="F700" s="19"/>
      <c r="G700" s="19"/>
      <c r="H700" s="19"/>
      <c r="I700" s="19"/>
      <c r="J700" s="19"/>
      <c r="K700" s="19"/>
      <c r="L700" s="48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>
      <c r="A701" s="48"/>
      <c r="B701" s="48"/>
      <c r="C701" s="19"/>
      <c r="D701" s="19"/>
      <c r="E701" s="19"/>
      <c r="F701" s="19"/>
      <c r="G701" s="19"/>
      <c r="H701" s="19"/>
      <c r="I701" s="19"/>
      <c r="J701" s="19"/>
      <c r="K701" s="19"/>
      <c r="L701" s="48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>
      <c r="A702" s="48"/>
      <c r="B702" s="48"/>
      <c r="C702" s="19"/>
      <c r="D702" s="19"/>
      <c r="E702" s="19"/>
      <c r="F702" s="19"/>
      <c r="G702" s="19"/>
      <c r="H702" s="19"/>
      <c r="I702" s="19"/>
      <c r="J702" s="19"/>
      <c r="K702" s="19"/>
      <c r="L702" s="48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>
      <c r="A703" s="48"/>
      <c r="B703" s="48"/>
      <c r="C703" s="19"/>
      <c r="D703" s="19"/>
      <c r="E703" s="19"/>
      <c r="F703" s="19"/>
      <c r="G703" s="19"/>
      <c r="H703" s="19"/>
      <c r="I703" s="19"/>
      <c r="J703" s="19"/>
      <c r="K703" s="19"/>
      <c r="L703" s="48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>
      <c r="A704" s="48"/>
      <c r="B704" s="48"/>
      <c r="C704" s="19"/>
      <c r="D704" s="19"/>
      <c r="E704" s="19"/>
      <c r="F704" s="19"/>
      <c r="G704" s="19"/>
      <c r="H704" s="19"/>
      <c r="I704" s="19"/>
      <c r="J704" s="19"/>
      <c r="K704" s="19"/>
      <c r="L704" s="48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>
      <c r="A705" s="48"/>
      <c r="B705" s="48"/>
      <c r="C705" s="19"/>
      <c r="D705" s="19"/>
      <c r="E705" s="19"/>
      <c r="F705" s="19"/>
      <c r="G705" s="19"/>
      <c r="H705" s="19"/>
      <c r="I705" s="19"/>
      <c r="J705" s="19"/>
      <c r="K705" s="19"/>
      <c r="L705" s="48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>
      <c r="A706" s="48"/>
      <c r="B706" s="48"/>
      <c r="C706" s="19"/>
      <c r="D706" s="19"/>
      <c r="E706" s="19"/>
      <c r="F706" s="19"/>
      <c r="G706" s="19"/>
      <c r="H706" s="19"/>
      <c r="I706" s="19"/>
      <c r="J706" s="19"/>
      <c r="K706" s="19"/>
      <c r="L706" s="48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>
      <c r="A707" s="48"/>
      <c r="B707" s="48"/>
      <c r="C707" s="19"/>
      <c r="D707" s="19"/>
      <c r="E707" s="19"/>
      <c r="F707" s="19"/>
      <c r="G707" s="19"/>
      <c r="H707" s="19"/>
      <c r="I707" s="19"/>
      <c r="J707" s="19"/>
      <c r="K707" s="19"/>
      <c r="L707" s="48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>
      <c r="A708" s="48"/>
      <c r="B708" s="48"/>
      <c r="C708" s="19"/>
      <c r="D708" s="19"/>
      <c r="E708" s="19"/>
      <c r="F708" s="19"/>
      <c r="G708" s="19"/>
      <c r="H708" s="19"/>
      <c r="I708" s="19"/>
      <c r="J708" s="19"/>
      <c r="K708" s="19"/>
      <c r="L708" s="48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>
      <c r="A709" s="48"/>
      <c r="B709" s="48"/>
      <c r="C709" s="19"/>
      <c r="D709" s="19"/>
      <c r="E709" s="19"/>
      <c r="F709" s="19"/>
      <c r="G709" s="19"/>
      <c r="H709" s="19"/>
      <c r="I709" s="19"/>
      <c r="J709" s="19"/>
      <c r="K709" s="19"/>
      <c r="L709" s="48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>
      <c r="A710" s="48"/>
      <c r="B710" s="48"/>
      <c r="C710" s="19"/>
      <c r="D710" s="19"/>
      <c r="E710" s="19"/>
      <c r="F710" s="19"/>
      <c r="G710" s="19"/>
      <c r="H710" s="19"/>
      <c r="I710" s="19"/>
      <c r="J710" s="19"/>
      <c r="K710" s="19"/>
      <c r="L710" s="48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>
      <c r="A711" s="48"/>
      <c r="B711" s="48"/>
      <c r="C711" s="19"/>
      <c r="D711" s="19"/>
      <c r="E711" s="19"/>
      <c r="F711" s="19"/>
      <c r="G711" s="19"/>
      <c r="H711" s="19"/>
      <c r="I711" s="19"/>
      <c r="J711" s="19"/>
      <c r="K711" s="19"/>
      <c r="L711" s="48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>
      <c r="A712" s="48"/>
      <c r="B712" s="48"/>
      <c r="C712" s="19"/>
      <c r="D712" s="19"/>
      <c r="E712" s="19"/>
      <c r="F712" s="19"/>
      <c r="G712" s="19"/>
      <c r="H712" s="19"/>
      <c r="I712" s="19"/>
      <c r="J712" s="19"/>
      <c r="K712" s="19"/>
      <c r="L712" s="48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>
      <c r="A713" s="48"/>
      <c r="B713" s="48"/>
      <c r="C713" s="19"/>
      <c r="D713" s="19"/>
      <c r="E713" s="19"/>
      <c r="F713" s="19"/>
      <c r="G713" s="19"/>
      <c r="H713" s="19"/>
      <c r="I713" s="19"/>
      <c r="J713" s="19"/>
      <c r="K713" s="19"/>
      <c r="L713" s="48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>
      <c r="A714" s="48"/>
      <c r="B714" s="48"/>
      <c r="C714" s="19"/>
      <c r="D714" s="19"/>
      <c r="E714" s="19"/>
      <c r="F714" s="19"/>
      <c r="G714" s="19"/>
      <c r="H714" s="19"/>
      <c r="I714" s="19"/>
      <c r="J714" s="19"/>
      <c r="K714" s="19"/>
      <c r="L714" s="48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>
      <c r="A715" s="48"/>
      <c r="B715" s="48"/>
      <c r="C715" s="19"/>
      <c r="D715" s="19"/>
      <c r="E715" s="19"/>
      <c r="F715" s="19"/>
      <c r="G715" s="19"/>
      <c r="H715" s="19"/>
      <c r="I715" s="19"/>
      <c r="J715" s="19"/>
      <c r="K715" s="19"/>
      <c r="L715" s="48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>
      <c r="A716" s="48"/>
      <c r="B716" s="48"/>
      <c r="C716" s="19"/>
      <c r="D716" s="19"/>
      <c r="E716" s="19"/>
      <c r="F716" s="19"/>
      <c r="G716" s="19"/>
      <c r="H716" s="19"/>
      <c r="I716" s="19"/>
      <c r="J716" s="19"/>
      <c r="K716" s="19"/>
      <c r="L716" s="48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>
      <c r="A717" s="48"/>
      <c r="B717" s="48"/>
      <c r="C717" s="19"/>
      <c r="D717" s="19"/>
      <c r="E717" s="19"/>
      <c r="F717" s="19"/>
      <c r="G717" s="19"/>
      <c r="H717" s="19"/>
      <c r="I717" s="19"/>
      <c r="J717" s="19"/>
      <c r="K717" s="19"/>
      <c r="L717" s="48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>
      <c r="A718" s="48"/>
      <c r="B718" s="48"/>
      <c r="C718" s="19"/>
      <c r="D718" s="19"/>
      <c r="E718" s="19"/>
      <c r="F718" s="19"/>
      <c r="G718" s="19"/>
      <c r="H718" s="19"/>
      <c r="I718" s="19"/>
      <c r="J718" s="19"/>
      <c r="K718" s="19"/>
      <c r="L718" s="48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>
      <c r="A719" s="48"/>
      <c r="B719" s="48"/>
      <c r="C719" s="19"/>
      <c r="D719" s="19"/>
      <c r="E719" s="19"/>
      <c r="F719" s="19"/>
      <c r="G719" s="19"/>
      <c r="H719" s="19"/>
      <c r="I719" s="19"/>
      <c r="J719" s="19"/>
      <c r="K719" s="19"/>
      <c r="L719" s="48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>
      <c r="A720" s="48"/>
      <c r="B720" s="48"/>
      <c r="C720" s="19"/>
      <c r="D720" s="19"/>
      <c r="E720" s="19"/>
      <c r="F720" s="19"/>
      <c r="G720" s="19"/>
      <c r="H720" s="19"/>
      <c r="I720" s="19"/>
      <c r="J720" s="19"/>
      <c r="K720" s="19"/>
      <c r="L720" s="48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>
      <c r="A721" s="48"/>
      <c r="B721" s="48"/>
      <c r="C721" s="19"/>
      <c r="D721" s="19"/>
      <c r="E721" s="19"/>
      <c r="F721" s="19"/>
      <c r="G721" s="19"/>
      <c r="H721" s="19"/>
      <c r="I721" s="19"/>
      <c r="J721" s="19"/>
      <c r="K721" s="19"/>
      <c r="L721" s="48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>
      <c r="A722" s="48"/>
      <c r="B722" s="48"/>
      <c r="C722" s="19"/>
      <c r="D722" s="19"/>
      <c r="E722" s="19"/>
      <c r="F722" s="19"/>
      <c r="G722" s="19"/>
      <c r="H722" s="19"/>
      <c r="I722" s="19"/>
      <c r="J722" s="19"/>
      <c r="K722" s="19"/>
      <c r="L722" s="48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>
      <c r="A723" s="48"/>
      <c r="B723" s="48"/>
      <c r="C723" s="19"/>
      <c r="D723" s="19"/>
      <c r="E723" s="19"/>
      <c r="F723" s="19"/>
      <c r="G723" s="19"/>
      <c r="H723" s="19"/>
      <c r="I723" s="19"/>
      <c r="J723" s="19"/>
      <c r="K723" s="19"/>
      <c r="L723" s="48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>
      <c r="A724" s="48"/>
      <c r="B724" s="48"/>
      <c r="C724" s="19"/>
      <c r="D724" s="19"/>
      <c r="E724" s="19"/>
      <c r="F724" s="19"/>
      <c r="G724" s="19"/>
      <c r="H724" s="19"/>
      <c r="I724" s="19"/>
      <c r="J724" s="19"/>
      <c r="K724" s="19"/>
      <c r="L724" s="48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>
      <c r="A725" s="48"/>
      <c r="B725" s="48"/>
      <c r="C725" s="19"/>
      <c r="D725" s="19"/>
      <c r="E725" s="19"/>
      <c r="F725" s="19"/>
      <c r="G725" s="19"/>
      <c r="H725" s="19"/>
      <c r="I725" s="19"/>
      <c r="J725" s="19"/>
      <c r="K725" s="19"/>
      <c r="L725" s="48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>
      <c r="A726" s="48"/>
      <c r="B726" s="48"/>
      <c r="C726" s="19"/>
      <c r="D726" s="19"/>
      <c r="E726" s="19"/>
      <c r="F726" s="19"/>
      <c r="G726" s="19"/>
      <c r="H726" s="19"/>
      <c r="I726" s="19"/>
      <c r="J726" s="19"/>
      <c r="K726" s="19"/>
      <c r="L726" s="48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>
      <c r="A727" s="48"/>
      <c r="B727" s="48"/>
      <c r="C727" s="19"/>
      <c r="D727" s="19"/>
      <c r="E727" s="19"/>
      <c r="F727" s="19"/>
      <c r="G727" s="19"/>
      <c r="H727" s="19"/>
      <c r="I727" s="19"/>
      <c r="J727" s="19"/>
      <c r="K727" s="19"/>
      <c r="L727" s="48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>
      <c r="A728" s="48"/>
      <c r="B728" s="48"/>
      <c r="C728" s="19"/>
      <c r="D728" s="19"/>
      <c r="E728" s="19"/>
      <c r="F728" s="19"/>
      <c r="G728" s="19"/>
      <c r="H728" s="19"/>
      <c r="I728" s="19"/>
      <c r="J728" s="19"/>
      <c r="K728" s="19"/>
      <c r="L728" s="48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>
      <c r="A729" s="48"/>
      <c r="B729" s="48"/>
      <c r="C729" s="19"/>
      <c r="D729" s="19"/>
      <c r="E729" s="19"/>
      <c r="F729" s="19"/>
      <c r="G729" s="19"/>
      <c r="H729" s="19"/>
      <c r="I729" s="19"/>
      <c r="J729" s="19"/>
      <c r="K729" s="19"/>
      <c r="L729" s="48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  <row r="730">
      <c r="A730" s="48"/>
      <c r="B730" s="48"/>
      <c r="C730" s="19"/>
      <c r="D730" s="19"/>
      <c r="E730" s="19"/>
      <c r="F730" s="19"/>
      <c r="G730" s="19"/>
      <c r="H730" s="19"/>
      <c r="I730" s="19"/>
      <c r="J730" s="19"/>
      <c r="K730" s="19"/>
      <c r="L730" s="48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</row>
    <row r="731">
      <c r="A731" s="48"/>
      <c r="B731" s="48"/>
      <c r="C731" s="19"/>
      <c r="D731" s="19"/>
      <c r="E731" s="19"/>
      <c r="F731" s="19"/>
      <c r="G731" s="19"/>
      <c r="H731" s="19"/>
      <c r="I731" s="19"/>
      <c r="J731" s="19"/>
      <c r="K731" s="19"/>
      <c r="L731" s="48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</row>
    <row r="732">
      <c r="A732" s="48"/>
      <c r="B732" s="48"/>
      <c r="C732" s="19"/>
      <c r="D732" s="19"/>
      <c r="E732" s="19"/>
      <c r="F732" s="19"/>
      <c r="G732" s="19"/>
      <c r="H732" s="19"/>
      <c r="I732" s="19"/>
      <c r="J732" s="19"/>
      <c r="K732" s="19"/>
      <c r="L732" s="48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</row>
    <row r="733">
      <c r="A733" s="48"/>
      <c r="B733" s="48"/>
      <c r="C733" s="19"/>
      <c r="D733" s="19"/>
      <c r="E733" s="19"/>
      <c r="F733" s="19"/>
      <c r="G733" s="19"/>
      <c r="H733" s="19"/>
      <c r="I733" s="19"/>
      <c r="J733" s="19"/>
      <c r="K733" s="19"/>
      <c r="L733" s="48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</row>
    <row r="734">
      <c r="A734" s="48"/>
      <c r="B734" s="48"/>
      <c r="C734" s="19"/>
      <c r="D734" s="19"/>
      <c r="E734" s="19"/>
      <c r="F734" s="19"/>
      <c r="G734" s="19"/>
      <c r="H734" s="19"/>
      <c r="I734" s="19"/>
      <c r="J734" s="19"/>
      <c r="K734" s="19"/>
      <c r="L734" s="48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</row>
    <row r="735">
      <c r="A735" s="48"/>
      <c r="B735" s="48"/>
      <c r="C735" s="19"/>
      <c r="D735" s="19"/>
      <c r="E735" s="19"/>
      <c r="F735" s="19"/>
      <c r="G735" s="19"/>
      <c r="H735" s="19"/>
      <c r="I735" s="19"/>
      <c r="J735" s="19"/>
      <c r="K735" s="19"/>
      <c r="L735" s="48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</row>
    <row r="736">
      <c r="A736" s="48"/>
      <c r="B736" s="48"/>
      <c r="C736" s="19"/>
      <c r="D736" s="19"/>
      <c r="E736" s="19"/>
      <c r="F736" s="19"/>
      <c r="G736" s="19"/>
      <c r="H736" s="19"/>
      <c r="I736" s="19"/>
      <c r="J736" s="19"/>
      <c r="K736" s="19"/>
      <c r="L736" s="48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</row>
    <row r="737">
      <c r="A737" s="48"/>
      <c r="B737" s="48"/>
      <c r="C737" s="19"/>
      <c r="D737" s="19"/>
      <c r="E737" s="19"/>
      <c r="F737" s="19"/>
      <c r="G737" s="19"/>
      <c r="H737" s="19"/>
      <c r="I737" s="19"/>
      <c r="J737" s="19"/>
      <c r="K737" s="19"/>
      <c r="L737" s="48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</row>
    <row r="738">
      <c r="A738" s="48"/>
      <c r="B738" s="48"/>
      <c r="C738" s="19"/>
      <c r="D738" s="19"/>
      <c r="E738" s="19"/>
      <c r="F738" s="19"/>
      <c r="G738" s="19"/>
      <c r="H738" s="19"/>
      <c r="I738" s="19"/>
      <c r="J738" s="19"/>
      <c r="K738" s="19"/>
      <c r="L738" s="48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</row>
    <row r="739">
      <c r="A739" s="48"/>
      <c r="B739" s="48"/>
      <c r="C739" s="19"/>
      <c r="D739" s="19"/>
      <c r="E739" s="19"/>
      <c r="F739" s="19"/>
      <c r="G739" s="19"/>
      <c r="H739" s="19"/>
      <c r="I739" s="19"/>
      <c r="J739" s="19"/>
      <c r="K739" s="19"/>
      <c r="L739" s="48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</row>
    <row r="740">
      <c r="A740" s="48"/>
      <c r="B740" s="48"/>
      <c r="C740" s="19"/>
      <c r="D740" s="19"/>
      <c r="E740" s="19"/>
      <c r="F740" s="19"/>
      <c r="G740" s="19"/>
      <c r="H740" s="19"/>
      <c r="I740" s="19"/>
      <c r="J740" s="19"/>
      <c r="K740" s="19"/>
      <c r="L740" s="48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</row>
    <row r="741">
      <c r="A741" s="48"/>
      <c r="B741" s="48"/>
      <c r="C741" s="19"/>
      <c r="D741" s="19"/>
      <c r="E741" s="19"/>
      <c r="F741" s="19"/>
      <c r="G741" s="19"/>
      <c r="H741" s="19"/>
      <c r="I741" s="19"/>
      <c r="J741" s="19"/>
      <c r="K741" s="19"/>
      <c r="L741" s="48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</row>
    <row r="742">
      <c r="A742" s="48"/>
      <c r="B742" s="48"/>
      <c r="C742" s="19"/>
      <c r="D742" s="19"/>
      <c r="E742" s="19"/>
      <c r="F742" s="19"/>
      <c r="G742" s="19"/>
      <c r="H742" s="19"/>
      <c r="I742" s="19"/>
      <c r="J742" s="19"/>
      <c r="K742" s="19"/>
      <c r="L742" s="48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</row>
    <row r="743">
      <c r="A743" s="48"/>
      <c r="B743" s="48"/>
      <c r="C743" s="19"/>
      <c r="D743" s="19"/>
      <c r="E743" s="19"/>
      <c r="F743" s="19"/>
      <c r="G743" s="19"/>
      <c r="H743" s="19"/>
      <c r="I743" s="19"/>
      <c r="J743" s="19"/>
      <c r="K743" s="19"/>
      <c r="L743" s="48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</row>
    <row r="744">
      <c r="A744" s="48"/>
      <c r="B744" s="48"/>
      <c r="C744" s="19"/>
      <c r="D744" s="19"/>
      <c r="E744" s="19"/>
      <c r="F744" s="19"/>
      <c r="G744" s="19"/>
      <c r="H744" s="19"/>
      <c r="I744" s="19"/>
      <c r="J744" s="19"/>
      <c r="K744" s="19"/>
      <c r="L744" s="48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</row>
    <row r="745">
      <c r="A745" s="48"/>
      <c r="B745" s="48"/>
      <c r="C745" s="19"/>
      <c r="D745" s="19"/>
      <c r="E745" s="19"/>
      <c r="F745" s="19"/>
      <c r="G745" s="19"/>
      <c r="H745" s="19"/>
      <c r="I745" s="19"/>
      <c r="J745" s="19"/>
      <c r="K745" s="19"/>
      <c r="L745" s="48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</row>
    <row r="746">
      <c r="A746" s="48"/>
      <c r="B746" s="48"/>
      <c r="C746" s="19"/>
      <c r="D746" s="19"/>
      <c r="E746" s="19"/>
      <c r="F746" s="19"/>
      <c r="G746" s="19"/>
      <c r="H746" s="19"/>
      <c r="I746" s="19"/>
      <c r="J746" s="19"/>
      <c r="K746" s="19"/>
      <c r="L746" s="48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</row>
    <row r="747">
      <c r="A747" s="48"/>
      <c r="B747" s="48"/>
      <c r="C747" s="19"/>
      <c r="D747" s="19"/>
      <c r="E747" s="19"/>
      <c r="F747" s="19"/>
      <c r="G747" s="19"/>
      <c r="H747" s="19"/>
      <c r="I747" s="19"/>
      <c r="J747" s="19"/>
      <c r="K747" s="19"/>
      <c r="L747" s="48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</row>
    <row r="748">
      <c r="A748" s="48"/>
      <c r="B748" s="48"/>
      <c r="C748" s="19"/>
      <c r="D748" s="19"/>
      <c r="E748" s="19"/>
      <c r="F748" s="19"/>
      <c r="G748" s="19"/>
      <c r="H748" s="19"/>
      <c r="I748" s="19"/>
      <c r="J748" s="19"/>
      <c r="K748" s="19"/>
      <c r="L748" s="48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</row>
    <row r="749">
      <c r="A749" s="48"/>
      <c r="B749" s="48"/>
      <c r="C749" s="19"/>
      <c r="D749" s="19"/>
      <c r="E749" s="19"/>
      <c r="F749" s="19"/>
      <c r="G749" s="19"/>
      <c r="H749" s="19"/>
      <c r="I749" s="19"/>
      <c r="J749" s="19"/>
      <c r="K749" s="19"/>
      <c r="L749" s="48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</row>
    <row r="750">
      <c r="A750" s="48"/>
      <c r="B750" s="48"/>
      <c r="C750" s="19"/>
      <c r="D750" s="19"/>
      <c r="E750" s="19"/>
      <c r="F750" s="19"/>
      <c r="G750" s="19"/>
      <c r="H750" s="19"/>
      <c r="I750" s="19"/>
      <c r="J750" s="19"/>
      <c r="K750" s="19"/>
      <c r="L750" s="48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</row>
    <row r="751">
      <c r="A751" s="48"/>
      <c r="B751" s="48"/>
      <c r="C751" s="19"/>
      <c r="D751" s="19"/>
      <c r="E751" s="19"/>
      <c r="F751" s="19"/>
      <c r="G751" s="19"/>
      <c r="H751" s="19"/>
      <c r="I751" s="19"/>
      <c r="J751" s="19"/>
      <c r="K751" s="19"/>
      <c r="L751" s="48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</row>
    <row r="752">
      <c r="A752" s="48"/>
      <c r="B752" s="48"/>
      <c r="C752" s="19"/>
      <c r="D752" s="19"/>
      <c r="E752" s="19"/>
      <c r="F752" s="19"/>
      <c r="G752" s="19"/>
      <c r="H752" s="19"/>
      <c r="I752" s="19"/>
      <c r="J752" s="19"/>
      <c r="K752" s="19"/>
      <c r="L752" s="48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</row>
    <row r="753">
      <c r="A753" s="48"/>
      <c r="B753" s="48"/>
      <c r="C753" s="19"/>
      <c r="D753" s="19"/>
      <c r="E753" s="19"/>
      <c r="F753" s="19"/>
      <c r="G753" s="19"/>
      <c r="H753" s="19"/>
      <c r="I753" s="19"/>
      <c r="J753" s="19"/>
      <c r="K753" s="19"/>
      <c r="L753" s="48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</row>
    <row r="754">
      <c r="A754" s="48"/>
      <c r="B754" s="48"/>
      <c r="C754" s="19"/>
      <c r="D754" s="19"/>
      <c r="E754" s="19"/>
      <c r="F754" s="19"/>
      <c r="G754" s="19"/>
      <c r="H754" s="19"/>
      <c r="I754" s="19"/>
      <c r="J754" s="19"/>
      <c r="K754" s="19"/>
      <c r="L754" s="48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</row>
    <row r="755">
      <c r="A755" s="48"/>
      <c r="B755" s="48"/>
      <c r="C755" s="19"/>
      <c r="D755" s="19"/>
      <c r="E755" s="19"/>
      <c r="F755" s="19"/>
      <c r="G755" s="19"/>
      <c r="H755" s="19"/>
      <c r="I755" s="19"/>
      <c r="J755" s="19"/>
      <c r="K755" s="19"/>
      <c r="L755" s="48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</row>
    <row r="756">
      <c r="A756" s="48"/>
      <c r="B756" s="48"/>
      <c r="C756" s="19"/>
      <c r="D756" s="19"/>
      <c r="E756" s="19"/>
      <c r="F756" s="19"/>
      <c r="G756" s="19"/>
      <c r="H756" s="19"/>
      <c r="I756" s="19"/>
      <c r="J756" s="19"/>
      <c r="K756" s="19"/>
      <c r="L756" s="48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</row>
    <row r="757">
      <c r="A757" s="48"/>
      <c r="B757" s="48"/>
      <c r="C757" s="19"/>
      <c r="D757" s="19"/>
      <c r="E757" s="19"/>
      <c r="F757" s="19"/>
      <c r="G757" s="19"/>
      <c r="H757" s="19"/>
      <c r="I757" s="19"/>
      <c r="J757" s="19"/>
      <c r="K757" s="19"/>
      <c r="L757" s="48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</row>
    <row r="758">
      <c r="A758" s="48"/>
      <c r="B758" s="48"/>
      <c r="C758" s="19"/>
      <c r="D758" s="19"/>
      <c r="E758" s="19"/>
      <c r="F758" s="19"/>
      <c r="G758" s="19"/>
      <c r="H758" s="19"/>
      <c r="I758" s="19"/>
      <c r="J758" s="19"/>
      <c r="K758" s="19"/>
      <c r="L758" s="48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</row>
    <row r="759">
      <c r="A759" s="48"/>
      <c r="B759" s="48"/>
      <c r="C759" s="19"/>
      <c r="D759" s="19"/>
      <c r="E759" s="19"/>
      <c r="F759" s="19"/>
      <c r="G759" s="19"/>
      <c r="H759" s="19"/>
      <c r="I759" s="19"/>
      <c r="J759" s="19"/>
      <c r="K759" s="19"/>
      <c r="L759" s="48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</row>
    <row r="760">
      <c r="A760" s="48"/>
      <c r="B760" s="48"/>
      <c r="C760" s="19"/>
      <c r="D760" s="19"/>
      <c r="E760" s="19"/>
      <c r="F760" s="19"/>
      <c r="G760" s="19"/>
      <c r="H760" s="19"/>
      <c r="I760" s="19"/>
      <c r="J760" s="19"/>
      <c r="K760" s="19"/>
      <c r="L760" s="48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</row>
    <row r="761">
      <c r="A761" s="48"/>
      <c r="B761" s="48"/>
      <c r="C761" s="19"/>
      <c r="D761" s="19"/>
      <c r="E761" s="19"/>
      <c r="F761" s="19"/>
      <c r="G761" s="19"/>
      <c r="H761" s="19"/>
      <c r="I761" s="19"/>
      <c r="J761" s="19"/>
      <c r="K761" s="19"/>
      <c r="L761" s="48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</row>
    <row r="762">
      <c r="A762" s="48"/>
      <c r="B762" s="48"/>
      <c r="C762" s="19"/>
      <c r="D762" s="19"/>
      <c r="E762" s="19"/>
      <c r="F762" s="19"/>
      <c r="G762" s="19"/>
      <c r="H762" s="19"/>
      <c r="I762" s="19"/>
      <c r="J762" s="19"/>
      <c r="K762" s="19"/>
      <c r="L762" s="48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</row>
    <row r="763">
      <c r="A763" s="48"/>
      <c r="B763" s="48"/>
      <c r="C763" s="19"/>
      <c r="D763" s="19"/>
      <c r="E763" s="19"/>
      <c r="F763" s="19"/>
      <c r="G763" s="19"/>
      <c r="H763" s="19"/>
      <c r="I763" s="19"/>
      <c r="J763" s="19"/>
      <c r="K763" s="19"/>
      <c r="L763" s="48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</row>
    <row r="764">
      <c r="A764" s="48"/>
      <c r="B764" s="48"/>
      <c r="C764" s="19"/>
      <c r="D764" s="19"/>
      <c r="E764" s="19"/>
      <c r="F764" s="19"/>
      <c r="G764" s="19"/>
      <c r="H764" s="19"/>
      <c r="I764" s="19"/>
      <c r="J764" s="19"/>
      <c r="K764" s="19"/>
      <c r="L764" s="48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</row>
    <row r="765">
      <c r="A765" s="48"/>
      <c r="B765" s="48"/>
      <c r="C765" s="19"/>
      <c r="D765" s="19"/>
      <c r="E765" s="19"/>
      <c r="F765" s="19"/>
      <c r="G765" s="19"/>
      <c r="H765" s="19"/>
      <c r="I765" s="19"/>
      <c r="J765" s="19"/>
      <c r="K765" s="19"/>
      <c r="L765" s="48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</row>
    <row r="766">
      <c r="A766" s="48"/>
      <c r="B766" s="48"/>
      <c r="C766" s="19"/>
      <c r="D766" s="19"/>
      <c r="E766" s="19"/>
      <c r="F766" s="19"/>
      <c r="G766" s="19"/>
      <c r="H766" s="19"/>
      <c r="I766" s="19"/>
      <c r="J766" s="19"/>
      <c r="K766" s="19"/>
      <c r="L766" s="48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</row>
    <row r="767">
      <c r="A767" s="48"/>
      <c r="B767" s="48"/>
      <c r="C767" s="19"/>
      <c r="D767" s="19"/>
      <c r="E767" s="19"/>
      <c r="F767" s="19"/>
      <c r="G767" s="19"/>
      <c r="H767" s="19"/>
      <c r="I767" s="19"/>
      <c r="J767" s="19"/>
      <c r="K767" s="19"/>
      <c r="L767" s="48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</row>
    <row r="768">
      <c r="A768" s="48"/>
      <c r="B768" s="48"/>
      <c r="C768" s="19"/>
      <c r="D768" s="19"/>
      <c r="E768" s="19"/>
      <c r="F768" s="19"/>
      <c r="G768" s="19"/>
      <c r="H768" s="19"/>
      <c r="I768" s="19"/>
      <c r="J768" s="19"/>
      <c r="K768" s="19"/>
      <c r="L768" s="48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</row>
    <row r="769">
      <c r="A769" s="48"/>
      <c r="B769" s="48"/>
      <c r="C769" s="19"/>
      <c r="D769" s="19"/>
      <c r="E769" s="19"/>
      <c r="F769" s="19"/>
      <c r="G769" s="19"/>
      <c r="H769" s="19"/>
      <c r="I769" s="19"/>
      <c r="J769" s="19"/>
      <c r="K769" s="19"/>
      <c r="L769" s="48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</row>
    <row r="770">
      <c r="A770" s="48"/>
      <c r="B770" s="48"/>
      <c r="C770" s="19"/>
      <c r="D770" s="19"/>
      <c r="E770" s="19"/>
      <c r="F770" s="19"/>
      <c r="G770" s="19"/>
      <c r="H770" s="19"/>
      <c r="I770" s="19"/>
      <c r="J770" s="19"/>
      <c r="K770" s="19"/>
      <c r="L770" s="48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</row>
    <row r="771">
      <c r="A771" s="48"/>
      <c r="B771" s="48"/>
      <c r="C771" s="19"/>
      <c r="D771" s="19"/>
      <c r="E771" s="19"/>
      <c r="F771" s="19"/>
      <c r="G771" s="19"/>
      <c r="H771" s="19"/>
      <c r="I771" s="19"/>
      <c r="J771" s="19"/>
      <c r="K771" s="19"/>
      <c r="L771" s="48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</row>
    <row r="772">
      <c r="A772" s="48"/>
      <c r="B772" s="48"/>
      <c r="C772" s="19"/>
      <c r="D772" s="19"/>
      <c r="E772" s="19"/>
      <c r="F772" s="19"/>
      <c r="G772" s="19"/>
      <c r="H772" s="19"/>
      <c r="I772" s="19"/>
      <c r="J772" s="19"/>
      <c r="K772" s="19"/>
      <c r="L772" s="48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</row>
    <row r="773">
      <c r="A773" s="48"/>
      <c r="B773" s="48"/>
      <c r="C773" s="19"/>
      <c r="D773" s="19"/>
      <c r="E773" s="19"/>
      <c r="F773" s="19"/>
      <c r="G773" s="19"/>
      <c r="H773" s="19"/>
      <c r="I773" s="19"/>
      <c r="J773" s="19"/>
      <c r="K773" s="19"/>
      <c r="L773" s="48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</row>
    <row r="774">
      <c r="A774" s="48"/>
      <c r="B774" s="48"/>
      <c r="C774" s="19"/>
      <c r="D774" s="19"/>
      <c r="E774" s="19"/>
      <c r="F774" s="19"/>
      <c r="G774" s="19"/>
      <c r="H774" s="19"/>
      <c r="I774" s="19"/>
      <c r="J774" s="19"/>
      <c r="K774" s="19"/>
      <c r="L774" s="48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</row>
    <row r="775">
      <c r="A775" s="48"/>
      <c r="B775" s="48"/>
      <c r="C775" s="19"/>
      <c r="D775" s="19"/>
      <c r="E775" s="19"/>
      <c r="F775" s="19"/>
      <c r="G775" s="19"/>
      <c r="H775" s="19"/>
      <c r="I775" s="19"/>
      <c r="J775" s="19"/>
      <c r="K775" s="19"/>
      <c r="L775" s="48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</row>
    <row r="776">
      <c r="A776" s="48"/>
      <c r="B776" s="48"/>
      <c r="C776" s="19"/>
      <c r="D776" s="19"/>
      <c r="E776" s="19"/>
      <c r="F776" s="19"/>
      <c r="G776" s="19"/>
      <c r="H776" s="19"/>
      <c r="I776" s="19"/>
      <c r="J776" s="19"/>
      <c r="K776" s="19"/>
      <c r="L776" s="48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</row>
    <row r="777">
      <c r="A777" s="48"/>
      <c r="B777" s="48"/>
      <c r="C777" s="19"/>
      <c r="D777" s="19"/>
      <c r="E777" s="19"/>
      <c r="F777" s="19"/>
      <c r="G777" s="19"/>
      <c r="H777" s="19"/>
      <c r="I777" s="19"/>
      <c r="J777" s="19"/>
      <c r="K777" s="19"/>
      <c r="L777" s="48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</row>
    <row r="778">
      <c r="A778" s="48"/>
      <c r="B778" s="48"/>
      <c r="C778" s="19"/>
      <c r="D778" s="19"/>
      <c r="E778" s="19"/>
      <c r="F778" s="19"/>
      <c r="G778" s="19"/>
      <c r="H778" s="19"/>
      <c r="I778" s="19"/>
      <c r="J778" s="19"/>
      <c r="K778" s="19"/>
      <c r="L778" s="48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</row>
    <row r="779">
      <c r="A779" s="48"/>
      <c r="B779" s="48"/>
      <c r="C779" s="19"/>
      <c r="D779" s="19"/>
      <c r="E779" s="19"/>
      <c r="F779" s="19"/>
      <c r="G779" s="19"/>
      <c r="H779" s="19"/>
      <c r="I779" s="19"/>
      <c r="J779" s="19"/>
      <c r="K779" s="19"/>
      <c r="L779" s="48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</row>
    <row r="780">
      <c r="A780" s="48"/>
      <c r="B780" s="48"/>
      <c r="C780" s="19"/>
      <c r="D780" s="19"/>
      <c r="E780" s="19"/>
      <c r="F780" s="19"/>
      <c r="G780" s="19"/>
      <c r="H780" s="19"/>
      <c r="I780" s="19"/>
      <c r="J780" s="19"/>
      <c r="K780" s="19"/>
      <c r="L780" s="48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</row>
    <row r="781">
      <c r="A781" s="48"/>
      <c r="B781" s="48"/>
      <c r="C781" s="19"/>
      <c r="D781" s="19"/>
      <c r="E781" s="19"/>
      <c r="F781" s="19"/>
      <c r="G781" s="19"/>
      <c r="H781" s="19"/>
      <c r="I781" s="19"/>
      <c r="J781" s="19"/>
      <c r="K781" s="19"/>
      <c r="L781" s="48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</row>
    <row r="782">
      <c r="A782" s="48"/>
      <c r="B782" s="48"/>
      <c r="C782" s="19"/>
      <c r="D782" s="19"/>
      <c r="E782" s="19"/>
      <c r="F782" s="19"/>
      <c r="G782" s="19"/>
      <c r="H782" s="19"/>
      <c r="I782" s="19"/>
      <c r="J782" s="19"/>
      <c r="K782" s="19"/>
      <c r="L782" s="48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</row>
    <row r="783">
      <c r="A783" s="48"/>
      <c r="B783" s="48"/>
      <c r="C783" s="19"/>
      <c r="D783" s="19"/>
      <c r="E783" s="19"/>
      <c r="F783" s="19"/>
      <c r="G783" s="19"/>
      <c r="H783" s="19"/>
      <c r="I783" s="19"/>
      <c r="J783" s="19"/>
      <c r="K783" s="19"/>
      <c r="L783" s="48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</row>
    <row r="784">
      <c r="A784" s="48"/>
      <c r="B784" s="48"/>
      <c r="C784" s="19"/>
      <c r="D784" s="19"/>
      <c r="E784" s="19"/>
      <c r="F784" s="19"/>
      <c r="G784" s="19"/>
      <c r="H784" s="19"/>
      <c r="I784" s="19"/>
      <c r="J784" s="19"/>
      <c r="K784" s="19"/>
      <c r="L784" s="48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</row>
    <row r="785">
      <c r="A785" s="48"/>
      <c r="B785" s="48"/>
      <c r="C785" s="19"/>
      <c r="D785" s="19"/>
      <c r="E785" s="19"/>
      <c r="F785" s="19"/>
      <c r="G785" s="19"/>
      <c r="H785" s="19"/>
      <c r="I785" s="19"/>
      <c r="J785" s="19"/>
      <c r="K785" s="19"/>
      <c r="L785" s="48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</row>
    <row r="786">
      <c r="A786" s="48"/>
      <c r="B786" s="48"/>
      <c r="C786" s="19"/>
      <c r="D786" s="19"/>
      <c r="E786" s="19"/>
      <c r="F786" s="19"/>
      <c r="G786" s="19"/>
      <c r="H786" s="19"/>
      <c r="I786" s="19"/>
      <c r="J786" s="19"/>
      <c r="K786" s="19"/>
      <c r="L786" s="48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</row>
    <row r="787">
      <c r="A787" s="48"/>
      <c r="B787" s="48"/>
      <c r="C787" s="19"/>
      <c r="D787" s="19"/>
      <c r="E787" s="19"/>
      <c r="F787" s="19"/>
      <c r="G787" s="19"/>
      <c r="H787" s="19"/>
      <c r="I787" s="19"/>
      <c r="J787" s="19"/>
      <c r="K787" s="19"/>
      <c r="L787" s="48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</row>
    <row r="788">
      <c r="A788" s="48"/>
      <c r="B788" s="48"/>
      <c r="C788" s="19"/>
      <c r="D788" s="19"/>
      <c r="E788" s="19"/>
      <c r="F788" s="19"/>
      <c r="G788" s="19"/>
      <c r="H788" s="19"/>
      <c r="I788" s="19"/>
      <c r="J788" s="19"/>
      <c r="K788" s="19"/>
      <c r="L788" s="48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</row>
    <row r="789">
      <c r="A789" s="48"/>
      <c r="B789" s="48"/>
      <c r="C789" s="19"/>
      <c r="D789" s="19"/>
      <c r="E789" s="19"/>
      <c r="F789" s="19"/>
      <c r="G789" s="19"/>
      <c r="H789" s="19"/>
      <c r="I789" s="19"/>
      <c r="J789" s="19"/>
      <c r="K789" s="19"/>
      <c r="L789" s="48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</row>
    <row r="790">
      <c r="A790" s="48"/>
      <c r="B790" s="48"/>
      <c r="C790" s="19"/>
      <c r="D790" s="19"/>
      <c r="E790" s="19"/>
      <c r="F790" s="19"/>
      <c r="G790" s="19"/>
      <c r="H790" s="19"/>
      <c r="I790" s="19"/>
      <c r="J790" s="19"/>
      <c r="K790" s="19"/>
      <c r="L790" s="48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</row>
    <row r="791">
      <c r="A791" s="48"/>
      <c r="B791" s="48"/>
      <c r="C791" s="19"/>
      <c r="D791" s="19"/>
      <c r="E791" s="19"/>
      <c r="F791" s="19"/>
      <c r="G791" s="19"/>
      <c r="H791" s="19"/>
      <c r="I791" s="19"/>
      <c r="J791" s="19"/>
      <c r="K791" s="19"/>
      <c r="L791" s="48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</row>
    <row r="792">
      <c r="A792" s="48"/>
      <c r="B792" s="48"/>
      <c r="C792" s="19"/>
      <c r="D792" s="19"/>
      <c r="E792" s="19"/>
      <c r="F792" s="19"/>
      <c r="G792" s="19"/>
      <c r="H792" s="19"/>
      <c r="I792" s="19"/>
      <c r="J792" s="19"/>
      <c r="K792" s="19"/>
      <c r="L792" s="48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</row>
    <row r="793">
      <c r="A793" s="48"/>
      <c r="B793" s="48"/>
      <c r="C793" s="19"/>
      <c r="D793" s="19"/>
      <c r="E793" s="19"/>
      <c r="F793" s="19"/>
      <c r="G793" s="19"/>
      <c r="H793" s="19"/>
      <c r="I793" s="19"/>
      <c r="J793" s="19"/>
      <c r="K793" s="19"/>
      <c r="L793" s="48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</row>
    <row r="794">
      <c r="A794" s="48"/>
      <c r="B794" s="48"/>
      <c r="C794" s="19"/>
      <c r="D794" s="19"/>
      <c r="E794" s="19"/>
      <c r="F794" s="19"/>
      <c r="G794" s="19"/>
      <c r="H794" s="19"/>
      <c r="I794" s="19"/>
      <c r="J794" s="19"/>
      <c r="K794" s="19"/>
      <c r="L794" s="48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</row>
    <row r="795">
      <c r="A795" s="48"/>
      <c r="B795" s="48"/>
      <c r="C795" s="19"/>
      <c r="D795" s="19"/>
      <c r="E795" s="19"/>
      <c r="F795" s="19"/>
      <c r="G795" s="19"/>
      <c r="H795" s="19"/>
      <c r="I795" s="19"/>
      <c r="J795" s="19"/>
      <c r="K795" s="19"/>
      <c r="L795" s="48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</row>
    <row r="796">
      <c r="A796" s="48"/>
      <c r="B796" s="48"/>
      <c r="C796" s="19"/>
      <c r="D796" s="19"/>
      <c r="E796" s="19"/>
      <c r="F796" s="19"/>
      <c r="G796" s="19"/>
      <c r="H796" s="19"/>
      <c r="I796" s="19"/>
      <c r="J796" s="19"/>
      <c r="K796" s="19"/>
      <c r="L796" s="48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</row>
    <row r="797">
      <c r="A797" s="48"/>
      <c r="B797" s="48"/>
      <c r="C797" s="19"/>
      <c r="D797" s="19"/>
      <c r="E797" s="19"/>
      <c r="F797" s="19"/>
      <c r="G797" s="19"/>
      <c r="H797" s="19"/>
      <c r="I797" s="19"/>
      <c r="J797" s="19"/>
      <c r="K797" s="19"/>
      <c r="L797" s="48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</row>
    <row r="798">
      <c r="A798" s="48"/>
      <c r="B798" s="48"/>
      <c r="C798" s="19"/>
      <c r="D798" s="19"/>
      <c r="E798" s="19"/>
      <c r="F798" s="19"/>
      <c r="G798" s="19"/>
      <c r="H798" s="19"/>
      <c r="I798" s="19"/>
      <c r="J798" s="19"/>
      <c r="K798" s="19"/>
      <c r="L798" s="48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</row>
    <row r="799">
      <c r="A799" s="48"/>
      <c r="B799" s="48"/>
      <c r="C799" s="19"/>
      <c r="D799" s="19"/>
      <c r="E799" s="19"/>
      <c r="F799" s="19"/>
      <c r="G799" s="19"/>
      <c r="H799" s="19"/>
      <c r="I799" s="19"/>
      <c r="J799" s="19"/>
      <c r="K799" s="19"/>
      <c r="L799" s="48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</row>
    <row r="800">
      <c r="A800" s="48"/>
      <c r="B800" s="48"/>
      <c r="C800" s="19"/>
      <c r="D800" s="19"/>
      <c r="E800" s="19"/>
      <c r="F800" s="19"/>
      <c r="G800" s="19"/>
      <c r="H800" s="19"/>
      <c r="I800" s="19"/>
      <c r="J800" s="19"/>
      <c r="K800" s="19"/>
      <c r="L800" s="48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</row>
    <row r="801">
      <c r="A801" s="48"/>
      <c r="B801" s="48"/>
      <c r="C801" s="19"/>
      <c r="D801" s="19"/>
      <c r="E801" s="19"/>
      <c r="F801" s="19"/>
      <c r="G801" s="19"/>
      <c r="H801" s="19"/>
      <c r="I801" s="19"/>
      <c r="J801" s="19"/>
      <c r="K801" s="19"/>
      <c r="L801" s="48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</row>
    <row r="802">
      <c r="A802" s="48"/>
      <c r="B802" s="48"/>
      <c r="C802" s="19"/>
      <c r="D802" s="19"/>
      <c r="E802" s="19"/>
      <c r="F802" s="19"/>
      <c r="G802" s="19"/>
      <c r="H802" s="19"/>
      <c r="I802" s="19"/>
      <c r="J802" s="19"/>
      <c r="K802" s="19"/>
      <c r="L802" s="48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</row>
    <row r="803">
      <c r="A803" s="48"/>
      <c r="B803" s="48"/>
      <c r="C803" s="19"/>
      <c r="D803" s="19"/>
      <c r="E803" s="19"/>
      <c r="F803" s="19"/>
      <c r="G803" s="19"/>
      <c r="H803" s="19"/>
      <c r="I803" s="19"/>
      <c r="J803" s="19"/>
      <c r="K803" s="19"/>
      <c r="L803" s="48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</row>
    <row r="804">
      <c r="A804" s="48"/>
      <c r="B804" s="48"/>
      <c r="C804" s="19"/>
      <c r="D804" s="19"/>
      <c r="E804" s="19"/>
      <c r="F804" s="19"/>
      <c r="G804" s="19"/>
      <c r="H804" s="19"/>
      <c r="I804" s="19"/>
      <c r="J804" s="19"/>
      <c r="K804" s="19"/>
      <c r="L804" s="48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</row>
    <row r="805">
      <c r="A805" s="48"/>
      <c r="B805" s="48"/>
      <c r="C805" s="19"/>
      <c r="D805" s="19"/>
      <c r="E805" s="19"/>
      <c r="F805" s="19"/>
      <c r="G805" s="19"/>
      <c r="H805" s="19"/>
      <c r="I805" s="19"/>
      <c r="J805" s="19"/>
      <c r="K805" s="19"/>
      <c r="L805" s="48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</row>
    <row r="806">
      <c r="A806" s="48"/>
      <c r="B806" s="48"/>
      <c r="C806" s="19"/>
      <c r="D806" s="19"/>
      <c r="E806" s="19"/>
      <c r="F806" s="19"/>
      <c r="G806" s="19"/>
      <c r="H806" s="19"/>
      <c r="I806" s="19"/>
      <c r="J806" s="19"/>
      <c r="K806" s="19"/>
      <c r="L806" s="48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</row>
    <row r="807">
      <c r="A807" s="48"/>
      <c r="B807" s="48"/>
      <c r="C807" s="19"/>
      <c r="D807" s="19"/>
      <c r="E807" s="19"/>
      <c r="F807" s="19"/>
      <c r="G807" s="19"/>
      <c r="H807" s="19"/>
      <c r="I807" s="19"/>
      <c r="J807" s="19"/>
      <c r="K807" s="19"/>
      <c r="L807" s="48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</row>
    <row r="808">
      <c r="A808" s="48"/>
      <c r="B808" s="48"/>
      <c r="C808" s="19"/>
      <c r="D808" s="19"/>
      <c r="E808" s="19"/>
      <c r="F808" s="19"/>
      <c r="G808" s="19"/>
      <c r="H808" s="19"/>
      <c r="I808" s="19"/>
      <c r="J808" s="19"/>
      <c r="K808" s="19"/>
      <c r="L808" s="48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</row>
    <row r="809">
      <c r="A809" s="48"/>
      <c r="B809" s="48"/>
      <c r="C809" s="19"/>
      <c r="D809" s="19"/>
      <c r="E809" s="19"/>
      <c r="F809" s="19"/>
      <c r="G809" s="19"/>
      <c r="H809" s="19"/>
      <c r="I809" s="19"/>
      <c r="J809" s="19"/>
      <c r="K809" s="19"/>
      <c r="L809" s="48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</row>
    <row r="810">
      <c r="A810" s="48"/>
      <c r="B810" s="48"/>
      <c r="C810" s="19"/>
      <c r="D810" s="19"/>
      <c r="E810" s="19"/>
      <c r="F810" s="19"/>
      <c r="G810" s="19"/>
      <c r="H810" s="19"/>
      <c r="I810" s="19"/>
      <c r="J810" s="19"/>
      <c r="K810" s="19"/>
      <c r="L810" s="48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</row>
    <row r="811">
      <c r="A811" s="48"/>
      <c r="B811" s="48"/>
      <c r="C811" s="19"/>
      <c r="D811" s="19"/>
      <c r="E811" s="19"/>
      <c r="F811" s="19"/>
      <c r="G811" s="19"/>
      <c r="H811" s="19"/>
      <c r="I811" s="19"/>
      <c r="J811" s="19"/>
      <c r="K811" s="19"/>
      <c r="L811" s="48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</row>
    <row r="812">
      <c r="A812" s="48"/>
      <c r="B812" s="48"/>
      <c r="C812" s="19"/>
      <c r="D812" s="19"/>
      <c r="E812" s="19"/>
      <c r="F812" s="19"/>
      <c r="G812" s="19"/>
      <c r="H812" s="19"/>
      <c r="I812" s="19"/>
      <c r="J812" s="19"/>
      <c r="K812" s="19"/>
      <c r="L812" s="48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</row>
    <row r="813">
      <c r="A813" s="48"/>
      <c r="B813" s="48"/>
      <c r="C813" s="19"/>
      <c r="D813" s="19"/>
      <c r="E813" s="19"/>
      <c r="F813" s="19"/>
      <c r="G813" s="19"/>
      <c r="H813" s="19"/>
      <c r="I813" s="19"/>
      <c r="J813" s="19"/>
      <c r="K813" s="19"/>
      <c r="L813" s="48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</row>
    <row r="814">
      <c r="A814" s="48"/>
      <c r="B814" s="48"/>
      <c r="C814" s="19"/>
      <c r="D814" s="19"/>
      <c r="E814" s="19"/>
      <c r="F814" s="19"/>
      <c r="G814" s="19"/>
      <c r="H814" s="19"/>
      <c r="I814" s="19"/>
      <c r="J814" s="19"/>
      <c r="K814" s="19"/>
      <c r="L814" s="48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</row>
    <row r="815">
      <c r="A815" s="48"/>
      <c r="B815" s="48"/>
      <c r="C815" s="19"/>
      <c r="D815" s="19"/>
      <c r="E815" s="19"/>
      <c r="F815" s="19"/>
      <c r="G815" s="19"/>
      <c r="H815" s="19"/>
      <c r="I815" s="19"/>
      <c r="J815" s="19"/>
      <c r="K815" s="19"/>
      <c r="L815" s="48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</row>
    <row r="816">
      <c r="A816" s="48"/>
      <c r="B816" s="48"/>
      <c r="C816" s="19"/>
      <c r="D816" s="19"/>
      <c r="E816" s="19"/>
      <c r="F816" s="19"/>
      <c r="G816" s="19"/>
      <c r="H816" s="19"/>
      <c r="I816" s="19"/>
      <c r="J816" s="19"/>
      <c r="K816" s="19"/>
      <c r="L816" s="48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</row>
    <row r="817">
      <c r="A817" s="48"/>
      <c r="B817" s="48"/>
      <c r="C817" s="19"/>
      <c r="D817" s="19"/>
      <c r="E817" s="19"/>
      <c r="F817" s="19"/>
      <c r="G817" s="19"/>
      <c r="H817" s="19"/>
      <c r="I817" s="19"/>
      <c r="J817" s="19"/>
      <c r="K817" s="19"/>
      <c r="L817" s="48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</row>
    <row r="818">
      <c r="A818" s="48"/>
      <c r="B818" s="48"/>
      <c r="C818" s="19"/>
      <c r="D818" s="19"/>
      <c r="E818" s="19"/>
      <c r="F818" s="19"/>
      <c r="G818" s="19"/>
      <c r="H818" s="19"/>
      <c r="I818" s="19"/>
      <c r="J818" s="19"/>
      <c r="K818" s="19"/>
      <c r="L818" s="48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</row>
    <row r="819">
      <c r="A819" s="48"/>
      <c r="B819" s="48"/>
      <c r="C819" s="19"/>
      <c r="D819" s="19"/>
      <c r="E819" s="19"/>
      <c r="F819" s="19"/>
      <c r="G819" s="19"/>
      <c r="H819" s="19"/>
      <c r="I819" s="19"/>
      <c r="J819" s="19"/>
      <c r="K819" s="19"/>
      <c r="L819" s="48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</row>
    <row r="820">
      <c r="A820" s="48"/>
      <c r="B820" s="48"/>
      <c r="C820" s="19"/>
      <c r="D820" s="19"/>
      <c r="E820" s="19"/>
      <c r="F820" s="19"/>
      <c r="G820" s="19"/>
      <c r="H820" s="19"/>
      <c r="I820" s="19"/>
      <c r="J820" s="19"/>
      <c r="K820" s="19"/>
      <c r="L820" s="48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</row>
    <row r="821">
      <c r="A821" s="48"/>
      <c r="B821" s="48"/>
      <c r="C821" s="19"/>
      <c r="D821" s="19"/>
      <c r="E821" s="19"/>
      <c r="F821" s="19"/>
      <c r="G821" s="19"/>
      <c r="H821" s="19"/>
      <c r="I821" s="19"/>
      <c r="J821" s="19"/>
      <c r="K821" s="19"/>
      <c r="L821" s="48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</row>
    <row r="822">
      <c r="A822" s="48"/>
      <c r="B822" s="48"/>
      <c r="C822" s="19"/>
      <c r="D822" s="19"/>
      <c r="E822" s="19"/>
      <c r="F822" s="19"/>
      <c r="G822" s="19"/>
      <c r="H822" s="19"/>
      <c r="I822" s="19"/>
      <c r="J822" s="19"/>
      <c r="K822" s="19"/>
      <c r="L822" s="48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</row>
    <row r="823">
      <c r="A823" s="48"/>
      <c r="B823" s="48"/>
      <c r="C823" s="19"/>
      <c r="D823" s="19"/>
      <c r="E823" s="19"/>
      <c r="F823" s="19"/>
      <c r="G823" s="19"/>
      <c r="H823" s="19"/>
      <c r="I823" s="19"/>
      <c r="J823" s="19"/>
      <c r="K823" s="19"/>
      <c r="L823" s="48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</row>
    <row r="824">
      <c r="A824" s="48"/>
      <c r="B824" s="48"/>
      <c r="C824" s="19"/>
      <c r="D824" s="19"/>
      <c r="E824" s="19"/>
      <c r="F824" s="19"/>
      <c r="G824" s="19"/>
      <c r="H824" s="19"/>
      <c r="I824" s="19"/>
      <c r="J824" s="19"/>
      <c r="K824" s="19"/>
      <c r="L824" s="48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</row>
    <row r="825">
      <c r="A825" s="48"/>
      <c r="B825" s="48"/>
      <c r="C825" s="19"/>
      <c r="D825" s="19"/>
      <c r="E825" s="19"/>
      <c r="F825" s="19"/>
      <c r="G825" s="19"/>
      <c r="H825" s="19"/>
      <c r="I825" s="19"/>
      <c r="J825" s="19"/>
      <c r="K825" s="19"/>
      <c r="L825" s="48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</row>
    <row r="826">
      <c r="A826" s="48"/>
      <c r="B826" s="48"/>
      <c r="C826" s="19"/>
      <c r="D826" s="19"/>
      <c r="E826" s="19"/>
      <c r="F826" s="19"/>
      <c r="G826" s="19"/>
      <c r="H826" s="19"/>
      <c r="I826" s="19"/>
      <c r="J826" s="19"/>
      <c r="K826" s="19"/>
      <c r="L826" s="48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</row>
    <row r="827">
      <c r="A827" s="48"/>
      <c r="B827" s="48"/>
      <c r="C827" s="19"/>
      <c r="D827" s="19"/>
      <c r="E827" s="19"/>
      <c r="F827" s="19"/>
      <c r="G827" s="19"/>
      <c r="H827" s="19"/>
      <c r="I827" s="19"/>
      <c r="J827" s="19"/>
      <c r="K827" s="19"/>
      <c r="L827" s="48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</row>
    <row r="828">
      <c r="A828" s="48"/>
      <c r="B828" s="48"/>
      <c r="C828" s="19"/>
      <c r="D828" s="19"/>
      <c r="E828" s="19"/>
      <c r="F828" s="19"/>
      <c r="G828" s="19"/>
      <c r="H828" s="19"/>
      <c r="I828" s="19"/>
      <c r="J828" s="19"/>
      <c r="K828" s="19"/>
      <c r="L828" s="48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</row>
    <row r="829">
      <c r="A829" s="48"/>
      <c r="B829" s="48"/>
      <c r="C829" s="19"/>
      <c r="D829" s="19"/>
      <c r="E829" s="19"/>
      <c r="F829" s="19"/>
      <c r="G829" s="19"/>
      <c r="H829" s="19"/>
      <c r="I829" s="19"/>
      <c r="J829" s="19"/>
      <c r="K829" s="19"/>
      <c r="L829" s="48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</row>
    <row r="830">
      <c r="A830" s="48"/>
      <c r="B830" s="48"/>
      <c r="C830" s="19"/>
      <c r="D830" s="19"/>
      <c r="E830" s="19"/>
      <c r="F830" s="19"/>
      <c r="G830" s="19"/>
      <c r="H830" s="19"/>
      <c r="I830" s="19"/>
      <c r="J830" s="19"/>
      <c r="K830" s="19"/>
      <c r="L830" s="48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</row>
    <row r="831">
      <c r="A831" s="48"/>
      <c r="B831" s="48"/>
      <c r="C831" s="19"/>
      <c r="D831" s="19"/>
      <c r="E831" s="19"/>
      <c r="F831" s="19"/>
      <c r="G831" s="19"/>
      <c r="H831" s="19"/>
      <c r="I831" s="19"/>
      <c r="J831" s="19"/>
      <c r="K831" s="19"/>
      <c r="L831" s="48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</row>
    <row r="832">
      <c r="A832" s="48"/>
      <c r="B832" s="48"/>
      <c r="C832" s="19"/>
      <c r="D832" s="19"/>
      <c r="E832" s="19"/>
      <c r="F832" s="19"/>
      <c r="G832" s="19"/>
      <c r="H832" s="19"/>
      <c r="I832" s="19"/>
      <c r="J832" s="19"/>
      <c r="K832" s="19"/>
      <c r="L832" s="48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</row>
    <row r="833">
      <c r="A833" s="48"/>
      <c r="B833" s="48"/>
      <c r="C833" s="19"/>
      <c r="D833" s="19"/>
      <c r="E833" s="19"/>
      <c r="F833" s="19"/>
      <c r="G833" s="19"/>
      <c r="H833" s="19"/>
      <c r="I833" s="19"/>
      <c r="J833" s="19"/>
      <c r="K833" s="19"/>
      <c r="L833" s="48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</row>
    <row r="834">
      <c r="A834" s="48"/>
      <c r="B834" s="48"/>
      <c r="C834" s="19"/>
      <c r="D834" s="19"/>
      <c r="E834" s="19"/>
      <c r="F834" s="19"/>
      <c r="G834" s="19"/>
      <c r="H834" s="19"/>
      <c r="I834" s="19"/>
      <c r="J834" s="19"/>
      <c r="K834" s="19"/>
      <c r="L834" s="48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</row>
    <row r="835">
      <c r="A835" s="48"/>
      <c r="B835" s="48"/>
      <c r="C835" s="19"/>
      <c r="D835" s="19"/>
      <c r="E835" s="19"/>
      <c r="F835" s="19"/>
      <c r="G835" s="19"/>
      <c r="H835" s="19"/>
      <c r="I835" s="19"/>
      <c r="J835" s="19"/>
      <c r="K835" s="19"/>
      <c r="L835" s="48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</row>
    <row r="836">
      <c r="A836" s="48"/>
      <c r="B836" s="48"/>
      <c r="C836" s="19"/>
      <c r="D836" s="19"/>
      <c r="E836" s="19"/>
      <c r="F836" s="19"/>
      <c r="G836" s="19"/>
      <c r="H836" s="19"/>
      <c r="I836" s="19"/>
      <c r="J836" s="19"/>
      <c r="K836" s="19"/>
      <c r="L836" s="48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</row>
    <row r="837">
      <c r="A837" s="48"/>
      <c r="B837" s="48"/>
      <c r="C837" s="19"/>
      <c r="D837" s="19"/>
      <c r="E837" s="19"/>
      <c r="F837" s="19"/>
      <c r="G837" s="19"/>
      <c r="H837" s="19"/>
      <c r="I837" s="19"/>
      <c r="J837" s="19"/>
      <c r="K837" s="19"/>
      <c r="L837" s="48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</row>
    <row r="838">
      <c r="A838" s="48"/>
      <c r="B838" s="48"/>
      <c r="C838" s="19"/>
      <c r="D838" s="19"/>
      <c r="E838" s="19"/>
      <c r="F838" s="19"/>
      <c r="G838" s="19"/>
      <c r="H838" s="19"/>
      <c r="I838" s="19"/>
      <c r="J838" s="19"/>
      <c r="K838" s="19"/>
      <c r="L838" s="48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</row>
    <row r="839">
      <c r="A839" s="48"/>
      <c r="B839" s="48"/>
      <c r="C839" s="19"/>
      <c r="D839" s="19"/>
      <c r="E839" s="19"/>
      <c r="F839" s="19"/>
      <c r="G839" s="19"/>
      <c r="H839" s="19"/>
      <c r="I839" s="19"/>
      <c r="J839" s="19"/>
      <c r="K839" s="19"/>
      <c r="L839" s="48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</row>
    <row r="840">
      <c r="A840" s="48"/>
      <c r="B840" s="48"/>
      <c r="C840" s="19"/>
      <c r="D840" s="19"/>
      <c r="E840" s="19"/>
      <c r="F840" s="19"/>
      <c r="G840" s="19"/>
      <c r="H840" s="19"/>
      <c r="I840" s="19"/>
      <c r="J840" s="19"/>
      <c r="K840" s="19"/>
      <c r="L840" s="48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</row>
    <row r="841">
      <c r="A841" s="48"/>
      <c r="B841" s="48"/>
      <c r="C841" s="19"/>
      <c r="D841" s="19"/>
      <c r="E841" s="19"/>
      <c r="F841" s="19"/>
      <c r="G841" s="19"/>
      <c r="H841" s="19"/>
      <c r="I841" s="19"/>
      <c r="J841" s="19"/>
      <c r="K841" s="19"/>
      <c r="L841" s="48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</row>
    <row r="842">
      <c r="A842" s="48"/>
      <c r="B842" s="48"/>
      <c r="C842" s="19"/>
      <c r="D842" s="19"/>
      <c r="E842" s="19"/>
      <c r="F842" s="19"/>
      <c r="G842" s="19"/>
      <c r="H842" s="19"/>
      <c r="I842" s="19"/>
      <c r="J842" s="19"/>
      <c r="K842" s="19"/>
      <c r="L842" s="48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</row>
    <row r="843">
      <c r="A843" s="48"/>
      <c r="B843" s="48"/>
      <c r="C843" s="19"/>
      <c r="D843" s="19"/>
      <c r="E843" s="19"/>
      <c r="F843" s="19"/>
      <c r="G843" s="19"/>
      <c r="H843" s="19"/>
      <c r="I843" s="19"/>
      <c r="J843" s="19"/>
      <c r="K843" s="19"/>
      <c r="L843" s="48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</row>
    <row r="844">
      <c r="A844" s="48"/>
      <c r="B844" s="48"/>
      <c r="C844" s="19"/>
      <c r="D844" s="19"/>
      <c r="E844" s="19"/>
      <c r="F844" s="19"/>
      <c r="G844" s="19"/>
      <c r="H844" s="19"/>
      <c r="I844" s="19"/>
      <c r="J844" s="19"/>
      <c r="K844" s="19"/>
      <c r="L844" s="48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</row>
    <row r="845">
      <c r="A845" s="48"/>
      <c r="B845" s="48"/>
      <c r="C845" s="19"/>
      <c r="D845" s="19"/>
      <c r="E845" s="19"/>
      <c r="F845" s="19"/>
      <c r="G845" s="19"/>
      <c r="H845" s="19"/>
      <c r="I845" s="19"/>
      <c r="J845" s="19"/>
      <c r="K845" s="19"/>
      <c r="L845" s="48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</row>
    <row r="846">
      <c r="A846" s="48"/>
      <c r="B846" s="48"/>
      <c r="C846" s="19"/>
      <c r="D846" s="19"/>
      <c r="E846" s="19"/>
      <c r="F846" s="19"/>
      <c r="G846" s="19"/>
      <c r="H846" s="19"/>
      <c r="I846" s="19"/>
      <c r="J846" s="19"/>
      <c r="K846" s="19"/>
      <c r="L846" s="48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</row>
    <row r="847">
      <c r="A847" s="48"/>
      <c r="B847" s="48"/>
      <c r="C847" s="19"/>
      <c r="D847" s="19"/>
      <c r="E847" s="19"/>
      <c r="F847" s="19"/>
      <c r="G847" s="19"/>
      <c r="H847" s="19"/>
      <c r="I847" s="19"/>
      <c r="J847" s="19"/>
      <c r="K847" s="19"/>
      <c r="L847" s="48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</row>
    <row r="848">
      <c r="A848" s="48"/>
      <c r="B848" s="48"/>
      <c r="C848" s="19"/>
      <c r="D848" s="19"/>
      <c r="E848" s="19"/>
      <c r="F848" s="19"/>
      <c r="G848" s="19"/>
      <c r="H848" s="19"/>
      <c r="I848" s="19"/>
      <c r="J848" s="19"/>
      <c r="K848" s="19"/>
      <c r="L848" s="48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</row>
    <row r="849">
      <c r="A849" s="48"/>
      <c r="B849" s="48"/>
      <c r="C849" s="19"/>
      <c r="D849" s="19"/>
      <c r="E849" s="19"/>
      <c r="F849" s="19"/>
      <c r="G849" s="19"/>
      <c r="H849" s="19"/>
      <c r="I849" s="19"/>
      <c r="J849" s="19"/>
      <c r="K849" s="19"/>
      <c r="L849" s="48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</row>
    <row r="850">
      <c r="A850" s="48"/>
      <c r="B850" s="48"/>
      <c r="C850" s="19"/>
      <c r="D850" s="19"/>
      <c r="E850" s="19"/>
      <c r="F850" s="19"/>
      <c r="G850" s="19"/>
      <c r="H850" s="19"/>
      <c r="I850" s="19"/>
      <c r="J850" s="19"/>
      <c r="K850" s="19"/>
      <c r="L850" s="48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</row>
    <row r="851">
      <c r="A851" s="48"/>
      <c r="B851" s="48"/>
      <c r="C851" s="19"/>
      <c r="D851" s="19"/>
      <c r="E851" s="19"/>
      <c r="F851" s="19"/>
      <c r="G851" s="19"/>
      <c r="H851" s="19"/>
      <c r="I851" s="19"/>
      <c r="J851" s="19"/>
      <c r="K851" s="19"/>
      <c r="L851" s="48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</row>
    <row r="852">
      <c r="A852" s="48"/>
      <c r="B852" s="48"/>
      <c r="C852" s="19"/>
      <c r="D852" s="19"/>
      <c r="E852" s="19"/>
      <c r="F852" s="19"/>
      <c r="G852" s="19"/>
      <c r="H852" s="19"/>
      <c r="I852" s="19"/>
      <c r="J852" s="19"/>
      <c r="K852" s="19"/>
      <c r="L852" s="48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</row>
    <row r="853">
      <c r="A853" s="48"/>
      <c r="B853" s="48"/>
      <c r="C853" s="19"/>
      <c r="D853" s="19"/>
      <c r="E853" s="19"/>
      <c r="F853" s="19"/>
      <c r="G853" s="19"/>
      <c r="H853" s="19"/>
      <c r="I853" s="19"/>
      <c r="J853" s="19"/>
      <c r="K853" s="19"/>
      <c r="L853" s="48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</row>
    <row r="854">
      <c r="A854" s="48"/>
      <c r="B854" s="48"/>
      <c r="C854" s="19"/>
      <c r="D854" s="19"/>
      <c r="E854" s="19"/>
      <c r="F854" s="19"/>
      <c r="G854" s="19"/>
      <c r="H854" s="19"/>
      <c r="I854" s="19"/>
      <c r="J854" s="19"/>
      <c r="K854" s="19"/>
      <c r="L854" s="48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</row>
    <row r="855">
      <c r="A855" s="48"/>
      <c r="B855" s="48"/>
      <c r="C855" s="19"/>
      <c r="D855" s="19"/>
      <c r="E855" s="19"/>
      <c r="F855" s="19"/>
      <c r="G855" s="19"/>
      <c r="H855" s="19"/>
      <c r="I855" s="19"/>
      <c r="J855" s="19"/>
      <c r="K855" s="19"/>
      <c r="L855" s="48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</row>
    <row r="856">
      <c r="A856" s="48"/>
      <c r="B856" s="48"/>
      <c r="C856" s="19"/>
      <c r="D856" s="19"/>
      <c r="E856" s="19"/>
      <c r="F856" s="19"/>
      <c r="G856" s="19"/>
      <c r="H856" s="19"/>
      <c r="I856" s="19"/>
      <c r="J856" s="19"/>
      <c r="K856" s="19"/>
      <c r="L856" s="48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</row>
    <row r="857">
      <c r="A857" s="48"/>
      <c r="B857" s="48"/>
      <c r="C857" s="19"/>
      <c r="D857" s="19"/>
      <c r="E857" s="19"/>
      <c r="F857" s="19"/>
      <c r="G857" s="19"/>
      <c r="H857" s="19"/>
      <c r="I857" s="19"/>
      <c r="J857" s="19"/>
      <c r="K857" s="19"/>
      <c r="L857" s="48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</row>
    <row r="858">
      <c r="A858" s="48"/>
      <c r="B858" s="48"/>
      <c r="C858" s="19"/>
      <c r="D858" s="19"/>
      <c r="E858" s="19"/>
      <c r="F858" s="19"/>
      <c r="G858" s="19"/>
      <c r="H858" s="19"/>
      <c r="I858" s="19"/>
      <c r="J858" s="19"/>
      <c r="K858" s="19"/>
      <c r="L858" s="48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</row>
    <row r="859">
      <c r="A859" s="48"/>
      <c r="B859" s="48"/>
      <c r="C859" s="19"/>
      <c r="D859" s="19"/>
      <c r="E859" s="19"/>
      <c r="F859" s="19"/>
      <c r="G859" s="19"/>
      <c r="H859" s="19"/>
      <c r="I859" s="19"/>
      <c r="J859" s="19"/>
      <c r="K859" s="19"/>
      <c r="L859" s="48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</row>
    <row r="860">
      <c r="A860" s="48"/>
      <c r="B860" s="48"/>
      <c r="C860" s="19"/>
      <c r="D860" s="19"/>
      <c r="E860" s="19"/>
      <c r="F860" s="19"/>
      <c r="G860" s="19"/>
      <c r="H860" s="19"/>
      <c r="I860" s="19"/>
      <c r="J860" s="19"/>
      <c r="K860" s="19"/>
      <c r="L860" s="48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</row>
    <row r="861">
      <c r="A861" s="48"/>
      <c r="B861" s="48"/>
      <c r="C861" s="19"/>
      <c r="D861" s="19"/>
      <c r="E861" s="19"/>
      <c r="F861" s="19"/>
      <c r="G861" s="19"/>
      <c r="H861" s="19"/>
      <c r="I861" s="19"/>
      <c r="J861" s="19"/>
      <c r="K861" s="19"/>
      <c r="L861" s="48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</row>
    <row r="862">
      <c r="A862" s="48"/>
      <c r="B862" s="48"/>
      <c r="C862" s="19"/>
      <c r="D862" s="19"/>
      <c r="E862" s="19"/>
      <c r="F862" s="19"/>
      <c r="G862" s="19"/>
      <c r="H862" s="19"/>
      <c r="I862" s="19"/>
      <c r="J862" s="19"/>
      <c r="K862" s="19"/>
      <c r="L862" s="48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</row>
    <row r="863">
      <c r="A863" s="48"/>
      <c r="B863" s="48"/>
      <c r="C863" s="19"/>
      <c r="D863" s="19"/>
      <c r="E863" s="19"/>
      <c r="F863" s="19"/>
      <c r="G863" s="19"/>
      <c r="H863" s="19"/>
      <c r="I863" s="19"/>
      <c r="J863" s="19"/>
      <c r="K863" s="19"/>
      <c r="L863" s="48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</row>
    <row r="864">
      <c r="A864" s="48"/>
      <c r="B864" s="48"/>
      <c r="C864" s="19"/>
      <c r="D864" s="19"/>
      <c r="E864" s="19"/>
      <c r="F864" s="19"/>
      <c r="G864" s="19"/>
      <c r="H864" s="19"/>
      <c r="I864" s="19"/>
      <c r="J864" s="19"/>
      <c r="K864" s="19"/>
      <c r="L864" s="48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</row>
    <row r="865">
      <c r="A865" s="48"/>
      <c r="B865" s="48"/>
      <c r="C865" s="19"/>
      <c r="D865" s="19"/>
      <c r="E865" s="19"/>
      <c r="F865" s="19"/>
      <c r="G865" s="19"/>
      <c r="H865" s="19"/>
      <c r="I865" s="19"/>
      <c r="J865" s="19"/>
      <c r="K865" s="19"/>
      <c r="L865" s="48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</row>
    <row r="866">
      <c r="A866" s="48"/>
      <c r="B866" s="48"/>
      <c r="C866" s="19"/>
      <c r="D866" s="19"/>
      <c r="E866" s="19"/>
      <c r="F866" s="19"/>
      <c r="G866" s="19"/>
      <c r="H866" s="19"/>
      <c r="I866" s="19"/>
      <c r="J866" s="19"/>
      <c r="K866" s="19"/>
      <c r="L866" s="48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</row>
    <row r="867">
      <c r="A867" s="48"/>
      <c r="B867" s="48"/>
      <c r="C867" s="19"/>
      <c r="D867" s="19"/>
      <c r="E867" s="19"/>
      <c r="F867" s="19"/>
      <c r="G867" s="19"/>
      <c r="H867" s="19"/>
      <c r="I867" s="19"/>
      <c r="J867" s="19"/>
      <c r="K867" s="19"/>
      <c r="L867" s="48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</row>
    <row r="868">
      <c r="A868" s="48"/>
      <c r="B868" s="48"/>
      <c r="C868" s="19"/>
      <c r="D868" s="19"/>
      <c r="E868" s="19"/>
      <c r="F868" s="19"/>
      <c r="G868" s="19"/>
      <c r="H868" s="19"/>
      <c r="I868" s="19"/>
      <c r="J868" s="19"/>
      <c r="K868" s="19"/>
      <c r="L868" s="48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</row>
    <row r="869">
      <c r="A869" s="48"/>
      <c r="B869" s="48"/>
      <c r="C869" s="19"/>
      <c r="D869" s="19"/>
      <c r="E869" s="19"/>
      <c r="F869" s="19"/>
      <c r="G869" s="19"/>
      <c r="H869" s="19"/>
      <c r="I869" s="19"/>
      <c r="J869" s="19"/>
      <c r="K869" s="19"/>
      <c r="L869" s="48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</row>
    <row r="870">
      <c r="A870" s="48"/>
      <c r="B870" s="48"/>
      <c r="C870" s="19"/>
      <c r="D870" s="19"/>
      <c r="E870" s="19"/>
      <c r="F870" s="19"/>
      <c r="G870" s="19"/>
      <c r="H870" s="19"/>
      <c r="I870" s="19"/>
      <c r="J870" s="19"/>
      <c r="K870" s="19"/>
      <c r="L870" s="48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</row>
    <row r="871">
      <c r="A871" s="48"/>
      <c r="B871" s="48"/>
      <c r="C871" s="19"/>
      <c r="D871" s="19"/>
      <c r="E871" s="19"/>
      <c r="F871" s="19"/>
      <c r="G871" s="19"/>
      <c r="H871" s="19"/>
      <c r="I871" s="19"/>
      <c r="J871" s="19"/>
      <c r="K871" s="19"/>
      <c r="L871" s="48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</row>
    <row r="872">
      <c r="A872" s="48"/>
      <c r="B872" s="48"/>
      <c r="C872" s="19"/>
      <c r="D872" s="19"/>
      <c r="E872" s="19"/>
      <c r="F872" s="19"/>
      <c r="G872" s="19"/>
      <c r="H872" s="19"/>
      <c r="I872" s="19"/>
      <c r="J872" s="19"/>
      <c r="K872" s="19"/>
      <c r="L872" s="48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</row>
    <row r="873">
      <c r="A873" s="48"/>
      <c r="B873" s="48"/>
      <c r="C873" s="19"/>
      <c r="D873" s="19"/>
      <c r="E873" s="19"/>
      <c r="F873" s="19"/>
      <c r="G873" s="19"/>
      <c r="H873" s="19"/>
      <c r="I873" s="19"/>
      <c r="J873" s="19"/>
      <c r="K873" s="19"/>
      <c r="L873" s="48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</row>
    <row r="874">
      <c r="A874" s="48"/>
      <c r="B874" s="48"/>
      <c r="C874" s="19"/>
      <c r="D874" s="19"/>
      <c r="E874" s="19"/>
      <c r="F874" s="19"/>
      <c r="G874" s="19"/>
      <c r="H874" s="19"/>
      <c r="I874" s="19"/>
      <c r="J874" s="19"/>
      <c r="K874" s="19"/>
      <c r="L874" s="48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</row>
    <row r="875">
      <c r="A875" s="48"/>
      <c r="B875" s="48"/>
      <c r="C875" s="19"/>
      <c r="D875" s="19"/>
      <c r="E875" s="19"/>
      <c r="F875" s="19"/>
      <c r="G875" s="19"/>
      <c r="H875" s="19"/>
      <c r="I875" s="19"/>
      <c r="J875" s="19"/>
      <c r="K875" s="19"/>
      <c r="L875" s="48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</row>
    <row r="876">
      <c r="A876" s="48"/>
      <c r="B876" s="48"/>
      <c r="C876" s="19"/>
      <c r="D876" s="19"/>
      <c r="E876" s="19"/>
      <c r="F876" s="19"/>
      <c r="G876" s="19"/>
      <c r="H876" s="19"/>
      <c r="I876" s="19"/>
      <c r="J876" s="19"/>
      <c r="K876" s="19"/>
      <c r="L876" s="48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</row>
    <row r="877">
      <c r="A877" s="48"/>
      <c r="B877" s="48"/>
      <c r="C877" s="19"/>
      <c r="D877" s="19"/>
      <c r="E877" s="19"/>
      <c r="F877" s="19"/>
      <c r="G877" s="19"/>
      <c r="H877" s="19"/>
      <c r="I877" s="19"/>
      <c r="J877" s="19"/>
      <c r="K877" s="19"/>
      <c r="L877" s="48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</row>
    <row r="878">
      <c r="A878" s="48"/>
      <c r="B878" s="48"/>
      <c r="C878" s="19"/>
      <c r="D878" s="19"/>
      <c r="E878" s="19"/>
      <c r="F878" s="19"/>
      <c r="G878" s="19"/>
      <c r="H878" s="19"/>
      <c r="I878" s="19"/>
      <c r="J878" s="19"/>
      <c r="K878" s="19"/>
      <c r="L878" s="48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</row>
    <row r="879">
      <c r="A879" s="48"/>
      <c r="B879" s="48"/>
      <c r="C879" s="19"/>
      <c r="D879" s="19"/>
      <c r="E879" s="19"/>
      <c r="F879" s="19"/>
      <c r="G879" s="19"/>
      <c r="H879" s="19"/>
      <c r="I879" s="19"/>
      <c r="J879" s="19"/>
      <c r="K879" s="19"/>
      <c r="L879" s="48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</row>
    <row r="880">
      <c r="A880" s="48"/>
      <c r="B880" s="48"/>
      <c r="C880" s="19"/>
      <c r="D880" s="19"/>
      <c r="E880" s="19"/>
      <c r="F880" s="19"/>
      <c r="G880" s="19"/>
      <c r="H880" s="19"/>
      <c r="I880" s="19"/>
      <c r="J880" s="19"/>
      <c r="K880" s="19"/>
      <c r="L880" s="48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</row>
    <row r="881">
      <c r="A881" s="48"/>
      <c r="B881" s="48"/>
      <c r="C881" s="19"/>
      <c r="D881" s="19"/>
      <c r="E881" s="19"/>
      <c r="F881" s="19"/>
      <c r="G881" s="19"/>
      <c r="H881" s="19"/>
      <c r="I881" s="19"/>
      <c r="J881" s="19"/>
      <c r="K881" s="19"/>
      <c r="L881" s="48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</row>
    <row r="882">
      <c r="A882" s="48"/>
      <c r="B882" s="48"/>
      <c r="C882" s="19"/>
      <c r="D882" s="19"/>
      <c r="E882" s="19"/>
      <c r="F882" s="19"/>
      <c r="G882" s="19"/>
      <c r="H882" s="19"/>
      <c r="I882" s="19"/>
      <c r="J882" s="19"/>
      <c r="K882" s="19"/>
      <c r="L882" s="48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</row>
    <row r="883">
      <c r="A883" s="48"/>
      <c r="B883" s="48"/>
      <c r="C883" s="19"/>
      <c r="D883" s="19"/>
      <c r="E883" s="19"/>
      <c r="F883" s="19"/>
      <c r="G883" s="19"/>
      <c r="H883" s="19"/>
      <c r="I883" s="19"/>
      <c r="J883" s="19"/>
      <c r="K883" s="19"/>
      <c r="L883" s="48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</row>
    <row r="884">
      <c r="A884" s="48"/>
      <c r="B884" s="48"/>
      <c r="C884" s="19"/>
      <c r="D884" s="19"/>
      <c r="E884" s="19"/>
      <c r="F884" s="19"/>
      <c r="G884" s="19"/>
      <c r="H884" s="19"/>
      <c r="I884" s="19"/>
      <c r="J884" s="19"/>
      <c r="K884" s="19"/>
      <c r="L884" s="48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</row>
    <row r="885">
      <c r="A885" s="48"/>
      <c r="B885" s="48"/>
      <c r="C885" s="19"/>
      <c r="D885" s="19"/>
      <c r="E885" s="19"/>
      <c r="F885" s="19"/>
      <c r="G885" s="19"/>
      <c r="H885" s="19"/>
      <c r="I885" s="19"/>
      <c r="J885" s="19"/>
      <c r="K885" s="19"/>
      <c r="L885" s="48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</row>
    <row r="886">
      <c r="A886" s="48"/>
      <c r="B886" s="48"/>
      <c r="C886" s="19"/>
      <c r="D886" s="19"/>
      <c r="E886" s="19"/>
      <c r="F886" s="19"/>
      <c r="G886" s="19"/>
      <c r="H886" s="19"/>
      <c r="I886" s="19"/>
      <c r="J886" s="19"/>
      <c r="K886" s="19"/>
      <c r="L886" s="48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</row>
    <row r="887">
      <c r="A887" s="48"/>
      <c r="B887" s="48"/>
      <c r="C887" s="19"/>
      <c r="D887" s="19"/>
      <c r="E887" s="19"/>
      <c r="F887" s="19"/>
      <c r="G887" s="19"/>
      <c r="H887" s="19"/>
      <c r="I887" s="19"/>
      <c r="J887" s="19"/>
      <c r="K887" s="19"/>
      <c r="L887" s="48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</row>
    <row r="888">
      <c r="A888" s="48"/>
      <c r="B888" s="48"/>
      <c r="C888" s="19"/>
      <c r="D888" s="19"/>
      <c r="E888" s="19"/>
      <c r="F888" s="19"/>
      <c r="G888" s="19"/>
      <c r="H888" s="19"/>
      <c r="I888" s="19"/>
      <c r="J888" s="19"/>
      <c r="K888" s="19"/>
      <c r="L888" s="48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</row>
    <row r="889">
      <c r="A889" s="48"/>
      <c r="B889" s="48"/>
      <c r="C889" s="19"/>
      <c r="D889" s="19"/>
      <c r="E889" s="19"/>
      <c r="F889" s="19"/>
      <c r="G889" s="19"/>
      <c r="H889" s="19"/>
      <c r="I889" s="19"/>
      <c r="J889" s="19"/>
      <c r="K889" s="19"/>
      <c r="L889" s="48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</row>
    <row r="890">
      <c r="A890" s="48"/>
      <c r="B890" s="48"/>
      <c r="C890" s="19"/>
      <c r="D890" s="19"/>
      <c r="E890" s="19"/>
      <c r="F890" s="19"/>
      <c r="G890" s="19"/>
      <c r="H890" s="19"/>
      <c r="I890" s="19"/>
      <c r="J890" s="19"/>
      <c r="K890" s="19"/>
      <c r="L890" s="48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</row>
    <row r="891">
      <c r="A891" s="48"/>
      <c r="B891" s="48"/>
      <c r="C891" s="19"/>
      <c r="D891" s="19"/>
      <c r="E891" s="19"/>
      <c r="F891" s="19"/>
      <c r="G891" s="19"/>
      <c r="H891" s="19"/>
      <c r="I891" s="19"/>
      <c r="J891" s="19"/>
      <c r="K891" s="19"/>
      <c r="L891" s="48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</row>
    <row r="892">
      <c r="A892" s="48"/>
      <c r="B892" s="48"/>
      <c r="C892" s="19"/>
      <c r="D892" s="19"/>
      <c r="E892" s="19"/>
      <c r="F892" s="19"/>
      <c r="G892" s="19"/>
      <c r="H892" s="19"/>
      <c r="I892" s="19"/>
      <c r="J892" s="19"/>
      <c r="K892" s="19"/>
      <c r="L892" s="48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</row>
    <row r="893">
      <c r="A893" s="48"/>
      <c r="B893" s="48"/>
      <c r="C893" s="19"/>
      <c r="D893" s="19"/>
      <c r="E893" s="19"/>
      <c r="F893" s="19"/>
      <c r="G893" s="19"/>
      <c r="H893" s="19"/>
      <c r="I893" s="19"/>
      <c r="J893" s="19"/>
      <c r="K893" s="19"/>
      <c r="L893" s="48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</row>
    <row r="894">
      <c r="A894" s="48"/>
      <c r="B894" s="48"/>
      <c r="C894" s="19"/>
      <c r="D894" s="19"/>
      <c r="E894" s="19"/>
      <c r="F894" s="19"/>
      <c r="G894" s="19"/>
      <c r="H894" s="19"/>
      <c r="I894" s="19"/>
      <c r="J894" s="19"/>
      <c r="K894" s="19"/>
      <c r="L894" s="48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</row>
    <row r="895">
      <c r="A895" s="48"/>
      <c r="B895" s="48"/>
      <c r="C895" s="19"/>
      <c r="D895" s="19"/>
      <c r="E895" s="19"/>
      <c r="F895" s="19"/>
      <c r="G895" s="19"/>
      <c r="H895" s="19"/>
      <c r="I895" s="19"/>
      <c r="J895" s="19"/>
      <c r="K895" s="19"/>
      <c r="L895" s="48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</row>
    <row r="896">
      <c r="A896" s="48"/>
      <c r="B896" s="48"/>
      <c r="C896" s="19"/>
      <c r="D896" s="19"/>
      <c r="E896" s="19"/>
      <c r="F896" s="19"/>
      <c r="G896" s="19"/>
      <c r="H896" s="19"/>
      <c r="I896" s="19"/>
      <c r="J896" s="19"/>
      <c r="K896" s="19"/>
      <c r="L896" s="48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</row>
    <row r="897">
      <c r="A897" s="48"/>
      <c r="B897" s="48"/>
      <c r="C897" s="19"/>
      <c r="D897" s="19"/>
      <c r="E897" s="19"/>
      <c r="F897" s="19"/>
      <c r="G897" s="19"/>
      <c r="H897" s="19"/>
      <c r="I897" s="19"/>
      <c r="J897" s="19"/>
      <c r="K897" s="19"/>
      <c r="L897" s="48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</row>
    <row r="898">
      <c r="A898" s="48"/>
      <c r="B898" s="48"/>
      <c r="C898" s="19"/>
      <c r="D898" s="19"/>
      <c r="E898" s="19"/>
      <c r="F898" s="19"/>
      <c r="G898" s="19"/>
      <c r="H898" s="19"/>
      <c r="I898" s="19"/>
      <c r="J898" s="19"/>
      <c r="K898" s="19"/>
      <c r="L898" s="48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</row>
    <row r="899">
      <c r="A899" s="48"/>
      <c r="B899" s="48"/>
      <c r="C899" s="19"/>
      <c r="D899" s="19"/>
      <c r="E899" s="19"/>
      <c r="F899" s="19"/>
      <c r="G899" s="19"/>
      <c r="H899" s="19"/>
      <c r="I899" s="19"/>
      <c r="J899" s="19"/>
      <c r="K899" s="19"/>
      <c r="L899" s="48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</row>
    <row r="900">
      <c r="A900" s="48"/>
      <c r="B900" s="48"/>
      <c r="C900" s="19"/>
      <c r="D900" s="19"/>
      <c r="E900" s="19"/>
      <c r="F900" s="19"/>
      <c r="G900" s="19"/>
      <c r="H900" s="19"/>
      <c r="I900" s="19"/>
      <c r="J900" s="19"/>
      <c r="K900" s="19"/>
      <c r="L900" s="48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</row>
    <row r="901">
      <c r="A901" s="48"/>
      <c r="B901" s="48"/>
      <c r="C901" s="19"/>
      <c r="D901" s="19"/>
      <c r="E901" s="19"/>
      <c r="F901" s="19"/>
      <c r="G901" s="19"/>
      <c r="H901" s="19"/>
      <c r="I901" s="19"/>
      <c r="J901" s="19"/>
      <c r="K901" s="19"/>
      <c r="L901" s="48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</row>
    <row r="902">
      <c r="A902" s="48"/>
      <c r="B902" s="48"/>
      <c r="C902" s="19"/>
      <c r="D902" s="19"/>
      <c r="E902" s="19"/>
      <c r="F902" s="19"/>
      <c r="G902" s="19"/>
      <c r="H902" s="19"/>
      <c r="I902" s="19"/>
      <c r="J902" s="19"/>
      <c r="K902" s="19"/>
      <c r="L902" s="48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</row>
    <row r="903">
      <c r="A903" s="48"/>
      <c r="B903" s="48"/>
      <c r="C903" s="19"/>
      <c r="D903" s="19"/>
      <c r="E903" s="19"/>
      <c r="F903" s="19"/>
      <c r="G903" s="19"/>
      <c r="H903" s="19"/>
      <c r="I903" s="19"/>
      <c r="J903" s="19"/>
      <c r="K903" s="19"/>
      <c r="L903" s="48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</row>
    <row r="904">
      <c r="A904" s="48"/>
      <c r="B904" s="48"/>
      <c r="C904" s="19"/>
      <c r="D904" s="19"/>
      <c r="E904" s="19"/>
      <c r="F904" s="19"/>
      <c r="G904" s="19"/>
      <c r="H904" s="19"/>
      <c r="I904" s="19"/>
      <c r="J904" s="19"/>
      <c r="K904" s="19"/>
      <c r="L904" s="48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</row>
    <row r="905">
      <c r="A905" s="48"/>
      <c r="B905" s="48"/>
      <c r="C905" s="19"/>
      <c r="D905" s="19"/>
      <c r="E905" s="19"/>
      <c r="F905" s="19"/>
      <c r="G905" s="19"/>
      <c r="H905" s="19"/>
      <c r="I905" s="19"/>
      <c r="J905" s="19"/>
      <c r="K905" s="19"/>
      <c r="L905" s="48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</row>
    <row r="906">
      <c r="A906" s="48"/>
      <c r="B906" s="48"/>
      <c r="C906" s="19"/>
      <c r="D906" s="19"/>
      <c r="E906" s="19"/>
      <c r="F906" s="19"/>
      <c r="G906" s="19"/>
      <c r="H906" s="19"/>
      <c r="I906" s="19"/>
      <c r="J906" s="19"/>
      <c r="K906" s="19"/>
      <c r="L906" s="48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</row>
    <row r="907">
      <c r="A907" s="48"/>
      <c r="B907" s="48"/>
      <c r="C907" s="19"/>
      <c r="D907" s="19"/>
      <c r="E907" s="19"/>
      <c r="F907" s="19"/>
      <c r="G907" s="19"/>
      <c r="H907" s="19"/>
      <c r="I907" s="19"/>
      <c r="J907" s="19"/>
      <c r="K907" s="19"/>
      <c r="L907" s="48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</row>
    <row r="908">
      <c r="A908" s="48"/>
      <c r="B908" s="48"/>
      <c r="C908" s="19"/>
      <c r="D908" s="19"/>
      <c r="E908" s="19"/>
      <c r="F908" s="19"/>
      <c r="G908" s="19"/>
      <c r="H908" s="19"/>
      <c r="I908" s="19"/>
      <c r="J908" s="19"/>
      <c r="K908" s="19"/>
      <c r="L908" s="48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</row>
    <row r="909">
      <c r="A909" s="48"/>
      <c r="B909" s="48"/>
      <c r="C909" s="19"/>
      <c r="D909" s="19"/>
      <c r="E909" s="19"/>
      <c r="F909" s="19"/>
      <c r="G909" s="19"/>
      <c r="H909" s="19"/>
      <c r="I909" s="19"/>
      <c r="J909" s="19"/>
      <c r="K909" s="19"/>
      <c r="L909" s="48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</row>
    <row r="910">
      <c r="A910" s="48"/>
      <c r="B910" s="48"/>
      <c r="C910" s="19"/>
      <c r="D910" s="19"/>
      <c r="E910" s="19"/>
      <c r="F910" s="19"/>
      <c r="G910" s="19"/>
      <c r="H910" s="19"/>
      <c r="I910" s="19"/>
      <c r="J910" s="19"/>
      <c r="K910" s="19"/>
      <c r="L910" s="48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</row>
    <row r="911">
      <c r="A911" s="48"/>
      <c r="B911" s="48"/>
      <c r="C911" s="19"/>
      <c r="D911" s="19"/>
      <c r="E911" s="19"/>
      <c r="F911" s="19"/>
      <c r="G911" s="19"/>
      <c r="H911" s="19"/>
      <c r="I911" s="19"/>
      <c r="J911" s="19"/>
      <c r="K911" s="19"/>
      <c r="L911" s="48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</row>
    <row r="912">
      <c r="A912" s="48"/>
      <c r="B912" s="48"/>
      <c r="C912" s="19"/>
      <c r="D912" s="19"/>
      <c r="E912" s="19"/>
      <c r="F912" s="19"/>
      <c r="G912" s="19"/>
      <c r="H912" s="19"/>
      <c r="I912" s="19"/>
      <c r="J912" s="19"/>
      <c r="K912" s="19"/>
      <c r="L912" s="48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</row>
    <row r="913">
      <c r="A913" s="48"/>
      <c r="B913" s="48"/>
      <c r="C913" s="19"/>
      <c r="D913" s="19"/>
      <c r="E913" s="19"/>
      <c r="F913" s="19"/>
      <c r="G913" s="19"/>
      <c r="H913" s="19"/>
      <c r="I913" s="19"/>
      <c r="J913" s="19"/>
      <c r="K913" s="19"/>
      <c r="L913" s="48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</row>
    <row r="914">
      <c r="A914" s="48"/>
      <c r="B914" s="48"/>
      <c r="C914" s="19"/>
      <c r="D914" s="19"/>
      <c r="E914" s="19"/>
      <c r="F914" s="19"/>
      <c r="G914" s="19"/>
      <c r="H914" s="19"/>
      <c r="I914" s="19"/>
      <c r="J914" s="19"/>
      <c r="K914" s="19"/>
      <c r="L914" s="48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</row>
    <row r="915">
      <c r="A915" s="48"/>
      <c r="B915" s="48"/>
      <c r="C915" s="19"/>
      <c r="D915" s="19"/>
      <c r="E915" s="19"/>
      <c r="F915" s="19"/>
      <c r="G915" s="19"/>
      <c r="H915" s="19"/>
      <c r="I915" s="19"/>
      <c r="J915" s="19"/>
      <c r="K915" s="19"/>
      <c r="L915" s="48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</row>
    <row r="916">
      <c r="A916" s="48"/>
      <c r="B916" s="48"/>
      <c r="C916" s="19"/>
      <c r="D916" s="19"/>
      <c r="E916" s="19"/>
      <c r="F916" s="19"/>
      <c r="G916" s="19"/>
      <c r="H916" s="19"/>
      <c r="I916" s="19"/>
      <c r="J916" s="19"/>
      <c r="K916" s="19"/>
      <c r="L916" s="48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</row>
    <row r="917">
      <c r="A917" s="48"/>
      <c r="B917" s="48"/>
      <c r="C917" s="19"/>
      <c r="D917" s="19"/>
      <c r="E917" s="19"/>
      <c r="F917" s="19"/>
      <c r="G917" s="19"/>
      <c r="H917" s="19"/>
      <c r="I917" s="19"/>
      <c r="J917" s="19"/>
      <c r="K917" s="19"/>
      <c r="L917" s="48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</row>
    <row r="918">
      <c r="A918" s="48"/>
      <c r="B918" s="48"/>
      <c r="C918" s="19"/>
      <c r="D918" s="19"/>
      <c r="E918" s="19"/>
      <c r="F918" s="19"/>
      <c r="G918" s="19"/>
      <c r="H918" s="19"/>
      <c r="I918" s="19"/>
      <c r="J918" s="19"/>
      <c r="K918" s="19"/>
      <c r="L918" s="48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</row>
    <row r="919">
      <c r="A919" s="48"/>
      <c r="B919" s="48"/>
      <c r="C919" s="19"/>
      <c r="D919" s="19"/>
      <c r="E919" s="19"/>
      <c r="F919" s="19"/>
      <c r="G919" s="19"/>
      <c r="H919" s="19"/>
      <c r="I919" s="19"/>
      <c r="J919" s="19"/>
      <c r="K919" s="19"/>
      <c r="L919" s="48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</row>
    <row r="920">
      <c r="A920" s="48"/>
      <c r="B920" s="48"/>
      <c r="C920" s="19"/>
      <c r="D920" s="19"/>
      <c r="E920" s="19"/>
      <c r="F920" s="19"/>
      <c r="G920" s="19"/>
      <c r="H920" s="19"/>
      <c r="I920" s="19"/>
      <c r="J920" s="19"/>
      <c r="K920" s="19"/>
      <c r="L920" s="48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</row>
    <row r="921">
      <c r="A921" s="48"/>
      <c r="B921" s="48"/>
      <c r="C921" s="19"/>
      <c r="D921" s="19"/>
      <c r="E921" s="19"/>
      <c r="F921" s="19"/>
      <c r="G921" s="19"/>
      <c r="H921" s="19"/>
      <c r="I921" s="19"/>
      <c r="J921" s="19"/>
      <c r="K921" s="19"/>
      <c r="L921" s="48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</row>
    <row r="922">
      <c r="A922" s="48"/>
      <c r="B922" s="48"/>
      <c r="C922" s="19"/>
      <c r="D922" s="19"/>
      <c r="E922" s="19"/>
      <c r="F922" s="19"/>
      <c r="G922" s="19"/>
      <c r="H922" s="19"/>
      <c r="I922" s="19"/>
      <c r="J922" s="19"/>
      <c r="K922" s="19"/>
      <c r="L922" s="48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</row>
    <row r="923">
      <c r="A923" s="48"/>
      <c r="B923" s="48"/>
      <c r="C923" s="19"/>
      <c r="D923" s="19"/>
      <c r="E923" s="19"/>
      <c r="F923" s="19"/>
      <c r="G923" s="19"/>
      <c r="H923" s="19"/>
      <c r="I923" s="19"/>
      <c r="J923" s="19"/>
      <c r="K923" s="19"/>
      <c r="L923" s="48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</row>
    <row r="924">
      <c r="A924" s="48"/>
      <c r="B924" s="48"/>
      <c r="C924" s="19"/>
      <c r="D924" s="19"/>
      <c r="E924" s="19"/>
      <c r="F924" s="19"/>
      <c r="G924" s="19"/>
      <c r="H924" s="19"/>
      <c r="I924" s="19"/>
      <c r="J924" s="19"/>
      <c r="K924" s="19"/>
      <c r="L924" s="48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</row>
    <row r="925">
      <c r="A925" s="48"/>
      <c r="B925" s="48"/>
      <c r="C925" s="19"/>
      <c r="D925" s="19"/>
      <c r="E925" s="19"/>
      <c r="F925" s="19"/>
      <c r="G925" s="19"/>
      <c r="H925" s="19"/>
      <c r="I925" s="19"/>
      <c r="J925" s="19"/>
      <c r="K925" s="19"/>
      <c r="L925" s="48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</row>
    <row r="926">
      <c r="A926" s="48"/>
      <c r="B926" s="48"/>
      <c r="C926" s="19"/>
      <c r="D926" s="19"/>
      <c r="E926" s="19"/>
      <c r="F926" s="19"/>
      <c r="G926" s="19"/>
      <c r="H926" s="19"/>
      <c r="I926" s="19"/>
      <c r="J926" s="19"/>
      <c r="K926" s="19"/>
      <c r="L926" s="48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</row>
    <row r="927">
      <c r="A927" s="48"/>
      <c r="B927" s="48"/>
      <c r="C927" s="19"/>
      <c r="D927" s="19"/>
      <c r="E927" s="19"/>
      <c r="F927" s="19"/>
      <c r="G927" s="19"/>
      <c r="H927" s="19"/>
      <c r="I927" s="19"/>
      <c r="J927" s="19"/>
      <c r="K927" s="19"/>
      <c r="L927" s="48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</row>
    <row r="928">
      <c r="A928" s="48"/>
      <c r="B928" s="48"/>
      <c r="C928" s="19"/>
      <c r="D928" s="19"/>
      <c r="E928" s="19"/>
      <c r="F928" s="19"/>
      <c r="G928" s="19"/>
      <c r="H928" s="19"/>
      <c r="I928" s="19"/>
      <c r="J928" s="19"/>
      <c r="K928" s="19"/>
      <c r="L928" s="48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</row>
    <row r="929">
      <c r="A929" s="48"/>
      <c r="B929" s="48"/>
      <c r="C929" s="19"/>
      <c r="D929" s="19"/>
      <c r="E929" s="19"/>
      <c r="F929" s="19"/>
      <c r="G929" s="19"/>
      <c r="H929" s="19"/>
      <c r="I929" s="19"/>
      <c r="J929" s="19"/>
      <c r="K929" s="19"/>
      <c r="L929" s="48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</row>
    <row r="930">
      <c r="A930" s="48"/>
      <c r="B930" s="48"/>
      <c r="C930" s="19"/>
      <c r="D930" s="19"/>
      <c r="E930" s="19"/>
      <c r="F930" s="19"/>
      <c r="G930" s="19"/>
      <c r="H930" s="19"/>
      <c r="I930" s="19"/>
      <c r="J930" s="19"/>
      <c r="K930" s="19"/>
      <c r="L930" s="48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</row>
    <row r="931">
      <c r="A931" s="48"/>
      <c r="B931" s="48"/>
      <c r="C931" s="19"/>
      <c r="D931" s="19"/>
      <c r="E931" s="19"/>
      <c r="F931" s="19"/>
      <c r="G931" s="19"/>
      <c r="H931" s="19"/>
      <c r="I931" s="19"/>
      <c r="J931" s="19"/>
      <c r="K931" s="19"/>
      <c r="L931" s="48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</row>
    <row r="932">
      <c r="A932" s="48"/>
      <c r="B932" s="48"/>
      <c r="C932" s="19"/>
      <c r="D932" s="19"/>
      <c r="E932" s="19"/>
      <c r="F932" s="19"/>
      <c r="G932" s="19"/>
      <c r="H932" s="19"/>
      <c r="I932" s="19"/>
      <c r="J932" s="19"/>
      <c r="K932" s="19"/>
      <c r="L932" s="48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</row>
    <row r="933">
      <c r="A933" s="48"/>
      <c r="B933" s="48"/>
      <c r="C933" s="19"/>
      <c r="D933" s="19"/>
      <c r="E933" s="19"/>
      <c r="F933" s="19"/>
      <c r="G933" s="19"/>
      <c r="H933" s="19"/>
      <c r="I933" s="19"/>
      <c r="J933" s="19"/>
      <c r="K933" s="19"/>
      <c r="L933" s="48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</row>
    <row r="934">
      <c r="A934" s="48"/>
      <c r="B934" s="48"/>
      <c r="C934" s="19"/>
      <c r="D934" s="19"/>
      <c r="E934" s="19"/>
      <c r="F934" s="19"/>
      <c r="G934" s="19"/>
      <c r="H934" s="19"/>
      <c r="I934" s="19"/>
      <c r="J934" s="19"/>
      <c r="K934" s="19"/>
      <c r="L934" s="48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</row>
    <row r="935">
      <c r="A935" s="48"/>
      <c r="B935" s="48"/>
      <c r="C935" s="19"/>
      <c r="D935" s="19"/>
      <c r="E935" s="19"/>
      <c r="F935" s="19"/>
      <c r="G935" s="19"/>
      <c r="H935" s="19"/>
      <c r="I935" s="19"/>
      <c r="J935" s="19"/>
      <c r="K935" s="19"/>
      <c r="L935" s="48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</row>
    <row r="936">
      <c r="A936" s="48"/>
      <c r="B936" s="48"/>
      <c r="C936" s="19"/>
      <c r="D936" s="19"/>
      <c r="E936" s="19"/>
      <c r="F936" s="19"/>
      <c r="G936" s="19"/>
      <c r="H936" s="19"/>
      <c r="I936" s="19"/>
      <c r="J936" s="19"/>
      <c r="K936" s="19"/>
      <c r="L936" s="48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</row>
    <row r="937">
      <c r="A937" s="48"/>
      <c r="B937" s="48"/>
      <c r="C937" s="19"/>
      <c r="D937" s="19"/>
      <c r="E937" s="19"/>
      <c r="F937" s="19"/>
      <c r="G937" s="19"/>
      <c r="H937" s="19"/>
      <c r="I937" s="19"/>
      <c r="J937" s="19"/>
      <c r="K937" s="19"/>
      <c r="L937" s="48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</row>
    <row r="938">
      <c r="A938" s="48"/>
      <c r="B938" s="48"/>
      <c r="C938" s="19"/>
      <c r="D938" s="19"/>
      <c r="E938" s="19"/>
      <c r="F938" s="19"/>
      <c r="G938" s="19"/>
      <c r="H938" s="19"/>
      <c r="I938" s="19"/>
      <c r="J938" s="19"/>
      <c r="K938" s="19"/>
      <c r="L938" s="48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</row>
    <row r="939">
      <c r="A939" s="48"/>
      <c r="B939" s="48"/>
      <c r="C939" s="19"/>
      <c r="D939" s="19"/>
      <c r="E939" s="19"/>
      <c r="F939" s="19"/>
      <c r="G939" s="19"/>
      <c r="H939" s="19"/>
      <c r="I939" s="19"/>
      <c r="J939" s="19"/>
      <c r="K939" s="19"/>
      <c r="L939" s="48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</row>
    <row r="940">
      <c r="A940" s="48"/>
      <c r="B940" s="48"/>
      <c r="C940" s="19"/>
      <c r="D940" s="19"/>
      <c r="E940" s="19"/>
      <c r="F940" s="19"/>
      <c r="G940" s="19"/>
      <c r="H940" s="19"/>
      <c r="I940" s="19"/>
      <c r="J940" s="19"/>
      <c r="K940" s="19"/>
      <c r="L940" s="48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</row>
    <row r="941">
      <c r="A941" s="48"/>
      <c r="B941" s="48"/>
      <c r="C941" s="19"/>
      <c r="D941" s="19"/>
      <c r="E941" s="19"/>
      <c r="F941" s="19"/>
      <c r="G941" s="19"/>
      <c r="H941" s="19"/>
      <c r="I941" s="19"/>
      <c r="J941" s="19"/>
      <c r="K941" s="19"/>
      <c r="L941" s="48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</row>
    <row r="942">
      <c r="A942" s="48"/>
      <c r="B942" s="48"/>
      <c r="C942" s="19"/>
      <c r="D942" s="19"/>
      <c r="E942" s="19"/>
      <c r="F942" s="19"/>
      <c r="G942" s="19"/>
      <c r="H942" s="19"/>
      <c r="I942" s="19"/>
      <c r="J942" s="19"/>
      <c r="K942" s="19"/>
      <c r="L942" s="48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</row>
    <row r="943">
      <c r="A943" s="48"/>
      <c r="B943" s="48"/>
      <c r="C943" s="19"/>
      <c r="D943" s="19"/>
      <c r="E943" s="19"/>
      <c r="F943" s="19"/>
      <c r="G943" s="19"/>
      <c r="H943" s="19"/>
      <c r="I943" s="19"/>
      <c r="J943" s="19"/>
      <c r="K943" s="19"/>
      <c r="L943" s="48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</row>
    <row r="944">
      <c r="A944" s="48"/>
      <c r="B944" s="48"/>
      <c r="C944" s="19"/>
      <c r="D944" s="19"/>
      <c r="E944" s="19"/>
      <c r="F944" s="19"/>
      <c r="G944" s="19"/>
      <c r="H944" s="19"/>
      <c r="I944" s="19"/>
      <c r="J944" s="19"/>
      <c r="K944" s="19"/>
      <c r="L944" s="48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</row>
    <row r="945">
      <c r="A945" s="48"/>
      <c r="B945" s="48"/>
      <c r="C945" s="19"/>
      <c r="D945" s="19"/>
      <c r="E945" s="19"/>
      <c r="F945" s="19"/>
      <c r="G945" s="19"/>
      <c r="H945" s="19"/>
      <c r="I945" s="19"/>
      <c r="J945" s="19"/>
      <c r="K945" s="19"/>
      <c r="L945" s="48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</row>
    <row r="946">
      <c r="A946" s="48"/>
      <c r="B946" s="48"/>
      <c r="C946" s="19"/>
      <c r="D946" s="19"/>
      <c r="E946" s="19"/>
      <c r="F946" s="19"/>
      <c r="G946" s="19"/>
      <c r="H946" s="19"/>
      <c r="I946" s="19"/>
      <c r="J946" s="19"/>
      <c r="K946" s="19"/>
      <c r="L946" s="48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</row>
    <row r="947">
      <c r="A947" s="48"/>
      <c r="B947" s="48"/>
      <c r="C947" s="19"/>
      <c r="D947" s="19"/>
      <c r="E947" s="19"/>
      <c r="F947" s="19"/>
      <c r="G947" s="19"/>
      <c r="H947" s="19"/>
      <c r="I947" s="19"/>
      <c r="J947" s="19"/>
      <c r="K947" s="19"/>
      <c r="L947" s="48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</row>
    <row r="948">
      <c r="A948" s="48"/>
      <c r="B948" s="48"/>
      <c r="C948" s="19"/>
      <c r="D948" s="19"/>
      <c r="E948" s="19"/>
      <c r="F948" s="19"/>
      <c r="G948" s="19"/>
      <c r="H948" s="19"/>
      <c r="I948" s="19"/>
      <c r="J948" s="19"/>
      <c r="K948" s="19"/>
      <c r="L948" s="48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</row>
    <row r="949">
      <c r="A949" s="48"/>
      <c r="B949" s="48"/>
      <c r="C949" s="19"/>
      <c r="D949" s="19"/>
      <c r="E949" s="19"/>
      <c r="F949" s="19"/>
      <c r="G949" s="19"/>
      <c r="H949" s="19"/>
      <c r="I949" s="19"/>
      <c r="J949" s="19"/>
      <c r="K949" s="19"/>
      <c r="L949" s="48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</row>
    <row r="950">
      <c r="A950" s="48"/>
      <c r="B950" s="48"/>
      <c r="C950" s="19"/>
      <c r="D950" s="19"/>
      <c r="E950" s="19"/>
      <c r="F950" s="19"/>
      <c r="G950" s="19"/>
      <c r="H950" s="19"/>
      <c r="I950" s="19"/>
      <c r="J950" s="19"/>
      <c r="K950" s="19"/>
      <c r="L950" s="48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</row>
    <row r="951">
      <c r="A951" s="48"/>
      <c r="B951" s="48"/>
      <c r="C951" s="19"/>
      <c r="D951" s="19"/>
      <c r="E951" s="19"/>
      <c r="F951" s="19"/>
      <c r="G951" s="19"/>
      <c r="H951" s="19"/>
      <c r="I951" s="19"/>
      <c r="J951" s="19"/>
      <c r="K951" s="19"/>
      <c r="L951" s="48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</row>
    <row r="952">
      <c r="A952" s="48"/>
      <c r="B952" s="48"/>
      <c r="C952" s="19"/>
      <c r="D952" s="19"/>
      <c r="E952" s="19"/>
      <c r="F952" s="19"/>
      <c r="G952" s="19"/>
      <c r="H952" s="19"/>
      <c r="I952" s="19"/>
      <c r="J952" s="19"/>
      <c r="K952" s="19"/>
      <c r="L952" s="48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</row>
    <row r="953">
      <c r="A953" s="48"/>
      <c r="B953" s="48"/>
      <c r="C953" s="19"/>
      <c r="D953" s="19"/>
      <c r="E953" s="19"/>
      <c r="F953" s="19"/>
      <c r="G953" s="19"/>
      <c r="H953" s="19"/>
      <c r="I953" s="19"/>
      <c r="J953" s="19"/>
      <c r="K953" s="19"/>
      <c r="L953" s="48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</row>
    <row r="954">
      <c r="A954" s="48"/>
      <c r="B954" s="48"/>
      <c r="C954" s="19"/>
      <c r="D954" s="19"/>
      <c r="E954" s="19"/>
      <c r="F954" s="19"/>
      <c r="G954" s="19"/>
      <c r="H954" s="19"/>
      <c r="I954" s="19"/>
      <c r="J954" s="19"/>
      <c r="K954" s="19"/>
      <c r="L954" s="48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</row>
    <row r="955">
      <c r="A955" s="48"/>
      <c r="B955" s="48"/>
      <c r="C955" s="19"/>
      <c r="D955" s="19"/>
      <c r="E955" s="19"/>
      <c r="F955" s="19"/>
      <c r="G955" s="19"/>
      <c r="H955" s="19"/>
      <c r="I955" s="19"/>
      <c r="J955" s="19"/>
      <c r="K955" s="19"/>
      <c r="L955" s="48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</row>
    <row r="956">
      <c r="A956" s="48"/>
      <c r="B956" s="48"/>
      <c r="C956" s="19"/>
      <c r="D956" s="19"/>
      <c r="E956" s="19"/>
      <c r="F956" s="19"/>
      <c r="G956" s="19"/>
      <c r="H956" s="19"/>
      <c r="I956" s="19"/>
      <c r="J956" s="19"/>
      <c r="K956" s="19"/>
      <c r="L956" s="48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</row>
    <row r="957">
      <c r="A957" s="48"/>
      <c r="B957" s="48"/>
      <c r="C957" s="19"/>
      <c r="D957" s="19"/>
      <c r="E957" s="19"/>
      <c r="F957" s="19"/>
      <c r="G957" s="19"/>
      <c r="H957" s="19"/>
      <c r="I957" s="19"/>
      <c r="J957" s="19"/>
      <c r="K957" s="19"/>
      <c r="L957" s="48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</row>
    <row r="958">
      <c r="A958" s="48"/>
      <c r="B958" s="48"/>
      <c r="C958" s="19"/>
      <c r="D958" s="19"/>
      <c r="E958" s="19"/>
      <c r="F958" s="19"/>
      <c r="G958" s="19"/>
      <c r="H958" s="19"/>
      <c r="I958" s="19"/>
      <c r="J958" s="19"/>
      <c r="K958" s="19"/>
      <c r="L958" s="48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</row>
    <row r="959">
      <c r="A959" s="48"/>
      <c r="B959" s="48"/>
      <c r="C959" s="19"/>
      <c r="D959" s="19"/>
      <c r="E959" s="19"/>
      <c r="F959" s="19"/>
      <c r="G959" s="19"/>
      <c r="H959" s="19"/>
      <c r="I959" s="19"/>
      <c r="J959" s="19"/>
      <c r="K959" s="19"/>
      <c r="L959" s="48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</row>
    <row r="960">
      <c r="A960" s="48"/>
      <c r="B960" s="48"/>
      <c r="C960" s="19"/>
      <c r="D960" s="19"/>
      <c r="E960" s="19"/>
      <c r="F960" s="19"/>
      <c r="G960" s="19"/>
      <c r="H960" s="19"/>
      <c r="I960" s="19"/>
      <c r="J960" s="19"/>
      <c r="K960" s="19"/>
      <c r="L960" s="48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</row>
    <row r="961">
      <c r="A961" s="48"/>
      <c r="B961" s="48"/>
      <c r="C961" s="19"/>
      <c r="D961" s="19"/>
      <c r="E961" s="19"/>
      <c r="F961" s="19"/>
      <c r="G961" s="19"/>
      <c r="H961" s="19"/>
      <c r="I961" s="19"/>
      <c r="J961" s="19"/>
      <c r="K961" s="19"/>
      <c r="L961" s="48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</row>
    <row r="962">
      <c r="A962" s="48"/>
      <c r="B962" s="48"/>
      <c r="C962" s="19"/>
      <c r="D962" s="19"/>
      <c r="E962" s="19"/>
      <c r="F962" s="19"/>
      <c r="G962" s="19"/>
      <c r="H962" s="19"/>
      <c r="I962" s="19"/>
      <c r="J962" s="19"/>
      <c r="K962" s="19"/>
      <c r="L962" s="48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</row>
    <row r="963">
      <c r="A963" s="48"/>
      <c r="B963" s="48"/>
      <c r="C963" s="19"/>
      <c r="D963" s="19"/>
      <c r="E963" s="19"/>
      <c r="F963" s="19"/>
      <c r="G963" s="19"/>
      <c r="H963" s="19"/>
      <c r="I963" s="19"/>
      <c r="J963" s="19"/>
      <c r="K963" s="19"/>
      <c r="L963" s="48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</row>
    <row r="964">
      <c r="A964" s="48"/>
      <c r="B964" s="48"/>
      <c r="C964" s="19"/>
      <c r="D964" s="19"/>
      <c r="E964" s="19"/>
      <c r="F964" s="19"/>
      <c r="G964" s="19"/>
      <c r="H964" s="19"/>
      <c r="I964" s="19"/>
      <c r="J964" s="19"/>
      <c r="K964" s="19"/>
      <c r="L964" s="48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</row>
    <row r="965">
      <c r="A965" s="48"/>
      <c r="B965" s="48"/>
      <c r="C965" s="19"/>
      <c r="D965" s="19"/>
      <c r="E965" s="19"/>
      <c r="F965" s="19"/>
      <c r="G965" s="19"/>
      <c r="H965" s="19"/>
      <c r="I965" s="19"/>
      <c r="J965" s="19"/>
      <c r="K965" s="19"/>
      <c r="L965" s="48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</row>
    <row r="966">
      <c r="A966" s="48"/>
      <c r="B966" s="48"/>
      <c r="C966" s="19"/>
      <c r="D966" s="19"/>
      <c r="E966" s="19"/>
      <c r="F966" s="19"/>
      <c r="G966" s="19"/>
      <c r="H966" s="19"/>
      <c r="I966" s="19"/>
      <c r="J966" s="19"/>
      <c r="K966" s="19"/>
      <c r="L966" s="48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</row>
    <row r="967">
      <c r="A967" s="48"/>
      <c r="B967" s="48"/>
      <c r="C967" s="19"/>
      <c r="D967" s="19"/>
      <c r="E967" s="19"/>
      <c r="F967" s="19"/>
      <c r="G967" s="19"/>
      <c r="H967" s="19"/>
      <c r="I967" s="19"/>
      <c r="J967" s="19"/>
      <c r="K967" s="19"/>
      <c r="L967" s="48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</row>
    <row r="968">
      <c r="A968" s="48"/>
      <c r="B968" s="48"/>
      <c r="C968" s="19"/>
      <c r="D968" s="19"/>
      <c r="E968" s="19"/>
      <c r="F968" s="19"/>
      <c r="G968" s="19"/>
      <c r="H968" s="19"/>
      <c r="I968" s="19"/>
      <c r="J968" s="19"/>
      <c r="K968" s="19"/>
      <c r="L968" s="48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</row>
    <row r="969">
      <c r="A969" s="48"/>
      <c r="B969" s="48"/>
      <c r="C969" s="19"/>
      <c r="D969" s="19"/>
      <c r="E969" s="19"/>
      <c r="F969" s="19"/>
      <c r="G969" s="19"/>
      <c r="H969" s="19"/>
      <c r="I969" s="19"/>
      <c r="J969" s="19"/>
      <c r="K969" s="19"/>
      <c r="L969" s="48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</row>
    <row r="970">
      <c r="A970" s="48"/>
      <c r="B970" s="48"/>
      <c r="C970" s="19"/>
      <c r="D970" s="19"/>
      <c r="E970" s="19"/>
      <c r="F970" s="19"/>
      <c r="G970" s="19"/>
      <c r="H970" s="19"/>
      <c r="I970" s="19"/>
      <c r="J970" s="19"/>
      <c r="K970" s="19"/>
      <c r="L970" s="48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</row>
    <row r="971">
      <c r="A971" s="48"/>
      <c r="B971" s="48"/>
      <c r="C971" s="19"/>
      <c r="D971" s="19"/>
      <c r="E971" s="19"/>
      <c r="F971" s="19"/>
      <c r="G971" s="19"/>
      <c r="H971" s="19"/>
      <c r="I971" s="19"/>
      <c r="J971" s="19"/>
      <c r="K971" s="19"/>
      <c r="L971" s="48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</row>
    <row r="972">
      <c r="A972" s="48"/>
      <c r="B972" s="48"/>
      <c r="C972" s="19"/>
      <c r="D972" s="19"/>
      <c r="E972" s="19"/>
      <c r="F972" s="19"/>
      <c r="G972" s="19"/>
      <c r="H972" s="19"/>
      <c r="I972" s="19"/>
      <c r="J972" s="19"/>
      <c r="K972" s="19"/>
      <c r="L972" s="48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</row>
    <row r="973">
      <c r="A973" s="48"/>
      <c r="B973" s="48"/>
      <c r="C973" s="19"/>
      <c r="D973" s="19"/>
      <c r="E973" s="19"/>
      <c r="F973" s="19"/>
      <c r="G973" s="19"/>
      <c r="H973" s="19"/>
      <c r="I973" s="19"/>
      <c r="J973" s="19"/>
      <c r="K973" s="19"/>
      <c r="L973" s="48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</row>
    <row r="974">
      <c r="A974" s="48"/>
      <c r="B974" s="48"/>
      <c r="C974" s="19"/>
      <c r="D974" s="19"/>
      <c r="E974" s="19"/>
      <c r="F974" s="19"/>
      <c r="G974" s="19"/>
      <c r="H974" s="19"/>
      <c r="I974" s="19"/>
      <c r="J974" s="19"/>
      <c r="K974" s="19"/>
      <c r="L974" s="48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</row>
    <row r="975">
      <c r="A975" s="48"/>
      <c r="B975" s="48"/>
      <c r="C975" s="19"/>
      <c r="D975" s="19"/>
      <c r="E975" s="19"/>
      <c r="F975" s="19"/>
      <c r="G975" s="19"/>
      <c r="H975" s="19"/>
      <c r="I975" s="19"/>
      <c r="J975" s="19"/>
      <c r="K975" s="19"/>
      <c r="L975" s="48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</row>
    <row r="976">
      <c r="A976" s="48"/>
      <c r="B976" s="48"/>
      <c r="C976" s="19"/>
      <c r="D976" s="19"/>
      <c r="E976" s="19"/>
      <c r="F976" s="19"/>
      <c r="G976" s="19"/>
      <c r="H976" s="19"/>
      <c r="I976" s="19"/>
      <c r="J976" s="19"/>
      <c r="K976" s="19"/>
      <c r="L976" s="48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</row>
    <row r="977">
      <c r="A977" s="48"/>
      <c r="B977" s="48"/>
      <c r="C977" s="19"/>
      <c r="D977" s="19"/>
      <c r="E977" s="19"/>
      <c r="F977" s="19"/>
      <c r="G977" s="19"/>
      <c r="H977" s="19"/>
      <c r="I977" s="19"/>
      <c r="J977" s="19"/>
      <c r="K977" s="19"/>
      <c r="L977" s="48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</row>
    <row r="978">
      <c r="A978" s="48"/>
      <c r="B978" s="48"/>
      <c r="C978" s="19"/>
      <c r="D978" s="19"/>
      <c r="E978" s="19"/>
      <c r="F978" s="19"/>
      <c r="G978" s="19"/>
      <c r="H978" s="19"/>
      <c r="I978" s="19"/>
      <c r="J978" s="19"/>
      <c r="K978" s="19"/>
      <c r="L978" s="48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</row>
    <row r="979">
      <c r="A979" s="48"/>
      <c r="B979" s="48"/>
      <c r="C979" s="19"/>
      <c r="D979" s="19"/>
      <c r="E979" s="19"/>
      <c r="F979" s="19"/>
      <c r="G979" s="19"/>
      <c r="H979" s="19"/>
      <c r="I979" s="19"/>
      <c r="J979" s="19"/>
      <c r="K979" s="19"/>
      <c r="L979" s="48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</row>
    <row r="980">
      <c r="A980" s="48"/>
      <c r="B980" s="48"/>
      <c r="C980" s="19"/>
      <c r="D980" s="19"/>
      <c r="E980" s="19"/>
      <c r="F980" s="19"/>
      <c r="G980" s="19"/>
      <c r="H980" s="19"/>
      <c r="I980" s="19"/>
      <c r="J980" s="19"/>
      <c r="K980" s="19"/>
      <c r="L980" s="48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</row>
    <row r="981">
      <c r="A981" s="48"/>
      <c r="B981" s="48"/>
      <c r="C981" s="19"/>
      <c r="D981" s="19"/>
      <c r="E981" s="19"/>
      <c r="F981" s="19"/>
      <c r="G981" s="19"/>
      <c r="H981" s="19"/>
      <c r="I981" s="19"/>
      <c r="J981" s="19"/>
      <c r="K981" s="19"/>
      <c r="L981" s="48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</row>
    <row r="982">
      <c r="A982" s="48"/>
      <c r="B982" s="48"/>
      <c r="C982" s="19"/>
      <c r="D982" s="19"/>
      <c r="E982" s="19"/>
      <c r="F982" s="19"/>
      <c r="G982" s="19"/>
      <c r="H982" s="19"/>
      <c r="I982" s="19"/>
      <c r="J982" s="19"/>
      <c r="K982" s="19"/>
      <c r="L982" s="48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</row>
    <row r="983">
      <c r="A983" s="48"/>
      <c r="B983" s="48"/>
      <c r="C983" s="19"/>
      <c r="D983" s="19"/>
      <c r="E983" s="19"/>
      <c r="F983" s="19"/>
      <c r="G983" s="19"/>
      <c r="H983" s="19"/>
      <c r="I983" s="19"/>
      <c r="J983" s="19"/>
      <c r="K983" s="19"/>
      <c r="L983" s="48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</row>
    <row r="984">
      <c r="A984" s="48"/>
      <c r="B984" s="48"/>
      <c r="C984" s="19"/>
      <c r="D984" s="19"/>
      <c r="E984" s="19"/>
      <c r="F984" s="19"/>
      <c r="G984" s="19"/>
      <c r="H984" s="19"/>
      <c r="I984" s="19"/>
      <c r="J984" s="19"/>
      <c r="K984" s="19"/>
      <c r="L984" s="48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</row>
    <row r="985">
      <c r="A985" s="48"/>
      <c r="B985" s="48"/>
      <c r="C985" s="19"/>
      <c r="D985" s="19"/>
      <c r="E985" s="19"/>
      <c r="F985" s="19"/>
      <c r="G985" s="19"/>
      <c r="H985" s="19"/>
      <c r="I985" s="19"/>
      <c r="J985" s="19"/>
      <c r="K985" s="19"/>
      <c r="L985" s="48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</row>
    <row r="986">
      <c r="A986" s="48"/>
      <c r="B986" s="48"/>
      <c r="C986" s="19"/>
      <c r="D986" s="19"/>
      <c r="E986" s="19"/>
      <c r="F986" s="19"/>
      <c r="G986" s="19"/>
      <c r="H986" s="19"/>
      <c r="I986" s="19"/>
      <c r="J986" s="19"/>
      <c r="K986" s="19"/>
      <c r="L986" s="48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</row>
    <row r="987">
      <c r="A987" s="48"/>
      <c r="B987" s="48"/>
      <c r="C987" s="19"/>
      <c r="D987" s="19"/>
      <c r="E987" s="19"/>
      <c r="F987" s="19"/>
      <c r="G987" s="19"/>
      <c r="H987" s="19"/>
      <c r="I987" s="19"/>
      <c r="J987" s="19"/>
      <c r="K987" s="19"/>
      <c r="L987" s="48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</row>
    <row r="988">
      <c r="A988" s="48"/>
      <c r="B988" s="48"/>
      <c r="C988" s="19"/>
      <c r="D988" s="19"/>
      <c r="E988" s="19"/>
      <c r="F988" s="19"/>
      <c r="G988" s="19"/>
      <c r="H988" s="19"/>
      <c r="I988" s="19"/>
      <c r="J988" s="19"/>
      <c r="K988" s="19"/>
      <c r="L988" s="48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</row>
    <row r="989">
      <c r="A989" s="48"/>
      <c r="B989" s="48"/>
      <c r="C989" s="19"/>
      <c r="D989" s="19"/>
      <c r="E989" s="19"/>
      <c r="F989" s="19"/>
      <c r="G989" s="19"/>
      <c r="H989" s="19"/>
      <c r="I989" s="19"/>
      <c r="J989" s="19"/>
      <c r="K989" s="19"/>
      <c r="L989" s="48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</row>
    <row r="990">
      <c r="A990" s="48"/>
      <c r="B990" s="48"/>
      <c r="C990" s="19"/>
      <c r="D990" s="19"/>
      <c r="E990" s="19"/>
      <c r="F990" s="19"/>
      <c r="G990" s="19"/>
      <c r="H990" s="19"/>
      <c r="I990" s="19"/>
      <c r="J990" s="19"/>
      <c r="K990" s="19"/>
      <c r="L990" s="48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</row>
    <row r="991">
      <c r="A991" s="48"/>
      <c r="B991" s="48"/>
      <c r="C991" s="19"/>
      <c r="D991" s="19"/>
      <c r="E991" s="19"/>
      <c r="F991" s="19"/>
      <c r="G991" s="19"/>
      <c r="H991" s="19"/>
      <c r="I991" s="19"/>
      <c r="J991" s="19"/>
      <c r="K991" s="19"/>
      <c r="L991" s="48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</row>
    <row r="992">
      <c r="A992" s="48"/>
      <c r="B992" s="48"/>
      <c r="C992" s="19"/>
      <c r="D992" s="19"/>
      <c r="E992" s="19"/>
      <c r="F992" s="19"/>
      <c r="G992" s="19"/>
      <c r="H992" s="19"/>
      <c r="I992" s="19"/>
      <c r="J992" s="19"/>
      <c r="K992" s="19"/>
      <c r="L992" s="48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</row>
    <row r="993">
      <c r="A993" s="48"/>
      <c r="B993" s="48"/>
      <c r="C993" s="19"/>
      <c r="D993" s="19"/>
      <c r="E993" s="19"/>
      <c r="F993" s="19"/>
      <c r="G993" s="19"/>
      <c r="H993" s="19"/>
      <c r="I993" s="19"/>
      <c r="J993" s="19"/>
      <c r="K993" s="19"/>
      <c r="L993" s="48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</row>
    <row r="994">
      <c r="A994" s="48"/>
      <c r="B994" s="48"/>
      <c r="C994" s="19"/>
      <c r="D994" s="19"/>
      <c r="E994" s="19"/>
      <c r="F994" s="19"/>
      <c r="G994" s="19"/>
      <c r="H994" s="19"/>
      <c r="I994" s="19"/>
      <c r="J994" s="19"/>
      <c r="K994" s="19"/>
      <c r="L994" s="48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</row>
    <row r="995">
      <c r="A995" s="48"/>
      <c r="B995" s="48"/>
      <c r="C995" s="19"/>
      <c r="D995" s="19"/>
      <c r="E995" s="19"/>
      <c r="F995" s="19"/>
      <c r="G995" s="19"/>
      <c r="H995" s="19"/>
      <c r="I995" s="19"/>
      <c r="J995" s="19"/>
      <c r="K995" s="19"/>
      <c r="L995" s="48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</row>
    <row r="996">
      <c r="A996" s="48"/>
      <c r="B996" s="48"/>
      <c r="C996" s="19"/>
      <c r="D996" s="19"/>
      <c r="E996" s="19"/>
      <c r="F996" s="19"/>
      <c r="G996" s="19"/>
      <c r="H996" s="19"/>
      <c r="I996" s="19"/>
      <c r="J996" s="19"/>
      <c r="K996" s="19"/>
      <c r="L996" s="48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</row>
    <row r="997">
      <c r="A997" s="48"/>
      <c r="B997" s="48"/>
      <c r="C997" s="19"/>
      <c r="D997" s="19"/>
      <c r="E997" s="19"/>
      <c r="F997" s="19"/>
      <c r="G997" s="19"/>
      <c r="H997" s="19"/>
      <c r="I997" s="19"/>
      <c r="J997" s="19"/>
      <c r="K997" s="19"/>
      <c r="L997" s="48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</row>
    <row r="998">
      <c r="A998" s="48"/>
      <c r="B998" s="48"/>
      <c r="C998" s="19"/>
      <c r="D998" s="19"/>
      <c r="E998" s="19"/>
      <c r="F998" s="19"/>
      <c r="G998" s="19"/>
      <c r="H998" s="19"/>
      <c r="I998" s="19"/>
      <c r="J998" s="19"/>
      <c r="K998" s="19"/>
      <c r="L998" s="48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</row>
    <row r="999">
      <c r="A999" s="48"/>
      <c r="B999" s="48"/>
      <c r="C999" s="19"/>
      <c r="D999" s="19"/>
      <c r="E999" s="19"/>
      <c r="F999" s="19"/>
      <c r="G999" s="19"/>
      <c r="H999" s="19"/>
      <c r="I999" s="19"/>
      <c r="J999" s="19"/>
      <c r="K999" s="19"/>
      <c r="L999" s="48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</row>
    <row r="1000">
      <c r="A1000" s="48"/>
      <c r="B1000" s="48"/>
      <c r="C1000" s="19"/>
      <c r="D1000" s="19"/>
      <c r="E1000" s="19"/>
      <c r="F1000" s="19"/>
      <c r="G1000" s="19"/>
      <c r="H1000" s="19"/>
      <c r="I1000" s="19"/>
      <c r="J1000" s="19"/>
      <c r="K1000" s="19"/>
      <c r="L1000" s="48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</row>
    <row r="1001">
      <c r="A1001" s="48"/>
      <c r="B1001" s="48"/>
      <c r="C1001" s="19"/>
      <c r="D1001" s="19"/>
      <c r="E1001" s="19"/>
      <c r="F1001" s="19"/>
      <c r="G1001" s="19"/>
      <c r="H1001" s="19"/>
      <c r="I1001" s="19"/>
      <c r="J1001" s="19"/>
      <c r="K1001" s="19"/>
      <c r="L1001" s="48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</row>
    <row r="1002">
      <c r="A1002" s="48"/>
      <c r="B1002" s="48"/>
      <c r="C1002" s="19"/>
      <c r="D1002" s="19"/>
      <c r="E1002" s="19"/>
      <c r="F1002" s="19"/>
      <c r="G1002" s="19"/>
      <c r="H1002" s="19"/>
      <c r="I1002" s="19"/>
      <c r="J1002" s="19"/>
      <c r="K1002" s="19"/>
      <c r="L1002" s="48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</row>
    <row r="1003">
      <c r="A1003" s="48"/>
      <c r="B1003" s="48"/>
      <c r="C1003" s="19"/>
      <c r="D1003" s="19"/>
      <c r="E1003" s="19"/>
      <c r="F1003" s="19"/>
      <c r="G1003" s="19"/>
      <c r="H1003" s="19"/>
      <c r="I1003" s="19"/>
      <c r="J1003" s="19"/>
      <c r="K1003" s="19"/>
      <c r="L1003" s="48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</row>
    <row r="1004">
      <c r="A1004" s="48"/>
      <c r="B1004" s="48"/>
      <c r="C1004" s="19"/>
      <c r="D1004" s="19"/>
      <c r="E1004" s="19"/>
      <c r="F1004" s="19"/>
      <c r="G1004" s="19"/>
      <c r="H1004" s="19"/>
      <c r="I1004" s="19"/>
      <c r="J1004" s="19"/>
      <c r="K1004" s="19"/>
      <c r="L1004" s="48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</row>
    <row r="1005">
      <c r="A1005" s="48"/>
      <c r="B1005" s="48"/>
      <c r="C1005" s="19"/>
      <c r="D1005" s="19"/>
      <c r="E1005" s="19"/>
      <c r="F1005" s="19"/>
      <c r="G1005" s="19"/>
      <c r="H1005" s="19"/>
      <c r="I1005" s="19"/>
      <c r="J1005" s="19"/>
      <c r="K1005" s="19"/>
      <c r="L1005" s="48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</row>
    <row r="1006">
      <c r="A1006" s="48"/>
      <c r="B1006" s="48"/>
      <c r="C1006" s="19"/>
      <c r="D1006" s="19"/>
      <c r="E1006" s="19"/>
      <c r="F1006" s="19"/>
      <c r="G1006" s="19"/>
      <c r="H1006" s="19"/>
      <c r="I1006" s="19"/>
      <c r="J1006" s="19"/>
      <c r="K1006" s="19"/>
      <c r="L1006" s="48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</row>
  </sheetData>
  <autoFilter ref="$A$2:$AG$557"/>
  <mergeCells count="1">
    <mergeCell ref="AE1:A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3" width="12.63"/>
    <col hidden="1" min="7" max="8" width="12.63"/>
    <col customWidth="1" min="10" max="10" width="11.25"/>
    <col customWidth="1" min="11" max="11" width="18.13"/>
    <col customWidth="1" min="13" max="13" width="14.75"/>
  </cols>
  <sheetData>
    <row r="1">
      <c r="A1" s="63" t="s">
        <v>292</v>
      </c>
      <c r="B1" s="5"/>
      <c r="C1" s="64">
        <v>46174.0</v>
      </c>
      <c r="D1" s="65"/>
      <c r="E1" s="65"/>
      <c r="F1" s="65"/>
      <c r="G1" s="65"/>
      <c r="H1" s="65"/>
      <c r="I1" s="65"/>
      <c r="J1" s="66"/>
      <c r="K1" s="66"/>
      <c r="L1" s="66"/>
      <c r="M1" s="67"/>
    </row>
    <row r="2">
      <c r="A2" s="63" t="s">
        <v>293</v>
      </c>
      <c r="B2" s="5"/>
      <c r="C2" s="64">
        <v>46174.0</v>
      </c>
      <c r="D2" s="65"/>
      <c r="E2" s="65"/>
      <c r="F2" s="65"/>
      <c r="G2" s="65"/>
      <c r="H2" s="65"/>
      <c r="I2" s="65"/>
      <c r="J2" s="66"/>
      <c r="K2" s="68" t="s">
        <v>2437</v>
      </c>
      <c r="L2" s="69">
        <v>46267.0</v>
      </c>
      <c r="M2" s="67"/>
    </row>
    <row r="3">
      <c r="A3" s="70" t="s">
        <v>294</v>
      </c>
      <c r="B3" s="4"/>
      <c r="C3" s="4"/>
      <c r="D3" s="4"/>
      <c r="E3" s="4"/>
      <c r="F3" s="4"/>
      <c r="G3" s="4"/>
      <c r="H3" s="5"/>
      <c r="I3" s="71"/>
      <c r="J3" s="66"/>
      <c r="K3" s="66"/>
      <c r="L3" s="66"/>
      <c r="M3" s="67"/>
    </row>
    <row r="4">
      <c r="A4" s="72" t="s">
        <v>298</v>
      </c>
      <c r="B4" s="73" t="s">
        <v>4</v>
      </c>
      <c r="C4" s="73" t="s">
        <v>6</v>
      </c>
      <c r="D4" s="73" t="s">
        <v>299</v>
      </c>
      <c r="E4" s="73" t="s">
        <v>300</v>
      </c>
      <c r="F4" s="73" t="s">
        <v>2438</v>
      </c>
      <c r="G4" s="74" t="s">
        <v>302</v>
      </c>
      <c r="H4" s="73" t="s">
        <v>303</v>
      </c>
      <c r="I4" s="73" t="s">
        <v>2439</v>
      </c>
      <c r="J4" s="75" t="s">
        <v>2440</v>
      </c>
      <c r="K4" s="75" t="s">
        <v>309</v>
      </c>
      <c r="L4" s="75" t="s">
        <v>310</v>
      </c>
      <c r="M4" s="75" t="s">
        <v>312</v>
      </c>
    </row>
    <row r="5">
      <c r="A5" s="76" t="s">
        <v>329</v>
      </c>
      <c r="B5" s="77" t="s">
        <v>1317</v>
      </c>
      <c r="C5" s="78">
        <v>22373.0</v>
      </c>
      <c r="D5" s="77" t="s">
        <v>1319</v>
      </c>
      <c r="E5" s="78">
        <v>3859.0</v>
      </c>
      <c r="F5" s="79">
        <v>45698.0</v>
      </c>
      <c r="G5" s="77" t="s">
        <v>12</v>
      </c>
      <c r="H5" s="77" t="s">
        <v>1315</v>
      </c>
      <c r="I5" s="80">
        <v>476.0</v>
      </c>
      <c r="J5" s="81" t="s">
        <v>2441</v>
      </c>
      <c r="K5" s="82" t="s">
        <v>2442</v>
      </c>
      <c r="L5" s="83"/>
      <c r="M5" s="84"/>
    </row>
    <row r="6">
      <c r="A6" s="76" t="s">
        <v>335</v>
      </c>
      <c r="B6" s="78">
        <v>3034792.0</v>
      </c>
      <c r="C6" s="85">
        <v>198.0</v>
      </c>
      <c r="D6" s="77" t="s">
        <v>1334</v>
      </c>
      <c r="E6" s="86">
        <v>3342.0</v>
      </c>
      <c r="F6" s="79">
        <v>45714.0</v>
      </c>
      <c r="G6" s="77" t="s">
        <v>12</v>
      </c>
      <c r="H6" s="77" t="s">
        <v>1315</v>
      </c>
      <c r="I6" s="80">
        <v>460.0</v>
      </c>
      <c r="J6" s="79">
        <v>45993.0</v>
      </c>
      <c r="K6" s="82" t="s">
        <v>17</v>
      </c>
      <c r="L6" s="81" t="s">
        <v>2443</v>
      </c>
      <c r="M6" s="84"/>
    </row>
    <row r="7">
      <c r="A7" s="76" t="s">
        <v>331</v>
      </c>
      <c r="B7" s="77" t="s">
        <v>1324</v>
      </c>
      <c r="C7" s="78">
        <v>78286.0</v>
      </c>
      <c r="D7" s="77" t="s">
        <v>1326</v>
      </c>
      <c r="E7" s="77" t="s">
        <v>1327</v>
      </c>
      <c r="F7" s="79">
        <v>45714.0</v>
      </c>
      <c r="G7" s="77" t="s">
        <v>14</v>
      </c>
      <c r="H7" s="77" t="s">
        <v>1315</v>
      </c>
      <c r="I7" s="80">
        <v>460.0</v>
      </c>
      <c r="J7" s="81" t="s">
        <v>2444</v>
      </c>
      <c r="K7" s="82" t="s">
        <v>2445</v>
      </c>
      <c r="L7" s="83"/>
      <c r="M7" s="84"/>
    </row>
    <row r="8">
      <c r="A8" s="76" t="s">
        <v>333</v>
      </c>
      <c r="B8" s="77" t="s">
        <v>1324</v>
      </c>
      <c r="C8" s="78">
        <v>78286.0</v>
      </c>
      <c r="D8" s="77" t="s">
        <v>1326</v>
      </c>
      <c r="E8" s="77" t="s">
        <v>1330</v>
      </c>
      <c r="F8" s="79">
        <v>45714.0</v>
      </c>
      <c r="G8" s="77" t="s">
        <v>16</v>
      </c>
      <c r="H8" s="77" t="s">
        <v>1315</v>
      </c>
      <c r="I8" s="80">
        <v>460.0</v>
      </c>
      <c r="J8" s="81" t="s">
        <v>2444</v>
      </c>
      <c r="K8" s="82" t="s">
        <v>2445</v>
      </c>
      <c r="L8" s="83"/>
      <c r="M8" s="84"/>
    </row>
    <row r="9">
      <c r="A9" s="76" t="s">
        <v>412</v>
      </c>
      <c r="B9" s="77" t="s">
        <v>2010</v>
      </c>
      <c r="C9" s="78">
        <v>74025.0</v>
      </c>
      <c r="D9" s="77" t="s">
        <v>2012</v>
      </c>
      <c r="E9" s="78">
        <v>1.0603745E7</v>
      </c>
      <c r="F9" s="79">
        <v>45736.0</v>
      </c>
      <c r="G9" s="77" t="s">
        <v>17</v>
      </c>
      <c r="H9" s="77" t="s">
        <v>1315</v>
      </c>
      <c r="I9" s="80">
        <v>438.0</v>
      </c>
      <c r="J9" s="81" t="s">
        <v>2444</v>
      </c>
      <c r="K9" s="82" t="s">
        <v>2446</v>
      </c>
      <c r="L9" s="83"/>
      <c r="M9" s="84"/>
    </row>
    <row r="10">
      <c r="A10" s="76" t="s">
        <v>404</v>
      </c>
      <c r="B10" s="77" t="s">
        <v>1404</v>
      </c>
      <c r="C10" s="77" t="s">
        <v>48</v>
      </c>
      <c r="D10" s="77" t="s">
        <v>1405</v>
      </c>
      <c r="E10" s="87"/>
      <c r="F10" s="79">
        <v>45736.0</v>
      </c>
      <c r="G10" s="77" t="s">
        <v>17</v>
      </c>
      <c r="H10" s="77" t="s">
        <v>1315</v>
      </c>
      <c r="I10" s="80">
        <v>438.0</v>
      </c>
      <c r="J10" s="81" t="s">
        <v>2441</v>
      </c>
      <c r="K10" s="82" t="s">
        <v>2447</v>
      </c>
      <c r="L10" s="83"/>
      <c r="M10" s="84"/>
    </row>
    <row r="11">
      <c r="A11" s="76" t="s">
        <v>343</v>
      </c>
      <c r="B11" s="77" t="s">
        <v>167</v>
      </c>
      <c r="C11" s="78">
        <v>71379.0</v>
      </c>
      <c r="D11" s="77" t="s">
        <v>168</v>
      </c>
      <c r="E11" s="78">
        <v>2410.0</v>
      </c>
      <c r="F11" s="79">
        <v>45736.0</v>
      </c>
      <c r="G11" s="77" t="s">
        <v>15</v>
      </c>
      <c r="H11" s="77" t="s">
        <v>1315</v>
      </c>
      <c r="I11" s="80">
        <v>438.0</v>
      </c>
      <c r="J11" s="79">
        <v>46098.0</v>
      </c>
      <c r="K11" s="82" t="s">
        <v>14</v>
      </c>
      <c r="L11" s="81" t="s">
        <v>2448</v>
      </c>
      <c r="M11" s="81">
        <v>99511.0</v>
      </c>
    </row>
    <row r="12">
      <c r="A12" s="76" t="s">
        <v>345</v>
      </c>
      <c r="B12" s="77" t="s">
        <v>167</v>
      </c>
      <c r="C12" s="78">
        <v>71379.0</v>
      </c>
      <c r="D12" s="77" t="s">
        <v>168</v>
      </c>
      <c r="E12" s="77" t="s">
        <v>1350</v>
      </c>
      <c r="F12" s="79">
        <v>45736.0</v>
      </c>
      <c r="G12" s="77" t="s">
        <v>17</v>
      </c>
      <c r="H12" s="77" t="s">
        <v>1315</v>
      </c>
      <c r="I12" s="80">
        <v>438.0</v>
      </c>
      <c r="J12" s="79">
        <v>46114.0</v>
      </c>
      <c r="K12" s="82" t="s">
        <v>14</v>
      </c>
      <c r="L12" s="81" t="s">
        <v>2449</v>
      </c>
      <c r="M12" s="81" t="s">
        <v>2450</v>
      </c>
    </row>
    <row r="13">
      <c r="A13" s="76" t="s">
        <v>372</v>
      </c>
      <c r="B13" s="77" t="s">
        <v>1317</v>
      </c>
      <c r="C13" s="78">
        <v>22373.0</v>
      </c>
      <c r="D13" s="77" t="s">
        <v>1319</v>
      </c>
      <c r="E13" s="78">
        <v>3861.0</v>
      </c>
      <c r="F13" s="79">
        <v>45736.0</v>
      </c>
      <c r="G13" s="77" t="s">
        <v>21</v>
      </c>
      <c r="H13" s="77" t="s">
        <v>1315</v>
      </c>
      <c r="I13" s="80">
        <v>438.0</v>
      </c>
      <c r="J13" s="79">
        <v>45965.0</v>
      </c>
      <c r="K13" s="82" t="s">
        <v>14</v>
      </c>
      <c r="L13" s="81" t="s">
        <v>2451</v>
      </c>
      <c r="M13" s="84"/>
    </row>
    <row r="14">
      <c r="A14" s="76" t="s">
        <v>386</v>
      </c>
      <c r="B14" s="77" t="s">
        <v>1394</v>
      </c>
      <c r="C14" s="78">
        <v>71513.0</v>
      </c>
      <c r="D14" s="77" t="s">
        <v>1396</v>
      </c>
      <c r="E14" s="78">
        <v>42.0</v>
      </c>
      <c r="F14" s="79">
        <v>45736.0</v>
      </c>
      <c r="G14" s="77" t="s">
        <v>24</v>
      </c>
      <c r="H14" s="77" t="s">
        <v>1315</v>
      </c>
      <c r="I14" s="80">
        <v>438.0</v>
      </c>
      <c r="J14" s="79">
        <v>45945.0</v>
      </c>
      <c r="K14" s="82" t="s">
        <v>15</v>
      </c>
      <c r="L14" s="81" t="s">
        <v>2452</v>
      </c>
      <c r="M14" s="84"/>
    </row>
    <row r="15">
      <c r="A15" s="76" t="s">
        <v>349</v>
      </c>
      <c r="B15" s="77" t="s">
        <v>1361</v>
      </c>
      <c r="C15" s="77" t="s">
        <v>48</v>
      </c>
      <c r="D15" s="77" t="s">
        <v>1362</v>
      </c>
      <c r="E15" s="78">
        <v>1569.0</v>
      </c>
      <c r="F15" s="79">
        <v>45736.0</v>
      </c>
      <c r="G15" s="77" t="s">
        <v>1364</v>
      </c>
      <c r="H15" s="77" t="s">
        <v>1315</v>
      </c>
      <c r="I15" s="80">
        <v>438.0</v>
      </c>
      <c r="J15" s="79">
        <v>45860.0</v>
      </c>
      <c r="K15" s="82" t="s">
        <v>16</v>
      </c>
      <c r="L15" s="81" t="s">
        <v>2453</v>
      </c>
      <c r="M15" s="84"/>
    </row>
    <row r="16">
      <c r="A16" s="76" t="s">
        <v>339</v>
      </c>
      <c r="B16" s="77" t="s">
        <v>109</v>
      </c>
      <c r="C16" s="78">
        <v>83326.0</v>
      </c>
      <c r="D16" s="77" t="s">
        <v>110</v>
      </c>
      <c r="E16" s="78">
        <v>1920.0</v>
      </c>
      <c r="F16" s="79">
        <v>45736.0</v>
      </c>
      <c r="G16" s="77" t="s">
        <v>1352</v>
      </c>
      <c r="H16" s="77" t="s">
        <v>1315</v>
      </c>
      <c r="I16" s="80">
        <v>438.0</v>
      </c>
      <c r="J16" s="79">
        <v>45848.0</v>
      </c>
      <c r="K16" s="82" t="s">
        <v>17</v>
      </c>
      <c r="L16" s="81" t="s">
        <v>2454</v>
      </c>
      <c r="M16" s="81" t="s">
        <v>2455</v>
      </c>
    </row>
    <row r="17">
      <c r="A17" s="76" t="s">
        <v>347</v>
      </c>
      <c r="B17" s="77" t="s">
        <v>109</v>
      </c>
      <c r="C17" s="78">
        <v>83326.0</v>
      </c>
      <c r="D17" s="77" t="s">
        <v>110</v>
      </c>
      <c r="E17" s="78">
        <v>2697.0</v>
      </c>
      <c r="F17" s="79">
        <v>45736.0</v>
      </c>
      <c r="G17" s="77" t="s">
        <v>17</v>
      </c>
      <c r="H17" s="77" t="s">
        <v>1315</v>
      </c>
      <c r="I17" s="80">
        <v>438.0</v>
      </c>
      <c r="J17" s="79">
        <v>45848.0</v>
      </c>
      <c r="K17" s="82" t="s">
        <v>17</v>
      </c>
      <c r="L17" s="81" t="s">
        <v>2454</v>
      </c>
      <c r="M17" s="81" t="s">
        <v>2456</v>
      </c>
    </row>
    <row r="18">
      <c r="A18" s="76" t="s">
        <v>365</v>
      </c>
      <c r="B18" s="77" t="s">
        <v>129</v>
      </c>
      <c r="C18" s="78">
        <v>22373.0</v>
      </c>
      <c r="D18" s="77" t="s">
        <v>130</v>
      </c>
      <c r="E18" s="77" t="s">
        <v>1384</v>
      </c>
      <c r="F18" s="79">
        <v>45736.0</v>
      </c>
      <c r="G18" s="77" t="s">
        <v>12</v>
      </c>
      <c r="H18" s="77" t="s">
        <v>1315</v>
      </c>
      <c r="I18" s="80">
        <v>438.0</v>
      </c>
      <c r="J18" s="79">
        <v>46135.0</v>
      </c>
      <c r="K18" s="82" t="s">
        <v>17</v>
      </c>
      <c r="L18" s="81" t="s">
        <v>2457</v>
      </c>
      <c r="M18" s="84"/>
    </row>
    <row r="19">
      <c r="A19" s="76" t="s">
        <v>378</v>
      </c>
      <c r="B19" s="77" t="s">
        <v>1387</v>
      </c>
      <c r="C19" s="78">
        <v>22373.0</v>
      </c>
      <c r="D19" s="77" t="s">
        <v>1388</v>
      </c>
      <c r="E19" s="77" t="s">
        <v>1389</v>
      </c>
      <c r="F19" s="79">
        <v>45736.0</v>
      </c>
      <c r="G19" s="77" t="s">
        <v>12</v>
      </c>
      <c r="H19" s="77" t="s">
        <v>1315</v>
      </c>
      <c r="I19" s="80">
        <v>438.0</v>
      </c>
      <c r="J19" s="79">
        <v>45891.0</v>
      </c>
      <c r="K19" s="82" t="s">
        <v>17</v>
      </c>
      <c r="L19" s="81" t="s">
        <v>2458</v>
      </c>
      <c r="M19" s="84"/>
    </row>
    <row r="20">
      <c r="A20" s="76" t="s">
        <v>357</v>
      </c>
      <c r="B20" s="77" t="s">
        <v>107</v>
      </c>
      <c r="C20" s="77" t="s">
        <v>48</v>
      </c>
      <c r="D20" s="77" t="s">
        <v>1367</v>
      </c>
      <c r="E20" s="77" t="s">
        <v>1368</v>
      </c>
      <c r="F20" s="79">
        <v>45736.0</v>
      </c>
      <c r="G20" s="77" t="s">
        <v>12</v>
      </c>
      <c r="H20" s="77" t="s">
        <v>1315</v>
      </c>
      <c r="I20" s="80">
        <v>438.0</v>
      </c>
      <c r="J20" s="81" t="s">
        <v>2441</v>
      </c>
      <c r="K20" s="82" t="s">
        <v>2442</v>
      </c>
      <c r="L20" s="83"/>
      <c r="M20" s="84"/>
    </row>
    <row r="21">
      <c r="A21" s="76" t="s">
        <v>390</v>
      </c>
      <c r="B21" s="77" t="s">
        <v>1398</v>
      </c>
      <c r="C21" s="78">
        <v>33269.0</v>
      </c>
      <c r="D21" s="77" t="s">
        <v>1400</v>
      </c>
      <c r="E21" s="77" t="s">
        <v>1401</v>
      </c>
      <c r="F21" s="79">
        <v>45736.0</v>
      </c>
      <c r="G21" s="77" t="s">
        <v>19</v>
      </c>
      <c r="H21" s="77" t="s">
        <v>1315</v>
      </c>
      <c r="I21" s="80">
        <v>438.0</v>
      </c>
      <c r="J21" s="81" t="s">
        <v>2441</v>
      </c>
      <c r="K21" s="82" t="s">
        <v>2442</v>
      </c>
      <c r="L21" s="83"/>
      <c r="M21" s="84"/>
    </row>
    <row r="22">
      <c r="A22" s="76" t="s">
        <v>337</v>
      </c>
      <c r="B22" s="77" t="s">
        <v>1337</v>
      </c>
      <c r="C22" s="78">
        <v>60253.0</v>
      </c>
      <c r="D22" s="77" t="s">
        <v>1339</v>
      </c>
      <c r="E22" s="85">
        <v>9450.0</v>
      </c>
      <c r="F22" s="79">
        <v>45736.0</v>
      </c>
      <c r="G22" s="77" t="s">
        <v>16</v>
      </c>
      <c r="H22" s="77" t="s">
        <v>1315</v>
      </c>
      <c r="I22" s="80">
        <v>438.0</v>
      </c>
      <c r="J22" s="79">
        <v>45889.0</v>
      </c>
      <c r="K22" s="82" t="s">
        <v>2459</v>
      </c>
      <c r="L22" s="81" t="s">
        <v>2460</v>
      </c>
      <c r="M22" s="84"/>
    </row>
    <row r="23">
      <c r="A23" s="76" t="s">
        <v>353</v>
      </c>
      <c r="B23" s="77" t="s">
        <v>1355</v>
      </c>
      <c r="C23" s="78">
        <v>13068.0</v>
      </c>
      <c r="D23" s="77" t="s">
        <v>1357</v>
      </c>
      <c r="E23" s="77" t="s">
        <v>1358</v>
      </c>
      <c r="F23" s="79">
        <v>45736.0</v>
      </c>
      <c r="G23" s="77" t="s">
        <v>24</v>
      </c>
      <c r="H23" s="77" t="s">
        <v>1315</v>
      </c>
      <c r="I23" s="80">
        <v>438.0</v>
      </c>
      <c r="J23" s="79">
        <v>45800.0</v>
      </c>
      <c r="K23" s="82" t="s">
        <v>2459</v>
      </c>
      <c r="L23" s="81" t="s">
        <v>2461</v>
      </c>
      <c r="M23" s="84"/>
    </row>
    <row r="24">
      <c r="A24" s="76" t="s">
        <v>359</v>
      </c>
      <c r="B24" s="77" t="s">
        <v>171</v>
      </c>
      <c r="C24" s="77" t="s">
        <v>48</v>
      </c>
      <c r="D24" s="77" t="s">
        <v>1370</v>
      </c>
      <c r="E24" s="78">
        <v>791.0</v>
      </c>
      <c r="F24" s="79">
        <v>45736.0</v>
      </c>
      <c r="G24" s="77" t="s">
        <v>1372</v>
      </c>
      <c r="H24" s="77" t="s">
        <v>1315</v>
      </c>
      <c r="I24" s="80">
        <v>438.0</v>
      </c>
      <c r="J24" s="88">
        <v>45897.0</v>
      </c>
      <c r="K24" s="82" t="s">
        <v>2459</v>
      </c>
      <c r="L24" s="81" t="s">
        <v>2460</v>
      </c>
      <c r="M24" s="84"/>
    </row>
    <row r="25">
      <c r="A25" s="76" t="s">
        <v>361</v>
      </c>
      <c r="B25" s="77" t="s">
        <v>171</v>
      </c>
      <c r="C25" s="77" t="s">
        <v>48</v>
      </c>
      <c r="D25" s="77" t="s">
        <v>1370</v>
      </c>
      <c r="E25" s="78">
        <v>7077.0</v>
      </c>
      <c r="F25" s="79">
        <v>45736.0</v>
      </c>
      <c r="G25" s="77" t="s">
        <v>1376</v>
      </c>
      <c r="H25" s="77" t="s">
        <v>1315</v>
      </c>
      <c r="I25" s="80">
        <v>438.0</v>
      </c>
      <c r="J25" s="79">
        <v>45802.0</v>
      </c>
      <c r="K25" s="82" t="s">
        <v>2459</v>
      </c>
      <c r="L25" s="81" t="s">
        <v>2461</v>
      </c>
      <c r="M25" s="84"/>
    </row>
    <row r="26">
      <c r="A26" s="76" t="s">
        <v>355</v>
      </c>
      <c r="B26" s="77" t="s">
        <v>1608</v>
      </c>
      <c r="C26" s="78">
        <v>71653.0</v>
      </c>
      <c r="D26" s="77" t="s">
        <v>1610</v>
      </c>
      <c r="E26" s="77" t="s">
        <v>2031</v>
      </c>
      <c r="F26" s="79">
        <v>45736.0</v>
      </c>
      <c r="G26" s="77" t="s">
        <v>1372</v>
      </c>
      <c r="H26" s="77" t="s">
        <v>1315</v>
      </c>
      <c r="I26" s="80">
        <v>438.0</v>
      </c>
      <c r="J26" s="81" t="s">
        <v>2462</v>
      </c>
      <c r="K26" s="82" t="s">
        <v>2463</v>
      </c>
      <c r="L26" s="83"/>
      <c r="M26" s="84"/>
    </row>
    <row r="27">
      <c r="A27" s="76" t="s">
        <v>406</v>
      </c>
      <c r="B27" s="77" t="s">
        <v>1404</v>
      </c>
      <c r="C27" s="77" t="s">
        <v>48</v>
      </c>
      <c r="D27" s="77" t="s">
        <v>1405</v>
      </c>
      <c r="E27" s="87"/>
      <c r="F27" s="79">
        <v>45736.0</v>
      </c>
      <c r="G27" s="77" t="s">
        <v>16</v>
      </c>
      <c r="H27" s="77" t="s">
        <v>1315</v>
      </c>
      <c r="I27" s="80">
        <v>438.0</v>
      </c>
      <c r="J27" s="81" t="s">
        <v>2462</v>
      </c>
      <c r="K27" s="82" t="s">
        <v>2463</v>
      </c>
      <c r="L27" s="83"/>
      <c r="M27" s="84"/>
    </row>
    <row r="28">
      <c r="A28" s="76" t="s">
        <v>370</v>
      </c>
      <c r="B28" s="77" t="s">
        <v>1317</v>
      </c>
      <c r="C28" s="78">
        <v>22373.0</v>
      </c>
      <c r="D28" s="77" t="s">
        <v>1319</v>
      </c>
      <c r="E28" s="78">
        <v>3885.0</v>
      </c>
      <c r="F28" s="79">
        <v>45736.0</v>
      </c>
      <c r="G28" s="77" t="s">
        <v>1376</v>
      </c>
      <c r="H28" s="77" t="s">
        <v>1315</v>
      </c>
      <c r="I28" s="80">
        <v>438.0</v>
      </c>
      <c r="J28" s="89" t="s">
        <v>2441</v>
      </c>
      <c r="K28" s="82" t="s">
        <v>2464</v>
      </c>
      <c r="L28" s="83"/>
      <c r="M28" s="84"/>
    </row>
    <row r="29">
      <c r="A29" s="76" t="s">
        <v>380</v>
      </c>
      <c r="B29" s="77" t="s">
        <v>115</v>
      </c>
      <c r="C29" s="78">
        <v>22373.0</v>
      </c>
      <c r="D29" s="77" t="s">
        <v>1390</v>
      </c>
      <c r="E29" s="78">
        <v>75123.0</v>
      </c>
      <c r="F29" s="79">
        <v>45736.0</v>
      </c>
      <c r="G29" s="77" t="s">
        <v>12</v>
      </c>
      <c r="H29" s="77" t="s">
        <v>1315</v>
      </c>
      <c r="I29" s="80">
        <v>438.0</v>
      </c>
      <c r="J29" s="89" t="s">
        <v>2441</v>
      </c>
      <c r="K29" s="82" t="s">
        <v>2464</v>
      </c>
      <c r="L29" s="83"/>
      <c r="M29" s="84"/>
    </row>
    <row r="30">
      <c r="A30" s="76" t="s">
        <v>420</v>
      </c>
      <c r="B30" s="77" t="s">
        <v>97</v>
      </c>
      <c r="C30" s="78">
        <v>22373.0</v>
      </c>
      <c r="D30" s="77" t="s">
        <v>1412</v>
      </c>
      <c r="E30" s="78">
        <v>53450.0</v>
      </c>
      <c r="F30" s="79">
        <v>45769.0</v>
      </c>
      <c r="G30" s="77" t="s">
        <v>24</v>
      </c>
      <c r="H30" s="77" t="s">
        <v>1315</v>
      </c>
      <c r="I30" s="80">
        <v>405.0</v>
      </c>
      <c r="J30" s="79">
        <v>46113.0</v>
      </c>
      <c r="K30" s="82" t="s">
        <v>13</v>
      </c>
      <c r="L30" s="81" t="s">
        <v>2465</v>
      </c>
      <c r="M30" s="84"/>
    </row>
    <row r="31">
      <c r="A31" s="76" t="s">
        <v>414</v>
      </c>
      <c r="B31" s="77" t="s">
        <v>131</v>
      </c>
      <c r="C31" s="77" t="s">
        <v>48</v>
      </c>
      <c r="D31" s="77" t="s">
        <v>1408</v>
      </c>
      <c r="E31" s="77" t="s">
        <v>1409</v>
      </c>
      <c r="F31" s="79">
        <v>45769.0</v>
      </c>
      <c r="G31" s="77" t="s">
        <v>12</v>
      </c>
      <c r="H31" s="77" t="s">
        <v>1315</v>
      </c>
      <c r="I31" s="80">
        <v>405.0</v>
      </c>
      <c r="J31" s="79">
        <v>45856.0</v>
      </c>
      <c r="K31" s="82" t="s">
        <v>14</v>
      </c>
      <c r="L31" s="81" t="s">
        <v>2466</v>
      </c>
      <c r="M31" s="84"/>
    </row>
    <row r="32">
      <c r="A32" s="76" t="s">
        <v>416</v>
      </c>
      <c r="B32" s="77" t="s">
        <v>127</v>
      </c>
      <c r="C32" s="77" t="s">
        <v>232</v>
      </c>
      <c r="D32" s="77" t="s">
        <v>128</v>
      </c>
      <c r="E32" s="78">
        <v>8.6805596E7</v>
      </c>
      <c r="F32" s="79">
        <v>45769.0</v>
      </c>
      <c r="G32" s="77" t="s">
        <v>16</v>
      </c>
      <c r="H32" s="77" t="s">
        <v>1315</v>
      </c>
      <c r="I32" s="80">
        <v>405.0</v>
      </c>
      <c r="J32" s="79">
        <v>46100.0</v>
      </c>
      <c r="K32" s="82" t="s">
        <v>16</v>
      </c>
      <c r="L32" s="81" t="s">
        <v>2467</v>
      </c>
      <c r="M32" s="81">
        <v>8.6818658E7</v>
      </c>
    </row>
    <row r="33">
      <c r="A33" s="76" t="s">
        <v>430</v>
      </c>
      <c r="B33" s="77" t="s">
        <v>1421</v>
      </c>
      <c r="C33" s="78">
        <v>22373.0</v>
      </c>
      <c r="D33" s="77" t="s">
        <v>1422</v>
      </c>
      <c r="E33" s="78">
        <v>34257.0</v>
      </c>
      <c r="F33" s="79">
        <v>45769.0</v>
      </c>
      <c r="G33" s="77" t="s">
        <v>17</v>
      </c>
      <c r="H33" s="77" t="s">
        <v>1315</v>
      </c>
      <c r="I33" s="80">
        <v>405.0</v>
      </c>
      <c r="J33" s="81" t="s">
        <v>2441</v>
      </c>
      <c r="K33" s="82" t="s">
        <v>2442</v>
      </c>
      <c r="L33" s="83"/>
      <c r="M33" s="84"/>
    </row>
    <row r="34">
      <c r="A34" s="76" t="s">
        <v>432</v>
      </c>
      <c r="B34" s="77" t="s">
        <v>1421</v>
      </c>
      <c r="C34" s="78">
        <v>22373.0</v>
      </c>
      <c r="D34" s="77" t="s">
        <v>1422</v>
      </c>
      <c r="E34" s="78">
        <v>30865.0</v>
      </c>
      <c r="F34" s="79">
        <v>45769.0</v>
      </c>
      <c r="G34" s="77" t="s">
        <v>12</v>
      </c>
      <c r="H34" s="77" t="s">
        <v>1315</v>
      </c>
      <c r="I34" s="80">
        <v>405.0</v>
      </c>
      <c r="J34" s="81" t="s">
        <v>2468</v>
      </c>
      <c r="K34" s="82" t="s">
        <v>2445</v>
      </c>
      <c r="L34" s="83"/>
      <c r="M34" s="84"/>
    </row>
    <row r="35">
      <c r="A35" s="76" t="s">
        <v>434</v>
      </c>
      <c r="B35" s="77" t="s">
        <v>1421</v>
      </c>
      <c r="C35" s="78">
        <v>22373.0</v>
      </c>
      <c r="D35" s="77" t="s">
        <v>1422</v>
      </c>
      <c r="E35" s="78">
        <v>4355.0</v>
      </c>
      <c r="F35" s="79">
        <v>45769.0</v>
      </c>
      <c r="G35" s="77" t="s">
        <v>1425</v>
      </c>
      <c r="H35" s="77" t="s">
        <v>1315</v>
      </c>
      <c r="I35" s="80">
        <v>405.0</v>
      </c>
      <c r="J35" s="81" t="s">
        <v>2468</v>
      </c>
      <c r="K35" s="82" t="s">
        <v>2445</v>
      </c>
      <c r="L35" s="83"/>
      <c r="M35" s="84"/>
    </row>
    <row r="36">
      <c r="A36" s="76" t="s">
        <v>418</v>
      </c>
      <c r="B36" s="77" t="s">
        <v>97</v>
      </c>
      <c r="C36" s="78">
        <v>22373.0</v>
      </c>
      <c r="D36" s="77" t="s">
        <v>1412</v>
      </c>
      <c r="E36" s="77" t="s">
        <v>1414</v>
      </c>
      <c r="F36" s="79">
        <v>45769.0</v>
      </c>
      <c r="G36" s="77" t="s">
        <v>1415</v>
      </c>
      <c r="H36" s="77" t="s">
        <v>1315</v>
      </c>
      <c r="I36" s="80">
        <v>405.0</v>
      </c>
      <c r="J36" s="89" t="s">
        <v>2441</v>
      </c>
      <c r="K36" s="82" t="s">
        <v>2464</v>
      </c>
      <c r="L36" s="83"/>
      <c r="M36" s="84"/>
    </row>
    <row r="37">
      <c r="A37" s="76" t="s">
        <v>422</v>
      </c>
      <c r="B37" s="77" t="s">
        <v>97</v>
      </c>
      <c r="C37" s="78">
        <v>22373.0</v>
      </c>
      <c r="D37" s="77" t="s">
        <v>1412</v>
      </c>
      <c r="E37" s="78">
        <v>52537.0</v>
      </c>
      <c r="F37" s="79">
        <v>45769.0</v>
      </c>
      <c r="G37" s="77" t="s">
        <v>24</v>
      </c>
      <c r="H37" s="77" t="s">
        <v>1315</v>
      </c>
      <c r="I37" s="80">
        <v>405.0</v>
      </c>
      <c r="J37" s="89" t="s">
        <v>2441</v>
      </c>
      <c r="K37" s="82" t="s">
        <v>2464</v>
      </c>
      <c r="L37" s="83"/>
      <c r="M37" s="84"/>
    </row>
    <row r="38">
      <c r="A38" s="76" t="s">
        <v>426</v>
      </c>
      <c r="B38" s="77" t="s">
        <v>238</v>
      </c>
      <c r="C38" s="78">
        <v>22373.0</v>
      </c>
      <c r="D38" s="77" t="s">
        <v>239</v>
      </c>
      <c r="E38" s="78">
        <v>28411.0</v>
      </c>
      <c r="F38" s="79">
        <v>45769.0</v>
      </c>
      <c r="G38" s="77" t="s">
        <v>24</v>
      </c>
      <c r="H38" s="77" t="s">
        <v>1315</v>
      </c>
      <c r="I38" s="80">
        <v>405.0</v>
      </c>
      <c r="J38" s="89" t="s">
        <v>2441</v>
      </c>
      <c r="K38" s="82" t="s">
        <v>2464</v>
      </c>
      <c r="L38" s="83"/>
      <c r="M38" s="84"/>
    </row>
    <row r="39">
      <c r="A39" s="76" t="s">
        <v>440</v>
      </c>
      <c r="B39" s="77" t="s">
        <v>1781</v>
      </c>
      <c r="C39" s="78">
        <v>22373.0</v>
      </c>
      <c r="D39" s="77" t="s">
        <v>1782</v>
      </c>
      <c r="E39" s="78">
        <v>86012.0</v>
      </c>
      <c r="F39" s="79">
        <v>45769.0</v>
      </c>
      <c r="G39" s="77" t="s">
        <v>1500</v>
      </c>
      <c r="H39" s="77" t="s">
        <v>1315</v>
      </c>
      <c r="I39" s="80">
        <v>405.0</v>
      </c>
      <c r="J39" s="81" t="s">
        <v>2469</v>
      </c>
      <c r="K39" s="82" t="s">
        <v>2464</v>
      </c>
      <c r="L39" s="83"/>
      <c r="M39" s="84"/>
    </row>
    <row r="40">
      <c r="A40" s="76" t="s">
        <v>453</v>
      </c>
      <c r="B40" s="77" t="s">
        <v>207</v>
      </c>
      <c r="C40" s="77" t="s">
        <v>48</v>
      </c>
      <c r="D40" s="77" t="s">
        <v>208</v>
      </c>
      <c r="E40" s="77" t="s">
        <v>1429</v>
      </c>
      <c r="F40" s="79">
        <v>45799.0</v>
      </c>
      <c r="G40" s="77" t="s">
        <v>19</v>
      </c>
      <c r="H40" s="77" t="s">
        <v>1315</v>
      </c>
      <c r="I40" s="80">
        <v>375.0</v>
      </c>
      <c r="J40" s="79">
        <v>46092.0</v>
      </c>
      <c r="K40" s="82" t="s">
        <v>16</v>
      </c>
      <c r="L40" s="81" t="s">
        <v>2470</v>
      </c>
      <c r="M40" s="84"/>
    </row>
    <row r="41">
      <c r="A41" s="76" t="s">
        <v>455</v>
      </c>
      <c r="B41" s="77" t="s">
        <v>1398</v>
      </c>
      <c r="C41" s="78">
        <v>33269.0</v>
      </c>
      <c r="D41" s="77" t="s">
        <v>1400</v>
      </c>
      <c r="E41" s="90">
        <v>2.0</v>
      </c>
      <c r="F41" s="79">
        <v>45799.0</v>
      </c>
      <c r="G41" s="77" t="s">
        <v>1352</v>
      </c>
      <c r="H41" s="77" t="s">
        <v>1315</v>
      </c>
      <c r="I41" s="80">
        <v>375.0</v>
      </c>
      <c r="J41" s="79">
        <v>46119.0</v>
      </c>
      <c r="K41" s="82" t="s">
        <v>2459</v>
      </c>
      <c r="L41" s="81" t="s">
        <v>2471</v>
      </c>
      <c r="M41" s="84"/>
    </row>
    <row r="42">
      <c r="A42" s="76" t="s">
        <v>473</v>
      </c>
      <c r="B42" s="77" t="s">
        <v>63</v>
      </c>
      <c r="C42" s="78">
        <v>71513.0</v>
      </c>
      <c r="D42" s="77" t="s">
        <v>1432</v>
      </c>
      <c r="E42" s="78">
        <v>967.0</v>
      </c>
      <c r="F42" s="79">
        <v>45803.0</v>
      </c>
      <c r="G42" s="77" t="s">
        <v>12</v>
      </c>
      <c r="H42" s="77" t="s">
        <v>1315</v>
      </c>
      <c r="I42" s="80">
        <v>371.0</v>
      </c>
      <c r="J42" s="81" t="s">
        <v>2441</v>
      </c>
      <c r="K42" s="82" t="s">
        <v>2442</v>
      </c>
      <c r="L42" s="83"/>
      <c r="M42" s="84"/>
    </row>
    <row r="43">
      <c r="A43" s="76" t="s">
        <v>469</v>
      </c>
      <c r="B43" s="77" t="s">
        <v>63</v>
      </c>
      <c r="C43" s="78">
        <v>71513.0</v>
      </c>
      <c r="D43" s="77" t="s">
        <v>1432</v>
      </c>
      <c r="E43" s="77" t="s">
        <v>1433</v>
      </c>
      <c r="F43" s="79">
        <v>45803.0</v>
      </c>
      <c r="G43" s="77" t="s">
        <v>12</v>
      </c>
      <c r="H43" s="77" t="s">
        <v>1315</v>
      </c>
      <c r="I43" s="80">
        <v>371.0</v>
      </c>
      <c r="J43" s="91">
        <v>46232.0</v>
      </c>
      <c r="K43" s="82" t="s">
        <v>2459</v>
      </c>
      <c r="L43" s="92" t="s">
        <v>2472</v>
      </c>
      <c r="M43" s="84"/>
    </row>
    <row r="44">
      <c r="A44" s="76" t="s">
        <v>479</v>
      </c>
      <c r="B44" s="77" t="s">
        <v>1436</v>
      </c>
      <c r="C44" s="78">
        <v>71513.0</v>
      </c>
      <c r="D44" s="77" t="s">
        <v>1437</v>
      </c>
      <c r="E44" s="78">
        <v>49.0</v>
      </c>
      <c r="F44" s="79">
        <v>45803.0</v>
      </c>
      <c r="G44" s="77" t="s">
        <v>12</v>
      </c>
      <c r="H44" s="77" t="s">
        <v>1315</v>
      </c>
      <c r="I44" s="80">
        <v>371.0</v>
      </c>
      <c r="J44" s="83"/>
      <c r="K44" s="81" t="s">
        <v>2473</v>
      </c>
      <c r="L44" s="83"/>
      <c r="M44" s="84"/>
    </row>
    <row r="45">
      <c r="A45" s="76" t="s">
        <v>485</v>
      </c>
      <c r="B45" s="77" t="s">
        <v>61</v>
      </c>
      <c r="C45" s="78">
        <v>33269.0</v>
      </c>
      <c r="D45" s="77" t="s">
        <v>1438</v>
      </c>
      <c r="E45" s="78">
        <v>32.0</v>
      </c>
      <c r="F45" s="79">
        <v>45803.0</v>
      </c>
      <c r="G45" s="77" t="s">
        <v>22</v>
      </c>
      <c r="H45" s="77" t="s">
        <v>1315</v>
      </c>
      <c r="I45" s="80">
        <v>371.0</v>
      </c>
      <c r="J45" s="83"/>
      <c r="K45" s="81" t="s">
        <v>2473</v>
      </c>
      <c r="L45" s="83"/>
      <c r="M45" s="84"/>
    </row>
    <row r="46">
      <c r="A46" s="76" t="s">
        <v>467</v>
      </c>
      <c r="B46" s="77" t="s">
        <v>63</v>
      </c>
      <c r="C46" s="78">
        <v>71513.0</v>
      </c>
      <c r="D46" s="77" t="s">
        <v>1432</v>
      </c>
      <c r="E46" s="78">
        <v>39.0</v>
      </c>
      <c r="F46" s="79">
        <v>45803.0</v>
      </c>
      <c r="G46" s="77" t="s">
        <v>22</v>
      </c>
      <c r="H46" s="77" t="s">
        <v>1315</v>
      </c>
      <c r="I46" s="80">
        <v>371.0</v>
      </c>
      <c r="J46" s="91">
        <v>46232.0</v>
      </c>
      <c r="K46" s="82" t="s">
        <v>2459</v>
      </c>
      <c r="L46" s="92" t="s">
        <v>2472</v>
      </c>
      <c r="M46" s="84"/>
    </row>
    <row r="47">
      <c r="A47" s="76" t="s">
        <v>477</v>
      </c>
      <c r="B47" s="77" t="s">
        <v>1436</v>
      </c>
      <c r="C47" s="78">
        <v>71513.0</v>
      </c>
      <c r="D47" s="77" t="s">
        <v>1437</v>
      </c>
      <c r="E47" s="78">
        <v>772.0</v>
      </c>
      <c r="F47" s="79">
        <v>45803.0</v>
      </c>
      <c r="G47" s="77" t="s">
        <v>19</v>
      </c>
      <c r="H47" s="77" t="s">
        <v>1315</v>
      </c>
      <c r="I47" s="80">
        <v>371.0</v>
      </c>
      <c r="J47" s="91">
        <v>46232.0</v>
      </c>
      <c r="K47" s="82" t="s">
        <v>2459</v>
      </c>
      <c r="L47" s="92" t="s">
        <v>2472</v>
      </c>
      <c r="M47" s="84"/>
    </row>
    <row r="48">
      <c r="A48" s="76" t="s">
        <v>487</v>
      </c>
      <c r="B48" s="77" t="s">
        <v>61</v>
      </c>
      <c r="C48" s="78">
        <v>33269.0</v>
      </c>
      <c r="D48" s="77" t="s">
        <v>1438</v>
      </c>
      <c r="E48" s="78">
        <v>969.0</v>
      </c>
      <c r="F48" s="79">
        <v>45803.0</v>
      </c>
      <c r="G48" s="77" t="s">
        <v>12</v>
      </c>
      <c r="H48" s="77" t="s">
        <v>1315</v>
      </c>
      <c r="I48" s="80">
        <v>371.0</v>
      </c>
      <c r="J48" s="91">
        <v>46232.0</v>
      </c>
      <c r="K48" s="82" t="s">
        <v>2459</v>
      </c>
      <c r="L48" s="92" t="s">
        <v>2472</v>
      </c>
      <c r="M48" s="84"/>
    </row>
    <row r="49">
      <c r="A49" s="76" t="s">
        <v>503</v>
      </c>
      <c r="B49" s="77" t="s">
        <v>2010</v>
      </c>
      <c r="C49" s="78">
        <v>74025.0</v>
      </c>
      <c r="D49" s="77" t="s">
        <v>2012</v>
      </c>
      <c r="E49" s="78">
        <v>1.0603744E7</v>
      </c>
      <c r="F49" s="79">
        <v>45813.0</v>
      </c>
      <c r="G49" s="77" t="s">
        <v>12</v>
      </c>
      <c r="H49" s="77" t="s">
        <v>1315</v>
      </c>
      <c r="I49" s="80">
        <v>361.0</v>
      </c>
      <c r="J49" s="93">
        <v>46195.0</v>
      </c>
      <c r="K49" s="82" t="s">
        <v>2459</v>
      </c>
      <c r="L49" s="92" t="s">
        <v>2474</v>
      </c>
      <c r="M49" s="84"/>
    </row>
    <row r="50">
      <c r="A50" s="76" t="s">
        <v>505</v>
      </c>
      <c r="B50" s="77" t="s">
        <v>2010</v>
      </c>
      <c r="C50" s="78">
        <v>74025.0</v>
      </c>
      <c r="D50" s="77" t="s">
        <v>2012</v>
      </c>
      <c r="E50" s="78">
        <v>1.1200477E7</v>
      </c>
      <c r="F50" s="79">
        <v>45813.0</v>
      </c>
      <c r="G50" s="77" t="s">
        <v>20</v>
      </c>
      <c r="H50" s="77" t="s">
        <v>1315</v>
      </c>
      <c r="I50" s="80">
        <v>361.0</v>
      </c>
      <c r="J50" s="93">
        <v>46195.0</v>
      </c>
      <c r="K50" s="82" t="s">
        <v>2459</v>
      </c>
      <c r="L50" s="92" t="s">
        <v>2474</v>
      </c>
      <c r="M50" s="84"/>
    </row>
    <row r="51">
      <c r="A51" s="76" t="s">
        <v>501</v>
      </c>
      <c r="B51" s="77" t="s">
        <v>109</v>
      </c>
      <c r="C51" s="78">
        <v>83326.0</v>
      </c>
      <c r="D51" s="77" t="s">
        <v>110</v>
      </c>
      <c r="E51" s="78">
        <v>197.0</v>
      </c>
      <c r="F51" s="79">
        <v>45813.0</v>
      </c>
      <c r="G51" s="77" t="s">
        <v>16</v>
      </c>
      <c r="H51" s="77" t="s">
        <v>1315</v>
      </c>
      <c r="I51" s="80">
        <v>361.0</v>
      </c>
      <c r="J51" s="88">
        <v>45797.0</v>
      </c>
      <c r="K51" s="82" t="s">
        <v>17</v>
      </c>
      <c r="L51" s="81" t="s">
        <v>2475</v>
      </c>
      <c r="M51" s="81" t="s">
        <v>2476</v>
      </c>
    </row>
    <row r="52">
      <c r="A52" s="76" t="s">
        <v>495</v>
      </c>
      <c r="B52" s="77" t="s">
        <v>109</v>
      </c>
      <c r="C52" s="78">
        <v>83326.0</v>
      </c>
      <c r="D52" s="77" t="s">
        <v>110</v>
      </c>
      <c r="E52" s="78">
        <v>2469.0</v>
      </c>
      <c r="F52" s="79">
        <v>45813.0</v>
      </c>
      <c r="G52" s="77" t="s">
        <v>12</v>
      </c>
      <c r="H52" s="77" t="s">
        <v>1315</v>
      </c>
      <c r="I52" s="80">
        <v>361.0</v>
      </c>
      <c r="J52" s="88">
        <v>45853.0</v>
      </c>
      <c r="K52" s="82" t="s">
        <v>17</v>
      </c>
      <c r="L52" s="81" t="s">
        <v>2477</v>
      </c>
      <c r="M52" s="81">
        <v>1831.0</v>
      </c>
    </row>
    <row r="53">
      <c r="A53" s="76" t="s">
        <v>497</v>
      </c>
      <c r="B53" s="77" t="s">
        <v>1445</v>
      </c>
      <c r="C53" s="77" t="s">
        <v>48</v>
      </c>
      <c r="D53" s="77" t="s">
        <v>1446</v>
      </c>
      <c r="E53" s="78">
        <v>292.0</v>
      </c>
      <c r="F53" s="79">
        <v>45813.0</v>
      </c>
      <c r="G53" s="77" t="s">
        <v>13</v>
      </c>
      <c r="H53" s="77" t="s">
        <v>1315</v>
      </c>
      <c r="I53" s="80">
        <v>361.0</v>
      </c>
      <c r="J53" s="81" t="s">
        <v>2444</v>
      </c>
      <c r="K53" s="82" t="s">
        <v>2445</v>
      </c>
      <c r="L53" s="83"/>
      <c r="M53" s="84"/>
    </row>
    <row r="54">
      <c r="A54" s="76" t="s">
        <v>499</v>
      </c>
      <c r="B54" s="77" t="s">
        <v>109</v>
      </c>
      <c r="C54" s="78">
        <v>83326.0</v>
      </c>
      <c r="D54" s="77" t="s">
        <v>110</v>
      </c>
      <c r="E54" s="77" t="s">
        <v>1451</v>
      </c>
      <c r="F54" s="79">
        <v>45813.0</v>
      </c>
      <c r="G54" s="77" t="s">
        <v>16</v>
      </c>
      <c r="H54" s="77" t="s">
        <v>1315</v>
      </c>
      <c r="I54" s="80">
        <v>361.0</v>
      </c>
      <c r="J54" s="83"/>
      <c r="K54" s="82" t="s">
        <v>2445</v>
      </c>
      <c r="L54" s="83"/>
      <c r="M54" s="81" t="s">
        <v>2478</v>
      </c>
    </row>
    <row r="55">
      <c r="A55" s="76" t="s">
        <v>491</v>
      </c>
      <c r="B55" s="77" t="s">
        <v>1421</v>
      </c>
      <c r="C55" s="78">
        <v>22373.0</v>
      </c>
      <c r="D55" s="77" t="s">
        <v>1422</v>
      </c>
      <c r="E55" s="78">
        <v>3945.0</v>
      </c>
      <c r="F55" s="79">
        <v>45813.0</v>
      </c>
      <c r="G55" s="77" t="s">
        <v>1442</v>
      </c>
      <c r="H55" s="77" t="s">
        <v>1315</v>
      </c>
      <c r="I55" s="80">
        <v>361.0</v>
      </c>
      <c r="J55" s="89" t="s">
        <v>2479</v>
      </c>
      <c r="K55" s="82" t="s">
        <v>2464</v>
      </c>
      <c r="L55" s="83"/>
      <c r="M55" s="84"/>
    </row>
    <row r="56">
      <c r="A56" s="76" t="s">
        <v>507</v>
      </c>
      <c r="B56" s="77" t="s">
        <v>1453</v>
      </c>
      <c r="C56" s="77" t="s">
        <v>1454</v>
      </c>
      <c r="D56" s="77" t="s">
        <v>1455</v>
      </c>
      <c r="E56" s="78">
        <v>5385.0</v>
      </c>
      <c r="F56" s="79">
        <v>45831.0</v>
      </c>
      <c r="G56" s="77" t="s">
        <v>12</v>
      </c>
      <c r="H56" s="77" t="s">
        <v>1315</v>
      </c>
      <c r="I56" s="80">
        <v>343.0</v>
      </c>
      <c r="J56" s="83"/>
      <c r="K56" s="82" t="s">
        <v>17</v>
      </c>
      <c r="L56" s="92" t="s">
        <v>2480</v>
      </c>
      <c r="M56" s="84"/>
    </row>
    <row r="57">
      <c r="A57" s="76" t="s">
        <v>519</v>
      </c>
      <c r="B57" s="77" t="s">
        <v>109</v>
      </c>
      <c r="C57" s="78">
        <v>83326.0</v>
      </c>
      <c r="D57" s="77" t="s">
        <v>110</v>
      </c>
      <c r="E57" s="78">
        <v>908.0</v>
      </c>
      <c r="F57" s="79">
        <v>45831.0</v>
      </c>
      <c r="G57" s="77" t="s">
        <v>17</v>
      </c>
      <c r="H57" s="77" t="s">
        <v>1315</v>
      </c>
      <c r="I57" s="80">
        <v>343.0</v>
      </c>
      <c r="J57" s="79">
        <v>45848.0</v>
      </c>
      <c r="K57" s="94" t="s">
        <v>17</v>
      </c>
      <c r="L57" s="81" t="s">
        <v>2454</v>
      </c>
      <c r="M57" s="81" t="s">
        <v>2481</v>
      </c>
    </row>
    <row r="58">
      <c r="A58" s="76" t="s">
        <v>509</v>
      </c>
      <c r="B58" s="77" t="s">
        <v>2080</v>
      </c>
      <c r="C58" s="77" t="s">
        <v>48</v>
      </c>
      <c r="D58" s="77" t="s">
        <v>2081</v>
      </c>
      <c r="E58" s="95">
        <v>1.0</v>
      </c>
      <c r="F58" s="79">
        <v>45831.0</v>
      </c>
      <c r="G58" s="77" t="s">
        <v>12</v>
      </c>
      <c r="H58" s="77" t="s">
        <v>1315</v>
      </c>
      <c r="I58" s="80">
        <v>343.0</v>
      </c>
      <c r="J58" s="93">
        <v>46139.0</v>
      </c>
      <c r="K58" s="82" t="s">
        <v>2459</v>
      </c>
      <c r="L58" s="92" t="s">
        <v>2482</v>
      </c>
      <c r="M58" s="84"/>
    </row>
    <row r="59">
      <c r="A59" s="76" t="s">
        <v>513</v>
      </c>
      <c r="B59" s="77" t="s">
        <v>1460</v>
      </c>
      <c r="C59" s="78">
        <v>71379.0</v>
      </c>
      <c r="D59" s="77" t="s">
        <v>1461</v>
      </c>
      <c r="E59" s="77" t="s">
        <v>2088</v>
      </c>
      <c r="F59" s="79">
        <v>45831.0</v>
      </c>
      <c r="G59" s="77" t="s">
        <v>12</v>
      </c>
      <c r="H59" s="77" t="s">
        <v>1315</v>
      </c>
      <c r="I59" s="80">
        <v>343.0</v>
      </c>
      <c r="J59" s="93">
        <v>46139.0</v>
      </c>
      <c r="K59" s="82" t="s">
        <v>2459</v>
      </c>
      <c r="L59" s="92" t="s">
        <v>2482</v>
      </c>
      <c r="M59" s="84"/>
    </row>
    <row r="60">
      <c r="A60" s="76" t="s">
        <v>517</v>
      </c>
      <c r="B60" s="77" t="s">
        <v>1460</v>
      </c>
      <c r="C60" s="78">
        <v>71379.0</v>
      </c>
      <c r="D60" s="77" t="s">
        <v>1461</v>
      </c>
      <c r="E60" s="77" t="s">
        <v>2089</v>
      </c>
      <c r="F60" s="79">
        <v>45831.0</v>
      </c>
      <c r="G60" s="77" t="s">
        <v>19</v>
      </c>
      <c r="H60" s="77" t="s">
        <v>1315</v>
      </c>
      <c r="I60" s="80">
        <v>343.0</v>
      </c>
      <c r="J60" s="93">
        <v>46139.0</v>
      </c>
      <c r="K60" s="82" t="s">
        <v>2459</v>
      </c>
      <c r="L60" s="92" t="s">
        <v>2482</v>
      </c>
      <c r="M60" s="84"/>
    </row>
    <row r="61">
      <c r="A61" s="76" t="s">
        <v>515</v>
      </c>
      <c r="B61" s="77" t="s">
        <v>1460</v>
      </c>
      <c r="C61" s="78">
        <v>71379.0</v>
      </c>
      <c r="D61" s="77" t="s">
        <v>1461</v>
      </c>
      <c r="E61" s="77" t="s">
        <v>1462</v>
      </c>
      <c r="F61" s="79">
        <v>45831.0</v>
      </c>
      <c r="G61" s="77" t="s">
        <v>1463</v>
      </c>
      <c r="H61" s="77" t="s">
        <v>1315</v>
      </c>
      <c r="I61" s="80">
        <v>343.0</v>
      </c>
      <c r="J61" s="81" t="s">
        <v>2483</v>
      </c>
      <c r="K61" s="82" t="s">
        <v>2464</v>
      </c>
      <c r="L61" s="83"/>
      <c r="M61" s="84"/>
    </row>
    <row r="62">
      <c r="A62" s="76" t="s">
        <v>521</v>
      </c>
      <c r="B62" s="77" t="s">
        <v>1466</v>
      </c>
      <c r="C62" s="78">
        <v>26055.0</v>
      </c>
      <c r="D62" s="77" t="s">
        <v>1468</v>
      </c>
      <c r="E62" s="78">
        <v>203103.0</v>
      </c>
      <c r="F62" s="79">
        <v>45840.0</v>
      </c>
      <c r="G62" s="77" t="s">
        <v>14</v>
      </c>
      <c r="H62" s="77" t="s">
        <v>1315</v>
      </c>
      <c r="I62" s="80">
        <v>334.0</v>
      </c>
      <c r="J62" s="91">
        <v>45860.0</v>
      </c>
      <c r="K62" s="82" t="s">
        <v>17</v>
      </c>
      <c r="L62" s="81" t="s">
        <v>2484</v>
      </c>
      <c r="M62" s="84"/>
    </row>
    <row r="63">
      <c r="A63" s="76" t="s">
        <v>529</v>
      </c>
      <c r="B63" s="77" t="s">
        <v>1698</v>
      </c>
      <c r="C63" s="78">
        <v>54905.0</v>
      </c>
      <c r="D63" s="77" t="s">
        <v>1700</v>
      </c>
      <c r="E63" s="77" t="s">
        <v>2095</v>
      </c>
      <c r="F63" s="79">
        <v>45840.0</v>
      </c>
      <c r="G63" s="77" t="s">
        <v>12</v>
      </c>
      <c r="H63" s="77" t="s">
        <v>1315</v>
      </c>
      <c r="I63" s="80">
        <v>334.0</v>
      </c>
      <c r="J63" s="79">
        <v>46175.0</v>
      </c>
      <c r="K63" s="82" t="s">
        <v>2459</v>
      </c>
      <c r="L63" s="81" t="s">
        <v>2485</v>
      </c>
      <c r="M63" s="84"/>
    </row>
    <row r="64">
      <c r="A64" s="76" t="s">
        <v>531</v>
      </c>
      <c r="B64" s="77" t="s">
        <v>1698</v>
      </c>
      <c r="C64" s="78">
        <v>54905.0</v>
      </c>
      <c r="D64" s="77" t="s">
        <v>1700</v>
      </c>
      <c r="E64" s="77" t="s">
        <v>2096</v>
      </c>
      <c r="F64" s="79">
        <v>45840.0</v>
      </c>
      <c r="G64" s="77" t="s">
        <v>12</v>
      </c>
      <c r="H64" s="77" t="s">
        <v>1315</v>
      </c>
      <c r="I64" s="80">
        <v>334.0</v>
      </c>
      <c r="J64" s="79">
        <v>46175.0</v>
      </c>
      <c r="K64" s="82" t="s">
        <v>2459</v>
      </c>
      <c r="L64" s="81" t="s">
        <v>2485</v>
      </c>
      <c r="M64" s="84"/>
    </row>
    <row r="65">
      <c r="A65" s="76" t="s">
        <v>533</v>
      </c>
      <c r="B65" s="77" t="s">
        <v>1698</v>
      </c>
      <c r="C65" s="78">
        <v>54905.0</v>
      </c>
      <c r="D65" s="77" t="s">
        <v>1700</v>
      </c>
      <c r="E65" s="77" t="s">
        <v>2098</v>
      </c>
      <c r="F65" s="79">
        <v>45840.0</v>
      </c>
      <c r="G65" s="77" t="s">
        <v>2099</v>
      </c>
      <c r="H65" s="77" t="s">
        <v>1315</v>
      </c>
      <c r="I65" s="80">
        <v>334.0</v>
      </c>
      <c r="J65" s="79">
        <v>46175.0</v>
      </c>
      <c r="K65" s="82" t="s">
        <v>2459</v>
      </c>
      <c r="L65" s="81" t="s">
        <v>2485</v>
      </c>
      <c r="M65" s="84"/>
    </row>
    <row r="66">
      <c r="A66" s="76" t="s">
        <v>539</v>
      </c>
      <c r="B66" s="77" t="s">
        <v>1477</v>
      </c>
      <c r="C66" s="77" t="s">
        <v>48</v>
      </c>
      <c r="D66" s="77" t="s">
        <v>1478</v>
      </c>
      <c r="E66" s="78">
        <v>6132.0</v>
      </c>
      <c r="F66" s="79">
        <v>45840.0</v>
      </c>
      <c r="G66" s="77" t="s">
        <v>13</v>
      </c>
      <c r="H66" s="77" t="s">
        <v>1315</v>
      </c>
      <c r="I66" s="80">
        <v>334.0</v>
      </c>
      <c r="J66" s="79">
        <v>45889.0</v>
      </c>
      <c r="K66" s="82" t="s">
        <v>2459</v>
      </c>
      <c r="L66" s="81" t="s">
        <v>2486</v>
      </c>
      <c r="M66" s="84"/>
    </row>
    <row r="67">
      <c r="A67" s="76" t="s">
        <v>541</v>
      </c>
      <c r="B67" s="77" t="s">
        <v>1477</v>
      </c>
      <c r="C67" s="77" t="s">
        <v>48</v>
      </c>
      <c r="D67" s="77" t="s">
        <v>1478</v>
      </c>
      <c r="E67" s="86">
        <v>30998.0</v>
      </c>
      <c r="F67" s="79">
        <v>45840.0</v>
      </c>
      <c r="G67" s="77" t="s">
        <v>12</v>
      </c>
      <c r="H67" s="77" t="s">
        <v>1315</v>
      </c>
      <c r="I67" s="80">
        <v>334.0</v>
      </c>
      <c r="J67" s="79">
        <v>45876.0</v>
      </c>
      <c r="K67" s="82" t="s">
        <v>2459</v>
      </c>
      <c r="L67" s="81" t="s">
        <v>2487</v>
      </c>
      <c r="M67" s="84"/>
    </row>
    <row r="68">
      <c r="A68" s="76" t="s">
        <v>527</v>
      </c>
      <c r="B68" s="77" t="s">
        <v>1698</v>
      </c>
      <c r="C68" s="78">
        <v>54905.0</v>
      </c>
      <c r="D68" s="77" t="s">
        <v>1700</v>
      </c>
      <c r="E68" s="77" t="s">
        <v>2094</v>
      </c>
      <c r="F68" s="79">
        <v>45840.0</v>
      </c>
      <c r="G68" s="77" t="s">
        <v>12</v>
      </c>
      <c r="H68" s="77" t="s">
        <v>1315</v>
      </c>
      <c r="I68" s="80">
        <v>334.0</v>
      </c>
      <c r="J68" s="93">
        <v>46188.0</v>
      </c>
      <c r="K68" s="82" t="s">
        <v>2459</v>
      </c>
      <c r="L68" s="92" t="s">
        <v>2482</v>
      </c>
      <c r="M68" s="84"/>
    </row>
    <row r="69">
      <c r="A69" s="76" t="s">
        <v>535</v>
      </c>
      <c r="B69" s="77" t="s">
        <v>1698</v>
      </c>
      <c r="C69" s="78">
        <v>54905.0</v>
      </c>
      <c r="D69" s="77" t="s">
        <v>1700</v>
      </c>
      <c r="E69" s="77" t="s">
        <v>2101</v>
      </c>
      <c r="F69" s="79">
        <v>45840.0</v>
      </c>
      <c r="G69" s="77" t="s">
        <v>2102</v>
      </c>
      <c r="H69" s="77" t="s">
        <v>1315</v>
      </c>
      <c r="I69" s="80">
        <v>334.0</v>
      </c>
      <c r="J69" s="93">
        <v>46188.0</v>
      </c>
      <c r="K69" s="82" t="s">
        <v>2459</v>
      </c>
      <c r="L69" s="92" t="s">
        <v>2482</v>
      </c>
      <c r="M69" s="84"/>
    </row>
    <row r="70">
      <c r="A70" s="76" t="s">
        <v>537</v>
      </c>
      <c r="B70" s="77" t="s">
        <v>1698</v>
      </c>
      <c r="C70" s="78">
        <v>54905.0</v>
      </c>
      <c r="D70" s="77" t="s">
        <v>1700</v>
      </c>
      <c r="E70" s="77" t="s">
        <v>2105</v>
      </c>
      <c r="F70" s="79">
        <v>45840.0</v>
      </c>
      <c r="G70" s="77" t="s">
        <v>14</v>
      </c>
      <c r="H70" s="77" t="s">
        <v>1315</v>
      </c>
      <c r="I70" s="80">
        <v>334.0</v>
      </c>
      <c r="J70" s="93">
        <v>46188.0</v>
      </c>
      <c r="K70" s="82" t="s">
        <v>2459</v>
      </c>
      <c r="L70" s="92" t="s">
        <v>2482</v>
      </c>
      <c r="M70" s="84"/>
    </row>
    <row r="71">
      <c r="A71" s="76" t="s">
        <v>543</v>
      </c>
      <c r="B71" s="77" t="s">
        <v>69</v>
      </c>
      <c r="C71" s="77" t="s">
        <v>48</v>
      </c>
      <c r="D71" s="77" t="s">
        <v>1474</v>
      </c>
      <c r="E71" s="77" t="s">
        <v>1483</v>
      </c>
      <c r="F71" s="79">
        <v>45840.0</v>
      </c>
      <c r="G71" s="77" t="s">
        <v>12</v>
      </c>
      <c r="H71" s="77" t="s">
        <v>1315</v>
      </c>
      <c r="I71" s="80">
        <v>334.0</v>
      </c>
      <c r="J71" s="81" t="s">
        <v>2444</v>
      </c>
      <c r="K71" s="82" t="s">
        <v>2445</v>
      </c>
      <c r="L71" s="83"/>
      <c r="M71" s="84"/>
    </row>
    <row r="72">
      <c r="A72" s="76" t="s">
        <v>545</v>
      </c>
      <c r="B72" s="77" t="s">
        <v>69</v>
      </c>
      <c r="C72" s="77" t="s">
        <v>48</v>
      </c>
      <c r="D72" s="77" t="s">
        <v>1474</v>
      </c>
      <c r="E72" s="77" t="s">
        <v>1475</v>
      </c>
      <c r="F72" s="79">
        <v>45840.0</v>
      </c>
      <c r="G72" s="77" t="s">
        <v>12</v>
      </c>
      <c r="H72" s="77" t="s">
        <v>1315</v>
      </c>
      <c r="I72" s="80">
        <v>334.0</v>
      </c>
      <c r="J72" s="81" t="s">
        <v>2444</v>
      </c>
      <c r="K72" s="82" t="s">
        <v>2445</v>
      </c>
      <c r="L72" s="83"/>
      <c r="M72" s="84"/>
    </row>
    <row r="73">
      <c r="A73" s="76" t="s">
        <v>557</v>
      </c>
      <c r="B73" s="77" t="s">
        <v>1324</v>
      </c>
      <c r="C73" s="78">
        <v>18560.0</v>
      </c>
      <c r="D73" s="77" t="s">
        <v>1326</v>
      </c>
      <c r="E73" s="77" t="s">
        <v>1485</v>
      </c>
      <c r="F73" s="79">
        <v>45840.0</v>
      </c>
      <c r="G73" s="77" t="s">
        <v>16</v>
      </c>
      <c r="H73" s="77" t="s">
        <v>1315</v>
      </c>
      <c r="I73" s="80">
        <v>334.0</v>
      </c>
      <c r="J73" s="81" t="s">
        <v>2444</v>
      </c>
      <c r="K73" s="82" t="s">
        <v>2445</v>
      </c>
      <c r="L73" s="83"/>
      <c r="M73" s="84"/>
    </row>
    <row r="74">
      <c r="A74" s="76" t="s">
        <v>559</v>
      </c>
      <c r="B74" s="77" t="s">
        <v>1324</v>
      </c>
      <c r="C74" s="78">
        <v>78286.0</v>
      </c>
      <c r="D74" s="77" t="s">
        <v>1326</v>
      </c>
      <c r="E74" s="77" t="s">
        <v>1487</v>
      </c>
      <c r="F74" s="79">
        <v>45840.0</v>
      </c>
      <c r="G74" s="77" t="s">
        <v>16</v>
      </c>
      <c r="H74" s="77" t="s">
        <v>1315</v>
      </c>
      <c r="I74" s="80">
        <v>334.0</v>
      </c>
      <c r="J74" s="81" t="s">
        <v>2444</v>
      </c>
      <c r="K74" s="82" t="s">
        <v>2445</v>
      </c>
      <c r="L74" s="83"/>
      <c r="M74" s="84"/>
    </row>
    <row r="75">
      <c r="A75" s="76" t="s">
        <v>561</v>
      </c>
      <c r="B75" s="77" t="s">
        <v>1324</v>
      </c>
      <c r="C75" s="78">
        <v>74703.0</v>
      </c>
      <c r="D75" s="77" t="s">
        <v>1489</v>
      </c>
      <c r="E75" s="77" t="s">
        <v>1490</v>
      </c>
      <c r="F75" s="79">
        <v>45840.0</v>
      </c>
      <c r="G75" s="77" t="s">
        <v>1491</v>
      </c>
      <c r="H75" s="77" t="s">
        <v>1315</v>
      </c>
      <c r="I75" s="80">
        <v>334.0</v>
      </c>
      <c r="J75" s="81" t="s">
        <v>2444</v>
      </c>
      <c r="K75" s="82" t="s">
        <v>2445</v>
      </c>
      <c r="L75" s="83"/>
      <c r="M75" s="84"/>
    </row>
    <row r="76">
      <c r="A76" s="76" t="s">
        <v>563</v>
      </c>
      <c r="B76" s="77" t="s">
        <v>1324</v>
      </c>
      <c r="C76" s="78">
        <v>74703.0</v>
      </c>
      <c r="D76" s="77" t="s">
        <v>1489</v>
      </c>
      <c r="E76" s="77" t="s">
        <v>1496</v>
      </c>
      <c r="F76" s="79">
        <v>45840.0</v>
      </c>
      <c r="G76" s="77" t="s">
        <v>16</v>
      </c>
      <c r="H76" s="77" t="s">
        <v>1315</v>
      </c>
      <c r="I76" s="80">
        <v>334.0</v>
      </c>
      <c r="J76" s="81" t="s">
        <v>2444</v>
      </c>
      <c r="K76" s="82" t="s">
        <v>2445</v>
      </c>
      <c r="L76" s="83"/>
      <c r="M76" s="84"/>
    </row>
    <row r="77">
      <c r="A77" s="76" t="s">
        <v>565</v>
      </c>
      <c r="B77" s="77" t="s">
        <v>1324</v>
      </c>
      <c r="C77" s="78">
        <v>78286.0</v>
      </c>
      <c r="D77" s="77" t="s">
        <v>1326</v>
      </c>
      <c r="E77" s="77" t="s">
        <v>1494</v>
      </c>
      <c r="F77" s="79">
        <v>45840.0</v>
      </c>
      <c r="G77" s="77" t="s">
        <v>16</v>
      </c>
      <c r="H77" s="77" t="s">
        <v>1315</v>
      </c>
      <c r="I77" s="80">
        <v>334.0</v>
      </c>
      <c r="J77" s="81" t="s">
        <v>2444</v>
      </c>
      <c r="K77" s="82" t="s">
        <v>2445</v>
      </c>
      <c r="L77" s="83"/>
      <c r="M77" s="84"/>
    </row>
    <row r="78">
      <c r="A78" s="76" t="s">
        <v>567</v>
      </c>
      <c r="B78" s="77" t="s">
        <v>1324</v>
      </c>
      <c r="C78" s="78">
        <v>78286.0</v>
      </c>
      <c r="D78" s="77" t="s">
        <v>1326</v>
      </c>
      <c r="E78" s="77" t="s">
        <v>1495</v>
      </c>
      <c r="F78" s="79">
        <v>45840.0</v>
      </c>
      <c r="G78" s="77" t="s">
        <v>1491</v>
      </c>
      <c r="H78" s="77" t="s">
        <v>1315</v>
      </c>
      <c r="I78" s="80">
        <v>334.0</v>
      </c>
      <c r="J78" s="81" t="s">
        <v>2444</v>
      </c>
      <c r="K78" s="82" t="s">
        <v>2445</v>
      </c>
      <c r="L78" s="83"/>
      <c r="M78" s="84"/>
    </row>
    <row r="79">
      <c r="A79" s="76" t="s">
        <v>523</v>
      </c>
      <c r="B79" s="77" t="s">
        <v>115</v>
      </c>
      <c r="C79" s="78">
        <v>22373.0</v>
      </c>
      <c r="D79" s="77" t="s">
        <v>1390</v>
      </c>
      <c r="E79" s="78">
        <v>56422.0</v>
      </c>
      <c r="F79" s="79">
        <v>45840.0</v>
      </c>
      <c r="G79" s="77" t="s">
        <v>1376</v>
      </c>
      <c r="H79" s="77" t="s">
        <v>1315</v>
      </c>
      <c r="I79" s="80">
        <v>334.0</v>
      </c>
      <c r="J79" s="89" t="s">
        <v>2441</v>
      </c>
      <c r="K79" s="82" t="s">
        <v>2464</v>
      </c>
      <c r="L79" s="83"/>
      <c r="M79" s="84"/>
    </row>
    <row r="80">
      <c r="A80" s="76" t="s">
        <v>569</v>
      </c>
      <c r="B80" s="77" t="s">
        <v>127</v>
      </c>
      <c r="C80" s="77" t="s">
        <v>232</v>
      </c>
      <c r="D80" s="77" t="s">
        <v>128</v>
      </c>
      <c r="E80" s="78">
        <v>8.6800893E7</v>
      </c>
      <c r="F80" s="79">
        <v>45849.0</v>
      </c>
      <c r="G80" s="77" t="s">
        <v>16</v>
      </c>
      <c r="H80" s="77" t="s">
        <v>1315</v>
      </c>
      <c r="I80" s="80">
        <v>325.0</v>
      </c>
      <c r="J80" s="79">
        <v>46100.0</v>
      </c>
      <c r="K80" s="82" t="s">
        <v>16</v>
      </c>
      <c r="L80" s="81" t="s">
        <v>2467</v>
      </c>
      <c r="M80" s="81">
        <v>8.6816488E7</v>
      </c>
    </row>
    <row r="81">
      <c r="A81" s="76" t="s">
        <v>571</v>
      </c>
      <c r="B81" s="77" t="s">
        <v>145</v>
      </c>
      <c r="C81" s="78">
        <v>59875.0</v>
      </c>
      <c r="D81" s="77" t="s">
        <v>146</v>
      </c>
      <c r="E81" s="86">
        <v>3614.0</v>
      </c>
      <c r="F81" s="79">
        <v>45849.0</v>
      </c>
      <c r="G81" s="77" t="s">
        <v>1500</v>
      </c>
      <c r="H81" s="77" t="s">
        <v>1315</v>
      </c>
      <c r="I81" s="80">
        <v>325.0</v>
      </c>
      <c r="J81" s="81" t="s">
        <v>2441</v>
      </c>
      <c r="K81" s="82" t="s">
        <v>2445</v>
      </c>
      <c r="L81" s="83"/>
      <c r="M81" s="84"/>
    </row>
    <row r="82">
      <c r="A82" s="76" t="s">
        <v>575</v>
      </c>
      <c r="B82" s="77" t="s">
        <v>79</v>
      </c>
      <c r="C82" s="77" t="s">
        <v>1503</v>
      </c>
      <c r="D82" s="77" t="s">
        <v>1504</v>
      </c>
      <c r="E82" s="96">
        <v>235.0</v>
      </c>
      <c r="F82" s="79">
        <v>45853.0</v>
      </c>
      <c r="G82" s="77" t="s">
        <v>12</v>
      </c>
      <c r="H82" s="77" t="s">
        <v>1315</v>
      </c>
      <c r="I82" s="80">
        <v>321.0</v>
      </c>
      <c r="J82" s="81" t="s">
        <v>2441</v>
      </c>
      <c r="K82" s="82" t="s">
        <v>2445</v>
      </c>
      <c r="L82" s="83"/>
      <c r="M82" s="84"/>
    </row>
    <row r="83">
      <c r="A83" s="76" t="s">
        <v>577</v>
      </c>
      <c r="B83" s="77" t="s">
        <v>123</v>
      </c>
      <c r="C83" s="77" t="s">
        <v>1505</v>
      </c>
      <c r="D83" s="77" t="s">
        <v>1506</v>
      </c>
      <c r="E83" s="78">
        <v>5236.0</v>
      </c>
      <c r="F83" s="79">
        <v>45855.0</v>
      </c>
      <c r="G83" s="77" t="s">
        <v>17</v>
      </c>
      <c r="H83" s="77" t="s">
        <v>1315</v>
      </c>
      <c r="I83" s="80">
        <v>319.0</v>
      </c>
      <c r="J83" s="83"/>
      <c r="K83" s="81" t="s">
        <v>2473</v>
      </c>
      <c r="L83" s="83"/>
      <c r="M83" s="81" t="s">
        <v>2488</v>
      </c>
    </row>
    <row r="84">
      <c r="A84" s="76" t="s">
        <v>591</v>
      </c>
      <c r="B84" s="77" t="s">
        <v>183</v>
      </c>
      <c r="C84" s="77" t="s">
        <v>232</v>
      </c>
      <c r="D84" s="77" t="s">
        <v>184</v>
      </c>
      <c r="E84" s="78">
        <v>7.1308676E7</v>
      </c>
      <c r="F84" s="79">
        <v>45869.0</v>
      </c>
      <c r="G84" s="77" t="s">
        <v>20</v>
      </c>
      <c r="H84" s="77" t="s">
        <v>1315</v>
      </c>
      <c r="I84" s="80">
        <v>305.0</v>
      </c>
      <c r="J84" s="97">
        <v>46014.0</v>
      </c>
      <c r="K84" s="82" t="s">
        <v>1352</v>
      </c>
      <c r="L84" s="81" t="s">
        <v>2489</v>
      </c>
      <c r="M84" s="81">
        <v>7.1305219E7</v>
      </c>
    </row>
    <row r="85">
      <c r="A85" s="76" t="s">
        <v>587</v>
      </c>
      <c r="B85" s="77" t="s">
        <v>161</v>
      </c>
      <c r="C85" s="77" t="s">
        <v>232</v>
      </c>
      <c r="D85" s="77" t="s">
        <v>162</v>
      </c>
      <c r="E85" s="78">
        <v>4.7204432E7</v>
      </c>
      <c r="F85" s="79">
        <v>45869.0</v>
      </c>
      <c r="G85" s="77" t="s">
        <v>13</v>
      </c>
      <c r="H85" s="77" t="s">
        <v>1315</v>
      </c>
      <c r="I85" s="80">
        <v>305.0</v>
      </c>
      <c r="J85" s="88">
        <v>45916.0</v>
      </c>
      <c r="K85" s="82" t="s">
        <v>16</v>
      </c>
      <c r="L85" s="81" t="s">
        <v>2490</v>
      </c>
      <c r="M85" s="81">
        <v>4.7202466E7</v>
      </c>
    </row>
    <row r="86">
      <c r="A86" s="76" t="s">
        <v>585</v>
      </c>
      <c r="B86" s="77" t="s">
        <v>183</v>
      </c>
      <c r="C86" s="77" t="s">
        <v>232</v>
      </c>
      <c r="D86" s="77" t="s">
        <v>184</v>
      </c>
      <c r="E86" s="78">
        <v>7.1306307E7</v>
      </c>
      <c r="F86" s="79">
        <v>45869.0</v>
      </c>
      <c r="G86" s="77" t="s">
        <v>20</v>
      </c>
      <c r="H86" s="77" t="s">
        <v>1315</v>
      </c>
      <c r="I86" s="80">
        <v>305.0</v>
      </c>
      <c r="J86" s="81" t="s">
        <v>2441</v>
      </c>
      <c r="K86" s="82" t="s">
        <v>2442</v>
      </c>
      <c r="L86" s="83"/>
      <c r="M86" s="84"/>
    </row>
    <row r="87">
      <c r="A87" s="76" t="s">
        <v>583</v>
      </c>
      <c r="B87" s="77" t="s">
        <v>163</v>
      </c>
      <c r="C87" s="78">
        <v>16455.0</v>
      </c>
      <c r="D87" s="77" t="s">
        <v>1510</v>
      </c>
      <c r="E87" s="77" t="s">
        <v>1511</v>
      </c>
      <c r="F87" s="79">
        <v>45869.0</v>
      </c>
      <c r="G87" s="77" t="s">
        <v>12</v>
      </c>
      <c r="H87" s="77" t="s">
        <v>1315</v>
      </c>
      <c r="I87" s="80">
        <v>305.0</v>
      </c>
      <c r="J87" s="81" t="s">
        <v>2441</v>
      </c>
      <c r="K87" s="82" t="s">
        <v>2445</v>
      </c>
      <c r="L87" s="83"/>
      <c r="M87" s="84"/>
    </row>
    <row r="88">
      <c r="A88" s="76" t="s">
        <v>595</v>
      </c>
      <c r="B88" s="77" t="s">
        <v>1519</v>
      </c>
      <c r="C88" s="78">
        <v>22373.0</v>
      </c>
      <c r="D88" s="77" t="s">
        <v>1520</v>
      </c>
      <c r="E88" s="78">
        <v>8259.0</v>
      </c>
      <c r="F88" s="79">
        <v>45882.0</v>
      </c>
      <c r="G88" s="77" t="s">
        <v>24</v>
      </c>
      <c r="H88" s="77" t="s">
        <v>1315</v>
      </c>
      <c r="I88" s="80">
        <v>292.0</v>
      </c>
      <c r="J88" s="81" t="s">
        <v>2441</v>
      </c>
      <c r="K88" s="82" t="s">
        <v>2442</v>
      </c>
      <c r="L88" s="83"/>
      <c r="M88" s="84"/>
    </row>
    <row r="89">
      <c r="A89" s="76" t="s">
        <v>627</v>
      </c>
      <c r="B89" s="77" t="s">
        <v>1398</v>
      </c>
      <c r="C89" s="78">
        <v>33269.0</v>
      </c>
      <c r="D89" s="77" t="s">
        <v>1400</v>
      </c>
      <c r="E89" s="77" t="s">
        <v>1527</v>
      </c>
      <c r="F89" s="79">
        <v>45891.0</v>
      </c>
      <c r="G89" s="77" t="s">
        <v>1364</v>
      </c>
      <c r="H89" s="77" t="s">
        <v>1315</v>
      </c>
      <c r="I89" s="80">
        <v>283.0</v>
      </c>
      <c r="J89" s="79">
        <v>46092.0</v>
      </c>
      <c r="K89" s="82" t="s">
        <v>16</v>
      </c>
      <c r="L89" s="81" t="s">
        <v>2470</v>
      </c>
      <c r="M89" s="84"/>
    </row>
    <row r="90">
      <c r="A90" s="76" t="s">
        <v>631</v>
      </c>
      <c r="B90" s="77" t="s">
        <v>61</v>
      </c>
      <c r="C90" s="78">
        <v>33269.0</v>
      </c>
      <c r="D90" s="77" t="s">
        <v>1438</v>
      </c>
      <c r="E90" s="90">
        <v>3.0</v>
      </c>
      <c r="F90" s="79">
        <v>45891.0</v>
      </c>
      <c r="G90" s="77" t="s">
        <v>12</v>
      </c>
      <c r="H90" s="77" t="s">
        <v>1315</v>
      </c>
      <c r="I90" s="80">
        <v>283.0</v>
      </c>
      <c r="J90" s="79">
        <v>46119.0</v>
      </c>
      <c r="K90" s="82" t="s">
        <v>2459</v>
      </c>
      <c r="L90" s="81" t="s">
        <v>2471</v>
      </c>
      <c r="M90" s="84"/>
    </row>
    <row r="91">
      <c r="A91" s="76" t="s">
        <v>625</v>
      </c>
      <c r="B91" s="77" t="s">
        <v>1398</v>
      </c>
      <c r="C91" s="78">
        <v>33269.0</v>
      </c>
      <c r="D91" s="77" t="s">
        <v>1400</v>
      </c>
      <c r="E91" s="77" t="s">
        <v>2144</v>
      </c>
      <c r="F91" s="79">
        <v>45891.0</v>
      </c>
      <c r="G91" s="77" t="s">
        <v>1500</v>
      </c>
      <c r="H91" s="77" t="s">
        <v>1315</v>
      </c>
      <c r="I91" s="80">
        <v>283.0</v>
      </c>
      <c r="J91" s="91">
        <v>46265.0</v>
      </c>
      <c r="K91" s="98" t="s">
        <v>13</v>
      </c>
      <c r="L91" s="92" t="s">
        <v>2491</v>
      </c>
      <c r="M91" s="84"/>
    </row>
    <row r="92">
      <c r="A92" s="76" t="s">
        <v>637</v>
      </c>
      <c r="B92" s="77" t="s">
        <v>181</v>
      </c>
      <c r="C92" s="77" t="s">
        <v>232</v>
      </c>
      <c r="D92" s="77" t="s">
        <v>1530</v>
      </c>
      <c r="E92" s="78">
        <v>6.6306636E7</v>
      </c>
      <c r="F92" s="79">
        <v>45891.0</v>
      </c>
      <c r="G92" s="77" t="s">
        <v>16</v>
      </c>
      <c r="H92" s="77" t="s">
        <v>1315</v>
      </c>
      <c r="I92" s="80">
        <v>283.0</v>
      </c>
      <c r="J92" s="83"/>
      <c r="K92" s="81" t="s">
        <v>2473</v>
      </c>
      <c r="L92" s="83"/>
      <c r="M92" s="84"/>
    </row>
    <row r="93">
      <c r="A93" s="76" t="s">
        <v>641</v>
      </c>
      <c r="B93" s="77" t="s">
        <v>161</v>
      </c>
      <c r="C93" s="77" t="s">
        <v>232</v>
      </c>
      <c r="D93" s="77" t="s">
        <v>162</v>
      </c>
      <c r="E93" s="78">
        <v>4.7203806E7</v>
      </c>
      <c r="F93" s="79">
        <v>45891.0</v>
      </c>
      <c r="G93" s="77" t="s">
        <v>12</v>
      </c>
      <c r="H93" s="77" t="s">
        <v>1315</v>
      </c>
      <c r="I93" s="80">
        <v>283.0</v>
      </c>
      <c r="J93" s="93">
        <v>46262.0</v>
      </c>
      <c r="K93" s="82" t="s">
        <v>2459</v>
      </c>
      <c r="L93" s="92" t="s">
        <v>2492</v>
      </c>
      <c r="M93" s="84"/>
    </row>
    <row r="94">
      <c r="A94" s="76" t="s">
        <v>603</v>
      </c>
      <c r="B94" s="77" t="s">
        <v>1523</v>
      </c>
      <c r="C94" s="78">
        <v>66503.0</v>
      </c>
      <c r="D94" s="77" t="s">
        <v>1525</v>
      </c>
      <c r="E94" s="78">
        <v>1.2056029E7</v>
      </c>
      <c r="F94" s="79">
        <v>45891.0</v>
      </c>
      <c r="G94" s="77" t="s">
        <v>12</v>
      </c>
      <c r="H94" s="77" t="s">
        <v>1315</v>
      </c>
      <c r="I94" s="80">
        <v>283.0</v>
      </c>
      <c r="J94" s="81" t="s">
        <v>2462</v>
      </c>
      <c r="K94" s="82" t="s">
        <v>2445</v>
      </c>
      <c r="L94" s="83"/>
      <c r="M94" s="84"/>
    </row>
    <row r="95">
      <c r="A95" s="76" t="s">
        <v>623</v>
      </c>
      <c r="B95" s="77" t="s">
        <v>1394</v>
      </c>
      <c r="C95" s="78">
        <v>71513.0</v>
      </c>
      <c r="D95" s="77" t="s">
        <v>1396</v>
      </c>
      <c r="E95" s="77" t="s">
        <v>2143</v>
      </c>
      <c r="F95" s="79">
        <v>45891.0</v>
      </c>
      <c r="G95" s="77" t="s">
        <v>12</v>
      </c>
      <c r="H95" s="77" t="s">
        <v>1315</v>
      </c>
      <c r="I95" s="80">
        <v>283.0</v>
      </c>
      <c r="J95" s="93">
        <v>46232.0</v>
      </c>
      <c r="K95" s="82" t="s">
        <v>2459</v>
      </c>
      <c r="L95" s="92" t="s">
        <v>2472</v>
      </c>
      <c r="M95" s="84"/>
    </row>
    <row r="96">
      <c r="A96" s="76" t="s">
        <v>633</v>
      </c>
      <c r="B96" s="77" t="s">
        <v>63</v>
      </c>
      <c r="C96" s="78">
        <v>71513.0</v>
      </c>
      <c r="D96" s="77" t="s">
        <v>1432</v>
      </c>
      <c r="E96" s="77" t="s">
        <v>2147</v>
      </c>
      <c r="F96" s="79">
        <v>45891.0</v>
      </c>
      <c r="G96" s="77" t="s">
        <v>12</v>
      </c>
      <c r="H96" s="77" t="s">
        <v>1315</v>
      </c>
      <c r="I96" s="80">
        <v>283.0</v>
      </c>
      <c r="J96" s="93">
        <v>46232.0</v>
      </c>
      <c r="K96" s="82" t="s">
        <v>2459</v>
      </c>
      <c r="L96" s="92" t="s">
        <v>2472</v>
      </c>
      <c r="M96" s="84"/>
    </row>
    <row r="97">
      <c r="A97" s="76" t="s">
        <v>639</v>
      </c>
      <c r="B97" s="77" t="s">
        <v>181</v>
      </c>
      <c r="C97" s="77" t="s">
        <v>232</v>
      </c>
      <c r="D97" s="77" t="s">
        <v>1530</v>
      </c>
      <c r="E97" s="78">
        <v>6.6305791E7</v>
      </c>
      <c r="F97" s="79">
        <v>45891.0</v>
      </c>
      <c r="G97" s="77" t="s">
        <v>12</v>
      </c>
      <c r="H97" s="77" t="s">
        <v>1315</v>
      </c>
      <c r="I97" s="80">
        <v>283.0</v>
      </c>
      <c r="J97" s="81" t="s">
        <v>2441</v>
      </c>
      <c r="K97" s="82" t="s">
        <v>2445</v>
      </c>
      <c r="L97" s="83"/>
      <c r="M97" s="84"/>
    </row>
    <row r="98">
      <c r="A98" s="76" t="s">
        <v>643</v>
      </c>
      <c r="B98" s="77" t="s">
        <v>1534</v>
      </c>
      <c r="C98" s="85">
        <v>198.0</v>
      </c>
      <c r="D98" s="77" t="s">
        <v>1535</v>
      </c>
      <c r="E98" s="77" t="s">
        <v>1536</v>
      </c>
      <c r="F98" s="79">
        <v>45894.0</v>
      </c>
      <c r="G98" s="77" t="s">
        <v>1500</v>
      </c>
      <c r="H98" s="77" t="s">
        <v>1315</v>
      </c>
      <c r="I98" s="80">
        <v>280.0</v>
      </c>
      <c r="J98" s="97">
        <v>45946.0</v>
      </c>
      <c r="K98" s="82" t="s">
        <v>17</v>
      </c>
      <c r="L98" s="81" t="s">
        <v>2493</v>
      </c>
      <c r="M98" s="84"/>
    </row>
    <row r="99">
      <c r="A99" s="76" t="s">
        <v>645</v>
      </c>
      <c r="B99" s="77" t="s">
        <v>63</v>
      </c>
      <c r="C99" s="78">
        <v>71513.0</v>
      </c>
      <c r="D99" s="77" t="s">
        <v>1432</v>
      </c>
      <c r="E99" s="78">
        <v>479.0</v>
      </c>
      <c r="F99" s="79">
        <v>45894.0</v>
      </c>
      <c r="G99" s="77" t="s">
        <v>12</v>
      </c>
      <c r="H99" s="77" t="s">
        <v>1315</v>
      </c>
      <c r="I99" s="80">
        <v>280.0</v>
      </c>
      <c r="J99" s="81" t="s">
        <v>2444</v>
      </c>
      <c r="K99" s="82" t="s">
        <v>2445</v>
      </c>
      <c r="L99" s="83"/>
      <c r="M99" s="84"/>
    </row>
    <row r="100">
      <c r="A100" s="76" t="s">
        <v>649</v>
      </c>
      <c r="B100" s="77" t="s">
        <v>155</v>
      </c>
      <c r="C100" s="77" t="s">
        <v>232</v>
      </c>
      <c r="D100" s="77" t="s">
        <v>156</v>
      </c>
      <c r="E100" s="77" t="s">
        <v>1542</v>
      </c>
      <c r="F100" s="79">
        <v>45898.0</v>
      </c>
      <c r="G100" s="77" t="s">
        <v>13</v>
      </c>
      <c r="H100" s="77" t="s">
        <v>1315</v>
      </c>
      <c r="I100" s="80">
        <v>276.0</v>
      </c>
      <c r="J100" s="97">
        <v>45953.0</v>
      </c>
      <c r="K100" s="82" t="s">
        <v>16</v>
      </c>
      <c r="L100" s="81" t="s">
        <v>2494</v>
      </c>
      <c r="M100" s="81" t="s">
        <v>2495</v>
      </c>
    </row>
    <row r="101">
      <c r="A101" s="76" t="s">
        <v>651</v>
      </c>
      <c r="B101" s="77" t="s">
        <v>1602</v>
      </c>
      <c r="C101" s="78">
        <v>22373.0</v>
      </c>
      <c r="D101" s="77" t="s">
        <v>1603</v>
      </c>
      <c r="E101" s="78">
        <v>2953.0</v>
      </c>
      <c r="F101" s="79">
        <v>45898.0</v>
      </c>
      <c r="G101" s="77" t="s">
        <v>13</v>
      </c>
      <c r="H101" s="77" t="s">
        <v>1315</v>
      </c>
      <c r="I101" s="80">
        <v>276.0</v>
      </c>
      <c r="J101" s="97">
        <v>45940.0</v>
      </c>
      <c r="K101" s="82" t="s">
        <v>17</v>
      </c>
      <c r="L101" s="81" t="s">
        <v>2496</v>
      </c>
      <c r="M101" s="84"/>
    </row>
    <row r="102">
      <c r="A102" s="76" t="s">
        <v>653</v>
      </c>
      <c r="B102" s="77" t="s">
        <v>1602</v>
      </c>
      <c r="C102" s="78">
        <v>22373.0</v>
      </c>
      <c r="D102" s="77" t="s">
        <v>1603</v>
      </c>
      <c r="E102" s="78">
        <v>2982.0</v>
      </c>
      <c r="F102" s="79">
        <v>45898.0</v>
      </c>
      <c r="G102" s="77" t="s">
        <v>13</v>
      </c>
      <c r="H102" s="77" t="s">
        <v>1315</v>
      </c>
      <c r="I102" s="80">
        <v>276.0</v>
      </c>
      <c r="J102" s="97">
        <v>45940.0</v>
      </c>
      <c r="K102" s="82" t="s">
        <v>17</v>
      </c>
      <c r="L102" s="81" t="s">
        <v>2496</v>
      </c>
      <c r="M102" s="84"/>
    </row>
    <row r="103">
      <c r="A103" s="76" t="s">
        <v>647</v>
      </c>
      <c r="B103" s="77" t="s">
        <v>155</v>
      </c>
      <c r="C103" s="77" t="s">
        <v>232</v>
      </c>
      <c r="D103" s="77" t="s">
        <v>156</v>
      </c>
      <c r="E103" s="77" t="s">
        <v>1540</v>
      </c>
      <c r="F103" s="79">
        <v>45898.0</v>
      </c>
      <c r="G103" s="77" t="s">
        <v>13</v>
      </c>
      <c r="H103" s="77" t="s">
        <v>1315</v>
      </c>
      <c r="I103" s="80">
        <v>276.0</v>
      </c>
      <c r="J103" s="81" t="s">
        <v>2441</v>
      </c>
      <c r="K103" s="82" t="s">
        <v>2445</v>
      </c>
      <c r="L103" s="83"/>
      <c r="M103" s="84"/>
    </row>
    <row r="104">
      <c r="A104" s="76" t="s">
        <v>655</v>
      </c>
      <c r="B104" s="77" t="s">
        <v>63</v>
      </c>
      <c r="C104" s="78">
        <v>71513.0</v>
      </c>
      <c r="D104" s="77" t="s">
        <v>1432</v>
      </c>
      <c r="E104" s="77" t="s">
        <v>1966</v>
      </c>
      <c r="F104" s="79">
        <v>45910.0</v>
      </c>
      <c r="G104" s="77" t="s">
        <v>1364</v>
      </c>
      <c r="H104" s="77" t="s">
        <v>2007</v>
      </c>
      <c r="I104" s="80">
        <v>264.0</v>
      </c>
      <c r="J104" s="83"/>
      <c r="K104" s="81"/>
      <c r="L104" s="83"/>
      <c r="M104" s="81" t="s">
        <v>2497</v>
      </c>
    </row>
    <row r="105">
      <c r="A105" s="76" t="s">
        <v>675</v>
      </c>
      <c r="B105" s="77" t="s">
        <v>2010</v>
      </c>
      <c r="C105" s="78">
        <v>74025.0</v>
      </c>
      <c r="D105" s="77" t="s">
        <v>2012</v>
      </c>
      <c r="E105" s="78">
        <v>1.0603742E7</v>
      </c>
      <c r="F105" s="79">
        <v>45917.0</v>
      </c>
      <c r="G105" s="77" t="s">
        <v>12</v>
      </c>
      <c r="H105" s="77" t="s">
        <v>1315</v>
      </c>
      <c r="I105" s="80">
        <v>257.0</v>
      </c>
      <c r="J105" s="93">
        <v>46195.0</v>
      </c>
      <c r="K105" s="82" t="s">
        <v>2459</v>
      </c>
      <c r="L105" s="92" t="s">
        <v>2474</v>
      </c>
      <c r="M105" s="84"/>
    </row>
    <row r="106">
      <c r="A106" s="76" t="s">
        <v>677</v>
      </c>
      <c r="B106" s="77" t="s">
        <v>1398</v>
      </c>
      <c r="C106" s="78">
        <v>33269.0</v>
      </c>
      <c r="D106" s="77" t="s">
        <v>1400</v>
      </c>
      <c r="E106" s="77" t="s">
        <v>1549</v>
      </c>
      <c r="F106" s="79">
        <v>45917.0</v>
      </c>
      <c r="G106" s="77" t="s">
        <v>20</v>
      </c>
      <c r="H106" s="77" t="s">
        <v>1315</v>
      </c>
      <c r="I106" s="80">
        <v>257.0</v>
      </c>
      <c r="J106" s="79">
        <v>46122.0</v>
      </c>
      <c r="K106" s="82" t="s">
        <v>16</v>
      </c>
      <c r="L106" s="81" t="s">
        <v>2498</v>
      </c>
      <c r="M106" s="84"/>
    </row>
    <row r="107">
      <c r="A107" s="76" t="s">
        <v>681</v>
      </c>
      <c r="B107" s="77" t="s">
        <v>1398</v>
      </c>
      <c r="C107" s="78">
        <v>33269.0</v>
      </c>
      <c r="D107" s="77" t="s">
        <v>1400</v>
      </c>
      <c r="E107" s="78">
        <v>327.0</v>
      </c>
      <c r="F107" s="79">
        <v>45917.0</v>
      </c>
      <c r="G107" s="77" t="s">
        <v>16</v>
      </c>
      <c r="H107" s="77" t="s">
        <v>1315</v>
      </c>
      <c r="I107" s="80">
        <v>257.0</v>
      </c>
      <c r="J107" s="79">
        <v>45961.0</v>
      </c>
      <c r="K107" s="82" t="s">
        <v>16</v>
      </c>
      <c r="L107" s="81" t="s">
        <v>2499</v>
      </c>
      <c r="M107" s="84"/>
    </row>
    <row r="108">
      <c r="A108" s="76" t="s">
        <v>665</v>
      </c>
      <c r="B108" s="77" t="s">
        <v>1544</v>
      </c>
      <c r="C108" s="85">
        <v>7213.0</v>
      </c>
      <c r="D108" s="77" t="s">
        <v>1546</v>
      </c>
      <c r="E108" s="77" t="s">
        <v>1547</v>
      </c>
      <c r="F108" s="79">
        <v>45917.0</v>
      </c>
      <c r="G108" s="77" t="s">
        <v>1500</v>
      </c>
      <c r="H108" s="77" t="s">
        <v>1315</v>
      </c>
      <c r="I108" s="80">
        <v>257.0</v>
      </c>
      <c r="J108" s="97">
        <v>45973.0</v>
      </c>
      <c r="K108" s="82" t="s">
        <v>17</v>
      </c>
      <c r="L108" s="81" t="s">
        <v>2500</v>
      </c>
      <c r="M108" s="84"/>
    </row>
    <row r="109">
      <c r="A109" s="76" t="s">
        <v>667</v>
      </c>
      <c r="B109" s="77" t="s">
        <v>2165</v>
      </c>
      <c r="C109" s="85">
        <v>7213.0</v>
      </c>
      <c r="D109" s="77" t="s">
        <v>1546</v>
      </c>
      <c r="E109" s="77" t="s">
        <v>2166</v>
      </c>
      <c r="F109" s="79">
        <v>45917.0</v>
      </c>
      <c r="G109" s="77" t="s">
        <v>1500</v>
      </c>
      <c r="H109" s="77" t="s">
        <v>1315</v>
      </c>
      <c r="I109" s="80">
        <v>257.0</v>
      </c>
      <c r="J109" s="81" t="s">
        <v>2441</v>
      </c>
      <c r="K109" s="82" t="s">
        <v>2442</v>
      </c>
      <c r="L109" s="83"/>
      <c r="M109" s="84"/>
    </row>
    <row r="110">
      <c r="A110" s="76" t="s">
        <v>657</v>
      </c>
      <c r="B110" s="77" t="s">
        <v>207</v>
      </c>
      <c r="C110" s="77" t="s">
        <v>48</v>
      </c>
      <c r="D110" s="77" t="s">
        <v>208</v>
      </c>
      <c r="E110" s="77" t="s">
        <v>2153</v>
      </c>
      <c r="F110" s="79">
        <v>45917.0</v>
      </c>
      <c r="G110" s="77" t="s">
        <v>16</v>
      </c>
      <c r="H110" s="77" t="s">
        <v>1315</v>
      </c>
      <c r="I110" s="80">
        <v>257.0</v>
      </c>
      <c r="J110" s="93">
        <v>46204.0</v>
      </c>
      <c r="K110" s="82" t="s">
        <v>16</v>
      </c>
      <c r="L110" s="92" t="s">
        <v>2501</v>
      </c>
      <c r="M110" s="84"/>
    </row>
    <row r="111">
      <c r="A111" s="76" t="s">
        <v>669</v>
      </c>
      <c r="B111" s="77" t="s">
        <v>1398</v>
      </c>
      <c r="C111" s="78">
        <v>33269.0</v>
      </c>
      <c r="D111" s="77" t="s">
        <v>1400</v>
      </c>
      <c r="E111" s="78">
        <v>571.0</v>
      </c>
      <c r="F111" s="79">
        <v>45917.0</v>
      </c>
      <c r="G111" s="77" t="s">
        <v>16</v>
      </c>
      <c r="H111" s="77" t="s">
        <v>1315</v>
      </c>
      <c r="I111" s="80">
        <v>257.0</v>
      </c>
      <c r="J111" s="81" t="s">
        <v>2462</v>
      </c>
      <c r="K111" s="82" t="s">
        <v>2445</v>
      </c>
      <c r="L111" s="83"/>
      <c r="M111" s="84"/>
    </row>
    <row r="112">
      <c r="A112" s="76" t="s">
        <v>679</v>
      </c>
      <c r="B112" s="77" t="s">
        <v>1398</v>
      </c>
      <c r="C112" s="78">
        <v>33269.0</v>
      </c>
      <c r="D112" s="77" t="s">
        <v>1400</v>
      </c>
      <c r="E112" s="90">
        <v>1.0</v>
      </c>
      <c r="F112" s="79">
        <v>45917.0</v>
      </c>
      <c r="G112" s="77" t="s">
        <v>17</v>
      </c>
      <c r="H112" s="77" t="s">
        <v>1315</v>
      </c>
      <c r="I112" s="80">
        <v>257.0</v>
      </c>
      <c r="J112" s="81" t="s">
        <v>2444</v>
      </c>
      <c r="K112" s="82" t="s">
        <v>2445</v>
      </c>
      <c r="L112" s="83"/>
      <c r="M112" s="84"/>
    </row>
    <row r="113">
      <c r="A113" s="76" t="s">
        <v>663</v>
      </c>
      <c r="B113" s="77" t="s">
        <v>2158</v>
      </c>
      <c r="C113" s="77" t="s">
        <v>48</v>
      </c>
      <c r="D113" s="77" t="s">
        <v>2159</v>
      </c>
      <c r="E113" s="77" t="s">
        <v>2162</v>
      </c>
      <c r="F113" s="79">
        <v>45917.0</v>
      </c>
      <c r="G113" s="77" t="s">
        <v>1425</v>
      </c>
      <c r="H113" s="77" t="s">
        <v>1315</v>
      </c>
      <c r="I113" s="80">
        <v>257.0</v>
      </c>
      <c r="J113" s="89" t="s">
        <v>2502</v>
      </c>
      <c r="K113" s="82" t="s">
        <v>2464</v>
      </c>
      <c r="L113" s="81" t="s">
        <v>2503</v>
      </c>
      <c r="M113" s="84"/>
    </row>
    <row r="114">
      <c r="A114" s="76" t="s">
        <v>683</v>
      </c>
      <c r="B114" s="77" t="s">
        <v>1523</v>
      </c>
      <c r="C114" s="78">
        <v>66503.0</v>
      </c>
      <c r="D114" s="77" t="s">
        <v>1525</v>
      </c>
      <c r="E114" s="78">
        <v>1.6389901E7</v>
      </c>
      <c r="F114" s="79">
        <v>45937.0</v>
      </c>
      <c r="G114" s="77" t="s">
        <v>12</v>
      </c>
      <c r="H114" s="77" t="s">
        <v>1315</v>
      </c>
      <c r="I114" s="80">
        <v>237.0</v>
      </c>
      <c r="J114" s="81" t="s">
        <v>2441</v>
      </c>
      <c r="K114" s="82" t="s">
        <v>2442</v>
      </c>
      <c r="L114" s="83"/>
      <c r="M114" s="84"/>
    </row>
    <row r="115">
      <c r="A115" s="76" t="s">
        <v>687</v>
      </c>
      <c r="B115" s="77" t="s">
        <v>1523</v>
      </c>
      <c r="C115" s="78">
        <v>66503.0</v>
      </c>
      <c r="D115" s="77" t="s">
        <v>1525</v>
      </c>
      <c r="E115" s="77" t="s">
        <v>1556</v>
      </c>
      <c r="F115" s="79">
        <v>45937.0</v>
      </c>
      <c r="G115" s="77" t="s">
        <v>16</v>
      </c>
      <c r="H115" s="77" t="s">
        <v>1315</v>
      </c>
      <c r="I115" s="80">
        <v>237.0</v>
      </c>
      <c r="J115" s="81" t="s">
        <v>2441</v>
      </c>
      <c r="K115" s="82" t="s">
        <v>2442</v>
      </c>
      <c r="L115" s="83"/>
      <c r="M115" s="84"/>
    </row>
    <row r="116">
      <c r="A116" s="76" t="s">
        <v>693</v>
      </c>
      <c r="B116" s="77" t="s">
        <v>181</v>
      </c>
      <c r="C116" s="77" t="s">
        <v>232</v>
      </c>
      <c r="D116" s="77" t="s">
        <v>1530</v>
      </c>
      <c r="E116" s="78">
        <v>6.6307595E7</v>
      </c>
      <c r="F116" s="79">
        <v>45937.0</v>
      </c>
      <c r="G116" s="77" t="s">
        <v>1491</v>
      </c>
      <c r="H116" s="77" t="s">
        <v>1315</v>
      </c>
      <c r="I116" s="80">
        <v>237.0</v>
      </c>
      <c r="J116" s="81" t="s">
        <v>2441</v>
      </c>
      <c r="K116" s="82" t="s">
        <v>2445</v>
      </c>
      <c r="L116" s="83"/>
      <c r="M116" s="99">
        <v>6.6305639E7</v>
      </c>
    </row>
    <row r="117">
      <c r="A117" s="76" t="s">
        <v>701</v>
      </c>
      <c r="B117" s="77" t="s">
        <v>181</v>
      </c>
      <c r="C117" s="77" t="s">
        <v>232</v>
      </c>
      <c r="D117" s="77" t="s">
        <v>1530</v>
      </c>
      <c r="E117" s="78">
        <v>6.6307058E7</v>
      </c>
      <c r="F117" s="79">
        <v>45939.0</v>
      </c>
      <c r="G117" s="77" t="s">
        <v>13</v>
      </c>
      <c r="H117" s="77" t="s">
        <v>1315</v>
      </c>
      <c r="I117" s="80">
        <v>235.0</v>
      </c>
      <c r="J117" s="97">
        <v>46014.0</v>
      </c>
      <c r="K117" s="82" t="s">
        <v>1352</v>
      </c>
      <c r="L117" s="81" t="s">
        <v>2504</v>
      </c>
      <c r="M117" s="81">
        <v>6.6307619E7</v>
      </c>
    </row>
    <row r="118">
      <c r="A118" s="76" t="s">
        <v>695</v>
      </c>
      <c r="B118" s="77" t="s">
        <v>1560</v>
      </c>
      <c r="C118" s="77" t="s">
        <v>48</v>
      </c>
      <c r="D118" s="77" t="s">
        <v>1561</v>
      </c>
      <c r="E118" s="87"/>
      <c r="F118" s="79">
        <v>45939.0</v>
      </c>
      <c r="G118" s="77" t="s">
        <v>1500</v>
      </c>
      <c r="H118" s="77" t="s">
        <v>1315</v>
      </c>
      <c r="I118" s="80">
        <v>235.0</v>
      </c>
      <c r="J118" s="83"/>
      <c r="K118" s="81" t="s">
        <v>2473</v>
      </c>
      <c r="L118" s="83"/>
      <c r="M118" s="84"/>
    </row>
    <row r="119">
      <c r="A119" s="76" t="s">
        <v>697</v>
      </c>
      <c r="B119" s="77" t="s">
        <v>181</v>
      </c>
      <c r="C119" s="77" t="s">
        <v>232</v>
      </c>
      <c r="D119" s="77" t="s">
        <v>1530</v>
      </c>
      <c r="E119" s="78">
        <v>6.6307562E7</v>
      </c>
      <c r="F119" s="79">
        <v>45939.0</v>
      </c>
      <c r="G119" s="77" t="s">
        <v>1491</v>
      </c>
      <c r="H119" s="77" t="s">
        <v>1315</v>
      </c>
      <c r="I119" s="80">
        <v>235.0</v>
      </c>
      <c r="J119" s="81" t="s">
        <v>2441</v>
      </c>
      <c r="K119" s="82" t="s">
        <v>2445</v>
      </c>
      <c r="L119" s="83"/>
      <c r="M119" s="84"/>
    </row>
    <row r="120">
      <c r="A120" s="76" t="s">
        <v>699</v>
      </c>
      <c r="B120" s="77" t="s">
        <v>181</v>
      </c>
      <c r="C120" s="77" t="s">
        <v>232</v>
      </c>
      <c r="D120" s="77" t="s">
        <v>1530</v>
      </c>
      <c r="E120" s="78">
        <v>6.6306759E7</v>
      </c>
      <c r="F120" s="79">
        <v>45939.0</v>
      </c>
      <c r="G120" s="77" t="s">
        <v>1352</v>
      </c>
      <c r="H120" s="77" t="s">
        <v>1315</v>
      </c>
      <c r="I120" s="80">
        <v>235.0</v>
      </c>
      <c r="J120" s="81" t="s">
        <v>2441</v>
      </c>
      <c r="K120" s="82" t="s">
        <v>2445</v>
      </c>
      <c r="L120" s="83"/>
      <c r="M120" s="84"/>
    </row>
    <row r="121">
      <c r="A121" s="76" t="s">
        <v>703</v>
      </c>
      <c r="B121" s="77" t="s">
        <v>211</v>
      </c>
      <c r="C121" s="78">
        <v>22373.0</v>
      </c>
      <c r="D121" s="77" t="s">
        <v>1568</v>
      </c>
      <c r="E121" s="78">
        <v>21107.0</v>
      </c>
      <c r="F121" s="79">
        <v>45946.0</v>
      </c>
      <c r="G121" s="77" t="s">
        <v>12</v>
      </c>
      <c r="H121" s="77" t="s">
        <v>1315</v>
      </c>
      <c r="I121" s="80">
        <v>228.0</v>
      </c>
      <c r="J121" s="97">
        <v>45986.0</v>
      </c>
      <c r="K121" s="82" t="s">
        <v>17</v>
      </c>
      <c r="L121" s="81" t="s">
        <v>2505</v>
      </c>
      <c r="M121" s="84"/>
    </row>
    <row r="122">
      <c r="A122" s="76" t="s">
        <v>705</v>
      </c>
      <c r="B122" s="77" t="s">
        <v>1317</v>
      </c>
      <c r="C122" s="77" t="s">
        <v>1570</v>
      </c>
      <c r="D122" s="77" t="s">
        <v>1571</v>
      </c>
      <c r="E122" s="78">
        <v>1318.0</v>
      </c>
      <c r="F122" s="79">
        <v>45965.0</v>
      </c>
      <c r="G122" s="77" t="s">
        <v>13</v>
      </c>
      <c r="H122" s="77" t="s">
        <v>1315</v>
      </c>
      <c r="I122" s="80">
        <v>209.0</v>
      </c>
      <c r="J122" s="79">
        <v>46120.0</v>
      </c>
      <c r="K122" s="82" t="s">
        <v>17</v>
      </c>
      <c r="L122" s="81" t="s">
        <v>2506</v>
      </c>
      <c r="M122" s="84"/>
    </row>
    <row r="123">
      <c r="A123" s="76" t="s">
        <v>707</v>
      </c>
      <c r="B123" s="77" t="s">
        <v>1317</v>
      </c>
      <c r="C123" s="77" t="s">
        <v>1570</v>
      </c>
      <c r="D123" s="77" t="s">
        <v>1571</v>
      </c>
      <c r="E123" s="78">
        <v>1608.0</v>
      </c>
      <c r="F123" s="79">
        <v>45965.0</v>
      </c>
      <c r="G123" s="77" t="s">
        <v>17</v>
      </c>
      <c r="H123" s="77" t="s">
        <v>1315</v>
      </c>
      <c r="I123" s="80">
        <v>209.0</v>
      </c>
      <c r="J123" s="93">
        <v>46072.0</v>
      </c>
      <c r="K123" s="82" t="s">
        <v>17</v>
      </c>
      <c r="L123" s="92" t="s">
        <v>2507</v>
      </c>
      <c r="M123" s="84"/>
    </row>
    <row r="124">
      <c r="A124" s="76" t="s">
        <v>709</v>
      </c>
      <c r="B124" s="77" t="s">
        <v>105</v>
      </c>
      <c r="C124" s="78">
        <v>22373.0</v>
      </c>
      <c r="D124" s="77" t="s">
        <v>106</v>
      </c>
      <c r="E124" s="78">
        <v>17869.0</v>
      </c>
      <c r="F124" s="79">
        <v>45967.0</v>
      </c>
      <c r="G124" s="77" t="s">
        <v>24</v>
      </c>
      <c r="H124" s="77" t="s">
        <v>1315</v>
      </c>
      <c r="I124" s="80">
        <v>207.0</v>
      </c>
      <c r="J124" s="97">
        <v>45972.0</v>
      </c>
      <c r="K124" s="82" t="s">
        <v>24</v>
      </c>
      <c r="L124" s="81" t="s">
        <v>2508</v>
      </c>
      <c r="M124" s="84"/>
    </row>
    <row r="125">
      <c r="A125" s="76" t="s">
        <v>713</v>
      </c>
      <c r="B125" s="77" t="s">
        <v>1436</v>
      </c>
      <c r="C125" s="78">
        <v>71513.0</v>
      </c>
      <c r="D125" s="77" t="s">
        <v>1437</v>
      </c>
      <c r="E125" s="90">
        <v>7.0</v>
      </c>
      <c r="F125" s="79">
        <v>45968.0</v>
      </c>
      <c r="G125" s="77" t="s">
        <v>17</v>
      </c>
      <c r="H125" s="77" t="s">
        <v>1315</v>
      </c>
      <c r="I125" s="80">
        <v>206.0</v>
      </c>
      <c r="J125" s="81" t="s">
        <v>2469</v>
      </c>
      <c r="K125" s="82" t="s">
        <v>2446</v>
      </c>
      <c r="L125" s="83"/>
      <c r="M125" s="84"/>
    </row>
    <row r="126">
      <c r="A126" s="76" t="s">
        <v>711</v>
      </c>
      <c r="B126" s="77" t="s">
        <v>1576</v>
      </c>
      <c r="C126" s="78">
        <v>86887.0</v>
      </c>
      <c r="D126" s="77" t="s">
        <v>1578</v>
      </c>
      <c r="E126" s="77" t="s">
        <v>1579</v>
      </c>
      <c r="F126" s="79">
        <v>45968.0</v>
      </c>
      <c r="G126" s="77" t="s">
        <v>12</v>
      </c>
      <c r="H126" s="77" t="s">
        <v>1315</v>
      </c>
      <c r="I126" s="80">
        <v>206.0</v>
      </c>
      <c r="J126" s="81" t="s">
        <v>2469</v>
      </c>
      <c r="K126" s="82" t="s">
        <v>2445</v>
      </c>
      <c r="L126" s="83"/>
      <c r="M126" s="84"/>
    </row>
    <row r="127">
      <c r="A127" s="76" t="s">
        <v>717</v>
      </c>
      <c r="B127" s="77" t="s">
        <v>1841</v>
      </c>
      <c r="C127" s="77" t="s">
        <v>1720</v>
      </c>
      <c r="D127" s="77" t="s">
        <v>1842</v>
      </c>
      <c r="E127" s="77" t="s">
        <v>2188</v>
      </c>
      <c r="F127" s="79">
        <v>45971.0</v>
      </c>
      <c r="G127" s="77" t="s">
        <v>15</v>
      </c>
      <c r="H127" s="77" t="s">
        <v>1315</v>
      </c>
      <c r="I127" s="80">
        <v>203.0</v>
      </c>
      <c r="J127" s="93">
        <v>46157.0</v>
      </c>
      <c r="K127" s="82" t="s">
        <v>2459</v>
      </c>
      <c r="L127" s="92" t="s">
        <v>2509</v>
      </c>
      <c r="M127" s="84"/>
    </row>
    <row r="128">
      <c r="A128" s="76" t="s">
        <v>725</v>
      </c>
      <c r="B128" s="77" t="s">
        <v>1580</v>
      </c>
      <c r="C128" s="78">
        <v>99167.0</v>
      </c>
      <c r="D128" s="77" t="s">
        <v>146</v>
      </c>
      <c r="E128" s="78">
        <v>1439.0</v>
      </c>
      <c r="F128" s="79">
        <v>45979.0</v>
      </c>
      <c r="G128" s="77" t="s">
        <v>1500</v>
      </c>
      <c r="H128" s="77" t="s">
        <v>1315</v>
      </c>
      <c r="I128" s="80">
        <v>195.0</v>
      </c>
      <c r="J128" s="88">
        <v>46049.0</v>
      </c>
      <c r="K128" s="82" t="s">
        <v>1352</v>
      </c>
      <c r="L128" s="81" t="s">
        <v>2510</v>
      </c>
      <c r="M128" s="84"/>
    </row>
    <row r="129">
      <c r="A129" s="76" t="s">
        <v>741</v>
      </c>
      <c r="B129" s="77" t="s">
        <v>1590</v>
      </c>
      <c r="C129" s="78">
        <v>22373.0</v>
      </c>
      <c r="D129" s="77" t="s">
        <v>1591</v>
      </c>
      <c r="E129" s="78">
        <v>96293.0</v>
      </c>
      <c r="F129" s="79">
        <v>45986.0</v>
      </c>
      <c r="G129" s="77" t="s">
        <v>17</v>
      </c>
      <c r="H129" s="77" t="s">
        <v>1315</v>
      </c>
      <c r="I129" s="80">
        <v>188.0</v>
      </c>
      <c r="J129" s="88">
        <v>46153.0</v>
      </c>
      <c r="K129" s="82" t="s">
        <v>17</v>
      </c>
      <c r="L129" s="81" t="s">
        <v>2511</v>
      </c>
      <c r="M129" s="84"/>
    </row>
    <row r="130">
      <c r="A130" s="76" t="s">
        <v>735</v>
      </c>
      <c r="B130" s="77" t="s">
        <v>260</v>
      </c>
      <c r="C130" s="78">
        <v>22373.0</v>
      </c>
      <c r="D130" s="77" t="s">
        <v>1586</v>
      </c>
      <c r="E130" s="78">
        <v>37940.0</v>
      </c>
      <c r="F130" s="79">
        <v>45986.0</v>
      </c>
      <c r="G130" s="77" t="s">
        <v>12</v>
      </c>
      <c r="H130" s="77" t="s">
        <v>1315</v>
      </c>
      <c r="I130" s="80">
        <v>188.0</v>
      </c>
      <c r="J130" s="81" t="s">
        <v>2441</v>
      </c>
      <c r="K130" s="82" t="s">
        <v>2442</v>
      </c>
      <c r="L130" s="83"/>
      <c r="M130" s="84"/>
    </row>
    <row r="131">
      <c r="A131" s="76" t="s">
        <v>737</v>
      </c>
      <c r="B131" s="77" t="s">
        <v>260</v>
      </c>
      <c r="C131" s="78">
        <v>22373.0</v>
      </c>
      <c r="D131" s="77" t="s">
        <v>1586</v>
      </c>
      <c r="E131" s="78">
        <v>39816.0</v>
      </c>
      <c r="F131" s="79">
        <v>45986.0</v>
      </c>
      <c r="G131" s="77" t="s">
        <v>12</v>
      </c>
      <c r="H131" s="77" t="s">
        <v>1315</v>
      </c>
      <c r="I131" s="80">
        <v>188.0</v>
      </c>
      <c r="J131" s="81" t="s">
        <v>2441</v>
      </c>
      <c r="K131" s="82" t="s">
        <v>2442</v>
      </c>
      <c r="L131" s="83"/>
      <c r="M131" s="84"/>
    </row>
    <row r="132">
      <c r="A132" s="76" t="s">
        <v>743</v>
      </c>
      <c r="B132" s="77" t="s">
        <v>1590</v>
      </c>
      <c r="C132" s="78">
        <v>22373.0</v>
      </c>
      <c r="D132" s="77" t="s">
        <v>1591</v>
      </c>
      <c r="E132" s="78">
        <v>89287.0</v>
      </c>
      <c r="F132" s="79">
        <v>45986.0</v>
      </c>
      <c r="G132" s="77" t="s">
        <v>24</v>
      </c>
      <c r="H132" s="77" t="s">
        <v>1315</v>
      </c>
      <c r="I132" s="80">
        <v>188.0</v>
      </c>
      <c r="J132" s="88">
        <v>46031.0</v>
      </c>
      <c r="K132" s="82" t="s">
        <v>2459</v>
      </c>
      <c r="L132" s="81" t="s">
        <v>2512</v>
      </c>
      <c r="M132" s="84"/>
    </row>
    <row r="133">
      <c r="A133" s="76" t="s">
        <v>727</v>
      </c>
      <c r="B133" s="77" t="s">
        <v>133</v>
      </c>
      <c r="C133" s="77" t="s">
        <v>48</v>
      </c>
      <c r="D133" s="77" t="s">
        <v>134</v>
      </c>
      <c r="E133" s="78">
        <v>182.0</v>
      </c>
      <c r="F133" s="79">
        <v>45986.0</v>
      </c>
      <c r="G133" s="77" t="s">
        <v>17</v>
      </c>
      <c r="H133" s="77" t="s">
        <v>1315</v>
      </c>
      <c r="I133" s="80">
        <v>188.0</v>
      </c>
      <c r="J133" s="93">
        <v>46156.0</v>
      </c>
      <c r="K133" s="82" t="s">
        <v>2459</v>
      </c>
      <c r="L133" s="92" t="s">
        <v>2509</v>
      </c>
      <c r="M133" s="84"/>
    </row>
    <row r="134">
      <c r="A134" s="76" t="s">
        <v>729</v>
      </c>
      <c r="B134" s="77" t="s">
        <v>133</v>
      </c>
      <c r="C134" s="77" t="s">
        <v>48</v>
      </c>
      <c r="D134" s="77" t="s">
        <v>134</v>
      </c>
      <c r="E134" s="77" t="s">
        <v>1585</v>
      </c>
      <c r="F134" s="79">
        <v>45986.0</v>
      </c>
      <c r="G134" s="77" t="s">
        <v>12</v>
      </c>
      <c r="H134" s="77" t="s">
        <v>1315</v>
      </c>
      <c r="I134" s="80">
        <v>188.0</v>
      </c>
      <c r="J134" s="81" t="s">
        <v>2441</v>
      </c>
      <c r="K134" s="82" t="s">
        <v>2445</v>
      </c>
      <c r="L134" s="83"/>
      <c r="M134" s="84"/>
    </row>
    <row r="135">
      <c r="A135" s="76" t="s">
        <v>731</v>
      </c>
      <c r="B135" s="77" t="s">
        <v>133</v>
      </c>
      <c r="C135" s="77" t="s">
        <v>48</v>
      </c>
      <c r="D135" s="77" t="s">
        <v>134</v>
      </c>
      <c r="E135" s="77" t="s">
        <v>1583</v>
      </c>
      <c r="F135" s="79">
        <v>45986.0</v>
      </c>
      <c r="G135" s="77" t="s">
        <v>15</v>
      </c>
      <c r="H135" s="77" t="s">
        <v>1315</v>
      </c>
      <c r="I135" s="80">
        <v>188.0</v>
      </c>
      <c r="J135" s="81" t="s">
        <v>2441</v>
      </c>
      <c r="K135" s="82" t="s">
        <v>2445</v>
      </c>
      <c r="L135" s="83"/>
      <c r="M135" s="84"/>
    </row>
    <row r="136">
      <c r="A136" s="76" t="s">
        <v>733</v>
      </c>
      <c r="B136" s="77" t="s">
        <v>133</v>
      </c>
      <c r="C136" s="77" t="s">
        <v>48</v>
      </c>
      <c r="D136" s="77" t="s">
        <v>134</v>
      </c>
      <c r="E136" s="77" t="s">
        <v>2199</v>
      </c>
      <c r="F136" s="79">
        <v>45986.0</v>
      </c>
      <c r="G136" s="77" t="s">
        <v>1415</v>
      </c>
      <c r="H136" s="77" t="s">
        <v>1315</v>
      </c>
      <c r="I136" s="80">
        <v>188.0</v>
      </c>
      <c r="J136" s="93">
        <v>46232.0</v>
      </c>
      <c r="K136" s="82" t="s">
        <v>2445</v>
      </c>
      <c r="L136" s="92" t="s">
        <v>2513</v>
      </c>
      <c r="M136" s="84"/>
    </row>
    <row r="137">
      <c r="A137" s="76" t="s">
        <v>745</v>
      </c>
      <c r="B137" s="77" t="s">
        <v>127</v>
      </c>
      <c r="C137" s="77" t="s">
        <v>232</v>
      </c>
      <c r="D137" s="77" t="s">
        <v>128</v>
      </c>
      <c r="E137" s="78">
        <v>8.6805429E7</v>
      </c>
      <c r="F137" s="79">
        <v>46000.0</v>
      </c>
      <c r="G137" s="77" t="s">
        <v>12</v>
      </c>
      <c r="H137" s="77" t="s">
        <v>1315</v>
      </c>
      <c r="I137" s="80">
        <v>174.0</v>
      </c>
      <c r="J137" s="100">
        <v>46191.0</v>
      </c>
      <c r="K137" s="82" t="s">
        <v>16</v>
      </c>
      <c r="L137" s="81" t="s">
        <v>2514</v>
      </c>
      <c r="M137" s="84"/>
    </row>
    <row r="138">
      <c r="A138" s="76" t="s">
        <v>747</v>
      </c>
      <c r="B138" s="77" t="s">
        <v>1596</v>
      </c>
      <c r="C138" s="78">
        <v>32108.0</v>
      </c>
      <c r="D138" s="77" t="s">
        <v>1598</v>
      </c>
      <c r="E138" s="77" t="s">
        <v>2515</v>
      </c>
      <c r="F138" s="79">
        <v>46000.0</v>
      </c>
      <c r="G138" s="77" t="s">
        <v>12</v>
      </c>
      <c r="H138" s="77" t="s">
        <v>1315</v>
      </c>
      <c r="I138" s="80">
        <v>174.0</v>
      </c>
      <c r="J138" s="89" t="s">
        <v>2516</v>
      </c>
      <c r="K138" s="82" t="s">
        <v>2464</v>
      </c>
      <c r="L138" s="83"/>
      <c r="M138" s="84"/>
    </row>
    <row r="139">
      <c r="A139" s="76" t="s">
        <v>755</v>
      </c>
      <c r="B139" s="77" t="s">
        <v>1602</v>
      </c>
      <c r="C139" s="78">
        <v>22373.0</v>
      </c>
      <c r="D139" s="77" t="s">
        <v>1603</v>
      </c>
      <c r="E139" s="77" t="s">
        <v>1604</v>
      </c>
      <c r="F139" s="79">
        <v>46007.0</v>
      </c>
      <c r="G139" s="77" t="s">
        <v>17</v>
      </c>
      <c r="H139" s="77" t="s">
        <v>1315</v>
      </c>
      <c r="I139" s="80">
        <v>167.0</v>
      </c>
      <c r="J139" s="97">
        <v>46021.0</v>
      </c>
      <c r="K139" s="82" t="s">
        <v>17</v>
      </c>
      <c r="L139" s="81" t="s">
        <v>2517</v>
      </c>
      <c r="M139" s="81">
        <v>2793.0</v>
      </c>
    </row>
    <row r="140">
      <c r="A140" s="76" t="s">
        <v>753</v>
      </c>
      <c r="B140" s="77" t="s">
        <v>279</v>
      </c>
      <c r="C140" s="77" t="s">
        <v>48</v>
      </c>
      <c r="D140" s="77" t="s">
        <v>280</v>
      </c>
      <c r="E140" s="101">
        <v>1.381310971E9</v>
      </c>
      <c r="F140" s="79">
        <v>46007.0</v>
      </c>
      <c r="G140" s="77" t="s">
        <v>12</v>
      </c>
      <c r="H140" s="77" t="s">
        <v>1315</v>
      </c>
      <c r="I140" s="80">
        <v>167.0</v>
      </c>
      <c r="J140" s="81" t="s">
        <v>2441</v>
      </c>
      <c r="K140" s="82" t="s">
        <v>2445</v>
      </c>
      <c r="L140" s="83"/>
      <c r="M140" s="84"/>
    </row>
    <row r="141">
      <c r="A141" s="76" t="s">
        <v>757</v>
      </c>
      <c r="B141" s="77" t="s">
        <v>279</v>
      </c>
      <c r="C141" s="77" t="s">
        <v>48</v>
      </c>
      <c r="D141" s="77" t="s">
        <v>280</v>
      </c>
      <c r="E141" s="78">
        <v>1.14111198E9</v>
      </c>
      <c r="F141" s="79">
        <v>46007.0</v>
      </c>
      <c r="G141" s="77" t="s">
        <v>12</v>
      </c>
      <c r="H141" s="77" t="s">
        <v>1315</v>
      </c>
      <c r="I141" s="80">
        <v>167.0</v>
      </c>
      <c r="J141" s="81" t="s">
        <v>2441</v>
      </c>
      <c r="K141" s="82" t="s">
        <v>2445</v>
      </c>
      <c r="L141" s="83"/>
      <c r="M141" s="84"/>
    </row>
    <row r="142">
      <c r="A142" s="76" t="s">
        <v>761</v>
      </c>
      <c r="B142" s="77" t="s">
        <v>1606</v>
      </c>
      <c r="C142" s="77" t="s">
        <v>48</v>
      </c>
      <c r="D142" s="77" t="s">
        <v>168</v>
      </c>
      <c r="E142" s="78">
        <v>3201.0</v>
      </c>
      <c r="F142" s="79">
        <v>46010.0</v>
      </c>
      <c r="G142" s="77" t="s">
        <v>17</v>
      </c>
      <c r="H142" s="77" t="s">
        <v>1315</v>
      </c>
      <c r="I142" s="80">
        <v>164.0</v>
      </c>
      <c r="J142" s="88">
        <v>46052.0</v>
      </c>
      <c r="K142" s="82" t="s">
        <v>15</v>
      </c>
      <c r="L142" s="81" t="s">
        <v>2518</v>
      </c>
      <c r="M142" s="84"/>
    </row>
    <row r="143">
      <c r="A143" s="76" t="s">
        <v>763</v>
      </c>
      <c r="B143" s="77" t="s">
        <v>1608</v>
      </c>
      <c r="C143" s="78">
        <v>71653.0</v>
      </c>
      <c r="D143" s="77" t="s">
        <v>1610</v>
      </c>
      <c r="E143" s="77" t="s">
        <v>1611</v>
      </c>
      <c r="F143" s="79">
        <v>46010.0</v>
      </c>
      <c r="G143" s="77" t="s">
        <v>12</v>
      </c>
      <c r="H143" s="77" t="s">
        <v>1315</v>
      </c>
      <c r="I143" s="80">
        <v>164.0</v>
      </c>
      <c r="J143" s="93">
        <v>46176.0</v>
      </c>
      <c r="K143" s="82" t="s">
        <v>2463</v>
      </c>
      <c r="L143" s="92"/>
      <c r="M143" s="84"/>
    </row>
    <row r="144">
      <c r="A144" s="76" t="s">
        <v>765</v>
      </c>
      <c r="B144" s="77" t="s">
        <v>1612</v>
      </c>
      <c r="C144" s="77" t="s">
        <v>48</v>
      </c>
      <c r="D144" s="77" t="s">
        <v>1613</v>
      </c>
      <c r="E144" s="77" t="s">
        <v>2208</v>
      </c>
      <c r="F144" s="79">
        <v>46010.0</v>
      </c>
      <c r="G144" s="77" t="s">
        <v>16</v>
      </c>
      <c r="H144" s="77" t="s">
        <v>1315</v>
      </c>
      <c r="I144" s="80">
        <v>164.0</v>
      </c>
      <c r="J144" s="93">
        <v>46176.0</v>
      </c>
      <c r="K144" s="98" t="s">
        <v>2519</v>
      </c>
      <c r="L144" s="92" t="s">
        <v>2520</v>
      </c>
      <c r="M144" s="84"/>
    </row>
    <row r="145">
      <c r="A145" s="76" t="s">
        <v>767</v>
      </c>
      <c r="B145" s="77" t="s">
        <v>1612</v>
      </c>
      <c r="C145" s="77" t="s">
        <v>48</v>
      </c>
      <c r="D145" s="77" t="s">
        <v>1613</v>
      </c>
      <c r="E145" s="77" t="s">
        <v>1614</v>
      </c>
      <c r="F145" s="79">
        <v>46010.0</v>
      </c>
      <c r="G145" s="77" t="s">
        <v>16</v>
      </c>
      <c r="H145" s="77" t="s">
        <v>1315</v>
      </c>
      <c r="I145" s="80">
        <v>164.0</v>
      </c>
      <c r="J145" s="93">
        <v>46164.0</v>
      </c>
      <c r="K145" s="98" t="s">
        <v>2521</v>
      </c>
      <c r="L145" s="92" t="s">
        <v>2522</v>
      </c>
      <c r="M145" s="84"/>
    </row>
    <row r="146">
      <c r="A146" s="76" t="s">
        <v>785</v>
      </c>
      <c r="B146" s="77" t="s">
        <v>2010</v>
      </c>
      <c r="C146" s="78">
        <v>74025.0</v>
      </c>
      <c r="D146" s="77" t="s">
        <v>2012</v>
      </c>
      <c r="E146" s="77" t="s">
        <v>2017</v>
      </c>
      <c r="F146" s="79">
        <v>46028.0</v>
      </c>
      <c r="G146" s="77" t="s">
        <v>13</v>
      </c>
      <c r="H146" s="77" t="s">
        <v>1315</v>
      </c>
      <c r="I146" s="80">
        <v>146.0</v>
      </c>
      <c r="J146" s="93">
        <v>46191.0</v>
      </c>
      <c r="K146" s="82" t="s">
        <v>2459</v>
      </c>
      <c r="L146" s="92" t="s">
        <v>2523</v>
      </c>
      <c r="M146" s="84"/>
    </row>
    <row r="147">
      <c r="A147" s="76" t="s">
        <v>789</v>
      </c>
      <c r="B147" s="77" t="s">
        <v>1596</v>
      </c>
      <c r="C147" s="78">
        <v>32108.0</v>
      </c>
      <c r="D147" s="77" t="s">
        <v>1598</v>
      </c>
      <c r="E147" s="77" t="s">
        <v>2524</v>
      </c>
      <c r="F147" s="79">
        <v>46028.0</v>
      </c>
      <c r="G147" s="77" t="s">
        <v>12</v>
      </c>
      <c r="H147" s="77" t="s">
        <v>1315</v>
      </c>
      <c r="I147" s="80">
        <v>146.0</v>
      </c>
      <c r="J147" s="88">
        <v>46063.0</v>
      </c>
      <c r="K147" s="82" t="s">
        <v>13</v>
      </c>
      <c r="L147" s="81" t="s">
        <v>2525</v>
      </c>
      <c r="M147" s="84"/>
    </row>
    <row r="148">
      <c r="A148" s="76" t="s">
        <v>795</v>
      </c>
      <c r="B148" s="77" t="s">
        <v>1596</v>
      </c>
      <c r="C148" s="78">
        <v>32108.0</v>
      </c>
      <c r="D148" s="77" t="s">
        <v>1598</v>
      </c>
      <c r="E148" s="77" t="s">
        <v>2526</v>
      </c>
      <c r="F148" s="79">
        <v>46028.0</v>
      </c>
      <c r="G148" s="77" t="s">
        <v>12</v>
      </c>
      <c r="H148" s="77" t="s">
        <v>1315</v>
      </c>
      <c r="I148" s="80">
        <v>146.0</v>
      </c>
      <c r="J148" s="88">
        <v>46063.0</v>
      </c>
      <c r="K148" s="82" t="s">
        <v>13</v>
      </c>
      <c r="L148" s="81" t="s">
        <v>2525</v>
      </c>
      <c r="M148" s="84"/>
    </row>
    <row r="149">
      <c r="A149" s="76" t="s">
        <v>797</v>
      </c>
      <c r="B149" s="77" t="s">
        <v>1596</v>
      </c>
      <c r="C149" s="78">
        <v>32108.0</v>
      </c>
      <c r="D149" s="77" t="s">
        <v>1598</v>
      </c>
      <c r="E149" s="77" t="s">
        <v>2527</v>
      </c>
      <c r="F149" s="79">
        <v>46028.0</v>
      </c>
      <c r="G149" s="77" t="s">
        <v>12</v>
      </c>
      <c r="H149" s="77" t="s">
        <v>1315</v>
      </c>
      <c r="I149" s="80">
        <v>146.0</v>
      </c>
      <c r="J149" s="88">
        <v>46063.0</v>
      </c>
      <c r="K149" s="82" t="s">
        <v>13</v>
      </c>
      <c r="L149" s="81" t="s">
        <v>2525</v>
      </c>
      <c r="M149" s="84"/>
    </row>
    <row r="150">
      <c r="A150" s="76" t="s">
        <v>799</v>
      </c>
      <c r="B150" s="77" t="s">
        <v>1361</v>
      </c>
      <c r="C150" s="77" t="s">
        <v>48</v>
      </c>
      <c r="D150" s="77" t="s">
        <v>1362</v>
      </c>
      <c r="E150" s="78">
        <v>2165.0</v>
      </c>
      <c r="F150" s="79">
        <v>46028.0</v>
      </c>
      <c r="G150" s="77" t="s">
        <v>1621</v>
      </c>
      <c r="H150" s="77" t="s">
        <v>1315</v>
      </c>
      <c r="I150" s="80">
        <v>146.0</v>
      </c>
      <c r="J150" s="88">
        <v>46114.0</v>
      </c>
      <c r="K150" s="82" t="s">
        <v>16</v>
      </c>
      <c r="L150" s="81" t="s">
        <v>2528</v>
      </c>
      <c r="M150" s="84"/>
    </row>
    <row r="151">
      <c r="A151" s="76" t="s">
        <v>769</v>
      </c>
      <c r="B151" s="77" t="s">
        <v>63</v>
      </c>
      <c r="C151" s="78">
        <v>71513.0</v>
      </c>
      <c r="D151" s="77" t="s">
        <v>1432</v>
      </c>
      <c r="E151" s="78">
        <v>822.0</v>
      </c>
      <c r="F151" s="79">
        <v>46028.0</v>
      </c>
      <c r="G151" s="77" t="s">
        <v>25</v>
      </c>
      <c r="H151" s="77" t="s">
        <v>1315</v>
      </c>
      <c r="I151" s="80">
        <v>146.0</v>
      </c>
      <c r="J151" s="93">
        <v>46184.0</v>
      </c>
      <c r="K151" s="82" t="s">
        <v>13</v>
      </c>
      <c r="L151" s="92" t="s">
        <v>2529</v>
      </c>
      <c r="M151" s="84"/>
    </row>
    <row r="152">
      <c r="A152" s="76" t="s">
        <v>771</v>
      </c>
      <c r="B152" s="77" t="s">
        <v>1394</v>
      </c>
      <c r="C152" s="78">
        <v>71513.0</v>
      </c>
      <c r="D152" s="77" t="s">
        <v>1396</v>
      </c>
      <c r="E152" s="78">
        <v>795.0</v>
      </c>
      <c r="F152" s="79">
        <v>46028.0</v>
      </c>
      <c r="G152" s="77" t="s">
        <v>15</v>
      </c>
      <c r="H152" s="77" t="s">
        <v>1315</v>
      </c>
      <c r="I152" s="80">
        <v>146.0</v>
      </c>
      <c r="J152" s="93">
        <v>46232.0</v>
      </c>
      <c r="K152" s="82"/>
      <c r="L152" s="92" t="s">
        <v>2472</v>
      </c>
      <c r="M152" s="84"/>
    </row>
    <row r="153">
      <c r="A153" s="76" t="s">
        <v>773</v>
      </c>
      <c r="B153" s="77" t="s">
        <v>1394</v>
      </c>
      <c r="C153" s="78">
        <v>71513.0</v>
      </c>
      <c r="D153" s="77" t="s">
        <v>1396</v>
      </c>
      <c r="E153" s="78">
        <v>784.0</v>
      </c>
      <c r="F153" s="79">
        <v>46028.0</v>
      </c>
      <c r="G153" s="77" t="s">
        <v>17</v>
      </c>
      <c r="H153" s="77" t="s">
        <v>1315</v>
      </c>
      <c r="I153" s="80">
        <v>146.0</v>
      </c>
      <c r="J153" s="93">
        <v>46232.0</v>
      </c>
      <c r="K153" s="82"/>
      <c r="L153" s="92" t="s">
        <v>2472</v>
      </c>
      <c r="M153" s="84"/>
    </row>
    <row r="154">
      <c r="A154" s="76" t="s">
        <v>775</v>
      </c>
      <c r="B154" s="77" t="s">
        <v>63</v>
      </c>
      <c r="C154" s="78">
        <v>71513.0</v>
      </c>
      <c r="D154" s="77" t="s">
        <v>1432</v>
      </c>
      <c r="E154" s="78">
        <v>482.0</v>
      </c>
      <c r="F154" s="79">
        <v>46028.0</v>
      </c>
      <c r="G154" s="77" t="s">
        <v>12</v>
      </c>
      <c r="H154" s="77" t="s">
        <v>1315</v>
      </c>
      <c r="I154" s="80">
        <v>146.0</v>
      </c>
      <c r="J154" s="93">
        <v>46232.0</v>
      </c>
      <c r="K154" s="82"/>
      <c r="L154" s="92" t="s">
        <v>2472</v>
      </c>
      <c r="M154" s="84"/>
    </row>
    <row r="155">
      <c r="A155" s="76" t="s">
        <v>777</v>
      </c>
      <c r="B155" s="77" t="s">
        <v>1394</v>
      </c>
      <c r="C155" s="78">
        <v>71513.0</v>
      </c>
      <c r="D155" s="77" t="s">
        <v>1396</v>
      </c>
      <c r="E155" s="77" t="s">
        <v>2214</v>
      </c>
      <c r="F155" s="79">
        <v>46028.0</v>
      </c>
      <c r="G155" s="77" t="s">
        <v>21</v>
      </c>
      <c r="H155" s="77" t="s">
        <v>1315</v>
      </c>
      <c r="I155" s="80">
        <v>146.0</v>
      </c>
      <c r="J155" s="93">
        <v>46232.0</v>
      </c>
      <c r="K155" s="82"/>
      <c r="L155" s="92" t="s">
        <v>2472</v>
      </c>
      <c r="M155" s="84"/>
    </row>
    <row r="156">
      <c r="A156" s="76" t="s">
        <v>779</v>
      </c>
      <c r="B156" s="77" t="s">
        <v>1436</v>
      </c>
      <c r="C156" s="78">
        <v>71513.0</v>
      </c>
      <c r="D156" s="77" t="s">
        <v>1437</v>
      </c>
      <c r="E156" s="78">
        <v>48.0</v>
      </c>
      <c r="F156" s="79">
        <v>46028.0</v>
      </c>
      <c r="G156" s="77" t="s">
        <v>15</v>
      </c>
      <c r="H156" s="77" t="s">
        <v>1315</v>
      </c>
      <c r="I156" s="80">
        <v>146.0</v>
      </c>
      <c r="J156" s="93">
        <v>46232.0</v>
      </c>
      <c r="K156" s="82"/>
      <c r="L156" s="92" t="s">
        <v>2472</v>
      </c>
      <c r="M156" s="84"/>
    </row>
    <row r="157">
      <c r="A157" s="76" t="s">
        <v>781</v>
      </c>
      <c r="B157" s="77" t="s">
        <v>1436</v>
      </c>
      <c r="C157" s="78">
        <v>71513.0</v>
      </c>
      <c r="D157" s="77" t="s">
        <v>1437</v>
      </c>
      <c r="E157" s="77" t="s">
        <v>2215</v>
      </c>
      <c r="F157" s="79">
        <v>46028.0</v>
      </c>
      <c r="G157" s="77" t="s">
        <v>21</v>
      </c>
      <c r="H157" s="77" t="s">
        <v>1315</v>
      </c>
      <c r="I157" s="80">
        <v>146.0</v>
      </c>
      <c r="J157" s="93">
        <v>46232.0</v>
      </c>
      <c r="K157" s="82"/>
      <c r="L157" s="92" t="s">
        <v>2472</v>
      </c>
      <c r="M157" s="84"/>
    </row>
    <row r="158">
      <c r="A158" s="76" t="s">
        <v>783</v>
      </c>
      <c r="B158" s="77" t="s">
        <v>61</v>
      </c>
      <c r="C158" s="78">
        <v>33269.0</v>
      </c>
      <c r="D158" s="77" t="s">
        <v>1438</v>
      </c>
      <c r="E158" s="77" t="s">
        <v>2216</v>
      </c>
      <c r="F158" s="79">
        <v>46028.0</v>
      </c>
      <c r="G158" s="77" t="s">
        <v>17</v>
      </c>
      <c r="H158" s="77" t="s">
        <v>1315</v>
      </c>
      <c r="I158" s="80">
        <v>146.0</v>
      </c>
      <c r="J158" s="93">
        <v>46232.0</v>
      </c>
      <c r="K158" s="82"/>
      <c r="L158" s="92" t="s">
        <v>2472</v>
      </c>
      <c r="M158" s="84"/>
    </row>
    <row r="159">
      <c r="A159" s="76" t="s">
        <v>801</v>
      </c>
      <c r="B159" s="77" t="s">
        <v>1361</v>
      </c>
      <c r="C159" s="77" t="s">
        <v>48</v>
      </c>
      <c r="D159" s="77" t="s">
        <v>1362</v>
      </c>
      <c r="E159" s="78">
        <v>1270.0</v>
      </c>
      <c r="F159" s="79">
        <v>46028.0</v>
      </c>
      <c r="G159" s="77" t="s">
        <v>20</v>
      </c>
      <c r="H159" s="77" t="s">
        <v>1315</v>
      </c>
      <c r="I159" s="80">
        <v>146.0</v>
      </c>
      <c r="J159" s="93">
        <v>46210.0</v>
      </c>
      <c r="K159" s="98" t="s">
        <v>14</v>
      </c>
      <c r="L159" s="92" t="s">
        <v>2530</v>
      </c>
      <c r="M159" s="84"/>
    </row>
    <row r="160">
      <c r="A160" s="76" t="s">
        <v>787</v>
      </c>
      <c r="B160" s="77" t="s">
        <v>1596</v>
      </c>
      <c r="C160" s="78">
        <v>32108.0</v>
      </c>
      <c r="D160" s="77" t="s">
        <v>1598</v>
      </c>
      <c r="E160" s="77" t="s">
        <v>2531</v>
      </c>
      <c r="F160" s="79">
        <v>46028.0</v>
      </c>
      <c r="G160" s="77" t="s">
        <v>12</v>
      </c>
      <c r="H160" s="77" t="s">
        <v>1315</v>
      </c>
      <c r="I160" s="80">
        <v>146.0</v>
      </c>
      <c r="J160" s="102">
        <v>46225.0</v>
      </c>
      <c r="K160" s="98" t="s">
        <v>2459</v>
      </c>
      <c r="L160" s="92" t="s">
        <v>2492</v>
      </c>
      <c r="M160" s="84"/>
    </row>
    <row r="161">
      <c r="A161" s="76" t="s">
        <v>805</v>
      </c>
      <c r="B161" s="77" t="s">
        <v>1624</v>
      </c>
      <c r="C161" s="85">
        <v>7213.0</v>
      </c>
      <c r="D161" s="77" t="s">
        <v>1625</v>
      </c>
      <c r="E161" s="77" t="s">
        <v>1626</v>
      </c>
      <c r="F161" s="79">
        <v>46036.0</v>
      </c>
      <c r="G161" s="77" t="s">
        <v>1500</v>
      </c>
      <c r="H161" s="77" t="s">
        <v>1315</v>
      </c>
      <c r="I161" s="80">
        <v>138.0</v>
      </c>
      <c r="J161" s="88">
        <v>46052.0</v>
      </c>
      <c r="K161" s="82" t="s">
        <v>17</v>
      </c>
      <c r="L161" s="81" t="s">
        <v>2532</v>
      </c>
      <c r="M161" s="84"/>
    </row>
    <row r="162">
      <c r="A162" s="76" t="s">
        <v>811</v>
      </c>
      <c r="B162" s="77" t="s">
        <v>1628</v>
      </c>
      <c r="C162" s="85">
        <v>7213.0</v>
      </c>
      <c r="D162" s="77" t="s">
        <v>1546</v>
      </c>
      <c r="E162" s="77" t="s">
        <v>1629</v>
      </c>
      <c r="F162" s="79">
        <v>46036.0</v>
      </c>
      <c r="G162" s="77" t="s">
        <v>1500</v>
      </c>
      <c r="H162" s="77" t="s">
        <v>1315</v>
      </c>
      <c r="I162" s="80">
        <v>138.0</v>
      </c>
      <c r="J162" s="81" t="s">
        <v>2533</v>
      </c>
      <c r="K162" s="82" t="s">
        <v>2442</v>
      </c>
      <c r="L162" s="83"/>
      <c r="M162" s="84"/>
    </row>
    <row r="163">
      <c r="A163" s="76" t="s">
        <v>815</v>
      </c>
      <c r="B163" s="77" t="s">
        <v>1631</v>
      </c>
      <c r="C163" s="78">
        <v>22373.0</v>
      </c>
      <c r="D163" s="77" t="s">
        <v>1632</v>
      </c>
      <c r="E163" s="78">
        <v>24277.0</v>
      </c>
      <c r="F163" s="79">
        <v>46048.0</v>
      </c>
      <c r="G163" s="77" t="s">
        <v>25</v>
      </c>
      <c r="H163" s="77" t="s">
        <v>1315</v>
      </c>
      <c r="I163" s="80">
        <v>126.0</v>
      </c>
      <c r="J163" s="91">
        <v>46063.0</v>
      </c>
      <c r="K163" s="82" t="s">
        <v>2463</v>
      </c>
      <c r="L163" s="91"/>
      <c r="M163" s="84"/>
    </row>
    <row r="164">
      <c r="A164" s="76" t="s">
        <v>817</v>
      </c>
      <c r="B164" s="77" t="s">
        <v>1631</v>
      </c>
      <c r="C164" s="78">
        <v>22373.0</v>
      </c>
      <c r="D164" s="77" t="s">
        <v>1632</v>
      </c>
      <c r="E164" s="78">
        <v>22102.0</v>
      </c>
      <c r="F164" s="79">
        <v>46048.0</v>
      </c>
      <c r="G164" s="77" t="s">
        <v>12</v>
      </c>
      <c r="H164" s="77" t="s">
        <v>1315</v>
      </c>
      <c r="I164" s="80">
        <v>126.0</v>
      </c>
      <c r="J164" s="91">
        <v>46063.0</v>
      </c>
      <c r="K164" s="82" t="s">
        <v>14</v>
      </c>
      <c r="L164" s="92" t="s">
        <v>2534</v>
      </c>
      <c r="M164" s="84"/>
    </row>
    <row r="165">
      <c r="A165" s="76" t="s">
        <v>819</v>
      </c>
      <c r="B165" s="78">
        <v>3034792.0</v>
      </c>
      <c r="C165" s="85">
        <v>198.0</v>
      </c>
      <c r="D165" s="77" t="s">
        <v>1334</v>
      </c>
      <c r="E165" s="86">
        <v>2798.0</v>
      </c>
      <c r="F165" s="79">
        <v>46050.0</v>
      </c>
      <c r="G165" s="77" t="s">
        <v>20</v>
      </c>
      <c r="H165" s="77" t="s">
        <v>1315</v>
      </c>
      <c r="I165" s="80">
        <v>124.0</v>
      </c>
      <c r="J165" s="88">
        <v>46191.0</v>
      </c>
      <c r="K165" s="82" t="s">
        <v>14</v>
      </c>
      <c r="L165" s="81" t="s">
        <v>2535</v>
      </c>
      <c r="M165" s="84"/>
    </row>
    <row r="166">
      <c r="A166" s="76" t="s">
        <v>825</v>
      </c>
      <c r="B166" s="77" t="s">
        <v>1398</v>
      </c>
      <c r="C166" s="78">
        <v>33269.0</v>
      </c>
      <c r="D166" s="77" t="s">
        <v>1400</v>
      </c>
      <c r="E166" s="77" t="s">
        <v>1636</v>
      </c>
      <c r="F166" s="79">
        <v>46050.0</v>
      </c>
      <c r="G166" s="77" t="s">
        <v>1352</v>
      </c>
      <c r="H166" s="77" t="s">
        <v>1315</v>
      </c>
      <c r="I166" s="80">
        <v>124.0</v>
      </c>
      <c r="J166" s="81" t="s">
        <v>2462</v>
      </c>
      <c r="K166" s="82" t="s">
        <v>2445</v>
      </c>
      <c r="L166" s="83"/>
      <c r="M166" s="84"/>
    </row>
    <row r="167">
      <c r="A167" s="76" t="s">
        <v>879</v>
      </c>
      <c r="B167" s="77" t="s">
        <v>1670</v>
      </c>
      <c r="C167" s="77" t="s">
        <v>48</v>
      </c>
      <c r="D167" s="77" t="s">
        <v>1671</v>
      </c>
      <c r="E167" s="77" t="s">
        <v>1672</v>
      </c>
      <c r="F167" s="79">
        <v>46063.0</v>
      </c>
      <c r="G167" s="77" t="s">
        <v>17</v>
      </c>
      <c r="H167" s="77" t="s">
        <v>1315</v>
      </c>
      <c r="I167" s="80">
        <v>111.0</v>
      </c>
      <c r="J167" s="81" t="s">
        <v>2441</v>
      </c>
      <c r="K167" s="82" t="s">
        <v>2447</v>
      </c>
      <c r="L167" s="83"/>
      <c r="M167" s="84"/>
    </row>
    <row r="168">
      <c r="A168" s="76" t="s">
        <v>851</v>
      </c>
      <c r="B168" s="77" t="s">
        <v>83</v>
      </c>
      <c r="C168" s="78">
        <v>22373.0</v>
      </c>
      <c r="D168" s="77" t="s">
        <v>84</v>
      </c>
      <c r="E168" s="78">
        <v>42966.0</v>
      </c>
      <c r="F168" s="79">
        <v>46063.0</v>
      </c>
      <c r="G168" s="77" t="s">
        <v>1500</v>
      </c>
      <c r="H168" s="77" t="s">
        <v>1315</v>
      </c>
      <c r="I168" s="80">
        <v>111.0</v>
      </c>
      <c r="J168" s="88">
        <v>46113.0</v>
      </c>
      <c r="K168" s="82" t="s">
        <v>14</v>
      </c>
      <c r="L168" s="81" t="s">
        <v>2536</v>
      </c>
      <c r="M168" s="84"/>
    </row>
    <row r="169">
      <c r="A169" s="76" t="s">
        <v>871</v>
      </c>
      <c r="B169" s="77" t="s">
        <v>1818</v>
      </c>
      <c r="C169" s="77" t="s">
        <v>48</v>
      </c>
      <c r="D169" s="77" t="s">
        <v>1819</v>
      </c>
      <c r="E169" s="77" t="s">
        <v>2252</v>
      </c>
      <c r="F169" s="79">
        <v>46063.0</v>
      </c>
      <c r="G169" s="77" t="s">
        <v>16</v>
      </c>
      <c r="H169" s="77" t="s">
        <v>1315</v>
      </c>
      <c r="I169" s="80">
        <v>111.0</v>
      </c>
      <c r="J169" s="88">
        <v>46185.0</v>
      </c>
      <c r="K169" s="82" t="s">
        <v>16</v>
      </c>
      <c r="L169" s="81" t="s">
        <v>2537</v>
      </c>
      <c r="M169" s="81" t="s">
        <v>2538</v>
      </c>
    </row>
    <row r="170">
      <c r="A170" s="76" t="s">
        <v>827</v>
      </c>
      <c r="B170" s="78">
        <v>3034792.0</v>
      </c>
      <c r="C170" s="85">
        <v>198.0</v>
      </c>
      <c r="D170" s="77" t="s">
        <v>1334</v>
      </c>
      <c r="E170" s="86">
        <v>3665.0</v>
      </c>
      <c r="F170" s="79">
        <v>46063.0</v>
      </c>
      <c r="G170" s="77" t="s">
        <v>1500</v>
      </c>
      <c r="H170" s="77" t="s">
        <v>1315</v>
      </c>
      <c r="I170" s="80">
        <v>111.0</v>
      </c>
      <c r="J170" s="81" t="s">
        <v>2462</v>
      </c>
      <c r="K170" s="82" t="s">
        <v>2463</v>
      </c>
      <c r="L170" s="83"/>
      <c r="M170" s="84"/>
    </row>
    <row r="171">
      <c r="A171" s="76" t="s">
        <v>837</v>
      </c>
      <c r="B171" s="77" t="s">
        <v>2237</v>
      </c>
      <c r="C171" s="77" t="s">
        <v>48</v>
      </c>
      <c r="D171" s="77" t="s">
        <v>88</v>
      </c>
      <c r="E171" s="77" t="s">
        <v>2238</v>
      </c>
      <c r="F171" s="79">
        <v>46063.0</v>
      </c>
      <c r="G171" s="77" t="s">
        <v>13</v>
      </c>
      <c r="H171" s="77" t="s">
        <v>1315</v>
      </c>
      <c r="I171" s="80">
        <v>111.0</v>
      </c>
      <c r="J171" s="93">
        <v>46135.0</v>
      </c>
      <c r="K171" s="98" t="s">
        <v>2459</v>
      </c>
      <c r="L171" s="92" t="s">
        <v>2482</v>
      </c>
      <c r="M171" s="84"/>
    </row>
    <row r="172">
      <c r="A172" s="76" t="s">
        <v>845</v>
      </c>
      <c r="B172" s="77" t="s">
        <v>1631</v>
      </c>
      <c r="C172" s="78">
        <v>22373.0</v>
      </c>
      <c r="D172" s="77" t="s">
        <v>1632</v>
      </c>
      <c r="E172" s="78">
        <v>2926.0</v>
      </c>
      <c r="F172" s="79">
        <v>46063.0</v>
      </c>
      <c r="G172" s="77" t="s">
        <v>1500</v>
      </c>
      <c r="H172" s="77" t="s">
        <v>1315</v>
      </c>
      <c r="I172" s="80">
        <v>111.0</v>
      </c>
      <c r="J172" s="93">
        <v>46135.0</v>
      </c>
      <c r="K172" s="98" t="s">
        <v>2459</v>
      </c>
      <c r="L172" s="92" t="s">
        <v>2482</v>
      </c>
      <c r="M172" s="84"/>
    </row>
    <row r="173">
      <c r="A173" s="76" t="s">
        <v>847</v>
      </c>
      <c r="B173" s="77" t="s">
        <v>1931</v>
      </c>
      <c r="C173" s="78">
        <v>22373.0</v>
      </c>
      <c r="D173" s="77" t="s">
        <v>1782</v>
      </c>
      <c r="E173" s="78">
        <v>12023.0</v>
      </c>
      <c r="F173" s="79">
        <v>46063.0</v>
      </c>
      <c r="G173" s="77" t="s">
        <v>17</v>
      </c>
      <c r="H173" s="77" t="s">
        <v>1315</v>
      </c>
      <c r="I173" s="80">
        <v>111.0</v>
      </c>
      <c r="J173" s="93">
        <v>46147.0</v>
      </c>
      <c r="K173" s="98" t="s">
        <v>2459</v>
      </c>
      <c r="L173" s="92" t="s">
        <v>2482</v>
      </c>
      <c r="M173" s="84"/>
    </row>
    <row r="174">
      <c r="A174" s="76" t="s">
        <v>859</v>
      </c>
      <c r="B174" s="77" t="s">
        <v>2249</v>
      </c>
      <c r="C174" s="78">
        <v>22373.0</v>
      </c>
      <c r="D174" s="77" t="s">
        <v>1782</v>
      </c>
      <c r="E174" s="78">
        <v>7310.0</v>
      </c>
      <c r="F174" s="79">
        <v>46063.0</v>
      </c>
      <c r="G174" s="77" t="s">
        <v>22</v>
      </c>
      <c r="H174" s="77" t="s">
        <v>1315</v>
      </c>
      <c r="I174" s="80">
        <v>111.0</v>
      </c>
      <c r="J174" s="93">
        <v>46147.0</v>
      </c>
      <c r="K174" s="98" t="s">
        <v>2459</v>
      </c>
      <c r="L174" s="92" t="s">
        <v>2482</v>
      </c>
      <c r="M174" s="84"/>
    </row>
    <row r="175">
      <c r="A175" s="76" t="s">
        <v>839</v>
      </c>
      <c r="B175" s="77" t="s">
        <v>1646</v>
      </c>
      <c r="C175" s="77" t="s">
        <v>232</v>
      </c>
      <c r="D175" s="77" t="s">
        <v>1647</v>
      </c>
      <c r="E175" s="78">
        <v>4.6710866E7</v>
      </c>
      <c r="F175" s="79">
        <v>46063.0</v>
      </c>
      <c r="G175" s="77" t="s">
        <v>20</v>
      </c>
      <c r="H175" s="77" t="s">
        <v>1315</v>
      </c>
      <c r="I175" s="80">
        <v>111.0</v>
      </c>
      <c r="J175" s="93">
        <v>46086.0</v>
      </c>
      <c r="K175" s="82" t="s">
        <v>2445</v>
      </c>
      <c r="L175" s="83"/>
      <c r="M175" s="81">
        <v>4.6714369E7</v>
      </c>
    </row>
    <row r="176">
      <c r="A176" s="76" t="s">
        <v>863</v>
      </c>
      <c r="B176" s="77" t="s">
        <v>121</v>
      </c>
      <c r="C176" s="78">
        <v>22373.0</v>
      </c>
      <c r="D176" s="77" t="s">
        <v>122</v>
      </c>
      <c r="E176" s="78">
        <v>17714.0</v>
      </c>
      <c r="F176" s="79">
        <v>46063.0</v>
      </c>
      <c r="G176" s="77" t="s">
        <v>12</v>
      </c>
      <c r="H176" s="77" t="s">
        <v>1315</v>
      </c>
      <c r="I176" s="80">
        <v>111.0</v>
      </c>
      <c r="J176" s="81" t="s">
        <v>2539</v>
      </c>
      <c r="K176" s="82" t="s">
        <v>2445</v>
      </c>
      <c r="L176" s="83"/>
      <c r="M176" s="84"/>
    </row>
    <row r="177">
      <c r="A177" s="76" t="s">
        <v>865</v>
      </c>
      <c r="B177" s="77" t="s">
        <v>1665</v>
      </c>
      <c r="C177" s="77" t="s">
        <v>1666</v>
      </c>
      <c r="D177" s="77" t="s">
        <v>1667</v>
      </c>
      <c r="E177" s="87"/>
      <c r="F177" s="79">
        <v>46063.0</v>
      </c>
      <c r="G177" s="77" t="s">
        <v>16</v>
      </c>
      <c r="H177" s="77" t="s">
        <v>1315</v>
      </c>
      <c r="I177" s="80">
        <v>111.0</v>
      </c>
      <c r="J177" s="81" t="s">
        <v>2444</v>
      </c>
      <c r="K177" s="82" t="s">
        <v>2445</v>
      </c>
      <c r="L177" s="83"/>
      <c r="M177" s="84"/>
    </row>
    <row r="178">
      <c r="A178" s="76" t="s">
        <v>875</v>
      </c>
      <c r="B178" s="77" t="s">
        <v>2255</v>
      </c>
      <c r="C178" s="77" t="s">
        <v>48</v>
      </c>
      <c r="D178" s="77" t="s">
        <v>2256</v>
      </c>
      <c r="E178" s="96">
        <v>919.0</v>
      </c>
      <c r="F178" s="79">
        <v>46063.0</v>
      </c>
      <c r="G178" s="77" t="s">
        <v>12</v>
      </c>
      <c r="H178" s="77" t="s">
        <v>1315</v>
      </c>
      <c r="I178" s="80">
        <v>111.0</v>
      </c>
      <c r="J178" s="93">
        <v>46232.0</v>
      </c>
      <c r="K178" s="82"/>
      <c r="L178" s="92" t="s">
        <v>2472</v>
      </c>
      <c r="M178" s="84"/>
    </row>
    <row r="179">
      <c r="A179" s="76" t="s">
        <v>881</v>
      </c>
      <c r="B179" s="77" t="s">
        <v>1673</v>
      </c>
      <c r="C179" s="78">
        <v>66503.0</v>
      </c>
      <c r="D179" s="77" t="s">
        <v>1674</v>
      </c>
      <c r="E179" s="78">
        <v>2.0675473E7</v>
      </c>
      <c r="F179" s="79">
        <v>46063.0</v>
      </c>
      <c r="G179" s="77" t="s">
        <v>1500</v>
      </c>
      <c r="H179" s="77" t="s">
        <v>1315</v>
      </c>
      <c r="I179" s="80">
        <v>111.0</v>
      </c>
      <c r="J179" s="81" t="s">
        <v>2462</v>
      </c>
      <c r="K179" s="82" t="s">
        <v>2445</v>
      </c>
      <c r="L179" s="83"/>
      <c r="M179" s="84"/>
    </row>
    <row r="180">
      <c r="A180" s="76" t="s">
        <v>833</v>
      </c>
      <c r="B180" s="77" t="s">
        <v>1642</v>
      </c>
      <c r="C180" s="78">
        <v>13068.0</v>
      </c>
      <c r="D180" s="77" t="s">
        <v>1643</v>
      </c>
      <c r="E180" s="78">
        <v>1656.0</v>
      </c>
      <c r="F180" s="79">
        <v>46063.0</v>
      </c>
      <c r="G180" s="77" t="s">
        <v>1463</v>
      </c>
      <c r="H180" s="77" t="s">
        <v>1315</v>
      </c>
      <c r="I180" s="80">
        <v>111.0</v>
      </c>
      <c r="J180" s="102">
        <v>46225.0</v>
      </c>
      <c r="K180" s="98" t="s">
        <v>2459</v>
      </c>
      <c r="L180" s="92" t="s">
        <v>2492</v>
      </c>
      <c r="M180" s="84"/>
    </row>
    <row r="181">
      <c r="A181" s="76" t="s">
        <v>835</v>
      </c>
      <c r="B181" s="77" t="s">
        <v>1638</v>
      </c>
      <c r="C181" s="77" t="s">
        <v>48</v>
      </c>
      <c r="D181" s="77" t="s">
        <v>1639</v>
      </c>
      <c r="E181" s="77" t="s">
        <v>1640</v>
      </c>
      <c r="F181" s="79">
        <v>46063.0</v>
      </c>
      <c r="G181" s="77" t="s">
        <v>15</v>
      </c>
      <c r="H181" s="77" t="s">
        <v>1315</v>
      </c>
      <c r="I181" s="80">
        <v>111.0</v>
      </c>
      <c r="J181" s="89" t="s">
        <v>2441</v>
      </c>
      <c r="K181" s="82" t="s">
        <v>2464</v>
      </c>
      <c r="L181" s="83"/>
      <c r="M181" s="84"/>
    </row>
    <row r="182">
      <c r="A182" s="76" t="s">
        <v>849</v>
      </c>
      <c r="B182" s="77" t="s">
        <v>119</v>
      </c>
      <c r="C182" s="78">
        <v>22373.0</v>
      </c>
      <c r="D182" s="77" t="s">
        <v>120</v>
      </c>
      <c r="E182" s="77" t="s">
        <v>2540</v>
      </c>
      <c r="F182" s="79">
        <v>46063.0</v>
      </c>
      <c r="G182" s="77" t="s">
        <v>17</v>
      </c>
      <c r="H182" s="77" t="s">
        <v>1315</v>
      </c>
      <c r="I182" s="80">
        <v>111.0</v>
      </c>
      <c r="J182" s="102">
        <v>46225.0</v>
      </c>
      <c r="K182" s="98" t="s">
        <v>2459</v>
      </c>
      <c r="L182" s="92" t="s">
        <v>2541</v>
      </c>
      <c r="M182" s="84"/>
    </row>
    <row r="183">
      <c r="A183" s="76" t="s">
        <v>855</v>
      </c>
      <c r="B183" s="77" t="s">
        <v>119</v>
      </c>
      <c r="C183" s="78">
        <v>22373.0</v>
      </c>
      <c r="D183" s="77" t="s">
        <v>120</v>
      </c>
      <c r="E183" s="78">
        <v>21940.0</v>
      </c>
      <c r="F183" s="79">
        <v>46063.0</v>
      </c>
      <c r="G183" s="77" t="s">
        <v>17</v>
      </c>
      <c r="H183" s="77" t="s">
        <v>1315</v>
      </c>
      <c r="I183" s="80">
        <v>111.0</v>
      </c>
      <c r="J183" s="102">
        <v>46225.0</v>
      </c>
      <c r="K183" s="98" t="s">
        <v>2459</v>
      </c>
      <c r="L183" s="92" t="s">
        <v>2482</v>
      </c>
      <c r="M183" s="84"/>
    </row>
    <row r="184">
      <c r="A184" s="76" t="s">
        <v>857</v>
      </c>
      <c r="B184" s="77" t="s">
        <v>1652</v>
      </c>
      <c r="C184" s="78">
        <v>22373.0</v>
      </c>
      <c r="D184" s="77" t="s">
        <v>1653</v>
      </c>
      <c r="E184" s="78">
        <v>22950.0</v>
      </c>
      <c r="F184" s="79">
        <v>46063.0</v>
      </c>
      <c r="G184" s="77" t="s">
        <v>19</v>
      </c>
      <c r="H184" s="77" t="s">
        <v>1315</v>
      </c>
      <c r="I184" s="80">
        <v>111.0</v>
      </c>
      <c r="J184" s="102">
        <v>46225.0</v>
      </c>
      <c r="K184" s="98" t="s">
        <v>2459</v>
      </c>
      <c r="L184" s="92" t="s">
        <v>2492</v>
      </c>
      <c r="M184" s="84"/>
    </row>
    <row r="185">
      <c r="A185" s="76" t="s">
        <v>861</v>
      </c>
      <c r="B185" s="77" t="s">
        <v>199</v>
      </c>
      <c r="C185" s="78">
        <v>22373.0</v>
      </c>
      <c r="D185" s="77" t="s">
        <v>200</v>
      </c>
      <c r="E185" s="78">
        <v>11154.0</v>
      </c>
      <c r="F185" s="79">
        <v>46063.0</v>
      </c>
      <c r="G185" s="77" t="s">
        <v>12</v>
      </c>
      <c r="H185" s="77" t="s">
        <v>1315</v>
      </c>
      <c r="I185" s="80">
        <v>111.0</v>
      </c>
      <c r="J185" s="89" t="s">
        <v>2441</v>
      </c>
      <c r="K185" s="82" t="s">
        <v>2464</v>
      </c>
      <c r="L185" s="83"/>
      <c r="M185" s="84"/>
    </row>
    <row r="186">
      <c r="A186" s="76" t="s">
        <v>867</v>
      </c>
      <c r="B186" s="77" t="s">
        <v>1658</v>
      </c>
      <c r="C186" s="78">
        <v>22373.0</v>
      </c>
      <c r="D186" s="77" t="s">
        <v>90</v>
      </c>
      <c r="E186" s="77" t="s">
        <v>1659</v>
      </c>
      <c r="F186" s="79">
        <v>46063.0</v>
      </c>
      <c r="G186" s="77" t="s">
        <v>1660</v>
      </c>
      <c r="H186" s="77" t="s">
        <v>1315</v>
      </c>
      <c r="I186" s="80">
        <v>111.0</v>
      </c>
      <c r="J186" s="89" t="s">
        <v>2441</v>
      </c>
      <c r="K186" s="82" t="s">
        <v>2464</v>
      </c>
      <c r="L186" s="83"/>
      <c r="M186" s="84"/>
    </row>
    <row r="187">
      <c r="A187" s="76" t="s">
        <v>869</v>
      </c>
      <c r="B187" s="77" t="s">
        <v>1519</v>
      </c>
      <c r="C187" s="78">
        <v>22373.0</v>
      </c>
      <c r="D187" s="77" t="s">
        <v>1520</v>
      </c>
      <c r="E187" s="78">
        <v>8306.0</v>
      </c>
      <c r="F187" s="79">
        <v>46063.0</v>
      </c>
      <c r="G187" s="77" t="s">
        <v>1415</v>
      </c>
      <c r="H187" s="77" t="s">
        <v>1315</v>
      </c>
      <c r="I187" s="80">
        <v>111.0</v>
      </c>
      <c r="J187" s="89" t="s">
        <v>2441</v>
      </c>
      <c r="K187" s="82" t="s">
        <v>2464</v>
      </c>
      <c r="L187" s="83"/>
      <c r="M187" s="84"/>
    </row>
    <row r="188">
      <c r="A188" s="76" t="s">
        <v>885</v>
      </c>
      <c r="B188" s="77" t="s">
        <v>1676</v>
      </c>
      <c r="C188" s="78">
        <v>16455.0</v>
      </c>
      <c r="D188" s="77" t="s">
        <v>1677</v>
      </c>
      <c r="E188" s="78">
        <v>471591.0</v>
      </c>
      <c r="F188" s="79">
        <v>46077.0</v>
      </c>
      <c r="G188" s="77" t="s">
        <v>13</v>
      </c>
      <c r="H188" s="77" t="s">
        <v>1315</v>
      </c>
      <c r="I188" s="103">
        <v>97.0</v>
      </c>
      <c r="J188" s="81" t="s">
        <v>2462</v>
      </c>
      <c r="K188" s="82" t="s">
        <v>2463</v>
      </c>
      <c r="L188" s="83"/>
      <c r="M188" s="84"/>
    </row>
    <row r="189">
      <c r="A189" s="76" t="s">
        <v>883</v>
      </c>
      <c r="B189" s="77" t="s">
        <v>1676</v>
      </c>
      <c r="C189" s="78">
        <v>16455.0</v>
      </c>
      <c r="D189" s="77" t="s">
        <v>1677</v>
      </c>
      <c r="E189" s="78">
        <v>470055.0</v>
      </c>
      <c r="F189" s="79">
        <v>46077.0</v>
      </c>
      <c r="G189" s="77" t="s">
        <v>16</v>
      </c>
      <c r="H189" s="77" t="s">
        <v>1315</v>
      </c>
      <c r="I189" s="103">
        <v>97.0</v>
      </c>
      <c r="J189" s="102">
        <v>46225.0</v>
      </c>
      <c r="K189" s="98" t="s">
        <v>2459</v>
      </c>
      <c r="L189" s="92" t="s">
        <v>2492</v>
      </c>
      <c r="M189" s="84"/>
    </row>
    <row r="190">
      <c r="A190" s="76" t="s">
        <v>887</v>
      </c>
      <c r="B190" s="77" t="s">
        <v>1682</v>
      </c>
      <c r="C190" s="77" t="s">
        <v>48</v>
      </c>
      <c r="D190" s="77" t="s">
        <v>168</v>
      </c>
      <c r="E190" s="78">
        <v>8868.0</v>
      </c>
      <c r="F190" s="79">
        <v>46085.0</v>
      </c>
      <c r="G190" s="77" t="s">
        <v>13</v>
      </c>
      <c r="H190" s="77" t="s">
        <v>1315</v>
      </c>
      <c r="I190" s="103">
        <v>89.0</v>
      </c>
      <c r="J190" s="81" t="s">
        <v>2441</v>
      </c>
      <c r="K190" s="82" t="s">
        <v>2445</v>
      </c>
      <c r="L190" s="83"/>
      <c r="M190" s="84"/>
    </row>
    <row r="191">
      <c r="A191" s="76" t="s">
        <v>889</v>
      </c>
      <c r="B191" s="77" t="s">
        <v>1682</v>
      </c>
      <c r="C191" s="77" t="s">
        <v>48</v>
      </c>
      <c r="D191" s="77" t="s">
        <v>168</v>
      </c>
      <c r="E191" s="78">
        <v>4965.0</v>
      </c>
      <c r="F191" s="79">
        <v>46085.0</v>
      </c>
      <c r="G191" s="77" t="s">
        <v>13</v>
      </c>
      <c r="H191" s="77" t="s">
        <v>1315</v>
      </c>
      <c r="I191" s="103">
        <v>89.0</v>
      </c>
      <c r="J191" s="81" t="s">
        <v>2441</v>
      </c>
      <c r="K191" s="82" t="s">
        <v>2445</v>
      </c>
      <c r="L191" s="83"/>
      <c r="M191" s="99" t="s">
        <v>2542</v>
      </c>
    </row>
    <row r="192">
      <c r="A192" s="76" t="s">
        <v>891</v>
      </c>
      <c r="B192" s="78">
        <v>3034792.0</v>
      </c>
      <c r="C192" s="85">
        <v>198.0</v>
      </c>
      <c r="D192" s="77" t="s">
        <v>1334</v>
      </c>
      <c r="E192" s="86">
        <v>745.0</v>
      </c>
      <c r="F192" s="79">
        <v>46090.0</v>
      </c>
      <c r="G192" s="77" t="s">
        <v>12</v>
      </c>
      <c r="H192" s="77" t="s">
        <v>1315</v>
      </c>
      <c r="I192" s="103">
        <v>84.0</v>
      </c>
      <c r="J192" s="81" t="s">
        <v>2441</v>
      </c>
      <c r="K192" s="82" t="s">
        <v>2445</v>
      </c>
      <c r="L192" s="83"/>
      <c r="M192" s="84"/>
    </row>
    <row r="193">
      <c r="A193" s="76" t="s">
        <v>897</v>
      </c>
      <c r="B193" s="77" t="s">
        <v>1596</v>
      </c>
      <c r="C193" s="78">
        <v>32108.0</v>
      </c>
      <c r="D193" s="77" t="s">
        <v>1598</v>
      </c>
      <c r="E193" s="77" t="s">
        <v>2543</v>
      </c>
      <c r="F193" s="79">
        <v>46100.0</v>
      </c>
      <c r="G193" s="77" t="s">
        <v>13</v>
      </c>
      <c r="H193" s="77" t="s">
        <v>1315</v>
      </c>
      <c r="I193" s="104">
        <v>74.0</v>
      </c>
      <c r="J193" s="88">
        <v>46176.0</v>
      </c>
      <c r="K193" s="82" t="s">
        <v>13</v>
      </c>
      <c r="L193" s="81" t="s">
        <v>2544</v>
      </c>
      <c r="M193" s="84"/>
    </row>
    <row r="194">
      <c r="A194" s="76" t="s">
        <v>899</v>
      </c>
      <c r="B194" s="77" t="s">
        <v>1596</v>
      </c>
      <c r="C194" s="78">
        <v>32108.0</v>
      </c>
      <c r="D194" s="77" t="s">
        <v>1598</v>
      </c>
      <c r="E194" s="77" t="s">
        <v>2545</v>
      </c>
      <c r="F194" s="79">
        <v>46100.0</v>
      </c>
      <c r="G194" s="77" t="s">
        <v>17</v>
      </c>
      <c r="H194" s="77" t="s">
        <v>1315</v>
      </c>
      <c r="I194" s="104">
        <v>74.0</v>
      </c>
      <c r="J194" s="88">
        <v>46176.0</v>
      </c>
      <c r="K194" s="82" t="s">
        <v>13</v>
      </c>
      <c r="L194" s="81" t="s">
        <v>2544</v>
      </c>
      <c r="M194" s="84"/>
    </row>
    <row r="195">
      <c r="A195" s="76" t="s">
        <v>907</v>
      </c>
      <c r="B195" s="77" t="s">
        <v>1606</v>
      </c>
      <c r="C195" s="77" t="s">
        <v>48</v>
      </c>
      <c r="D195" s="77" t="s">
        <v>168</v>
      </c>
      <c r="E195" s="78">
        <v>7086.0</v>
      </c>
      <c r="F195" s="79">
        <v>46107.0</v>
      </c>
      <c r="G195" s="77" t="s">
        <v>17</v>
      </c>
      <c r="H195" s="77" t="s">
        <v>1315</v>
      </c>
      <c r="I195" s="104">
        <v>67.0</v>
      </c>
      <c r="J195" s="88">
        <v>46127.0</v>
      </c>
      <c r="K195" s="98" t="s">
        <v>2459</v>
      </c>
      <c r="L195" s="92" t="s">
        <v>2482</v>
      </c>
      <c r="M195" s="84"/>
    </row>
    <row r="196">
      <c r="A196" s="76" t="s">
        <v>909</v>
      </c>
      <c r="B196" s="77" t="s">
        <v>167</v>
      </c>
      <c r="C196" s="78">
        <v>71379.0</v>
      </c>
      <c r="D196" s="77" t="s">
        <v>168</v>
      </c>
      <c r="E196" s="78">
        <v>99743.0</v>
      </c>
      <c r="F196" s="79">
        <v>46107.0</v>
      </c>
      <c r="G196" s="77" t="s">
        <v>17</v>
      </c>
      <c r="H196" s="77" t="s">
        <v>1315</v>
      </c>
      <c r="I196" s="104">
        <v>67.0</v>
      </c>
      <c r="J196" s="88">
        <v>46127.0</v>
      </c>
      <c r="K196" s="98" t="s">
        <v>2459</v>
      </c>
      <c r="L196" s="92" t="s">
        <v>2546</v>
      </c>
      <c r="M196" s="84"/>
    </row>
    <row r="197">
      <c r="A197" s="76" t="s">
        <v>903</v>
      </c>
      <c r="B197" s="77" t="s">
        <v>95</v>
      </c>
      <c r="C197" s="78">
        <v>22373.0</v>
      </c>
      <c r="D197" s="77" t="s">
        <v>1751</v>
      </c>
      <c r="E197" s="78">
        <v>107178.0</v>
      </c>
      <c r="F197" s="79">
        <v>46107.0</v>
      </c>
      <c r="G197" s="77" t="s">
        <v>1376</v>
      </c>
      <c r="H197" s="77" t="s">
        <v>1315</v>
      </c>
      <c r="I197" s="104">
        <v>67.0</v>
      </c>
      <c r="J197" s="102">
        <v>46135.0</v>
      </c>
      <c r="K197" s="82" t="s">
        <v>2464</v>
      </c>
      <c r="L197" s="92" t="s">
        <v>2482</v>
      </c>
      <c r="M197" s="84"/>
    </row>
    <row r="198">
      <c r="A198" s="76" t="s">
        <v>911</v>
      </c>
      <c r="B198" s="77" t="s">
        <v>83</v>
      </c>
      <c r="C198" s="78">
        <v>22373.0</v>
      </c>
      <c r="D198" s="77" t="s">
        <v>84</v>
      </c>
      <c r="E198" s="77" t="s">
        <v>1690</v>
      </c>
      <c r="F198" s="79">
        <v>46112.0</v>
      </c>
      <c r="G198" s="77" t="s">
        <v>1376</v>
      </c>
      <c r="H198" s="77" t="s">
        <v>1315</v>
      </c>
      <c r="I198" s="104">
        <v>62.0</v>
      </c>
      <c r="J198" s="89" t="s">
        <v>2441</v>
      </c>
      <c r="K198" s="82" t="s">
        <v>2464</v>
      </c>
      <c r="L198" s="83"/>
      <c r="M198" s="84"/>
    </row>
    <row r="199">
      <c r="A199" s="76" t="s">
        <v>913</v>
      </c>
      <c r="B199" s="77" t="s">
        <v>1691</v>
      </c>
      <c r="C199" s="78">
        <v>81205.0</v>
      </c>
      <c r="D199" s="77" t="s">
        <v>1693</v>
      </c>
      <c r="E199" s="77" t="s">
        <v>1694</v>
      </c>
      <c r="F199" s="79">
        <v>46125.0</v>
      </c>
      <c r="G199" s="77" t="s">
        <v>1372</v>
      </c>
      <c r="H199" s="77" t="s">
        <v>1315</v>
      </c>
      <c r="I199" s="104">
        <v>49.0</v>
      </c>
      <c r="J199" s="81" t="s">
        <v>2441</v>
      </c>
      <c r="K199" s="82" t="s">
        <v>2447</v>
      </c>
      <c r="L199" s="83"/>
      <c r="M199" s="84"/>
    </row>
    <row r="200">
      <c r="A200" s="76" t="s">
        <v>967</v>
      </c>
      <c r="B200" s="77" t="s">
        <v>81</v>
      </c>
      <c r="C200" s="78">
        <v>95270.0</v>
      </c>
      <c r="D200" s="77" t="s">
        <v>1718</v>
      </c>
      <c r="E200" s="78">
        <v>1391.0</v>
      </c>
      <c r="F200" s="79">
        <v>46125.0</v>
      </c>
      <c r="G200" s="77" t="s">
        <v>12</v>
      </c>
      <c r="H200" s="77" t="s">
        <v>1315</v>
      </c>
      <c r="I200" s="104">
        <v>49.0</v>
      </c>
      <c r="J200" s="81" t="s">
        <v>2441</v>
      </c>
      <c r="K200" s="82" t="s">
        <v>2447</v>
      </c>
      <c r="L200" s="83"/>
      <c r="M200" s="84"/>
    </row>
    <row r="201">
      <c r="A201" s="76" t="s">
        <v>937</v>
      </c>
      <c r="B201" s="77" t="s">
        <v>1590</v>
      </c>
      <c r="C201" s="78">
        <v>22373.0</v>
      </c>
      <c r="D201" s="77" t="s">
        <v>1591</v>
      </c>
      <c r="E201" s="78">
        <v>84317.0</v>
      </c>
      <c r="F201" s="79">
        <v>46125.0</v>
      </c>
      <c r="G201" s="77" t="s">
        <v>14</v>
      </c>
      <c r="H201" s="77" t="s">
        <v>1315</v>
      </c>
      <c r="I201" s="104">
        <v>49.0</v>
      </c>
      <c r="J201" s="88">
        <v>46160.0</v>
      </c>
      <c r="K201" s="82" t="s">
        <v>17</v>
      </c>
      <c r="L201" s="81" t="s">
        <v>2547</v>
      </c>
      <c r="M201" s="84"/>
    </row>
    <row r="202">
      <c r="A202" s="76" t="s">
        <v>939</v>
      </c>
      <c r="B202" s="77" t="s">
        <v>1590</v>
      </c>
      <c r="C202" s="78">
        <v>22373.0</v>
      </c>
      <c r="D202" s="77" t="s">
        <v>1591</v>
      </c>
      <c r="E202" s="78">
        <v>83773.0</v>
      </c>
      <c r="F202" s="79">
        <v>46125.0</v>
      </c>
      <c r="G202" s="77" t="s">
        <v>14</v>
      </c>
      <c r="H202" s="77" t="s">
        <v>1315</v>
      </c>
      <c r="I202" s="104">
        <v>49.0</v>
      </c>
      <c r="J202" s="88">
        <v>46156.0</v>
      </c>
      <c r="K202" s="82" t="s">
        <v>17</v>
      </c>
      <c r="L202" s="81" t="s">
        <v>2548</v>
      </c>
      <c r="M202" s="84"/>
    </row>
    <row r="203">
      <c r="A203" s="76" t="s">
        <v>977</v>
      </c>
      <c r="B203" s="77" t="s">
        <v>1724</v>
      </c>
      <c r="C203" s="77" t="s">
        <v>48</v>
      </c>
      <c r="D203" s="77" t="s">
        <v>1725</v>
      </c>
      <c r="E203" s="78">
        <v>3454.0</v>
      </c>
      <c r="F203" s="79">
        <v>46125.0</v>
      </c>
      <c r="G203" s="77" t="s">
        <v>20</v>
      </c>
      <c r="H203" s="77" t="s">
        <v>1315</v>
      </c>
      <c r="I203" s="104">
        <v>49.0</v>
      </c>
      <c r="J203" s="88">
        <v>46182.0</v>
      </c>
      <c r="K203" s="82" t="s">
        <v>17</v>
      </c>
      <c r="L203" s="81" t="s">
        <v>2549</v>
      </c>
      <c r="M203" s="84"/>
    </row>
    <row r="204">
      <c r="A204" s="76" t="s">
        <v>983</v>
      </c>
      <c r="B204" s="77" t="s">
        <v>1724</v>
      </c>
      <c r="C204" s="77" t="s">
        <v>48</v>
      </c>
      <c r="D204" s="77" t="s">
        <v>1725</v>
      </c>
      <c r="E204" s="78">
        <v>3235.0</v>
      </c>
      <c r="F204" s="79">
        <v>46125.0</v>
      </c>
      <c r="G204" s="77" t="s">
        <v>14</v>
      </c>
      <c r="H204" s="77" t="s">
        <v>1315</v>
      </c>
      <c r="I204" s="104">
        <v>49.0</v>
      </c>
      <c r="J204" s="88">
        <v>46182.0</v>
      </c>
      <c r="K204" s="82" t="s">
        <v>17</v>
      </c>
      <c r="L204" s="81" t="s">
        <v>2549</v>
      </c>
      <c r="M204" s="84"/>
    </row>
    <row r="205">
      <c r="A205" s="76" t="s">
        <v>941</v>
      </c>
      <c r="B205" s="77" t="s">
        <v>1590</v>
      </c>
      <c r="C205" s="78">
        <v>22373.0</v>
      </c>
      <c r="D205" s="77" t="s">
        <v>1591</v>
      </c>
      <c r="E205" s="78">
        <v>83740.0</v>
      </c>
      <c r="F205" s="79">
        <v>46125.0</v>
      </c>
      <c r="G205" s="77" t="s">
        <v>24</v>
      </c>
      <c r="H205" s="77" t="s">
        <v>1315</v>
      </c>
      <c r="I205" s="104">
        <v>49.0</v>
      </c>
      <c r="J205" s="93">
        <v>46209.0</v>
      </c>
      <c r="K205" s="98" t="s">
        <v>14</v>
      </c>
      <c r="L205" s="92" t="s">
        <v>2550</v>
      </c>
      <c r="M205" s="84"/>
    </row>
    <row r="206">
      <c r="A206" s="76" t="s">
        <v>943</v>
      </c>
      <c r="B206" s="77" t="s">
        <v>1590</v>
      </c>
      <c r="C206" s="78">
        <v>22373.0</v>
      </c>
      <c r="D206" s="77" t="s">
        <v>1591</v>
      </c>
      <c r="E206" s="78">
        <v>84326.0</v>
      </c>
      <c r="F206" s="79">
        <v>46125.0</v>
      </c>
      <c r="G206" s="77" t="s">
        <v>24</v>
      </c>
      <c r="H206" s="77" t="s">
        <v>1315</v>
      </c>
      <c r="I206" s="104">
        <v>49.0</v>
      </c>
      <c r="J206" s="81" t="s">
        <v>2441</v>
      </c>
      <c r="K206" s="82" t="s">
        <v>2442</v>
      </c>
      <c r="L206" s="83"/>
      <c r="M206" s="84"/>
    </row>
    <row r="207">
      <c r="A207" s="76" t="s">
        <v>945</v>
      </c>
      <c r="B207" s="77" t="s">
        <v>151</v>
      </c>
      <c r="C207" s="78">
        <v>22373.0</v>
      </c>
      <c r="D207" s="77" t="s">
        <v>152</v>
      </c>
      <c r="E207" s="78">
        <v>6708.0</v>
      </c>
      <c r="F207" s="79">
        <v>46125.0</v>
      </c>
      <c r="G207" s="77" t="s">
        <v>17</v>
      </c>
      <c r="H207" s="77" t="s">
        <v>1315</v>
      </c>
      <c r="I207" s="104">
        <v>49.0</v>
      </c>
      <c r="J207" s="93">
        <v>46232.0</v>
      </c>
      <c r="K207" s="82"/>
      <c r="L207" s="92" t="s">
        <v>2472</v>
      </c>
      <c r="M207" s="84"/>
    </row>
    <row r="208">
      <c r="A208" s="76" t="s">
        <v>949</v>
      </c>
      <c r="B208" s="77" t="s">
        <v>151</v>
      </c>
      <c r="C208" s="78">
        <v>22373.0</v>
      </c>
      <c r="D208" s="77" t="s">
        <v>152</v>
      </c>
      <c r="E208" s="78">
        <v>9727.0</v>
      </c>
      <c r="F208" s="79">
        <v>46125.0</v>
      </c>
      <c r="G208" s="77" t="s">
        <v>17</v>
      </c>
      <c r="H208" s="77" t="s">
        <v>1315</v>
      </c>
      <c r="I208" s="104">
        <v>49.0</v>
      </c>
      <c r="J208" s="81" t="s">
        <v>2441</v>
      </c>
      <c r="K208" s="82" t="s">
        <v>2442</v>
      </c>
      <c r="L208" s="83"/>
      <c r="M208" s="84"/>
    </row>
    <row r="209">
      <c r="A209" s="76" t="s">
        <v>989</v>
      </c>
      <c r="B209" s="77" t="s">
        <v>1734</v>
      </c>
      <c r="C209" s="78">
        <v>7213.0</v>
      </c>
      <c r="D209" s="77" t="s">
        <v>1735</v>
      </c>
      <c r="E209" s="77" t="s">
        <v>1736</v>
      </c>
      <c r="F209" s="79">
        <v>46125.0</v>
      </c>
      <c r="G209" s="77" t="s">
        <v>12</v>
      </c>
      <c r="H209" s="77" t="s">
        <v>1315</v>
      </c>
      <c r="I209" s="104">
        <v>49.0</v>
      </c>
      <c r="J209" s="81" t="s">
        <v>2441</v>
      </c>
      <c r="K209" s="82" t="s">
        <v>2442</v>
      </c>
      <c r="L209" s="83"/>
      <c r="M209" s="84"/>
    </row>
    <row r="210">
      <c r="A210" s="76" t="s">
        <v>963</v>
      </c>
      <c r="B210" s="77" t="s">
        <v>81</v>
      </c>
      <c r="C210" s="78">
        <v>95270.0</v>
      </c>
      <c r="D210" s="77" t="s">
        <v>1718</v>
      </c>
      <c r="E210" s="77" t="s">
        <v>2290</v>
      </c>
      <c r="F210" s="79">
        <v>46125.0</v>
      </c>
      <c r="G210" s="77" t="s">
        <v>1500</v>
      </c>
      <c r="H210" s="77" t="s">
        <v>1315</v>
      </c>
      <c r="I210" s="104">
        <v>49.0</v>
      </c>
      <c r="J210" s="88">
        <v>46175.0</v>
      </c>
      <c r="K210" s="82" t="s">
        <v>2459</v>
      </c>
      <c r="L210" s="81" t="s">
        <v>2485</v>
      </c>
      <c r="M210" s="84"/>
    </row>
    <row r="211">
      <c r="A211" s="76" t="s">
        <v>965</v>
      </c>
      <c r="B211" s="77" t="s">
        <v>81</v>
      </c>
      <c r="C211" s="78">
        <v>95270.0</v>
      </c>
      <c r="D211" s="77" t="s">
        <v>1718</v>
      </c>
      <c r="E211" s="77" t="s">
        <v>2291</v>
      </c>
      <c r="F211" s="79">
        <v>46125.0</v>
      </c>
      <c r="G211" s="77" t="s">
        <v>1500</v>
      </c>
      <c r="H211" s="77" t="s">
        <v>1315</v>
      </c>
      <c r="I211" s="104">
        <v>49.0</v>
      </c>
      <c r="J211" s="88">
        <v>46175.0</v>
      </c>
      <c r="K211" s="82" t="s">
        <v>2459</v>
      </c>
      <c r="L211" s="81" t="s">
        <v>2485</v>
      </c>
      <c r="M211" s="84"/>
    </row>
    <row r="212">
      <c r="A212" s="76" t="s">
        <v>915</v>
      </c>
      <c r="B212" s="77" t="s">
        <v>1698</v>
      </c>
      <c r="C212" s="78">
        <v>54905.0</v>
      </c>
      <c r="D212" s="77" t="s">
        <v>1700</v>
      </c>
      <c r="E212" s="77" t="s">
        <v>1701</v>
      </c>
      <c r="F212" s="79">
        <v>46125.0</v>
      </c>
      <c r="G212" s="77" t="s">
        <v>17</v>
      </c>
      <c r="H212" s="77" t="s">
        <v>1315</v>
      </c>
      <c r="I212" s="104">
        <v>49.0</v>
      </c>
      <c r="J212" s="83"/>
      <c r="K212" s="105" t="s">
        <v>2551</v>
      </c>
      <c r="L212" s="83"/>
      <c r="M212" s="84"/>
    </row>
    <row r="213">
      <c r="A213" s="76" t="s">
        <v>917</v>
      </c>
      <c r="B213" s="77" t="s">
        <v>1698</v>
      </c>
      <c r="C213" s="78">
        <v>54905.0</v>
      </c>
      <c r="D213" s="77" t="s">
        <v>1700</v>
      </c>
      <c r="E213" s="77" t="s">
        <v>2274</v>
      </c>
      <c r="F213" s="79">
        <v>46125.0</v>
      </c>
      <c r="G213" s="77" t="s">
        <v>17</v>
      </c>
      <c r="H213" s="77" t="s">
        <v>1315</v>
      </c>
      <c r="I213" s="104">
        <v>49.0</v>
      </c>
      <c r="J213" s="83"/>
      <c r="K213" s="106" t="s">
        <v>2551</v>
      </c>
      <c r="L213" s="83"/>
      <c r="M213" s="84"/>
    </row>
    <row r="214">
      <c r="A214" s="76" t="s">
        <v>919</v>
      </c>
      <c r="B214" s="77" t="s">
        <v>1698</v>
      </c>
      <c r="C214" s="78">
        <v>54905.0</v>
      </c>
      <c r="D214" s="77" t="s">
        <v>1700</v>
      </c>
      <c r="E214" s="77" t="s">
        <v>2275</v>
      </c>
      <c r="F214" s="79">
        <v>46125.0</v>
      </c>
      <c r="G214" s="77" t="s">
        <v>12</v>
      </c>
      <c r="H214" s="77" t="s">
        <v>1315</v>
      </c>
      <c r="I214" s="104">
        <v>49.0</v>
      </c>
      <c r="J214" s="83"/>
      <c r="K214" s="105" t="s">
        <v>2551</v>
      </c>
      <c r="L214" s="83"/>
      <c r="M214" s="84"/>
    </row>
    <row r="215">
      <c r="A215" s="76" t="s">
        <v>921</v>
      </c>
      <c r="B215" s="77" t="s">
        <v>161</v>
      </c>
      <c r="C215" s="77" t="s">
        <v>232</v>
      </c>
      <c r="D215" s="77" t="s">
        <v>162</v>
      </c>
      <c r="E215" s="78">
        <v>4.7203152E7</v>
      </c>
      <c r="F215" s="79">
        <v>46125.0</v>
      </c>
      <c r="G215" s="77" t="s">
        <v>16</v>
      </c>
      <c r="H215" s="77" t="s">
        <v>1315</v>
      </c>
      <c r="I215" s="104">
        <v>49.0</v>
      </c>
      <c r="J215" s="93">
        <v>46183.0</v>
      </c>
      <c r="K215" s="98" t="s">
        <v>2463</v>
      </c>
      <c r="L215" s="83"/>
      <c r="M215" s="99">
        <v>4.7203246E7</v>
      </c>
    </row>
    <row r="216">
      <c r="A216" s="76" t="s">
        <v>923</v>
      </c>
      <c r="B216" s="77" t="s">
        <v>161</v>
      </c>
      <c r="C216" s="77" t="s">
        <v>232</v>
      </c>
      <c r="D216" s="77" t="s">
        <v>162</v>
      </c>
      <c r="E216" s="78">
        <v>4.7202512E7</v>
      </c>
      <c r="F216" s="79">
        <v>46125.0</v>
      </c>
      <c r="G216" s="77" t="s">
        <v>16</v>
      </c>
      <c r="H216" s="77" t="s">
        <v>1315</v>
      </c>
      <c r="I216" s="104">
        <v>49.0</v>
      </c>
      <c r="J216" s="93">
        <v>46183.0</v>
      </c>
      <c r="K216" s="98" t="s">
        <v>2463</v>
      </c>
      <c r="L216" s="83"/>
      <c r="M216" s="84"/>
    </row>
    <row r="217">
      <c r="A217" s="76" t="s">
        <v>933</v>
      </c>
      <c r="B217" s="77" t="s">
        <v>105</v>
      </c>
      <c r="C217" s="78">
        <v>22373.0</v>
      </c>
      <c r="D217" s="77" t="s">
        <v>106</v>
      </c>
      <c r="E217" s="78">
        <v>18156.0</v>
      </c>
      <c r="F217" s="79">
        <v>46125.0</v>
      </c>
      <c r="G217" s="77" t="s">
        <v>24</v>
      </c>
      <c r="H217" s="77" t="s">
        <v>1315</v>
      </c>
      <c r="I217" s="104">
        <v>49.0</v>
      </c>
      <c r="J217" s="81" t="s">
        <v>2441</v>
      </c>
      <c r="K217" s="82" t="s">
        <v>2445</v>
      </c>
      <c r="L217" s="83"/>
      <c r="M217" s="84"/>
    </row>
    <row r="218">
      <c r="A218" s="76" t="s">
        <v>947</v>
      </c>
      <c r="B218" s="77" t="s">
        <v>1394</v>
      </c>
      <c r="C218" s="78">
        <v>71513.0</v>
      </c>
      <c r="D218" s="77" t="s">
        <v>1396</v>
      </c>
      <c r="E218" s="77" t="s">
        <v>2284</v>
      </c>
      <c r="F218" s="79">
        <v>46125.0</v>
      </c>
      <c r="G218" s="77" t="s">
        <v>17</v>
      </c>
      <c r="H218" s="77" t="s">
        <v>1315</v>
      </c>
      <c r="I218" s="104">
        <v>49.0</v>
      </c>
      <c r="J218" s="93">
        <v>46232.0</v>
      </c>
      <c r="K218" s="98" t="s">
        <v>2459</v>
      </c>
      <c r="L218" s="92" t="s">
        <v>2472</v>
      </c>
      <c r="M218" s="84"/>
    </row>
    <row r="219">
      <c r="A219" s="76" t="s">
        <v>951</v>
      </c>
      <c r="B219" s="77" t="s">
        <v>1436</v>
      </c>
      <c r="C219" s="78">
        <v>71513.0</v>
      </c>
      <c r="D219" s="77" t="s">
        <v>1437</v>
      </c>
      <c r="E219" s="77" t="s">
        <v>2285</v>
      </c>
      <c r="F219" s="79">
        <v>46125.0</v>
      </c>
      <c r="G219" s="77" t="s">
        <v>17</v>
      </c>
      <c r="H219" s="77" t="s">
        <v>1315</v>
      </c>
      <c r="I219" s="104">
        <v>49.0</v>
      </c>
      <c r="J219" s="93">
        <v>46232.0</v>
      </c>
      <c r="K219" s="98" t="s">
        <v>2459</v>
      </c>
      <c r="L219" s="92" t="s">
        <v>2472</v>
      </c>
      <c r="M219" s="84"/>
    </row>
    <row r="220">
      <c r="A220" s="76" t="s">
        <v>953</v>
      </c>
      <c r="B220" s="77" t="s">
        <v>63</v>
      </c>
      <c r="C220" s="78">
        <v>71513.0</v>
      </c>
      <c r="D220" s="77" t="s">
        <v>1432</v>
      </c>
      <c r="E220" s="78">
        <v>31.0</v>
      </c>
      <c r="F220" s="79">
        <v>46125.0</v>
      </c>
      <c r="G220" s="77" t="s">
        <v>17</v>
      </c>
      <c r="H220" s="77" t="s">
        <v>1315</v>
      </c>
      <c r="I220" s="104">
        <v>49.0</v>
      </c>
      <c r="J220" s="81" t="s">
        <v>2462</v>
      </c>
      <c r="K220" s="82" t="s">
        <v>2445</v>
      </c>
      <c r="L220" s="83"/>
      <c r="M220" s="84"/>
    </row>
    <row r="221">
      <c r="A221" s="76" t="s">
        <v>955</v>
      </c>
      <c r="B221" s="77" t="s">
        <v>63</v>
      </c>
      <c r="C221" s="78">
        <v>71513.0</v>
      </c>
      <c r="D221" s="77" t="s">
        <v>1432</v>
      </c>
      <c r="E221" s="78">
        <v>965.0</v>
      </c>
      <c r="F221" s="79">
        <v>46125.0</v>
      </c>
      <c r="G221" s="77" t="s">
        <v>17</v>
      </c>
      <c r="H221" s="77" t="s">
        <v>1315</v>
      </c>
      <c r="I221" s="104">
        <v>49.0</v>
      </c>
      <c r="J221" s="93">
        <v>46232.0</v>
      </c>
      <c r="K221" s="98"/>
      <c r="L221" s="92" t="s">
        <v>2472</v>
      </c>
      <c r="M221" s="84"/>
    </row>
    <row r="222">
      <c r="A222" s="76" t="s">
        <v>957</v>
      </c>
      <c r="B222" s="77" t="s">
        <v>61</v>
      </c>
      <c r="C222" s="78">
        <v>33269.0</v>
      </c>
      <c r="D222" s="77" t="s">
        <v>1438</v>
      </c>
      <c r="E222" s="78">
        <v>2007.0</v>
      </c>
      <c r="F222" s="79">
        <v>46125.0</v>
      </c>
      <c r="G222" s="77" t="s">
        <v>25</v>
      </c>
      <c r="H222" s="77" t="s">
        <v>1315</v>
      </c>
      <c r="I222" s="104">
        <v>49.0</v>
      </c>
      <c r="J222" s="93">
        <v>46232.0</v>
      </c>
      <c r="K222" s="98"/>
      <c r="L222" s="92" t="s">
        <v>2472</v>
      </c>
      <c r="M222" s="84"/>
    </row>
    <row r="223">
      <c r="A223" s="76" t="s">
        <v>959</v>
      </c>
      <c r="B223" s="77" t="s">
        <v>61</v>
      </c>
      <c r="C223" s="78">
        <v>33269.0</v>
      </c>
      <c r="D223" s="77" t="s">
        <v>1438</v>
      </c>
      <c r="E223" s="78">
        <v>688.0</v>
      </c>
      <c r="F223" s="79">
        <v>46125.0</v>
      </c>
      <c r="G223" s="77" t="s">
        <v>17</v>
      </c>
      <c r="H223" s="77" t="s">
        <v>1315</v>
      </c>
      <c r="I223" s="104">
        <v>49.0</v>
      </c>
      <c r="J223" s="81" t="s">
        <v>2462</v>
      </c>
      <c r="K223" s="82" t="s">
        <v>2445</v>
      </c>
      <c r="L223" s="83"/>
      <c r="M223" s="84"/>
    </row>
    <row r="224">
      <c r="A224" s="76" t="s">
        <v>961</v>
      </c>
      <c r="B224" s="77" t="s">
        <v>61</v>
      </c>
      <c r="C224" s="78">
        <v>33269.0</v>
      </c>
      <c r="D224" s="77" t="s">
        <v>1438</v>
      </c>
      <c r="E224" s="77" t="s">
        <v>2289</v>
      </c>
      <c r="F224" s="79">
        <v>46125.0</v>
      </c>
      <c r="G224" s="77" t="s">
        <v>17</v>
      </c>
      <c r="H224" s="77" t="s">
        <v>1315</v>
      </c>
      <c r="I224" s="104">
        <v>49.0</v>
      </c>
      <c r="J224" s="81" t="s">
        <v>2462</v>
      </c>
      <c r="K224" s="82" t="s">
        <v>2445</v>
      </c>
      <c r="L224" s="83"/>
      <c r="M224" s="84"/>
    </row>
    <row r="225">
      <c r="A225" s="76" t="s">
        <v>969</v>
      </c>
      <c r="B225" s="77" t="s">
        <v>189</v>
      </c>
      <c r="C225" s="77" t="s">
        <v>1720</v>
      </c>
      <c r="D225" s="77" t="s">
        <v>1721</v>
      </c>
      <c r="E225" s="78">
        <v>120315.0</v>
      </c>
      <c r="F225" s="79">
        <v>46125.0</v>
      </c>
      <c r="G225" s="77" t="s">
        <v>12</v>
      </c>
      <c r="H225" s="77" t="s">
        <v>1315</v>
      </c>
      <c r="I225" s="104">
        <v>49.0</v>
      </c>
      <c r="J225" s="81" t="s">
        <v>2441</v>
      </c>
      <c r="K225" s="82" t="s">
        <v>2445</v>
      </c>
      <c r="L225" s="83"/>
      <c r="M225" s="84"/>
    </row>
    <row r="226">
      <c r="A226" s="76" t="s">
        <v>979</v>
      </c>
      <c r="B226" s="77" t="s">
        <v>1724</v>
      </c>
      <c r="C226" s="77" t="s">
        <v>48</v>
      </c>
      <c r="D226" s="77" t="s">
        <v>1725</v>
      </c>
      <c r="E226" s="78">
        <v>3493.0</v>
      </c>
      <c r="F226" s="79">
        <v>46125.0</v>
      </c>
      <c r="G226" s="77" t="s">
        <v>20</v>
      </c>
      <c r="H226" s="77" t="s">
        <v>1315</v>
      </c>
      <c r="I226" s="104">
        <v>49.0</v>
      </c>
      <c r="J226" s="93">
        <v>46232.0</v>
      </c>
      <c r="K226" s="98"/>
      <c r="L226" s="92" t="s">
        <v>2472</v>
      </c>
      <c r="M226" s="84"/>
    </row>
    <row r="227">
      <c r="A227" s="76" t="s">
        <v>991</v>
      </c>
      <c r="B227" s="77" t="s">
        <v>1355</v>
      </c>
      <c r="C227" s="78">
        <v>13068.0</v>
      </c>
      <c r="D227" s="77" t="s">
        <v>1357</v>
      </c>
      <c r="E227" s="77" t="s">
        <v>1737</v>
      </c>
      <c r="F227" s="79">
        <v>46125.0</v>
      </c>
      <c r="G227" s="77" t="s">
        <v>12</v>
      </c>
      <c r="H227" s="77" t="s">
        <v>1315</v>
      </c>
      <c r="I227" s="104">
        <v>49.0</v>
      </c>
      <c r="J227" s="81" t="s">
        <v>2441</v>
      </c>
      <c r="K227" s="82" t="s">
        <v>2445</v>
      </c>
      <c r="L227" s="83"/>
      <c r="M227" s="84"/>
    </row>
    <row r="228">
      <c r="A228" s="76" t="s">
        <v>995</v>
      </c>
      <c r="B228" s="77" t="s">
        <v>227</v>
      </c>
      <c r="C228" s="78">
        <v>71379.0</v>
      </c>
      <c r="D228" s="77" t="s">
        <v>1738</v>
      </c>
      <c r="E228" s="78">
        <v>1378.0</v>
      </c>
      <c r="F228" s="79">
        <v>46125.0</v>
      </c>
      <c r="G228" s="77" t="s">
        <v>17</v>
      </c>
      <c r="H228" s="77" t="s">
        <v>1315</v>
      </c>
      <c r="I228" s="104">
        <v>49.0</v>
      </c>
      <c r="J228" s="81" t="s">
        <v>2441</v>
      </c>
      <c r="K228" s="82" t="s">
        <v>2445</v>
      </c>
      <c r="L228" s="83"/>
      <c r="M228" s="84"/>
    </row>
    <row r="229">
      <c r="A229" s="76" t="s">
        <v>925</v>
      </c>
      <c r="B229" s="77" t="s">
        <v>282</v>
      </c>
      <c r="C229" s="77" t="s">
        <v>232</v>
      </c>
      <c r="D229" s="77" t="s">
        <v>283</v>
      </c>
      <c r="E229" s="78">
        <v>2.200558E7</v>
      </c>
      <c r="F229" s="79">
        <v>46125.0</v>
      </c>
      <c r="G229" s="77" t="s">
        <v>16</v>
      </c>
      <c r="H229" s="77" t="s">
        <v>1315</v>
      </c>
      <c r="I229" s="104">
        <v>49.0</v>
      </c>
      <c r="J229" s="102">
        <v>46225.0</v>
      </c>
      <c r="K229" s="98" t="s">
        <v>2459</v>
      </c>
      <c r="L229" s="92" t="s">
        <v>2482</v>
      </c>
      <c r="M229" s="84"/>
    </row>
    <row r="230">
      <c r="A230" s="76" t="s">
        <v>927</v>
      </c>
      <c r="B230" s="77" t="s">
        <v>282</v>
      </c>
      <c r="C230" s="77" t="s">
        <v>232</v>
      </c>
      <c r="D230" s="77" t="s">
        <v>283</v>
      </c>
      <c r="E230" s="78">
        <v>2.2005955E7</v>
      </c>
      <c r="F230" s="79">
        <v>46125.0</v>
      </c>
      <c r="G230" s="77" t="s">
        <v>16</v>
      </c>
      <c r="H230" s="77" t="s">
        <v>1315</v>
      </c>
      <c r="I230" s="104">
        <v>49.0</v>
      </c>
      <c r="J230" s="102">
        <v>46211.0</v>
      </c>
      <c r="K230" s="98" t="s">
        <v>2459</v>
      </c>
      <c r="L230" s="92" t="s">
        <v>2482</v>
      </c>
      <c r="M230" s="84"/>
    </row>
    <row r="231">
      <c r="A231" s="76" t="s">
        <v>929</v>
      </c>
      <c r="B231" s="77" t="s">
        <v>282</v>
      </c>
      <c r="C231" s="77" t="s">
        <v>232</v>
      </c>
      <c r="D231" s="77" t="s">
        <v>283</v>
      </c>
      <c r="E231" s="78">
        <v>2.2005661E7</v>
      </c>
      <c r="F231" s="79">
        <v>46125.0</v>
      </c>
      <c r="G231" s="77" t="s">
        <v>16</v>
      </c>
      <c r="H231" s="77" t="s">
        <v>1315</v>
      </c>
      <c r="I231" s="104">
        <v>49.0</v>
      </c>
      <c r="J231" s="102">
        <v>46227.0</v>
      </c>
      <c r="K231" s="98" t="s">
        <v>2459</v>
      </c>
      <c r="L231" s="92" t="s">
        <v>2482</v>
      </c>
      <c r="M231" s="84"/>
    </row>
    <row r="232">
      <c r="A232" s="76" t="s">
        <v>931</v>
      </c>
      <c r="B232" s="77" t="s">
        <v>111</v>
      </c>
      <c r="C232" s="78">
        <v>22373.0</v>
      </c>
      <c r="D232" s="77" t="s">
        <v>112</v>
      </c>
      <c r="E232" s="78">
        <v>32207.0</v>
      </c>
      <c r="F232" s="79">
        <v>46125.0</v>
      </c>
      <c r="G232" s="77" t="s">
        <v>13</v>
      </c>
      <c r="H232" s="77" t="s">
        <v>1315</v>
      </c>
      <c r="I232" s="104">
        <v>49.0</v>
      </c>
      <c r="J232" s="89" t="s">
        <v>2441</v>
      </c>
      <c r="K232" s="82" t="s">
        <v>2464</v>
      </c>
      <c r="L232" s="83"/>
      <c r="M232" s="84"/>
    </row>
    <row r="233">
      <c r="A233" s="76" t="s">
        <v>935</v>
      </c>
      <c r="B233" s="77" t="s">
        <v>1707</v>
      </c>
      <c r="C233" s="78">
        <v>22373.0</v>
      </c>
      <c r="D233" s="77" t="s">
        <v>1708</v>
      </c>
      <c r="E233" s="78">
        <v>37971.0</v>
      </c>
      <c r="F233" s="79">
        <v>46125.0</v>
      </c>
      <c r="G233" s="77" t="s">
        <v>1425</v>
      </c>
      <c r="H233" s="77" t="s">
        <v>1315</v>
      </c>
      <c r="I233" s="104">
        <v>49.0</v>
      </c>
      <c r="J233" s="89" t="s">
        <v>2441</v>
      </c>
      <c r="K233" s="82" t="s">
        <v>2464</v>
      </c>
      <c r="L233" s="83"/>
      <c r="M233" s="84"/>
    </row>
    <row r="234">
      <c r="A234" s="76" t="s">
        <v>993</v>
      </c>
      <c r="B234" s="77" t="s">
        <v>227</v>
      </c>
      <c r="C234" s="78">
        <v>71379.0</v>
      </c>
      <c r="D234" s="77" t="s">
        <v>1738</v>
      </c>
      <c r="E234" s="78">
        <v>197.0</v>
      </c>
      <c r="F234" s="79">
        <v>46125.0</v>
      </c>
      <c r="G234" s="77" t="s">
        <v>16</v>
      </c>
      <c r="H234" s="77" t="s">
        <v>1315</v>
      </c>
      <c r="I234" s="104">
        <v>49.0</v>
      </c>
      <c r="J234" s="102">
        <v>46225.0</v>
      </c>
      <c r="K234" s="98" t="s">
        <v>2459</v>
      </c>
      <c r="L234" s="92" t="s">
        <v>2492</v>
      </c>
      <c r="M234" s="84"/>
    </row>
    <row r="235">
      <c r="A235" s="76" t="s">
        <v>971</v>
      </c>
      <c r="B235" s="77" t="s">
        <v>1724</v>
      </c>
      <c r="C235" s="77" t="s">
        <v>48</v>
      </c>
      <c r="D235" s="77" t="s">
        <v>1725</v>
      </c>
      <c r="E235" s="78">
        <v>113833.0</v>
      </c>
      <c r="F235" s="79">
        <v>46125.0</v>
      </c>
      <c r="G235" s="77" t="s">
        <v>16</v>
      </c>
      <c r="H235" s="77" t="s">
        <v>1315</v>
      </c>
      <c r="I235" s="104">
        <v>49.0</v>
      </c>
      <c r="J235" s="88">
        <v>46182.0</v>
      </c>
      <c r="K235" s="82" t="s">
        <v>17</v>
      </c>
      <c r="L235" s="81" t="s">
        <v>2549</v>
      </c>
      <c r="M235" s="84"/>
    </row>
    <row r="236">
      <c r="A236" s="76" t="s">
        <v>973</v>
      </c>
      <c r="B236" s="77" t="s">
        <v>1724</v>
      </c>
      <c r="C236" s="77" t="s">
        <v>48</v>
      </c>
      <c r="D236" s="77" t="s">
        <v>1725</v>
      </c>
      <c r="E236" s="78">
        <v>535933.0</v>
      </c>
      <c r="F236" s="79">
        <v>46125.0</v>
      </c>
      <c r="G236" s="77" t="s">
        <v>19</v>
      </c>
      <c r="H236" s="77" t="s">
        <v>1315</v>
      </c>
      <c r="I236" s="104">
        <v>49.0</v>
      </c>
      <c r="J236" s="81" t="s">
        <v>2462</v>
      </c>
      <c r="K236" s="82" t="s">
        <v>2445</v>
      </c>
      <c r="L236" s="83"/>
      <c r="M236" s="84"/>
    </row>
    <row r="237">
      <c r="A237" s="76" t="s">
        <v>975</v>
      </c>
      <c r="B237" s="77" t="s">
        <v>1724</v>
      </c>
      <c r="C237" s="77" t="s">
        <v>48</v>
      </c>
      <c r="D237" s="77" t="s">
        <v>1725</v>
      </c>
      <c r="E237" s="78">
        <v>289029.0</v>
      </c>
      <c r="F237" s="79">
        <v>46125.0</v>
      </c>
      <c r="G237" s="77" t="s">
        <v>17</v>
      </c>
      <c r="H237" s="77" t="s">
        <v>1315</v>
      </c>
      <c r="I237" s="104">
        <v>49.0</v>
      </c>
      <c r="J237" s="81" t="s">
        <v>2462</v>
      </c>
      <c r="K237" s="82" t="s">
        <v>2445</v>
      </c>
      <c r="L237" s="83"/>
      <c r="M237" s="84"/>
    </row>
    <row r="238">
      <c r="A238" s="76" t="s">
        <v>981</v>
      </c>
      <c r="B238" s="77" t="s">
        <v>1724</v>
      </c>
      <c r="C238" s="77" t="s">
        <v>48</v>
      </c>
      <c r="D238" s="77" t="s">
        <v>1725</v>
      </c>
      <c r="E238" s="78">
        <v>157297.0</v>
      </c>
      <c r="F238" s="79">
        <v>46125.0</v>
      </c>
      <c r="G238" s="77" t="s">
        <v>14</v>
      </c>
      <c r="H238" s="77" t="s">
        <v>1315</v>
      </c>
      <c r="I238" s="104">
        <v>49.0</v>
      </c>
      <c r="J238" s="88">
        <v>46182.0</v>
      </c>
      <c r="K238" s="82" t="s">
        <v>17</v>
      </c>
      <c r="L238" s="81" t="s">
        <v>2549</v>
      </c>
      <c r="M238" s="84"/>
    </row>
    <row r="239">
      <c r="A239" s="76" t="s">
        <v>985</v>
      </c>
      <c r="B239" s="77" t="s">
        <v>1724</v>
      </c>
      <c r="C239" s="77" t="s">
        <v>48</v>
      </c>
      <c r="D239" s="77" t="s">
        <v>1725</v>
      </c>
      <c r="E239" s="78">
        <v>625052.0</v>
      </c>
      <c r="F239" s="79">
        <v>46125.0</v>
      </c>
      <c r="G239" s="77" t="s">
        <v>12</v>
      </c>
      <c r="H239" s="77" t="s">
        <v>1315</v>
      </c>
      <c r="I239" s="104">
        <v>49.0</v>
      </c>
      <c r="J239" s="88">
        <v>46182.0</v>
      </c>
      <c r="K239" s="82" t="s">
        <v>17</v>
      </c>
      <c r="L239" s="81" t="s">
        <v>2549</v>
      </c>
      <c r="M239" s="84"/>
    </row>
    <row r="240">
      <c r="A240" s="76" t="s">
        <v>987</v>
      </c>
      <c r="B240" s="77" t="s">
        <v>1724</v>
      </c>
      <c r="C240" s="77" t="s">
        <v>48</v>
      </c>
      <c r="D240" s="77" t="s">
        <v>1725</v>
      </c>
      <c r="E240" s="78">
        <v>614095.0</v>
      </c>
      <c r="F240" s="79">
        <v>46125.0</v>
      </c>
      <c r="G240" s="77" t="s">
        <v>12</v>
      </c>
      <c r="H240" s="77" t="s">
        <v>1315</v>
      </c>
      <c r="I240" s="104">
        <v>49.0</v>
      </c>
      <c r="J240" s="88">
        <v>46182.0</v>
      </c>
      <c r="K240" s="82" t="s">
        <v>17</v>
      </c>
      <c r="L240" s="81" t="s">
        <v>2549</v>
      </c>
      <c r="M240" s="84"/>
    </row>
    <row r="241">
      <c r="A241" s="76" t="s">
        <v>997</v>
      </c>
      <c r="B241" s="77" t="s">
        <v>101</v>
      </c>
      <c r="C241" s="77" t="s">
        <v>48</v>
      </c>
      <c r="D241" s="77" t="s">
        <v>102</v>
      </c>
      <c r="E241" s="77" t="s">
        <v>2298</v>
      </c>
      <c r="F241" s="79">
        <v>46127.0</v>
      </c>
      <c r="G241" s="77" t="s">
        <v>1352</v>
      </c>
      <c r="H241" s="77" t="s">
        <v>1315</v>
      </c>
      <c r="I241" s="104">
        <v>47.0</v>
      </c>
      <c r="J241" s="88">
        <v>46175.0</v>
      </c>
      <c r="K241" s="82" t="s">
        <v>2459</v>
      </c>
      <c r="L241" s="81" t="s">
        <v>2485</v>
      </c>
      <c r="M241" s="84"/>
    </row>
    <row r="242">
      <c r="A242" s="76" t="s">
        <v>1001</v>
      </c>
      <c r="B242" s="77" t="s">
        <v>101</v>
      </c>
      <c r="C242" s="77" t="s">
        <v>48</v>
      </c>
      <c r="D242" s="77" t="s">
        <v>102</v>
      </c>
      <c r="E242" s="77" t="s">
        <v>2300</v>
      </c>
      <c r="F242" s="79">
        <v>46127.0</v>
      </c>
      <c r="G242" s="77" t="s">
        <v>17</v>
      </c>
      <c r="H242" s="77" t="s">
        <v>1315</v>
      </c>
      <c r="I242" s="104">
        <v>47.0</v>
      </c>
      <c r="J242" s="88">
        <v>46175.0</v>
      </c>
      <c r="K242" s="82" t="s">
        <v>2459</v>
      </c>
      <c r="L242" s="81" t="s">
        <v>2485</v>
      </c>
      <c r="M242" s="84"/>
    </row>
    <row r="243">
      <c r="A243" s="76" t="s">
        <v>999</v>
      </c>
      <c r="B243" s="77" t="s">
        <v>101</v>
      </c>
      <c r="C243" s="77" t="s">
        <v>48</v>
      </c>
      <c r="D243" s="77" t="s">
        <v>102</v>
      </c>
      <c r="E243" s="77" t="s">
        <v>2299</v>
      </c>
      <c r="F243" s="79">
        <v>46127.0</v>
      </c>
      <c r="G243" s="77" t="s">
        <v>12</v>
      </c>
      <c r="H243" s="77" t="s">
        <v>1315</v>
      </c>
      <c r="I243" s="104">
        <v>47.0</v>
      </c>
      <c r="J243" s="93">
        <v>46155.0</v>
      </c>
      <c r="K243" s="82" t="s">
        <v>2459</v>
      </c>
      <c r="L243" s="92" t="s">
        <v>2482</v>
      </c>
      <c r="M243" s="84"/>
    </row>
    <row r="244">
      <c r="A244" s="76" t="s">
        <v>1003</v>
      </c>
      <c r="B244" s="77" t="s">
        <v>101</v>
      </c>
      <c r="C244" s="77" t="s">
        <v>48</v>
      </c>
      <c r="D244" s="77" t="s">
        <v>102</v>
      </c>
      <c r="E244" s="77" t="s">
        <v>2301</v>
      </c>
      <c r="F244" s="79">
        <v>46127.0</v>
      </c>
      <c r="G244" s="77" t="s">
        <v>13</v>
      </c>
      <c r="H244" s="77" t="s">
        <v>1315</v>
      </c>
      <c r="I244" s="104">
        <v>47.0</v>
      </c>
      <c r="J244" s="93">
        <v>46139.0</v>
      </c>
      <c r="K244" s="82" t="s">
        <v>2459</v>
      </c>
      <c r="L244" s="92" t="s">
        <v>2482</v>
      </c>
      <c r="M244" s="84"/>
    </row>
    <row r="245">
      <c r="A245" s="76" t="s">
        <v>1025</v>
      </c>
      <c r="B245" s="77" t="s">
        <v>95</v>
      </c>
      <c r="C245" s="78">
        <v>22373.0</v>
      </c>
      <c r="D245" s="77" t="s">
        <v>1751</v>
      </c>
      <c r="E245" s="78">
        <v>108207.0</v>
      </c>
      <c r="F245" s="79">
        <v>46142.0</v>
      </c>
      <c r="G245" s="77" t="s">
        <v>12</v>
      </c>
      <c r="H245" s="77" t="s">
        <v>1315</v>
      </c>
      <c r="I245" s="104">
        <v>32.0</v>
      </c>
      <c r="J245" s="81" t="s">
        <v>2441</v>
      </c>
      <c r="K245" s="82" t="s">
        <v>2447</v>
      </c>
      <c r="L245" s="83"/>
      <c r="M245" s="84"/>
    </row>
    <row r="246">
      <c r="A246" s="76" t="s">
        <v>1029</v>
      </c>
      <c r="B246" s="77" t="s">
        <v>131</v>
      </c>
      <c r="C246" s="77" t="s">
        <v>48</v>
      </c>
      <c r="D246" s="77" t="s">
        <v>1408</v>
      </c>
      <c r="E246" s="78">
        <v>96123.0</v>
      </c>
      <c r="F246" s="79">
        <v>46142.0</v>
      </c>
      <c r="G246" s="77" t="s">
        <v>12</v>
      </c>
      <c r="H246" s="77" t="s">
        <v>1315</v>
      </c>
      <c r="I246" s="104">
        <v>32.0</v>
      </c>
      <c r="J246" s="93">
        <v>46224.0</v>
      </c>
      <c r="K246" s="98" t="s">
        <v>17</v>
      </c>
      <c r="L246" s="92" t="s">
        <v>2552</v>
      </c>
      <c r="M246" s="84"/>
    </row>
    <row r="247">
      <c r="A247" s="76" t="s">
        <v>1031</v>
      </c>
      <c r="B247" s="77" t="s">
        <v>131</v>
      </c>
      <c r="C247" s="77" t="s">
        <v>48</v>
      </c>
      <c r="D247" s="77" t="s">
        <v>1408</v>
      </c>
      <c r="E247" s="78">
        <v>4100932.0</v>
      </c>
      <c r="F247" s="79">
        <v>46142.0</v>
      </c>
      <c r="G247" s="77" t="s">
        <v>12</v>
      </c>
      <c r="H247" s="77" t="s">
        <v>1315</v>
      </c>
      <c r="I247" s="104">
        <v>32.0</v>
      </c>
      <c r="J247" s="93">
        <v>46220.0</v>
      </c>
      <c r="K247" s="98" t="s">
        <v>17</v>
      </c>
      <c r="L247" s="92" t="s">
        <v>2553</v>
      </c>
      <c r="M247" s="84"/>
    </row>
    <row r="248">
      <c r="A248" s="76" t="s">
        <v>1039</v>
      </c>
      <c r="B248" s="77" t="s">
        <v>129</v>
      </c>
      <c r="C248" s="78">
        <v>22373.0</v>
      </c>
      <c r="D248" s="77" t="s">
        <v>130</v>
      </c>
      <c r="E248" s="78">
        <v>18685.0</v>
      </c>
      <c r="F248" s="79">
        <v>46142.0</v>
      </c>
      <c r="G248" s="77" t="s">
        <v>15</v>
      </c>
      <c r="H248" s="77" t="s">
        <v>1315</v>
      </c>
      <c r="I248" s="104">
        <v>32.0</v>
      </c>
      <c r="J248" s="79">
        <v>46176.0</v>
      </c>
      <c r="K248" s="82" t="s">
        <v>14</v>
      </c>
      <c r="L248" s="81" t="s">
        <v>2554</v>
      </c>
      <c r="M248" s="84"/>
    </row>
    <row r="249">
      <c r="A249" s="76" t="s">
        <v>1021</v>
      </c>
      <c r="B249" s="77" t="s">
        <v>129</v>
      </c>
      <c r="C249" s="78">
        <v>22373.0</v>
      </c>
      <c r="D249" s="77" t="s">
        <v>130</v>
      </c>
      <c r="E249" s="78">
        <v>16784.0</v>
      </c>
      <c r="F249" s="79">
        <v>46142.0</v>
      </c>
      <c r="G249" s="77" t="s">
        <v>1500</v>
      </c>
      <c r="H249" s="77" t="s">
        <v>1315</v>
      </c>
      <c r="I249" s="104">
        <v>32.0</v>
      </c>
      <c r="J249" s="79">
        <v>46160.0</v>
      </c>
      <c r="K249" s="82" t="s">
        <v>17</v>
      </c>
      <c r="L249" s="81" t="s">
        <v>2547</v>
      </c>
      <c r="M249" s="84"/>
    </row>
    <row r="250">
      <c r="A250" s="76" t="s">
        <v>1023</v>
      </c>
      <c r="B250" s="77" t="s">
        <v>129</v>
      </c>
      <c r="C250" s="78">
        <v>22373.0</v>
      </c>
      <c r="D250" s="77" t="s">
        <v>130</v>
      </c>
      <c r="E250" s="78">
        <v>16810.0</v>
      </c>
      <c r="F250" s="79">
        <v>46142.0</v>
      </c>
      <c r="G250" s="77" t="s">
        <v>17</v>
      </c>
      <c r="H250" s="77" t="s">
        <v>1315</v>
      </c>
      <c r="I250" s="104">
        <v>32.0</v>
      </c>
      <c r="J250" s="79">
        <v>46156.0</v>
      </c>
      <c r="K250" s="82" t="s">
        <v>17</v>
      </c>
      <c r="L250" s="81" t="s">
        <v>2548</v>
      </c>
      <c r="M250" s="84"/>
    </row>
    <row r="251">
      <c r="A251" s="76" t="s">
        <v>1037</v>
      </c>
      <c r="B251" s="77" t="s">
        <v>1745</v>
      </c>
      <c r="C251" s="78">
        <v>22373.0</v>
      </c>
      <c r="D251" s="77" t="s">
        <v>1746</v>
      </c>
      <c r="E251" s="78">
        <v>4155.0</v>
      </c>
      <c r="F251" s="79">
        <v>46142.0</v>
      </c>
      <c r="G251" s="77" t="s">
        <v>12</v>
      </c>
      <c r="H251" s="77" t="s">
        <v>1315</v>
      </c>
      <c r="I251" s="104">
        <v>32.0</v>
      </c>
      <c r="J251" s="88">
        <v>46150.0</v>
      </c>
      <c r="K251" s="82" t="s">
        <v>17</v>
      </c>
      <c r="L251" s="81" t="s">
        <v>2555</v>
      </c>
      <c r="M251" s="84"/>
    </row>
    <row r="252">
      <c r="A252" s="76" t="s">
        <v>1007</v>
      </c>
      <c r="B252" s="77" t="s">
        <v>1477</v>
      </c>
      <c r="C252" s="77" t="s">
        <v>48</v>
      </c>
      <c r="D252" s="77" t="s">
        <v>1478</v>
      </c>
      <c r="E252" s="78">
        <v>1062.0</v>
      </c>
      <c r="F252" s="79">
        <v>46142.0</v>
      </c>
      <c r="G252" s="77" t="s">
        <v>12</v>
      </c>
      <c r="H252" s="77" t="s">
        <v>1315</v>
      </c>
      <c r="I252" s="104">
        <v>32.0</v>
      </c>
      <c r="J252" s="93">
        <v>46240.0</v>
      </c>
      <c r="K252" s="82"/>
      <c r="L252" s="92" t="s">
        <v>2472</v>
      </c>
      <c r="M252" s="84"/>
    </row>
    <row r="253">
      <c r="A253" s="76" t="s">
        <v>1009</v>
      </c>
      <c r="B253" s="77" t="s">
        <v>1477</v>
      </c>
      <c r="C253" s="77" t="s">
        <v>48</v>
      </c>
      <c r="D253" s="77" t="s">
        <v>1478</v>
      </c>
      <c r="E253" s="78">
        <v>8619.0</v>
      </c>
      <c r="F253" s="79">
        <v>46142.0</v>
      </c>
      <c r="G253" s="77" t="s">
        <v>1743</v>
      </c>
      <c r="H253" s="77" t="s">
        <v>1315</v>
      </c>
      <c r="I253" s="104">
        <v>32.0</v>
      </c>
      <c r="J253" s="93">
        <v>46232.0</v>
      </c>
      <c r="K253" s="82"/>
      <c r="L253" s="92" t="s">
        <v>2472</v>
      </c>
      <c r="M253" s="84"/>
    </row>
    <row r="254">
      <c r="A254" s="76" t="s">
        <v>1011</v>
      </c>
      <c r="B254" s="77" t="s">
        <v>1745</v>
      </c>
      <c r="C254" s="78">
        <v>22373.0</v>
      </c>
      <c r="D254" s="77" t="s">
        <v>1746</v>
      </c>
      <c r="E254" s="78">
        <v>4136.0</v>
      </c>
      <c r="F254" s="79">
        <v>46142.0</v>
      </c>
      <c r="G254" s="77" t="s">
        <v>12</v>
      </c>
      <c r="H254" s="77" t="s">
        <v>1315</v>
      </c>
      <c r="I254" s="104">
        <v>32.0</v>
      </c>
      <c r="J254" s="81" t="s">
        <v>2441</v>
      </c>
      <c r="K254" s="82" t="s">
        <v>2442</v>
      </c>
      <c r="L254" s="83"/>
      <c r="M254" s="84"/>
    </row>
    <row r="255">
      <c r="A255" s="76" t="s">
        <v>1017</v>
      </c>
      <c r="B255" s="77" t="s">
        <v>129</v>
      </c>
      <c r="C255" s="78">
        <v>22373.0</v>
      </c>
      <c r="D255" s="77" t="s">
        <v>130</v>
      </c>
      <c r="E255" s="78">
        <v>20238.0</v>
      </c>
      <c r="F255" s="79">
        <v>46142.0</v>
      </c>
      <c r="G255" s="77" t="s">
        <v>24</v>
      </c>
      <c r="H255" s="77" t="s">
        <v>1315</v>
      </c>
      <c r="I255" s="104">
        <v>32.0</v>
      </c>
      <c r="J255" s="81" t="s">
        <v>2441</v>
      </c>
      <c r="K255" s="82" t="s">
        <v>2442</v>
      </c>
      <c r="L255" s="83"/>
      <c r="M255" s="84"/>
    </row>
    <row r="256">
      <c r="A256" s="76" t="s">
        <v>1027</v>
      </c>
      <c r="B256" s="77" t="s">
        <v>1745</v>
      </c>
      <c r="C256" s="78">
        <v>22373.0</v>
      </c>
      <c r="D256" s="77" t="s">
        <v>1746</v>
      </c>
      <c r="E256" s="78">
        <v>4152.0</v>
      </c>
      <c r="F256" s="79">
        <v>46142.0</v>
      </c>
      <c r="G256" s="77" t="s">
        <v>12</v>
      </c>
      <c r="H256" s="77" t="s">
        <v>1315</v>
      </c>
      <c r="I256" s="104">
        <v>32.0</v>
      </c>
      <c r="J256" s="91">
        <v>46188.0</v>
      </c>
      <c r="K256" s="81"/>
      <c r="L256" s="83"/>
      <c r="M256" s="84"/>
    </row>
    <row r="257">
      <c r="A257" s="76" t="s">
        <v>1057</v>
      </c>
      <c r="B257" s="77" t="s">
        <v>131</v>
      </c>
      <c r="C257" s="77" t="s">
        <v>48</v>
      </c>
      <c r="D257" s="77" t="s">
        <v>1408</v>
      </c>
      <c r="E257" s="78">
        <v>4112112.0</v>
      </c>
      <c r="F257" s="79">
        <v>46142.0</v>
      </c>
      <c r="G257" s="77" t="s">
        <v>12</v>
      </c>
      <c r="H257" s="77" t="s">
        <v>1315</v>
      </c>
      <c r="I257" s="104">
        <v>32.0</v>
      </c>
      <c r="J257" s="93">
        <v>46157.0</v>
      </c>
      <c r="K257" s="82" t="s">
        <v>2463</v>
      </c>
      <c r="L257" s="83"/>
      <c r="M257" s="84"/>
    </row>
    <row r="258">
      <c r="A258" s="76" t="s">
        <v>1013</v>
      </c>
      <c r="B258" s="77" t="s">
        <v>87</v>
      </c>
      <c r="C258" s="77" t="s">
        <v>48</v>
      </c>
      <c r="D258" s="77" t="s">
        <v>88</v>
      </c>
      <c r="E258" s="77" t="s">
        <v>2310</v>
      </c>
      <c r="F258" s="79">
        <v>46142.0</v>
      </c>
      <c r="G258" s="77" t="s">
        <v>14</v>
      </c>
      <c r="H258" s="77" t="s">
        <v>1315</v>
      </c>
      <c r="I258" s="104">
        <v>32.0</v>
      </c>
      <c r="J258" s="93">
        <v>46232.0</v>
      </c>
      <c r="K258" s="98"/>
      <c r="L258" s="92" t="s">
        <v>2472</v>
      </c>
      <c r="M258" s="84"/>
    </row>
    <row r="259">
      <c r="A259" s="76" t="s">
        <v>1015</v>
      </c>
      <c r="B259" s="77" t="s">
        <v>87</v>
      </c>
      <c r="C259" s="77" t="s">
        <v>48</v>
      </c>
      <c r="D259" s="77" t="s">
        <v>88</v>
      </c>
      <c r="E259" s="77" t="s">
        <v>2312</v>
      </c>
      <c r="F259" s="79">
        <v>46142.0</v>
      </c>
      <c r="G259" s="77" t="s">
        <v>1500</v>
      </c>
      <c r="H259" s="77" t="s">
        <v>1315</v>
      </c>
      <c r="I259" s="104">
        <v>32.0</v>
      </c>
      <c r="J259" s="93">
        <v>46232.0</v>
      </c>
      <c r="K259" s="98"/>
      <c r="L259" s="92" t="s">
        <v>2472</v>
      </c>
      <c r="M259" s="84"/>
    </row>
    <row r="260">
      <c r="A260" s="76" t="s">
        <v>1019</v>
      </c>
      <c r="B260" s="77" t="s">
        <v>95</v>
      </c>
      <c r="C260" s="78">
        <v>22373.0</v>
      </c>
      <c r="D260" s="77" t="s">
        <v>1751</v>
      </c>
      <c r="E260" s="78">
        <v>102549.0</v>
      </c>
      <c r="F260" s="79">
        <v>46142.0</v>
      </c>
      <c r="G260" s="77" t="s">
        <v>13</v>
      </c>
      <c r="H260" s="77" t="s">
        <v>1315</v>
      </c>
      <c r="I260" s="104">
        <v>32.0</v>
      </c>
      <c r="J260" s="93">
        <v>46232.0</v>
      </c>
      <c r="K260" s="98"/>
      <c r="L260" s="92" t="s">
        <v>2472</v>
      </c>
      <c r="M260" s="84"/>
    </row>
    <row r="261">
      <c r="A261" s="76" t="s">
        <v>1033</v>
      </c>
      <c r="B261" s="77" t="s">
        <v>87</v>
      </c>
      <c r="C261" s="77" t="s">
        <v>48</v>
      </c>
      <c r="D261" s="77" t="s">
        <v>88</v>
      </c>
      <c r="E261" s="77" t="s">
        <v>1755</v>
      </c>
      <c r="F261" s="79">
        <v>46142.0</v>
      </c>
      <c r="G261" s="77" t="s">
        <v>17</v>
      </c>
      <c r="H261" s="77" t="s">
        <v>1315</v>
      </c>
      <c r="I261" s="104">
        <v>32.0</v>
      </c>
      <c r="J261" s="102">
        <v>46225.0</v>
      </c>
      <c r="K261" s="98" t="s">
        <v>2459</v>
      </c>
      <c r="L261" s="92" t="s">
        <v>2492</v>
      </c>
      <c r="M261" s="84"/>
    </row>
    <row r="262">
      <c r="A262" s="76" t="s">
        <v>1035</v>
      </c>
      <c r="B262" s="77" t="s">
        <v>95</v>
      </c>
      <c r="C262" s="78">
        <v>22373.0</v>
      </c>
      <c r="D262" s="77" t="s">
        <v>1751</v>
      </c>
      <c r="E262" s="78">
        <v>30316.0</v>
      </c>
      <c r="F262" s="79">
        <v>46142.0</v>
      </c>
      <c r="G262" s="77" t="s">
        <v>1376</v>
      </c>
      <c r="H262" s="77" t="s">
        <v>1315</v>
      </c>
      <c r="I262" s="104">
        <v>32.0</v>
      </c>
      <c r="J262" s="89" t="s">
        <v>2441</v>
      </c>
      <c r="K262" s="82" t="s">
        <v>2464</v>
      </c>
      <c r="L262" s="83"/>
      <c r="M262" s="84"/>
    </row>
    <row r="263">
      <c r="A263" s="76" t="s">
        <v>1041</v>
      </c>
      <c r="B263" s="77" t="s">
        <v>1765</v>
      </c>
      <c r="C263" s="77" t="s">
        <v>232</v>
      </c>
      <c r="D263" s="77" t="s">
        <v>1766</v>
      </c>
      <c r="E263" s="78">
        <v>8.6815595E7</v>
      </c>
      <c r="F263" s="79">
        <v>46142.0</v>
      </c>
      <c r="G263" s="77" t="s">
        <v>1352</v>
      </c>
      <c r="H263" s="77" t="s">
        <v>1315</v>
      </c>
      <c r="I263" s="104">
        <v>32.0</v>
      </c>
      <c r="J263" s="102">
        <v>46227.0</v>
      </c>
      <c r="K263" s="82" t="s">
        <v>2464</v>
      </c>
      <c r="L263" s="83"/>
      <c r="M263" s="84"/>
    </row>
    <row r="264">
      <c r="A264" s="76" t="s">
        <v>1043</v>
      </c>
      <c r="B264" s="77" t="s">
        <v>1765</v>
      </c>
      <c r="C264" s="77" t="s">
        <v>232</v>
      </c>
      <c r="D264" s="77" t="s">
        <v>1766</v>
      </c>
      <c r="E264" s="78">
        <v>8.6816588E7</v>
      </c>
      <c r="F264" s="79">
        <v>46142.0</v>
      </c>
      <c r="G264" s="77" t="s">
        <v>1352</v>
      </c>
      <c r="H264" s="77" t="s">
        <v>1315</v>
      </c>
      <c r="I264" s="104">
        <v>32.0</v>
      </c>
      <c r="J264" s="102">
        <v>46227.0</v>
      </c>
      <c r="K264" s="98" t="s">
        <v>16</v>
      </c>
      <c r="L264" s="92" t="s">
        <v>2556</v>
      </c>
      <c r="M264" s="84"/>
    </row>
    <row r="265">
      <c r="A265" s="76" t="s">
        <v>1045</v>
      </c>
      <c r="B265" s="77" t="s">
        <v>1765</v>
      </c>
      <c r="C265" s="77" t="s">
        <v>232</v>
      </c>
      <c r="D265" s="77" t="s">
        <v>1766</v>
      </c>
      <c r="E265" s="78">
        <v>8.6815646E7</v>
      </c>
      <c r="F265" s="79">
        <v>46142.0</v>
      </c>
      <c r="G265" s="77" t="s">
        <v>16</v>
      </c>
      <c r="H265" s="77" t="s">
        <v>1315</v>
      </c>
      <c r="I265" s="104">
        <v>32.0</v>
      </c>
      <c r="J265" s="102">
        <v>46205.0</v>
      </c>
      <c r="K265" s="82"/>
      <c r="L265" s="83"/>
      <c r="M265" s="84"/>
    </row>
    <row r="266">
      <c r="A266" s="76" t="s">
        <v>1047</v>
      </c>
      <c r="B266" s="77" t="s">
        <v>1759</v>
      </c>
      <c r="C266" s="77" t="s">
        <v>48</v>
      </c>
      <c r="D266" s="77" t="s">
        <v>88</v>
      </c>
      <c r="E266" s="77" t="s">
        <v>1764</v>
      </c>
      <c r="F266" s="79">
        <v>46142.0</v>
      </c>
      <c r="G266" s="77" t="s">
        <v>12</v>
      </c>
      <c r="H266" s="77" t="s">
        <v>1315</v>
      </c>
      <c r="I266" s="104">
        <v>32.0</v>
      </c>
      <c r="J266" s="102">
        <v>46225.0</v>
      </c>
      <c r="K266" s="98" t="s">
        <v>2459</v>
      </c>
      <c r="L266" s="92" t="s">
        <v>2492</v>
      </c>
      <c r="M266" s="89" t="s">
        <v>2516</v>
      </c>
    </row>
    <row r="267">
      <c r="A267" s="76" t="s">
        <v>1049</v>
      </c>
      <c r="B267" s="77" t="s">
        <v>1759</v>
      </c>
      <c r="C267" s="77" t="s">
        <v>48</v>
      </c>
      <c r="D267" s="77" t="s">
        <v>88</v>
      </c>
      <c r="E267" s="77" t="s">
        <v>1762</v>
      </c>
      <c r="F267" s="79">
        <v>46142.0</v>
      </c>
      <c r="G267" s="77" t="s">
        <v>12</v>
      </c>
      <c r="H267" s="77" t="s">
        <v>1315</v>
      </c>
      <c r="I267" s="104">
        <v>32.0</v>
      </c>
      <c r="J267" s="102">
        <v>46225.0</v>
      </c>
      <c r="K267" s="98" t="s">
        <v>2459</v>
      </c>
      <c r="L267" s="92" t="s">
        <v>2492</v>
      </c>
      <c r="M267" s="84"/>
    </row>
    <row r="268">
      <c r="A268" s="76" t="s">
        <v>1051</v>
      </c>
      <c r="B268" s="77" t="s">
        <v>1759</v>
      </c>
      <c r="C268" s="77" t="s">
        <v>48</v>
      </c>
      <c r="D268" s="77" t="s">
        <v>88</v>
      </c>
      <c r="E268" s="77" t="s">
        <v>1761</v>
      </c>
      <c r="F268" s="79">
        <v>46142.0</v>
      </c>
      <c r="G268" s="77" t="s">
        <v>14</v>
      </c>
      <c r="H268" s="77" t="s">
        <v>1315</v>
      </c>
      <c r="I268" s="104">
        <v>32.0</v>
      </c>
      <c r="J268" s="89" t="s">
        <v>2441</v>
      </c>
      <c r="K268" s="82" t="s">
        <v>2464</v>
      </c>
      <c r="L268" s="83"/>
      <c r="M268" s="84"/>
    </row>
    <row r="269">
      <c r="A269" s="76" t="s">
        <v>1053</v>
      </c>
      <c r="B269" s="77" t="s">
        <v>1759</v>
      </c>
      <c r="C269" s="77" t="s">
        <v>48</v>
      </c>
      <c r="D269" s="77" t="s">
        <v>88</v>
      </c>
      <c r="E269" s="77" t="s">
        <v>1760</v>
      </c>
      <c r="F269" s="79">
        <v>46142.0</v>
      </c>
      <c r="G269" s="77" t="s">
        <v>14</v>
      </c>
      <c r="H269" s="77" t="s">
        <v>1315</v>
      </c>
      <c r="I269" s="104">
        <v>32.0</v>
      </c>
      <c r="J269" s="89" t="s">
        <v>2441</v>
      </c>
      <c r="K269" s="82" t="s">
        <v>2464</v>
      </c>
      <c r="L269" s="83"/>
      <c r="M269" s="84"/>
    </row>
    <row r="270">
      <c r="A270" s="76" t="s">
        <v>1055</v>
      </c>
      <c r="B270" s="77" t="s">
        <v>1759</v>
      </c>
      <c r="C270" s="77" t="s">
        <v>48</v>
      </c>
      <c r="D270" s="77" t="s">
        <v>88</v>
      </c>
      <c r="E270" s="77" t="s">
        <v>1763</v>
      </c>
      <c r="F270" s="79">
        <v>46142.0</v>
      </c>
      <c r="G270" s="77" t="s">
        <v>12</v>
      </c>
      <c r="H270" s="77" t="s">
        <v>1315</v>
      </c>
      <c r="I270" s="104">
        <v>32.0</v>
      </c>
      <c r="J270" s="102">
        <v>46225.0</v>
      </c>
      <c r="K270" s="98" t="s">
        <v>2459</v>
      </c>
      <c r="L270" s="92" t="s">
        <v>2492</v>
      </c>
      <c r="M270" s="84"/>
    </row>
    <row r="271">
      <c r="A271" s="76" t="s">
        <v>1071</v>
      </c>
      <c r="B271" s="77" t="s">
        <v>1590</v>
      </c>
      <c r="C271" s="78">
        <v>22373.0</v>
      </c>
      <c r="D271" s="77" t="s">
        <v>1591</v>
      </c>
      <c r="E271" s="77" t="s">
        <v>2356</v>
      </c>
      <c r="F271" s="79">
        <v>46148.0</v>
      </c>
      <c r="G271" s="77" t="s">
        <v>21</v>
      </c>
      <c r="H271" s="77" t="s">
        <v>1315</v>
      </c>
      <c r="I271" s="104">
        <v>26.0</v>
      </c>
      <c r="J271" s="88">
        <v>46113.0</v>
      </c>
      <c r="K271" s="82" t="s">
        <v>14</v>
      </c>
      <c r="L271" s="81" t="s">
        <v>2536</v>
      </c>
      <c r="M271" s="84"/>
    </row>
    <row r="272">
      <c r="A272" s="76" t="s">
        <v>1069</v>
      </c>
      <c r="B272" s="77" t="s">
        <v>1745</v>
      </c>
      <c r="C272" s="78">
        <v>22373.0</v>
      </c>
      <c r="D272" s="77" t="s">
        <v>1746</v>
      </c>
      <c r="E272" s="78">
        <v>4129.0</v>
      </c>
      <c r="F272" s="79">
        <v>46148.0</v>
      </c>
      <c r="G272" s="77" t="s">
        <v>14</v>
      </c>
      <c r="H272" s="77" t="s">
        <v>1315</v>
      </c>
      <c r="I272" s="104">
        <v>26.0</v>
      </c>
      <c r="J272" s="88">
        <v>46164.0</v>
      </c>
      <c r="K272" s="82" t="s">
        <v>17</v>
      </c>
      <c r="L272" s="81" t="s">
        <v>2557</v>
      </c>
      <c r="M272" s="84"/>
    </row>
    <row r="273">
      <c r="A273" s="76" t="s">
        <v>1059</v>
      </c>
      <c r="B273" s="77" t="s">
        <v>1421</v>
      </c>
      <c r="C273" s="78">
        <v>22373.0</v>
      </c>
      <c r="D273" s="77" t="s">
        <v>1422</v>
      </c>
      <c r="E273" s="78">
        <v>30559.0</v>
      </c>
      <c r="F273" s="79">
        <v>46148.0</v>
      </c>
      <c r="G273" s="77" t="s">
        <v>15</v>
      </c>
      <c r="H273" s="77" t="s">
        <v>1315</v>
      </c>
      <c r="I273" s="104">
        <v>26.0</v>
      </c>
      <c r="J273" s="102">
        <v>46225.0</v>
      </c>
      <c r="K273" s="98" t="s">
        <v>2459</v>
      </c>
      <c r="L273" s="92" t="s">
        <v>2482</v>
      </c>
      <c r="M273" s="84"/>
    </row>
    <row r="274">
      <c r="A274" s="76" t="s">
        <v>1061</v>
      </c>
      <c r="B274" s="77" t="s">
        <v>1421</v>
      </c>
      <c r="C274" s="78">
        <v>22373.0</v>
      </c>
      <c r="D274" s="77" t="s">
        <v>1422</v>
      </c>
      <c r="E274" s="78">
        <v>34851.0</v>
      </c>
      <c r="F274" s="79">
        <v>46148.0</v>
      </c>
      <c r="G274" s="77" t="s">
        <v>17</v>
      </c>
      <c r="H274" s="77" t="s">
        <v>1315</v>
      </c>
      <c r="I274" s="104">
        <v>26.0</v>
      </c>
      <c r="J274" s="102">
        <v>46225.0</v>
      </c>
      <c r="K274" s="98" t="s">
        <v>2459</v>
      </c>
      <c r="L274" s="92" t="s">
        <v>2482</v>
      </c>
      <c r="M274" s="84"/>
    </row>
    <row r="275">
      <c r="A275" s="76" t="s">
        <v>1063</v>
      </c>
      <c r="B275" s="77" t="s">
        <v>1421</v>
      </c>
      <c r="C275" s="78">
        <v>22373.0</v>
      </c>
      <c r="D275" s="77" t="s">
        <v>1422</v>
      </c>
      <c r="E275" s="78">
        <v>3958.0</v>
      </c>
      <c r="F275" s="79">
        <v>46148.0</v>
      </c>
      <c r="G275" s="77" t="s">
        <v>1500</v>
      </c>
      <c r="H275" s="77" t="s">
        <v>1315</v>
      </c>
      <c r="I275" s="104">
        <v>26.0</v>
      </c>
      <c r="J275" s="102">
        <v>46225.0</v>
      </c>
      <c r="K275" s="98" t="s">
        <v>2459</v>
      </c>
      <c r="L275" s="92" t="s">
        <v>2492</v>
      </c>
      <c r="M275" s="84"/>
    </row>
    <row r="276">
      <c r="A276" s="76" t="s">
        <v>1065</v>
      </c>
      <c r="B276" s="77" t="s">
        <v>1745</v>
      </c>
      <c r="C276" s="78">
        <v>22373.0</v>
      </c>
      <c r="D276" s="77" t="s">
        <v>1746</v>
      </c>
      <c r="E276" s="78">
        <v>4157.0</v>
      </c>
      <c r="F276" s="79">
        <v>46148.0</v>
      </c>
      <c r="G276" s="77" t="s">
        <v>12</v>
      </c>
      <c r="H276" s="77" t="s">
        <v>1315</v>
      </c>
      <c r="I276" s="104">
        <v>26.0</v>
      </c>
      <c r="J276" s="89" t="s">
        <v>2441</v>
      </c>
      <c r="K276" s="82" t="s">
        <v>2464</v>
      </c>
      <c r="L276" s="83"/>
      <c r="M276" s="84"/>
    </row>
    <row r="277">
      <c r="A277" s="76" t="s">
        <v>1067</v>
      </c>
      <c r="B277" s="77" t="s">
        <v>1745</v>
      </c>
      <c r="C277" s="78">
        <v>22373.0</v>
      </c>
      <c r="D277" s="77" t="s">
        <v>1746</v>
      </c>
      <c r="E277" s="78">
        <v>2913.0</v>
      </c>
      <c r="F277" s="79">
        <v>46148.0</v>
      </c>
      <c r="G277" s="77" t="s">
        <v>22</v>
      </c>
      <c r="H277" s="77" t="s">
        <v>1315</v>
      </c>
      <c r="I277" s="104">
        <v>26.0</v>
      </c>
      <c r="J277" s="89" t="s">
        <v>2441</v>
      </c>
      <c r="K277" s="82" t="s">
        <v>2464</v>
      </c>
      <c r="L277" s="83"/>
      <c r="M277" s="84"/>
    </row>
    <row r="278">
      <c r="A278" s="76" t="s">
        <v>1073</v>
      </c>
      <c r="B278" s="77" t="s">
        <v>143</v>
      </c>
      <c r="C278" s="85">
        <v>7213.0</v>
      </c>
      <c r="D278" s="77" t="s">
        <v>1625</v>
      </c>
      <c r="E278" s="77" t="s">
        <v>1776</v>
      </c>
      <c r="F278" s="79">
        <v>46149.0</v>
      </c>
      <c r="G278" s="77" t="s">
        <v>12</v>
      </c>
      <c r="H278" s="77" t="s">
        <v>1315</v>
      </c>
      <c r="I278" s="104">
        <v>25.0</v>
      </c>
      <c r="J278" s="81" t="s">
        <v>2441</v>
      </c>
      <c r="K278" s="82" t="s">
        <v>2442</v>
      </c>
      <c r="L278" s="83"/>
      <c r="M278" s="84"/>
    </row>
    <row r="279">
      <c r="A279" s="76" t="s">
        <v>1075</v>
      </c>
      <c r="B279" s="77" t="s">
        <v>143</v>
      </c>
      <c r="C279" s="85">
        <v>7213.0</v>
      </c>
      <c r="D279" s="77" t="s">
        <v>1625</v>
      </c>
      <c r="E279" s="77" t="s">
        <v>1777</v>
      </c>
      <c r="F279" s="79">
        <v>46149.0</v>
      </c>
      <c r="G279" s="77" t="s">
        <v>12</v>
      </c>
      <c r="H279" s="77" t="s">
        <v>1315</v>
      </c>
      <c r="I279" s="104">
        <v>25.0</v>
      </c>
      <c r="J279" s="81" t="s">
        <v>2441</v>
      </c>
      <c r="K279" s="82" t="s">
        <v>2442</v>
      </c>
      <c r="L279" s="83"/>
      <c r="M279" s="84"/>
    </row>
    <row r="280">
      <c r="A280" s="76" t="s">
        <v>1085</v>
      </c>
      <c r="B280" s="77" t="s">
        <v>149</v>
      </c>
      <c r="C280" s="78">
        <v>22373.0</v>
      </c>
      <c r="D280" s="77" t="s">
        <v>1785</v>
      </c>
      <c r="E280" s="78">
        <v>25424.0</v>
      </c>
      <c r="F280" s="79">
        <v>46154.0</v>
      </c>
      <c r="G280" s="77" t="s">
        <v>12</v>
      </c>
      <c r="H280" s="77" t="s">
        <v>1315</v>
      </c>
      <c r="I280" s="104">
        <v>20.0</v>
      </c>
      <c r="J280" s="88">
        <v>46174.0</v>
      </c>
      <c r="K280" s="82" t="s">
        <v>14</v>
      </c>
      <c r="L280" s="81" t="s">
        <v>2558</v>
      </c>
      <c r="M280" s="84"/>
    </row>
    <row r="281">
      <c r="A281" s="76" t="s">
        <v>1077</v>
      </c>
      <c r="B281" s="77" t="s">
        <v>137</v>
      </c>
      <c r="C281" s="78">
        <v>22373.0</v>
      </c>
      <c r="D281" s="77" t="s">
        <v>1778</v>
      </c>
      <c r="E281" s="78">
        <v>35511.0</v>
      </c>
      <c r="F281" s="79">
        <v>46154.0</v>
      </c>
      <c r="G281" s="77" t="s">
        <v>1372</v>
      </c>
      <c r="H281" s="77" t="s">
        <v>1315</v>
      </c>
      <c r="I281" s="104">
        <v>20.0</v>
      </c>
      <c r="J281" s="102">
        <v>46248.0</v>
      </c>
      <c r="K281" s="82" t="s">
        <v>2464</v>
      </c>
      <c r="L281" s="83"/>
      <c r="M281" s="84"/>
    </row>
    <row r="282">
      <c r="A282" s="76" t="s">
        <v>1079</v>
      </c>
      <c r="B282" s="77" t="s">
        <v>1781</v>
      </c>
      <c r="C282" s="78">
        <v>22373.0</v>
      </c>
      <c r="D282" s="77" t="s">
        <v>1782</v>
      </c>
      <c r="E282" s="78">
        <v>85023.0</v>
      </c>
      <c r="F282" s="79">
        <v>46154.0</v>
      </c>
      <c r="G282" s="77" t="s">
        <v>13</v>
      </c>
      <c r="H282" s="77" t="s">
        <v>1315</v>
      </c>
      <c r="I282" s="104">
        <v>20.0</v>
      </c>
      <c r="J282" s="89" t="s">
        <v>2441</v>
      </c>
      <c r="K282" s="82" t="s">
        <v>2464</v>
      </c>
      <c r="L282" s="83"/>
      <c r="M282" s="84"/>
    </row>
    <row r="283">
      <c r="A283" s="76" t="s">
        <v>1081</v>
      </c>
      <c r="B283" s="77" t="s">
        <v>1781</v>
      </c>
      <c r="C283" s="78">
        <v>22373.0</v>
      </c>
      <c r="D283" s="77" t="s">
        <v>1782</v>
      </c>
      <c r="E283" s="78">
        <v>64318.0</v>
      </c>
      <c r="F283" s="79">
        <v>46154.0</v>
      </c>
      <c r="G283" s="77" t="s">
        <v>16</v>
      </c>
      <c r="H283" s="77" t="s">
        <v>1315</v>
      </c>
      <c r="I283" s="104">
        <v>20.0</v>
      </c>
      <c r="J283" s="102">
        <v>46176.0</v>
      </c>
      <c r="K283" s="82" t="s">
        <v>2464</v>
      </c>
      <c r="L283" s="83"/>
      <c r="M283" s="89" t="s">
        <v>2502</v>
      </c>
    </row>
    <row r="284">
      <c r="A284" s="76" t="s">
        <v>1083</v>
      </c>
      <c r="B284" s="77" t="s">
        <v>1781</v>
      </c>
      <c r="C284" s="78">
        <v>22373.0</v>
      </c>
      <c r="D284" s="77" t="s">
        <v>1782</v>
      </c>
      <c r="E284" s="78">
        <v>83287.0</v>
      </c>
      <c r="F284" s="79">
        <v>46154.0</v>
      </c>
      <c r="G284" s="77" t="s">
        <v>13</v>
      </c>
      <c r="H284" s="77" t="s">
        <v>1315</v>
      </c>
      <c r="I284" s="104">
        <v>20.0</v>
      </c>
      <c r="J284" s="89" t="s">
        <v>2441</v>
      </c>
      <c r="K284" s="82" t="s">
        <v>2464</v>
      </c>
      <c r="L284" s="83"/>
      <c r="M284" s="84"/>
    </row>
    <row r="285">
      <c r="A285" s="76" t="s">
        <v>1087</v>
      </c>
      <c r="B285" s="77" t="s">
        <v>149</v>
      </c>
      <c r="C285" s="78">
        <v>22373.0</v>
      </c>
      <c r="D285" s="77" t="s">
        <v>1785</v>
      </c>
      <c r="E285" s="78">
        <v>24970.0</v>
      </c>
      <c r="F285" s="79">
        <v>46154.0</v>
      </c>
      <c r="G285" s="77" t="s">
        <v>12</v>
      </c>
      <c r="H285" s="77" t="s">
        <v>1315</v>
      </c>
      <c r="I285" s="104">
        <v>20.0</v>
      </c>
      <c r="J285" s="102">
        <v>46248.0</v>
      </c>
      <c r="K285" s="98" t="s">
        <v>17</v>
      </c>
      <c r="L285" s="92" t="s">
        <v>2559</v>
      </c>
      <c r="M285" s="84"/>
    </row>
    <row r="286">
      <c r="A286" s="76" t="s">
        <v>1089</v>
      </c>
      <c r="B286" s="77" t="s">
        <v>149</v>
      </c>
      <c r="C286" s="78">
        <v>22373.0</v>
      </c>
      <c r="D286" s="77" t="s">
        <v>1785</v>
      </c>
      <c r="E286" s="78">
        <v>21156.0</v>
      </c>
      <c r="F286" s="79">
        <v>46154.0</v>
      </c>
      <c r="G286" s="77" t="s">
        <v>12</v>
      </c>
      <c r="H286" s="77" t="s">
        <v>1315</v>
      </c>
      <c r="I286" s="104">
        <v>20.0</v>
      </c>
      <c r="J286" s="89" t="s">
        <v>2441</v>
      </c>
      <c r="K286" s="82" t="s">
        <v>2464</v>
      </c>
      <c r="L286" s="83"/>
      <c r="M286" s="84"/>
    </row>
    <row r="287">
      <c r="A287" s="76" t="s">
        <v>1091</v>
      </c>
      <c r="B287" s="77" t="s">
        <v>1789</v>
      </c>
      <c r="C287" s="77" t="s">
        <v>48</v>
      </c>
      <c r="D287" s="77" t="s">
        <v>1790</v>
      </c>
      <c r="E287" s="78">
        <v>1652.0</v>
      </c>
      <c r="F287" s="79">
        <v>46154.0</v>
      </c>
      <c r="G287" s="77" t="s">
        <v>13</v>
      </c>
      <c r="H287" s="77" t="s">
        <v>1315</v>
      </c>
      <c r="I287" s="104">
        <v>20.0</v>
      </c>
      <c r="J287" s="89" t="s">
        <v>2441</v>
      </c>
      <c r="K287" s="82" t="s">
        <v>2464</v>
      </c>
      <c r="L287" s="83"/>
      <c r="M287" s="84"/>
    </row>
    <row r="288">
      <c r="A288" s="76" t="s">
        <v>1093</v>
      </c>
      <c r="B288" s="77" t="s">
        <v>1789</v>
      </c>
      <c r="C288" s="77" t="s">
        <v>48</v>
      </c>
      <c r="D288" s="77" t="s">
        <v>1790</v>
      </c>
      <c r="E288" s="78">
        <v>1713.0</v>
      </c>
      <c r="F288" s="79">
        <v>46154.0</v>
      </c>
      <c r="G288" s="77" t="s">
        <v>12</v>
      </c>
      <c r="H288" s="77" t="s">
        <v>1315</v>
      </c>
      <c r="I288" s="104">
        <v>20.0</v>
      </c>
      <c r="J288" s="102">
        <v>46225.0</v>
      </c>
      <c r="K288" s="98" t="s">
        <v>17</v>
      </c>
      <c r="L288" s="92" t="s">
        <v>2560</v>
      </c>
      <c r="M288" s="84"/>
    </row>
    <row r="289">
      <c r="A289" s="76" t="s">
        <v>1125</v>
      </c>
      <c r="B289" s="77" t="s">
        <v>1866</v>
      </c>
      <c r="C289" s="85">
        <v>6848.0</v>
      </c>
      <c r="D289" s="77" t="s">
        <v>1546</v>
      </c>
      <c r="E289" s="77" t="s">
        <v>2155</v>
      </c>
      <c r="F289" s="79">
        <v>46163.0</v>
      </c>
      <c r="G289" s="77" t="s">
        <v>13</v>
      </c>
      <c r="H289" s="77" t="s">
        <v>2007</v>
      </c>
      <c r="I289" s="104">
        <v>11.0</v>
      </c>
      <c r="J289" s="88">
        <v>46171.0</v>
      </c>
      <c r="K289" s="82" t="s">
        <v>14</v>
      </c>
      <c r="L289" s="81" t="s">
        <v>2561</v>
      </c>
      <c r="M289" s="84"/>
    </row>
    <row r="290">
      <c r="A290" s="76" t="s">
        <v>1095</v>
      </c>
      <c r="B290" s="77" t="s">
        <v>1724</v>
      </c>
      <c r="C290" s="77" t="s">
        <v>48</v>
      </c>
      <c r="D290" s="77" t="s">
        <v>1725</v>
      </c>
      <c r="E290" s="77" t="s">
        <v>1794</v>
      </c>
      <c r="F290" s="79">
        <v>46164.0</v>
      </c>
      <c r="G290" s="77" t="s">
        <v>21</v>
      </c>
      <c r="H290" s="77" t="s">
        <v>1315</v>
      </c>
      <c r="I290" s="104">
        <v>10.0</v>
      </c>
      <c r="J290" s="107" t="s">
        <v>2462</v>
      </c>
      <c r="K290" s="98" t="s">
        <v>2445</v>
      </c>
      <c r="L290" s="83"/>
      <c r="M290" s="84"/>
    </row>
    <row r="291">
      <c r="A291" s="76" t="s">
        <v>1097</v>
      </c>
      <c r="B291" s="77" t="s">
        <v>1724</v>
      </c>
      <c r="C291" s="77" t="s">
        <v>48</v>
      </c>
      <c r="D291" s="77" t="s">
        <v>1725</v>
      </c>
      <c r="E291" s="77" t="s">
        <v>2377</v>
      </c>
      <c r="F291" s="79">
        <v>46164.0</v>
      </c>
      <c r="G291" s="77" t="s">
        <v>21</v>
      </c>
      <c r="H291" s="77" t="s">
        <v>1315</v>
      </c>
      <c r="I291" s="104">
        <v>10.0</v>
      </c>
      <c r="J291" s="93">
        <v>46266.0</v>
      </c>
      <c r="K291" s="98" t="s">
        <v>13</v>
      </c>
      <c r="L291" s="92" t="s">
        <v>2562</v>
      </c>
      <c r="M291" s="84"/>
    </row>
    <row r="292">
      <c r="A292" s="76" t="s">
        <v>1105</v>
      </c>
      <c r="B292" s="77" t="s">
        <v>1805</v>
      </c>
      <c r="C292" s="77" t="s">
        <v>1806</v>
      </c>
      <c r="D292" s="77" t="s">
        <v>1718</v>
      </c>
      <c r="E292" s="77" t="s">
        <v>1807</v>
      </c>
      <c r="F292" s="79">
        <v>46171.0</v>
      </c>
      <c r="G292" s="77" t="s">
        <v>16</v>
      </c>
      <c r="H292" s="77" t="s">
        <v>1315</v>
      </c>
      <c r="I292" s="104">
        <v>3.0</v>
      </c>
      <c r="J292" s="81" t="s">
        <v>2441</v>
      </c>
      <c r="K292" s="82" t="s">
        <v>2447</v>
      </c>
      <c r="L292" s="83"/>
      <c r="M292" s="84"/>
    </row>
    <row r="293">
      <c r="A293" s="76" t="s">
        <v>1111</v>
      </c>
      <c r="B293" s="77" t="s">
        <v>195</v>
      </c>
      <c r="C293" s="77" t="s">
        <v>48</v>
      </c>
      <c r="D293" s="77" t="s">
        <v>1833</v>
      </c>
      <c r="E293" s="77" t="s">
        <v>2391</v>
      </c>
      <c r="F293" s="79">
        <v>46171.0</v>
      </c>
      <c r="G293" s="77" t="s">
        <v>12</v>
      </c>
      <c r="H293" s="77" t="s">
        <v>1315</v>
      </c>
      <c r="I293" s="104">
        <v>3.0</v>
      </c>
      <c r="J293" s="88">
        <v>46176.0</v>
      </c>
      <c r="K293" s="82" t="s">
        <v>14</v>
      </c>
      <c r="L293" s="81" t="s">
        <v>2554</v>
      </c>
      <c r="M293" s="84"/>
    </row>
    <row r="294">
      <c r="A294" s="76" t="s">
        <v>1109</v>
      </c>
      <c r="B294" s="77" t="s">
        <v>143</v>
      </c>
      <c r="C294" s="85">
        <v>7213.0</v>
      </c>
      <c r="D294" s="77" t="s">
        <v>1625</v>
      </c>
      <c r="E294" s="77" t="s">
        <v>1883</v>
      </c>
      <c r="F294" s="79">
        <v>46171.0</v>
      </c>
      <c r="G294" s="77" t="s">
        <v>13</v>
      </c>
      <c r="H294" s="77" t="s">
        <v>1315</v>
      </c>
      <c r="I294" s="104">
        <v>3.0</v>
      </c>
      <c r="J294" s="81" t="s">
        <v>2441</v>
      </c>
      <c r="K294" s="82" t="s">
        <v>2442</v>
      </c>
      <c r="L294" s="83"/>
      <c r="M294" s="84"/>
    </row>
    <row r="295">
      <c r="A295" s="76" t="s">
        <v>1133</v>
      </c>
      <c r="B295" s="77" t="s">
        <v>123</v>
      </c>
      <c r="C295" s="78">
        <v>22373.0</v>
      </c>
      <c r="D295" s="77" t="s">
        <v>1506</v>
      </c>
      <c r="E295" s="78">
        <v>5155.0</v>
      </c>
      <c r="F295" s="79">
        <v>46171.0</v>
      </c>
      <c r="G295" s="77" t="s">
        <v>12</v>
      </c>
      <c r="H295" s="77" t="s">
        <v>1315</v>
      </c>
      <c r="I295" s="104">
        <v>3.0</v>
      </c>
      <c r="J295" s="91">
        <v>46254.0</v>
      </c>
      <c r="K295" s="98" t="s">
        <v>17</v>
      </c>
      <c r="L295" s="92" t="s">
        <v>2563</v>
      </c>
      <c r="M295" s="84"/>
    </row>
    <row r="296">
      <c r="A296" s="76" t="s">
        <v>1135</v>
      </c>
      <c r="B296" s="77" t="s">
        <v>123</v>
      </c>
      <c r="C296" s="78">
        <v>22373.0</v>
      </c>
      <c r="D296" s="77" t="s">
        <v>1506</v>
      </c>
      <c r="E296" s="78">
        <v>2333.0</v>
      </c>
      <c r="F296" s="79">
        <v>46171.0</v>
      </c>
      <c r="G296" s="77" t="s">
        <v>12</v>
      </c>
      <c r="H296" s="77" t="s">
        <v>1315</v>
      </c>
      <c r="I296" s="104">
        <v>3.0</v>
      </c>
      <c r="J296" s="89" t="s">
        <v>2441</v>
      </c>
      <c r="K296" s="82" t="s">
        <v>2464</v>
      </c>
      <c r="L296" s="83"/>
      <c r="M296" s="84"/>
    </row>
    <row r="297">
      <c r="A297" s="76" t="s">
        <v>1099</v>
      </c>
      <c r="B297" s="77" t="s">
        <v>1745</v>
      </c>
      <c r="C297" s="78">
        <v>22373.0</v>
      </c>
      <c r="D297" s="77" t="s">
        <v>1746</v>
      </c>
      <c r="E297" s="78">
        <v>4154.0</v>
      </c>
      <c r="F297" s="79">
        <v>46171.0</v>
      </c>
      <c r="G297" s="77" t="s">
        <v>12</v>
      </c>
      <c r="H297" s="77" t="s">
        <v>1315</v>
      </c>
      <c r="I297" s="104">
        <v>3.0</v>
      </c>
      <c r="J297" s="89" t="s">
        <v>2441</v>
      </c>
      <c r="K297" s="82" t="s">
        <v>2464</v>
      </c>
      <c r="L297" s="83"/>
      <c r="M297" s="84"/>
    </row>
    <row r="298">
      <c r="A298" s="76" t="s">
        <v>1101</v>
      </c>
      <c r="B298" s="77" t="s">
        <v>1745</v>
      </c>
      <c r="C298" s="78">
        <v>22373.0</v>
      </c>
      <c r="D298" s="77" t="s">
        <v>1746</v>
      </c>
      <c r="E298" s="78">
        <v>4164.0</v>
      </c>
      <c r="F298" s="79">
        <v>46171.0</v>
      </c>
      <c r="G298" s="77" t="s">
        <v>1500</v>
      </c>
      <c r="H298" s="77" t="s">
        <v>1315</v>
      </c>
      <c r="I298" s="104">
        <v>3.0</v>
      </c>
      <c r="J298" s="89" t="s">
        <v>2441</v>
      </c>
      <c r="K298" s="82" t="s">
        <v>2464</v>
      </c>
      <c r="L298" s="83"/>
      <c r="M298" s="84"/>
    </row>
    <row r="299">
      <c r="A299" s="76" t="s">
        <v>1103</v>
      </c>
      <c r="B299" s="77" t="s">
        <v>129</v>
      </c>
      <c r="C299" s="78">
        <v>22373.0</v>
      </c>
      <c r="D299" s="77" t="s">
        <v>130</v>
      </c>
      <c r="E299" s="78">
        <v>17143.0</v>
      </c>
      <c r="F299" s="79">
        <v>46171.0</v>
      </c>
      <c r="G299" s="77" t="s">
        <v>12</v>
      </c>
      <c r="H299" s="77" t="s">
        <v>1315</v>
      </c>
      <c r="I299" s="104">
        <v>3.0</v>
      </c>
      <c r="J299" s="102">
        <v>46086.0</v>
      </c>
      <c r="K299" s="98" t="s">
        <v>14</v>
      </c>
      <c r="L299" s="92" t="s">
        <v>2564</v>
      </c>
      <c r="M299" s="84"/>
    </row>
    <row r="300">
      <c r="A300" s="76" t="s">
        <v>1107</v>
      </c>
      <c r="B300" s="77" t="s">
        <v>1805</v>
      </c>
      <c r="C300" s="78">
        <v>95270.0</v>
      </c>
      <c r="D300" s="77" t="s">
        <v>1718</v>
      </c>
      <c r="E300" s="77" t="s">
        <v>2386</v>
      </c>
      <c r="F300" s="79">
        <v>46171.0</v>
      </c>
      <c r="G300" s="77" t="s">
        <v>13</v>
      </c>
      <c r="H300" s="77" t="s">
        <v>1315</v>
      </c>
      <c r="I300" s="104">
        <v>3.0</v>
      </c>
      <c r="J300" s="100">
        <v>46191.0</v>
      </c>
      <c r="K300" s="82" t="s">
        <v>13</v>
      </c>
      <c r="L300" s="81" t="s">
        <v>2565</v>
      </c>
      <c r="M300" s="84"/>
    </row>
    <row r="301">
      <c r="A301" s="76" t="s">
        <v>1113</v>
      </c>
      <c r="B301" s="77" t="s">
        <v>195</v>
      </c>
      <c r="C301" s="77" t="s">
        <v>48</v>
      </c>
      <c r="D301" s="77" t="s">
        <v>1833</v>
      </c>
      <c r="E301" s="96">
        <v>612.0</v>
      </c>
      <c r="F301" s="79">
        <v>46171.0</v>
      </c>
      <c r="G301" s="77" t="s">
        <v>19</v>
      </c>
      <c r="H301" s="77" t="s">
        <v>1315</v>
      </c>
      <c r="I301" s="104">
        <v>3.0</v>
      </c>
      <c r="J301" s="102">
        <v>46191.0</v>
      </c>
      <c r="K301" s="98" t="s">
        <v>2459</v>
      </c>
      <c r="L301" s="92" t="s">
        <v>2482</v>
      </c>
      <c r="M301" s="84"/>
    </row>
    <row r="302">
      <c r="A302" s="76" t="s">
        <v>1115</v>
      </c>
      <c r="B302" s="77" t="s">
        <v>187</v>
      </c>
      <c r="C302" s="78">
        <v>32108.0</v>
      </c>
      <c r="D302" s="77" t="s">
        <v>1598</v>
      </c>
      <c r="E302" s="108">
        <v>4.07910680166E11</v>
      </c>
      <c r="F302" s="79">
        <v>46171.0</v>
      </c>
      <c r="G302" s="77" t="s">
        <v>13</v>
      </c>
      <c r="H302" s="77" t="s">
        <v>1315</v>
      </c>
      <c r="I302" s="104">
        <v>3.0</v>
      </c>
      <c r="J302" s="102">
        <v>46241.0</v>
      </c>
      <c r="K302" s="98" t="s">
        <v>16</v>
      </c>
      <c r="L302" s="92" t="s">
        <v>2566</v>
      </c>
      <c r="M302" s="84"/>
    </row>
    <row r="303">
      <c r="A303" s="76" t="s">
        <v>1117</v>
      </c>
      <c r="B303" s="77" t="s">
        <v>187</v>
      </c>
      <c r="C303" s="78">
        <v>32108.0</v>
      </c>
      <c r="D303" s="77" t="s">
        <v>1598</v>
      </c>
      <c r="E303" s="108">
        <v>4.07983320094E11</v>
      </c>
      <c r="F303" s="79">
        <v>46171.0</v>
      </c>
      <c r="G303" s="77" t="s">
        <v>1491</v>
      </c>
      <c r="H303" s="77" t="s">
        <v>1315</v>
      </c>
      <c r="I303" s="104">
        <v>3.0</v>
      </c>
      <c r="J303" s="102">
        <v>46191.0</v>
      </c>
      <c r="K303" s="98" t="s">
        <v>16</v>
      </c>
      <c r="L303" s="92" t="s">
        <v>2567</v>
      </c>
      <c r="M303" s="84"/>
    </row>
    <row r="304">
      <c r="A304" s="76" t="s">
        <v>1119</v>
      </c>
      <c r="B304" s="77" t="s">
        <v>187</v>
      </c>
      <c r="C304" s="78">
        <v>32108.0</v>
      </c>
      <c r="D304" s="77" t="s">
        <v>1598</v>
      </c>
      <c r="E304" s="108">
        <v>4.07983320096E11</v>
      </c>
      <c r="F304" s="79">
        <v>46171.0</v>
      </c>
      <c r="G304" s="77" t="s">
        <v>1491</v>
      </c>
      <c r="H304" s="77" t="s">
        <v>1315</v>
      </c>
      <c r="I304" s="104">
        <v>3.0</v>
      </c>
      <c r="J304" s="102">
        <v>46191.0</v>
      </c>
      <c r="K304" s="82"/>
      <c r="L304" s="83"/>
      <c r="M304" s="84"/>
    </row>
    <row r="305">
      <c r="A305" s="76" t="s">
        <v>1121</v>
      </c>
      <c r="B305" s="77" t="s">
        <v>187</v>
      </c>
      <c r="C305" s="78">
        <v>32108.0</v>
      </c>
      <c r="D305" s="77" t="s">
        <v>1598</v>
      </c>
      <c r="E305" s="108">
        <v>4.07983320111E11</v>
      </c>
      <c r="F305" s="79">
        <v>46171.0</v>
      </c>
      <c r="G305" s="77" t="s">
        <v>1491</v>
      </c>
      <c r="H305" s="77" t="s">
        <v>1315</v>
      </c>
      <c r="I305" s="104">
        <v>3.0</v>
      </c>
      <c r="J305" s="102">
        <v>46241.0</v>
      </c>
      <c r="K305" s="98" t="s">
        <v>16</v>
      </c>
      <c r="L305" s="92" t="s">
        <v>2566</v>
      </c>
      <c r="M305" s="84"/>
    </row>
    <row r="306">
      <c r="A306" s="76" t="s">
        <v>1123</v>
      </c>
      <c r="B306" s="77" t="s">
        <v>187</v>
      </c>
      <c r="C306" s="78">
        <v>32108.0</v>
      </c>
      <c r="D306" s="77" t="s">
        <v>1598</v>
      </c>
      <c r="E306" s="108">
        <v>4.0798332013E11</v>
      </c>
      <c r="F306" s="79">
        <v>46171.0</v>
      </c>
      <c r="G306" s="77" t="s">
        <v>1491</v>
      </c>
      <c r="H306" s="77" t="s">
        <v>1315</v>
      </c>
      <c r="I306" s="104">
        <v>3.0</v>
      </c>
      <c r="J306" s="102">
        <v>46191.0</v>
      </c>
      <c r="K306" s="98" t="s">
        <v>16</v>
      </c>
      <c r="L306" s="92" t="s">
        <v>2567</v>
      </c>
      <c r="M306" s="84"/>
    </row>
    <row r="307">
      <c r="A307" s="76" t="s">
        <v>1127</v>
      </c>
      <c r="B307" s="77" t="s">
        <v>1590</v>
      </c>
      <c r="C307" s="78">
        <v>22373.0</v>
      </c>
      <c r="D307" s="77" t="s">
        <v>1591</v>
      </c>
      <c r="E307" s="78">
        <v>89177.0</v>
      </c>
      <c r="F307" s="79">
        <v>46171.0</v>
      </c>
      <c r="G307" s="77" t="s">
        <v>13</v>
      </c>
      <c r="H307" s="77" t="s">
        <v>1315</v>
      </c>
      <c r="I307" s="104">
        <v>3.0</v>
      </c>
      <c r="J307" s="89" t="s">
        <v>2441</v>
      </c>
      <c r="K307" s="82" t="s">
        <v>2464</v>
      </c>
      <c r="L307" s="83"/>
      <c r="M307" s="84"/>
    </row>
    <row r="308">
      <c r="A308" s="76" t="s">
        <v>1129</v>
      </c>
      <c r="B308" s="77" t="s">
        <v>1590</v>
      </c>
      <c r="C308" s="78">
        <v>22373.0</v>
      </c>
      <c r="D308" s="77" t="s">
        <v>1591</v>
      </c>
      <c r="E308" s="78">
        <v>25304.0</v>
      </c>
      <c r="F308" s="79">
        <v>46171.0</v>
      </c>
      <c r="G308" s="77" t="s">
        <v>1500</v>
      </c>
      <c r="H308" s="77" t="s">
        <v>1315</v>
      </c>
      <c r="I308" s="104">
        <v>3.0</v>
      </c>
      <c r="J308" s="102">
        <v>46211.0</v>
      </c>
      <c r="K308" s="82"/>
      <c r="L308" s="83"/>
      <c r="M308" s="84"/>
    </row>
    <row r="309">
      <c r="A309" s="76" t="s">
        <v>1131</v>
      </c>
      <c r="B309" s="77" t="s">
        <v>1590</v>
      </c>
      <c r="C309" s="78">
        <v>22373.0</v>
      </c>
      <c r="D309" s="77" t="s">
        <v>1591</v>
      </c>
      <c r="E309" s="78">
        <v>94934.0</v>
      </c>
      <c r="F309" s="79">
        <v>46171.0</v>
      </c>
      <c r="G309" s="77" t="s">
        <v>1500</v>
      </c>
      <c r="H309" s="77" t="s">
        <v>1315</v>
      </c>
      <c r="I309" s="104">
        <v>3.0</v>
      </c>
      <c r="J309" s="89" t="s">
        <v>2441</v>
      </c>
      <c r="K309" s="82" t="s">
        <v>2464</v>
      </c>
      <c r="L309" s="83"/>
      <c r="M309" s="84"/>
    </row>
    <row r="310">
      <c r="A310" s="109"/>
      <c r="J310" s="110"/>
      <c r="K310" s="110"/>
      <c r="L310" s="110"/>
    </row>
    <row r="311">
      <c r="A311" s="109"/>
      <c r="J311" s="110"/>
      <c r="K311" s="110"/>
      <c r="L311" s="110"/>
    </row>
    <row r="312">
      <c r="A312" s="109"/>
      <c r="J312" s="110"/>
      <c r="K312" s="110"/>
      <c r="L312" s="110"/>
    </row>
    <row r="313">
      <c r="A313" s="109"/>
      <c r="J313" s="110"/>
      <c r="K313" s="110"/>
      <c r="L313" s="110"/>
    </row>
    <row r="314">
      <c r="A314" s="109"/>
      <c r="J314" s="110"/>
      <c r="K314" s="110"/>
      <c r="L314" s="110"/>
    </row>
    <row r="315">
      <c r="A315" s="109"/>
      <c r="J315" s="110"/>
      <c r="K315" s="110"/>
      <c r="L315" s="110"/>
    </row>
    <row r="316">
      <c r="A316" s="109"/>
      <c r="J316" s="110"/>
      <c r="K316" s="110"/>
      <c r="L316" s="110"/>
    </row>
    <row r="317">
      <c r="A317" s="109"/>
      <c r="J317" s="110"/>
      <c r="K317" s="110"/>
      <c r="L317" s="110"/>
    </row>
    <row r="318">
      <c r="A318" s="109"/>
      <c r="J318" s="110"/>
      <c r="K318" s="110"/>
      <c r="L318" s="110"/>
    </row>
    <row r="319">
      <c r="A319" s="109"/>
      <c r="J319" s="110"/>
      <c r="K319" s="110"/>
      <c r="L319" s="110"/>
    </row>
    <row r="320">
      <c r="A320" s="109"/>
      <c r="J320" s="110"/>
      <c r="K320" s="110"/>
      <c r="L320" s="110"/>
    </row>
    <row r="321">
      <c r="A321" s="109"/>
      <c r="J321" s="110"/>
      <c r="K321" s="110"/>
      <c r="L321" s="110"/>
    </row>
    <row r="322">
      <c r="A322" s="109"/>
      <c r="J322" s="110"/>
      <c r="K322" s="110"/>
      <c r="L322" s="110"/>
    </row>
    <row r="323">
      <c r="A323" s="109"/>
      <c r="J323" s="110"/>
      <c r="K323" s="110"/>
      <c r="L323" s="110"/>
    </row>
    <row r="324">
      <c r="A324" s="109"/>
      <c r="J324" s="110"/>
      <c r="K324" s="110"/>
      <c r="L324" s="110"/>
    </row>
    <row r="325">
      <c r="A325" s="109"/>
      <c r="J325" s="110"/>
      <c r="K325" s="110"/>
      <c r="L325" s="110"/>
    </row>
    <row r="326">
      <c r="A326" s="109"/>
      <c r="J326" s="110"/>
      <c r="K326" s="110"/>
      <c r="L326" s="110"/>
    </row>
    <row r="327">
      <c r="A327" s="109"/>
      <c r="J327" s="110"/>
      <c r="K327" s="110"/>
      <c r="L327" s="110"/>
    </row>
    <row r="328">
      <c r="A328" s="109"/>
      <c r="J328" s="110"/>
      <c r="K328" s="110"/>
      <c r="L328" s="110"/>
    </row>
    <row r="329">
      <c r="A329" s="109"/>
      <c r="J329" s="110"/>
      <c r="K329" s="110"/>
      <c r="L329" s="110"/>
    </row>
    <row r="330">
      <c r="A330" s="109"/>
      <c r="J330" s="110"/>
      <c r="K330" s="110"/>
      <c r="L330" s="110"/>
    </row>
    <row r="331">
      <c r="A331" s="109"/>
      <c r="J331" s="110"/>
      <c r="K331" s="110"/>
      <c r="L331" s="110"/>
    </row>
    <row r="332">
      <c r="A332" s="109"/>
      <c r="J332" s="110"/>
      <c r="K332" s="110"/>
      <c r="L332" s="110"/>
    </row>
    <row r="333">
      <c r="A333" s="109"/>
      <c r="J333" s="110"/>
      <c r="K333" s="110"/>
      <c r="L333" s="110"/>
    </row>
    <row r="334">
      <c r="A334" s="109"/>
      <c r="J334" s="110"/>
      <c r="K334" s="110"/>
      <c r="L334" s="110"/>
    </row>
    <row r="335">
      <c r="A335" s="109"/>
      <c r="J335" s="110"/>
      <c r="K335" s="110"/>
      <c r="L335" s="110"/>
    </row>
    <row r="336">
      <c r="A336" s="109"/>
      <c r="J336" s="110"/>
      <c r="K336" s="110"/>
      <c r="L336" s="110"/>
    </row>
    <row r="337">
      <c r="A337" s="109"/>
      <c r="J337" s="110"/>
      <c r="K337" s="110"/>
      <c r="L337" s="110"/>
    </row>
    <row r="338">
      <c r="A338" s="109"/>
      <c r="J338" s="110"/>
      <c r="K338" s="110"/>
      <c r="L338" s="110"/>
    </row>
    <row r="339">
      <c r="A339" s="109"/>
      <c r="J339" s="110"/>
      <c r="K339" s="110"/>
      <c r="L339" s="110"/>
    </row>
    <row r="340">
      <c r="A340" s="109"/>
      <c r="J340" s="110"/>
      <c r="K340" s="110"/>
      <c r="L340" s="110"/>
    </row>
    <row r="341">
      <c r="A341" s="109"/>
      <c r="J341" s="110"/>
      <c r="K341" s="110"/>
      <c r="L341" s="110"/>
    </row>
    <row r="342">
      <c r="A342" s="109"/>
      <c r="J342" s="110"/>
      <c r="K342" s="110"/>
      <c r="L342" s="110"/>
    </row>
    <row r="343">
      <c r="A343" s="109"/>
      <c r="J343" s="110"/>
      <c r="K343" s="110"/>
      <c r="L343" s="110"/>
    </row>
    <row r="344">
      <c r="A344" s="109"/>
      <c r="J344" s="110"/>
      <c r="K344" s="110"/>
      <c r="L344" s="110"/>
    </row>
    <row r="345">
      <c r="A345" s="109"/>
      <c r="J345" s="110"/>
      <c r="K345" s="110"/>
      <c r="L345" s="110"/>
    </row>
    <row r="346">
      <c r="A346" s="109"/>
      <c r="J346" s="110"/>
      <c r="K346" s="110"/>
      <c r="L346" s="110"/>
    </row>
    <row r="347">
      <c r="A347" s="109"/>
      <c r="J347" s="110"/>
      <c r="K347" s="110"/>
      <c r="L347" s="110"/>
    </row>
    <row r="348">
      <c r="A348" s="109"/>
      <c r="J348" s="110"/>
      <c r="K348" s="110"/>
      <c r="L348" s="110"/>
    </row>
    <row r="349">
      <c r="A349" s="109"/>
      <c r="J349" s="110"/>
      <c r="K349" s="110"/>
      <c r="L349" s="110"/>
    </row>
    <row r="350">
      <c r="A350" s="109"/>
      <c r="J350" s="110"/>
      <c r="K350" s="110"/>
      <c r="L350" s="110"/>
    </row>
    <row r="351">
      <c r="A351" s="109"/>
      <c r="J351" s="110"/>
      <c r="K351" s="110"/>
      <c r="L351" s="110"/>
    </row>
    <row r="352">
      <c r="A352" s="109"/>
      <c r="J352" s="110"/>
      <c r="K352" s="110"/>
      <c r="L352" s="110"/>
    </row>
    <row r="353">
      <c r="A353" s="109"/>
      <c r="J353" s="110"/>
      <c r="K353" s="110"/>
      <c r="L353" s="110"/>
    </row>
    <row r="354">
      <c r="A354" s="109"/>
      <c r="J354" s="110"/>
      <c r="K354" s="110"/>
      <c r="L354" s="110"/>
    </row>
    <row r="355">
      <c r="A355" s="109"/>
      <c r="J355" s="110"/>
      <c r="K355" s="110"/>
      <c r="L355" s="110"/>
    </row>
    <row r="356">
      <c r="A356" s="109"/>
      <c r="J356" s="110"/>
      <c r="K356" s="110"/>
      <c r="L356" s="110"/>
    </row>
    <row r="357">
      <c r="A357" s="109"/>
      <c r="J357" s="110"/>
      <c r="K357" s="110"/>
      <c r="L357" s="110"/>
    </row>
    <row r="358">
      <c r="A358" s="109"/>
      <c r="J358" s="110"/>
      <c r="K358" s="110"/>
      <c r="L358" s="110"/>
    </row>
    <row r="359">
      <c r="A359" s="109"/>
      <c r="J359" s="110"/>
      <c r="K359" s="110"/>
      <c r="L359" s="110"/>
    </row>
    <row r="360">
      <c r="A360" s="109"/>
      <c r="J360" s="110"/>
      <c r="K360" s="110"/>
      <c r="L360" s="110"/>
    </row>
    <row r="361">
      <c r="A361" s="109"/>
      <c r="J361" s="110"/>
      <c r="K361" s="110"/>
      <c r="L361" s="110"/>
    </row>
    <row r="362">
      <c r="A362" s="109"/>
      <c r="J362" s="110"/>
      <c r="K362" s="110"/>
      <c r="L362" s="110"/>
    </row>
    <row r="363">
      <c r="A363" s="109"/>
      <c r="J363" s="110"/>
      <c r="K363" s="110"/>
      <c r="L363" s="110"/>
    </row>
    <row r="364">
      <c r="A364" s="109"/>
      <c r="J364" s="110"/>
      <c r="K364" s="110"/>
      <c r="L364" s="110"/>
    </row>
    <row r="365">
      <c r="A365" s="109"/>
      <c r="J365" s="110"/>
      <c r="K365" s="110"/>
      <c r="L365" s="110"/>
    </row>
    <row r="366">
      <c r="A366" s="109"/>
      <c r="J366" s="110"/>
      <c r="K366" s="110"/>
      <c r="L366" s="110"/>
    </row>
    <row r="367">
      <c r="A367" s="109"/>
      <c r="J367" s="110"/>
      <c r="K367" s="110"/>
      <c r="L367" s="110"/>
    </row>
    <row r="368">
      <c r="A368" s="109"/>
      <c r="J368" s="110"/>
      <c r="K368" s="110"/>
      <c r="L368" s="110"/>
    </row>
    <row r="369">
      <c r="A369" s="109"/>
      <c r="J369" s="110"/>
      <c r="K369" s="110"/>
      <c r="L369" s="110"/>
    </row>
    <row r="370">
      <c r="A370" s="109"/>
      <c r="J370" s="110"/>
      <c r="K370" s="110"/>
      <c r="L370" s="110"/>
    </row>
    <row r="371">
      <c r="A371" s="109"/>
      <c r="J371" s="110"/>
      <c r="K371" s="110"/>
      <c r="L371" s="110"/>
    </row>
    <row r="372">
      <c r="A372" s="109"/>
      <c r="J372" s="110"/>
      <c r="K372" s="110"/>
      <c r="L372" s="110"/>
    </row>
    <row r="373">
      <c r="A373" s="109"/>
      <c r="J373" s="110"/>
      <c r="K373" s="110"/>
      <c r="L373" s="110"/>
    </row>
    <row r="374">
      <c r="A374" s="109"/>
      <c r="J374" s="110"/>
      <c r="K374" s="110"/>
      <c r="L374" s="110"/>
    </row>
    <row r="375">
      <c r="A375" s="109"/>
      <c r="J375" s="110"/>
      <c r="K375" s="110"/>
      <c r="L375" s="110"/>
    </row>
    <row r="376">
      <c r="A376" s="109"/>
      <c r="J376" s="110"/>
      <c r="K376" s="110"/>
      <c r="L376" s="110"/>
    </row>
    <row r="377">
      <c r="A377" s="109"/>
      <c r="J377" s="110"/>
      <c r="K377" s="110"/>
      <c r="L377" s="110"/>
    </row>
    <row r="378">
      <c r="A378" s="109"/>
      <c r="J378" s="110"/>
      <c r="K378" s="110"/>
      <c r="L378" s="110"/>
    </row>
    <row r="379">
      <c r="A379" s="109"/>
      <c r="J379" s="110"/>
      <c r="K379" s="110"/>
      <c r="L379" s="110"/>
    </row>
    <row r="380">
      <c r="A380" s="109"/>
      <c r="J380" s="110"/>
      <c r="K380" s="110"/>
      <c r="L380" s="110"/>
    </row>
    <row r="381">
      <c r="A381" s="109"/>
      <c r="J381" s="110"/>
      <c r="K381" s="110"/>
      <c r="L381" s="110"/>
    </row>
    <row r="382">
      <c r="A382" s="109"/>
      <c r="J382" s="110"/>
      <c r="K382" s="110"/>
      <c r="L382" s="110"/>
    </row>
    <row r="383">
      <c r="A383" s="109"/>
      <c r="J383" s="110"/>
      <c r="K383" s="110"/>
      <c r="L383" s="110"/>
    </row>
    <row r="384">
      <c r="A384" s="109"/>
      <c r="J384" s="110"/>
      <c r="K384" s="110"/>
      <c r="L384" s="110"/>
    </row>
    <row r="385">
      <c r="A385" s="109"/>
      <c r="J385" s="110"/>
      <c r="K385" s="110"/>
      <c r="L385" s="110"/>
    </row>
    <row r="386">
      <c r="A386" s="109"/>
      <c r="J386" s="110"/>
      <c r="K386" s="110"/>
      <c r="L386" s="110"/>
    </row>
    <row r="387">
      <c r="A387" s="109"/>
      <c r="J387" s="110"/>
      <c r="K387" s="110"/>
      <c r="L387" s="110"/>
    </row>
    <row r="388">
      <c r="A388" s="109"/>
      <c r="J388" s="110"/>
      <c r="K388" s="110"/>
      <c r="L388" s="110"/>
    </row>
    <row r="389">
      <c r="A389" s="109"/>
      <c r="J389" s="110"/>
      <c r="K389" s="110"/>
      <c r="L389" s="110"/>
    </row>
    <row r="390">
      <c r="A390" s="109"/>
      <c r="J390" s="110"/>
      <c r="K390" s="110"/>
      <c r="L390" s="110"/>
    </row>
    <row r="391">
      <c r="A391" s="109"/>
      <c r="J391" s="110"/>
      <c r="K391" s="110"/>
      <c r="L391" s="110"/>
    </row>
    <row r="392">
      <c r="A392" s="109"/>
      <c r="J392" s="110"/>
      <c r="K392" s="110"/>
      <c r="L392" s="110"/>
    </row>
    <row r="393">
      <c r="A393" s="109"/>
      <c r="J393" s="110"/>
      <c r="K393" s="110"/>
      <c r="L393" s="110"/>
    </row>
    <row r="394">
      <c r="A394" s="109"/>
      <c r="J394" s="110"/>
      <c r="K394" s="110"/>
      <c r="L394" s="110"/>
    </row>
    <row r="395">
      <c r="A395" s="109"/>
      <c r="J395" s="110"/>
      <c r="K395" s="110"/>
      <c r="L395" s="110"/>
    </row>
    <row r="396">
      <c r="A396" s="109"/>
      <c r="J396" s="110"/>
      <c r="K396" s="110"/>
      <c r="L396" s="110"/>
    </row>
    <row r="397">
      <c r="A397" s="109"/>
      <c r="J397" s="110"/>
      <c r="K397" s="110"/>
      <c r="L397" s="110"/>
    </row>
    <row r="398">
      <c r="A398" s="109"/>
      <c r="J398" s="110"/>
      <c r="K398" s="110"/>
      <c r="L398" s="110"/>
    </row>
    <row r="399">
      <c r="A399" s="109"/>
      <c r="J399" s="110"/>
      <c r="K399" s="110"/>
      <c r="L399" s="110"/>
    </row>
    <row r="400">
      <c r="A400" s="109"/>
      <c r="J400" s="110"/>
      <c r="K400" s="110"/>
      <c r="L400" s="110"/>
    </row>
    <row r="401">
      <c r="A401" s="109"/>
      <c r="J401" s="110"/>
      <c r="K401" s="110"/>
      <c r="L401" s="110"/>
    </row>
    <row r="402">
      <c r="A402" s="109"/>
      <c r="J402" s="110"/>
      <c r="K402" s="110"/>
      <c r="L402" s="110"/>
    </row>
    <row r="403">
      <c r="A403" s="109"/>
      <c r="J403" s="110"/>
      <c r="K403" s="110"/>
      <c r="L403" s="110"/>
    </row>
    <row r="404">
      <c r="A404" s="109"/>
      <c r="J404" s="110"/>
      <c r="K404" s="110"/>
      <c r="L404" s="110"/>
    </row>
    <row r="405">
      <c r="A405" s="109"/>
      <c r="J405" s="110"/>
      <c r="K405" s="110"/>
      <c r="L405" s="110"/>
    </row>
    <row r="406">
      <c r="A406" s="109"/>
      <c r="J406" s="110"/>
      <c r="K406" s="110"/>
      <c r="L406" s="110"/>
    </row>
    <row r="407">
      <c r="A407" s="109"/>
      <c r="J407" s="110"/>
      <c r="K407" s="110"/>
      <c r="L407" s="110"/>
    </row>
    <row r="408">
      <c r="A408" s="109"/>
      <c r="J408" s="110"/>
      <c r="K408" s="110"/>
      <c r="L408" s="110"/>
    </row>
    <row r="409">
      <c r="A409" s="109"/>
      <c r="J409" s="110"/>
      <c r="K409" s="110"/>
      <c r="L409" s="110"/>
    </row>
    <row r="410">
      <c r="A410" s="109"/>
      <c r="J410" s="110"/>
      <c r="K410" s="110"/>
      <c r="L410" s="110"/>
    </row>
    <row r="411">
      <c r="A411" s="109"/>
      <c r="J411" s="110"/>
      <c r="K411" s="110"/>
      <c r="L411" s="110"/>
    </row>
    <row r="412">
      <c r="A412" s="109"/>
      <c r="J412" s="110"/>
      <c r="K412" s="110"/>
      <c r="L412" s="110"/>
    </row>
    <row r="413">
      <c r="A413" s="109"/>
      <c r="J413" s="110"/>
      <c r="K413" s="110"/>
      <c r="L413" s="110"/>
    </row>
    <row r="414">
      <c r="A414" s="109"/>
      <c r="J414" s="110"/>
      <c r="K414" s="110"/>
      <c r="L414" s="110"/>
    </row>
    <row r="415">
      <c r="A415" s="109"/>
      <c r="J415" s="110"/>
      <c r="K415" s="110"/>
      <c r="L415" s="110"/>
    </row>
    <row r="416">
      <c r="A416" s="109"/>
      <c r="J416" s="110"/>
      <c r="K416" s="110"/>
      <c r="L416" s="110"/>
    </row>
    <row r="417">
      <c r="A417" s="109"/>
      <c r="J417" s="110"/>
      <c r="K417" s="110"/>
      <c r="L417" s="110"/>
    </row>
    <row r="418">
      <c r="A418" s="109"/>
      <c r="J418" s="110"/>
      <c r="K418" s="110"/>
      <c r="L418" s="110"/>
    </row>
    <row r="419">
      <c r="A419" s="109"/>
      <c r="J419" s="110"/>
      <c r="K419" s="110"/>
      <c r="L419" s="110"/>
    </row>
    <row r="420">
      <c r="A420" s="109"/>
      <c r="J420" s="110"/>
      <c r="K420" s="110"/>
      <c r="L420" s="110"/>
    </row>
    <row r="421">
      <c r="A421" s="109"/>
      <c r="J421" s="110"/>
      <c r="K421" s="110"/>
      <c r="L421" s="110"/>
    </row>
    <row r="422">
      <c r="A422" s="109"/>
      <c r="J422" s="110"/>
      <c r="K422" s="110"/>
      <c r="L422" s="110"/>
    </row>
    <row r="423">
      <c r="A423" s="109"/>
      <c r="J423" s="110"/>
      <c r="K423" s="110"/>
      <c r="L423" s="110"/>
    </row>
    <row r="424">
      <c r="A424" s="109"/>
      <c r="J424" s="110"/>
      <c r="K424" s="110"/>
      <c r="L424" s="110"/>
    </row>
    <row r="425">
      <c r="A425" s="109"/>
      <c r="J425" s="110"/>
      <c r="K425" s="110"/>
      <c r="L425" s="110"/>
    </row>
    <row r="426">
      <c r="A426" s="109"/>
      <c r="J426" s="110"/>
      <c r="K426" s="110"/>
      <c r="L426" s="110"/>
    </row>
    <row r="427">
      <c r="A427" s="109"/>
      <c r="J427" s="110"/>
      <c r="K427" s="110"/>
      <c r="L427" s="110"/>
    </row>
    <row r="428">
      <c r="A428" s="109"/>
      <c r="J428" s="110"/>
      <c r="K428" s="110"/>
      <c r="L428" s="110"/>
    </row>
    <row r="429">
      <c r="A429" s="109"/>
      <c r="J429" s="110"/>
      <c r="K429" s="110"/>
      <c r="L429" s="110"/>
    </row>
    <row r="430">
      <c r="A430" s="109"/>
      <c r="J430" s="110"/>
      <c r="K430" s="110"/>
      <c r="L430" s="110"/>
    </row>
    <row r="431">
      <c r="A431" s="109"/>
      <c r="J431" s="110"/>
      <c r="K431" s="110"/>
      <c r="L431" s="110"/>
    </row>
    <row r="432">
      <c r="A432" s="109"/>
      <c r="J432" s="110"/>
      <c r="K432" s="110"/>
      <c r="L432" s="110"/>
    </row>
    <row r="433">
      <c r="A433" s="109"/>
      <c r="J433" s="110"/>
      <c r="K433" s="110"/>
      <c r="L433" s="110"/>
    </row>
    <row r="434">
      <c r="A434" s="109"/>
      <c r="J434" s="110"/>
      <c r="K434" s="110"/>
      <c r="L434" s="110"/>
    </row>
    <row r="435">
      <c r="A435" s="109"/>
      <c r="J435" s="110"/>
      <c r="K435" s="110"/>
      <c r="L435" s="110"/>
    </row>
    <row r="436">
      <c r="A436" s="109"/>
      <c r="J436" s="110"/>
      <c r="K436" s="110"/>
      <c r="L436" s="110"/>
    </row>
    <row r="437">
      <c r="A437" s="109"/>
      <c r="J437" s="110"/>
      <c r="K437" s="110"/>
      <c r="L437" s="110"/>
    </row>
    <row r="438">
      <c r="A438" s="109"/>
      <c r="J438" s="110"/>
      <c r="K438" s="110"/>
      <c r="L438" s="110"/>
    </row>
    <row r="439">
      <c r="A439" s="109"/>
      <c r="J439" s="110"/>
      <c r="K439" s="110"/>
      <c r="L439" s="110"/>
    </row>
    <row r="440">
      <c r="A440" s="109"/>
      <c r="J440" s="110"/>
      <c r="K440" s="110"/>
      <c r="L440" s="110"/>
    </row>
    <row r="441">
      <c r="A441" s="109"/>
      <c r="J441" s="110"/>
      <c r="K441" s="110"/>
      <c r="L441" s="110"/>
    </row>
    <row r="442">
      <c r="A442" s="109"/>
      <c r="J442" s="110"/>
      <c r="K442" s="110"/>
      <c r="L442" s="110"/>
    </row>
    <row r="443">
      <c r="A443" s="109"/>
      <c r="J443" s="110"/>
      <c r="K443" s="110"/>
      <c r="L443" s="110"/>
    </row>
    <row r="444">
      <c r="A444" s="109"/>
      <c r="J444" s="110"/>
      <c r="K444" s="110"/>
      <c r="L444" s="110"/>
    </row>
    <row r="445">
      <c r="A445" s="109"/>
      <c r="J445" s="110"/>
      <c r="K445" s="110"/>
      <c r="L445" s="110"/>
    </row>
    <row r="446">
      <c r="A446" s="109"/>
      <c r="J446" s="110"/>
      <c r="K446" s="110"/>
      <c r="L446" s="110"/>
    </row>
    <row r="447">
      <c r="A447" s="109"/>
      <c r="J447" s="110"/>
      <c r="K447" s="110"/>
      <c r="L447" s="110"/>
    </row>
    <row r="448">
      <c r="A448" s="109"/>
      <c r="J448" s="110"/>
      <c r="K448" s="110"/>
      <c r="L448" s="110"/>
    </row>
    <row r="449">
      <c r="A449" s="109"/>
      <c r="J449" s="110"/>
      <c r="K449" s="110"/>
      <c r="L449" s="110"/>
    </row>
    <row r="450">
      <c r="A450" s="109"/>
      <c r="J450" s="110"/>
      <c r="K450" s="110"/>
      <c r="L450" s="110"/>
    </row>
    <row r="451">
      <c r="A451" s="109"/>
      <c r="J451" s="110"/>
      <c r="K451" s="110"/>
      <c r="L451" s="110"/>
    </row>
    <row r="452">
      <c r="A452" s="109"/>
      <c r="J452" s="110"/>
      <c r="K452" s="110"/>
      <c r="L452" s="110"/>
    </row>
    <row r="453">
      <c r="A453" s="109"/>
      <c r="J453" s="110"/>
      <c r="K453" s="110"/>
      <c r="L453" s="110"/>
    </row>
    <row r="454">
      <c r="A454" s="109"/>
      <c r="J454" s="110"/>
      <c r="K454" s="110"/>
      <c r="L454" s="110"/>
    </row>
    <row r="455">
      <c r="A455" s="109"/>
      <c r="J455" s="110"/>
      <c r="K455" s="110"/>
      <c r="L455" s="110"/>
    </row>
    <row r="456">
      <c r="A456" s="109"/>
      <c r="J456" s="110"/>
      <c r="K456" s="110"/>
      <c r="L456" s="110"/>
    </row>
    <row r="457">
      <c r="A457" s="109"/>
      <c r="J457" s="110"/>
      <c r="K457" s="110"/>
      <c r="L457" s="110"/>
    </row>
    <row r="458">
      <c r="A458" s="109"/>
      <c r="J458" s="110"/>
      <c r="K458" s="110"/>
      <c r="L458" s="110"/>
    </row>
    <row r="459">
      <c r="A459" s="109"/>
      <c r="J459" s="110"/>
      <c r="K459" s="110"/>
      <c r="L459" s="110"/>
    </row>
    <row r="460">
      <c r="A460" s="109"/>
      <c r="J460" s="110"/>
      <c r="K460" s="110"/>
      <c r="L460" s="110"/>
    </row>
    <row r="461">
      <c r="A461" s="109"/>
      <c r="J461" s="110"/>
      <c r="K461" s="110"/>
      <c r="L461" s="110"/>
    </row>
    <row r="462">
      <c r="A462" s="109"/>
      <c r="J462" s="110"/>
      <c r="K462" s="110"/>
      <c r="L462" s="110"/>
    </row>
    <row r="463">
      <c r="A463" s="109"/>
      <c r="J463" s="110"/>
      <c r="K463" s="110"/>
      <c r="L463" s="110"/>
    </row>
    <row r="464">
      <c r="A464" s="109"/>
      <c r="J464" s="110"/>
      <c r="K464" s="110"/>
      <c r="L464" s="110"/>
    </row>
    <row r="465">
      <c r="A465" s="109"/>
      <c r="J465" s="110"/>
      <c r="K465" s="110"/>
      <c r="L465" s="110"/>
    </row>
    <row r="466">
      <c r="A466" s="109"/>
      <c r="J466" s="110"/>
      <c r="K466" s="110"/>
      <c r="L466" s="110"/>
    </row>
    <row r="467">
      <c r="A467" s="109"/>
      <c r="J467" s="110"/>
      <c r="K467" s="110"/>
      <c r="L467" s="110"/>
    </row>
    <row r="468">
      <c r="A468" s="109"/>
      <c r="J468" s="110"/>
      <c r="K468" s="110"/>
      <c r="L468" s="110"/>
    </row>
    <row r="469">
      <c r="A469" s="109"/>
      <c r="J469" s="110"/>
      <c r="K469" s="110"/>
      <c r="L469" s="110"/>
    </row>
    <row r="470">
      <c r="A470" s="109"/>
      <c r="J470" s="110"/>
      <c r="K470" s="110"/>
      <c r="L470" s="110"/>
    </row>
    <row r="471">
      <c r="A471" s="109"/>
      <c r="J471" s="110"/>
      <c r="K471" s="110"/>
      <c r="L471" s="110"/>
    </row>
    <row r="472">
      <c r="A472" s="109"/>
      <c r="J472" s="110"/>
      <c r="K472" s="110"/>
      <c r="L472" s="110"/>
    </row>
    <row r="473">
      <c r="A473" s="109"/>
      <c r="J473" s="110"/>
      <c r="K473" s="110"/>
      <c r="L473" s="110"/>
    </row>
    <row r="474">
      <c r="A474" s="109"/>
      <c r="J474" s="110"/>
      <c r="K474" s="110"/>
      <c r="L474" s="110"/>
    </row>
    <row r="475">
      <c r="A475" s="109"/>
      <c r="J475" s="110"/>
      <c r="K475" s="110"/>
      <c r="L475" s="110"/>
    </row>
    <row r="476">
      <c r="A476" s="109"/>
      <c r="J476" s="110"/>
      <c r="K476" s="110"/>
      <c r="L476" s="110"/>
    </row>
    <row r="477">
      <c r="A477" s="109"/>
      <c r="J477" s="110"/>
      <c r="K477" s="110"/>
      <c r="L477" s="110"/>
    </row>
    <row r="478">
      <c r="A478" s="109"/>
      <c r="J478" s="110"/>
      <c r="K478" s="110"/>
      <c r="L478" s="110"/>
    </row>
    <row r="479">
      <c r="A479" s="109"/>
      <c r="J479" s="110"/>
      <c r="K479" s="110"/>
      <c r="L479" s="110"/>
    </row>
    <row r="480">
      <c r="A480" s="109"/>
      <c r="J480" s="110"/>
      <c r="K480" s="110"/>
      <c r="L480" s="110"/>
    </row>
    <row r="481">
      <c r="A481" s="109"/>
      <c r="J481" s="110"/>
      <c r="K481" s="110"/>
      <c r="L481" s="110"/>
    </row>
    <row r="482">
      <c r="A482" s="109"/>
      <c r="J482" s="110"/>
      <c r="K482" s="110"/>
      <c r="L482" s="110"/>
    </row>
    <row r="483">
      <c r="A483" s="109"/>
      <c r="J483" s="110"/>
      <c r="K483" s="110"/>
      <c r="L483" s="110"/>
    </row>
    <row r="484">
      <c r="A484" s="109"/>
      <c r="J484" s="110"/>
      <c r="K484" s="110"/>
      <c r="L484" s="110"/>
    </row>
    <row r="485">
      <c r="A485" s="109"/>
      <c r="J485" s="110"/>
      <c r="K485" s="110"/>
      <c r="L485" s="110"/>
    </row>
    <row r="486">
      <c r="A486" s="109"/>
      <c r="J486" s="110"/>
      <c r="K486" s="110"/>
      <c r="L486" s="110"/>
    </row>
    <row r="487">
      <c r="A487" s="109"/>
      <c r="J487" s="110"/>
      <c r="K487" s="110"/>
      <c r="L487" s="110"/>
    </row>
    <row r="488">
      <c r="A488" s="109"/>
      <c r="J488" s="110"/>
      <c r="K488" s="110"/>
      <c r="L488" s="110"/>
    </row>
    <row r="489">
      <c r="A489" s="109"/>
      <c r="J489" s="110"/>
      <c r="K489" s="110"/>
      <c r="L489" s="110"/>
    </row>
    <row r="490">
      <c r="A490" s="109"/>
      <c r="J490" s="110"/>
      <c r="K490" s="110"/>
      <c r="L490" s="110"/>
    </row>
    <row r="491">
      <c r="A491" s="109"/>
      <c r="J491" s="110"/>
      <c r="K491" s="110"/>
      <c r="L491" s="110"/>
    </row>
    <row r="492">
      <c r="A492" s="109"/>
      <c r="J492" s="110"/>
      <c r="K492" s="110"/>
      <c r="L492" s="110"/>
    </row>
    <row r="493">
      <c r="A493" s="109"/>
      <c r="J493" s="110"/>
      <c r="K493" s="110"/>
      <c r="L493" s="110"/>
    </row>
    <row r="494">
      <c r="A494" s="109"/>
      <c r="J494" s="110"/>
      <c r="K494" s="110"/>
      <c r="L494" s="110"/>
    </row>
    <row r="495">
      <c r="A495" s="109"/>
      <c r="J495" s="110"/>
      <c r="K495" s="110"/>
      <c r="L495" s="110"/>
    </row>
    <row r="496">
      <c r="A496" s="109"/>
      <c r="J496" s="110"/>
      <c r="K496" s="110"/>
      <c r="L496" s="110"/>
    </row>
    <row r="497">
      <c r="A497" s="109"/>
      <c r="J497" s="110"/>
      <c r="K497" s="110"/>
      <c r="L497" s="110"/>
    </row>
    <row r="498">
      <c r="A498" s="109"/>
      <c r="J498" s="110"/>
      <c r="K498" s="110"/>
      <c r="L498" s="110"/>
    </row>
    <row r="499">
      <c r="A499" s="109"/>
      <c r="J499" s="110"/>
      <c r="K499" s="110"/>
      <c r="L499" s="110"/>
    </row>
    <row r="500">
      <c r="A500" s="109"/>
      <c r="J500" s="110"/>
      <c r="K500" s="110"/>
      <c r="L500" s="110"/>
    </row>
    <row r="501">
      <c r="A501" s="109"/>
      <c r="J501" s="110"/>
      <c r="K501" s="110"/>
      <c r="L501" s="110"/>
    </row>
    <row r="502">
      <c r="A502" s="109"/>
      <c r="J502" s="110"/>
      <c r="K502" s="110"/>
      <c r="L502" s="110"/>
    </row>
    <row r="503">
      <c r="A503" s="109"/>
      <c r="J503" s="110"/>
      <c r="K503" s="110"/>
      <c r="L503" s="110"/>
    </row>
    <row r="504">
      <c r="A504" s="109"/>
      <c r="J504" s="110"/>
      <c r="K504" s="110"/>
      <c r="L504" s="110"/>
    </row>
    <row r="505">
      <c r="A505" s="109"/>
      <c r="J505" s="110"/>
      <c r="K505" s="110"/>
      <c r="L505" s="110"/>
    </row>
    <row r="506">
      <c r="A506" s="109"/>
      <c r="J506" s="110"/>
      <c r="K506" s="110"/>
      <c r="L506" s="110"/>
    </row>
    <row r="507">
      <c r="A507" s="109"/>
      <c r="J507" s="110"/>
      <c r="K507" s="110"/>
      <c r="L507" s="110"/>
    </row>
    <row r="508">
      <c r="A508" s="109"/>
      <c r="J508" s="110"/>
      <c r="K508" s="110"/>
      <c r="L508" s="110"/>
    </row>
    <row r="509">
      <c r="A509" s="109"/>
      <c r="J509" s="110"/>
      <c r="K509" s="110"/>
      <c r="L509" s="110"/>
    </row>
    <row r="510">
      <c r="A510" s="109"/>
      <c r="J510" s="110"/>
      <c r="K510" s="110"/>
      <c r="L510" s="110"/>
    </row>
    <row r="511">
      <c r="A511" s="109"/>
      <c r="J511" s="110"/>
      <c r="K511" s="110"/>
      <c r="L511" s="110"/>
    </row>
    <row r="512">
      <c r="A512" s="109"/>
      <c r="J512" s="110"/>
      <c r="K512" s="110"/>
      <c r="L512" s="110"/>
    </row>
    <row r="513">
      <c r="A513" s="109"/>
      <c r="J513" s="110"/>
      <c r="K513" s="110"/>
      <c r="L513" s="110"/>
    </row>
    <row r="514">
      <c r="A514" s="109"/>
      <c r="J514" s="110"/>
      <c r="K514" s="110"/>
      <c r="L514" s="110"/>
    </row>
    <row r="515">
      <c r="A515" s="109"/>
      <c r="J515" s="110"/>
      <c r="K515" s="110"/>
      <c r="L515" s="110"/>
    </row>
    <row r="516">
      <c r="A516" s="109"/>
      <c r="J516" s="110"/>
      <c r="K516" s="110"/>
      <c r="L516" s="110"/>
    </row>
    <row r="517">
      <c r="A517" s="109"/>
      <c r="J517" s="110"/>
      <c r="K517" s="110"/>
      <c r="L517" s="110"/>
    </row>
    <row r="518">
      <c r="A518" s="109"/>
      <c r="J518" s="110"/>
      <c r="K518" s="110"/>
      <c r="L518" s="110"/>
    </row>
    <row r="519">
      <c r="A519" s="109"/>
      <c r="J519" s="110"/>
      <c r="K519" s="110"/>
      <c r="L519" s="110"/>
    </row>
    <row r="520">
      <c r="A520" s="109"/>
      <c r="J520" s="110"/>
      <c r="K520" s="110"/>
      <c r="L520" s="110"/>
    </row>
    <row r="521">
      <c r="A521" s="109"/>
      <c r="J521" s="110"/>
      <c r="K521" s="110"/>
      <c r="L521" s="110"/>
    </row>
    <row r="522">
      <c r="A522" s="109"/>
      <c r="J522" s="110"/>
      <c r="K522" s="110"/>
      <c r="L522" s="110"/>
    </row>
    <row r="523">
      <c r="A523" s="109"/>
      <c r="J523" s="110"/>
      <c r="K523" s="110"/>
      <c r="L523" s="110"/>
    </row>
    <row r="524">
      <c r="A524" s="109"/>
      <c r="J524" s="110"/>
      <c r="K524" s="110"/>
      <c r="L524" s="110"/>
    </row>
    <row r="525">
      <c r="A525" s="109"/>
      <c r="J525" s="110"/>
      <c r="K525" s="110"/>
      <c r="L525" s="110"/>
    </row>
    <row r="526">
      <c r="A526" s="109"/>
      <c r="J526" s="110"/>
      <c r="K526" s="110"/>
      <c r="L526" s="110"/>
    </row>
    <row r="527">
      <c r="A527" s="109"/>
      <c r="J527" s="110"/>
      <c r="K527" s="110"/>
      <c r="L527" s="110"/>
    </row>
    <row r="528">
      <c r="A528" s="109"/>
      <c r="J528" s="110"/>
      <c r="K528" s="110"/>
      <c r="L528" s="110"/>
    </row>
    <row r="529">
      <c r="A529" s="109"/>
      <c r="J529" s="110"/>
      <c r="K529" s="110"/>
      <c r="L529" s="110"/>
    </row>
    <row r="530">
      <c r="A530" s="109"/>
      <c r="J530" s="110"/>
      <c r="K530" s="110"/>
      <c r="L530" s="110"/>
    </row>
    <row r="531">
      <c r="A531" s="109"/>
      <c r="J531" s="110"/>
      <c r="K531" s="110"/>
      <c r="L531" s="110"/>
    </row>
    <row r="532">
      <c r="A532" s="109"/>
      <c r="J532" s="110"/>
      <c r="K532" s="110"/>
      <c r="L532" s="110"/>
    </row>
    <row r="533">
      <c r="A533" s="109"/>
      <c r="J533" s="110"/>
      <c r="K533" s="110"/>
      <c r="L533" s="110"/>
    </row>
    <row r="534">
      <c r="A534" s="109"/>
      <c r="J534" s="110"/>
      <c r="K534" s="110"/>
      <c r="L534" s="110"/>
    </row>
    <row r="535">
      <c r="A535" s="109"/>
      <c r="J535" s="110"/>
      <c r="K535" s="110"/>
      <c r="L535" s="110"/>
    </row>
    <row r="536">
      <c r="A536" s="109"/>
      <c r="J536" s="110"/>
      <c r="K536" s="110"/>
      <c r="L536" s="110"/>
    </row>
    <row r="537">
      <c r="A537" s="109"/>
      <c r="J537" s="110"/>
      <c r="K537" s="110"/>
      <c r="L537" s="110"/>
    </row>
    <row r="538">
      <c r="A538" s="109"/>
      <c r="J538" s="110"/>
      <c r="K538" s="110"/>
      <c r="L538" s="110"/>
    </row>
    <row r="539">
      <c r="A539" s="109"/>
      <c r="J539" s="110"/>
      <c r="K539" s="110"/>
      <c r="L539" s="110"/>
    </row>
    <row r="540">
      <c r="A540" s="109"/>
      <c r="J540" s="110"/>
      <c r="K540" s="110"/>
      <c r="L540" s="110"/>
    </row>
    <row r="541">
      <c r="A541" s="109"/>
      <c r="J541" s="110"/>
      <c r="K541" s="110"/>
      <c r="L541" s="110"/>
    </row>
    <row r="542">
      <c r="A542" s="109"/>
      <c r="J542" s="110"/>
      <c r="K542" s="110"/>
      <c r="L542" s="110"/>
    </row>
    <row r="543">
      <c r="A543" s="109"/>
      <c r="J543" s="110"/>
      <c r="K543" s="110"/>
      <c r="L543" s="110"/>
    </row>
    <row r="544">
      <c r="A544" s="109"/>
      <c r="J544" s="110"/>
      <c r="K544" s="110"/>
      <c r="L544" s="110"/>
    </row>
    <row r="545">
      <c r="A545" s="109"/>
      <c r="J545" s="110"/>
      <c r="K545" s="110"/>
      <c r="L545" s="110"/>
    </row>
    <row r="546">
      <c r="A546" s="109"/>
      <c r="J546" s="110"/>
      <c r="K546" s="110"/>
      <c r="L546" s="110"/>
    </row>
    <row r="547">
      <c r="A547" s="109"/>
      <c r="J547" s="110"/>
      <c r="K547" s="110"/>
      <c r="L547" s="110"/>
    </row>
    <row r="548">
      <c r="A548" s="109"/>
      <c r="J548" s="110"/>
      <c r="K548" s="110"/>
      <c r="L548" s="110"/>
    </row>
    <row r="549">
      <c r="A549" s="109"/>
      <c r="J549" s="110"/>
      <c r="K549" s="110"/>
      <c r="L549" s="110"/>
    </row>
    <row r="550">
      <c r="A550" s="109"/>
      <c r="J550" s="110"/>
      <c r="K550" s="110"/>
      <c r="L550" s="110"/>
    </row>
    <row r="551">
      <c r="A551" s="109"/>
      <c r="J551" s="110"/>
      <c r="K551" s="110"/>
      <c r="L551" s="110"/>
    </row>
    <row r="552">
      <c r="A552" s="109"/>
      <c r="J552" s="110"/>
      <c r="K552" s="110"/>
      <c r="L552" s="110"/>
    </row>
    <row r="553">
      <c r="A553" s="109"/>
      <c r="J553" s="110"/>
      <c r="K553" s="110"/>
      <c r="L553" s="110"/>
    </row>
    <row r="554">
      <c r="A554" s="109"/>
      <c r="J554" s="110"/>
      <c r="K554" s="110"/>
      <c r="L554" s="110"/>
    </row>
    <row r="555">
      <c r="A555" s="109"/>
      <c r="J555" s="110"/>
      <c r="K555" s="110"/>
      <c r="L555" s="110"/>
    </row>
    <row r="556">
      <c r="A556" s="109"/>
      <c r="J556" s="110"/>
      <c r="K556" s="110"/>
      <c r="L556" s="110"/>
    </row>
    <row r="557">
      <c r="A557" s="109"/>
      <c r="J557" s="110"/>
      <c r="K557" s="110"/>
      <c r="L557" s="110"/>
    </row>
    <row r="558">
      <c r="A558" s="109"/>
      <c r="J558" s="110"/>
      <c r="K558" s="110"/>
      <c r="L558" s="110"/>
    </row>
    <row r="559">
      <c r="A559" s="109"/>
      <c r="J559" s="110"/>
      <c r="K559" s="110"/>
      <c r="L559" s="110"/>
    </row>
    <row r="560">
      <c r="A560" s="109"/>
      <c r="J560" s="110"/>
      <c r="K560" s="110"/>
      <c r="L560" s="110"/>
    </row>
    <row r="561">
      <c r="A561" s="109"/>
      <c r="J561" s="110"/>
      <c r="K561" s="110"/>
      <c r="L561" s="110"/>
    </row>
    <row r="562">
      <c r="A562" s="109"/>
      <c r="J562" s="110"/>
      <c r="K562" s="110"/>
      <c r="L562" s="110"/>
    </row>
    <row r="563">
      <c r="A563" s="109"/>
      <c r="J563" s="110"/>
      <c r="K563" s="110"/>
      <c r="L563" s="110"/>
    </row>
    <row r="564">
      <c r="A564" s="109"/>
      <c r="J564" s="110"/>
      <c r="K564" s="110"/>
      <c r="L564" s="110"/>
    </row>
    <row r="565">
      <c r="A565" s="109"/>
      <c r="J565" s="110"/>
      <c r="K565" s="110"/>
      <c r="L565" s="110"/>
    </row>
    <row r="566">
      <c r="A566" s="109"/>
      <c r="J566" s="110"/>
      <c r="K566" s="110"/>
      <c r="L566" s="110"/>
    </row>
    <row r="567">
      <c r="A567" s="109"/>
      <c r="J567" s="110"/>
      <c r="K567" s="110"/>
      <c r="L567" s="110"/>
    </row>
    <row r="568">
      <c r="A568" s="109"/>
      <c r="J568" s="110"/>
      <c r="K568" s="110"/>
      <c r="L568" s="110"/>
    </row>
    <row r="569">
      <c r="A569" s="109"/>
      <c r="J569" s="110"/>
      <c r="K569" s="110"/>
      <c r="L569" s="110"/>
    </row>
    <row r="570">
      <c r="A570" s="109"/>
      <c r="J570" s="110"/>
      <c r="K570" s="110"/>
      <c r="L570" s="110"/>
    </row>
    <row r="571">
      <c r="A571" s="109"/>
      <c r="J571" s="110"/>
      <c r="K571" s="110"/>
      <c r="L571" s="110"/>
    </row>
    <row r="572">
      <c r="A572" s="109"/>
      <c r="J572" s="110"/>
      <c r="K572" s="110"/>
      <c r="L572" s="110"/>
    </row>
    <row r="573">
      <c r="A573" s="109"/>
      <c r="J573" s="110"/>
      <c r="K573" s="110"/>
      <c r="L573" s="110"/>
    </row>
    <row r="574">
      <c r="A574" s="109"/>
      <c r="J574" s="110"/>
      <c r="K574" s="110"/>
      <c r="L574" s="110"/>
    </row>
    <row r="575">
      <c r="A575" s="109"/>
      <c r="J575" s="110"/>
      <c r="K575" s="110"/>
      <c r="L575" s="110"/>
    </row>
    <row r="576">
      <c r="A576" s="109"/>
      <c r="J576" s="110"/>
      <c r="K576" s="110"/>
      <c r="L576" s="110"/>
    </row>
    <row r="577">
      <c r="A577" s="109"/>
      <c r="J577" s="110"/>
      <c r="K577" s="110"/>
      <c r="L577" s="110"/>
    </row>
    <row r="578">
      <c r="A578" s="109"/>
      <c r="J578" s="110"/>
      <c r="K578" s="110"/>
      <c r="L578" s="110"/>
    </row>
    <row r="579">
      <c r="A579" s="109"/>
      <c r="J579" s="110"/>
      <c r="K579" s="110"/>
      <c r="L579" s="110"/>
    </row>
    <row r="580">
      <c r="A580" s="109"/>
      <c r="J580" s="110"/>
      <c r="K580" s="110"/>
      <c r="L580" s="110"/>
    </row>
    <row r="581">
      <c r="A581" s="109"/>
      <c r="J581" s="110"/>
      <c r="K581" s="110"/>
      <c r="L581" s="110"/>
    </row>
    <row r="582">
      <c r="A582" s="109"/>
      <c r="J582" s="110"/>
      <c r="K582" s="110"/>
      <c r="L582" s="110"/>
    </row>
    <row r="583">
      <c r="A583" s="109"/>
      <c r="J583" s="110"/>
      <c r="K583" s="110"/>
      <c r="L583" s="110"/>
    </row>
    <row r="584">
      <c r="A584" s="109"/>
      <c r="J584" s="110"/>
      <c r="K584" s="110"/>
      <c r="L584" s="110"/>
    </row>
    <row r="585">
      <c r="A585" s="109"/>
      <c r="J585" s="110"/>
      <c r="K585" s="110"/>
      <c r="L585" s="110"/>
    </row>
    <row r="586">
      <c r="A586" s="109"/>
      <c r="J586" s="110"/>
      <c r="K586" s="110"/>
      <c r="L586" s="110"/>
    </row>
    <row r="587">
      <c r="A587" s="109"/>
      <c r="J587" s="110"/>
      <c r="K587" s="110"/>
      <c r="L587" s="110"/>
    </row>
    <row r="588">
      <c r="A588" s="109"/>
      <c r="J588" s="110"/>
      <c r="K588" s="110"/>
      <c r="L588" s="110"/>
    </row>
    <row r="589">
      <c r="A589" s="109"/>
      <c r="J589" s="110"/>
      <c r="K589" s="110"/>
      <c r="L589" s="110"/>
    </row>
    <row r="590">
      <c r="A590" s="109"/>
      <c r="J590" s="110"/>
      <c r="K590" s="110"/>
      <c r="L590" s="110"/>
    </row>
    <row r="591">
      <c r="A591" s="109"/>
      <c r="J591" s="110"/>
      <c r="K591" s="110"/>
      <c r="L591" s="110"/>
    </row>
    <row r="592">
      <c r="A592" s="109"/>
      <c r="J592" s="110"/>
      <c r="K592" s="110"/>
      <c r="L592" s="110"/>
    </row>
    <row r="593">
      <c r="A593" s="109"/>
      <c r="J593" s="110"/>
      <c r="K593" s="110"/>
      <c r="L593" s="110"/>
    </row>
    <row r="594">
      <c r="A594" s="109"/>
      <c r="J594" s="110"/>
      <c r="K594" s="110"/>
      <c r="L594" s="110"/>
    </row>
    <row r="595">
      <c r="A595" s="109"/>
      <c r="J595" s="110"/>
      <c r="K595" s="110"/>
      <c r="L595" s="110"/>
    </row>
    <row r="596">
      <c r="A596" s="109"/>
      <c r="J596" s="110"/>
      <c r="K596" s="110"/>
      <c r="L596" s="110"/>
    </row>
    <row r="597">
      <c r="A597" s="109"/>
      <c r="J597" s="110"/>
      <c r="K597" s="110"/>
      <c r="L597" s="110"/>
    </row>
    <row r="598">
      <c r="A598" s="109"/>
      <c r="J598" s="110"/>
      <c r="K598" s="110"/>
      <c r="L598" s="110"/>
    </row>
    <row r="599">
      <c r="A599" s="109"/>
      <c r="J599" s="110"/>
      <c r="K599" s="110"/>
      <c r="L599" s="110"/>
    </row>
    <row r="600">
      <c r="A600" s="109"/>
      <c r="J600" s="110"/>
      <c r="K600" s="110"/>
      <c r="L600" s="110"/>
    </row>
    <row r="601">
      <c r="A601" s="109"/>
      <c r="J601" s="110"/>
      <c r="K601" s="110"/>
      <c r="L601" s="110"/>
    </row>
    <row r="602">
      <c r="A602" s="109"/>
      <c r="J602" s="110"/>
      <c r="K602" s="110"/>
      <c r="L602" s="110"/>
    </row>
    <row r="603">
      <c r="A603" s="109"/>
      <c r="J603" s="110"/>
      <c r="K603" s="110"/>
      <c r="L603" s="110"/>
    </row>
    <row r="604">
      <c r="A604" s="109"/>
      <c r="J604" s="110"/>
      <c r="K604" s="110"/>
      <c r="L604" s="110"/>
    </row>
    <row r="605">
      <c r="A605" s="109"/>
      <c r="J605" s="110"/>
      <c r="K605" s="110"/>
      <c r="L605" s="110"/>
    </row>
    <row r="606">
      <c r="A606" s="109"/>
      <c r="J606" s="110"/>
      <c r="K606" s="110"/>
      <c r="L606" s="110"/>
    </row>
    <row r="607">
      <c r="A607" s="109"/>
      <c r="J607" s="110"/>
      <c r="K607" s="110"/>
      <c r="L607" s="110"/>
    </row>
    <row r="608">
      <c r="A608" s="109"/>
      <c r="J608" s="110"/>
      <c r="K608" s="110"/>
      <c r="L608" s="110"/>
    </row>
    <row r="609">
      <c r="A609" s="109"/>
      <c r="J609" s="110"/>
      <c r="K609" s="110"/>
      <c r="L609" s="110"/>
    </row>
    <row r="610">
      <c r="A610" s="109"/>
      <c r="J610" s="110"/>
      <c r="K610" s="110"/>
      <c r="L610" s="110"/>
    </row>
    <row r="611">
      <c r="A611" s="109"/>
      <c r="J611" s="110"/>
      <c r="K611" s="110"/>
      <c r="L611" s="110"/>
    </row>
    <row r="612">
      <c r="A612" s="109"/>
      <c r="J612" s="110"/>
      <c r="K612" s="110"/>
      <c r="L612" s="110"/>
    </row>
    <row r="613">
      <c r="A613" s="109"/>
      <c r="J613" s="110"/>
      <c r="K613" s="110"/>
      <c r="L613" s="110"/>
    </row>
    <row r="614">
      <c r="A614" s="109"/>
      <c r="J614" s="110"/>
      <c r="K614" s="110"/>
      <c r="L614" s="110"/>
    </row>
    <row r="615">
      <c r="A615" s="109"/>
      <c r="J615" s="110"/>
      <c r="K615" s="110"/>
      <c r="L615" s="110"/>
    </row>
    <row r="616">
      <c r="A616" s="109"/>
      <c r="J616" s="110"/>
      <c r="K616" s="110"/>
      <c r="L616" s="110"/>
    </row>
    <row r="617">
      <c r="A617" s="109"/>
      <c r="J617" s="110"/>
      <c r="K617" s="110"/>
      <c r="L617" s="110"/>
    </row>
    <row r="618">
      <c r="A618" s="109"/>
      <c r="J618" s="110"/>
      <c r="K618" s="110"/>
      <c r="L618" s="110"/>
    </row>
    <row r="619">
      <c r="A619" s="109"/>
      <c r="J619" s="110"/>
      <c r="K619" s="110"/>
      <c r="L619" s="110"/>
    </row>
    <row r="620">
      <c r="A620" s="109"/>
      <c r="J620" s="110"/>
      <c r="K620" s="110"/>
      <c r="L620" s="110"/>
    </row>
    <row r="621">
      <c r="A621" s="109"/>
      <c r="J621" s="110"/>
      <c r="K621" s="110"/>
      <c r="L621" s="110"/>
    </row>
    <row r="622">
      <c r="A622" s="109"/>
      <c r="J622" s="110"/>
      <c r="K622" s="110"/>
      <c r="L622" s="110"/>
    </row>
    <row r="623">
      <c r="A623" s="109"/>
      <c r="J623" s="110"/>
      <c r="K623" s="110"/>
      <c r="L623" s="110"/>
    </row>
    <row r="624">
      <c r="A624" s="109"/>
      <c r="J624" s="110"/>
      <c r="K624" s="110"/>
      <c r="L624" s="110"/>
    </row>
    <row r="625">
      <c r="A625" s="109"/>
      <c r="J625" s="110"/>
      <c r="K625" s="110"/>
      <c r="L625" s="110"/>
    </row>
    <row r="626">
      <c r="A626" s="109"/>
      <c r="J626" s="110"/>
      <c r="K626" s="110"/>
      <c r="L626" s="110"/>
    </row>
    <row r="627">
      <c r="A627" s="109"/>
      <c r="J627" s="110"/>
      <c r="K627" s="110"/>
      <c r="L627" s="110"/>
    </row>
    <row r="628">
      <c r="A628" s="109"/>
      <c r="J628" s="110"/>
      <c r="K628" s="110"/>
      <c r="L628" s="110"/>
    </row>
    <row r="629">
      <c r="A629" s="109"/>
      <c r="J629" s="110"/>
      <c r="K629" s="110"/>
      <c r="L629" s="110"/>
    </row>
    <row r="630">
      <c r="A630" s="109"/>
      <c r="J630" s="110"/>
      <c r="K630" s="110"/>
      <c r="L630" s="110"/>
    </row>
    <row r="631">
      <c r="A631" s="109"/>
      <c r="J631" s="110"/>
      <c r="K631" s="110"/>
      <c r="L631" s="110"/>
    </row>
    <row r="632">
      <c r="A632" s="109"/>
      <c r="J632" s="110"/>
      <c r="K632" s="110"/>
      <c r="L632" s="110"/>
    </row>
    <row r="633">
      <c r="A633" s="109"/>
      <c r="J633" s="110"/>
      <c r="K633" s="110"/>
      <c r="L633" s="110"/>
    </row>
    <row r="634">
      <c r="A634" s="109"/>
      <c r="J634" s="110"/>
      <c r="K634" s="110"/>
      <c r="L634" s="110"/>
    </row>
    <row r="635">
      <c r="A635" s="109"/>
      <c r="J635" s="110"/>
      <c r="K635" s="110"/>
      <c r="L635" s="110"/>
    </row>
    <row r="636">
      <c r="A636" s="109"/>
      <c r="J636" s="110"/>
      <c r="K636" s="110"/>
      <c r="L636" s="110"/>
    </row>
    <row r="637">
      <c r="A637" s="109"/>
      <c r="J637" s="110"/>
      <c r="K637" s="110"/>
      <c r="L637" s="110"/>
    </row>
    <row r="638">
      <c r="A638" s="109"/>
      <c r="J638" s="110"/>
      <c r="K638" s="110"/>
      <c r="L638" s="110"/>
    </row>
    <row r="639">
      <c r="A639" s="109"/>
      <c r="J639" s="110"/>
      <c r="K639" s="110"/>
      <c r="L639" s="110"/>
    </row>
    <row r="640">
      <c r="A640" s="109"/>
      <c r="J640" s="110"/>
      <c r="K640" s="110"/>
      <c r="L640" s="110"/>
    </row>
    <row r="641">
      <c r="A641" s="109"/>
      <c r="J641" s="110"/>
      <c r="K641" s="110"/>
      <c r="L641" s="110"/>
    </row>
    <row r="642">
      <c r="A642" s="109"/>
      <c r="J642" s="110"/>
      <c r="K642" s="110"/>
      <c r="L642" s="110"/>
    </row>
    <row r="643">
      <c r="A643" s="109"/>
      <c r="J643" s="110"/>
      <c r="K643" s="110"/>
      <c r="L643" s="110"/>
    </row>
    <row r="644">
      <c r="A644" s="109"/>
      <c r="J644" s="110"/>
      <c r="K644" s="110"/>
      <c r="L644" s="110"/>
    </row>
    <row r="645">
      <c r="A645" s="109"/>
      <c r="J645" s="110"/>
      <c r="K645" s="110"/>
      <c r="L645" s="110"/>
    </row>
    <row r="646">
      <c r="A646" s="109"/>
      <c r="J646" s="110"/>
      <c r="K646" s="110"/>
      <c r="L646" s="110"/>
    </row>
    <row r="647">
      <c r="A647" s="109"/>
      <c r="J647" s="110"/>
      <c r="K647" s="110"/>
      <c r="L647" s="110"/>
    </row>
    <row r="648">
      <c r="A648" s="109"/>
      <c r="J648" s="110"/>
      <c r="K648" s="110"/>
      <c r="L648" s="110"/>
    </row>
    <row r="649">
      <c r="A649" s="109"/>
      <c r="J649" s="110"/>
      <c r="K649" s="110"/>
      <c r="L649" s="110"/>
    </row>
    <row r="650">
      <c r="A650" s="109"/>
      <c r="J650" s="110"/>
      <c r="K650" s="110"/>
      <c r="L650" s="110"/>
    </row>
    <row r="651">
      <c r="A651" s="109"/>
      <c r="J651" s="110"/>
      <c r="K651" s="110"/>
      <c r="L651" s="110"/>
    </row>
    <row r="652">
      <c r="A652" s="109"/>
      <c r="J652" s="110"/>
      <c r="K652" s="110"/>
      <c r="L652" s="110"/>
    </row>
    <row r="653">
      <c r="A653" s="109"/>
      <c r="J653" s="110"/>
      <c r="K653" s="110"/>
      <c r="L653" s="110"/>
    </row>
    <row r="654">
      <c r="A654" s="109"/>
      <c r="J654" s="110"/>
      <c r="K654" s="110"/>
      <c r="L654" s="110"/>
    </row>
    <row r="655">
      <c r="A655" s="109"/>
      <c r="J655" s="110"/>
      <c r="K655" s="110"/>
      <c r="L655" s="110"/>
    </row>
    <row r="656">
      <c r="A656" s="109"/>
      <c r="J656" s="110"/>
      <c r="K656" s="110"/>
      <c r="L656" s="110"/>
    </row>
    <row r="657">
      <c r="A657" s="109"/>
      <c r="J657" s="110"/>
      <c r="K657" s="110"/>
      <c r="L657" s="110"/>
    </row>
    <row r="658">
      <c r="A658" s="109"/>
      <c r="J658" s="110"/>
      <c r="K658" s="110"/>
      <c r="L658" s="110"/>
    </row>
    <row r="659">
      <c r="A659" s="109"/>
      <c r="J659" s="110"/>
      <c r="K659" s="110"/>
      <c r="L659" s="110"/>
    </row>
    <row r="660">
      <c r="A660" s="109"/>
      <c r="J660" s="110"/>
      <c r="K660" s="110"/>
      <c r="L660" s="110"/>
    </row>
    <row r="661">
      <c r="A661" s="109"/>
      <c r="J661" s="110"/>
      <c r="K661" s="110"/>
      <c r="L661" s="110"/>
    </row>
    <row r="662">
      <c r="A662" s="109"/>
      <c r="J662" s="110"/>
      <c r="K662" s="110"/>
      <c r="L662" s="110"/>
    </row>
    <row r="663">
      <c r="A663" s="109"/>
      <c r="J663" s="110"/>
      <c r="K663" s="110"/>
      <c r="L663" s="110"/>
    </row>
    <row r="664">
      <c r="A664" s="109"/>
      <c r="J664" s="110"/>
      <c r="K664" s="110"/>
      <c r="L664" s="110"/>
    </row>
    <row r="665">
      <c r="A665" s="109"/>
      <c r="J665" s="110"/>
      <c r="K665" s="110"/>
      <c r="L665" s="110"/>
    </row>
    <row r="666">
      <c r="A666" s="109"/>
      <c r="J666" s="110"/>
      <c r="K666" s="110"/>
      <c r="L666" s="110"/>
    </row>
    <row r="667">
      <c r="A667" s="109"/>
      <c r="J667" s="110"/>
      <c r="K667" s="110"/>
      <c r="L667" s="110"/>
    </row>
    <row r="668">
      <c r="A668" s="109"/>
      <c r="J668" s="110"/>
      <c r="K668" s="110"/>
      <c r="L668" s="110"/>
    </row>
    <row r="669">
      <c r="A669" s="109"/>
      <c r="J669" s="110"/>
      <c r="K669" s="110"/>
      <c r="L669" s="110"/>
    </row>
    <row r="670">
      <c r="A670" s="109"/>
      <c r="J670" s="110"/>
      <c r="K670" s="110"/>
      <c r="L670" s="110"/>
    </row>
    <row r="671">
      <c r="A671" s="109"/>
      <c r="J671" s="110"/>
      <c r="K671" s="110"/>
      <c r="L671" s="110"/>
    </row>
    <row r="672">
      <c r="A672" s="109"/>
      <c r="J672" s="110"/>
      <c r="K672" s="110"/>
      <c r="L672" s="110"/>
    </row>
    <row r="673">
      <c r="A673" s="109"/>
      <c r="J673" s="110"/>
      <c r="K673" s="110"/>
      <c r="L673" s="110"/>
    </row>
    <row r="674">
      <c r="A674" s="109"/>
      <c r="J674" s="110"/>
      <c r="K674" s="110"/>
      <c r="L674" s="110"/>
    </row>
    <row r="675">
      <c r="A675" s="109"/>
      <c r="J675" s="110"/>
      <c r="K675" s="110"/>
      <c r="L675" s="110"/>
    </row>
    <row r="676">
      <c r="A676" s="109"/>
      <c r="J676" s="110"/>
      <c r="K676" s="110"/>
      <c r="L676" s="110"/>
    </row>
    <row r="677">
      <c r="A677" s="109"/>
      <c r="J677" s="110"/>
      <c r="K677" s="110"/>
      <c r="L677" s="110"/>
    </row>
    <row r="678">
      <c r="A678" s="109"/>
      <c r="J678" s="110"/>
      <c r="K678" s="110"/>
      <c r="L678" s="110"/>
    </row>
    <row r="679">
      <c r="A679" s="109"/>
      <c r="J679" s="110"/>
      <c r="K679" s="110"/>
      <c r="L679" s="110"/>
    </row>
    <row r="680">
      <c r="A680" s="109"/>
      <c r="J680" s="110"/>
      <c r="K680" s="110"/>
      <c r="L680" s="110"/>
    </row>
    <row r="681">
      <c r="A681" s="109"/>
      <c r="J681" s="110"/>
      <c r="K681" s="110"/>
      <c r="L681" s="110"/>
    </row>
    <row r="682">
      <c r="A682" s="109"/>
      <c r="J682" s="110"/>
      <c r="K682" s="110"/>
      <c r="L682" s="110"/>
    </row>
    <row r="683">
      <c r="A683" s="109"/>
      <c r="J683" s="110"/>
      <c r="K683" s="110"/>
      <c r="L683" s="110"/>
    </row>
    <row r="684">
      <c r="A684" s="109"/>
      <c r="J684" s="110"/>
      <c r="K684" s="110"/>
      <c r="L684" s="110"/>
    </row>
    <row r="685">
      <c r="A685" s="109"/>
      <c r="J685" s="110"/>
      <c r="K685" s="110"/>
      <c r="L685" s="110"/>
    </row>
    <row r="686">
      <c r="A686" s="109"/>
      <c r="J686" s="110"/>
      <c r="K686" s="110"/>
      <c r="L686" s="110"/>
    </row>
    <row r="687">
      <c r="A687" s="109"/>
      <c r="J687" s="110"/>
      <c r="K687" s="110"/>
      <c r="L687" s="110"/>
    </row>
    <row r="688">
      <c r="A688" s="109"/>
      <c r="J688" s="110"/>
      <c r="K688" s="110"/>
      <c r="L688" s="110"/>
    </row>
    <row r="689">
      <c r="A689" s="109"/>
      <c r="J689" s="110"/>
      <c r="K689" s="110"/>
      <c r="L689" s="110"/>
    </row>
    <row r="690">
      <c r="A690" s="109"/>
      <c r="J690" s="110"/>
      <c r="K690" s="110"/>
      <c r="L690" s="110"/>
    </row>
    <row r="691">
      <c r="A691" s="109"/>
      <c r="J691" s="110"/>
      <c r="K691" s="110"/>
      <c r="L691" s="110"/>
    </row>
    <row r="692">
      <c r="A692" s="109"/>
      <c r="J692" s="110"/>
      <c r="K692" s="110"/>
      <c r="L692" s="110"/>
    </row>
    <row r="693">
      <c r="A693" s="109"/>
      <c r="J693" s="110"/>
      <c r="K693" s="110"/>
      <c r="L693" s="110"/>
    </row>
    <row r="694">
      <c r="A694" s="109"/>
      <c r="J694" s="110"/>
      <c r="K694" s="110"/>
      <c r="L694" s="110"/>
    </row>
    <row r="695">
      <c r="A695" s="109"/>
      <c r="J695" s="110"/>
      <c r="K695" s="110"/>
      <c r="L695" s="110"/>
    </row>
    <row r="696">
      <c r="A696" s="109"/>
      <c r="J696" s="110"/>
      <c r="K696" s="110"/>
      <c r="L696" s="110"/>
    </row>
    <row r="697">
      <c r="A697" s="109"/>
      <c r="J697" s="110"/>
      <c r="K697" s="110"/>
      <c r="L697" s="110"/>
    </row>
    <row r="698">
      <c r="A698" s="109"/>
      <c r="J698" s="110"/>
      <c r="K698" s="110"/>
      <c r="L698" s="110"/>
    </row>
    <row r="699">
      <c r="A699" s="109"/>
      <c r="J699" s="110"/>
      <c r="K699" s="110"/>
      <c r="L699" s="110"/>
    </row>
    <row r="700">
      <c r="A700" s="109"/>
      <c r="J700" s="110"/>
      <c r="K700" s="110"/>
      <c r="L700" s="110"/>
    </row>
    <row r="701">
      <c r="A701" s="109"/>
      <c r="J701" s="110"/>
      <c r="K701" s="110"/>
      <c r="L701" s="110"/>
    </row>
    <row r="702">
      <c r="A702" s="109"/>
      <c r="J702" s="110"/>
      <c r="K702" s="110"/>
      <c r="L702" s="110"/>
    </row>
    <row r="703">
      <c r="A703" s="109"/>
      <c r="J703" s="110"/>
      <c r="K703" s="110"/>
      <c r="L703" s="110"/>
    </row>
    <row r="704">
      <c r="A704" s="109"/>
      <c r="J704" s="110"/>
      <c r="K704" s="110"/>
      <c r="L704" s="110"/>
    </row>
    <row r="705">
      <c r="A705" s="109"/>
      <c r="J705" s="110"/>
      <c r="K705" s="110"/>
      <c r="L705" s="110"/>
    </row>
    <row r="706">
      <c r="A706" s="109"/>
      <c r="J706" s="110"/>
      <c r="K706" s="110"/>
      <c r="L706" s="110"/>
    </row>
    <row r="707">
      <c r="A707" s="109"/>
      <c r="J707" s="110"/>
      <c r="K707" s="110"/>
      <c r="L707" s="110"/>
    </row>
    <row r="708">
      <c r="A708" s="109"/>
      <c r="J708" s="110"/>
      <c r="K708" s="110"/>
      <c r="L708" s="110"/>
    </row>
    <row r="709">
      <c r="A709" s="109"/>
      <c r="J709" s="110"/>
      <c r="K709" s="110"/>
      <c r="L709" s="110"/>
    </row>
    <row r="710">
      <c r="A710" s="109"/>
      <c r="J710" s="110"/>
      <c r="K710" s="110"/>
      <c r="L710" s="110"/>
    </row>
    <row r="711">
      <c r="A711" s="109"/>
      <c r="J711" s="110"/>
      <c r="K711" s="110"/>
      <c r="L711" s="110"/>
    </row>
    <row r="712">
      <c r="A712" s="109"/>
      <c r="J712" s="110"/>
      <c r="K712" s="110"/>
      <c r="L712" s="110"/>
    </row>
    <row r="713">
      <c r="A713" s="109"/>
      <c r="J713" s="110"/>
      <c r="K713" s="110"/>
      <c r="L713" s="110"/>
    </row>
    <row r="714">
      <c r="A714" s="109"/>
      <c r="J714" s="110"/>
      <c r="K714" s="110"/>
      <c r="L714" s="110"/>
    </row>
    <row r="715">
      <c r="A715" s="109"/>
      <c r="J715" s="110"/>
      <c r="K715" s="110"/>
      <c r="L715" s="110"/>
    </row>
    <row r="716">
      <c r="A716" s="109"/>
      <c r="J716" s="110"/>
      <c r="K716" s="110"/>
      <c r="L716" s="110"/>
    </row>
    <row r="717">
      <c r="A717" s="109"/>
      <c r="J717" s="110"/>
      <c r="K717" s="110"/>
      <c r="L717" s="110"/>
    </row>
    <row r="718">
      <c r="A718" s="109"/>
      <c r="J718" s="110"/>
      <c r="K718" s="110"/>
      <c r="L718" s="110"/>
    </row>
    <row r="719">
      <c r="A719" s="109"/>
      <c r="J719" s="110"/>
      <c r="K719" s="110"/>
      <c r="L719" s="110"/>
    </row>
    <row r="720">
      <c r="A720" s="109"/>
      <c r="J720" s="110"/>
      <c r="K720" s="110"/>
      <c r="L720" s="110"/>
    </row>
    <row r="721">
      <c r="A721" s="109"/>
      <c r="J721" s="110"/>
      <c r="K721" s="110"/>
      <c r="L721" s="110"/>
    </row>
    <row r="722">
      <c r="A722" s="109"/>
      <c r="J722" s="110"/>
      <c r="K722" s="110"/>
      <c r="L722" s="110"/>
    </row>
    <row r="723">
      <c r="A723" s="109"/>
      <c r="J723" s="110"/>
      <c r="K723" s="110"/>
      <c r="L723" s="110"/>
    </row>
    <row r="724">
      <c r="A724" s="109"/>
      <c r="J724" s="110"/>
      <c r="K724" s="110"/>
      <c r="L724" s="110"/>
    </row>
    <row r="725">
      <c r="A725" s="109"/>
      <c r="J725" s="110"/>
      <c r="K725" s="110"/>
      <c r="L725" s="110"/>
    </row>
    <row r="726">
      <c r="A726" s="109"/>
      <c r="J726" s="110"/>
      <c r="K726" s="110"/>
      <c r="L726" s="110"/>
    </row>
    <row r="727">
      <c r="A727" s="109"/>
      <c r="J727" s="110"/>
      <c r="K727" s="110"/>
      <c r="L727" s="110"/>
    </row>
    <row r="728">
      <c r="A728" s="109"/>
      <c r="J728" s="110"/>
      <c r="K728" s="110"/>
      <c r="L728" s="110"/>
    </row>
    <row r="729">
      <c r="A729" s="109"/>
      <c r="J729" s="110"/>
      <c r="K729" s="110"/>
      <c r="L729" s="110"/>
    </row>
    <row r="730">
      <c r="A730" s="109"/>
      <c r="J730" s="110"/>
      <c r="K730" s="110"/>
      <c r="L730" s="110"/>
    </row>
    <row r="731">
      <c r="A731" s="109"/>
      <c r="J731" s="110"/>
      <c r="K731" s="110"/>
      <c r="L731" s="110"/>
    </row>
    <row r="732">
      <c r="A732" s="109"/>
      <c r="J732" s="110"/>
      <c r="K732" s="110"/>
      <c r="L732" s="110"/>
    </row>
    <row r="733">
      <c r="A733" s="109"/>
      <c r="J733" s="110"/>
      <c r="K733" s="110"/>
      <c r="L733" s="110"/>
    </row>
    <row r="734">
      <c r="A734" s="109"/>
      <c r="J734" s="110"/>
      <c r="K734" s="110"/>
      <c r="L734" s="110"/>
    </row>
    <row r="735">
      <c r="A735" s="109"/>
      <c r="J735" s="110"/>
      <c r="K735" s="110"/>
      <c r="L735" s="110"/>
    </row>
    <row r="736">
      <c r="A736" s="109"/>
      <c r="J736" s="110"/>
      <c r="K736" s="110"/>
      <c r="L736" s="110"/>
    </row>
    <row r="737">
      <c r="A737" s="109"/>
      <c r="J737" s="110"/>
      <c r="K737" s="110"/>
      <c r="L737" s="110"/>
    </row>
    <row r="738">
      <c r="A738" s="109"/>
      <c r="J738" s="110"/>
      <c r="K738" s="110"/>
      <c r="L738" s="110"/>
    </row>
    <row r="739">
      <c r="A739" s="109"/>
      <c r="J739" s="110"/>
      <c r="K739" s="110"/>
      <c r="L739" s="110"/>
    </row>
    <row r="740">
      <c r="A740" s="109"/>
      <c r="J740" s="110"/>
      <c r="K740" s="110"/>
      <c r="L740" s="110"/>
    </row>
    <row r="741">
      <c r="A741" s="109"/>
      <c r="J741" s="110"/>
      <c r="K741" s="110"/>
      <c r="L741" s="110"/>
    </row>
    <row r="742">
      <c r="A742" s="109"/>
      <c r="J742" s="110"/>
      <c r="K742" s="110"/>
      <c r="L742" s="110"/>
    </row>
    <row r="743">
      <c r="A743" s="109"/>
      <c r="J743" s="110"/>
      <c r="K743" s="110"/>
      <c r="L743" s="110"/>
    </row>
    <row r="744">
      <c r="A744" s="109"/>
      <c r="J744" s="110"/>
      <c r="K744" s="110"/>
      <c r="L744" s="110"/>
    </row>
    <row r="745">
      <c r="A745" s="109"/>
      <c r="J745" s="110"/>
      <c r="K745" s="110"/>
      <c r="L745" s="110"/>
    </row>
    <row r="746">
      <c r="A746" s="109"/>
      <c r="J746" s="110"/>
      <c r="K746" s="110"/>
      <c r="L746" s="110"/>
    </row>
    <row r="747">
      <c r="A747" s="109"/>
      <c r="J747" s="110"/>
      <c r="K747" s="110"/>
      <c r="L747" s="110"/>
    </row>
    <row r="748">
      <c r="A748" s="109"/>
      <c r="J748" s="110"/>
      <c r="K748" s="110"/>
      <c r="L748" s="110"/>
    </row>
    <row r="749">
      <c r="A749" s="109"/>
      <c r="J749" s="110"/>
      <c r="K749" s="110"/>
      <c r="L749" s="110"/>
    </row>
    <row r="750">
      <c r="A750" s="109"/>
      <c r="J750" s="110"/>
      <c r="K750" s="110"/>
      <c r="L750" s="110"/>
    </row>
    <row r="751">
      <c r="A751" s="109"/>
      <c r="J751" s="110"/>
      <c r="K751" s="110"/>
      <c r="L751" s="110"/>
    </row>
    <row r="752">
      <c r="A752" s="109"/>
      <c r="J752" s="110"/>
      <c r="K752" s="110"/>
      <c r="L752" s="110"/>
    </row>
    <row r="753">
      <c r="A753" s="109"/>
      <c r="J753" s="110"/>
      <c r="K753" s="110"/>
      <c r="L753" s="110"/>
    </row>
    <row r="754">
      <c r="A754" s="109"/>
      <c r="J754" s="110"/>
      <c r="K754" s="110"/>
      <c r="L754" s="110"/>
    </row>
    <row r="755">
      <c r="A755" s="109"/>
      <c r="J755" s="110"/>
      <c r="K755" s="110"/>
      <c r="L755" s="110"/>
    </row>
    <row r="756">
      <c r="A756" s="109"/>
      <c r="J756" s="110"/>
      <c r="K756" s="110"/>
      <c r="L756" s="110"/>
    </row>
    <row r="757">
      <c r="A757" s="109"/>
      <c r="J757" s="110"/>
      <c r="K757" s="110"/>
      <c r="L757" s="110"/>
    </row>
    <row r="758">
      <c r="A758" s="109"/>
      <c r="J758" s="110"/>
      <c r="K758" s="110"/>
      <c r="L758" s="110"/>
    </row>
    <row r="759">
      <c r="A759" s="109"/>
      <c r="J759" s="110"/>
      <c r="K759" s="110"/>
      <c r="L759" s="110"/>
    </row>
    <row r="760">
      <c r="A760" s="109"/>
      <c r="J760" s="110"/>
      <c r="K760" s="110"/>
      <c r="L760" s="110"/>
    </row>
    <row r="761">
      <c r="A761" s="109"/>
      <c r="J761" s="110"/>
      <c r="K761" s="110"/>
      <c r="L761" s="110"/>
    </row>
    <row r="762">
      <c r="A762" s="109"/>
      <c r="J762" s="110"/>
      <c r="K762" s="110"/>
      <c r="L762" s="110"/>
    </row>
    <row r="763">
      <c r="A763" s="109"/>
      <c r="J763" s="110"/>
      <c r="K763" s="110"/>
      <c r="L763" s="110"/>
    </row>
    <row r="764">
      <c r="A764" s="109"/>
      <c r="J764" s="110"/>
      <c r="K764" s="110"/>
      <c r="L764" s="110"/>
    </row>
    <row r="765">
      <c r="A765" s="109"/>
      <c r="J765" s="110"/>
      <c r="K765" s="110"/>
      <c r="L765" s="110"/>
    </row>
    <row r="766">
      <c r="A766" s="109"/>
      <c r="J766" s="110"/>
      <c r="K766" s="110"/>
      <c r="L766" s="110"/>
    </row>
    <row r="767">
      <c r="A767" s="109"/>
      <c r="J767" s="110"/>
      <c r="K767" s="110"/>
      <c r="L767" s="110"/>
    </row>
    <row r="768">
      <c r="A768" s="109"/>
      <c r="J768" s="110"/>
      <c r="K768" s="110"/>
      <c r="L768" s="110"/>
    </row>
    <row r="769">
      <c r="A769" s="109"/>
      <c r="J769" s="110"/>
      <c r="K769" s="110"/>
      <c r="L769" s="110"/>
    </row>
    <row r="770">
      <c r="A770" s="109"/>
      <c r="J770" s="110"/>
      <c r="K770" s="110"/>
      <c r="L770" s="110"/>
    </row>
    <row r="771">
      <c r="A771" s="109"/>
      <c r="J771" s="110"/>
      <c r="K771" s="110"/>
      <c r="L771" s="110"/>
    </row>
    <row r="772">
      <c r="A772" s="109"/>
      <c r="J772" s="110"/>
      <c r="K772" s="110"/>
      <c r="L772" s="110"/>
    </row>
    <row r="773">
      <c r="A773" s="109"/>
      <c r="J773" s="110"/>
      <c r="K773" s="110"/>
      <c r="L773" s="110"/>
    </row>
    <row r="774">
      <c r="A774" s="109"/>
      <c r="J774" s="110"/>
      <c r="K774" s="110"/>
      <c r="L774" s="110"/>
    </row>
    <row r="775">
      <c r="A775" s="109"/>
      <c r="J775" s="110"/>
      <c r="K775" s="110"/>
      <c r="L775" s="110"/>
    </row>
    <row r="776">
      <c r="A776" s="109"/>
      <c r="J776" s="110"/>
      <c r="K776" s="110"/>
      <c r="L776" s="110"/>
    </row>
    <row r="777">
      <c r="A777" s="109"/>
      <c r="J777" s="110"/>
      <c r="K777" s="110"/>
      <c r="L777" s="110"/>
    </row>
    <row r="778">
      <c r="A778" s="109"/>
      <c r="J778" s="110"/>
      <c r="K778" s="110"/>
      <c r="L778" s="110"/>
    </row>
    <row r="779">
      <c r="A779" s="109"/>
      <c r="J779" s="110"/>
      <c r="K779" s="110"/>
      <c r="L779" s="110"/>
    </row>
    <row r="780">
      <c r="A780" s="109"/>
      <c r="J780" s="110"/>
      <c r="K780" s="110"/>
      <c r="L780" s="110"/>
    </row>
    <row r="781">
      <c r="A781" s="109"/>
      <c r="J781" s="110"/>
      <c r="K781" s="110"/>
      <c r="L781" s="110"/>
    </row>
    <row r="782">
      <c r="A782" s="109"/>
      <c r="J782" s="110"/>
      <c r="K782" s="110"/>
      <c r="L782" s="110"/>
    </row>
    <row r="783">
      <c r="A783" s="109"/>
      <c r="J783" s="110"/>
      <c r="K783" s="110"/>
      <c r="L783" s="110"/>
    </row>
    <row r="784">
      <c r="A784" s="109"/>
      <c r="J784" s="110"/>
      <c r="K784" s="110"/>
      <c r="L784" s="110"/>
    </row>
    <row r="785">
      <c r="A785" s="109"/>
      <c r="J785" s="110"/>
      <c r="K785" s="110"/>
      <c r="L785" s="110"/>
    </row>
    <row r="786">
      <c r="A786" s="109"/>
      <c r="J786" s="110"/>
      <c r="K786" s="110"/>
      <c r="L786" s="110"/>
    </row>
    <row r="787">
      <c r="A787" s="109"/>
      <c r="J787" s="110"/>
      <c r="K787" s="110"/>
      <c r="L787" s="110"/>
    </row>
    <row r="788">
      <c r="A788" s="109"/>
      <c r="J788" s="110"/>
      <c r="K788" s="110"/>
      <c r="L788" s="110"/>
    </row>
    <row r="789">
      <c r="A789" s="109"/>
      <c r="J789" s="110"/>
      <c r="K789" s="110"/>
      <c r="L789" s="110"/>
    </row>
    <row r="790">
      <c r="A790" s="109"/>
      <c r="J790" s="110"/>
      <c r="K790" s="110"/>
      <c r="L790" s="110"/>
    </row>
    <row r="791">
      <c r="A791" s="109"/>
      <c r="J791" s="110"/>
      <c r="K791" s="110"/>
      <c r="L791" s="110"/>
    </row>
    <row r="792">
      <c r="A792" s="109"/>
      <c r="J792" s="110"/>
      <c r="K792" s="110"/>
      <c r="L792" s="110"/>
    </row>
    <row r="793">
      <c r="A793" s="109"/>
      <c r="J793" s="110"/>
      <c r="K793" s="110"/>
      <c r="L793" s="110"/>
    </row>
    <row r="794">
      <c r="A794" s="109"/>
      <c r="J794" s="110"/>
      <c r="K794" s="110"/>
      <c r="L794" s="110"/>
    </row>
    <row r="795">
      <c r="A795" s="109"/>
      <c r="J795" s="110"/>
      <c r="K795" s="110"/>
      <c r="L795" s="110"/>
    </row>
    <row r="796">
      <c r="A796" s="109"/>
      <c r="J796" s="110"/>
      <c r="K796" s="110"/>
      <c r="L796" s="110"/>
    </row>
    <row r="797">
      <c r="A797" s="109"/>
      <c r="J797" s="110"/>
      <c r="K797" s="110"/>
      <c r="L797" s="110"/>
    </row>
    <row r="798">
      <c r="A798" s="109"/>
      <c r="J798" s="110"/>
      <c r="K798" s="110"/>
      <c r="L798" s="110"/>
    </row>
    <row r="799">
      <c r="A799" s="109"/>
      <c r="J799" s="110"/>
      <c r="K799" s="110"/>
      <c r="L799" s="110"/>
    </row>
    <row r="800">
      <c r="A800" s="109"/>
      <c r="J800" s="110"/>
      <c r="K800" s="110"/>
      <c r="L800" s="110"/>
    </row>
    <row r="801">
      <c r="A801" s="109"/>
      <c r="J801" s="110"/>
      <c r="K801" s="110"/>
      <c r="L801" s="110"/>
    </row>
    <row r="802">
      <c r="A802" s="109"/>
      <c r="J802" s="110"/>
      <c r="K802" s="110"/>
      <c r="L802" s="110"/>
    </row>
    <row r="803">
      <c r="A803" s="109"/>
      <c r="J803" s="110"/>
      <c r="K803" s="110"/>
      <c r="L803" s="110"/>
    </row>
    <row r="804">
      <c r="A804" s="109"/>
      <c r="J804" s="110"/>
      <c r="K804" s="110"/>
      <c r="L804" s="110"/>
    </row>
    <row r="805">
      <c r="A805" s="109"/>
      <c r="J805" s="110"/>
      <c r="K805" s="110"/>
      <c r="L805" s="110"/>
    </row>
    <row r="806">
      <c r="A806" s="109"/>
      <c r="J806" s="110"/>
      <c r="K806" s="110"/>
      <c r="L806" s="110"/>
    </row>
    <row r="807">
      <c r="A807" s="109"/>
      <c r="J807" s="110"/>
      <c r="K807" s="110"/>
      <c r="L807" s="110"/>
    </row>
    <row r="808">
      <c r="A808" s="109"/>
      <c r="J808" s="110"/>
      <c r="K808" s="110"/>
      <c r="L808" s="110"/>
    </row>
    <row r="809">
      <c r="A809" s="109"/>
      <c r="J809" s="110"/>
      <c r="K809" s="110"/>
      <c r="L809" s="110"/>
    </row>
    <row r="810">
      <c r="A810" s="109"/>
      <c r="J810" s="110"/>
      <c r="K810" s="110"/>
      <c r="L810" s="110"/>
    </row>
    <row r="811">
      <c r="A811" s="109"/>
      <c r="J811" s="110"/>
      <c r="K811" s="110"/>
      <c r="L811" s="110"/>
    </row>
    <row r="812">
      <c r="A812" s="109"/>
      <c r="J812" s="110"/>
      <c r="K812" s="110"/>
      <c r="L812" s="110"/>
    </row>
    <row r="813">
      <c r="A813" s="109"/>
      <c r="J813" s="110"/>
      <c r="K813" s="110"/>
      <c r="L813" s="110"/>
    </row>
    <row r="814">
      <c r="A814" s="109"/>
      <c r="J814" s="110"/>
      <c r="K814" s="110"/>
      <c r="L814" s="110"/>
    </row>
    <row r="815">
      <c r="A815" s="109"/>
      <c r="J815" s="110"/>
      <c r="K815" s="110"/>
      <c r="L815" s="110"/>
    </row>
    <row r="816">
      <c r="A816" s="109"/>
      <c r="J816" s="110"/>
      <c r="K816" s="110"/>
      <c r="L816" s="110"/>
    </row>
    <row r="817">
      <c r="A817" s="109"/>
      <c r="J817" s="110"/>
      <c r="K817" s="110"/>
      <c r="L817" s="110"/>
    </row>
    <row r="818">
      <c r="A818" s="109"/>
      <c r="J818" s="110"/>
      <c r="K818" s="110"/>
      <c r="L818" s="110"/>
    </row>
    <row r="819">
      <c r="A819" s="109"/>
      <c r="J819" s="110"/>
      <c r="K819" s="110"/>
      <c r="L819" s="110"/>
    </row>
    <row r="820">
      <c r="A820" s="109"/>
      <c r="J820" s="110"/>
      <c r="K820" s="110"/>
      <c r="L820" s="110"/>
    </row>
    <row r="821">
      <c r="A821" s="109"/>
      <c r="J821" s="110"/>
      <c r="K821" s="110"/>
      <c r="L821" s="110"/>
    </row>
    <row r="822">
      <c r="A822" s="109"/>
      <c r="J822" s="110"/>
      <c r="K822" s="110"/>
      <c r="L822" s="110"/>
    </row>
    <row r="823">
      <c r="A823" s="109"/>
      <c r="J823" s="110"/>
      <c r="K823" s="110"/>
      <c r="L823" s="110"/>
    </row>
    <row r="824">
      <c r="A824" s="109"/>
      <c r="J824" s="110"/>
      <c r="K824" s="110"/>
      <c r="L824" s="110"/>
    </row>
    <row r="825">
      <c r="A825" s="109"/>
      <c r="J825" s="110"/>
      <c r="K825" s="110"/>
      <c r="L825" s="110"/>
    </row>
    <row r="826">
      <c r="A826" s="109"/>
      <c r="J826" s="110"/>
      <c r="K826" s="110"/>
      <c r="L826" s="110"/>
    </row>
    <row r="827">
      <c r="A827" s="109"/>
      <c r="J827" s="110"/>
      <c r="K827" s="110"/>
      <c r="L827" s="110"/>
    </row>
    <row r="828">
      <c r="A828" s="109"/>
      <c r="J828" s="110"/>
      <c r="K828" s="110"/>
      <c r="L828" s="110"/>
    </row>
    <row r="829">
      <c r="A829" s="109"/>
      <c r="J829" s="110"/>
      <c r="K829" s="110"/>
      <c r="L829" s="110"/>
    </row>
    <row r="830">
      <c r="A830" s="109"/>
      <c r="J830" s="110"/>
      <c r="K830" s="110"/>
      <c r="L830" s="110"/>
    </row>
    <row r="831">
      <c r="A831" s="109"/>
      <c r="J831" s="110"/>
      <c r="K831" s="110"/>
      <c r="L831" s="110"/>
    </row>
    <row r="832">
      <c r="A832" s="109"/>
      <c r="J832" s="110"/>
      <c r="K832" s="110"/>
      <c r="L832" s="110"/>
    </row>
    <row r="833">
      <c r="A833" s="109"/>
      <c r="J833" s="110"/>
      <c r="K833" s="110"/>
      <c r="L833" s="110"/>
    </row>
    <row r="834">
      <c r="A834" s="109"/>
      <c r="J834" s="110"/>
      <c r="K834" s="110"/>
      <c r="L834" s="110"/>
    </row>
    <row r="835">
      <c r="A835" s="109"/>
      <c r="J835" s="110"/>
      <c r="K835" s="110"/>
      <c r="L835" s="110"/>
    </row>
    <row r="836">
      <c r="A836" s="109"/>
      <c r="J836" s="110"/>
      <c r="K836" s="110"/>
      <c r="L836" s="110"/>
    </row>
    <row r="837">
      <c r="A837" s="109"/>
      <c r="J837" s="110"/>
      <c r="K837" s="110"/>
      <c r="L837" s="110"/>
    </row>
    <row r="838">
      <c r="A838" s="109"/>
      <c r="J838" s="110"/>
      <c r="K838" s="110"/>
      <c r="L838" s="110"/>
    </row>
    <row r="839">
      <c r="A839" s="109"/>
      <c r="J839" s="110"/>
      <c r="K839" s="110"/>
      <c r="L839" s="110"/>
    </row>
    <row r="840">
      <c r="A840" s="109"/>
      <c r="J840" s="110"/>
      <c r="K840" s="110"/>
      <c r="L840" s="110"/>
    </row>
    <row r="841">
      <c r="A841" s="109"/>
      <c r="J841" s="110"/>
      <c r="K841" s="110"/>
      <c r="L841" s="110"/>
    </row>
    <row r="842">
      <c r="A842" s="109"/>
      <c r="J842" s="110"/>
      <c r="K842" s="110"/>
      <c r="L842" s="110"/>
    </row>
    <row r="843">
      <c r="A843" s="109"/>
      <c r="J843" s="110"/>
      <c r="K843" s="110"/>
      <c r="L843" s="110"/>
    </row>
    <row r="844">
      <c r="A844" s="109"/>
      <c r="J844" s="110"/>
      <c r="K844" s="110"/>
      <c r="L844" s="110"/>
    </row>
    <row r="845">
      <c r="A845" s="109"/>
      <c r="J845" s="110"/>
      <c r="K845" s="110"/>
      <c r="L845" s="110"/>
    </row>
    <row r="846">
      <c r="A846" s="109"/>
      <c r="J846" s="110"/>
      <c r="K846" s="110"/>
      <c r="L846" s="110"/>
    </row>
    <row r="847">
      <c r="A847" s="109"/>
      <c r="J847" s="110"/>
      <c r="K847" s="110"/>
      <c r="L847" s="110"/>
    </row>
    <row r="848">
      <c r="A848" s="109"/>
      <c r="J848" s="110"/>
      <c r="K848" s="110"/>
      <c r="L848" s="110"/>
    </row>
    <row r="849">
      <c r="A849" s="109"/>
      <c r="J849" s="110"/>
      <c r="K849" s="110"/>
      <c r="L849" s="110"/>
    </row>
    <row r="850">
      <c r="A850" s="109"/>
      <c r="J850" s="110"/>
      <c r="K850" s="110"/>
      <c r="L850" s="110"/>
    </row>
    <row r="851">
      <c r="A851" s="109"/>
      <c r="J851" s="110"/>
      <c r="K851" s="110"/>
      <c r="L851" s="110"/>
    </row>
    <row r="852">
      <c r="A852" s="109"/>
      <c r="J852" s="110"/>
      <c r="K852" s="110"/>
      <c r="L852" s="110"/>
    </row>
    <row r="853">
      <c r="A853" s="109"/>
      <c r="J853" s="110"/>
      <c r="K853" s="110"/>
      <c r="L853" s="110"/>
    </row>
    <row r="854">
      <c r="A854" s="109"/>
      <c r="J854" s="110"/>
      <c r="K854" s="110"/>
      <c r="L854" s="110"/>
    </row>
    <row r="855">
      <c r="A855" s="109"/>
      <c r="J855" s="110"/>
      <c r="K855" s="110"/>
      <c r="L855" s="110"/>
    </row>
    <row r="856">
      <c r="A856" s="109"/>
      <c r="J856" s="110"/>
      <c r="K856" s="110"/>
      <c r="L856" s="110"/>
    </row>
    <row r="857">
      <c r="A857" s="109"/>
      <c r="J857" s="110"/>
      <c r="K857" s="110"/>
      <c r="L857" s="110"/>
    </row>
    <row r="858">
      <c r="A858" s="109"/>
      <c r="J858" s="110"/>
      <c r="K858" s="110"/>
      <c r="L858" s="110"/>
    </row>
    <row r="859">
      <c r="A859" s="109"/>
      <c r="J859" s="110"/>
      <c r="K859" s="110"/>
      <c r="L859" s="110"/>
    </row>
    <row r="860">
      <c r="A860" s="109"/>
      <c r="J860" s="110"/>
      <c r="K860" s="110"/>
      <c r="L860" s="110"/>
    </row>
    <row r="861">
      <c r="A861" s="109"/>
      <c r="J861" s="110"/>
      <c r="K861" s="110"/>
      <c r="L861" s="110"/>
    </row>
    <row r="862">
      <c r="A862" s="109"/>
      <c r="J862" s="110"/>
      <c r="K862" s="110"/>
      <c r="L862" s="110"/>
    </row>
    <row r="863">
      <c r="A863" s="109"/>
      <c r="J863" s="110"/>
      <c r="K863" s="110"/>
      <c r="L863" s="110"/>
    </row>
    <row r="864">
      <c r="A864" s="109"/>
      <c r="J864" s="110"/>
      <c r="K864" s="110"/>
      <c r="L864" s="110"/>
    </row>
    <row r="865">
      <c r="A865" s="109"/>
      <c r="J865" s="110"/>
      <c r="K865" s="110"/>
      <c r="L865" s="110"/>
    </row>
    <row r="866">
      <c r="A866" s="109"/>
      <c r="J866" s="110"/>
      <c r="K866" s="110"/>
      <c r="L866" s="110"/>
    </row>
    <row r="867">
      <c r="A867" s="109"/>
      <c r="J867" s="110"/>
      <c r="K867" s="110"/>
      <c r="L867" s="110"/>
    </row>
    <row r="868">
      <c r="A868" s="109"/>
      <c r="J868" s="110"/>
      <c r="K868" s="110"/>
      <c r="L868" s="110"/>
    </row>
    <row r="869">
      <c r="A869" s="109"/>
      <c r="J869" s="110"/>
      <c r="K869" s="110"/>
      <c r="L869" s="110"/>
    </row>
    <row r="870">
      <c r="A870" s="109"/>
      <c r="J870" s="110"/>
      <c r="K870" s="110"/>
      <c r="L870" s="110"/>
    </row>
    <row r="871">
      <c r="A871" s="109"/>
      <c r="J871" s="110"/>
      <c r="K871" s="110"/>
      <c r="L871" s="110"/>
    </row>
    <row r="872">
      <c r="A872" s="109"/>
      <c r="J872" s="110"/>
      <c r="K872" s="110"/>
      <c r="L872" s="110"/>
    </row>
    <row r="873">
      <c r="A873" s="109"/>
      <c r="J873" s="110"/>
      <c r="K873" s="110"/>
      <c r="L873" s="110"/>
    </row>
    <row r="874">
      <c r="A874" s="109"/>
      <c r="J874" s="110"/>
      <c r="K874" s="110"/>
      <c r="L874" s="110"/>
    </row>
    <row r="875">
      <c r="A875" s="109"/>
      <c r="J875" s="110"/>
      <c r="K875" s="110"/>
      <c r="L875" s="110"/>
    </row>
    <row r="876">
      <c r="A876" s="109"/>
      <c r="J876" s="110"/>
      <c r="K876" s="110"/>
      <c r="L876" s="110"/>
    </row>
    <row r="877">
      <c r="A877" s="109"/>
      <c r="J877" s="110"/>
      <c r="K877" s="110"/>
      <c r="L877" s="110"/>
    </row>
    <row r="878">
      <c r="A878" s="109"/>
      <c r="J878" s="110"/>
      <c r="K878" s="110"/>
      <c r="L878" s="110"/>
    </row>
    <row r="879">
      <c r="A879" s="109"/>
      <c r="J879" s="110"/>
      <c r="K879" s="110"/>
      <c r="L879" s="110"/>
    </row>
    <row r="880">
      <c r="A880" s="109"/>
      <c r="J880" s="110"/>
      <c r="K880" s="110"/>
      <c r="L880" s="110"/>
    </row>
    <row r="881">
      <c r="A881" s="109"/>
      <c r="J881" s="110"/>
      <c r="K881" s="110"/>
      <c r="L881" s="110"/>
    </row>
    <row r="882">
      <c r="A882" s="109"/>
      <c r="J882" s="110"/>
      <c r="K882" s="110"/>
      <c r="L882" s="110"/>
    </row>
    <row r="883">
      <c r="A883" s="109"/>
      <c r="J883" s="110"/>
      <c r="K883" s="110"/>
      <c r="L883" s="110"/>
    </row>
    <row r="884">
      <c r="A884" s="109"/>
      <c r="J884" s="110"/>
      <c r="K884" s="110"/>
      <c r="L884" s="110"/>
    </row>
    <row r="885">
      <c r="A885" s="109"/>
      <c r="J885" s="110"/>
      <c r="K885" s="110"/>
      <c r="L885" s="110"/>
    </row>
    <row r="886">
      <c r="A886" s="109"/>
      <c r="J886" s="110"/>
      <c r="K886" s="110"/>
      <c r="L886" s="110"/>
    </row>
    <row r="887">
      <c r="A887" s="109"/>
      <c r="J887" s="110"/>
      <c r="K887" s="110"/>
      <c r="L887" s="110"/>
    </row>
    <row r="888">
      <c r="A888" s="109"/>
      <c r="J888" s="110"/>
      <c r="K888" s="110"/>
      <c r="L888" s="110"/>
    </row>
    <row r="889">
      <c r="A889" s="109"/>
      <c r="J889" s="110"/>
      <c r="K889" s="110"/>
      <c r="L889" s="110"/>
    </row>
    <row r="890">
      <c r="A890" s="109"/>
      <c r="J890" s="110"/>
      <c r="K890" s="110"/>
      <c r="L890" s="110"/>
    </row>
    <row r="891">
      <c r="A891" s="109"/>
      <c r="J891" s="110"/>
      <c r="K891" s="110"/>
      <c r="L891" s="110"/>
    </row>
    <row r="892">
      <c r="A892" s="109"/>
      <c r="J892" s="110"/>
      <c r="K892" s="110"/>
      <c r="L892" s="110"/>
    </row>
    <row r="893">
      <c r="A893" s="109"/>
      <c r="J893" s="110"/>
      <c r="K893" s="110"/>
      <c r="L893" s="110"/>
    </row>
    <row r="894">
      <c r="A894" s="109"/>
      <c r="J894" s="110"/>
      <c r="K894" s="110"/>
      <c r="L894" s="110"/>
    </row>
    <row r="895">
      <c r="A895" s="109"/>
      <c r="J895" s="110"/>
      <c r="K895" s="110"/>
      <c r="L895" s="110"/>
    </row>
    <row r="896">
      <c r="A896" s="109"/>
      <c r="J896" s="110"/>
      <c r="K896" s="110"/>
      <c r="L896" s="110"/>
    </row>
    <row r="897">
      <c r="A897" s="109"/>
      <c r="J897" s="110"/>
      <c r="K897" s="110"/>
      <c r="L897" s="110"/>
    </row>
    <row r="898">
      <c r="A898" s="109"/>
      <c r="J898" s="110"/>
      <c r="K898" s="110"/>
      <c r="L898" s="110"/>
    </row>
    <row r="899">
      <c r="A899" s="109"/>
      <c r="J899" s="110"/>
      <c r="K899" s="110"/>
      <c r="L899" s="110"/>
    </row>
    <row r="900">
      <c r="A900" s="109"/>
      <c r="J900" s="110"/>
      <c r="K900" s="110"/>
      <c r="L900" s="110"/>
    </row>
    <row r="901">
      <c r="A901" s="109"/>
      <c r="J901" s="110"/>
      <c r="K901" s="110"/>
      <c r="L901" s="110"/>
    </row>
    <row r="902">
      <c r="A902" s="109"/>
      <c r="J902" s="110"/>
      <c r="K902" s="110"/>
      <c r="L902" s="110"/>
    </row>
    <row r="903">
      <c r="A903" s="109"/>
      <c r="J903" s="110"/>
      <c r="K903" s="110"/>
      <c r="L903" s="110"/>
    </row>
    <row r="904">
      <c r="A904" s="109"/>
      <c r="J904" s="110"/>
      <c r="K904" s="110"/>
      <c r="L904" s="110"/>
    </row>
    <row r="905">
      <c r="A905" s="109"/>
      <c r="J905" s="110"/>
      <c r="K905" s="110"/>
      <c r="L905" s="110"/>
    </row>
    <row r="906">
      <c r="A906" s="109"/>
      <c r="J906" s="110"/>
      <c r="K906" s="110"/>
      <c r="L906" s="110"/>
    </row>
    <row r="907">
      <c r="A907" s="109"/>
      <c r="J907" s="110"/>
      <c r="K907" s="110"/>
      <c r="L907" s="110"/>
    </row>
    <row r="908">
      <c r="A908" s="109"/>
      <c r="J908" s="110"/>
      <c r="K908" s="110"/>
      <c r="L908" s="110"/>
    </row>
    <row r="909">
      <c r="A909" s="109"/>
      <c r="J909" s="110"/>
      <c r="K909" s="110"/>
      <c r="L909" s="110"/>
    </row>
    <row r="910">
      <c r="A910" s="109"/>
      <c r="J910" s="110"/>
      <c r="K910" s="110"/>
      <c r="L910" s="110"/>
    </row>
    <row r="911">
      <c r="A911" s="109"/>
      <c r="J911" s="110"/>
      <c r="K911" s="110"/>
      <c r="L911" s="110"/>
    </row>
    <row r="912">
      <c r="A912" s="109"/>
      <c r="J912" s="110"/>
      <c r="K912" s="110"/>
      <c r="L912" s="110"/>
    </row>
    <row r="913">
      <c r="A913" s="109"/>
      <c r="J913" s="110"/>
      <c r="K913" s="110"/>
      <c r="L913" s="110"/>
    </row>
    <row r="914">
      <c r="A914" s="109"/>
      <c r="J914" s="110"/>
      <c r="K914" s="110"/>
      <c r="L914" s="110"/>
    </row>
    <row r="915">
      <c r="A915" s="109"/>
      <c r="J915" s="110"/>
      <c r="K915" s="110"/>
      <c r="L915" s="110"/>
    </row>
    <row r="916">
      <c r="A916" s="109"/>
      <c r="J916" s="110"/>
      <c r="K916" s="110"/>
      <c r="L916" s="110"/>
    </row>
    <row r="917">
      <c r="A917" s="109"/>
      <c r="J917" s="110"/>
      <c r="K917" s="110"/>
      <c r="L917" s="110"/>
    </row>
    <row r="918">
      <c r="A918" s="109"/>
      <c r="J918" s="110"/>
      <c r="K918" s="110"/>
      <c r="L918" s="110"/>
    </row>
    <row r="919">
      <c r="A919" s="109"/>
      <c r="J919" s="110"/>
      <c r="K919" s="110"/>
      <c r="L919" s="110"/>
    </row>
    <row r="920">
      <c r="A920" s="109"/>
      <c r="J920" s="110"/>
      <c r="K920" s="110"/>
      <c r="L920" s="110"/>
    </row>
    <row r="921">
      <c r="A921" s="109"/>
      <c r="J921" s="110"/>
      <c r="K921" s="110"/>
      <c r="L921" s="110"/>
    </row>
    <row r="922">
      <c r="A922" s="109"/>
      <c r="J922" s="110"/>
      <c r="K922" s="110"/>
      <c r="L922" s="110"/>
    </row>
    <row r="923">
      <c r="A923" s="109"/>
      <c r="J923" s="110"/>
      <c r="K923" s="110"/>
      <c r="L923" s="110"/>
    </row>
    <row r="924">
      <c r="A924" s="109"/>
      <c r="J924" s="110"/>
      <c r="K924" s="110"/>
      <c r="L924" s="110"/>
    </row>
    <row r="925">
      <c r="A925" s="109"/>
      <c r="J925" s="110"/>
      <c r="K925" s="110"/>
      <c r="L925" s="110"/>
    </row>
    <row r="926">
      <c r="A926" s="109"/>
      <c r="J926" s="110"/>
      <c r="K926" s="110"/>
      <c r="L926" s="110"/>
    </row>
    <row r="927">
      <c r="A927" s="109"/>
      <c r="J927" s="110"/>
      <c r="K927" s="110"/>
      <c r="L927" s="110"/>
    </row>
    <row r="928">
      <c r="A928" s="109"/>
      <c r="J928" s="110"/>
      <c r="K928" s="110"/>
      <c r="L928" s="110"/>
    </row>
    <row r="929">
      <c r="A929" s="109"/>
      <c r="J929" s="110"/>
      <c r="K929" s="110"/>
      <c r="L929" s="110"/>
    </row>
    <row r="930">
      <c r="A930" s="109"/>
      <c r="J930" s="110"/>
      <c r="K930" s="110"/>
      <c r="L930" s="110"/>
    </row>
    <row r="931">
      <c r="A931" s="109"/>
      <c r="J931" s="110"/>
      <c r="K931" s="110"/>
      <c r="L931" s="110"/>
    </row>
    <row r="932">
      <c r="A932" s="109"/>
      <c r="J932" s="110"/>
      <c r="K932" s="110"/>
      <c r="L932" s="110"/>
    </row>
    <row r="933">
      <c r="A933" s="109"/>
      <c r="J933" s="110"/>
      <c r="K933" s="110"/>
      <c r="L933" s="110"/>
    </row>
    <row r="934">
      <c r="A934" s="109"/>
      <c r="J934" s="110"/>
      <c r="K934" s="110"/>
      <c r="L934" s="110"/>
    </row>
    <row r="935">
      <c r="A935" s="109"/>
      <c r="J935" s="110"/>
      <c r="K935" s="110"/>
      <c r="L935" s="110"/>
    </row>
    <row r="936">
      <c r="A936" s="109"/>
      <c r="J936" s="110"/>
      <c r="K936" s="110"/>
      <c r="L936" s="110"/>
    </row>
    <row r="937">
      <c r="A937" s="109"/>
      <c r="J937" s="110"/>
      <c r="K937" s="110"/>
      <c r="L937" s="110"/>
    </row>
    <row r="938">
      <c r="A938" s="109"/>
      <c r="J938" s="110"/>
      <c r="K938" s="110"/>
      <c r="L938" s="110"/>
    </row>
    <row r="939">
      <c r="A939" s="109"/>
      <c r="J939" s="110"/>
      <c r="K939" s="110"/>
      <c r="L939" s="110"/>
    </row>
    <row r="940">
      <c r="A940" s="109"/>
      <c r="J940" s="110"/>
      <c r="K940" s="110"/>
      <c r="L940" s="110"/>
    </row>
    <row r="941">
      <c r="A941" s="109"/>
      <c r="J941" s="110"/>
      <c r="K941" s="110"/>
      <c r="L941" s="110"/>
    </row>
    <row r="942">
      <c r="A942" s="109"/>
      <c r="J942" s="110"/>
      <c r="K942" s="110"/>
      <c r="L942" s="110"/>
    </row>
    <row r="943">
      <c r="A943" s="109"/>
      <c r="J943" s="110"/>
      <c r="K943" s="110"/>
      <c r="L943" s="110"/>
    </row>
    <row r="944">
      <c r="A944" s="109"/>
      <c r="J944" s="110"/>
      <c r="K944" s="110"/>
      <c r="L944" s="110"/>
    </row>
    <row r="945">
      <c r="A945" s="109"/>
      <c r="J945" s="110"/>
      <c r="K945" s="110"/>
      <c r="L945" s="110"/>
    </row>
    <row r="946">
      <c r="A946" s="109"/>
      <c r="J946" s="110"/>
      <c r="K946" s="110"/>
      <c r="L946" s="110"/>
    </row>
    <row r="947">
      <c r="A947" s="109"/>
      <c r="J947" s="110"/>
      <c r="K947" s="110"/>
      <c r="L947" s="110"/>
    </row>
    <row r="948">
      <c r="A948" s="109"/>
      <c r="J948" s="110"/>
      <c r="K948" s="110"/>
      <c r="L948" s="110"/>
    </row>
    <row r="949">
      <c r="A949" s="109"/>
      <c r="J949" s="110"/>
      <c r="K949" s="110"/>
      <c r="L949" s="110"/>
    </row>
    <row r="950">
      <c r="A950" s="109"/>
      <c r="J950" s="110"/>
      <c r="K950" s="110"/>
      <c r="L950" s="110"/>
    </row>
    <row r="951">
      <c r="A951" s="109"/>
      <c r="J951" s="110"/>
      <c r="K951" s="110"/>
      <c r="L951" s="110"/>
    </row>
    <row r="952">
      <c r="A952" s="109"/>
      <c r="J952" s="110"/>
      <c r="K952" s="110"/>
      <c r="L952" s="110"/>
    </row>
    <row r="953">
      <c r="A953" s="109"/>
      <c r="J953" s="110"/>
      <c r="K953" s="110"/>
      <c r="L953" s="110"/>
    </row>
    <row r="954">
      <c r="A954" s="109"/>
      <c r="J954" s="110"/>
      <c r="K954" s="110"/>
      <c r="L954" s="110"/>
    </row>
    <row r="955">
      <c r="A955" s="109"/>
      <c r="J955" s="110"/>
      <c r="K955" s="110"/>
      <c r="L955" s="110"/>
    </row>
    <row r="956">
      <c r="A956" s="109"/>
      <c r="J956" s="110"/>
      <c r="K956" s="110"/>
      <c r="L956" s="110"/>
    </row>
    <row r="957">
      <c r="A957" s="109"/>
      <c r="J957" s="110"/>
      <c r="K957" s="110"/>
      <c r="L957" s="110"/>
    </row>
    <row r="958">
      <c r="A958" s="109"/>
      <c r="J958" s="110"/>
      <c r="K958" s="110"/>
      <c r="L958" s="110"/>
    </row>
    <row r="959">
      <c r="A959" s="109"/>
      <c r="J959" s="110"/>
      <c r="K959" s="110"/>
      <c r="L959" s="110"/>
    </row>
    <row r="960">
      <c r="A960" s="109"/>
      <c r="J960" s="110"/>
      <c r="K960" s="110"/>
      <c r="L960" s="110"/>
    </row>
    <row r="961">
      <c r="A961" s="109"/>
      <c r="J961" s="110"/>
      <c r="K961" s="110"/>
      <c r="L961" s="110"/>
    </row>
    <row r="962">
      <c r="A962" s="109"/>
      <c r="J962" s="110"/>
      <c r="K962" s="110"/>
      <c r="L962" s="110"/>
    </row>
    <row r="963">
      <c r="A963" s="109"/>
      <c r="J963" s="110"/>
      <c r="K963" s="110"/>
      <c r="L963" s="110"/>
    </row>
    <row r="964">
      <c r="A964" s="109"/>
      <c r="J964" s="110"/>
      <c r="K964" s="110"/>
      <c r="L964" s="110"/>
    </row>
    <row r="965">
      <c r="A965" s="109"/>
      <c r="J965" s="110"/>
      <c r="K965" s="110"/>
      <c r="L965" s="110"/>
    </row>
    <row r="966">
      <c r="A966" s="109"/>
      <c r="J966" s="110"/>
      <c r="K966" s="110"/>
      <c r="L966" s="110"/>
    </row>
    <row r="967">
      <c r="A967" s="109"/>
      <c r="J967" s="110"/>
      <c r="K967" s="110"/>
      <c r="L967" s="110"/>
    </row>
    <row r="968">
      <c r="A968" s="109"/>
      <c r="J968" s="110"/>
      <c r="K968" s="110"/>
      <c r="L968" s="110"/>
    </row>
    <row r="969">
      <c r="A969" s="109"/>
      <c r="J969" s="110"/>
      <c r="K969" s="110"/>
      <c r="L969" s="110"/>
    </row>
    <row r="970">
      <c r="A970" s="109"/>
      <c r="J970" s="110"/>
      <c r="K970" s="110"/>
      <c r="L970" s="110"/>
    </row>
    <row r="971">
      <c r="A971" s="109"/>
      <c r="J971" s="110"/>
      <c r="K971" s="110"/>
      <c r="L971" s="110"/>
    </row>
    <row r="972">
      <c r="A972" s="109"/>
      <c r="J972" s="110"/>
      <c r="K972" s="110"/>
      <c r="L972" s="110"/>
    </row>
    <row r="973">
      <c r="A973" s="109"/>
      <c r="J973" s="110"/>
      <c r="K973" s="110"/>
      <c r="L973" s="110"/>
    </row>
    <row r="974">
      <c r="A974" s="109"/>
      <c r="J974" s="110"/>
      <c r="K974" s="110"/>
      <c r="L974" s="110"/>
    </row>
    <row r="975">
      <c r="A975" s="109"/>
      <c r="J975" s="110"/>
      <c r="K975" s="110"/>
      <c r="L975" s="110"/>
    </row>
    <row r="976">
      <c r="A976" s="109"/>
      <c r="J976" s="110"/>
      <c r="K976" s="110"/>
      <c r="L976" s="110"/>
    </row>
    <row r="977">
      <c r="A977" s="109"/>
      <c r="J977" s="110"/>
      <c r="K977" s="110"/>
      <c r="L977" s="110"/>
    </row>
    <row r="978">
      <c r="A978" s="109"/>
      <c r="J978" s="110"/>
      <c r="K978" s="110"/>
      <c r="L978" s="110"/>
    </row>
    <row r="979">
      <c r="A979" s="109"/>
      <c r="J979" s="110"/>
      <c r="K979" s="110"/>
      <c r="L979" s="110"/>
    </row>
    <row r="980">
      <c r="A980" s="109"/>
      <c r="J980" s="110"/>
      <c r="K980" s="110"/>
      <c r="L980" s="110"/>
    </row>
    <row r="981">
      <c r="A981" s="109"/>
      <c r="J981" s="110"/>
      <c r="K981" s="110"/>
      <c r="L981" s="110"/>
    </row>
    <row r="982">
      <c r="A982" s="109"/>
      <c r="J982" s="110"/>
      <c r="K982" s="110"/>
      <c r="L982" s="110"/>
    </row>
    <row r="983">
      <c r="A983" s="109"/>
      <c r="J983" s="110"/>
      <c r="K983" s="110"/>
      <c r="L983" s="110"/>
    </row>
    <row r="984">
      <c r="A984" s="109"/>
      <c r="J984" s="110"/>
      <c r="K984" s="110"/>
      <c r="L984" s="110"/>
    </row>
    <row r="985">
      <c r="A985" s="109"/>
      <c r="J985" s="110"/>
      <c r="K985" s="110"/>
      <c r="L985" s="110"/>
    </row>
    <row r="986">
      <c r="A986" s="109"/>
      <c r="J986" s="110"/>
      <c r="K986" s="110"/>
      <c r="L986" s="110"/>
    </row>
    <row r="987">
      <c r="A987" s="109"/>
      <c r="J987" s="110"/>
      <c r="K987" s="110"/>
      <c r="L987" s="110"/>
    </row>
    <row r="988">
      <c r="A988" s="109"/>
      <c r="J988" s="110"/>
      <c r="K988" s="110"/>
      <c r="L988" s="110"/>
    </row>
    <row r="989">
      <c r="A989" s="109"/>
      <c r="J989" s="110"/>
      <c r="K989" s="110"/>
      <c r="L989" s="110"/>
    </row>
    <row r="990">
      <c r="A990" s="109"/>
      <c r="J990" s="110"/>
      <c r="K990" s="110"/>
      <c r="L990" s="110"/>
    </row>
    <row r="991">
      <c r="A991" s="109"/>
      <c r="J991" s="110"/>
      <c r="K991" s="110"/>
      <c r="L991" s="110"/>
    </row>
    <row r="992">
      <c r="A992" s="109"/>
      <c r="J992" s="110"/>
      <c r="K992" s="110"/>
      <c r="L992" s="110"/>
    </row>
    <row r="993">
      <c r="A993" s="109"/>
      <c r="J993" s="110"/>
      <c r="K993" s="110"/>
      <c r="L993" s="110"/>
    </row>
    <row r="994">
      <c r="A994" s="109"/>
      <c r="J994" s="110"/>
      <c r="K994" s="110"/>
      <c r="L994" s="110"/>
    </row>
    <row r="995">
      <c r="A995" s="109"/>
      <c r="J995" s="110"/>
      <c r="K995" s="110"/>
      <c r="L995" s="110"/>
    </row>
    <row r="996">
      <c r="A996" s="109"/>
      <c r="J996" s="110"/>
      <c r="K996" s="110"/>
      <c r="L996" s="110"/>
    </row>
    <row r="997">
      <c r="A997" s="109"/>
      <c r="J997" s="110"/>
      <c r="K997" s="110"/>
      <c r="L997" s="110"/>
    </row>
    <row r="998">
      <c r="A998" s="109"/>
      <c r="J998" s="110"/>
      <c r="K998" s="110"/>
      <c r="L998" s="110"/>
    </row>
    <row r="999">
      <c r="A999" s="109"/>
      <c r="J999" s="110"/>
      <c r="K999" s="110"/>
      <c r="L999" s="110"/>
    </row>
    <row r="1000">
      <c r="A1000" s="109"/>
      <c r="J1000" s="110"/>
      <c r="K1000" s="110"/>
      <c r="L1000" s="110"/>
    </row>
  </sheetData>
  <autoFilter ref="$A$4:$Z$309"/>
  <mergeCells count="3">
    <mergeCell ref="A1:B1"/>
    <mergeCell ref="A2:B2"/>
    <mergeCell ref="A3:H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1" t="s">
        <v>2568</v>
      </c>
      <c r="B1" s="111" t="s">
        <v>2569</v>
      </c>
      <c r="C1" s="111" t="s">
        <v>2570</v>
      </c>
      <c r="D1" s="111" t="s">
        <v>2571</v>
      </c>
      <c r="E1" s="111" t="s">
        <v>2572</v>
      </c>
      <c r="F1" s="111" t="s">
        <v>2573</v>
      </c>
      <c r="G1" s="111" t="s">
        <v>2574</v>
      </c>
      <c r="H1" s="111" t="s">
        <v>2575</v>
      </c>
      <c r="I1" s="111" t="s">
        <v>2576</v>
      </c>
      <c r="J1" s="111" t="s">
        <v>2577</v>
      </c>
      <c r="K1" s="112" t="s">
        <v>2578</v>
      </c>
      <c r="L1" s="113" t="s">
        <v>2579</v>
      </c>
      <c r="M1" s="112" t="s">
        <v>2580</v>
      </c>
      <c r="N1" s="114"/>
    </row>
    <row r="2">
      <c r="A2" s="115">
        <v>1.0</v>
      </c>
      <c r="B2" s="116" t="s">
        <v>181</v>
      </c>
      <c r="C2" s="116" t="s">
        <v>2581</v>
      </c>
      <c r="D2" s="117"/>
      <c r="E2" s="114"/>
      <c r="F2" s="116">
        <v>6.6305791E7</v>
      </c>
      <c r="G2" s="116">
        <v>3.040256787E9</v>
      </c>
      <c r="H2" s="114"/>
      <c r="I2" s="114"/>
      <c r="J2" s="117"/>
      <c r="K2" s="117"/>
      <c r="L2" s="117"/>
      <c r="M2" s="117"/>
      <c r="N2" s="118"/>
    </row>
    <row r="3">
      <c r="A3" s="115">
        <v>2.0</v>
      </c>
      <c r="B3" s="119" t="s">
        <v>181</v>
      </c>
      <c r="C3" s="119" t="s">
        <v>2581</v>
      </c>
      <c r="D3" s="120"/>
      <c r="E3" s="114"/>
      <c r="F3" s="116">
        <v>6.6306636E7</v>
      </c>
      <c r="G3" s="116">
        <v>3.040256792E9</v>
      </c>
      <c r="H3" s="114"/>
      <c r="I3" s="114"/>
      <c r="J3" s="117"/>
      <c r="K3" s="117"/>
      <c r="L3" s="117"/>
      <c r="M3" s="117"/>
      <c r="N3" s="118"/>
    </row>
    <row r="4">
      <c r="A4" s="115">
        <v>3.0</v>
      </c>
      <c r="B4" s="116" t="s">
        <v>181</v>
      </c>
      <c r="C4" s="116" t="s">
        <v>2581</v>
      </c>
      <c r="D4" s="117"/>
      <c r="E4" s="114"/>
      <c r="F4" s="116">
        <v>6.6306629E7</v>
      </c>
      <c r="G4" s="116">
        <v>3.040258303E9</v>
      </c>
      <c r="H4" s="114"/>
      <c r="I4" s="114"/>
      <c r="J4" s="121">
        <v>45972.0</v>
      </c>
      <c r="K4" s="116">
        <v>6.630596E7</v>
      </c>
      <c r="L4" s="116" t="s">
        <v>2582</v>
      </c>
      <c r="M4" s="116" t="s">
        <v>13</v>
      </c>
      <c r="N4" s="118"/>
    </row>
    <row r="5">
      <c r="A5" s="115">
        <v>4.0</v>
      </c>
      <c r="B5" s="119" t="s">
        <v>181</v>
      </c>
      <c r="C5" s="119" t="s">
        <v>2581</v>
      </c>
      <c r="D5" s="120"/>
      <c r="E5" s="114"/>
      <c r="F5" s="116">
        <v>6.6307595E7</v>
      </c>
      <c r="G5" s="116">
        <v>3.040258304E9</v>
      </c>
      <c r="H5" s="114"/>
      <c r="I5" s="114"/>
      <c r="J5" s="117"/>
      <c r="K5" s="117"/>
      <c r="L5" s="117"/>
      <c r="M5" s="117"/>
      <c r="N5" s="118"/>
    </row>
    <row r="6">
      <c r="A6" s="115">
        <v>5.0</v>
      </c>
      <c r="B6" s="116" t="s">
        <v>181</v>
      </c>
      <c r="C6" s="116" t="s">
        <v>2581</v>
      </c>
      <c r="D6" s="117"/>
      <c r="E6" s="114"/>
      <c r="F6" s="116">
        <v>6.6307562E7</v>
      </c>
      <c r="G6" s="116">
        <v>3.040258419E9</v>
      </c>
      <c r="H6" s="114"/>
      <c r="I6" s="114"/>
      <c r="J6" s="117"/>
      <c r="K6" s="117"/>
      <c r="L6" s="117"/>
      <c r="M6" s="117"/>
      <c r="N6" s="118"/>
    </row>
    <row r="7">
      <c r="A7" s="115">
        <v>6.0</v>
      </c>
      <c r="B7" s="119" t="s">
        <v>181</v>
      </c>
      <c r="C7" s="119" t="s">
        <v>2581</v>
      </c>
      <c r="D7" s="120"/>
      <c r="E7" s="114"/>
      <c r="F7" s="116">
        <v>6.6306759E7</v>
      </c>
      <c r="G7" s="116">
        <v>3.04025842E9</v>
      </c>
      <c r="H7" s="114"/>
      <c r="I7" s="114"/>
      <c r="J7" s="117"/>
      <c r="K7" s="117"/>
      <c r="L7" s="117"/>
      <c r="M7" s="117"/>
      <c r="N7" s="118"/>
    </row>
    <row r="8">
      <c r="A8" s="115">
        <v>7.0</v>
      </c>
      <c r="B8" s="116" t="s">
        <v>181</v>
      </c>
      <c r="C8" s="116" t="s">
        <v>2581</v>
      </c>
      <c r="D8" s="117"/>
      <c r="E8" s="114"/>
      <c r="F8" s="116">
        <v>6.6307058E7</v>
      </c>
      <c r="G8" s="116">
        <v>3.040258421E9</v>
      </c>
      <c r="H8" s="114"/>
      <c r="I8" s="114"/>
      <c r="J8" s="121">
        <v>46014.0</v>
      </c>
      <c r="K8" s="116">
        <v>6.6307619E7</v>
      </c>
      <c r="L8" s="116" t="s">
        <v>2583</v>
      </c>
      <c r="M8" s="116" t="s">
        <v>1352</v>
      </c>
      <c r="N8" s="118"/>
    </row>
    <row r="9">
      <c r="A9" s="115">
        <v>8.0</v>
      </c>
      <c r="B9" s="119" t="s">
        <v>183</v>
      </c>
      <c r="C9" s="119" t="s">
        <v>2584</v>
      </c>
      <c r="D9" s="120"/>
      <c r="E9" s="114"/>
      <c r="F9" s="116">
        <v>7.1308676E7</v>
      </c>
      <c r="G9" s="116">
        <v>3.040256118E9</v>
      </c>
      <c r="H9" s="114"/>
      <c r="I9" s="114"/>
      <c r="J9" s="117"/>
      <c r="K9" s="117"/>
      <c r="L9" s="117"/>
      <c r="M9" s="117"/>
      <c r="N9" s="118"/>
    </row>
    <row r="10">
      <c r="A10" s="115">
        <v>9.0</v>
      </c>
      <c r="B10" s="116" t="s">
        <v>183</v>
      </c>
      <c r="C10" s="116" t="s">
        <v>2584</v>
      </c>
      <c r="D10" s="117"/>
      <c r="E10" s="114"/>
      <c r="F10" s="116">
        <v>7.1306307E7</v>
      </c>
      <c r="G10" s="116">
        <v>3.040256119E9</v>
      </c>
      <c r="H10" s="114"/>
      <c r="I10" s="114"/>
      <c r="J10" s="117"/>
      <c r="K10" s="117"/>
      <c r="L10" s="117"/>
      <c r="M10" s="117"/>
      <c r="N10" s="118"/>
    </row>
    <row r="11">
      <c r="A11" s="115">
        <v>10.0</v>
      </c>
      <c r="B11" s="119" t="s">
        <v>161</v>
      </c>
      <c r="C11" s="119" t="s">
        <v>2585</v>
      </c>
      <c r="D11" s="120"/>
      <c r="E11" s="114"/>
      <c r="F11" s="116">
        <v>4.7204432E7</v>
      </c>
      <c r="G11" s="116">
        <v>3.040256112E9</v>
      </c>
      <c r="H11" s="114"/>
      <c r="I11" s="114"/>
      <c r="J11" s="117"/>
      <c r="K11" s="117"/>
      <c r="L11" s="117"/>
      <c r="M11" s="117"/>
      <c r="N11" s="118"/>
    </row>
    <row r="12">
      <c r="A12" s="115">
        <v>11.0</v>
      </c>
      <c r="B12" s="116" t="s">
        <v>161</v>
      </c>
      <c r="C12" s="116" t="s">
        <v>2585</v>
      </c>
      <c r="D12" s="117"/>
      <c r="E12" s="114"/>
      <c r="F12" s="116">
        <v>4.7203039E7</v>
      </c>
      <c r="G12" s="116">
        <v>3.040256113E9</v>
      </c>
      <c r="H12" s="114"/>
      <c r="I12" s="114"/>
      <c r="J12" s="121">
        <v>45916.0</v>
      </c>
      <c r="K12" s="117"/>
      <c r="L12" s="116" t="s">
        <v>2586</v>
      </c>
      <c r="M12" s="116" t="s">
        <v>16</v>
      </c>
      <c r="N12" s="118"/>
    </row>
    <row r="13">
      <c r="A13" s="115">
        <v>12.0</v>
      </c>
      <c r="B13" s="119" t="s">
        <v>161</v>
      </c>
      <c r="C13" s="119" t="s">
        <v>2585</v>
      </c>
      <c r="D13" s="120"/>
      <c r="E13" s="114"/>
      <c r="F13" s="116">
        <v>4.7203806E7</v>
      </c>
      <c r="G13" s="116">
        <v>3.040256828E9</v>
      </c>
      <c r="H13" s="114"/>
      <c r="I13" s="114"/>
      <c r="J13" s="121">
        <v>45897.0</v>
      </c>
      <c r="K13" s="117"/>
      <c r="L13" s="117"/>
      <c r="M13" s="117"/>
      <c r="N13" s="118"/>
    </row>
    <row r="14">
      <c r="A14" s="115">
        <v>13.0</v>
      </c>
      <c r="B14" s="116" t="s">
        <v>161</v>
      </c>
      <c r="C14" s="116" t="s">
        <v>2587</v>
      </c>
      <c r="D14" s="117"/>
      <c r="E14" s="114"/>
      <c r="F14" s="116">
        <v>4.7204363E7</v>
      </c>
      <c r="G14" s="116">
        <v>3.040257275E9</v>
      </c>
      <c r="H14" s="114"/>
      <c r="I14" s="114"/>
      <c r="J14" s="121">
        <v>45916.0</v>
      </c>
      <c r="K14" s="117"/>
      <c r="L14" s="116" t="s">
        <v>2586</v>
      </c>
      <c r="M14" s="116" t="s">
        <v>16</v>
      </c>
      <c r="N14" s="118"/>
    </row>
    <row r="15">
      <c r="A15" s="115">
        <v>14.0</v>
      </c>
      <c r="B15" s="119" t="s">
        <v>127</v>
      </c>
      <c r="C15" s="119" t="s">
        <v>128</v>
      </c>
      <c r="D15" s="120"/>
      <c r="E15" s="114"/>
      <c r="F15" s="116">
        <v>8.6805596E7</v>
      </c>
      <c r="G15" s="116">
        <v>3.040252158E9</v>
      </c>
      <c r="H15" s="114"/>
      <c r="I15" s="114"/>
      <c r="J15" s="122">
        <v>46086.0</v>
      </c>
      <c r="K15" s="117"/>
      <c r="L15" s="116" t="s">
        <v>2588</v>
      </c>
      <c r="M15" s="117"/>
      <c r="N15" s="118"/>
    </row>
    <row r="16">
      <c r="A16" s="115">
        <v>15.0</v>
      </c>
      <c r="B16" s="116" t="s">
        <v>127</v>
      </c>
      <c r="C16" s="116" t="s">
        <v>128</v>
      </c>
      <c r="D16" s="117"/>
      <c r="E16" s="114"/>
      <c r="F16" s="116">
        <v>8.6805599E7</v>
      </c>
      <c r="G16" s="116">
        <v>3.040252159E9</v>
      </c>
      <c r="H16" s="114"/>
      <c r="I16" s="114"/>
      <c r="J16" s="121">
        <v>45869.0</v>
      </c>
      <c r="K16" s="117"/>
      <c r="L16" s="116" t="s">
        <v>2589</v>
      </c>
      <c r="M16" s="116" t="s">
        <v>12</v>
      </c>
      <c r="N16" s="118"/>
    </row>
    <row r="17">
      <c r="A17" s="115">
        <v>16.0</v>
      </c>
      <c r="B17" s="119" t="s">
        <v>127</v>
      </c>
      <c r="C17" s="119" t="s">
        <v>2590</v>
      </c>
      <c r="D17" s="120"/>
      <c r="E17" s="114"/>
      <c r="F17" s="116">
        <v>8.6805766E7</v>
      </c>
      <c r="G17" s="116">
        <v>3.040255325E9</v>
      </c>
      <c r="H17" s="114"/>
      <c r="I17" s="114"/>
      <c r="J17" s="121">
        <v>45877.0</v>
      </c>
      <c r="K17" s="117"/>
      <c r="L17" s="116" t="s">
        <v>2591</v>
      </c>
      <c r="M17" s="116" t="s">
        <v>16</v>
      </c>
      <c r="N17" s="118"/>
    </row>
    <row r="18">
      <c r="A18" s="115">
        <v>17.0</v>
      </c>
      <c r="B18" s="116" t="s">
        <v>127</v>
      </c>
      <c r="C18" s="116" t="s">
        <v>2590</v>
      </c>
      <c r="D18" s="117"/>
      <c r="E18" s="114"/>
      <c r="F18" s="116">
        <v>8.6800893E7</v>
      </c>
      <c r="G18" s="116">
        <v>3.040255326E9</v>
      </c>
      <c r="H18" s="114"/>
      <c r="I18" s="114"/>
      <c r="J18" s="122">
        <v>46086.0</v>
      </c>
      <c r="K18" s="117"/>
      <c r="L18" s="116" t="s">
        <v>2588</v>
      </c>
      <c r="M18" s="117"/>
      <c r="N18" s="118"/>
    </row>
    <row r="19">
      <c r="A19" s="115">
        <v>18.0</v>
      </c>
      <c r="B19" s="119" t="s">
        <v>127</v>
      </c>
      <c r="C19" s="119" t="s">
        <v>2592</v>
      </c>
      <c r="D19" s="120"/>
      <c r="E19" s="114"/>
      <c r="F19" s="116">
        <v>8.6801069E7</v>
      </c>
      <c r="G19" s="116">
        <v>3.04025611E9</v>
      </c>
      <c r="H19" s="114"/>
      <c r="I19" s="114"/>
      <c r="J19" s="121">
        <v>45863.0</v>
      </c>
      <c r="K19" s="117"/>
      <c r="L19" s="116" t="s">
        <v>2593</v>
      </c>
      <c r="M19" s="116" t="s">
        <v>20</v>
      </c>
      <c r="N19" s="118"/>
    </row>
    <row r="20">
      <c r="A20" s="115">
        <v>19.0</v>
      </c>
      <c r="B20" s="116" t="s">
        <v>127</v>
      </c>
      <c r="C20" s="116" t="s">
        <v>2594</v>
      </c>
      <c r="D20" s="117"/>
      <c r="E20" s="114"/>
      <c r="F20" s="116">
        <v>8.6801594E7</v>
      </c>
      <c r="G20" s="116">
        <v>3.040256111E9</v>
      </c>
      <c r="H20" s="114"/>
      <c r="I20" s="114"/>
      <c r="J20" s="121">
        <v>45863.0</v>
      </c>
      <c r="K20" s="117"/>
      <c r="L20" s="116" t="s">
        <v>2595</v>
      </c>
      <c r="M20" s="116" t="s">
        <v>13</v>
      </c>
      <c r="N20" s="118"/>
    </row>
    <row r="21">
      <c r="A21" s="115">
        <v>20.0</v>
      </c>
      <c r="B21" s="119" t="s">
        <v>1765</v>
      </c>
      <c r="C21" s="119" t="s">
        <v>2596</v>
      </c>
      <c r="D21" s="120"/>
      <c r="E21" s="114"/>
      <c r="F21" s="116">
        <v>8.6815647E7</v>
      </c>
      <c r="G21" s="116">
        <v>3.040255879E9</v>
      </c>
      <c r="H21" s="114"/>
      <c r="I21" s="114"/>
      <c r="J21" s="121">
        <v>45873.0</v>
      </c>
      <c r="K21" s="117"/>
      <c r="L21" s="116" t="s">
        <v>2597</v>
      </c>
      <c r="M21" s="116" t="s">
        <v>13</v>
      </c>
      <c r="N21" s="118"/>
    </row>
    <row r="22">
      <c r="A22" s="115">
        <v>21.0</v>
      </c>
      <c r="B22" s="116" t="s">
        <v>1765</v>
      </c>
      <c r="C22" s="116" t="s">
        <v>2592</v>
      </c>
      <c r="D22" s="117"/>
      <c r="E22" s="114"/>
      <c r="F22" s="116">
        <v>8.6819178E7</v>
      </c>
      <c r="G22" s="116">
        <v>3.04025612E9</v>
      </c>
      <c r="H22" s="114"/>
      <c r="I22" s="114"/>
      <c r="J22" s="122">
        <v>46086.0</v>
      </c>
      <c r="K22" s="117"/>
      <c r="L22" s="116" t="s">
        <v>2588</v>
      </c>
      <c r="M22" s="123" t="s">
        <v>2598</v>
      </c>
      <c r="N22" s="118"/>
    </row>
    <row r="23">
      <c r="A23" s="115">
        <v>22.0</v>
      </c>
      <c r="B23" s="119" t="s">
        <v>282</v>
      </c>
      <c r="C23" s="119" t="s">
        <v>283</v>
      </c>
      <c r="D23" s="120"/>
      <c r="E23" s="114"/>
      <c r="F23" s="116">
        <v>2.200592E7</v>
      </c>
      <c r="G23" s="116">
        <v>3.04025216E9</v>
      </c>
      <c r="H23" s="114"/>
      <c r="I23" s="114"/>
      <c r="J23" s="122">
        <v>46086.0</v>
      </c>
      <c r="K23" s="117"/>
      <c r="L23" s="116" t="s">
        <v>2599</v>
      </c>
      <c r="M23" s="117"/>
      <c r="N23" s="118"/>
    </row>
    <row r="24">
      <c r="A24" s="115">
        <v>23.0</v>
      </c>
      <c r="B24" s="116" t="s">
        <v>155</v>
      </c>
      <c r="C24" s="116" t="s">
        <v>2600</v>
      </c>
      <c r="D24" s="117"/>
      <c r="E24" s="114"/>
      <c r="F24" s="116" t="s">
        <v>1540</v>
      </c>
      <c r="G24" s="116">
        <v>3.040257095E9</v>
      </c>
      <c r="H24" s="114"/>
      <c r="I24" s="114"/>
      <c r="J24" s="117"/>
      <c r="K24" s="117"/>
      <c r="L24" s="117"/>
      <c r="M24" s="117"/>
      <c r="N24" s="118"/>
    </row>
    <row r="25">
      <c r="A25" s="115">
        <v>24.0</v>
      </c>
      <c r="B25" s="119" t="s">
        <v>155</v>
      </c>
      <c r="C25" s="119" t="s">
        <v>2600</v>
      </c>
      <c r="D25" s="120"/>
      <c r="E25" s="114"/>
      <c r="F25" s="116" t="s">
        <v>1542</v>
      </c>
      <c r="G25" s="116">
        <v>3.040257096E9</v>
      </c>
      <c r="H25" s="114"/>
      <c r="I25" s="114"/>
      <c r="J25" s="117"/>
      <c r="K25" s="117"/>
      <c r="L25" s="117"/>
      <c r="M25" s="117"/>
      <c r="N25" s="118"/>
    </row>
    <row r="26">
      <c r="A26" s="115">
        <v>25.0</v>
      </c>
      <c r="B26" s="116" t="s">
        <v>1398</v>
      </c>
      <c r="C26" s="116" t="s">
        <v>1400</v>
      </c>
      <c r="D26" s="117"/>
      <c r="E26" s="114"/>
      <c r="F26" s="116">
        <v>723.0</v>
      </c>
      <c r="G26" s="116">
        <v>3.04025069E9</v>
      </c>
      <c r="H26" s="114"/>
      <c r="I26" s="114"/>
      <c r="J26" s="121">
        <v>45838.0</v>
      </c>
      <c r="K26" s="117"/>
      <c r="L26" s="116" t="s">
        <v>2601</v>
      </c>
      <c r="M26" s="116" t="s">
        <v>22</v>
      </c>
      <c r="N26" s="118"/>
    </row>
    <row r="27">
      <c r="A27" s="115">
        <v>26.0</v>
      </c>
      <c r="B27" s="119" t="s">
        <v>1398</v>
      </c>
      <c r="C27" s="119" t="s">
        <v>1400</v>
      </c>
      <c r="D27" s="120"/>
      <c r="E27" s="114"/>
      <c r="F27" s="116">
        <v>122.0</v>
      </c>
      <c r="G27" s="116">
        <v>3.040250712E9</v>
      </c>
      <c r="H27" s="114"/>
      <c r="I27" s="114"/>
      <c r="J27" s="121">
        <v>45800.0</v>
      </c>
      <c r="K27" s="117"/>
      <c r="L27" s="116" t="s">
        <v>2602</v>
      </c>
      <c r="M27" s="116" t="s">
        <v>17</v>
      </c>
      <c r="N27" s="118"/>
    </row>
    <row r="28">
      <c r="A28" s="115">
        <v>27.0</v>
      </c>
      <c r="B28" s="116" t="s">
        <v>1398</v>
      </c>
      <c r="C28" s="116" t="s">
        <v>1400</v>
      </c>
      <c r="D28" s="117"/>
      <c r="E28" s="114"/>
      <c r="F28" s="116" t="s">
        <v>2603</v>
      </c>
      <c r="G28" s="116">
        <v>3.040250713E9</v>
      </c>
      <c r="H28" s="114"/>
      <c r="I28" s="114"/>
      <c r="J28" s="121">
        <v>45849.0</v>
      </c>
      <c r="K28" s="117"/>
      <c r="L28" s="116" t="s">
        <v>2604</v>
      </c>
      <c r="M28" s="116" t="s">
        <v>15</v>
      </c>
      <c r="N28" s="118"/>
    </row>
    <row r="29">
      <c r="A29" s="115">
        <v>28.0</v>
      </c>
      <c r="B29" s="119" t="s">
        <v>1398</v>
      </c>
      <c r="C29" s="119" t="s">
        <v>1400</v>
      </c>
      <c r="D29" s="120"/>
      <c r="E29" s="114"/>
      <c r="F29" s="116" t="s">
        <v>2605</v>
      </c>
      <c r="G29" s="116">
        <v>3.040250714E9</v>
      </c>
      <c r="H29" s="114"/>
      <c r="I29" s="114"/>
      <c r="J29" s="121">
        <v>45838.0</v>
      </c>
      <c r="K29" s="117"/>
      <c r="L29" s="116" t="s">
        <v>2601</v>
      </c>
      <c r="M29" s="116" t="s">
        <v>22</v>
      </c>
      <c r="N29" s="118"/>
    </row>
    <row r="30">
      <c r="A30" s="115">
        <v>29.0</v>
      </c>
      <c r="B30" s="116" t="s">
        <v>1398</v>
      </c>
      <c r="C30" s="116" t="s">
        <v>1400</v>
      </c>
      <c r="D30" s="117"/>
      <c r="E30" s="114"/>
      <c r="F30" s="116">
        <v>976.0</v>
      </c>
      <c r="G30" s="116">
        <v>3.040250715E9</v>
      </c>
      <c r="H30" s="114"/>
      <c r="I30" s="114"/>
      <c r="J30" s="121">
        <v>45915.0</v>
      </c>
      <c r="K30" s="117"/>
      <c r="L30" s="116" t="s">
        <v>2606</v>
      </c>
      <c r="M30" s="116" t="s">
        <v>16</v>
      </c>
      <c r="N30" s="118"/>
    </row>
    <row r="31">
      <c r="A31" s="115">
        <v>30.0</v>
      </c>
      <c r="B31" s="119" t="s">
        <v>1398</v>
      </c>
      <c r="C31" s="119" t="s">
        <v>1400</v>
      </c>
      <c r="D31" s="120"/>
      <c r="E31" s="114"/>
      <c r="F31" s="116">
        <v>572.0</v>
      </c>
      <c r="G31" s="116">
        <v>3.040250716E9</v>
      </c>
      <c r="H31" s="114"/>
      <c r="I31" s="114"/>
      <c r="J31" s="121">
        <v>45849.0</v>
      </c>
      <c r="K31" s="117"/>
      <c r="L31" s="116" t="s">
        <v>2607</v>
      </c>
      <c r="M31" s="116" t="s">
        <v>13</v>
      </c>
      <c r="N31" s="118"/>
    </row>
    <row r="32">
      <c r="A32" s="115">
        <v>31.0</v>
      </c>
      <c r="B32" s="116" t="s">
        <v>1398</v>
      </c>
      <c r="C32" s="116" t="s">
        <v>1400</v>
      </c>
      <c r="D32" s="117"/>
      <c r="E32" s="114"/>
      <c r="F32" s="116" t="s">
        <v>1401</v>
      </c>
      <c r="G32" s="116">
        <v>3.040250717E9</v>
      </c>
      <c r="H32" s="114"/>
      <c r="I32" s="114"/>
      <c r="J32" s="117"/>
      <c r="K32" s="117"/>
      <c r="L32" s="117"/>
      <c r="M32" s="117"/>
      <c r="N32" s="118"/>
    </row>
    <row r="33">
      <c r="A33" s="115">
        <v>32.0</v>
      </c>
      <c r="B33" s="119" t="s">
        <v>1398</v>
      </c>
      <c r="C33" s="119" t="s">
        <v>1400</v>
      </c>
      <c r="D33" s="120"/>
      <c r="E33" s="114"/>
      <c r="F33" s="116">
        <v>7951.0</v>
      </c>
      <c r="G33" s="116">
        <v>3.040250718E9</v>
      </c>
      <c r="H33" s="114"/>
      <c r="I33" s="114"/>
      <c r="J33" s="121">
        <v>45800.0</v>
      </c>
      <c r="K33" s="117"/>
      <c r="L33" s="116" t="s">
        <v>2602</v>
      </c>
      <c r="M33" s="116" t="s">
        <v>17</v>
      </c>
      <c r="N33" s="118"/>
    </row>
    <row r="34">
      <c r="A34" s="115">
        <v>33.0</v>
      </c>
      <c r="B34" s="116" t="s">
        <v>1398</v>
      </c>
      <c r="C34" s="116" t="s">
        <v>1400</v>
      </c>
      <c r="D34" s="117"/>
      <c r="E34" s="114"/>
      <c r="F34" s="116">
        <v>323.0</v>
      </c>
      <c r="G34" s="116">
        <v>3.040252935E9</v>
      </c>
      <c r="H34" s="114"/>
      <c r="I34" s="114"/>
      <c r="J34" s="117"/>
      <c r="K34" s="117"/>
      <c r="L34" s="117"/>
      <c r="M34" s="117"/>
      <c r="N34" s="118"/>
    </row>
    <row r="35">
      <c r="A35" s="115">
        <v>34.0</v>
      </c>
      <c r="B35" s="119" t="s">
        <v>1398</v>
      </c>
      <c r="C35" s="119" t="s">
        <v>1400</v>
      </c>
      <c r="D35" s="120"/>
      <c r="E35" s="114"/>
      <c r="F35" s="116">
        <v>2.0</v>
      </c>
      <c r="G35" s="116">
        <v>3.040252936E9</v>
      </c>
      <c r="H35" s="114"/>
      <c r="I35" s="114"/>
      <c r="J35" s="121">
        <v>46119.0</v>
      </c>
      <c r="K35" s="117"/>
      <c r="L35" s="116" t="s">
        <v>2608</v>
      </c>
      <c r="M35" s="116" t="s">
        <v>12</v>
      </c>
      <c r="N35" s="118"/>
    </row>
    <row r="36">
      <c r="A36" s="115">
        <v>35.0</v>
      </c>
      <c r="B36" s="116" t="s">
        <v>1398</v>
      </c>
      <c r="C36" s="116" t="s">
        <v>1400</v>
      </c>
      <c r="D36" s="117"/>
      <c r="E36" s="114"/>
      <c r="F36" s="116">
        <v>52.0</v>
      </c>
      <c r="G36" s="116">
        <v>3.040252937E9</v>
      </c>
      <c r="H36" s="114"/>
      <c r="I36" s="114"/>
      <c r="J36" s="121">
        <v>45854.0</v>
      </c>
      <c r="K36" s="117"/>
      <c r="L36" s="116" t="s">
        <v>2609</v>
      </c>
      <c r="M36" s="116" t="s">
        <v>16</v>
      </c>
      <c r="N36" s="118"/>
    </row>
    <row r="37">
      <c r="A37" s="115">
        <v>36.0</v>
      </c>
      <c r="B37" s="119" t="s">
        <v>1398</v>
      </c>
      <c r="C37" s="119" t="s">
        <v>1400</v>
      </c>
      <c r="D37" s="120"/>
      <c r="E37" s="114"/>
      <c r="F37" s="116" t="s">
        <v>2610</v>
      </c>
      <c r="G37" s="116">
        <v>3.040252938E9</v>
      </c>
      <c r="H37" s="114"/>
      <c r="I37" s="114"/>
      <c r="J37" s="121">
        <v>45849.0</v>
      </c>
      <c r="K37" s="117"/>
      <c r="L37" s="116" t="s">
        <v>2611</v>
      </c>
      <c r="M37" s="116" t="s">
        <v>16</v>
      </c>
      <c r="N37" s="118"/>
    </row>
    <row r="38">
      <c r="A38" s="115">
        <v>37.0</v>
      </c>
      <c r="B38" s="116" t="s">
        <v>1398</v>
      </c>
      <c r="C38" s="116" t="s">
        <v>1400</v>
      </c>
      <c r="D38" s="117"/>
      <c r="E38" s="114"/>
      <c r="F38" s="116">
        <v>3.0</v>
      </c>
      <c r="G38" s="116">
        <v>3.040256662E9</v>
      </c>
      <c r="H38" s="114"/>
      <c r="I38" s="114"/>
      <c r="J38" s="121">
        <v>46119.0</v>
      </c>
      <c r="K38" s="117"/>
      <c r="L38" s="116" t="s">
        <v>2612</v>
      </c>
      <c r="M38" s="124" t="s">
        <v>12</v>
      </c>
      <c r="N38" s="118"/>
    </row>
    <row r="39">
      <c r="A39" s="115">
        <v>38.0</v>
      </c>
      <c r="B39" s="119" t="s">
        <v>1398</v>
      </c>
      <c r="C39" s="119" t="s">
        <v>1400</v>
      </c>
      <c r="D39" s="120"/>
      <c r="E39" s="114"/>
      <c r="F39" s="116" t="s">
        <v>2144</v>
      </c>
      <c r="G39" s="116">
        <v>3.040256698E9</v>
      </c>
      <c r="H39" s="114"/>
      <c r="I39" s="114"/>
      <c r="J39" s="117"/>
      <c r="K39" s="117"/>
      <c r="L39" s="117"/>
      <c r="M39" s="117"/>
      <c r="N39" s="118"/>
    </row>
    <row r="40">
      <c r="A40" s="115">
        <v>39.0</v>
      </c>
      <c r="B40" s="116" t="s">
        <v>1398</v>
      </c>
      <c r="C40" s="116" t="s">
        <v>1400</v>
      </c>
      <c r="D40" s="117"/>
      <c r="E40" s="114"/>
      <c r="F40" s="116" t="s">
        <v>1527</v>
      </c>
      <c r="G40" s="116">
        <v>3.040256713E9</v>
      </c>
      <c r="H40" s="114"/>
      <c r="I40" s="114"/>
      <c r="J40" s="121">
        <v>46092.0</v>
      </c>
      <c r="K40" s="117"/>
      <c r="L40" s="116" t="s">
        <v>2613</v>
      </c>
      <c r="M40" s="116" t="s">
        <v>16</v>
      </c>
      <c r="N40" s="118"/>
    </row>
    <row r="41">
      <c r="A41" s="115">
        <v>40.0</v>
      </c>
      <c r="B41" s="119" t="s">
        <v>1398</v>
      </c>
      <c r="C41" s="119" t="s">
        <v>2614</v>
      </c>
      <c r="D41" s="120"/>
      <c r="E41" s="114"/>
      <c r="F41" s="116">
        <v>1.0</v>
      </c>
      <c r="G41" s="116">
        <v>3.040257438E9</v>
      </c>
      <c r="H41" s="114"/>
      <c r="I41" s="114"/>
      <c r="J41" s="117"/>
      <c r="K41" s="117"/>
      <c r="L41" s="117"/>
      <c r="M41" s="117"/>
      <c r="N41" s="118"/>
    </row>
    <row r="42">
      <c r="A42" s="115">
        <v>41.0</v>
      </c>
      <c r="B42" s="116" t="s">
        <v>1398</v>
      </c>
      <c r="C42" s="116" t="s">
        <v>2614</v>
      </c>
      <c r="D42" s="117"/>
      <c r="E42" s="114"/>
      <c r="F42" s="116">
        <v>571.0</v>
      </c>
      <c r="G42" s="116">
        <v>3.040257439E9</v>
      </c>
      <c r="H42" s="114"/>
      <c r="I42" s="114"/>
      <c r="J42" s="117"/>
      <c r="K42" s="117"/>
      <c r="L42" s="117"/>
      <c r="M42" s="117"/>
      <c r="N42" s="118"/>
    </row>
    <row r="43">
      <c r="A43" s="115">
        <v>42.0</v>
      </c>
      <c r="B43" s="119" t="s">
        <v>1398</v>
      </c>
      <c r="C43" s="119" t="s">
        <v>2614</v>
      </c>
      <c r="D43" s="120"/>
      <c r="E43" s="114"/>
      <c r="F43" s="116">
        <v>327.0</v>
      </c>
      <c r="G43" s="116">
        <v>3.04025744E9</v>
      </c>
      <c r="H43" s="114"/>
      <c r="I43" s="114"/>
      <c r="J43" s="121">
        <v>46122.0</v>
      </c>
      <c r="K43" s="117"/>
      <c r="L43" s="116" t="s">
        <v>2498</v>
      </c>
      <c r="M43" s="116" t="s">
        <v>16</v>
      </c>
      <c r="N43" s="118"/>
    </row>
    <row r="44">
      <c r="A44" s="115">
        <v>43.0</v>
      </c>
      <c r="B44" s="116" t="s">
        <v>1398</v>
      </c>
      <c r="C44" s="116" t="s">
        <v>2614</v>
      </c>
      <c r="D44" s="117"/>
      <c r="E44" s="114"/>
      <c r="F44" s="116" t="s">
        <v>1549</v>
      </c>
      <c r="G44" s="116">
        <v>3.040257441E9</v>
      </c>
      <c r="H44" s="114"/>
      <c r="I44" s="114"/>
      <c r="J44" s="121">
        <v>46122.0</v>
      </c>
      <c r="K44" s="117"/>
      <c r="L44" s="116" t="s">
        <v>2498</v>
      </c>
      <c r="M44" s="116" t="s">
        <v>16</v>
      </c>
      <c r="N44" s="118"/>
    </row>
    <row r="45">
      <c r="A45" s="115">
        <v>44.0</v>
      </c>
      <c r="B45" s="119" t="s">
        <v>129</v>
      </c>
      <c r="C45" s="119" t="s">
        <v>130</v>
      </c>
      <c r="D45" s="120"/>
      <c r="E45" s="114"/>
      <c r="F45" s="116" t="s">
        <v>1384</v>
      </c>
      <c r="G45" s="116">
        <v>3.040250719E9</v>
      </c>
      <c r="H45" s="114"/>
      <c r="I45" s="114"/>
      <c r="J45" s="121">
        <v>46135.0</v>
      </c>
      <c r="K45" s="117"/>
      <c r="L45" s="116" t="s">
        <v>2457</v>
      </c>
      <c r="M45" s="116" t="s">
        <v>17</v>
      </c>
      <c r="N45" s="118"/>
    </row>
    <row r="46">
      <c r="A46" s="115">
        <v>45.0</v>
      </c>
      <c r="B46" s="116" t="s">
        <v>129</v>
      </c>
      <c r="C46" s="116" t="s">
        <v>130</v>
      </c>
      <c r="D46" s="117"/>
      <c r="E46" s="114"/>
      <c r="F46" s="116">
        <v>17143.0</v>
      </c>
      <c r="G46" s="116">
        <v>3.04025072E9</v>
      </c>
      <c r="H46" s="114"/>
      <c r="I46" s="114"/>
      <c r="J46" s="122">
        <v>46086.0</v>
      </c>
      <c r="K46" s="117"/>
      <c r="L46" s="116" t="s">
        <v>2564</v>
      </c>
      <c r="M46" s="116" t="s">
        <v>14</v>
      </c>
      <c r="N46" s="118"/>
    </row>
    <row r="47">
      <c r="A47" s="115">
        <v>46.0</v>
      </c>
      <c r="B47" s="119" t="s">
        <v>129</v>
      </c>
      <c r="C47" s="119" t="s">
        <v>130</v>
      </c>
      <c r="D47" s="120"/>
      <c r="E47" s="114"/>
      <c r="F47" s="116" t="s">
        <v>2036</v>
      </c>
      <c r="G47" s="116">
        <v>3.040250721E9</v>
      </c>
      <c r="H47" s="114"/>
      <c r="I47" s="114"/>
      <c r="J47" s="121">
        <v>46104.0</v>
      </c>
      <c r="K47" s="117"/>
      <c r="L47" s="116">
        <v>310.0</v>
      </c>
      <c r="M47" s="116" t="s">
        <v>14</v>
      </c>
      <c r="N47" s="118"/>
    </row>
    <row r="48">
      <c r="A48" s="115">
        <v>47.0</v>
      </c>
      <c r="B48" s="116" t="s">
        <v>105</v>
      </c>
      <c r="C48" s="116" t="s">
        <v>2615</v>
      </c>
      <c r="D48" s="117"/>
      <c r="E48" s="114"/>
      <c r="F48" s="116">
        <v>17869.0</v>
      </c>
      <c r="G48" s="116">
        <v>3.040259251E9</v>
      </c>
      <c r="H48" s="114"/>
      <c r="I48" s="114"/>
      <c r="J48" s="121">
        <v>45972.0</v>
      </c>
      <c r="K48" s="117"/>
      <c r="L48" s="116" t="s">
        <v>2616</v>
      </c>
      <c r="M48" s="117"/>
      <c r="N48" s="118"/>
    </row>
    <row r="49">
      <c r="A49" s="115">
        <v>48.0</v>
      </c>
      <c r="B49" s="119" t="s">
        <v>1631</v>
      </c>
      <c r="C49" s="119" t="s">
        <v>2617</v>
      </c>
      <c r="D49" s="120"/>
      <c r="E49" s="114"/>
      <c r="F49" s="116">
        <v>24310.0</v>
      </c>
      <c r="G49" s="116">
        <v>3.040253166E9</v>
      </c>
      <c r="H49" s="114"/>
      <c r="I49" s="114"/>
      <c r="J49" s="121">
        <v>45810.0</v>
      </c>
      <c r="K49" s="117"/>
      <c r="L49" s="116" t="s">
        <v>2618</v>
      </c>
      <c r="M49" s="116" t="s">
        <v>14</v>
      </c>
      <c r="N49" s="118"/>
    </row>
    <row r="50">
      <c r="A50" s="115">
        <v>49.0</v>
      </c>
      <c r="B50" s="116" t="s">
        <v>1602</v>
      </c>
      <c r="C50" s="116" t="s">
        <v>2619</v>
      </c>
      <c r="D50" s="117"/>
      <c r="E50" s="114"/>
      <c r="F50" s="116">
        <v>2953.0</v>
      </c>
      <c r="G50" s="116">
        <v>3.040257093E9</v>
      </c>
      <c r="H50" s="114"/>
      <c r="I50" s="114"/>
      <c r="J50" s="121">
        <v>45937.0</v>
      </c>
      <c r="K50" s="117"/>
      <c r="L50" s="116" t="s">
        <v>2620</v>
      </c>
      <c r="M50" s="116" t="s">
        <v>17</v>
      </c>
      <c r="N50" s="118"/>
    </row>
    <row r="51">
      <c r="A51" s="115">
        <v>50.0</v>
      </c>
      <c r="B51" s="119" t="s">
        <v>1602</v>
      </c>
      <c r="C51" s="119" t="s">
        <v>2619</v>
      </c>
      <c r="D51" s="120"/>
      <c r="E51" s="114"/>
      <c r="F51" s="116">
        <v>2982.0</v>
      </c>
      <c r="G51" s="116">
        <v>3.040257094E9</v>
      </c>
      <c r="H51" s="114"/>
      <c r="I51" s="114"/>
      <c r="J51" s="121">
        <v>45937.0</v>
      </c>
      <c r="K51" s="117"/>
      <c r="L51" s="116" t="s">
        <v>2620</v>
      </c>
      <c r="M51" s="116" t="s">
        <v>17</v>
      </c>
      <c r="N51" s="118"/>
    </row>
    <row r="52">
      <c r="A52" s="115">
        <v>51.0</v>
      </c>
      <c r="B52" s="116" t="s">
        <v>97</v>
      </c>
      <c r="C52" s="116" t="s">
        <v>1412</v>
      </c>
      <c r="D52" s="117"/>
      <c r="E52" s="114"/>
      <c r="F52" s="116" t="s">
        <v>1414</v>
      </c>
      <c r="G52" s="116">
        <v>3.040252161E9</v>
      </c>
      <c r="H52" s="114"/>
      <c r="I52" s="114"/>
      <c r="J52" s="117"/>
      <c r="K52" s="117"/>
      <c r="L52" s="117"/>
      <c r="M52" s="117"/>
      <c r="N52" s="118"/>
    </row>
    <row r="53">
      <c r="A53" s="115">
        <v>52.0</v>
      </c>
      <c r="B53" s="119" t="s">
        <v>97</v>
      </c>
      <c r="C53" s="119" t="s">
        <v>1412</v>
      </c>
      <c r="D53" s="120"/>
      <c r="E53" s="114"/>
      <c r="F53" s="116">
        <v>53850.0</v>
      </c>
      <c r="G53" s="116">
        <v>3.040252162E9</v>
      </c>
      <c r="H53" s="114"/>
      <c r="I53" s="114"/>
      <c r="J53" s="121">
        <v>45845.0</v>
      </c>
      <c r="K53" s="117"/>
      <c r="L53" s="116" t="s">
        <v>2621</v>
      </c>
      <c r="M53" s="116" t="s">
        <v>12</v>
      </c>
      <c r="N53" s="118"/>
    </row>
    <row r="54">
      <c r="A54" s="115">
        <v>53.0</v>
      </c>
      <c r="B54" s="116" t="s">
        <v>97</v>
      </c>
      <c r="C54" s="116" t="s">
        <v>1412</v>
      </c>
      <c r="D54" s="117"/>
      <c r="E54" s="114"/>
      <c r="F54" s="116">
        <v>53450.0</v>
      </c>
      <c r="G54" s="116">
        <v>3.040252163E9</v>
      </c>
      <c r="H54" s="114"/>
      <c r="I54" s="114"/>
      <c r="J54" s="121">
        <v>46077.0</v>
      </c>
      <c r="K54" s="117"/>
      <c r="L54" s="116" t="s">
        <v>2622</v>
      </c>
      <c r="M54" s="116" t="s">
        <v>13</v>
      </c>
      <c r="N54" s="118"/>
    </row>
    <row r="55">
      <c r="A55" s="115">
        <v>54.0</v>
      </c>
      <c r="B55" s="119" t="s">
        <v>97</v>
      </c>
      <c r="C55" s="119" t="s">
        <v>1412</v>
      </c>
      <c r="D55" s="120"/>
      <c r="E55" s="114"/>
      <c r="F55" s="116">
        <v>52537.0</v>
      </c>
      <c r="G55" s="116">
        <v>3.040252164E9</v>
      </c>
      <c r="H55" s="114"/>
      <c r="I55" s="114"/>
      <c r="J55" s="117"/>
      <c r="K55" s="117"/>
      <c r="L55" s="117"/>
      <c r="M55" s="117"/>
      <c r="N55" s="118"/>
    </row>
    <row r="56">
      <c r="A56" s="115">
        <v>55.0</v>
      </c>
      <c r="B56" s="116" t="s">
        <v>97</v>
      </c>
      <c r="C56" s="116" t="s">
        <v>1412</v>
      </c>
      <c r="D56" s="117"/>
      <c r="E56" s="114"/>
      <c r="F56" s="116">
        <v>51767.0</v>
      </c>
      <c r="G56" s="116">
        <v>3.040252165E9</v>
      </c>
      <c r="H56" s="114"/>
      <c r="I56" s="114"/>
      <c r="J56" s="121">
        <v>45971.0</v>
      </c>
      <c r="K56" s="117"/>
      <c r="L56" s="124" t="s">
        <v>2623</v>
      </c>
      <c r="M56" s="124" t="s">
        <v>12</v>
      </c>
      <c r="N56" s="118"/>
    </row>
    <row r="57">
      <c r="A57" s="115">
        <v>56.0</v>
      </c>
      <c r="B57" s="119" t="s">
        <v>238</v>
      </c>
      <c r="C57" s="119" t="s">
        <v>239</v>
      </c>
      <c r="D57" s="120"/>
      <c r="E57" s="114"/>
      <c r="F57" s="116">
        <v>28411.0</v>
      </c>
      <c r="G57" s="116">
        <v>3.040252166E9</v>
      </c>
      <c r="H57" s="114"/>
      <c r="I57" s="114"/>
      <c r="J57" s="117"/>
      <c r="K57" s="117"/>
      <c r="L57" s="117"/>
      <c r="M57" s="117"/>
      <c r="N57" s="118"/>
    </row>
    <row r="58">
      <c r="A58" s="115">
        <v>57.0</v>
      </c>
      <c r="B58" s="116" t="s">
        <v>1931</v>
      </c>
      <c r="C58" s="116" t="s">
        <v>1782</v>
      </c>
      <c r="D58" s="117"/>
      <c r="E58" s="114"/>
      <c r="F58" s="116">
        <v>12187.0</v>
      </c>
      <c r="G58" s="116">
        <v>3.040252167E9</v>
      </c>
      <c r="H58" s="114"/>
      <c r="I58" s="114"/>
      <c r="J58" s="121">
        <v>45817.0</v>
      </c>
      <c r="K58" s="117"/>
      <c r="L58" s="116" t="s">
        <v>2624</v>
      </c>
      <c r="M58" s="116" t="s">
        <v>12</v>
      </c>
      <c r="N58" s="118"/>
    </row>
    <row r="59">
      <c r="A59" s="115">
        <v>58.0</v>
      </c>
      <c r="B59" s="119" t="s">
        <v>1317</v>
      </c>
      <c r="C59" s="119" t="s">
        <v>1319</v>
      </c>
      <c r="D59" s="120"/>
      <c r="E59" s="114"/>
      <c r="F59" s="116">
        <v>3859.0</v>
      </c>
      <c r="G59" s="116">
        <v>3.040249831E9</v>
      </c>
      <c r="H59" s="114"/>
      <c r="I59" s="114"/>
      <c r="J59" s="117"/>
      <c r="K59" s="117"/>
      <c r="L59" s="117"/>
      <c r="M59" s="117"/>
      <c r="N59" s="118"/>
    </row>
    <row r="60">
      <c r="A60" s="115">
        <v>59.0</v>
      </c>
      <c r="B60" s="116" t="s">
        <v>1317</v>
      </c>
      <c r="C60" s="116" t="s">
        <v>1319</v>
      </c>
      <c r="D60" s="117"/>
      <c r="E60" s="114"/>
      <c r="F60" s="116">
        <v>3861.0</v>
      </c>
      <c r="G60" s="116">
        <v>3.040250722E9</v>
      </c>
      <c r="H60" s="114"/>
      <c r="I60" s="114"/>
      <c r="J60" s="121">
        <v>45965.0</v>
      </c>
      <c r="K60" s="117"/>
      <c r="L60" s="116" t="s">
        <v>2451</v>
      </c>
      <c r="M60" s="117"/>
      <c r="N60" s="118"/>
    </row>
    <row r="61">
      <c r="A61" s="115">
        <v>60.0</v>
      </c>
      <c r="B61" s="119" t="s">
        <v>1317</v>
      </c>
      <c r="C61" s="119" t="s">
        <v>1319</v>
      </c>
      <c r="D61" s="120"/>
      <c r="E61" s="114"/>
      <c r="F61" s="116">
        <v>3885.0</v>
      </c>
      <c r="G61" s="116">
        <v>3.040250723E9</v>
      </c>
      <c r="H61" s="114"/>
      <c r="I61" s="114"/>
      <c r="J61" s="117"/>
      <c r="K61" s="117"/>
      <c r="L61" s="117"/>
      <c r="M61" s="117"/>
      <c r="N61" s="118"/>
    </row>
    <row r="62">
      <c r="A62" s="115">
        <v>61.0</v>
      </c>
      <c r="B62" s="116" t="s">
        <v>1317</v>
      </c>
      <c r="C62" s="116" t="s">
        <v>2625</v>
      </c>
      <c r="D62" s="117"/>
      <c r="E62" s="114"/>
      <c r="F62" s="116">
        <v>1318.0</v>
      </c>
      <c r="G62" s="116">
        <v>3.040259152E9</v>
      </c>
      <c r="H62" s="114"/>
      <c r="I62" s="114"/>
      <c r="J62" s="121">
        <v>46072.0</v>
      </c>
      <c r="K62" s="117"/>
      <c r="L62" s="116" t="s">
        <v>2626</v>
      </c>
      <c r="M62" s="116" t="s">
        <v>17</v>
      </c>
      <c r="N62" s="118"/>
    </row>
    <row r="63">
      <c r="A63" s="115">
        <v>62.0</v>
      </c>
      <c r="B63" s="119" t="s">
        <v>1317</v>
      </c>
      <c r="C63" s="119" t="s">
        <v>2625</v>
      </c>
      <c r="D63" s="120"/>
      <c r="E63" s="114"/>
      <c r="F63" s="116">
        <v>1874.0</v>
      </c>
      <c r="G63" s="116">
        <v>3.04025915E9</v>
      </c>
      <c r="H63" s="114"/>
      <c r="I63" s="114"/>
      <c r="J63" s="117"/>
      <c r="K63" s="117"/>
      <c r="L63" s="117"/>
      <c r="M63" s="117"/>
      <c r="N63" s="118"/>
    </row>
    <row r="64">
      <c r="A64" s="115">
        <v>63.0</v>
      </c>
      <c r="B64" s="116" t="s">
        <v>1317</v>
      </c>
      <c r="C64" s="116" t="s">
        <v>2625</v>
      </c>
      <c r="D64" s="117"/>
      <c r="E64" s="114"/>
      <c r="F64" s="116">
        <v>1608.0</v>
      </c>
      <c r="G64" s="116">
        <v>3.040259151E9</v>
      </c>
      <c r="H64" s="114"/>
      <c r="I64" s="114"/>
      <c r="J64" s="121">
        <v>46072.0</v>
      </c>
      <c r="K64" s="117"/>
      <c r="L64" s="117"/>
      <c r="M64" s="117"/>
      <c r="N64" s="118"/>
    </row>
    <row r="65">
      <c r="A65" s="115">
        <v>64.0</v>
      </c>
      <c r="B65" s="119" t="s">
        <v>1421</v>
      </c>
      <c r="C65" s="125" t="s">
        <v>1422</v>
      </c>
      <c r="D65" s="120"/>
      <c r="E65" s="114"/>
      <c r="F65" s="116">
        <v>36025.0</v>
      </c>
      <c r="G65" s="116">
        <v>3.040252168E9</v>
      </c>
      <c r="H65" s="114"/>
      <c r="I65" s="114"/>
      <c r="J65" s="121">
        <v>45804.0</v>
      </c>
      <c r="K65" s="117"/>
      <c r="L65" s="116" t="s">
        <v>2627</v>
      </c>
      <c r="M65" s="116" t="s">
        <v>17</v>
      </c>
      <c r="N65" s="118"/>
    </row>
    <row r="66">
      <c r="A66" s="115">
        <v>65.0</v>
      </c>
      <c r="B66" s="116" t="s">
        <v>1421</v>
      </c>
      <c r="C66" s="123" t="s">
        <v>1422</v>
      </c>
      <c r="D66" s="117"/>
      <c r="E66" s="114"/>
      <c r="F66" s="116">
        <v>3997.0</v>
      </c>
      <c r="G66" s="116">
        <v>3.040252169E9</v>
      </c>
      <c r="H66" s="114"/>
      <c r="I66" s="114"/>
      <c r="J66" s="121">
        <v>45804.0</v>
      </c>
      <c r="K66" s="117"/>
      <c r="L66" s="116" t="s">
        <v>2628</v>
      </c>
      <c r="M66" s="116" t="s">
        <v>12</v>
      </c>
      <c r="N66" s="118"/>
    </row>
    <row r="67">
      <c r="A67" s="115">
        <v>66.0</v>
      </c>
      <c r="B67" s="119" t="s">
        <v>1421</v>
      </c>
      <c r="C67" s="125" t="s">
        <v>1422</v>
      </c>
      <c r="D67" s="120"/>
      <c r="E67" s="114"/>
      <c r="F67" s="116">
        <v>30865.0</v>
      </c>
      <c r="G67" s="116">
        <v>3.04025217E9</v>
      </c>
      <c r="H67" s="114"/>
      <c r="I67" s="114"/>
      <c r="J67" s="121">
        <v>45804.0</v>
      </c>
      <c r="K67" s="117"/>
      <c r="L67" s="116" t="s">
        <v>2628</v>
      </c>
      <c r="M67" s="116" t="s">
        <v>12</v>
      </c>
      <c r="N67" s="118"/>
    </row>
    <row r="68">
      <c r="A68" s="115">
        <v>67.0</v>
      </c>
      <c r="B68" s="116" t="s">
        <v>1421</v>
      </c>
      <c r="C68" s="123" t="s">
        <v>1422</v>
      </c>
      <c r="D68" s="117"/>
      <c r="E68" s="114"/>
      <c r="F68" s="116">
        <v>34257.0</v>
      </c>
      <c r="G68" s="116">
        <v>3.040252171E9</v>
      </c>
      <c r="H68" s="114"/>
      <c r="I68" s="114"/>
      <c r="J68" s="121">
        <v>45804.0</v>
      </c>
      <c r="K68" s="117"/>
      <c r="L68" s="116" t="s">
        <v>2628</v>
      </c>
      <c r="M68" s="116" t="s">
        <v>12</v>
      </c>
      <c r="N68" s="118"/>
    </row>
    <row r="69">
      <c r="A69" s="115">
        <v>68.0</v>
      </c>
      <c r="B69" s="119" t="s">
        <v>1421</v>
      </c>
      <c r="C69" s="125" t="s">
        <v>1422</v>
      </c>
      <c r="D69" s="120"/>
      <c r="E69" s="114"/>
      <c r="F69" s="116">
        <v>4357.0</v>
      </c>
      <c r="G69" s="116">
        <v>3.040252172E9</v>
      </c>
      <c r="H69" s="114"/>
      <c r="I69" s="114"/>
      <c r="J69" s="121">
        <v>45804.0</v>
      </c>
      <c r="K69" s="117"/>
      <c r="L69" s="116" t="s">
        <v>2628</v>
      </c>
      <c r="M69" s="116" t="s">
        <v>12</v>
      </c>
      <c r="N69" s="118"/>
    </row>
    <row r="70">
      <c r="A70" s="115">
        <v>69.0</v>
      </c>
      <c r="B70" s="116" t="s">
        <v>1421</v>
      </c>
      <c r="C70" s="123" t="s">
        <v>1422</v>
      </c>
      <c r="D70" s="117"/>
      <c r="E70" s="114"/>
      <c r="F70" s="116">
        <v>4355.0</v>
      </c>
      <c r="G70" s="116">
        <v>3.040252173E9</v>
      </c>
      <c r="H70" s="114"/>
      <c r="I70" s="114"/>
      <c r="J70" s="121">
        <v>45804.0</v>
      </c>
      <c r="K70" s="117"/>
      <c r="L70" s="116" t="s">
        <v>2628</v>
      </c>
      <c r="M70" s="116" t="s">
        <v>12</v>
      </c>
      <c r="N70" s="118"/>
    </row>
    <row r="71">
      <c r="A71" s="115">
        <v>70.0</v>
      </c>
      <c r="B71" s="119" t="s">
        <v>1421</v>
      </c>
      <c r="C71" s="125" t="s">
        <v>1422</v>
      </c>
      <c r="D71" s="120"/>
      <c r="E71" s="114"/>
      <c r="F71" s="116">
        <v>35378.0</v>
      </c>
      <c r="G71" s="116">
        <v>3.040253528E9</v>
      </c>
      <c r="H71" s="114"/>
      <c r="I71" s="114"/>
      <c r="J71" s="121">
        <v>45821.0</v>
      </c>
      <c r="K71" s="117"/>
      <c r="L71" s="116" t="s">
        <v>2629</v>
      </c>
      <c r="M71" s="116" t="s">
        <v>17</v>
      </c>
      <c r="N71" s="118"/>
    </row>
    <row r="72">
      <c r="A72" s="115">
        <v>71.0</v>
      </c>
      <c r="B72" s="116" t="s">
        <v>1421</v>
      </c>
      <c r="C72" s="123" t="s">
        <v>1422</v>
      </c>
      <c r="D72" s="117"/>
      <c r="E72" s="114"/>
      <c r="F72" s="116">
        <v>3945.0</v>
      </c>
      <c r="G72" s="116">
        <v>3.040253529E9</v>
      </c>
      <c r="H72" s="114"/>
      <c r="I72" s="114"/>
      <c r="J72" s="121">
        <v>45821.0</v>
      </c>
      <c r="K72" s="117"/>
      <c r="L72" s="117"/>
      <c r="M72" s="117"/>
      <c r="N72" s="118"/>
    </row>
    <row r="73">
      <c r="A73" s="115">
        <v>72.0</v>
      </c>
      <c r="B73" s="119" t="s">
        <v>1387</v>
      </c>
      <c r="C73" s="119" t="s">
        <v>1388</v>
      </c>
      <c r="D73" s="120"/>
      <c r="E73" s="114"/>
      <c r="F73" s="116" t="s">
        <v>1389</v>
      </c>
      <c r="G73" s="116">
        <v>3.040250724E9</v>
      </c>
      <c r="H73" s="114"/>
      <c r="I73" s="114"/>
      <c r="J73" s="121">
        <v>45891.0</v>
      </c>
      <c r="K73" s="117"/>
      <c r="L73" s="116" t="s">
        <v>2458</v>
      </c>
      <c r="M73" s="116" t="s">
        <v>17</v>
      </c>
      <c r="N73" s="118"/>
    </row>
    <row r="74">
      <c r="A74" s="115">
        <v>73.0</v>
      </c>
      <c r="B74" s="116" t="s">
        <v>193</v>
      </c>
      <c r="C74" s="123" t="s">
        <v>2630</v>
      </c>
      <c r="D74" s="117"/>
      <c r="E74" s="114"/>
      <c r="F74" s="116" t="s">
        <v>2631</v>
      </c>
      <c r="G74" s="116">
        <v>3.040252174E9</v>
      </c>
      <c r="H74" s="114"/>
      <c r="I74" s="114"/>
      <c r="J74" s="121">
        <v>45817.0</v>
      </c>
      <c r="K74" s="117"/>
      <c r="L74" s="116" t="s">
        <v>2624</v>
      </c>
      <c r="M74" s="117"/>
      <c r="N74" s="118"/>
    </row>
    <row r="75">
      <c r="A75" s="115">
        <v>74.0</v>
      </c>
      <c r="B75" s="119" t="s">
        <v>193</v>
      </c>
      <c r="C75" s="125" t="s">
        <v>2630</v>
      </c>
      <c r="D75" s="120"/>
      <c r="E75" s="114"/>
      <c r="F75" s="116">
        <v>32402.0</v>
      </c>
      <c r="G75" s="116">
        <v>3.040252175E9</v>
      </c>
      <c r="H75" s="114"/>
      <c r="I75" s="114"/>
      <c r="J75" s="121">
        <v>45883.0</v>
      </c>
      <c r="K75" s="117"/>
      <c r="L75" s="116" t="s">
        <v>2632</v>
      </c>
      <c r="M75" s="117"/>
      <c r="N75" s="118"/>
    </row>
    <row r="76">
      <c r="A76" s="115">
        <v>75.0</v>
      </c>
      <c r="B76" s="116" t="s">
        <v>111</v>
      </c>
      <c r="C76" s="116" t="s">
        <v>112</v>
      </c>
      <c r="D76" s="117"/>
      <c r="E76" s="114"/>
      <c r="F76" s="116">
        <v>35874.0</v>
      </c>
      <c r="G76" s="116">
        <v>3.040252176E9</v>
      </c>
      <c r="H76" s="114"/>
      <c r="I76" s="114"/>
      <c r="J76" s="121">
        <v>45817.0</v>
      </c>
      <c r="K76" s="117"/>
      <c r="L76" s="116" t="s">
        <v>2624</v>
      </c>
      <c r="M76" s="117"/>
      <c r="N76" s="118"/>
    </row>
    <row r="77">
      <c r="A77" s="115">
        <v>76.0</v>
      </c>
      <c r="B77" s="119" t="s">
        <v>111</v>
      </c>
      <c r="C77" s="119" t="s">
        <v>112</v>
      </c>
      <c r="D77" s="120"/>
      <c r="E77" s="114"/>
      <c r="F77" s="116">
        <v>15285.0</v>
      </c>
      <c r="G77" s="116">
        <v>3.040252177E9</v>
      </c>
      <c r="H77" s="114"/>
      <c r="I77" s="114"/>
      <c r="J77" s="121">
        <v>45883.0</v>
      </c>
      <c r="K77" s="117"/>
      <c r="L77" s="116" t="s">
        <v>2632</v>
      </c>
      <c r="M77" s="117"/>
      <c r="N77" s="118"/>
    </row>
    <row r="78">
      <c r="A78" s="115">
        <v>77.0</v>
      </c>
      <c r="B78" s="116" t="s">
        <v>1707</v>
      </c>
      <c r="C78" s="116" t="s">
        <v>1708</v>
      </c>
      <c r="D78" s="117"/>
      <c r="E78" s="114"/>
      <c r="F78" s="116">
        <v>38197.0</v>
      </c>
      <c r="G78" s="116">
        <v>3.040252178E9</v>
      </c>
      <c r="H78" s="114"/>
      <c r="I78" s="114"/>
      <c r="J78" s="121">
        <v>45971.0</v>
      </c>
      <c r="K78" s="117"/>
      <c r="L78" s="124" t="s">
        <v>2623</v>
      </c>
      <c r="M78" s="124" t="s">
        <v>12</v>
      </c>
      <c r="N78" s="118"/>
    </row>
    <row r="79">
      <c r="A79" s="115">
        <v>78.0</v>
      </c>
      <c r="B79" s="119" t="s">
        <v>1707</v>
      </c>
      <c r="C79" s="119" t="s">
        <v>1708</v>
      </c>
      <c r="D79" s="120"/>
      <c r="E79" s="114"/>
      <c r="F79" s="116">
        <v>37955.0</v>
      </c>
      <c r="G79" s="116">
        <v>3.040252179E9</v>
      </c>
      <c r="H79" s="114"/>
      <c r="I79" s="114"/>
      <c r="J79" s="121">
        <v>45849.0</v>
      </c>
      <c r="K79" s="117"/>
      <c r="L79" s="116" t="s">
        <v>2633</v>
      </c>
      <c r="M79" s="116" t="s">
        <v>16</v>
      </c>
      <c r="N79" s="118"/>
    </row>
    <row r="80">
      <c r="A80" s="115">
        <v>79.0</v>
      </c>
      <c r="B80" s="116" t="s">
        <v>1781</v>
      </c>
      <c r="C80" s="116" t="s">
        <v>1782</v>
      </c>
      <c r="D80" s="117"/>
      <c r="E80" s="114"/>
      <c r="F80" s="116">
        <v>84459.0</v>
      </c>
      <c r="G80" s="116">
        <v>3.04025218E9</v>
      </c>
      <c r="H80" s="114"/>
      <c r="I80" s="114"/>
      <c r="J80" s="121">
        <v>45849.0</v>
      </c>
      <c r="K80" s="117"/>
      <c r="L80" s="116" t="s">
        <v>2634</v>
      </c>
      <c r="M80" s="116" t="s">
        <v>17</v>
      </c>
      <c r="N80" s="118"/>
    </row>
    <row r="81">
      <c r="A81" s="115">
        <v>80.0</v>
      </c>
      <c r="B81" s="119" t="s">
        <v>1781</v>
      </c>
      <c r="C81" s="119" t="s">
        <v>1782</v>
      </c>
      <c r="D81" s="120"/>
      <c r="E81" s="114"/>
      <c r="F81" s="116">
        <v>84163.0</v>
      </c>
      <c r="G81" s="116">
        <v>3.040252181E9</v>
      </c>
      <c r="H81" s="114"/>
      <c r="I81" s="114"/>
      <c r="J81" s="121">
        <v>45863.0</v>
      </c>
      <c r="K81" s="117"/>
      <c r="L81" s="116" t="s">
        <v>2635</v>
      </c>
      <c r="M81" s="116" t="s">
        <v>16</v>
      </c>
      <c r="N81" s="118"/>
    </row>
    <row r="82">
      <c r="A82" s="115">
        <v>81.0</v>
      </c>
      <c r="B82" s="116" t="s">
        <v>1781</v>
      </c>
      <c r="C82" s="116" t="s">
        <v>1782</v>
      </c>
      <c r="D82" s="117"/>
      <c r="E82" s="114"/>
      <c r="F82" s="116">
        <v>85131.0</v>
      </c>
      <c r="G82" s="116">
        <v>3.040252182E9</v>
      </c>
      <c r="H82" s="114"/>
      <c r="I82" s="114"/>
      <c r="J82" s="121">
        <v>45810.0</v>
      </c>
      <c r="K82" s="117"/>
      <c r="L82" s="116" t="s">
        <v>2627</v>
      </c>
      <c r="M82" s="116" t="s">
        <v>17</v>
      </c>
      <c r="N82" s="118"/>
    </row>
    <row r="83">
      <c r="A83" s="115">
        <v>82.0</v>
      </c>
      <c r="B83" s="119" t="s">
        <v>1781</v>
      </c>
      <c r="C83" s="119" t="s">
        <v>1782</v>
      </c>
      <c r="D83" s="120"/>
      <c r="E83" s="114"/>
      <c r="F83" s="116">
        <v>84196.0</v>
      </c>
      <c r="G83" s="116">
        <v>3.040252183E9</v>
      </c>
      <c r="H83" s="114"/>
      <c r="I83" s="114"/>
      <c r="J83" s="121">
        <v>45926.0</v>
      </c>
      <c r="K83" s="117"/>
      <c r="L83" s="116" t="s">
        <v>2636</v>
      </c>
      <c r="M83" s="116" t="s">
        <v>16</v>
      </c>
      <c r="N83" s="118"/>
    </row>
    <row r="84">
      <c r="A84" s="115">
        <v>83.0</v>
      </c>
      <c r="B84" s="116" t="s">
        <v>1781</v>
      </c>
      <c r="C84" s="116" t="s">
        <v>1782</v>
      </c>
      <c r="D84" s="117"/>
      <c r="E84" s="114"/>
      <c r="F84" s="116">
        <v>85068.0</v>
      </c>
      <c r="G84" s="116">
        <v>3.040252184E9</v>
      </c>
      <c r="H84" s="114"/>
      <c r="I84" s="114"/>
      <c r="J84" s="121">
        <v>45971.0</v>
      </c>
      <c r="K84" s="117"/>
      <c r="L84" s="124" t="s">
        <v>2623</v>
      </c>
      <c r="M84" s="124" t="s">
        <v>12</v>
      </c>
      <c r="N84" s="118"/>
    </row>
    <row r="85">
      <c r="A85" s="115">
        <v>84.0</v>
      </c>
      <c r="B85" s="119" t="s">
        <v>1781</v>
      </c>
      <c r="C85" s="119" t="s">
        <v>1782</v>
      </c>
      <c r="D85" s="120"/>
      <c r="E85" s="114"/>
      <c r="F85" s="116">
        <v>86012.0</v>
      </c>
      <c r="G85" s="116">
        <v>3.040252185E9</v>
      </c>
      <c r="H85" s="114"/>
      <c r="I85" s="114"/>
      <c r="J85" s="121">
        <v>46164.0</v>
      </c>
      <c r="K85" s="117"/>
      <c r="L85" s="116" t="s">
        <v>2637</v>
      </c>
      <c r="M85" s="116" t="s">
        <v>14</v>
      </c>
      <c r="N85" s="118"/>
    </row>
    <row r="86">
      <c r="A86" s="115">
        <v>85.0</v>
      </c>
      <c r="B86" s="116" t="s">
        <v>1590</v>
      </c>
      <c r="C86" s="116" t="s">
        <v>1591</v>
      </c>
      <c r="D86" s="117"/>
      <c r="E86" s="114"/>
      <c r="F86" s="116">
        <v>96782.0</v>
      </c>
      <c r="G86" s="116">
        <v>3.040250725E9</v>
      </c>
      <c r="H86" s="114"/>
      <c r="I86" s="114"/>
      <c r="J86" s="121">
        <v>45986.0</v>
      </c>
      <c r="K86" s="117"/>
      <c r="L86" s="116" t="s">
        <v>2638</v>
      </c>
      <c r="M86" s="117"/>
      <c r="N86" s="118"/>
    </row>
    <row r="87">
      <c r="A87" s="115">
        <v>86.0</v>
      </c>
      <c r="B87" s="119" t="s">
        <v>1590</v>
      </c>
      <c r="C87" s="119" t="s">
        <v>1591</v>
      </c>
      <c r="D87" s="120"/>
      <c r="E87" s="114"/>
      <c r="F87" s="116" t="s">
        <v>2356</v>
      </c>
      <c r="G87" s="116">
        <v>3.040250726E9</v>
      </c>
      <c r="H87" s="114"/>
      <c r="I87" s="114"/>
      <c r="J87" s="116" t="s">
        <v>2639</v>
      </c>
      <c r="K87" s="117"/>
      <c r="L87" s="116" t="s">
        <v>2640</v>
      </c>
      <c r="M87" s="116" t="s">
        <v>14</v>
      </c>
      <c r="N87" s="118"/>
    </row>
    <row r="88">
      <c r="A88" s="115">
        <v>87.0</v>
      </c>
      <c r="B88" s="116" t="s">
        <v>1590</v>
      </c>
      <c r="C88" s="116" t="s">
        <v>1591</v>
      </c>
      <c r="D88" s="117"/>
      <c r="E88" s="114"/>
      <c r="F88" s="116">
        <v>90566.0</v>
      </c>
      <c r="G88" s="116">
        <v>3.040250727E9</v>
      </c>
      <c r="H88" s="114"/>
      <c r="I88" s="114"/>
      <c r="J88" s="121">
        <v>45786.0</v>
      </c>
      <c r="K88" s="117"/>
      <c r="L88" s="116" t="s">
        <v>2641</v>
      </c>
      <c r="M88" s="116" t="s">
        <v>12</v>
      </c>
      <c r="N88" s="118"/>
    </row>
    <row r="89">
      <c r="A89" s="115">
        <v>88.0</v>
      </c>
      <c r="B89" s="119" t="s">
        <v>1590</v>
      </c>
      <c r="C89" s="119" t="s">
        <v>1591</v>
      </c>
      <c r="D89" s="120"/>
      <c r="E89" s="114"/>
      <c r="F89" s="116" t="s">
        <v>2642</v>
      </c>
      <c r="G89" s="116">
        <v>3.040250728E9</v>
      </c>
      <c r="H89" s="114"/>
      <c r="I89" s="114"/>
      <c r="J89" s="121">
        <v>45777.0</v>
      </c>
      <c r="K89" s="117"/>
      <c r="L89" s="116" t="s">
        <v>2643</v>
      </c>
      <c r="M89" s="116" t="s">
        <v>12</v>
      </c>
      <c r="N89" s="118"/>
    </row>
    <row r="90">
      <c r="A90" s="115">
        <v>89.0</v>
      </c>
      <c r="B90" s="116" t="s">
        <v>149</v>
      </c>
      <c r="C90" s="116" t="s">
        <v>2644</v>
      </c>
      <c r="D90" s="117"/>
      <c r="E90" s="114"/>
      <c r="F90" s="116">
        <v>21990.0</v>
      </c>
      <c r="G90" s="116">
        <v>3.040255322E9</v>
      </c>
      <c r="H90" s="114"/>
      <c r="I90" s="114"/>
      <c r="J90" s="121">
        <v>45869.0</v>
      </c>
      <c r="K90" s="117"/>
      <c r="L90" s="116" t="s">
        <v>2645</v>
      </c>
      <c r="M90" s="116" t="s">
        <v>12</v>
      </c>
      <c r="N90" s="118"/>
    </row>
    <row r="91">
      <c r="A91" s="115">
        <v>90.0</v>
      </c>
      <c r="B91" s="119" t="s">
        <v>149</v>
      </c>
      <c r="C91" s="119" t="s">
        <v>2644</v>
      </c>
      <c r="D91" s="120"/>
      <c r="E91" s="114"/>
      <c r="F91" s="116">
        <v>24890.0</v>
      </c>
      <c r="G91" s="116">
        <v>3.040255323E9</v>
      </c>
      <c r="H91" s="114"/>
      <c r="I91" s="114"/>
      <c r="J91" s="121">
        <v>45891.0</v>
      </c>
      <c r="K91" s="117"/>
      <c r="L91" s="116" t="s">
        <v>2645</v>
      </c>
      <c r="M91" s="116" t="s">
        <v>12</v>
      </c>
      <c r="N91" s="118"/>
    </row>
    <row r="92">
      <c r="A92" s="115">
        <v>91.0</v>
      </c>
      <c r="B92" s="116" t="s">
        <v>149</v>
      </c>
      <c r="C92" s="116" t="s">
        <v>2644</v>
      </c>
      <c r="D92" s="117"/>
      <c r="E92" s="114"/>
      <c r="F92" s="116">
        <v>25126.0</v>
      </c>
      <c r="G92" s="116">
        <v>3.040255324E9</v>
      </c>
      <c r="H92" s="114"/>
      <c r="I92" s="114"/>
      <c r="J92" s="121">
        <v>45863.0</v>
      </c>
      <c r="K92" s="117"/>
      <c r="L92" s="116" t="s">
        <v>2646</v>
      </c>
      <c r="M92" s="116" t="s">
        <v>17</v>
      </c>
      <c r="N92" s="118"/>
    </row>
    <row r="93">
      <c r="A93" s="115">
        <v>92.0</v>
      </c>
      <c r="B93" s="119" t="s">
        <v>1519</v>
      </c>
      <c r="C93" s="119" t="s">
        <v>1520</v>
      </c>
      <c r="D93" s="120"/>
      <c r="E93" s="114"/>
      <c r="F93" s="116">
        <v>8272.0</v>
      </c>
      <c r="G93" s="116">
        <v>3.040250394E9</v>
      </c>
      <c r="H93" s="114"/>
      <c r="I93" s="114"/>
      <c r="J93" s="121">
        <v>45769.0</v>
      </c>
      <c r="K93" s="117"/>
      <c r="L93" s="116" t="s">
        <v>2647</v>
      </c>
      <c r="M93" s="116" t="s">
        <v>12</v>
      </c>
      <c r="N93" s="118"/>
    </row>
    <row r="94">
      <c r="A94" s="115">
        <v>93.0</v>
      </c>
      <c r="B94" s="116" t="s">
        <v>1519</v>
      </c>
      <c r="C94" s="116" t="s">
        <v>1520</v>
      </c>
      <c r="D94" s="117"/>
      <c r="E94" s="114"/>
      <c r="F94" s="116">
        <v>8183.0</v>
      </c>
      <c r="G94" s="116">
        <v>3.040250396E9</v>
      </c>
      <c r="H94" s="114"/>
      <c r="I94" s="114"/>
      <c r="J94" s="121">
        <v>45769.0</v>
      </c>
      <c r="K94" s="117"/>
      <c r="L94" s="116" t="s">
        <v>2647</v>
      </c>
      <c r="M94" s="116" t="s">
        <v>12</v>
      </c>
      <c r="N94" s="118"/>
    </row>
    <row r="95">
      <c r="A95" s="115">
        <v>94.0</v>
      </c>
      <c r="B95" s="119" t="s">
        <v>1519</v>
      </c>
      <c r="C95" s="119" t="s">
        <v>1520</v>
      </c>
      <c r="D95" s="120"/>
      <c r="E95" s="114"/>
      <c r="F95" s="116">
        <v>8320.0</v>
      </c>
      <c r="G95" s="116">
        <v>3.040256312E9</v>
      </c>
      <c r="H95" s="114"/>
      <c r="I95" s="114"/>
      <c r="J95" s="121">
        <v>45894.0</v>
      </c>
      <c r="K95" s="117"/>
      <c r="L95" s="116" t="s">
        <v>2589</v>
      </c>
      <c r="M95" s="116" t="s">
        <v>12</v>
      </c>
      <c r="N95" s="118"/>
    </row>
    <row r="96">
      <c r="A96" s="115">
        <v>95.0</v>
      </c>
      <c r="B96" s="116" t="s">
        <v>1519</v>
      </c>
      <c r="C96" s="116" t="s">
        <v>1520</v>
      </c>
      <c r="D96" s="117"/>
      <c r="E96" s="114"/>
      <c r="F96" s="116">
        <v>8259.0</v>
      </c>
      <c r="G96" s="116">
        <v>3.040256313E9</v>
      </c>
      <c r="H96" s="114"/>
      <c r="I96" s="114"/>
      <c r="J96" s="117"/>
      <c r="K96" s="117"/>
      <c r="L96" s="117"/>
      <c r="M96" s="117"/>
      <c r="N96" s="118"/>
    </row>
    <row r="97">
      <c r="A97" s="115">
        <v>96.0</v>
      </c>
      <c r="B97" s="119" t="s">
        <v>1519</v>
      </c>
      <c r="C97" s="119" t="s">
        <v>1520</v>
      </c>
      <c r="D97" s="120"/>
      <c r="E97" s="114"/>
      <c r="F97" s="116">
        <v>8317.0</v>
      </c>
      <c r="G97" s="116">
        <v>3.040256314E9</v>
      </c>
      <c r="H97" s="114"/>
      <c r="I97" s="114"/>
      <c r="J97" s="121">
        <v>45894.0</v>
      </c>
      <c r="K97" s="117"/>
      <c r="L97" s="116" t="s">
        <v>2648</v>
      </c>
      <c r="M97" s="116" t="s">
        <v>12</v>
      </c>
      <c r="N97" s="118"/>
    </row>
    <row r="98">
      <c r="A98" s="115">
        <v>97.0</v>
      </c>
      <c r="B98" s="116" t="s">
        <v>1745</v>
      </c>
      <c r="C98" s="116" t="s">
        <v>2649</v>
      </c>
      <c r="D98" s="117"/>
      <c r="E98" s="114"/>
      <c r="F98" s="116">
        <v>4741.0</v>
      </c>
      <c r="G98" s="116">
        <v>3.040257277E9</v>
      </c>
      <c r="H98" s="114"/>
      <c r="I98" s="114"/>
      <c r="J98" s="121">
        <v>45971.0</v>
      </c>
      <c r="K98" s="117"/>
      <c r="L98" s="116" t="s">
        <v>2650</v>
      </c>
      <c r="M98" s="116" t="s">
        <v>12</v>
      </c>
      <c r="N98" s="118"/>
    </row>
    <row r="99">
      <c r="A99" s="115">
        <v>98.0</v>
      </c>
      <c r="B99" s="119" t="s">
        <v>1745</v>
      </c>
      <c r="C99" s="119" t="s">
        <v>2649</v>
      </c>
      <c r="D99" s="120"/>
      <c r="E99" s="114"/>
      <c r="F99" s="116">
        <v>4118.0</v>
      </c>
      <c r="G99" s="116">
        <v>3.040257278E9</v>
      </c>
      <c r="H99" s="114"/>
      <c r="I99" s="114"/>
      <c r="J99" s="121">
        <v>45971.0</v>
      </c>
      <c r="K99" s="117"/>
      <c r="L99" s="116" t="s">
        <v>2650</v>
      </c>
      <c r="M99" s="116" t="s">
        <v>12</v>
      </c>
      <c r="N99" s="118"/>
    </row>
    <row r="100">
      <c r="A100" s="115">
        <v>99.0</v>
      </c>
      <c r="B100" s="116" t="s">
        <v>1745</v>
      </c>
      <c r="C100" s="116" t="s">
        <v>2649</v>
      </c>
      <c r="D100" s="117"/>
      <c r="E100" s="114"/>
      <c r="F100" s="116">
        <v>4144.0</v>
      </c>
      <c r="G100" s="116">
        <v>3.040257279E9</v>
      </c>
      <c r="H100" s="114"/>
      <c r="I100" s="114"/>
      <c r="J100" s="121">
        <v>45971.0</v>
      </c>
      <c r="K100" s="117"/>
      <c r="L100" s="116" t="s">
        <v>2650</v>
      </c>
      <c r="M100" s="116" t="s">
        <v>12</v>
      </c>
      <c r="N100" s="118"/>
    </row>
    <row r="101">
      <c r="A101" s="115">
        <v>100.0</v>
      </c>
      <c r="B101" s="119" t="s">
        <v>211</v>
      </c>
      <c r="C101" s="119" t="s">
        <v>2651</v>
      </c>
      <c r="D101" s="120"/>
      <c r="E101" s="114"/>
      <c r="F101" s="116">
        <v>22094.0</v>
      </c>
      <c r="G101" s="116">
        <v>3.040258763E9</v>
      </c>
      <c r="H101" s="114"/>
      <c r="I101" s="114"/>
      <c r="J101" s="122">
        <v>45996.0</v>
      </c>
      <c r="K101" s="117"/>
      <c r="L101" s="124" t="s">
        <v>2512</v>
      </c>
      <c r="M101" s="117"/>
      <c r="N101" s="118"/>
    </row>
    <row r="102">
      <c r="A102" s="115">
        <v>101.0</v>
      </c>
      <c r="B102" s="116" t="s">
        <v>211</v>
      </c>
      <c r="C102" s="116" t="s">
        <v>2651</v>
      </c>
      <c r="D102" s="117"/>
      <c r="E102" s="114"/>
      <c r="F102" s="116">
        <v>21107.0</v>
      </c>
      <c r="G102" s="116">
        <v>3.040258764E9</v>
      </c>
      <c r="H102" s="114"/>
      <c r="I102" s="114"/>
      <c r="J102" s="121">
        <v>45986.0</v>
      </c>
      <c r="K102" s="117"/>
      <c r="L102" s="116" t="s">
        <v>2652</v>
      </c>
      <c r="M102" s="117"/>
      <c r="N102" s="118"/>
    </row>
    <row r="103">
      <c r="A103" s="115">
        <v>102.0</v>
      </c>
      <c r="B103" s="119" t="s">
        <v>115</v>
      </c>
      <c r="C103" s="119" t="s">
        <v>1390</v>
      </c>
      <c r="D103" s="120"/>
      <c r="E103" s="114"/>
      <c r="F103" s="116">
        <v>75123.0</v>
      </c>
      <c r="G103" s="116">
        <v>3.040250729E9</v>
      </c>
      <c r="H103" s="114"/>
      <c r="I103" s="114"/>
      <c r="J103" s="117"/>
      <c r="K103" s="117"/>
      <c r="L103" s="117"/>
      <c r="M103" s="117"/>
      <c r="N103" s="118"/>
    </row>
    <row r="104">
      <c r="A104" s="115">
        <v>103.0</v>
      </c>
      <c r="B104" s="116" t="s">
        <v>115</v>
      </c>
      <c r="C104" s="116" t="s">
        <v>1390</v>
      </c>
      <c r="D104" s="117"/>
      <c r="E104" s="114"/>
      <c r="F104" s="116">
        <v>62620.0</v>
      </c>
      <c r="G104" s="116">
        <v>3.040250731E9</v>
      </c>
      <c r="H104" s="114"/>
      <c r="I104" s="114"/>
      <c r="J104" s="121">
        <v>45769.0</v>
      </c>
      <c r="K104" s="117"/>
      <c r="L104" s="116" t="s">
        <v>2647</v>
      </c>
      <c r="M104" s="116" t="s">
        <v>12</v>
      </c>
      <c r="N104" s="118"/>
    </row>
    <row r="105">
      <c r="A105" s="115">
        <v>104.0</v>
      </c>
      <c r="B105" s="119" t="s">
        <v>115</v>
      </c>
      <c r="C105" s="119" t="s">
        <v>1390</v>
      </c>
      <c r="D105" s="120"/>
      <c r="E105" s="114"/>
      <c r="F105" s="116">
        <v>60568.0</v>
      </c>
      <c r="G105" s="116">
        <v>3.040250732E9</v>
      </c>
      <c r="H105" s="114"/>
      <c r="I105" s="114"/>
      <c r="J105" s="121">
        <v>45769.0</v>
      </c>
      <c r="K105" s="117"/>
      <c r="L105" s="116" t="s">
        <v>2647</v>
      </c>
      <c r="M105" s="116" t="s">
        <v>12</v>
      </c>
      <c r="N105" s="118"/>
    </row>
    <row r="106">
      <c r="A106" s="115">
        <v>105.0</v>
      </c>
      <c r="B106" s="116" t="s">
        <v>115</v>
      </c>
      <c r="C106" s="116" t="s">
        <v>2653</v>
      </c>
      <c r="D106" s="117"/>
      <c r="E106" s="114"/>
      <c r="F106" s="116">
        <v>62600.0</v>
      </c>
      <c r="G106" s="116">
        <v>3.040254768E9</v>
      </c>
      <c r="H106" s="114"/>
      <c r="I106" s="114"/>
      <c r="J106" s="121">
        <v>45849.0</v>
      </c>
      <c r="K106" s="117"/>
      <c r="L106" s="116" t="s">
        <v>2654</v>
      </c>
      <c r="M106" s="116" t="s">
        <v>15</v>
      </c>
      <c r="N106" s="118"/>
    </row>
    <row r="107">
      <c r="A107" s="115">
        <v>106.0</v>
      </c>
      <c r="B107" s="119" t="s">
        <v>115</v>
      </c>
      <c r="C107" s="119" t="s">
        <v>2653</v>
      </c>
      <c r="D107" s="120"/>
      <c r="E107" s="114"/>
      <c r="F107" s="116">
        <v>60637.0</v>
      </c>
      <c r="G107" s="116">
        <v>3.040254769E9</v>
      </c>
      <c r="H107" s="114"/>
      <c r="I107" s="114"/>
      <c r="J107" s="121">
        <v>45849.0</v>
      </c>
      <c r="K107" s="117"/>
      <c r="L107" s="116" t="s">
        <v>2624</v>
      </c>
      <c r="M107" s="117"/>
      <c r="N107" s="118"/>
    </row>
    <row r="108">
      <c r="A108" s="115">
        <v>107.0</v>
      </c>
      <c r="B108" s="116" t="s">
        <v>115</v>
      </c>
      <c r="C108" s="116" t="s">
        <v>2653</v>
      </c>
      <c r="D108" s="117"/>
      <c r="E108" s="114"/>
      <c r="F108" s="116">
        <v>56422.0</v>
      </c>
      <c r="G108" s="116">
        <v>3.04025477E9</v>
      </c>
      <c r="H108" s="114"/>
      <c r="I108" s="114"/>
      <c r="J108" s="117"/>
      <c r="K108" s="117"/>
      <c r="L108" s="117"/>
      <c r="M108" s="117"/>
      <c r="N108" s="118"/>
    </row>
    <row r="109">
      <c r="A109" s="115">
        <v>108.0</v>
      </c>
      <c r="B109" s="119" t="s">
        <v>123</v>
      </c>
      <c r="C109" s="119" t="s">
        <v>2655</v>
      </c>
      <c r="D109" s="120"/>
      <c r="E109" s="114"/>
      <c r="F109" s="116">
        <v>5263.0</v>
      </c>
      <c r="G109" s="116">
        <v>3.040255589E9</v>
      </c>
      <c r="H109" s="114"/>
      <c r="I109" s="114"/>
      <c r="J109" s="117"/>
      <c r="K109" s="117"/>
      <c r="L109" s="117"/>
      <c r="M109" s="117"/>
      <c r="N109" s="118"/>
    </row>
    <row r="110">
      <c r="A110" s="115">
        <v>109.0</v>
      </c>
      <c r="B110" s="116" t="s">
        <v>123</v>
      </c>
      <c r="C110" s="116" t="s">
        <v>2655</v>
      </c>
      <c r="D110" s="117"/>
      <c r="E110" s="114"/>
      <c r="F110" s="116" t="s">
        <v>2125</v>
      </c>
      <c r="G110" s="116">
        <v>3.04025559E9</v>
      </c>
      <c r="H110" s="114"/>
      <c r="I110" s="114"/>
      <c r="J110" s="121">
        <v>45891.0</v>
      </c>
      <c r="K110" s="117"/>
      <c r="L110" s="116" t="s">
        <v>2656</v>
      </c>
      <c r="M110" s="116" t="s">
        <v>17</v>
      </c>
      <c r="N110" s="118"/>
    </row>
    <row r="111">
      <c r="A111" s="115">
        <v>110.0</v>
      </c>
      <c r="B111" s="119" t="s">
        <v>123</v>
      </c>
      <c r="C111" s="119" t="s">
        <v>1506</v>
      </c>
      <c r="D111" s="120"/>
      <c r="E111" s="114"/>
      <c r="F111" s="116" t="s">
        <v>2657</v>
      </c>
      <c r="G111" s="116">
        <v>3.04025983E9</v>
      </c>
      <c r="H111" s="114"/>
      <c r="I111" s="114"/>
      <c r="J111" s="121">
        <v>45769.0</v>
      </c>
      <c r="K111" s="117"/>
      <c r="L111" s="116" t="s">
        <v>2647</v>
      </c>
      <c r="M111" s="116" t="s">
        <v>12</v>
      </c>
      <c r="N111" s="118"/>
    </row>
    <row r="112">
      <c r="A112" s="115">
        <v>111.0</v>
      </c>
      <c r="B112" s="116" t="s">
        <v>1394</v>
      </c>
      <c r="C112" s="116" t="s">
        <v>2658</v>
      </c>
      <c r="D112" s="117"/>
      <c r="E112" s="114"/>
      <c r="F112" s="116">
        <v>277.0</v>
      </c>
      <c r="G112" s="116">
        <v>3.040250773E9</v>
      </c>
      <c r="H112" s="114"/>
      <c r="I112" s="114"/>
      <c r="J112" s="121">
        <v>45889.0</v>
      </c>
      <c r="K112" s="117"/>
      <c r="L112" s="116" t="s">
        <v>2659</v>
      </c>
      <c r="M112" s="116" t="s">
        <v>12</v>
      </c>
      <c r="N112" s="118"/>
    </row>
    <row r="113">
      <c r="A113" s="115">
        <v>112.0</v>
      </c>
      <c r="B113" s="119" t="s">
        <v>1394</v>
      </c>
      <c r="C113" s="119" t="s">
        <v>2658</v>
      </c>
      <c r="D113" s="120"/>
      <c r="E113" s="114"/>
      <c r="F113" s="116">
        <v>42.0</v>
      </c>
      <c r="G113" s="116">
        <v>3.040250774E9</v>
      </c>
      <c r="H113" s="114"/>
      <c r="I113" s="114"/>
      <c r="J113" s="121">
        <v>45945.0</v>
      </c>
      <c r="K113" s="117"/>
      <c r="L113" s="116" t="s">
        <v>2660</v>
      </c>
      <c r="M113" s="117"/>
      <c r="N113" s="118"/>
    </row>
    <row r="114">
      <c r="A114" s="115">
        <v>113.0</v>
      </c>
      <c r="B114" s="116" t="s">
        <v>1394</v>
      </c>
      <c r="C114" s="116" t="s">
        <v>2658</v>
      </c>
      <c r="D114" s="117"/>
      <c r="E114" s="114"/>
      <c r="F114" s="116">
        <v>783.0</v>
      </c>
      <c r="G114" s="116">
        <v>3.040250775E9</v>
      </c>
      <c r="H114" s="114"/>
      <c r="I114" s="114"/>
      <c r="J114" s="121">
        <v>45945.0</v>
      </c>
      <c r="K114" s="117"/>
      <c r="L114" s="116" t="s">
        <v>2660</v>
      </c>
      <c r="M114" s="117"/>
      <c r="N114" s="118"/>
    </row>
    <row r="115">
      <c r="A115" s="115">
        <v>114.0</v>
      </c>
      <c r="B115" s="119" t="s">
        <v>1394</v>
      </c>
      <c r="C115" s="119" t="s">
        <v>2658</v>
      </c>
      <c r="D115" s="120"/>
      <c r="E115" s="114"/>
      <c r="F115" s="116">
        <v>778.0</v>
      </c>
      <c r="G115" s="116">
        <v>3.040256665E9</v>
      </c>
      <c r="H115" s="114"/>
      <c r="I115" s="114"/>
      <c r="J115" s="122">
        <v>46119.0</v>
      </c>
      <c r="K115" s="117"/>
      <c r="L115" s="116" t="s">
        <v>2612</v>
      </c>
      <c r="M115" s="124" t="s">
        <v>12</v>
      </c>
      <c r="N115" s="118"/>
    </row>
    <row r="116">
      <c r="A116" s="115">
        <v>115.0</v>
      </c>
      <c r="B116" s="116" t="s">
        <v>1394</v>
      </c>
      <c r="C116" s="116" t="s">
        <v>2658</v>
      </c>
      <c r="D116" s="117"/>
      <c r="E116" s="114"/>
      <c r="F116" s="116" t="s">
        <v>2140</v>
      </c>
      <c r="G116" s="116">
        <v>3.040256666E9</v>
      </c>
      <c r="H116" s="114"/>
      <c r="I116" s="114"/>
      <c r="J116" s="121">
        <v>46029.0</v>
      </c>
      <c r="K116" s="117"/>
      <c r="L116" s="116" t="s">
        <v>2661</v>
      </c>
      <c r="M116" s="124" t="s">
        <v>12</v>
      </c>
      <c r="N116" s="118"/>
    </row>
    <row r="117">
      <c r="A117" s="115">
        <v>116.0</v>
      </c>
      <c r="B117" s="119" t="s">
        <v>1394</v>
      </c>
      <c r="C117" s="119" t="s">
        <v>2658</v>
      </c>
      <c r="D117" s="120"/>
      <c r="E117" s="114"/>
      <c r="F117" s="116" t="s">
        <v>2142</v>
      </c>
      <c r="G117" s="116">
        <v>3.040256667E9</v>
      </c>
      <c r="H117" s="114"/>
      <c r="I117" s="114"/>
      <c r="J117" s="121">
        <v>46029.0</v>
      </c>
      <c r="K117" s="117"/>
      <c r="L117" s="116" t="s">
        <v>2661</v>
      </c>
      <c r="M117" s="124" t="s">
        <v>12</v>
      </c>
      <c r="N117" s="118"/>
    </row>
    <row r="118">
      <c r="A118" s="115">
        <v>117.0</v>
      </c>
      <c r="B118" s="116" t="s">
        <v>1394</v>
      </c>
      <c r="C118" s="116" t="s">
        <v>2658</v>
      </c>
      <c r="D118" s="117"/>
      <c r="E118" s="114"/>
      <c r="F118" s="116">
        <v>356.0</v>
      </c>
      <c r="G118" s="116">
        <v>3.040256668E9</v>
      </c>
      <c r="H118" s="114"/>
      <c r="I118" s="114"/>
      <c r="J118" s="121">
        <v>46119.0</v>
      </c>
      <c r="K118" s="117"/>
      <c r="L118" s="116" t="s">
        <v>2612</v>
      </c>
      <c r="M118" s="124" t="s">
        <v>12</v>
      </c>
      <c r="N118" s="118"/>
    </row>
    <row r="119">
      <c r="A119" s="115">
        <v>118.0</v>
      </c>
      <c r="B119" s="119" t="s">
        <v>1394</v>
      </c>
      <c r="C119" s="119" t="s">
        <v>2658</v>
      </c>
      <c r="D119" s="120"/>
      <c r="E119" s="114"/>
      <c r="F119" s="116" t="s">
        <v>2143</v>
      </c>
      <c r="G119" s="116">
        <v>3.040256669E9</v>
      </c>
      <c r="H119" s="114"/>
      <c r="I119" s="114"/>
      <c r="J119" s="121">
        <v>46230.0</v>
      </c>
      <c r="K119" s="117"/>
      <c r="L119" s="116" t="s">
        <v>2662</v>
      </c>
      <c r="M119" s="116" t="s">
        <v>12</v>
      </c>
      <c r="N119" s="118"/>
    </row>
    <row r="120">
      <c r="A120" s="115">
        <v>119.0</v>
      </c>
      <c r="B120" s="116" t="s">
        <v>1394</v>
      </c>
      <c r="C120" s="116" t="s">
        <v>2658</v>
      </c>
      <c r="D120" s="117"/>
      <c r="E120" s="114"/>
      <c r="F120" s="116">
        <v>28.0</v>
      </c>
      <c r="G120" s="116">
        <v>3.04025667E9</v>
      </c>
      <c r="H120" s="114"/>
      <c r="I120" s="114"/>
      <c r="J120" s="121">
        <v>46119.0</v>
      </c>
      <c r="K120" s="117"/>
      <c r="L120" s="116" t="s">
        <v>2612</v>
      </c>
      <c r="M120" s="124" t="s">
        <v>12</v>
      </c>
      <c r="N120" s="118"/>
    </row>
    <row r="121">
      <c r="A121" s="115">
        <v>120.0</v>
      </c>
      <c r="B121" s="119" t="s">
        <v>1394</v>
      </c>
      <c r="C121" s="119" t="s">
        <v>2658</v>
      </c>
      <c r="D121" s="120"/>
      <c r="E121" s="114"/>
      <c r="F121" s="116">
        <v>3270.0</v>
      </c>
      <c r="G121" s="116">
        <v>3.040256671E9</v>
      </c>
      <c r="H121" s="114"/>
      <c r="I121" s="114"/>
      <c r="J121" s="121">
        <v>46119.0</v>
      </c>
      <c r="K121" s="117"/>
      <c r="L121" s="116" t="s">
        <v>2612</v>
      </c>
      <c r="M121" s="124" t="s">
        <v>12</v>
      </c>
      <c r="N121" s="118"/>
    </row>
    <row r="122">
      <c r="A122" s="115">
        <v>121.0</v>
      </c>
      <c r="B122" s="116" t="s">
        <v>63</v>
      </c>
      <c r="C122" s="116" t="s">
        <v>2663</v>
      </c>
      <c r="D122" s="117"/>
      <c r="E122" s="114"/>
      <c r="F122" s="116">
        <v>29.0</v>
      </c>
      <c r="G122" s="116">
        <v>3.040250776E9</v>
      </c>
      <c r="H122" s="114"/>
      <c r="I122" s="114"/>
      <c r="J122" s="121">
        <v>45931.0</v>
      </c>
      <c r="K122" s="117"/>
      <c r="L122" s="116" t="s">
        <v>2664</v>
      </c>
      <c r="M122" s="116" t="s">
        <v>17</v>
      </c>
      <c r="N122" s="118"/>
    </row>
    <row r="123">
      <c r="A123" s="115">
        <v>122.0</v>
      </c>
      <c r="B123" s="119" t="s">
        <v>63</v>
      </c>
      <c r="C123" s="119" t="s">
        <v>2663</v>
      </c>
      <c r="D123" s="120"/>
      <c r="E123" s="114"/>
      <c r="F123" s="116">
        <v>11.0</v>
      </c>
      <c r="G123" s="116">
        <v>3.040250777E9</v>
      </c>
      <c r="H123" s="114"/>
      <c r="I123" s="114"/>
      <c r="J123" s="121">
        <v>45889.0</v>
      </c>
      <c r="K123" s="117"/>
      <c r="L123" s="116" t="s">
        <v>2659</v>
      </c>
      <c r="M123" s="116" t="s">
        <v>12</v>
      </c>
      <c r="N123" s="118"/>
    </row>
    <row r="124">
      <c r="A124" s="115">
        <v>123.0</v>
      </c>
      <c r="B124" s="116" t="s">
        <v>63</v>
      </c>
      <c r="C124" s="116" t="s">
        <v>1432</v>
      </c>
      <c r="D124" s="117"/>
      <c r="E124" s="114"/>
      <c r="F124" s="116">
        <v>291.0</v>
      </c>
      <c r="G124" s="116">
        <v>3.040250778E9</v>
      </c>
      <c r="H124" s="114"/>
      <c r="I124" s="114"/>
      <c r="J124" s="121">
        <v>45986.0</v>
      </c>
      <c r="K124" s="117"/>
      <c r="L124" s="116" t="s">
        <v>2665</v>
      </c>
      <c r="M124" s="116" t="s">
        <v>17</v>
      </c>
      <c r="N124" s="118"/>
    </row>
    <row r="125">
      <c r="A125" s="115">
        <v>124.0</v>
      </c>
      <c r="B125" s="119" t="s">
        <v>63</v>
      </c>
      <c r="C125" s="119" t="s">
        <v>2663</v>
      </c>
      <c r="D125" s="120"/>
      <c r="E125" s="114"/>
      <c r="F125" s="116">
        <v>475.0</v>
      </c>
      <c r="G125" s="116">
        <v>3.040253167E9</v>
      </c>
      <c r="H125" s="114"/>
      <c r="I125" s="114"/>
      <c r="J125" s="121">
        <v>45889.0</v>
      </c>
      <c r="K125" s="117"/>
      <c r="L125" s="116" t="s">
        <v>2666</v>
      </c>
      <c r="M125" s="116" t="s">
        <v>12</v>
      </c>
      <c r="N125" s="118"/>
    </row>
    <row r="126">
      <c r="A126" s="115">
        <v>125.0</v>
      </c>
      <c r="B126" s="116" t="s">
        <v>63</v>
      </c>
      <c r="C126" s="116" t="s">
        <v>2663</v>
      </c>
      <c r="D126" s="117"/>
      <c r="E126" s="114"/>
      <c r="F126" s="116">
        <v>13.0</v>
      </c>
      <c r="G126" s="116">
        <v>3.040253168E9</v>
      </c>
      <c r="H126" s="114"/>
      <c r="I126" s="114"/>
      <c r="J126" s="126">
        <v>45876.0</v>
      </c>
      <c r="K126" s="117"/>
      <c r="L126" s="127" t="s">
        <v>2667</v>
      </c>
      <c r="M126" s="117"/>
      <c r="N126" s="118"/>
    </row>
    <row r="127">
      <c r="A127" s="115">
        <v>126.0</v>
      </c>
      <c r="B127" s="119" t="s">
        <v>63</v>
      </c>
      <c r="C127" s="119" t="s">
        <v>2663</v>
      </c>
      <c r="D127" s="120"/>
      <c r="E127" s="114"/>
      <c r="F127" s="116">
        <v>967.0</v>
      </c>
      <c r="G127" s="116">
        <v>3.04025317E9</v>
      </c>
      <c r="H127" s="114"/>
      <c r="I127" s="114"/>
      <c r="J127" s="117"/>
      <c r="K127" s="117"/>
      <c r="L127" s="117"/>
      <c r="M127" s="117"/>
      <c r="N127" s="118"/>
    </row>
    <row r="128">
      <c r="A128" s="115">
        <v>127.0</v>
      </c>
      <c r="B128" s="116" t="s">
        <v>63</v>
      </c>
      <c r="C128" s="116" t="s">
        <v>2663</v>
      </c>
      <c r="D128" s="117"/>
      <c r="E128" s="114"/>
      <c r="F128" s="116" t="s">
        <v>2668</v>
      </c>
      <c r="G128" s="116">
        <v>3.040253171E9</v>
      </c>
      <c r="H128" s="114"/>
      <c r="I128" s="114"/>
      <c r="J128" s="126">
        <v>45876.0</v>
      </c>
      <c r="K128" s="117"/>
      <c r="L128" s="127" t="s">
        <v>2667</v>
      </c>
      <c r="M128" s="124" t="s">
        <v>12</v>
      </c>
      <c r="N128" s="118"/>
    </row>
    <row r="129">
      <c r="A129" s="115">
        <v>128.0</v>
      </c>
      <c r="B129" s="119" t="s">
        <v>63</v>
      </c>
      <c r="C129" s="119" t="s">
        <v>2663</v>
      </c>
      <c r="D129" s="120"/>
      <c r="E129" s="114"/>
      <c r="F129" s="116" t="s">
        <v>1433</v>
      </c>
      <c r="G129" s="116">
        <v>3.040253172E9</v>
      </c>
      <c r="H129" s="114"/>
      <c r="I129" s="114"/>
      <c r="J129" s="117"/>
      <c r="K129" s="117"/>
      <c r="L129" s="117"/>
      <c r="M129" s="117"/>
      <c r="N129" s="118"/>
    </row>
    <row r="130">
      <c r="A130" s="115">
        <v>129.0</v>
      </c>
      <c r="B130" s="116" t="s">
        <v>63</v>
      </c>
      <c r="C130" s="116" t="s">
        <v>2663</v>
      </c>
      <c r="D130" s="117"/>
      <c r="E130" s="114"/>
      <c r="F130" s="116">
        <v>39.0</v>
      </c>
      <c r="G130" s="116">
        <v>3.040253173E9</v>
      </c>
      <c r="H130" s="114"/>
      <c r="I130" s="114"/>
      <c r="J130" s="121">
        <v>46230.0</v>
      </c>
      <c r="K130" s="117"/>
      <c r="L130" s="116" t="s">
        <v>2662</v>
      </c>
      <c r="M130" s="116" t="s">
        <v>12</v>
      </c>
      <c r="N130" s="118"/>
    </row>
    <row r="131">
      <c r="A131" s="115">
        <v>130.0</v>
      </c>
      <c r="B131" s="119" t="s">
        <v>63</v>
      </c>
      <c r="C131" s="119" t="s">
        <v>2663</v>
      </c>
      <c r="D131" s="120"/>
      <c r="E131" s="114"/>
      <c r="F131" s="116">
        <v>278.0</v>
      </c>
      <c r="G131" s="116">
        <v>3.040253174E9</v>
      </c>
      <c r="H131" s="114"/>
      <c r="I131" s="114"/>
      <c r="J131" s="121">
        <v>45889.0</v>
      </c>
      <c r="K131" s="117"/>
      <c r="L131" s="116" t="s">
        <v>2666</v>
      </c>
      <c r="M131" s="116" t="s">
        <v>12</v>
      </c>
      <c r="N131" s="118"/>
    </row>
    <row r="132">
      <c r="A132" s="115">
        <v>131.0</v>
      </c>
      <c r="B132" s="116" t="s">
        <v>63</v>
      </c>
      <c r="C132" s="116" t="s">
        <v>2663</v>
      </c>
      <c r="D132" s="117"/>
      <c r="E132" s="114"/>
      <c r="F132" s="116" t="s">
        <v>2147</v>
      </c>
      <c r="G132" s="116">
        <v>3.040256672E9</v>
      </c>
      <c r="H132" s="114"/>
      <c r="I132" s="114"/>
      <c r="J132" s="121">
        <v>46230.0</v>
      </c>
      <c r="K132" s="117"/>
      <c r="L132" s="116" t="s">
        <v>2662</v>
      </c>
      <c r="M132" s="116" t="s">
        <v>12</v>
      </c>
      <c r="N132" s="118"/>
    </row>
    <row r="133">
      <c r="A133" s="115">
        <v>132.0</v>
      </c>
      <c r="B133" s="119" t="s">
        <v>63</v>
      </c>
      <c r="C133" s="119" t="s">
        <v>2663</v>
      </c>
      <c r="D133" s="120"/>
      <c r="E133" s="114"/>
      <c r="F133" s="116">
        <v>479.0</v>
      </c>
      <c r="G133" s="116">
        <v>3.040256673E9</v>
      </c>
      <c r="H133" s="114"/>
      <c r="I133" s="114"/>
      <c r="J133" s="117"/>
      <c r="K133" s="117"/>
      <c r="L133" s="117"/>
      <c r="M133" s="117"/>
      <c r="N133" s="118"/>
    </row>
    <row r="134">
      <c r="A134" s="115">
        <v>133.0</v>
      </c>
      <c r="B134" s="116" t="s">
        <v>63</v>
      </c>
      <c r="C134" s="116" t="s">
        <v>2663</v>
      </c>
      <c r="D134" s="117"/>
      <c r="E134" s="114"/>
      <c r="F134" s="116">
        <v>108.0</v>
      </c>
      <c r="G134" s="116">
        <v>3.040256675E9</v>
      </c>
      <c r="H134" s="114"/>
      <c r="I134" s="114"/>
      <c r="J134" s="121">
        <v>46140.0</v>
      </c>
      <c r="K134" s="117"/>
      <c r="L134" s="116" t="s">
        <v>2669</v>
      </c>
      <c r="M134" s="116" t="s">
        <v>16</v>
      </c>
      <c r="N134" s="118"/>
    </row>
    <row r="135">
      <c r="A135" s="115">
        <v>134.0</v>
      </c>
      <c r="B135" s="119" t="s">
        <v>1436</v>
      </c>
      <c r="C135" s="119" t="s">
        <v>2670</v>
      </c>
      <c r="D135" s="120"/>
      <c r="E135" s="114"/>
      <c r="F135" s="116">
        <v>278.0</v>
      </c>
      <c r="G135" s="116">
        <v>3.040253175E9</v>
      </c>
      <c r="H135" s="114"/>
      <c r="I135" s="114"/>
      <c r="J135" s="121">
        <v>45889.0</v>
      </c>
      <c r="K135" s="117"/>
      <c r="L135" s="116" t="s">
        <v>2666</v>
      </c>
      <c r="M135" s="116" t="s">
        <v>12</v>
      </c>
      <c r="N135" s="118"/>
    </row>
    <row r="136">
      <c r="A136" s="115">
        <v>135.0</v>
      </c>
      <c r="B136" s="116" t="s">
        <v>1436</v>
      </c>
      <c r="C136" s="116" t="s">
        <v>2670</v>
      </c>
      <c r="D136" s="117"/>
      <c r="E136" s="114"/>
      <c r="F136" s="116">
        <v>15.0</v>
      </c>
      <c r="G136" s="116">
        <v>3.040253176E9</v>
      </c>
      <c r="H136" s="114"/>
      <c r="I136" s="114"/>
      <c r="J136" s="121">
        <v>45952.0</v>
      </c>
      <c r="K136" s="117"/>
      <c r="L136" s="117"/>
      <c r="M136" s="116" t="s">
        <v>15</v>
      </c>
      <c r="N136" s="118"/>
    </row>
    <row r="137">
      <c r="A137" s="115">
        <v>136.0</v>
      </c>
      <c r="B137" s="119" t="s">
        <v>1436</v>
      </c>
      <c r="C137" s="119" t="s">
        <v>2670</v>
      </c>
      <c r="D137" s="120"/>
      <c r="E137" s="114"/>
      <c r="F137" s="116">
        <v>772.0</v>
      </c>
      <c r="G137" s="116">
        <v>3.040253177E9</v>
      </c>
      <c r="H137" s="114"/>
      <c r="I137" s="114"/>
      <c r="J137" s="121">
        <v>46230.0</v>
      </c>
      <c r="K137" s="117"/>
      <c r="L137" s="116" t="s">
        <v>2662</v>
      </c>
      <c r="M137" s="116" t="s">
        <v>12</v>
      </c>
      <c r="N137" s="118"/>
    </row>
    <row r="138">
      <c r="A138" s="115">
        <v>137.0</v>
      </c>
      <c r="B138" s="116" t="s">
        <v>1436</v>
      </c>
      <c r="C138" s="116" t="s">
        <v>2670</v>
      </c>
      <c r="D138" s="117"/>
      <c r="E138" s="114"/>
      <c r="F138" s="116">
        <v>49.0</v>
      </c>
      <c r="G138" s="116">
        <v>3.040253178E9</v>
      </c>
      <c r="H138" s="114"/>
      <c r="I138" s="114"/>
      <c r="J138" s="117"/>
      <c r="K138" s="117"/>
      <c r="L138" s="117"/>
      <c r="M138" s="117"/>
      <c r="N138" s="118"/>
    </row>
    <row r="139">
      <c r="A139" s="115">
        <v>138.0</v>
      </c>
      <c r="B139" s="119" t="s">
        <v>1436</v>
      </c>
      <c r="C139" s="119" t="s">
        <v>2670</v>
      </c>
      <c r="D139" s="120"/>
      <c r="E139" s="114"/>
      <c r="F139" s="116">
        <v>776.0</v>
      </c>
      <c r="G139" s="116">
        <v>3.040257444E9</v>
      </c>
      <c r="H139" s="114"/>
      <c r="I139" s="114"/>
      <c r="J139" s="121">
        <v>46029.0</v>
      </c>
      <c r="K139" s="117"/>
      <c r="L139" s="116" t="s">
        <v>2671</v>
      </c>
      <c r="M139" s="117"/>
      <c r="N139" s="118"/>
    </row>
    <row r="140">
      <c r="A140" s="115">
        <v>139.0</v>
      </c>
      <c r="B140" s="116" t="s">
        <v>1436</v>
      </c>
      <c r="C140" s="116" t="s">
        <v>2670</v>
      </c>
      <c r="D140" s="117"/>
      <c r="E140" s="114"/>
      <c r="F140" s="116" t="s">
        <v>2170</v>
      </c>
      <c r="G140" s="116">
        <v>3.040257447E9</v>
      </c>
      <c r="H140" s="114"/>
      <c r="I140" s="114"/>
      <c r="J140" s="121">
        <v>46029.0</v>
      </c>
      <c r="K140" s="117"/>
      <c r="L140" s="116" t="s">
        <v>2671</v>
      </c>
      <c r="M140" s="117"/>
      <c r="N140" s="118"/>
    </row>
    <row r="141">
      <c r="A141" s="115">
        <v>140.0</v>
      </c>
      <c r="B141" s="119" t="s">
        <v>1436</v>
      </c>
      <c r="C141" s="119" t="s">
        <v>2670</v>
      </c>
      <c r="D141" s="120"/>
      <c r="E141" s="114"/>
      <c r="F141" s="116">
        <v>7.0</v>
      </c>
      <c r="G141" s="116">
        <v>3.040259147E9</v>
      </c>
      <c r="H141" s="114"/>
      <c r="I141" s="114"/>
      <c r="J141" s="117"/>
      <c r="K141" s="117"/>
      <c r="L141" s="117"/>
      <c r="M141" s="117"/>
      <c r="N141" s="118"/>
    </row>
    <row r="142">
      <c r="A142" s="115">
        <v>141.0</v>
      </c>
      <c r="B142" s="116" t="s">
        <v>61</v>
      </c>
      <c r="C142" s="116" t="s">
        <v>2672</v>
      </c>
      <c r="D142" s="117"/>
      <c r="E142" s="114"/>
      <c r="F142" s="116" t="s">
        <v>2673</v>
      </c>
      <c r="G142" s="116">
        <v>3.040250777E9</v>
      </c>
      <c r="H142" s="114"/>
      <c r="I142" s="114"/>
      <c r="J142" s="121">
        <v>45894.0</v>
      </c>
      <c r="K142" s="117"/>
      <c r="L142" s="116" t="s">
        <v>2674</v>
      </c>
      <c r="M142" s="117"/>
      <c r="N142" s="118"/>
    </row>
    <row r="143">
      <c r="A143" s="115">
        <v>142.0</v>
      </c>
      <c r="B143" s="119" t="s">
        <v>61</v>
      </c>
      <c r="C143" s="119" t="s">
        <v>2672</v>
      </c>
      <c r="D143" s="120"/>
      <c r="E143" s="114"/>
      <c r="F143" s="116">
        <v>27.0</v>
      </c>
      <c r="G143" s="116">
        <v>3.040250778E9</v>
      </c>
      <c r="H143" s="114"/>
      <c r="I143" s="114"/>
      <c r="J143" s="122">
        <v>46119.0</v>
      </c>
      <c r="K143" s="117"/>
      <c r="L143" s="116" t="s">
        <v>2612</v>
      </c>
      <c r="M143" s="124" t="s">
        <v>12</v>
      </c>
      <c r="N143" s="118"/>
    </row>
    <row r="144">
      <c r="A144" s="115">
        <v>143.0</v>
      </c>
      <c r="B144" s="116" t="s">
        <v>61</v>
      </c>
      <c r="C144" s="116" t="s">
        <v>2672</v>
      </c>
      <c r="D144" s="117"/>
      <c r="E144" s="114"/>
      <c r="F144" s="116" t="s">
        <v>2043</v>
      </c>
      <c r="G144" s="116">
        <v>3.040250779E9</v>
      </c>
      <c r="H144" s="114"/>
      <c r="I144" s="114"/>
      <c r="J144" s="122">
        <v>46119.0</v>
      </c>
      <c r="K144" s="117"/>
      <c r="L144" s="116" t="s">
        <v>2612</v>
      </c>
      <c r="M144" s="124" t="s">
        <v>12</v>
      </c>
      <c r="N144" s="118"/>
    </row>
    <row r="145">
      <c r="A145" s="115">
        <v>144.0</v>
      </c>
      <c r="B145" s="119" t="s">
        <v>61</v>
      </c>
      <c r="C145" s="119" t="s">
        <v>1438</v>
      </c>
      <c r="D145" s="120"/>
      <c r="E145" s="114"/>
      <c r="F145" s="116">
        <v>1.0</v>
      </c>
      <c r="G145" s="116">
        <v>3.040253179E9</v>
      </c>
      <c r="H145" s="114"/>
      <c r="I145" s="114"/>
      <c r="J145" s="117"/>
      <c r="K145" s="117"/>
      <c r="L145" s="117"/>
      <c r="M145" s="117"/>
      <c r="N145" s="118"/>
    </row>
    <row r="146">
      <c r="A146" s="115">
        <v>145.0</v>
      </c>
      <c r="B146" s="116" t="s">
        <v>61</v>
      </c>
      <c r="C146" s="116" t="s">
        <v>1438</v>
      </c>
      <c r="D146" s="117"/>
      <c r="E146" s="114"/>
      <c r="F146" s="116">
        <v>32.0</v>
      </c>
      <c r="G146" s="116">
        <v>3.04025318E9</v>
      </c>
      <c r="H146" s="114"/>
      <c r="I146" s="114"/>
      <c r="J146" s="117"/>
      <c r="K146" s="117"/>
      <c r="L146" s="117"/>
      <c r="M146" s="117"/>
      <c r="N146" s="118"/>
    </row>
    <row r="147">
      <c r="A147" s="115">
        <v>146.0</v>
      </c>
      <c r="B147" s="119" t="s">
        <v>61</v>
      </c>
      <c r="C147" s="119" t="s">
        <v>1438</v>
      </c>
      <c r="D147" s="120"/>
      <c r="E147" s="114"/>
      <c r="F147" s="116">
        <v>289.0</v>
      </c>
      <c r="G147" s="116">
        <v>3.040253181E9</v>
      </c>
      <c r="H147" s="114"/>
      <c r="I147" s="114"/>
      <c r="J147" s="121">
        <v>46140.0</v>
      </c>
      <c r="K147" s="117"/>
      <c r="L147" s="116" t="s">
        <v>2669</v>
      </c>
      <c r="M147" s="116" t="s">
        <v>16</v>
      </c>
      <c r="N147" s="118"/>
    </row>
    <row r="148">
      <c r="A148" s="115">
        <v>147.0</v>
      </c>
      <c r="B148" s="116" t="s">
        <v>61</v>
      </c>
      <c r="C148" s="116" t="s">
        <v>1438</v>
      </c>
      <c r="D148" s="117"/>
      <c r="E148" s="114"/>
      <c r="F148" s="116">
        <v>969.0</v>
      </c>
      <c r="G148" s="116">
        <v>3.040253182E9</v>
      </c>
      <c r="H148" s="114"/>
      <c r="I148" s="114"/>
      <c r="J148" s="121">
        <v>46230.0</v>
      </c>
      <c r="K148" s="117"/>
      <c r="L148" s="116" t="s">
        <v>2662</v>
      </c>
      <c r="M148" s="116" t="s">
        <v>12</v>
      </c>
      <c r="N148" s="118"/>
    </row>
    <row r="149">
      <c r="A149" s="115">
        <v>148.0</v>
      </c>
      <c r="B149" s="119" t="s">
        <v>61</v>
      </c>
      <c r="C149" s="119" t="s">
        <v>1438</v>
      </c>
      <c r="D149" s="120"/>
      <c r="E149" s="114"/>
      <c r="F149" s="116" t="s">
        <v>2147</v>
      </c>
      <c r="G149" s="116">
        <v>3.040256694E9</v>
      </c>
      <c r="H149" s="114"/>
      <c r="I149" s="114"/>
      <c r="J149" s="121">
        <v>46230.0</v>
      </c>
      <c r="K149" s="117"/>
      <c r="L149" s="116" t="s">
        <v>2662</v>
      </c>
      <c r="M149" s="116" t="s">
        <v>12</v>
      </c>
      <c r="N149" s="118"/>
    </row>
    <row r="150">
      <c r="A150" s="115">
        <v>149.0</v>
      </c>
      <c r="B150" s="116" t="s">
        <v>61</v>
      </c>
      <c r="C150" s="116" t="s">
        <v>1438</v>
      </c>
      <c r="D150" s="117"/>
      <c r="E150" s="114"/>
      <c r="F150" s="116" t="s">
        <v>2668</v>
      </c>
      <c r="G150" s="116">
        <v>3.040256695E9</v>
      </c>
      <c r="H150" s="114"/>
      <c r="I150" s="114"/>
      <c r="J150" s="122">
        <v>46119.0</v>
      </c>
      <c r="K150" s="117"/>
      <c r="L150" s="116" t="s">
        <v>2612</v>
      </c>
      <c r="M150" s="124" t="s">
        <v>12</v>
      </c>
      <c r="N150" s="118"/>
    </row>
    <row r="151">
      <c r="A151" s="115">
        <v>150.0</v>
      </c>
      <c r="B151" s="119" t="s">
        <v>61</v>
      </c>
      <c r="C151" s="119" t="s">
        <v>1438</v>
      </c>
      <c r="D151" s="120"/>
      <c r="E151" s="114"/>
      <c r="F151" s="116">
        <v>3.0</v>
      </c>
      <c r="G151" s="116">
        <v>3.040256696E9</v>
      </c>
      <c r="H151" s="114"/>
      <c r="I151" s="114"/>
      <c r="J151" s="121">
        <v>46230.0</v>
      </c>
      <c r="K151" s="117"/>
      <c r="L151" s="116" t="s">
        <v>2662</v>
      </c>
      <c r="M151" s="116" t="s">
        <v>12</v>
      </c>
      <c r="N151" s="118"/>
    </row>
    <row r="152">
      <c r="A152" s="115">
        <v>151.0</v>
      </c>
      <c r="B152" s="116" t="s">
        <v>61</v>
      </c>
      <c r="C152" s="116" t="s">
        <v>1438</v>
      </c>
      <c r="D152" s="117"/>
      <c r="E152" s="114"/>
      <c r="F152" s="116">
        <v>935.0</v>
      </c>
      <c r="G152" s="116">
        <v>3.040256697E9</v>
      </c>
      <c r="H152" s="114"/>
      <c r="I152" s="114"/>
      <c r="J152" s="121">
        <v>46140.0</v>
      </c>
      <c r="K152" s="117"/>
      <c r="L152" s="116" t="s">
        <v>2669</v>
      </c>
      <c r="M152" s="116" t="s">
        <v>16</v>
      </c>
      <c r="N152" s="118"/>
    </row>
    <row r="153">
      <c r="A153" s="115">
        <v>152.0</v>
      </c>
      <c r="B153" s="119" t="s">
        <v>271</v>
      </c>
      <c r="C153" s="119" t="s">
        <v>272</v>
      </c>
      <c r="D153" s="120"/>
      <c r="E153" s="114"/>
      <c r="F153" s="116" t="s">
        <v>2675</v>
      </c>
      <c r="G153" s="116">
        <v>3.040250229E9</v>
      </c>
      <c r="H153" s="114"/>
      <c r="I153" s="114"/>
      <c r="J153" s="121">
        <v>45876.0</v>
      </c>
      <c r="K153" s="117"/>
      <c r="L153" s="116" t="s">
        <v>2676</v>
      </c>
      <c r="M153" s="116" t="s">
        <v>12</v>
      </c>
      <c r="N153" s="118"/>
    </row>
    <row r="154">
      <c r="A154" s="115">
        <v>153.0</v>
      </c>
      <c r="B154" s="116" t="s">
        <v>1576</v>
      </c>
      <c r="C154" s="116" t="s">
        <v>2677</v>
      </c>
      <c r="D154" s="117"/>
      <c r="E154" s="114"/>
      <c r="F154" s="116" t="s">
        <v>1579</v>
      </c>
      <c r="G154" s="116">
        <v>3.040259146E9</v>
      </c>
      <c r="H154" s="114"/>
      <c r="I154" s="114"/>
      <c r="J154" s="117"/>
      <c r="K154" s="117"/>
      <c r="L154" s="117"/>
      <c r="M154" s="117"/>
      <c r="N154" s="118"/>
    </row>
    <row r="155">
      <c r="A155" s="115">
        <v>154.0</v>
      </c>
      <c r="B155" s="119" t="s">
        <v>81</v>
      </c>
      <c r="C155" s="119" t="s">
        <v>2678</v>
      </c>
      <c r="D155" s="120"/>
      <c r="E155" s="114"/>
      <c r="F155" s="116" t="s">
        <v>2679</v>
      </c>
      <c r="G155" s="116">
        <v>3.040254813E9</v>
      </c>
      <c r="H155" s="114"/>
      <c r="I155" s="114"/>
      <c r="J155" s="121">
        <v>45863.0</v>
      </c>
      <c r="K155" s="117"/>
      <c r="L155" s="116" t="s">
        <v>2680</v>
      </c>
      <c r="M155" s="116" t="s">
        <v>12</v>
      </c>
      <c r="N155" s="118"/>
    </row>
    <row r="156">
      <c r="A156" s="115">
        <v>155.0</v>
      </c>
      <c r="B156" s="116" t="s">
        <v>81</v>
      </c>
      <c r="C156" s="116" t="s">
        <v>2678</v>
      </c>
      <c r="D156" s="117"/>
      <c r="E156" s="114"/>
      <c r="F156" s="116" t="s">
        <v>2681</v>
      </c>
      <c r="G156" s="116">
        <v>3.040254814E9</v>
      </c>
      <c r="H156" s="114"/>
      <c r="I156" s="114"/>
      <c r="J156" s="121">
        <v>45863.0</v>
      </c>
      <c r="K156" s="117"/>
      <c r="L156" s="116" t="s">
        <v>2680</v>
      </c>
      <c r="M156" s="116" t="s">
        <v>12</v>
      </c>
      <c r="N156" s="118"/>
    </row>
    <row r="157">
      <c r="A157" s="115">
        <v>156.0</v>
      </c>
      <c r="B157" s="119" t="s">
        <v>1805</v>
      </c>
      <c r="C157" s="119" t="s">
        <v>2678</v>
      </c>
      <c r="D157" s="120"/>
      <c r="E157" s="114"/>
      <c r="F157" s="116" t="s">
        <v>2682</v>
      </c>
      <c r="G157" s="116">
        <v>3.040254821E9</v>
      </c>
      <c r="H157" s="114"/>
      <c r="I157" s="114"/>
      <c r="J157" s="121">
        <v>45863.0</v>
      </c>
      <c r="K157" s="117"/>
      <c r="L157" s="116" t="s">
        <v>2680</v>
      </c>
      <c r="M157" s="116" t="s">
        <v>12</v>
      </c>
      <c r="N157" s="118"/>
    </row>
    <row r="158">
      <c r="A158" s="115">
        <v>157.0</v>
      </c>
      <c r="B158" s="116" t="s">
        <v>1805</v>
      </c>
      <c r="C158" s="116" t="s">
        <v>2678</v>
      </c>
      <c r="D158" s="117"/>
      <c r="E158" s="114"/>
      <c r="F158" s="116" t="s">
        <v>2683</v>
      </c>
      <c r="G158" s="116">
        <v>3.040254822E9</v>
      </c>
      <c r="H158" s="114"/>
      <c r="I158" s="114"/>
      <c r="J158" s="121">
        <v>45860.0</v>
      </c>
      <c r="K158" s="117"/>
      <c r="L158" s="116" t="s">
        <v>2684</v>
      </c>
      <c r="M158" s="116" t="s">
        <v>12</v>
      </c>
      <c r="N158" s="118"/>
    </row>
    <row r="159">
      <c r="A159" s="115">
        <v>158.0</v>
      </c>
      <c r="B159" s="119" t="s">
        <v>1560</v>
      </c>
      <c r="C159" s="119" t="s">
        <v>2685</v>
      </c>
      <c r="D159" s="120"/>
      <c r="E159" s="114"/>
      <c r="F159" s="116" t="s">
        <v>2686</v>
      </c>
      <c r="G159" s="116">
        <v>3.040258422E9</v>
      </c>
      <c r="H159" s="114"/>
      <c r="I159" s="114"/>
      <c r="J159" s="117"/>
      <c r="K159" s="117"/>
      <c r="L159" s="117"/>
      <c r="M159" s="117"/>
      <c r="N159" s="118"/>
    </row>
    <row r="160">
      <c r="A160" s="115">
        <v>159.0</v>
      </c>
      <c r="B160" s="116" t="s">
        <v>205</v>
      </c>
      <c r="C160" s="123" t="s">
        <v>206</v>
      </c>
      <c r="D160" s="117"/>
      <c r="E160" s="114"/>
      <c r="F160" s="116" t="s">
        <v>2039</v>
      </c>
      <c r="G160" s="116">
        <v>3.040250782E9</v>
      </c>
      <c r="H160" s="114"/>
      <c r="I160" s="114"/>
      <c r="J160" s="121">
        <v>46119.0</v>
      </c>
      <c r="K160" s="117"/>
      <c r="L160" s="116" t="s">
        <v>2612</v>
      </c>
      <c r="M160" s="124" t="s">
        <v>12</v>
      </c>
      <c r="N160" s="118"/>
    </row>
    <row r="161">
      <c r="A161" s="115">
        <v>160.0</v>
      </c>
      <c r="B161" s="119" t="s">
        <v>205</v>
      </c>
      <c r="C161" s="125" t="s">
        <v>206</v>
      </c>
      <c r="D161" s="120"/>
      <c r="E161" s="114"/>
      <c r="F161" s="116" t="s">
        <v>2687</v>
      </c>
      <c r="G161" s="116">
        <v>3.040250783E9</v>
      </c>
      <c r="H161" s="114"/>
      <c r="I161" s="114"/>
      <c r="J161" s="121">
        <v>45814.0</v>
      </c>
      <c r="K161" s="117"/>
      <c r="L161" s="116" t="s">
        <v>2688</v>
      </c>
      <c r="M161" s="116" t="s">
        <v>12</v>
      </c>
      <c r="N161" s="118"/>
    </row>
    <row r="162">
      <c r="A162" s="115">
        <v>161.0</v>
      </c>
      <c r="B162" s="116" t="s">
        <v>2689</v>
      </c>
      <c r="C162" s="116" t="s">
        <v>2690</v>
      </c>
      <c r="D162" s="117"/>
      <c r="E162" s="114"/>
      <c r="F162" s="116">
        <v>890880.0</v>
      </c>
      <c r="G162" s="116">
        <v>3.040253183E9</v>
      </c>
      <c r="H162" s="114"/>
      <c r="I162" s="114"/>
      <c r="J162" s="121">
        <v>45817.0</v>
      </c>
      <c r="K162" s="117"/>
      <c r="L162" s="116" t="s">
        <v>2691</v>
      </c>
      <c r="M162" s="116" t="s">
        <v>21</v>
      </c>
      <c r="N162" s="118"/>
    </row>
    <row r="163">
      <c r="A163" s="115">
        <v>162.0</v>
      </c>
      <c r="B163" s="119" t="s">
        <v>2689</v>
      </c>
      <c r="C163" s="119" t="s">
        <v>2692</v>
      </c>
      <c r="D163" s="120"/>
      <c r="E163" s="114"/>
      <c r="F163" s="116" t="s">
        <v>2693</v>
      </c>
      <c r="G163" s="116">
        <v>3.040256705E9</v>
      </c>
      <c r="H163" s="114"/>
      <c r="I163" s="114"/>
      <c r="J163" s="121">
        <v>45971.0</v>
      </c>
      <c r="K163" s="117"/>
      <c r="L163" s="116" t="s">
        <v>2650</v>
      </c>
      <c r="M163" s="116" t="s">
        <v>12</v>
      </c>
      <c r="N163" s="118"/>
    </row>
    <row r="164">
      <c r="A164" s="115">
        <v>163.0</v>
      </c>
      <c r="B164" s="116" t="s">
        <v>2689</v>
      </c>
      <c r="C164" s="116" t="s">
        <v>2692</v>
      </c>
      <c r="D164" s="117"/>
      <c r="E164" s="114"/>
      <c r="F164" s="116" t="s">
        <v>2694</v>
      </c>
      <c r="G164" s="116">
        <v>3.040256706E9</v>
      </c>
      <c r="H164" s="114"/>
      <c r="I164" s="114"/>
      <c r="J164" s="121">
        <v>45971.0</v>
      </c>
      <c r="K164" s="117"/>
      <c r="L164" s="116" t="s">
        <v>2650</v>
      </c>
      <c r="M164" s="116" t="s">
        <v>12</v>
      </c>
      <c r="N164" s="118"/>
    </row>
    <row r="165">
      <c r="A165" s="115">
        <v>164.0</v>
      </c>
      <c r="B165" s="119" t="s">
        <v>1466</v>
      </c>
      <c r="C165" s="119" t="s">
        <v>2692</v>
      </c>
      <c r="D165" s="120"/>
      <c r="E165" s="114"/>
      <c r="F165" s="116">
        <v>203103.0</v>
      </c>
      <c r="G165" s="116">
        <v>3.040254791E9</v>
      </c>
      <c r="H165" s="114"/>
      <c r="I165" s="114"/>
      <c r="J165" s="121">
        <v>45860.0</v>
      </c>
      <c r="K165" s="117"/>
      <c r="L165" s="116" t="s">
        <v>2695</v>
      </c>
      <c r="M165" s="117"/>
      <c r="N165" s="118"/>
    </row>
    <row r="166">
      <c r="A166" s="115">
        <v>165.0</v>
      </c>
      <c r="B166" s="116" t="s">
        <v>1466</v>
      </c>
      <c r="C166" s="116" t="s">
        <v>2692</v>
      </c>
      <c r="D166" s="117"/>
      <c r="E166" s="114"/>
      <c r="F166" s="116">
        <v>857939.0</v>
      </c>
      <c r="G166" s="116">
        <v>3.040254792E9</v>
      </c>
      <c r="H166" s="114"/>
      <c r="I166" s="114"/>
      <c r="J166" s="121">
        <v>45856.0</v>
      </c>
      <c r="K166" s="117"/>
      <c r="L166" s="116" t="s">
        <v>2696</v>
      </c>
      <c r="M166" s="116" t="s">
        <v>14</v>
      </c>
      <c r="N166" s="118"/>
    </row>
    <row r="167">
      <c r="A167" s="115">
        <v>166.0</v>
      </c>
      <c r="B167" s="119" t="s">
        <v>189</v>
      </c>
      <c r="C167" s="119" t="s">
        <v>2697</v>
      </c>
      <c r="D167" s="120"/>
      <c r="E167" s="114"/>
      <c r="F167" s="116">
        <v>890728.0</v>
      </c>
      <c r="G167" s="116">
        <v>3.040259319E9</v>
      </c>
      <c r="H167" s="114"/>
      <c r="I167" s="114"/>
      <c r="J167" s="117"/>
      <c r="K167" s="117"/>
      <c r="L167" s="117"/>
      <c r="M167" s="117"/>
      <c r="N167" s="118"/>
    </row>
    <row r="168">
      <c r="A168" s="115">
        <v>167.0</v>
      </c>
      <c r="B168" s="116" t="s">
        <v>1841</v>
      </c>
      <c r="C168" s="116" t="s">
        <v>2697</v>
      </c>
      <c r="D168" s="117"/>
      <c r="E168" s="114"/>
      <c r="F168" s="116" t="s">
        <v>2698</v>
      </c>
      <c r="G168" s="116">
        <v>3.040259314E9</v>
      </c>
      <c r="H168" s="114"/>
      <c r="I168" s="114"/>
      <c r="J168" s="121">
        <v>46064.0</v>
      </c>
      <c r="K168" s="117"/>
      <c r="L168" s="116" t="s">
        <v>2699</v>
      </c>
      <c r="M168" s="116" t="s">
        <v>2459</v>
      </c>
      <c r="N168" s="118"/>
    </row>
    <row r="169">
      <c r="A169" s="115">
        <v>168.0</v>
      </c>
      <c r="B169" s="119" t="s">
        <v>1841</v>
      </c>
      <c r="C169" s="119" t="s">
        <v>2697</v>
      </c>
      <c r="D169" s="120"/>
      <c r="E169" s="114"/>
      <c r="F169" s="116" t="s">
        <v>2700</v>
      </c>
      <c r="G169" s="116">
        <v>3.040259315E9</v>
      </c>
      <c r="H169" s="114"/>
      <c r="I169" s="114"/>
      <c r="J169" s="121">
        <v>45982.0</v>
      </c>
      <c r="K169" s="117"/>
      <c r="L169" s="116" t="s">
        <v>2701</v>
      </c>
      <c r="M169" s="117"/>
      <c r="N169" s="118"/>
    </row>
    <row r="170">
      <c r="A170" s="115">
        <v>169.0</v>
      </c>
      <c r="B170" s="116" t="s">
        <v>1841</v>
      </c>
      <c r="C170" s="116" t="s">
        <v>2697</v>
      </c>
      <c r="D170" s="117"/>
      <c r="E170" s="114"/>
      <c r="F170" s="116" t="s">
        <v>2188</v>
      </c>
      <c r="G170" s="116">
        <v>3.040259316E9</v>
      </c>
      <c r="H170" s="114"/>
      <c r="I170" s="114"/>
      <c r="J170" s="121">
        <v>46157.0</v>
      </c>
      <c r="K170" s="117"/>
      <c r="L170" s="117"/>
      <c r="M170" s="117"/>
      <c r="N170" s="118"/>
    </row>
    <row r="171">
      <c r="A171" s="115">
        <v>170.0</v>
      </c>
      <c r="B171" s="119" t="s">
        <v>1789</v>
      </c>
      <c r="C171" s="119" t="s">
        <v>1790</v>
      </c>
      <c r="D171" s="120"/>
      <c r="E171" s="114"/>
      <c r="F171" s="116">
        <v>228.0</v>
      </c>
      <c r="G171" s="116">
        <v>3.04025023E9</v>
      </c>
      <c r="H171" s="114"/>
      <c r="I171" s="114"/>
      <c r="J171" s="121">
        <v>45762.0</v>
      </c>
      <c r="K171" s="117"/>
      <c r="L171" s="116" t="s">
        <v>2702</v>
      </c>
      <c r="M171" s="116" t="s">
        <v>12</v>
      </c>
      <c r="N171" s="118"/>
    </row>
    <row r="172">
      <c r="A172" s="115">
        <v>171.0</v>
      </c>
      <c r="B172" s="116" t="s">
        <v>1724</v>
      </c>
      <c r="C172" s="116" t="s">
        <v>1725</v>
      </c>
      <c r="D172" s="117"/>
      <c r="E172" s="114"/>
      <c r="F172" s="116" t="s">
        <v>2703</v>
      </c>
      <c r="G172" s="116">
        <v>3.040250786E9</v>
      </c>
      <c r="H172" s="114"/>
      <c r="I172" s="114"/>
      <c r="J172" s="121">
        <v>45816.0</v>
      </c>
      <c r="K172" s="117"/>
      <c r="L172" s="116" t="s">
        <v>2704</v>
      </c>
      <c r="M172" s="116" t="s">
        <v>20</v>
      </c>
      <c r="N172" s="118"/>
    </row>
    <row r="173">
      <c r="A173" s="115">
        <v>172.0</v>
      </c>
      <c r="B173" s="119" t="s">
        <v>1724</v>
      </c>
      <c r="C173" s="119" t="s">
        <v>1725</v>
      </c>
      <c r="D173" s="120"/>
      <c r="E173" s="114"/>
      <c r="F173" s="116" t="s">
        <v>2705</v>
      </c>
      <c r="G173" s="116">
        <v>3.040250787E9</v>
      </c>
      <c r="H173" s="114"/>
      <c r="I173" s="114"/>
      <c r="J173" s="121">
        <v>45816.0</v>
      </c>
      <c r="K173" s="117"/>
      <c r="L173" s="116" t="s">
        <v>2704</v>
      </c>
      <c r="M173" s="116" t="s">
        <v>20</v>
      </c>
      <c r="N173" s="118"/>
    </row>
    <row r="174">
      <c r="A174" s="115">
        <v>173.0</v>
      </c>
      <c r="B174" s="116" t="s">
        <v>1724</v>
      </c>
      <c r="C174" s="116" t="s">
        <v>1725</v>
      </c>
      <c r="D174" s="117"/>
      <c r="E174" s="114"/>
      <c r="F174" s="116" t="s">
        <v>2115</v>
      </c>
      <c r="G174" s="116">
        <v>3.040254817E9</v>
      </c>
      <c r="H174" s="114"/>
      <c r="I174" s="114"/>
      <c r="J174" s="117"/>
      <c r="K174" s="117"/>
      <c r="L174" s="121">
        <v>45992.0</v>
      </c>
      <c r="M174" s="116" t="s">
        <v>21</v>
      </c>
      <c r="N174" s="118"/>
    </row>
    <row r="175">
      <c r="A175" s="115">
        <v>174.0</v>
      </c>
      <c r="B175" s="119" t="s">
        <v>1724</v>
      </c>
      <c r="C175" s="119" t="s">
        <v>1725</v>
      </c>
      <c r="D175" s="120"/>
      <c r="E175" s="114"/>
      <c r="F175" s="116" t="s">
        <v>2113</v>
      </c>
      <c r="G175" s="116">
        <v>3.040254818E9</v>
      </c>
      <c r="H175" s="114"/>
      <c r="I175" s="114"/>
      <c r="J175" s="121">
        <v>46101.0</v>
      </c>
      <c r="K175" s="117"/>
      <c r="L175" s="116" t="s">
        <v>2706</v>
      </c>
      <c r="M175" s="116" t="s">
        <v>14</v>
      </c>
      <c r="N175" s="118"/>
    </row>
    <row r="176">
      <c r="A176" s="115">
        <v>175.0</v>
      </c>
      <c r="B176" s="116" t="s">
        <v>1724</v>
      </c>
      <c r="C176" s="116" t="s">
        <v>1725</v>
      </c>
      <c r="D176" s="117"/>
      <c r="E176" s="114"/>
      <c r="F176" s="116" t="s">
        <v>2116</v>
      </c>
      <c r="G176" s="116">
        <v>3.040254819E9</v>
      </c>
      <c r="H176" s="114"/>
      <c r="I176" s="114"/>
      <c r="J176" s="121">
        <v>46101.0</v>
      </c>
      <c r="K176" s="117"/>
      <c r="L176" s="116" t="s">
        <v>2706</v>
      </c>
      <c r="M176" s="116" t="s">
        <v>14</v>
      </c>
      <c r="N176" s="118"/>
    </row>
    <row r="177">
      <c r="A177" s="115">
        <v>176.0</v>
      </c>
      <c r="B177" s="119" t="s">
        <v>1724</v>
      </c>
      <c r="C177" s="119" t="s">
        <v>1725</v>
      </c>
      <c r="D177" s="120"/>
      <c r="E177" s="114"/>
      <c r="F177" s="116" t="s">
        <v>2114</v>
      </c>
      <c r="G177" s="116">
        <v>3.04025482E9</v>
      </c>
      <c r="H177" s="114"/>
      <c r="I177" s="114"/>
      <c r="J177" s="121">
        <v>46105.0</v>
      </c>
      <c r="K177" s="117"/>
      <c r="L177" s="116" t="s">
        <v>2707</v>
      </c>
      <c r="M177" s="116" t="s">
        <v>13</v>
      </c>
      <c r="N177" s="118"/>
    </row>
    <row r="178">
      <c r="A178" s="115">
        <v>177.0</v>
      </c>
      <c r="B178" s="116" t="s">
        <v>1978</v>
      </c>
      <c r="C178" s="116" t="s">
        <v>1979</v>
      </c>
      <c r="D178" s="117"/>
      <c r="E178" s="114"/>
      <c r="F178" s="116">
        <v>988.0</v>
      </c>
      <c r="G178" s="116">
        <v>3.040250788E9</v>
      </c>
      <c r="H178" s="114"/>
      <c r="I178" s="114"/>
      <c r="J178" s="121">
        <v>45889.0</v>
      </c>
      <c r="K178" s="117"/>
      <c r="L178" s="116" t="s">
        <v>2659</v>
      </c>
      <c r="M178" s="116" t="s">
        <v>12</v>
      </c>
      <c r="N178" s="118"/>
    </row>
    <row r="179">
      <c r="A179" s="115">
        <v>178.0</v>
      </c>
      <c r="B179" s="119" t="s">
        <v>1978</v>
      </c>
      <c r="C179" s="119" t="s">
        <v>1979</v>
      </c>
      <c r="D179" s="120"/>
      <c r="E179" s="114"/>
      <c r="F179" s="116">
        <v>729.0</v>
      </c>
      <c r="G179" s="116">
        <v>3.040250789E9</v>
      </c>
      <c r="H179" s="114"/>
      <c r="I179" s="114"/>
      <c r="J179" s="121">
        <v>45814.0</v>
      </c>
      <c r="K179" s="117"/>
      <c r="L179" s="116" t="s">
        <v>2688</v>
      </c>
      <c r="M179" s="116" t="s">
        <v>12</v>
      </c>
      <c r="N179" s="118"/>
    </row>
    <row r="180">
      <c r="A180" s="115">
        <v>179.0</v>
      </c>
      <c r="B180" s="116" t="s">
        <v>1978</v>
      </c>
      <c r="C180" s="116" t="s">
        <v>1979</v>
      </c>
      <c r="D180" s="117"/>
      <c r="E180" s="114"/>
      <c r="F180" s="116">
        <v>1311.0</v>
      </c>
      <c r="G180" s="116">
        <v>3.040253536E9</v>
      </c>
      <c r="H180" s="114"/>
      <c r="I180" s="114"/>
      <c r="J180" s="121">
        <v>45889.0</v>
      </c>
      <c r="K180" s="117"/>
      <c r="L180" s="116" t="s">
        <v>2659</v>
      </c>
      <c r="M180" s="116" t="s">
        <v>12</v>
      </c>
      <c r="N180" s="118"/>
    </row>
    <row r="181">
      <c r="A181" s="115">
        <v>180.0</v>
      </c>
      <c r="B181" s="119" t="s">
        <v>2708</v>
      </c>
      <c r="C181" s="119" t="s">
        <v>2709</v>
      </c>
      <c r="D181" s="120"/>
      <c r="E181" s="114"/>
      <c r="F181" s="116">
        <v>374579.0</v>
      </c>
      <c r="G181" s="116">
        <v>3.040251086E9</v>
      </c>
      <c r="H181" s="114"/>
      <c r="I181" s="114"/>
      <c r="J181" s="121">
        <v>45814.0</v>
      </c>
      <c r="K181" s="117"/>
      <c r="L181" s="116" t="s">
        <v>2710</v>
      </c>
      <c r="M181" s="116" t="s">
        <v>12</v>
      </c>
      <c r="N181" s="118"/>
    </row>
    <row r="182">
      <c r="A182" s="115">
        <v>181.0</v>
      </c>
      <c r="B182" s="116" t="s">
        <v>1975</v>
      </c>
      <c r="C182" s="116" t="s">
        <v>1976</v>
      </c>
      <c r="D182" s="117"/>
      <c r="E182" s="114"/>
      <c r="F182" s="116">
        <v>791.0</v>
      </c>
      <c r="G182" s="116">
        <v>3.04025079E9</v>
      </c>
      <c r="H182" s="114"/>
      <c r="I182" s="114"/>
      <c r="J182" s="121">
        <v>45889.0</v>
      </c>
      <c r="K182" s="117"/>
      <c r="L182" s="116" t="s">
        <v>2659</v>
      </c>
      <c r="M182" s="116" t="s">
        <v>12</v>
      </c>
      <c r="N182" s="118"/>
    </row>
    <row r="183">
      <c r="A183" s="115">
        <v>182.0</v>
      </c>
      <c r="B183" s="119" t="s">
        <v>1404</v>
      </c>
      <c r="C183" s="119" t="s">
        <v>1405</v>
      </c>
      <c r="D183" s="120"/>
      <c r="E183" s="114"/>
      <c r="F183" s="116" t="s">
        <v>2711</v>
      </c>
      <c r="G183" s="116">
        <v>3.040250791E9</v>
      </c>
      <c r="H183" s="114"/>
      <c r="I183" s="114"/>
      <c r="J183" s="117"/>
      <c r="K183" s="117"/>
      <c r="L183" s="117"/>
      <c r="M183" s="117"/>
      <c r="N183" s="118"/>
    </row>
    <row r="184">
      <c r="A184" s="115">
        <v>183.0</v>
      </c>
      <c r="B184" s="116" t="s">
        <v>1404</v>
      </c>
      <c r="C184" s="116" t="s">
        <v>1405</v>
      </c>
      <c r="D184" s="117"/>
      <c r="E184" s="114"/>
      <c r="F184" s="116" t="s">
        <v>2711</v>
      </c>
      <c r="G184" s="116">
        <v>3.040250792E9</v>
      </c>
      <c r="H184" s="114"/>
      <c r="I184" s="114"/>
      <c r="J184" s="121">
        <v>46139.0</v>
      </c>
      <c r="K184" s="117"/>
      <c r="L184" s="117"/>
      <c r="M184" s="117"/>
      <c r="N184" s="118"/>
    </row>
    <row r="185">
      <c r="A185" s="115">
        <v>184.0</v>
      </c>
      <c r="B185" s="119" t="s">
        <v>2080</v>
      </c>
      <c r="C185" s="119" t="s">
        <v>2712</v>
      </c>
      <c r="D185" s="120"/>
      <c r="E185" s="114"/>
      <c r="F185" s="116">
        <v>1.0</v>
      </c>
      <c r="G185" s="116">
        <v>3.040254201E9</v>
      </c>
      <c r="H185" s="114"/>
      <c r="I185" s="114"/>
      <c r="J185" s="117"/>
      <c r="K185" s="117"/>
      <c r="L185" s="117"/>
      <c r="M185" s="117"/>
      <c r="N185" s="118"/>
    </row>
    <row r="186">
      <c r="A186" s="115">
        <v>185.0</v>
      </c>
      <c r="B186" s="116" t="s">
        <v>1445</v>
      </c>
      <c r="C186" s="116" t="s">
        <v>1446</v>
      </c>
      <c r="D186" s="117"/>
      <c r="E186" s="114"/>
      <c r="F186" s="116">
        <v>994.0</v>
      </c>
      <c r="G186" s="116">
        <v>3.040250793E9</v>
      </c>
      <c r="H186" s="114"/>
      <c r="I186" s="114"/>
      <c r="J186" s="121">
        <v>45889.0</v>
      </c>
      <c r="K186" s="117"/>
      <c r="L186" s="116" t="s">
        <v>2659</v>
      </c>
      <c r="M186" s="116" t="s">
        <v>12</v>
      </c>
      <c r="N186" s="118"/>
    </row>
    <row r="187">
      <c r="A187" s="115">
        <v>186.0</v>
      </c>
      <c r="B187" s="119" t="s">
        <v>1445</v>
      </c>
      <c r="C187" s="119" t="s">
        <v>1446</v>
      </c>
      <c r="D187" s="120"/>
      <c r="E187" s="114"/>
      <c r="F187" s="116">
        <v>292.0</v>
      </c>
      <c r="G187" s="116">
        <v>3.040253535E9</v>
      </c>
      <c r="H187" s="114"/>
      <c r="I187" s="114"/>
      <c r="J187" s="117"/>
      <c r="K187" s="117"/>
      <c r="L187" s="117"/>
      <c r="M187" s="117"/>
      <c r="N187" s="118"/>
    </row>
    <row r="188">
      <c r="A188" s="115">
        <v>187.0</v>
      </c>
      <c r="B188" s="116" t="s">
        <v>1961</v>
      </c>
      <c r="C188" s="116" t="s">
        <v>1671</v>
      </c>
      <c r="D188" s="117"/>
      <c r="E188" s="114"/>
      <c r="F188" s="116">
        <v>626.0</v>
      </c>
      <c r="G188" s="116">
        <v>3.040250794E9</v>
      </c>
      <c r="H188" s="114"/>
      <c r="I188" s="114"/>
      <c r="J188" s="121">
        <v>45814.0</v>
      </c>
      <c r="K188" s="117"/>
      <c r="L188" s="116" t="s">
        <v>2688</v>
      </c>
      <c r="M188" s="116" t="s">
        <v>12</v>
      </c>
      <c r="N188" s="118"/>
    </row>
    <row r="189">
      <c r="A189" s="115">
        <v>188.0</v>
      </c>
      <c r="B189" s="119" t="s">
        <v>1961</v>
      </c>
      <c r="C189" s="119" t="s">
        <v>1671</v>
      </c>
      <c r="D189" s="120"/>
      <c r="E189" s="114"/>
      <c r="F189" s="116">
        <v>610.0</v>
      </c>
      <c r="G189" s="116">
        <v>3.040250795E9</v>
      </c>
      <c r="H189" s="114"/>
      <c r="I189" s="114"/>
      <c r="J189" s="121">
        <v>45889.0</v>
      </c>
      <c r="K189" s="117"/>
      <c r="L189" s="116" t="s">
        <v>2713</v>
      </c>
      <c r="M189" s="116" t="s">
        <v>12</v>
      </c>
      <c r="N189" s="118"/>
    </row>
    <row r="190">
      <c r="A190" s="115">
        <v>189.0</v>
      </c>
      <c r="B190" s="116" t="s">
        <v>1961</v>
      </c>
      <c r="C190" s="116" t="s">
        <v>2714</v>
      </c>
      <c r="D190" s="117"/>
      <c r="E190" s="114"/>
      <c r="F190" s="116">
        <v>351.0</v>
      </c>
      <c r="G190" s="116">
        <v>3.040254192E9</v>
      </c>
      <c r="H190" s="114"/>
      <c r="I190" s="114"/>
      <c r="J190" s="121">
        <v>45931.0</v>
      </c>
      <c r="K190" s="117"/>
      <c r="L190" s="116" t="s">
        <v>2715</v>
      </c>
      <c r="M190" s="116" t="s">
        <v>12</v>
      </c>
      <c r="N190" s="118"/>
    </row>
    <row r="191">
      <c r="A191" s="115">
        <v>190.0</v>
      </c>
      <c r="B191" s="119" t="s">
        <v>1961</v>
      </c>
      <c r="C191" s="119" t="s">
        <v>2714</v>
      </c>
      <c r="D191" s="120"/>
      <c r="E191" s="114"/>
      <c r="F191" s="116">
        <v>569.0</v>
      </c>
      <c r="G191" s="116">
        <v>3.040254193E9</v>
      </c>
      <c r="H191" s="114"/>
      <c r="I191" s="114"/>
      <c r="J191" s="121">
        <v>45889.0</v>
      </c>
      <c r="K191" s="117"/>
      <c r="L191" s="116" t="s">
        <v>2713</v>
      </c>
      <c r="M191" s="116" t="s">
        <v>12</v>
      </c>
      <c r="N191" s="118"/>
    </row>
    <row r="192">
      <c r="A192" s="115">
        <v>191.0</v>
      </c>
      <c r="B192" s="116" t="s">
        <v>101</v>
      </c>
      <c r="C192" s="116" t="s">
        <v>102</v>
      </c>
      <c r="D192" s="117"/>
      <c r="E192" s="114"/>
      <c r="F192" s="116" t="s">
        <v>2716</v>
      </c>
      <c r="G192" s="116">
        <v>3.040250796E9</v>
      </c>
      <c r="H192" s="114"/>
      <c r="I192" s="114"/>
      <c r="J192" s="121">
        <v>45876.0</v>
      </c>
      <c r="K192" s="117"/>
      <c r="L192" s="116" t="s">
        <v>2676</v>
      </c>
      <c r="M192" s="116" t="s">
        <v>12</v>
      </c>
      <c r="N192" s="118"/>
    </row>
    <row r="193">
      <c r="A193" s="115">
        <v>192.0</v>
      </c>
      <c r="B193" s="119" t="s">
        <v>173</v>
      </c>
      <c r="C193" s="119" t="s">
        <v>174</v>
      </c>
      <c r="D193" s="120"/>
      <c r="E193" s="114"/>
      <c r="F193" s="116" t="s">
        <v>2717</v>
      </c>
      <c r="G193" s="116">
        <v>3.040250797E9</v>
      </c>
      <c r="H193" s="114"/>
      <c r="I193" s="114"/>
      <c r="J193" s="121">
        <v>45876.0</v>
      </c>
      <c r="K193" s="117"/>
      <c r="L193" s="116" t="s">
        <v>2718</v>
      </c>
      <c r="M193" s="116" t="s">
        <v>13</v>
      </c>
      <c r="N193" s="118"/>
    </row>
    <row r="194">
      <c r="A194" s="115">
        <v>193.0</v>
      </c>
      <c r="B194" s="116" t="s">
        <v>2066</v>
      </c>
      <c r="C194" s="116" t="s">
        <v>1400</v>
      </c>
      <c r="D194" s="117"/>
      <c r="E194" s="114"/>
      <c r="F194" s="116">
        <v>297.0</v>
      </c>
      <c r="G194" s="116">
        <v>3.04025294E9</v>
      </c>
      <c r="H194" s="114"/>
      <c r="I194" s="114"/>
      <c r="J194" s="117"/>
      <c r="K194" s="117"/>
      <c r="L194" s="117"/>
      <c r="M194" s="117"/>
      <c r="N194" s="118"/>
    </row>
    <row r="195">
      <c r="A195" s="115">
        <v>194.0</v>
      </c>
      <c r="B195" s="119" t="s">
        <v>2066</v>
      </c>
      <c r="C195" s="119" t="s">
        <v>1400</v>
      </c>
      <c r="D195" s="120"/>
      <c r="E195" s="114"/>
      <c r="F195" s="116">
        <v>322.0</v>
      </c>
      <c r="G195" s="116">
        <v>3.040252941E9</v>
      </c>
      <c r="H195" s="114"/>
      <c r="I195" s="114"/>
      <c r="J195" s="121">
        <v>45876.0</v>
      </c>
      <c r="K195" s="117"/>
      <c r="L195" s="116" t="s">
        <v>2676</v>
      </c>
      <c r="M195" s="124" t="s">
        <v>12</v>
      </c>
      <c r="N195" s="118"/>
    </row>
    <row r="196">
      <c r="A196" s="115">
        <v>195.0</v>
      </c>
      <c r="B196" s="116" t="s">
        <v>2066</v>
      </c>
      <c r="C196" s="116" t="s">
        <v>1400</v>
      </c>
      <c r="D196" s="117"/>
      <c r="E196" s="114"/>
      <c r="F196" s="116">
        <v>324.0</v>
      </c>
      <c r="G196" s="116">
        <v>3.040252942E9</v>
      </c>
      <c r="H196" s="114"/>
      <c r="I196" s="114"/>
      <c r="J196" s="121">
        <v>46119.0</v>
      </c>
      <c r="K196" s="117"/>
      <c r="L196" s="116" t="s">
        <v>2612</v>
      </c>
      <c r="M196" s="124" t="s">
        <v>12</v>
      </c>
      <c r="N196" s="118"/>
    </row>
    <row r="197">
      <c r="A197" s="115">
        <v>196.0</v>
      </c>
      <c r="B197" s="119" t="s">
        <v>2066</v>
      </c>
      <c r="C197" s="119" t="s">
        <v>1400</v>
      </c>
      <c r="D197" s="120"/>
      <c r="E197" s="114"/>
      <c r="F197" s="116">
        <v>144.0</v>
      </c>
      <c r="G197" s="116">
        <v>3.040252943E9</v>
      </c>
      <c r="H197" s="114"/>
      <c r="I197" s="114"/>
      <c r="J197" s="121">
        <v>46119.0</v>
      </c>
      <c r="K197" s="117"/>
      <c r="L197" s="116" t="s">
        <v>2612</v>
      </c>
      <c r="M197" s="124" t="s">
        <v>12</v>
      </c>
      <c r="N197" s="118"/>
    </row>
    <row r="198">
      <c r="A198" s="115">
        <v>197.0</v>
      </c>
      <c r="B198" s="116" t="s">
        <v>2066</v>
      </c>
      <c r="C198" s="116" t="s">
        <v>1400</v>
      </c>
      <c r="D198" s="117"/>
      <c r="E198" s="114"/>
      <c r="F198" s="116">
        <v>327.0</v>
      </c>
      <c r="G198" s="116">
        <v>3.040252944E9</v>
      </c>
      <c r="H198" s="114"/>
      <c r="I198" s="114"/>
      <c r="J198" s="121">
        <v>45961.0</v>
      </c>
      <c r="K198" s="117"/>
      <c r="L198" s="116" t="s">
        <v>2719</v>
      </c>
      <c r="M198" s="116" t="s">
        <v>16</v>
      </c>
      <c r="N198" s="118"/>
    </row>
    <row r="199">
      <c r="A199" s="115">
        <v>198.0</v>
      </c>
      <c r="B199" s="119" t="s">
        <v>2720</v>
      </c>
      <c r="C199" s="119" t="s">
        <v>1400</v>
      </c>
      <c r="D199" s="120"/>
      <c r="E199" s="114"/>
      <c r="F199" s="116" t="s">
        <v>2721</v>
      </c>
      <c r="G199" s="116">
        <v>3.040253162E9</v>
      </c>
      <c r="H199" s="114"/>
      <c r="I199" s="114"/>
      <c r="J199" s="121">
        <v>45860.0</v>
      </c>
      <c r="K199" s="117"/>
      <c r="L199" s="116" t="s">
        <v>2722</v>
      </c>
      <c r="M199" s="116" t="s">
        <v>20</v>
      </c>
      <c r="N199" s="118"/>
    </row>
    <row r="200">
      <c r="A200" s="115">
        <v>199.0</v>
      </c>
      <c r="B200" s="116">
        <v>3034792.0</v>
      </c>
      <c r="C200" s="116" t="s">
        <v>1334</v>
      </c>
      <c r="D200" s="117"/>
      <c r="E200" s="114"/>
      <c r="F200" s="116">
        <v>3342.0</v>
      </c>
      <c r="G200" s="116">
        <v>3.040250234E9</v>
      </c>
      <c r="H200" s="114"/>
      <c r="I200" s="114"/>
      <c r="J200" s="121">
        <v>45993.0</v>
      </c>
      <c r="K200" s="117"/>
      <c r="L200" s="116" t="s">
        <v>2723</v>
      </c>
      <c r="M200" s="117"/>
      <c r="N200" s="118"/>
    </row>
    <row r="201">
      <c r="A201" s="115">
        <v>200.0</v>
      </c>
      <c r="B201" s="119" t="s">
        <v>229</v>
      </c>
      <c r="C201" s="119" t="s">
        <v>2724</v>
      </c>
      <c r="D201" s="120"/>
      <c r="E201" s="114"/>
      <c r="F201" s="116">
        <v>6454.0</v>
      </c>
      <c r="G201" s="116">
        <v>3.040254198E9</v>
      </c>
      <c r="H201" s="114"/>
      <c r="I201" s="114"/>
      <c r="J201" s="121">
        <v>45853.0</v>
      </c>
      <c r="K201" s="117"/>
      <c r="L201" s="116" t="s">
        <v>2725</v>
      </c>
      <c r="M201" s="116" t="s">
        <v>16</v>
      </c>
      <c r="N201" s="118"/>
    </row>
    <row r="202">
      <c r="A202" s="115">
        <v>201.0</v>
      </c>
      <c r="B202" s="116" t="s">
        <v>229</v>
      </c>
      <c r="C202" s="116" t="s">
        <v>2724</v>
      </c>
      <c r="D202" s="117"/>
      <c r="E202" s="114"/>
      <c r="F202" s="116">
        <v>6891.0</v>
      </c>
      <c r="G202" s="116">
        <v>3.040259148E9</v>
      </c>
      <c r="H202" s="114"/>
      <c r="I202" s="114"/>
      <c r="J202" s="121">
        <v>46119.0</v>
      </c>
      <c r="K202" s="117"/>
      <c r="L202" s="116" t="s">
        <v>2612</v>
      </c>
      <c r="M202" s="124" t="s">
        <v>12</v>
      </c>
      <c r="N202" s="118"/>
    </row>
    <row r="203">
      <c r="A203" s="115">
        <v>202.0</v>
      </c>
      <c r="B203" s="119" t="s">
        <v>2726</v>
      </c>
      <c r="C203" s="119" t="s">
        <v>1674</v>
      </c>
      <c r="D203" s="120"/>
      <c r="E203" s="114"/>
      <c r="F203" s="116">
        <v>1.8392762E7</v>
      </c>
      <c r="G203" s="116">
        <v>3.040253184E9</v>
      </c>
      <c r="H203" s="114"/>
      <c r="I203" s="114"/>
      <c r="J203" s="117"/>
      <c r="K203" s="117"/>
      <c r="L203" s="116" t="s">
        <v>2727</v>
      </c>
      <c r="M203" s="116" t="s">
        <v>16</v>
      </c>
      <c r="N203" s="118"/>
    </row>
    <row r="204">
      <c r="A204" s="115">
        <v>203.0</v>
      </c>
      <c r="B204" s="116" t="s">
        <v>2010</v>
      </c>
      <c r="C204" s="116" t="s">
        <v>2012</v>
      </c>
      <c r="D204" s="117"/>
      <c r="E204" s="114"/>
      <c r="F204" s="116">
        <v>1.0603745E7</v>
      </c>
      <c r="G204" s="116">
        <v>3.040250798E9</v>
      </c>
      <c r="H204" s="114"/>
      <c r="I204" s="114"/>
      <c r="J204" s="121">
        <v>46191.0</v>
      </c>
      <c r="K204" s="117"/>
      <c r="L204" s="116" t="s">
        <v>2728</v>
      </c>
      <c r="M204" s="116" t="s">
        <v>12</v>
      </c>
      <c r="N204" s="118"/>
    </row>
    <row r="205">
      <c r="A205" s="115">
        <v>204.0</v>
      </c>
      <c r="B205" s="119" t="s">
        <v>2010</v>
      </c>
      <c r="C205" s="119" t="s">
        <v>2012</v>
      </c>
      <c r="D205" s="120"/>
      <c r="E205" s="114"/>
      <c r="F205" s="116">
        <v>1.0603744E7</v>
      </c>
      <c r="G205" s="116">
        <v>3.040253526E9</v>
      </c>
      <c r="H205" s="114"/>
      <c r="I205" s="114"/>
      <c r="J205" s="121">
        <v>46191.0</v>
      </c>
      <c r="K205" s="117"/>
      <c r="L205" s="116" t="s">
        <v>2728</v>
      </c>
      <c r="M205" s="116" t="s">
        <v>12</v>
      </c>
      <c r="N205" s="118"/>
    </row>
    <row r="206">
      <c r="A206" s="115">
        <v>205.0</v>
      </c>
      <c r="B206" s="116" t="s">
        <v>2010</v>
      </c>
      <c r="C206" s="116" t="s">
        <v>2012</v>
      </c>
      <c r="D206" s="117"/>
      <c r="E206" s="114"/>
      <c r="F206" s="116">
        <v>1.1200477E7</v>
      </c>
      <c r="G206" s="116">
        <v>3.040253527E9</v>
      </c>
      <c r="H206" s="114"/>
      <c r="I206" s="114"/>
      <c r="J206" s="121">
        <v>46191.0</v>
      </c>
      <c r="K206" s="117"/>
      <c r="L206" s="116" t="s">
        <v>2728</v>
      </c>
      <c r="M206" s="116" t="s">
        <v>12</v>
      </c>
      <c r="N206" s="118"/>
    </row>
    <row r="207">
      <c r="A207" s="115">
        <v>206.0</v>
      </c>
      <c r="B207" s="119" t="s">
        <v>2010</v>
      </c>
      <c r="C207" s="119" t="s">
        <v>2729</v>
      </c>
      <c r="D207" s="120"/>
      <c r="E207" s="114"/>
      <c r="F207" s="116">
        <v>9902509.0</v>
      </c>
      <c r="G207" s="116">
        <v>3.040254796E9</v>
      </c>
      <c r="H207" s="114"/>
      <c r="I207" s="114"/>
      <c r="J207" s="121">
        <v>45932.0</v>
      </c>
      <c r="K207" s="117"/>
      <c r="L207" s="116" t="s">
        <v>2730</v>
      </c>
      <c r="M207" s="117"/>
      <c r="N207" s="118"/>
    </row>
    <row r="208">
      <c r="A208" s="115">
        <v>207.0</v>
      </c>
      <c r="B208" s="116" t="s">
        <v>2010</v>
      </c>
      <c r="C208" s="116" t="s">
        <v>2731</v>
      </c>
      <c r="D208" s="117"/>
      <c r="E208" s="114"/>
      <c r="F208" s="116">
        <v>1.0603742E7</v>
      </c>
      <c r="G208" s="116">
        <v>3.040257436E9</v>
      </c>
      <c r="H208" s="114"/>
      <c r="I208" s="114"/>
      <c r="J208" s="121">
        <v>46191.0</v>
      </c>
      <c r="K208" s="117"/>
      <c r="L208" s="116" t="s">
        <v>2728</v>
      </c>
      <c r="M208" s="116" t="s">
        <v>12</v>
      </c>
      <c r="N208" s="118"/>
    </row>
    <row r="209">
      <c r="A209" s="115">
        <v>208.0</v>
      </c>
      <c r="B209" s="119" t="s">
        <v>1534</v>
      </c>
      <c r="C209" s="119" t="s">
        <v>2732</v>
      </c>
      <c r="D209" s="120"/>
      <c r="E209" s="114"/>
      <c r="F209" s="116" t="s">
        <v>2132</v>
      </c>
      <c r="G209" s="116">
        <v>3.040256311E9</v>
      </c>
      <c r="H209" s="114"/>
      <c r="I209" s="114"/>
      <c r="J209" s="121">
        <v>46119.0</v>
      </c>
      <c r="K209" s="117"/>
      <c r="L209" s="116" t="s">
        <v>2612</v>
      </c>
      <c r="M209" s="124" t="s">
        <v>12</v>
      </c>
      <c r="N209" s="118"/>
    </row>
    <row r="210">
      <c r="A210" s="115">
        <v>209.0</v>
      </c>
      <c r="B210" s="116" t="s">
        <v>1534</v>
      </c>
      <c r="C210" s="116" t="s">
        <v>2724</v>
      </c>
      <c r="D210" s="117"/>
      <c r="E210" s="114"/>
      <c r="F210" s="116" t="s">
        <v>1536</v>
      </c>
      <c r="G210" s="116">
        <v>3.040256709E9</v>
      </c>
      <c r="H210" s="114"/>
      <c r="I210" s="114"/>
      <c r="J210" s="121">
        <v>45946.0</v>
      </c>
      <c r="K210" s="117"/>
      <c r="L210" s="116" t="s">
        <v>2733</v>
      </c>
      <c r="M210" s="117"/>
      <c r="N210" s="118"/>
    </row>
    <row r="211">
      <c r="A211" s="115">
        <v>210.0</v>
      </c>
      <c r="B211" s="119" t="s">
        <v>1534</v>
      </c>
      <c r="C211" s="119" t="s">
        <v>2724</v>
      </c>
      <c r="D211" s="120"/>
      <c r="E211" s="114"/>
      <c r="F211" s="116" t="s">
        <v>2734</v>
      </c>
      <c r="G211" s="116">
        <v>3.04025671E9</v>
      </c>
      <c r="H211" s="114"/>
      <c r="I211" s="114"/>
      <c r="J211" s="121">
        <v>45937.0</v>
      </c>
      <c r="K211" s="117"/>
      <c r="L211" s="116" t="s">
        <v>2735</v>
      </c>
      <c r="M211" s="116" t="s">
        <v>13</v>
      </c>
      <c r="N211" s="118"/>
    </row>
    <row r="212">
      <c r="A212" s="115">
        <v>211.0</v>
      </c>
      <c r="B212" s="116" t="s">
        <v>1624</v>
      </c>
      <c r="C212" s="116" t="s">
        <v>1625</v>
      </c>
      <c r="D212" s="117"/>
      <c r="E212" s="114"/>
      <c r="F212" s="116" t="s">
        <v>2736</v>
      </c>
      <c r="G212" s="116">
        <v>3.040250799E9</v>
      </c>
      <c r="H212" s="114"/>
      <c r="I212" s="114"/>
      <c r="J212" s="121">
        <v>45849.0</v>
      </c>
      <c r="K212" s="117"/>
      <c r="L212" s="116" t="s">
        <v>2737</v>
      </c>
      <c r="M212" s="116" t="s">
        <v>13</v>
      </c>
      <c r="N212" s="118"/>
    </row>
    <row r="213">
      <c r="A213" s="115">
        <v>212.0</v>
      </c>
      <c r="B213" s="119" t="s">
        <v>1624</v>
      </c>
      <c r="C213" s="119" t="s">
        <v>1625</v>
      </c>
      <c r="D213" s="120"/>
      <c r="E213" s="114"/>
      <c r="F213" s="116" t="s">
        <v>2738</v>
      </c>
      <c r="G213" s="116">
        <v>3.040253165E9</v>
      </c>
      <c r="H213" s="114"/>
      <c r="I213" s="114"/>
      <c r="J213" s="121">
        <v>45876.0</v>
      </c>
      <c r="K213" s="117"/>
      <c r="L213" s="116" t="s">
        <v>2676</v>
      </c>
      <c r="M213" s="116" t="s">
        <v>12</v>
      </c>
      <c r="N213" s="118"/>
    </row>
    <row r="214">
      <c r="A214" s="115">
        <v>213.0</v>
      </c>
      <c r="B214" s="116" t="s">
        <v>1624</v>
      </c>
      <c r="C214" s="116" t="s">
        <v>2739</v>
      </c>
      <c r="D214" s="117"/>
      <c r="E214" s="114"/>
      <c r="F214" s="116" t="s">
        <v>2740</v>
      </c>
      <c r="G214" s="116">
        <v>3.040257449E9</v>
      </c>
      <c r="H214" s="114"/>
      <c r="I214" s="114"/>
      <c r="J214" s="121">
        <v>46008.0</v>
      </c>
      <c r="K214" s="117"/>
      <c r="L214" s="116" t="s">
        <v>2727</v>
      </c>
      <c r="M214" s="116" t="s">
        <v>16</v>
      </c>
      <c r="N214" s="118"/>
    </row>
    <row r="215">
      <c r="A215" s="115">
        <v>214.0</v>
      </c>
      <c r="B215" s="119" t="s">
        <v>1628</v>
      </c>
      <c r="C215" s="119" t="s">
        <v>1546</v>
      </c>
      <c r="D215" s="120"/>
      <c r="E215" s="114"/>
      <c r="F215" s="116" t="s">
        <v>2741</v>
      </c>
      <c r="G215" s="116">
        <v>3.040250253E9</v>
      </c>
      <c r="H215" s="114"/>
      <c r="I215" s="114"/>
      <c r="J215" s="116" t="s">
        <v>2742</v>
      </c>
      <c r="K215" s="117"/>
      <c r="L215" s="116" t="s">
        <v>2743</v>
      </c>
      <c r="M215" s="116" t="s">
        <v>12</v>
      </c>
      <c r="N215" s="118"/>
    </row>
    <row r="216">
      <c r="A216" s="115">
        <v>215.0</v>
      </c>
      <c r="B216" s="116" t="s">
        <v>2165</v>
      </c>
      <c r="C216" s="116" t="s">
        <v>2739</v>
      </c>
      <c r="D216" s="117"/>
      <c r="E216" s="114"/>
      <c r="F216" s="116" t="s">
        <v>2166</v>
      </c>
      <c r="G216" s="116">
        <v>3.04025745E9</v>
      </c>
      <c r="H216" s="114"/>
      <c r="I216" s="114"/>
      <c r="J216" s="117"/>
      <c r="K216" s="117"/>
      <c r="L216" s="117"/>
      <c r="M216" s="117"/>
      <c r="N216" s="118"/>
    </row>
    <row r="217">
      <c r="A217" s="115">
        <v>216.0</v>
      </c>
      <c r="B217" s="119" t="s">
        <v>1544</v>
      </c>
      <c r="C217" s="119" t="s">
        <v>2739</v>
      </c>
      <c r="D217" s="120"/>
      <c r="E217" s="114"/>
      <c r="F217" s="116" t="s">
        <v>1547</v>
      </c>
      <c r="G217" s="116">
        <v>3.040257451E9</v>
      </c>
      <c r="H217" s="114"/>
      <c r="I217" s="114"/>
      <c r="J217" s="121">
        <v>45973.0</v>
      </c>
      <c r="K217" s="117"/>
      <c r="L217" s="116" t="s">
        <v>2500</v>
      </c>
      <c r="M217" s="116" t="s">
        <v>17</v>
      </c>
      <c r="N217" s="118"/>
    </row>
    <row r="218">
      <c r="A218" s="115">
        <v>217.0</v>
      </c>
      <c r="B218" s="116" t="s">
        <v>1866</v>
      </c>
      <c r="C218" s="116" t="s">
        <v>2739</v>
      </c>
      <c r="D218" s="117"/>
      <c r="E218" s="114"/>
      <c r="F218" s="116" t="s">
        <v>2155</v>
      </c>
      <c r="G218" s="116">
        <v>3.040257452E9</v>
      </c>
      <c r="H218" s="114"/>
      <c r="I218" s="114"/>
      <c r="J218" s="121">
        <v>46014.0</v>
      </c>
      <c r="K218" s="117"/>
      <c r="L218" s="116" t="s">
        <v>2744</v>
      </c>
      <c r="M218" s="116" t="s">
        <v>21</v>
      </c>
      <c r="N218" s="118"/>
    </row>
    <row r="219">
      <c r="A219" s="115">
        <v>218.0</v>
      </c>
      <c r="B219" s="119" t="s">
        <v>143</v>
      </c>
      <c r="C219" s="119" t="s">
        <v>1625</v>
      </c>
      <c r="D219" s="120"/>
      <c r="E219" s="114"/>
      <c r="F219" s="116" t="s">
        <v>2432</v>
      </c>
      <c r="G219" s="116">
        <v>3.040253163E9</v>
      </c>
      <c r="H219" s="114"/>
      <c r="I219" s="114"/>
      <c r="J219" s="121">
        <v>45876.0</v>
      </c>
      <c r="K219" s="117"/>
      <c r="L219" s="116" t="s">
        <v>2745</v>
      </c>
      <c r="M219" s="116" t="s">
        <v>20</v>
      </c>
      <c r="N219" s="118"/>
    </row>
    <row r="220">
      <c r="A220" s="115">
        <v>219.0</v>
      </c>
      <c r="B220" s="116" t="s">
        <v>143</v>
      </c>
      <c r="C220" s="116" t="s">
        <v>1625</v>
      </c>
      <c r="D220" s="117"/>
      <c r="E220" s="114"/>
      <c r="F220" s="116" t="s">
        <v>2746</v>
      </c>
      <c r="G220" s="116">
        <v>3.040253164E9</v>
      </c>
      <c r="H220" s="114"/>
      <c r="I220" s="114"/>
      <c r="J220" s="121">
        <v>45937.0</v>
      </c>
      <c r="K220" s="117"/>
      <c r="L220" s="116" t="s">
        <v>2747</v>
      </c>
      <c r="M220" s="116" t="s">
        <v>16</v>
      </c>
      <c r="N220" s="118"/>
    </row>
    <row r="221">
      <c r="A221" s="115">
        <v>220.0</v>
      </c>
      <c r="B221" s="119" t="s">
        <v>143</v>
      </c>
      <c r="C221" s="119" t="s">
        <v>2739</v>
      </c>
      <c r="D221" s="120"/>
      <c r="E221" s="114"/>
      <c r="F221" s="116" t="s">
        <v>2748</v>
      </c>
      <c r="G221" s="116">
        <v>3.040257448E9</v>
      </c>
      <c r="H221" s="114"/>
      <c r="I221" s="114"/>
      <c r="J221" s="121">
        <v>45980.0</v>
      </c>
      <c r="K221" s="117"/>
      <c r="L221" s="116" t="s">
        <v>2749</v>
      </c>
      <c r="M221" s="116" t="s">
        <v>17</v>
      </c>
      <c r="N221" s="118"/>
    </row>
    <row r="222">
      <c r="A222" s="115">
        <v>221.0</v>
      </c>
      <c r="B222" s="116" t="s">
        <v>1324</v>
      </c>
      <c r="C222" s="116" t="s">
        <v>1326</v>
      </c>
      <c r="D222" s="117"/>
      <c r="E222" s="114"/>
      <c r="F222" s="116" t="s">
        <v>1330</v>
      </c>
      <c r="G222" s="116">
        <v>3.040250248E9</v>
      </c>
      <c r="H222" s="114"/>
      <c r="I222" s="114"/>
      <c r="J222" s="117"/>
      <c r="K222" s="117"/>
      <c r="L222" s="117"/>
      <c r="M222" s="117"/>
      <c r="N222" s="118"/>
    </row>
    <row r="223">
      <c r="A223" s="115">
        <v>222.0</v>
      </c>
      <c r="B223" s="119" t="s">
        <v>1324</v>
      </c>
      <c r="C223" s="119" t="s">
        <v>1326</v>
      </c>
      <c r="D223" s="120"/>
      <c r="E223" s="114"/>
      <c r="F223" s="116" t="s">
        <v>1327</v>
      </c>
      <c r="G223" s="116">
        <v>3.040250249E9</v>
      </c>
      <c r="H223" s="114"/>
      <c r="I223" s="114"/>
      <c r="J223" s="117"/>
      <c r="K223" s="117"/>
      <c r="L223" s="117"/>
      <c r="M223" s="117"/>
      <c r="N223" s="118"/>
    </row>
    <row r="224">
      <c r="A224" s="115">
        <v>223.0</v>
      </c>
      <c r="B224" s="116" t="s">
        <v>1324</v>
      </c>
      <c r="C224" s="116" t="s">
        <v>2729</v>
      </c>
      <c r="D224" s="117"/>
      <c r="E224" s="114"/>
      <c r="F224" s="116" t="s">
        <v>1487</v>
      </c>
      <c r="G224" s="116">
        <v>3.040254784E9</v>
      </c>
      <c r="H224" s="114"/>
      <c r="I224" s="114"/>
      <c r="J224" s="117"/>
      <c r="K224" s="117"/>
      <c r="L224" s="117"/>
      <c r="M224" s="117"/>
      <c r="N224" s="118"/>
    </row>
    <row r="225">
      <c r="A225" s="115">
        <v>224.0</v>
      </c>
      <c r="B225" s="119" t="s">
        <v>1324</v>
      </c>
      <c r="C225" s="119" t="s">
        <v>2729</v>
      </c>
      <c r="D225" s="120"/>
      <c r="E225" s="114"/>
      <c r="F225" s="116" t="s">
        <v>1495</v>
      </c>
      <c r="G225" s="116">
        <v>3.040254785E9</v>
      </c>
      <c r="H225" s="114"/>
      <c r="I225" s="114"/>
      <c r="J225" s="117"/>
      <c r="K225" s="117"/>
      <c r="L225" s="117"/>
      <c r="M225" s="117"/>
      <c r="N225" s="118"/>
    </row>
    <row r="226">
      <c r="A226" s="115">
        <v>225.0</v>
      </c>
      <c r="B226" s="116" t="s">
        <v>1324</v>
      </c>
      <c r="C226" s="116" t="s">
        <v>2729</v>
      </c>
      <c r="D226" s="117"/>
      <c r="E226" s="114"/>
      <c r="F226" s="116" t="s">
        <v>1496</v>
      </c>
      <c r="G226" s="116">
        <v>3.040254786E9</v>
      </c>
      <c r="H226" s="114"/>
      <c r="I226" s="114"/>
      <c r="J226" s="117"/>
      <c r="K226" s="117"/>
      <c r="L226" s="117"/>
      <c r="M226" s="117"/>
      <c r="N226" s="118"/>
    </row>
    <row r="227">
      <c r="A227" s="115">
        <v>226.0</v>
      </c>
      <c r="B227" s="119" t="s">
        <v>1324</v>
      </c>
      <c r="C227" s="119" t="s">
        <v>2729</v>
      </c>
      <c r="D227" s="120"/>
      <c r="E227" s="114"/>
      <c r="F227" s="116" t="s">
        <v>1490</v>
      </c>
      <c r="G227" s="116">
        <v>3.040254787E9</v>
      </c>
      <c r="H227" s="114"/>
      <c r="I227" s="114"/>
      <c r="J227" s="117"/>
      <c r="K227" s="117"/>
      <c r="L227" s="117"/>
      <c r="M227" s="117"/>
      <c r="N227" s="118"/>
    </row>
    <row r="228">
      <c r="A228" s="115">
        <v>227.0</v>
      </c>
      <c r="B228" s="116" t="s">
        <v>1324</v>
      </c>
      <c r="C228" s="116" t="s">
        <v>2729</v>
      </c>
      <c r="D228" s="117"/>
      <c r="E228" s="114"/>
      <c r="F228" s="116" t="s">
        <v>1494</v>
      </c>
      <c r="G228" s="116">
        <v>3.040254788E9</v>
      </c>
      <c r="H228" s="114"/>
      <c r="I228" s="114"/>
      <c r="J228" s="117"/>
      <c r="K228" s="117"/>
      <c r="L228" s="117"/>
      <c r="M228" s="117"/>
      <c r="N228" s="118"/>
    </row>
    <row r="229">
      <c r="A229" s="115">
        <v>228.0</v>
      </c>
      <c r="B229" s="119" t="s">
        <v>1324</v>
      </c>
      <c r="C229" s="119" t="s">
        <v>2729</v>
      </c>
      <c r="D229" s="120"/>
      <c r="E229" s="114"/>
      <c r="F229" s="116" t="s">
        <v>1485</v>
      </c>
      <c r="G229" s="116">
        <v>3.040254789E9</v>
      </c>
      <c r="H229" s="114"/>
      <c r="I229" s="114"/>
      <c r="J229" s="117"/>
      <c r="K229" s="117"/>
      <c r="L229" s="117"/>
      <c r="M229" s="117"/>
      <c r="N229" s="118"/>
    </row>
    <row r="230">
      <c r="A230" s="115">
        <v>229.0</v>
      </c>
      <c r="B230" s="116" t="s">
        <v>2750</v>
      </c>
      <c r="C230" s="116" t="s">
        <v>2751</v>
      </c>
      <c r="D230" s="117"/>
      <c r="E230" s="114"/>
      <c r="F230" s="116">
        <v>375.0</v>
      </c>
      <c r="G230" s="116">
        <v>3.040257091E9</v>
      </c>
      <c r="H230" s="114"/>
      <c r="I230" s="114"/>
      <c r="J230" s="117"/>
      <c r="K230" s="117"/>
      <c r="L230" s="117"/>
      <c r="M230" s="117"/>
      <c r="N230" s="118"/>
    </row>
    <row r="231">
      <c r="A231" s="115">
        <v>230.0</v>
      </c>
      <c r="B231" s="119" t="s">
        <v>2752</v>
      </c>
      <c r="C231" s="119" t="s">
        <v>2751</v>
      </c>
      <c r="D231" s="120"/>
      <c r="E231" s="114"/>
      <c r="F231" s="116" t="s">
        <v>2753</v>
      </c>
      <c r="G231" s="116">
        <v>3.04025709E9</v>
      </c>
      <c r="H231" s="114"/>
      <c r="I231" s="114"/>
      <c r="J231" s="117"/>
      <c r="K231" s="117"/>
      <c r="L231" s="117"/>
      <c r="M231" s="117"/>
      <c r="N231" s="118"/>
    </row>
    <row r="232">
      <c r="A232" s="115">
        <v>231.0</v>
      </c>
      <c r="B232" s="116" t="s">
        <v>27</v>
      </c>
      <c r="C232" s="123" t="s">
        <v>2092</v>
      </c>
      <c r="D232" s="117"/>
      <c r="E232" s="114"/>
      <c r="F232" s="116">
        <v>8730.0</v>
      </c>
      <c r="G232" s="116">
        <v>3.040253537E9</v>
      </c>
      <c r="H232" s="114"/>
      <c r="I232" s="114"/>
      <c r="J232" s="121">
        <v>45979.0</v>
      </c>
      <c r="K232" s="117"/>
      <c r="L232" s="116" t="s">
        <v>2645</v>
      </c>
      <c r="M232" s="116" t="s">
        <v>12</v>
      </c>
      <c r="N232" s="118"/>
    </row>
    <row r="233">
      <c r="A233" s="115">
        <v>232.0</v>
      </c>
      <c r="B233" s="119" t="s">
        <v>27</v>
      </c>
      <c r="C233" s="125" t="s">
        <v>2092</v>
      </c>
      <c r="D233" s="120"/>
      <c r="E233" s="114"/>
      <c r="F233" s="116">
        <v>6831.0</v>
      </c>
      <c r="G233" s="116">
        <v>3.04025358E9</v>
      </c>
      <c r="H233" s="114"/>
      <c r="I233" s="114"/>
      <c r="J233" s="121">
        <v>45979.0</v>
      </c>
      <c r="K233" s="117"/>
      <c r="L233" s="116" t="s">
        <v>2645</v>
      </c>
      <c r="M233" s="116" t="s">
        <v>12</v>
      </c>
      <c r="N233" s="118"/>
    </row>
    <row r="234">
      <c r="A234" s="115">
        <v>233.0</v>
      </c>
      <c r="B234" s="116" t="s">
        <v>27</v>
      </c>
      <c r="C234" s="123" t="s">
        <v>2092</v>
      </c>
      <c r="D234" s="117"/>
      <c r="E234" s="114"/>
      <c r="F234" s="116">
        <v>8732.0</v>
      </c>
      <c r="G234" s="116">
        <v>3.040253581E9</v>
      </c>
      <c r="H234" s="114"/>
      <c r="I234" s="114"/>
      <c r="J234" s="121">
        <v>45979.0</v>
      </c>
      <c r="K234" s="117"/>
      <c r="L234" s="116" t="s">
        <v>2645</v>
      </c>
      <c r="M234" s="116" t="s">
        <v>12</v>
      </c>
      <c r="N234" s="118"/>
    </row>
    <row r="235">
      <c r="A235" s="115">
        <v>234.0</v>
      </c>
      <c r="B235" s="119" t="s">
        <v>27</v>
      </c>
      <c r="C235" s="119" t="s">
        <v>2751</v>
      </c>
      <c r="D235" s="120"/>
      <c r="E235" s="114"/>
      <c r="F235" s="116">
        <v>8734.0</v>
      </c>
      <c r="G235" s="116">
        <v>3.040254797E9</v>
      </c>
      <c r="H235" s="114"/>
      <c r="I235" s="114"/>
      <c r="J235" s="121">
        <v>45971.0</v>
      </c>
      <c r="K235" s="117"/>
      <c r="L235" s="116" t="s">
        <v>2650</v>
      </c>
      <c r="M235" s="116" t="s">
        <v>12</v>
      </c>
      <c r="N235" s="118"/>
    </row>
    <row r="236">
      <c r="A236" s="115">
        <v>235.0</v>
      </c>
      <c r="B236" s="116" t="s">
        <v>27</v>
      </c>
      <c r="C236" s="116" t="s">
        <v>2751</v>
      </c>
      <c r="D236" s="117"/>
      <c r="E236" s="114"/>
      <c r="F236" s="116">
        <v>7915.0</v>
      </c>
      <c r="G236" s="116">
        <v>3.040254798E9</v>
      </c>
      <c r="H236" s="114"/>
      <c r="I236" s="114"/>
      <c r="J236" s="121">
        <v>45971.0</v>
      </c>
      <c r="K236" s="117"/>
      <c r="L236" s="116" t="s">
        <v>2650</v>
      </c>
      <c r="M236" s="116" t="s">
        <v>12</v>
      </c>
      <c r="N236" s="118"/>
    </row>
    <row r="237">
      <c r="A237" s="115">
        <v>236.0</v>
      </c>
      <c r="B237" s="119" t="s">
        <v>27</v>
      </c>
      <c r="C237" s="119" t="s">
        <v>2751</v>
      </c>
      <c r="D237" s="120"/>
      <c r="E237" s="114"/>
      <c r="F237" s="116">
        <v>7578.0</v>
      </c>
      <c r="G237" s="116">
        <v>3.040254799E9</v>
      </c>
      <c r="H237" s="114"/>
      <c r="I237" s="114"/>
      <c r="J237" s="121">
        <v>45971.0</v>
      </c>
      <c r="K237" s="117"/>
      <c r="L237" s="116" t="s">
        <v>2650</v>
      </c>
      <c r="M237" s="116" t="s">
        <v>12</v>
      </c>
      <c r="N237" s="118"/>
    </row>
    <row r="238">
      <c r="A238" s="115">
        <v>237.0</v>
      </c>
      <c r="B238" s="116" t="s">
        <v>1337</v>
      </c>
      <c r="C238" s="116" t="s">
        <v>1339</v>
      </c>
      <c r="D238" s="117"/>
      <c r="E238" s="114"/>
      <c r="F238" s="116">
        <v>9450.0</v>
      </c>
      <c r="G238" s="116">
        <v>3.040250816E9</v>
      </c>
      <c r="H238" s="114"/>
      <c r="I238" s="114"/>
      <c r="J238" s="121">
        <v>45889.0</v>
      </c>
      <c r="K238" s="117"/>
      <c r="L238" s="116" t="s">
        <v>2754</v>
      </c>
      <c r="M238" s="116" t="s">
        <v>12</v>
      </c>
      <c r="N238" s="118"/>
    </row>
    <row r="239">
      <c r="A239" s="115">
        <v>238.0</v>
      </c>
      <c r="B239" s="119" t="s">
        <v>167</v>
      </c>
      <c r="C239" s="119" t="s">
        <v>168</v>
      </c>
      <c r="D239" s="120"/>
      <c r="E239" s="114"/>
      <c r="F239" s="116" t="s">
        <v>1350</v>
      </c>
      <c r="G239" s="116">
        <v>3.040250827E9</v>
      </c>
      <c r="H239" s="114"/>
      <c r="I239" s="114"/>
      <c r="J239" s="117"/>
      <c r="K239" s="117"/>
      <c r="L239" s="117"/>
      <c r="M239" s="117"/>
      <c r="N239" s="118"/>
    </row>
    <row r="240">
      <c r="A240" s="115">
        <v>239.0</v>
      </c>
      <c r="B240" s="116" t="s">
        <v>167</v>
      </c>
      <c r="C240" s="116" t="s">
        <v>168</v>
      </c>
      <c r="D240" s="117"/>
      <c r="E240" s="114"/>
      <c r="F240" s="116">
        <v>2410.0</v>
      </c>
      <c r="G240" s="116">
        <v>3.040250828E9</v>
      </c>
      <c r="H240" s="114"/>
      <c r="I240" s="114"/>
      <c r="J240" s="117"/>
      <c r="K240" s="117"/>
      <c r="L240" s="117"/>
      <c r="M240" s="117"/>
      <c r="N240" s="118"/>
    </row>
    <row r="241">
      <c r="A241" s="115">
        <v>240.0</v>
      </c>
      <c r="B241" s="119" t="s">
        <v>167</v>
      </c>
      <c r="C241" s="119" t="s">
        <v>168</v>
      </c>
      <c r="D241" s="120"/>
      <c r="E241" s="114"/>
      <c r="F241" s="116">
        <v>96967.0</v>
      </c>
      <c r="G241" s="116">
        <v>3.040250829E9</v>
      </c>
      <c r="H241" s="114"/>
      <c r="I241" s="114"/>
      <c r="J241" s="117"/>
      <c r="K241" s="117"/>
      <c r="L241" s="117"/>
      <c r="M241" s="117"/>
      <c r="N241" s="118"/>
    </row>
    <row r="242">
      <c r="A242" s="115">
        <v>241.0</v>
      </c>
      <c r="B242" s="116" t="s">
        <v>1453</v>
      </c>
      <c r="C242" s="116" t="s">
        <v>2755</v>
      </c>
      <c r="D242" s="117"/>
      <c r="E242" s="114"/>
      <c r="F242" s="116">
        <v>5385.0</v>
      </c>
      <c r="G242" s="116">
        <v>3.040254194E9</v>
      </c>
      <c r="H242" s="114"/>
      <c r="I242" s="114"/>
      <c r="J242" s="121">
        <v>45859.0</v>
      </c>
      <c r="K242" s="117"/>
      <c r="L242" s="116" t="s">
        <v>2756</v>
      </c>
      <c r="M242" s="116" t="s">
        <v>17</v>
      </c>
      <c r="N242" s="118"/>
    </row>
    <row r="243">
      <c r="A243" s="115">
        <v>242.0</v>
      </c>
      <c r="B243" s="119" t="s">
        <v>1453</v>
      </c>
      <c r="C243" s="119" t="s">
        <v>2755</v>
      </c>
      <c r="D243" s="120"/>
      <c r="E243" s="114"/>
      <c r="F243" s="116" t="s">
        <v>2757</v>
      </c>
      <c r="G243" s="116">
        <v>3.040254195E9</v>
      </c>
      <c r="H243" s="114"/>
      <c r="I243" s="114"/>
      <c r="J243" s="121">
        <v>45918.0</v>
      </c>
      <c r="K243" s="117"/>
      <c r="L243" s="116" t="s">
        <v>2758</v>
      </c>
      <c r="M243" s="116" t="s">
        <v>21</v>
      </c>
      <c r="N243" s="118"/>
    </row>
    <row r="244">
      <c r="A244" s="115">
        <v>243.0</v>
      </c>
      <c r="B244" s="116" t="s">
        <v>163</v>
      </c>
      <c r="C244" s="116" t="s">
        <v>2759</v>
      </c>
      <c r="D244" s="117"/>
      <c r="E244" s="114"/>
      <c r="F244" s="116" t="s">
        <v>1511</v>
      </c>
      <c r="G244" s="116">
        <v>3.040256114E9</v>
      </c>
      <c r="H244" s="114"/>
      <c r="I244" s="114"/>
      <c r="J244" s="117"/>
      <c r="K244" s="117"/>
      <c r="L244" s="117"/>
      <c r="M244" s="117"/>
      <c r="N244" s="118"/>
    </row>
    <row r="245">
      <c r="A245" s="115">
        <v>244.0</v>
      </c>
      <c r="B245" s="119" t="s">
        <v>163</v>
      </c>
      <c r="C245" s="119" t="s">
        <v>2759</v>
      </c>
      <c r="D245" s="120"/>
      <c r="E245" s="114"/>
      <c r="F245" s="116">
        <v>409496.0</v>
      </c>
      <c r="G245" s="116">
        <v>3.040256115E9</v>
      </c>
      <c r="H245" s="114"/>
      <c r="I245" s="114"/>
      <c r="J245" s="121">
        <v>45874.0</v>
      </c>
      <c r="K245" s="117"/>
      <c r="L245" s="116" t="s">
        <v>2760</v>
      </c>
      <c r="M245" s="116" t="s">
        <v>14</v>
      </c>
      <c r="N245" s="118"/>
    </row>
    <row r="246">
      <c r="A246" s="115">
        <v>245.0</v>
      </c>
      <c r="B246" s="116" t="s">
        <v>2761</v>
      </c>
      <c r="C246" s="116" t="s">
        <v>2762</v>
      </c>
      <c r="D246" s="117"/>
      <c r="E246" s="114"/>
      <c r="F246" s="116" t="s">
        <v>2686</v>
      </c>
      <c r="G246" s="116">
        <v>3.040259278E9</v>
      </c>
      <c r="H246" s="114"/>
      <c r="I246" s="114"/>
      <c r="J246" s="121">
        <v>45975.0</v>
      </c>
      <c r="K246" s="117"/>
      <c r="L246" s="116" t="s">
        <v>2763</v>
      </c>
      <c r="M246" s="116" t="s">
        <v>12</v>
      </c>
      <c r="N246" s="118"/>
    </row>
    <row r="247">
      <c r="A247" s="115">
        <v>246.0</v>
      </c>
      <c r="B247" s="119" t="s">
        <v>2761</v>
      </c>
      <c r="C247" s="119" t="s">
        <v>2762</v>
      </c>
      <c r="D247" s="120"/>
      <c r="E247" s="114"/>
      <c r="F247" s="116" t="s">
        <v>2686</v>
      </c>
      <c r="G247" s="116">
        <v>3.04025928E9</v>
      </c>
      <c r="H247" s="114"/>
      <c r="I247" s="114"/>
      <c r="J247" s="121">
        <v>45975.0</v>
      </c>
      <c r="K247" s="117"/>
      <c r="L247" s="116" t="s">
        <v>2763</v>
      </c>
      <c r="M247" s="116" t="s">
        <v>12</v>
      </c>
      <c r="N247" s="118"/>
    </row>
    <row r="248">
      <c r="A248" s="115">
        <v>247.0</v>
      </c>
      <c r="B248" s="116" t="s">
        <v>2761</v>
      </c>
      <c r="C248" s="116" t="s">
        <v>2762</v>
      </c>
      <c r="D248" s="117"/>
      <c r="E248" s="114"/>
      <c r="F248" s="116" t="s">
        <v>2686</v>
      </c>
      <c r="G248" s="116">
        <v>3.040259281E9</v>
      </c>
      <c r="H248" s="114"/>
      <c r="I248" s="114"/>
      <c r="J248" s="121">
        <v>45975.0</v>
      </c>
      <c r="K248" s="117"/>
      <c r="L248" s="116" t="s">
        <v>2763</v>
      </c>
      <c r="M248" s="116" t="s">
        <v>12</v>
      </c>
      <c r="N248" s="118"/>
    </row>
    <row r="249">
      <c r="A249" s="115">
        <v>248.0</v>
      </c>
      <c r="B249" s="119" t="s">
        <v>145</v>
      </c>
      <c r="C249" s="119" t="s">
        <v>146</v>
      </c>
      <c r="D249" s="120"/>
      <c r="E249" s="114"/>
      <c r="F249" s="116">
        <v>3614.0</v>
      </c>
      <c r="G249" s="116">
        <v>3.040255319E9</v>
      </c>
      <c r="H249" s="114"/>
      <c r="I249" s="114"/>
      <c r="J249" s="117"/>
      <c r="K249" s="117"/>
      <c r="L249" s="117"/>
      <c r="M249" s="117"/>
      <c r="N249" s="118"/>
    </row>
    <row r="250">
      <c r="A250" s="115">
        <v>249.0</v>
      </c>
      <c r="B250" s="116" t="s">
        <v>109</v>
      </c>
      <c r="C250" s="116" t="s">
        <v>110</v>
      </c>
      <c r="D250" s="117"/>
      <c r="E250" s="114"/>
      <c r="F250" s="116">
        <v>1920.0</v>
      </c>
      <c r="G250" s="116">
        <v>3.04025083E9</v>
      </c>
      <c r="H250" s="114"/>
      <c r="I250" s="114"/>
      <c r="J250" s="117"/>
      <c r="K250" s="117"/>
      <c r="L250" s="117"/>
      <c r="M250" s="117"/>
      <c r="N250" s="118"/>
    </row>
    <row r="251">
      <c r="A251" s="115">
        <v>250.0</v>
      </c>
      <c r="B251" s="119" t="s">
        <v>109</v>
      </c>
      <c r="C251" s="119" t="s">
        <v>110</v>
      </c>
      <c r="D251" s="120"/>
      <c r="E251" s="114"/>
      <c r="F251" s="116">
        <v>2697.0</v>
      </c>
      <c r="G251" s="116">
        <v>3.040250831E9</v>
      </c>
      <c r="H251" s="114"/>
      <c r="I251" s="114"/>
      <c r="J251" s="117"/>
      <c r="K251" s="117"/>
      <c r="L251" s="117"/>
      <c r="M251" s="117"/>
      <c r="N251" s="118"/>
    </row>
    <row r="252">
      <c r="A252" s="115">
        <v>251.0</v>
      </c>
      <c r="B252" s="116" t="s">
        <v>109</v>
      </c>
      <c r="C252" s="116" t="s">
        <v>110</v>
      </c>
      <c r="D252" s="117"/>
      <c r="E252" s="114"/>
      <c r="F252" s="116">
        <v>197.0</v>
      </c>
      <c r="G252" s="116">
        <v>3.04025353E9</v>
      </c>
      <c r="H252" s="114"/>
      <c r="I252" s="114"/>
      <c r="J252" s="117"/>
      <c r="K252" s="117"/>
      <c r="L252" s="117"/>
      <c r="M252" s="117"/>
      <c r="N252" s="118"/>
    </row>
    <row r="253">
      <c r="A253" s="115">
        <v>252.0</v>
      </c>
      <c r="B253" s="119" t="s">
        <v>109</v>
      </c>
      <c r="C253" s="119" t="s">
        <v>110</v>
      </c>
      <c r="D253" s="120"/>
      <c r="E253" s="114"/>
      <c r="F253" s="116" t="s">
        <v>1451</v>
      </c>
      <c r="G253" s="116">
        <v>3.040253531E9</v>
      </c>
      <c r="H253" s="114"/>
      <c r="I253" s="114"/>
      <c r="J253" s="117"/>
      <c r="K253" s="117"/>
      <c r="L253" s="117"/>
      <c r="M253" s="117"/>
      <c r="N253" s="118"/>
    </row>
    <row r="254">
      <c r="A254" s="115">
        <v>253.0</v>
      </c>
      <c r="B254" s="116" t="s">
        <v>109</v>
      </c>
      <c r="C254" s="116" t="s">
        <v>110</v>
      </c>
      <c r="D254" s="117"/>
      <c r="E254" s="114"/>
      <c r="F254" s="116">
        <v>2469.0</v>
      </c>
      <c r="G254" s="116">
        <v>3.040253532E9</v>
      </c>
      <c r="H254" s="114"/>
      <c r="I254" s="114"/>
      <c r="J254" s="117"/>
      <c r="K254" s="117"/>
      <c r="L254" s="117"/>
      <c r="M254" s="117"/>
      <c r="N254" s="118"/>
    </row>
    <row r="255">
      <c r="A255" s="115">
        <v>254.0</v>
      </c>
      <c r="B255" s="119" t="s">
        <v>109</v>
      </c>
      <c r="C255" s="119" t="s">
        <v>110</v>
      </c>
      <c r="D255" s="120"/>
      <c r="E255" s="114"/>
      <c r="F255" s="116">
        <v>908.0</v>
      </c>
      <c r="G255" s="116">
        <v>3.04025421E9</v>
      </c>
      <c r="H255" s="114"/>
      <c r="I255" s="114"/>
      <c r="J255" s="117"/>
      <c r="K255" s="117"/>
      <c r="L255" s="117"/>
      <c r="M255" s="117"/>
      <c r="N255" s="118"/>
    </row>
    <row r="256">
      <c r="A256" s="115">
        <v>255.0</v>
      </c>
      <c r="B256" s="116" t="s">
        <v>179</v>
      </c>
      <c r="C256" s="116" t="s">
        <v>2764</v>
      </c>
      <c r="D256" s="117"/>
      <c r="E256" s="114"/>
      <c r="F256" s="116">
        <v>1.5100008E7</v>
      </c>
      <c r="G256" s="116">
        <v>3.040255321E9</v>
      </c>
      <c r="H256" s="114"/>
      <c r="I256" s="114"/>
      <c r="J256" s="121">
        <v>46119.0</v>
      </c>
      <c r="K256" s="117"/>
      <c r="L256" s="116" t="s">
        <v>2612</v>
      </c>
      <c r="M256" s="124" t="s">
        <v>12</v>
      </c>
      <c r="N256" s="118"/>
    </row>
    <row r="257">
      <c r="A257" s="115">
        <v>256.0</v>
      </c>
      <c r="B257" s="119" t="s">
        <v>2765</v>
      </c>
      <c r="C257" s="119" t="s">
        <v>2766</v>
      </c>
      <c r="D257" s="120"/>
      <c r="E257" s="114"/>
      <c r="F257" s="116" t="s">
        <v>2767</v>
      </c>
      <c r="G257" s="116">
        <v>3.040254297E9</v>
      </c>
      <c r="H257" s="114"/>
      <c r="I257" s="114"/>
      <c r="J257" s="117"/>
      <c r="K257" s="117"/>
      <c r="L257" s="117"/>
      <c r="M257" s="117"/>
      <c r="N257" s="118"/>
    </row>
    <row r="258">
      <c r="A258" s="115">
        <v>257.0</v>
      </c>
      <c r="B258" s="116" t="s">
        <v>2765</v>
      </c>
      <c r="C258" s="116" t="s">
        <v>2766</v>
      </c>
      <c r="D258" s="117"/>
      <c r="E258" s="114"/>
      <c r="F258" s="116" t="s">
        <v>2768</v>
      </c>
      <c r="G258" s="116">
        <v>3.040254298E9</v>
      </c>
      <c r="H258" s="114"/>
      <c r="I258" s="114"/>
      <c r="J258" s="117"/>
      <c r="K258" s="117"/>
      <c r="L258" s="117"/>
      <c r="M258" s="117"/>
      <c r="N258" s="118"/>
    </row>
    <row r="259">
      <c r="A259" s="115">
        <v>258.0</v>
      </c>
      <c r="B259" s="119" t="s">
        <v>1355</v>
      </c>
      <c r="C259" s="119" t="s">
        <v>1357</v>
      </c>
      <c r="D259" s="120"/>
      <c r="E259" s="114"/>
      <c r="F259" s="116" t="s">
        <v>1358</v>
      </c>
      <c r="G259" s="116">
        <v>3.040250832E9</v>
      </c>
      <c r="H259" s="114"/>
      <c r="I259" s="114"/>
      <c r="J259" s="121">
        <v>45802.0</v>
      </c>
      <c r="K259" s="117"/>
      <c r="L259" s="116" t="s">
        <v>2769</v>
      </c>
      <c r="M259" s="116" t="s">
        <v>12</v>
      </c>
      <c r="N259" s="118"/>
    </row>
    <row r="260">
      <c r="A260" s="115">
        <v>259.0</v>
      </c>
      <c r="B260" s="116" t="s">
        <v>227</v>
      </c>
      <c r="C260" s="116" t="s">
        <v>1738</v>
      </c>
      <c r="D260" s="117"/>
      <c r="E260" s="114"/>
      <c r="F260" s="116" t="s">
        <v>2061</v>
      </c>
      <c r="G260" s="116">
        <v>3.040252189E9</v>
      </c>
      <c r="H260" s="114"/>
      <c r="I260" s="114"/>
      <c r="J260" s="121">
        <v>45804.0</v>
      </c>
      <c r="K260" s="117"/>
      <c r="L260" s="116" t="s">
        <v>2627</v>
      </c>
      <c r="M260" s="116" t="s">
        <v>17</v>
      </c>
      <c r="N260" s="118"/>
    </row>
    <row r="261">
      <c r="A261" s="115">
        <v>260.0</v>
      </c>
      <c r="B261" s="119" t="s">
        <v>227</v>
      </c>
      <c r="C261" s="119" t="s">
        <v>1738</v>
      </c>
      <c r="D261" s="120"/>
      <c r="E261" s="114"/>
      <c r="F261" s="116" t="s">
        <v>2060</v>
      </c>
      <c r="G261" s="116">
        <v>3.04025219E9</v>
      </c>
      <c r="H261" s="114"/>
      <c r="I261" s="114"/>
      <c r="J261" s="121">
        <v>46097.0</v>
      </c>
      <c r="K261" s="117"/>
      <c r="L261" s="116" t="s">
        <v>2770</v>
      </c>
      <c r="M261" s="116" t="s">
        <v>15</v>
      </c>
      <c r="N261" s="118"/>
    </row>
    <row r="262">
      <c r="A262" s="115">
        <v>261.0</v>
      </c>
      <c r="B262" s="116" t="s">
        <v>1361</v>
      </c>
      <c r="C262" s="116" t="s">
        <v>1362</v>
      </c>
      <c r="D262" s="117"/>
      <c r="E262" s="114"/>
      <c r="F262" s="116">
        <v>1569.0</v>
      </c>
      <c r="G262" s="116">
        <v>3.040250833E9</v>
      </c>
      <c r="H262" s="114"/>
      <c r="I262" s="114"/>
      <c r="J262" s="121">
        <v>45860.0</v>
      </c>
      <c r="K262" s="117"/>
      <c r="L262" s="116" t="s">
        <v>2453</v>
      </c>
      <c r="M262" s="117"/>
      <c r="N262" s="118"/>
    </row>
    <row r="263">
      <c r="A263" s="115">
        <v>262.0</v>
      </c>
      <c r="B263" s="119" t="s">
        <v>1361</v>
      </c>
      <c r="C263" s="119" t="s">
        <v>1362</v>
      </c>
      <c r="D263" s="120"/>
      <c r="E263" s="114"/>
      <c r="F263" s="116">
        <v>2706.0</v>
      </c>
      <c r="G263" s="116">
        <v>3.040250834E9</v>
      </c>
      <c r="H263" s="114"/>
      <c r="I263" s="114"/>
      <c r="J263" s="121">
        <v>45889.0</v>
      </c>
      <c r="K263" s="117"/>
      <c r="L263" s="116" t="s">
        <v>2659</v>
      </c>
      <c r="M263" s="116" t="s">
        <v>12</v>
      </c>
      <c r="N263" s="118"/>
    </row>
    <row r="264">
      <c r="A264" s="115">
        <v>263.0</v>
      </c>
      <c r="B264" s="116" t="s">
        <v>2771</v>
      </c>
      <c r="C264" s="116" t="s">
        <v>2772</v>
      </c>
      <c r="D264" s="117"/>
      <c r="E264" s="114"/>
      <c r="F264" s="116">
        <v>27211.0</v>
      </c>
      <c r="G264" s="116">
        <v>3.04025025E9</v>
      </c>
      <c r="H264" s="114"/>
      <c r="I264" s="114"/>
      <c r="J264" s="121">
        <v>45744.0</v>
      </c>
      <c r="K264" s="117"/>
      <c r="L264" s="116" t="s">
        <v>2773</v>
      </c>
      <c r="M264" s="116" t="s">
        <v>12</v>
      </c>
      <c r="N264" s="118"/>
    </row>
    <row r="265">
      <c r="A265" s="115">
        <v>264.0</v>
      </c>
      <c r="B265" s="119" t="s">
        <v>2771</v>
      </c>
      <c r="C265" s="119" t="s">
        <v>2772</v>
      </c>
      <c r="D265" s="120"/>
      <c r="E265" s="114"/>
      <c r="F265" s="116">
        <v>81193.0</v>
      </c>
      <c r="G265" s="116">
        <v>3.040250252E9</v>
      </c>
      <c r="H265" s="114"/>
      <c r="I265" s="114"/>
      <c r="J265" s="121">
        <v>45744.0</v>
      </c>
      <c r="K265" s="117"/>
      <c r="L265" s="116" t="s">
        <v>2773</v>
      </c>
      <c r="M265" s="116" t="s">
        <v>12</v>
      </c>
      <c r="N265" s="118"/>
    </row>
    <row r="266">
      <c r="A266" s="115">
        <v>265.0</v>
      </c>
      <c r="B266" s="116" t="s">
        <v>1608</v>
      </c>
      <c r="C266" s="116" t="s">
        <v>1610</v>
      </c>
      <c r="D266" s="116" t="s">
        <v>2774</v>
      </c>
      <c r="E266" s="128">
        <v>2741.0</v>
      </c>
      <c r="F266" s="116" t="s">
        <v>2031</v>
      </c>
      <c r="G266" s="116">
        <v>3.040250835E9</v>
      </c>
      <c r="H266" s="114"/>
      <c r="I266" s="114"/>
      <c r="J266" s="121">
        <v>46408.0</v>
      </c>
      <c r="K266" s="117"/>
      <c r="L266" s="116" t="s">
        <v>2775</v>
      </c>
      <c r="M266" s="116" t="s">
        <v>16</v>
      </c>
      <c r="N266" s="118"/>
    </row>
    <row r="267">
      <c r="A267" s="115">
        <v>266.0</v>
      </c>
      <c r="B267" s="119" t="s">
        <v>1608</v>
      </c>
      <c r="C267" s="119" t="s">
        <v>1613</v>
      </c>
      <c r="D267" s="120"/>
      <c r="E267" s="114"/>
      <c r="F267" s="116" t="s">
        <v>2776</v>
      </c>
      <c r="G267" s="116">
        <v>3.040256315E9</v>
      </c>
      <c r="H267" s="114"/>
      <c r="I267" s="114"/>
      <c r="J267" s="121">
        <v>45898.0</v>
      </c>
      <c r="K267" s="117"/>
      <c r="L267" s="116" t="s">
        <v>2777</v>
      </c>
      <c r="M267" s="116" t="s">
        <v>13</v>
      </c>
      <c r="N267" s="118"/>
    </row>
    <row r="268">
      <c r="A268" s="115">
        <v>267.0</v>
      </c>
      <c r="B268" s="116" t="s">
        <v>1608</v>
      </c>
      <c r="C268" s="116" t="s">
        <v>1613</v>
      </c>
      <c r="D268" s="117"/>
      <c r="E268" s="114"/>
      <c r="F268" s="116" t="s">
        <v>2778</v>
      </c>
      <c r="G268" s="116">
        <v>3.040256316E9</v>
      </c>
      <c r="H268" s="114"/>
      <c r="I268" s="114"/>
      <c r="J268" s="121">
        <v>45971.0</v>
      </c>
      <c r="K268" s="117"/>
      <c r="L268" s="116" t="s">
        <v>2623</v>
      </c>
      <c r="M268" s="116" t="s">
        <v>12</v>
      </c>
      <c r="N268" s="118"/>
    </row>
    <row r="269">
      <c r="A269" s="115">
        <v>268.0</v>
      </c>
      <c r="B269" s="119" t="s">
        <v>2779</v>
      </c>
      <c r="C269" s="119" t="s">
        <v>1613</v>
      </c>
      <c r="D269" s="120"/>
      <c r="E269" s="114"/>
      <c r="F269" s="116" t="s">
        <v>2780</v>
      </c>
      <c r="G269" s="129">
        <v>3.040250228E9</v>
      </c>
      <c r="H269" s="114"/>
      <c r="I269" s="114"/>
      <c r="J269" s="121">
        <v>45744.0</v>
      </c>
      <c r="K269" s="117"/>
      <c r="L269" s="116" t="s">
        <v>2773</v>
      </c>
      <c r="M269" s="116" t="s">
        <v>12</v>
      </c>
      <c r="N269" s="118"/>
    </row>
    <row r="270">
      <c r="A270" s="115">
        <v>269.0</v>
      </c>
      <c r="B270" s="116" t="s">
        <v>207</v>
      </c>
      <c r="C270" s="116" t="s">
        <v>208</v>
      </c>
      <c r="D270" s="117"/>
      <c r="E270" s="114"/>
      <c r="F270" s="116" t="s">
        <v>1429</v>
      </c>
      <c r="G270" s="116">
        <v>3.040252939E9</v>
      </c>
      <c r="H270" s="114"/>
      <c r="I270" s="114"/>
      <c r="J270" s="121">
        <v>46092.0</v>
      </c>
      <c r="K270" s="117"/>
      <c r="L270" s="116" t="s">
        <v>2613</v>
      </c>
      <c r="M270" s="116" t="s">
        <v>16</v>
      </c>
      <c r="N270" s="118"/>
    </row>
    <row r="271">
      <c r="A271" s="115">
        <v>270.0</v>
      </c>
      <c r="B271" s="119" t="s">
        <v>207</v>
      </c>
      <c r="C271" s="119" t="s">
        <v>2614</v>
      </c>
      <c r="D271" s="119" t="s">
        <v>2781</v>
      </c>
      <c r="E271" s="128">
        <v>2732.0</v>
      </c>
      <c r="F271" s="116" t="s">
        <v>2153</v>
      </c>
      <c r="G271" s="116">
        <v>3.040257442E9</v>
      </c>
      <c r="H271" s="114"/>
      <c r="I271" s="114"/>
      <c r="J271" s="121">
        <v>46204.0</v>
      </c>
      <c r="K271" s="117"/>
      <c r="L271" s="116" t="s">
        <v>2782</v>
      </c>
      <c r="M271" s="116" t="s">
        <v>16</v>
      </c>
      <c r="N271" s="118"/>
    </row>
    <row r="272">
      <c r="A272" s="115">
        <v>271.0</v>
      </c>
      <c r="B272" s="116" t="s">
        <v>1698</v>
      </c>
      <c r="C272" s="116" t="s">
        <v>2783</v>
      </c>
      <c r="D272" s="117"/>
      <c r="E272" s="114"/>
      <c r="F272" s="116" t="s">
        <v>2101</v>
      </c>
      <c r="G272" s="116">
        <v>3.0402548E9</v>
      </c>
      <c r="H272" s="114"/>
      <c r="I272" s="114"/>
      <c r="J272" s="122">
        <v>46185.0</v>
      </c>
      <c r="K272" s="117"/>
      <c r="L272" s="117"/>
      <c r="M272" s="117"/>
      <c r="N272" s="118"/>
    </row>
    <row r="273">
      <c r="A273" s="115">
        <v>272.0</v>
      </c>
      <c r="B273" s="119" t="s">
        <v>1698</v>
      </c>
      <c r="C273" s="119" t="s">
        <v>2783</v>
      </c>
      <c r="D273" s="120"/>
      <c r="E273" s="114"/>
      <c r="F273" s="116" t="s">
        <v>2784</v>
      </c>
      <c r="G273" s="116">
        <v>3.040254801E9</v>
      </c>
      <c r="H273" s="114"/>
      <c r="I273" s="114"/>
      <c r="J273" s="121">
        <v>45890.0</v>
      </c>
      <c r="K273" s="117"/>
      <c r="L273" s="116" t="s">
        <v>2785</v>
      </c>
      <c r="M273" s="117"/>
      <c r="N273" s="118"/>
    </row>
    <row r="274">
      <c r="A274" s="115">
        <v>273.0</v>
      </c>
      <c r="B274" s="116" t="s">
        <v>1698</v>
      </c>
      <c r="C274" s="116" t="s">
        <v>2783</v>
      </c>
      <c r="D274" s="117"/>
      <c r="E274" s="114"/>
      <c r="F274" s="116" t="s">
        <v>2105</v>
      </c>
      <c r="G274" s="116">
        <v>3.040254802E9</v>
      </c>
      <c r="H274" s="114"/>
      <c r="I274" s="114"/>
      <c r="J274" s="122">
        <v>46185.0</v>
      </c>
      <c r="K274" s="117"/>
      <c r="L274" s="117"/>
      <c r="M274" s="117"/>
      <c r="N274" s="118"/>
    </row>
    <row r="275">
      <c r="A275" s="115">
        <v>274.0</v>
      </c>
      <c r="B275" s="119" t="s">
        <v>1698</v>
      </c>
      <c r="C275" s="119" t="s">
        <v>2783</v>
      </c>
      <c r="D275" s="120"/>
      <c r="E275" s="114"/>
      <c r="F275" s="116" t="s">
        <v>2098</v>
      </c>
      <c r="G275" s="116">
        <v>3.040254803E9</v>
      </c>
      <c r="H275" s="114"/>
      <c r="I275" s="114"/>
      <c r="J275" s="122">
        <v>46175.0</v>
      </c>
      <c r="K275" s="117"/>
      <c r="L275" s="124" t="s">
        <v>2786</v>
      </c>
      <c r="M275" s="116" t="s">
        <v>12</v>
      </c>
      <c r="N275" s="118"/>
    </row>
    <row r="276">
      <c r="A276" s="115">
        <v>275.0</v>
      </c>
      <c r="B276" s="116" t="s">
        <v>1698</v>
      </c>
      <c r="C276" s="116" t="s">
        <v>2783</v>
      </c>
      <c r="D276" s="117"/>
      <c r="E276" s="114"/>
      <c r="F276" s="116" t="s">
        <v>2787</v>
      </c>
      <c r="G276" s="116">
        <v>3.040254804E9</v>
      </c>
      <c r="H276" s="114"/>
      <c r="I276" s="114"/>
      <c r="J276" s="121">
        <v>45890.0</v>
      </c>
      <c r="K276" s="117"/>
      <c r="L276" s="116" t="s">
        <v>2788</v>
      </c>
      <c r="M276" s="117"/>
      <c r="N276" s="118"/>
    </row>
    <row r="277">
      <c r="A277" s="115">
        <v>276.0</v>
      </c>
      <c r="B277" s="119" t="s">
        <v>1698</v>
      </c>
      <c r="C277" s="119" t="s">
        <v>2783</v>
      </c>
      <c r="D277" s="120"/>
      <c r="E277" s="114"/>
      <c r="F277" s="116" t="s">
        <v>2095</v>
      </c>
      <c r="G277" s="116">
        <v>3.040254805E9</v>
      </c>
      <c r="H277" s="114"/>
      <c r="I277" s="114"/>
      <c r="J277" s="122">
        <v>46175.0</v>
      </c>
      <c r="K277" s="117"/>
      <c r="L277" s="124" t="s">
        <v>2786</v>
      </c>
      <c r="M277" s="116" t="s">
        <v>12</v>
      </c>
      <c r="N277" s="118"/>
    </row>
    <row r="278">
      <c r="A278" s="115">
        <v>277.0</v>
      </c>
      <c r="B278" s="116" t="s">
        <v>1698</v>
      </c>
      <c r="C278" s="116" t="s">
        <v>2783</v>
      </c>
      <c r="D278" s="117"/>
      <c r="E278" s="114"/>
      <c r="F278" s="116" t="s">
        <v>2094</v>
      </c>
      <c r="G278" s="116">
        <v>3.040254806E9</v>
      </c>
      <c r="H278" s="114"/>
      <c r="I278" s="114"/>
      <c r="J278" s="122">
        <v>46185.0</v>
      </c>
      <c r="K278" s="117"/>
      <c r="L278" s="116" t="s">
        <v>2788</v>
      </c>
      <c r="M278" s="117"/>
      <c r="N278" s="118"/>
    </row>
    <row r="279">
      <c r="A279" s="115">
        <v>278.0</v>
      </c>
      <c r="B279" s="119" t="s">
        <v>1698</v>
      </c>
      <c r="C279" s="119" t="s">
        <v>2783</v>
      </c>
      <c r="D279" s="120"/>
      <c r="E279" s="114"/>
      <c r="F279" s="116" t="s">
        <v>2789</v>
      </c>
      <c r="G279" s="116">
        <v>3.040254808E9</v>
      </c>
      <c r="H279" s="114"/>
      <c r="I279" s="114"/>
      <c r="J279" s="121">
        <v>45890.0</v>
      </c>
      <c r="K279" s="117"/>
      <c r="L279" s="116" t="s">
        <v>2788</v>
      </c>
      <c r="M279" s="117"/>
      <c r="N279" s="118"/>
    </row>
    <row r="280">
      <c r="A280" s="115">
        <v>279.0</v>
      </c>
      <c r="B280" s="116" t="s">
        <v>1698</v>
      </c>
      <c r="C280" s="116" t="s">
        <v>2783</v>
      </c>
      <c r="D280" s="117"/>
      <c r="E280" s="114"/>
      <c r="F280" s="116" t="s">
        <v>2790</v>
      </c>
      <c r="G280" s="116">
        <v>3.040254809E9</v>
      </c>
      <c r="H280" s="114"/>
      <c r="I280" s="114"/>
      <c r="J280" s="121">
        <v>45890.0</v>
      </c>
      <c r="K280" s="117"/>
      <c r="L280" s="116" t="s">
        <v>2788</v>
      </c>
      <c r="M280" s="117"/>
      <c r="N280" s="118"/>
    </row>
    <row r="281">
      <c r="A281" s="115">
        <v>280.0</v>
      </c>
      <c r="B281" s="119" t="s">
        <v>1698</v>
      </c>
      <c r="C281" s="119" t="s">
        <v>2783</v>
      </c>
      <c r="D281" s="120"/>
      <c r="E281" s="114"/>
      <c r="F281" s="116" t="s">
        <v>2791</v>
      </c>
      <c r="G281" s="116">
        <v>3.04025481E9</v>
      </c>
      <c r="H281" s="114"/>
      <c r="I281" s="114"/>
      <c r="J281" s="121">
        <v>45890.0</v>
      </c>
      <c r="K281" s="117"/>
      <c r="L281" s="116" t="s">
        <v>2788</v>
      </c>
      <c r="M281" s="117"/>
      <c r="N281" s="118"/>
    </row>
    <row r="282">
      <c r="A282" s="115">
        <v>281.0</v>
      </c>
      <c r="B282" s="116" t="s">
        <v>1698</v>
      </c>
      <c r="C282" s="116" t="s">
        <v>2783</v>
      </c>
      <c r="D282" s="117"/>
      <c r="E282" s="114"/>
      <c r="F282" s="116" t="s">
        <v>2096</v>
      </c>
      <c r="G282" s="116">
        <v>3.040254811E9</v>
      </c>
      <c r="H282" s="114"/>
      <c r="I282" s="114"/>
      <c r="J282" s="122">
        <v>46175.0</v>
      </c>
      <c r="K282" s="117"/>
      <c r="L282" s="124" t="s">
        <v>2786</v>
      </c>
      <c r="M282" s="116" t="s">
        <v>12</v>
      </c>
      <c r="N282" s="118"/>
    </row>
    <row r="283">
      <c r="A283" s="115">
        <v>282.0</v>
      </c>
      <c r="B283" s="119" t="s">
        <v>1698</v>
      </c>
      <c r="C283" s="119" t="s">
        <v>2783</v>
      </c>
      <c r="D283" s="120"/>
      <c r="E283" s="114"/>
      <c r="F283" s="116" t="s">
        <v>2792</v>
      </c>
      <c r="G283" s="116">
        <v>3.040254812E9</v>
      </c>
      <c r="H283" s="114"/>
      <c r="I283" s="114"/>
      <c r="J283" s="121">
        <v>45890.0</v>
      </c>
      <c r="K283" s="117"/>
      <c r="L283" s="116" t="s">
        <v>2788</v>
      </c>
      <c r="M283" s="117"/>
      <c r="N283" s="118"/>
    </row>
    <row r="284">
      <c r="A284" s="115">
        <v>283.0</v>
      </c>
      <c r="B284" s="116" t="s">
        <v>133</v>
      </c>
      <c r="C284" s="116" t="s">
        <v>134</v>
      </c>
      <c r="D284" s="117"/>
      <c r="E284" s="114"/>
      <c r="F284" s="116" t="s">
        <v>2192</v>
      </c>
      <c r="G284" s="116">
        <v>3.040259564E9</v>
      </c>
      <c r="H284" s="114"/>
      <c r="I284" s="114"/>
      <c r="J284" s="121">
        <v>46119.0</v>
      </c>
      <c r="K284" s="117"/>
      <c r="L284" s="116" t="s">
        <v>2612</v>
      </c>
      <c r="M284" s="116" t="s">
        <v>12</v>
      </c>
      <c r="N284" s="118"/>
    </row>
    <row r="285">
      <c r="A285" s="115">
        <v>284.0</v>
      </c>
      <c r="B285" s="119" t="s">
        <v>133</v>
      </c>
      <c r="C285" s="119" t="s">
        <v>134</v>
      </c>
      <c r="D285" s="120"/>
      <c r="E285" s="114"/>
      <c r="F285" s="116" t="s">
        <v>2191</v>
      </c>
      <c r="G285" s="116">
        <v>3.040259568E9</v>
      </c>
      <c r="H285" s="114"/>
      <c r="I285" s="114"/>
      <c r="J285" s="121">
        <v>46119.0</v>
      </c>
      <c r="K285" s="117"/>
      <c r="L285" s="116" t="s">
        <v>2612</v>
      </c>
      <c r="M285" s="116" t="s">
        <v>12</v>
      </c>
      <c r="N285" s="118"/>
    </row>
    <row r="286">
      <c r="A286" s="115">
        <v>285.0</v>
      </c>
      <c r="B286" s="116" t="s">
        <v>133</v>
      </c>
      <c r="C286" s="116" t="s">
        <v>134</v>
      </c>
      <c r="D286" s="117"/>
      <c r="E286" s="114"/>
      <c r="F286" s="116">
        <v>1902269.0</v>
      </c>
      <c r="G286" s="116">
        <v>3.04025957E9</v>
      </c>
      <c r="H286" s="114"/>
      <c r="I286" s="114"/>
      <c r="J286" s="121">
        <v>46119.0</v>
      </c>
      <c r="K286" s="117"/>
      <c r="L286" s="116" t="s">
        <v>2612</v>
      </c>
      <c r="M286" s="116" t="s">
        <v>12</v>
      </c>
      <c r="N286" s="118"/>
    </row>
    <row r="287">
      <c r="A287" s="115">
        <v>286.0</v>
      </c>
      <c r="B287" s="119" t="s">
        <v>69</v>
      </c>
      <c r="C287" s="119" t="s">
        <v>2793</v>
      </c>
      <c r="D287" s="120"/>
      <c r="E287" s="114"/>
      <c r="F287" s="116" t="s">
        <v>1483</v>
      </c>
      <c r="G287" s="116">
        <v>3.040254815E9</v>
      </c>
      <c r="H287" s="114"/>
      <c r="I287" s="114"/>
      <c r="J287" s="117"/>
      <c r="K287" s="117"/>
      <c r="L287" s="117"/>
      <c r="M287" s="117"/>
      <c r="N287" s="118"/>
    </row>
    <row r="288">
      <c r="A288" s="115">
        <v>287.0</v>
      </c>
      <c r="B288" s="116" t="s">
        <v>69</v>
      </c>
      <c r="C288" s="116" t="s">
        <v>2793</v>
      </c>
      <c r="D288" s="117"/>
      <c r="E288" s="114"/>
      <c r="F288" s="116" t="s">
        <v>1475</v>
      </c>
      <c r="G288" s="116">
        <v>3.040254816E9</v>
      </c>
      <c r="H288" s="114"/>
      <c r="I288" s="114"/>
      <c r="J288" s="117"/>
      <c r="K288" s="117"/>
      <c r="L288" s="117"/>
      <c r="M288" s="117"/>
      <c r="N288" s="118"/>
    </row>
    <row r="289">
      <c r="A289" s="115">
        <v>288.0</v>
      </c>
      <c r="B289" s="119" t="s">
        <v>131</v>
      </c>
      <c r="C289" s="119" t="s">
        <v>1408</v>
      </c>
      <c r="D289" s="120"/>
      <c r="E289" s="114"/>
      <c r="F289" s="116" t="s">
        <v>1409</v>
      </c>
      <c r="G289" s="116">
        <v>3.040252191E9</v>
      </c>
      <c r="H289" s="114"/>
      <c r="I289" s="114"/>
      <c r="J289" s="121">
        <v>45856.0</v>
      </c>
      <c r="K289" s="117"/>
      <c r="L289" s="116" t="s">
        <v>2466</v>
      </c>
      <c r="M289" s="116" t="s">
        <v>14</v>
      </c>
      <c r="N289" s="118"/>
    </row>
    <row r="290">
      <c r="A290" s="115">
        <v>289.0</v>
      </c>
      <c r="B290" s="116" t="s">
        <v>244</v>
      </c>
      <c r="C290" s="116" t="s">
        <v>245</v>
      </c>
      <c r="D290" s="117"/>
      <c r="E290" s="114"/>
      <c r="F290" s="116">
        <v>200762.0</v>
      </c>
      <c r="G290" s="116">
        <v>3.04025077E9</v>
      </c>
      <c r="H290" s="114"/>
      <c r="I290" s="114"/>
      <c r="J290" s="121">
        <v>45769.0</v>
      </c>
      <c r="K290" s="117"/>
      <c r="L290" s="116" t="s">
        <v>2647</v>
      </c>
      <c r="M290" s="127" t="s">
        <v>12</v>
      </c>
      <c r="N290" s="118"/>
    </row>
    <row r="291">
      <c r="A291" s="115">
        <v>290.0</v>
      </c>
      <c r="B291" s="119" t="s">
        <v>244</v>
      </c>
      <c r="C291" s="119" t="s">
        <v>245</v>
      </c>
      <c r="D291" s="120"/>
      <c r="E291" s="114"/>
      <c r="F291" s="116" t="s">
        <v>2794</v>
      </c>
      <c r="G291" s="116">
        <v>3.040250771E9</v>
      </c>
      <c r="H291" s="114"/>
      <c r="I291" s="114"/>
      <c r="J291" s="121">
        <v>45769.0</v>
      </c>
      <c r="K291" s="117"/>
      <c r="L291" s="116" t="s">
        <v>2647</v>
      </c>
      <c r="M291" s="127" t="s">
        <v>12</v>
      </c>
      <c r="N291" s="118"/>
    </row>
    <row r="292">
      <c r="A292" s="115">
        <v>291.0</v>
      </c>
      <c r="B292" s="116" t="s">
        <v>244</v>
      </c>
      <c r="C292" s="116" t="s">
        <v>245</v>
      </c>
      <c r="D292" s="117"/>
      <c r="E292" s="114"/>
      <c r="F292" s="116" t="s">
        <v>2795</v>
      </c>
      <c r="G292" s="116">
        <v>3.040250772E9</v>
      </c>
      <c r="H292" s="114"/>
      <c r="I292" s="114"/>
      <c r="J292" s="121">
        <v>45769.0</v>
      </c>
      <c r="K292" s="117"/>
      <c r="L292" s="116" t="s">
        <v>2647</v>
      </c>
      <c r="M292" s="127" t="s">
        <v>12</v>
      </c>
      <c r="N292" s="118"/>
    </row>
    <row r="293">
      <c r="A293" s="115">
        <v>292.0</v>
      </c>
      <c r="B293" s="119" t="s">
        <v>244</v>
      </c>
      <c r="C293" s="119" t="s">
        <v>245</v>
      </c>
      <c r="D293" s="120"/>
      <c r="E293" s="114"/>
      <c r="F293" s="116" t="s">
        <v>2796</v>
      </c>
      <c r="G293" s="116">
        <v>3.040250836E9</v>
      </c>
      <c r="H293" s="114"/>
      <c r="I293" s="114"/>
      <c r="J293" s="121">
        <v>45769.0</v>
      </c>
      <c r="K293" s="117"/>
      <c r="L293" s="116" t="s">
        <v>2647</v>
      </c>
      <c r="M293" s="127" t="s">
        <v>12</v>
      </c>
      <c r="N293" s="118"/>
    </row>
    <row r="294">
      <c r="A294" s="115">
        <v>293.0</v>
      </c>
      <c r="B294" s="116" t="s">
        <v>244</v>
      </c>
      <c r="C294" s="116" t="s">
        <v>2797</v>
      </c>
      <c r="D294" s="117"/>
      <c r="E294" s="114"/>
      <c r="F294" s="116">
        <v>830844.0</v>
      </c>
      <c r="G294" s="116">
        <v>3.040250837E9</v>
      </c>
      <c r="H294" s="114"/>
      <c r="I294" s="114"/>
      <c r="J294" s="121">
        <v>45769.0</v>
      </c>
      <c r="K294" s="117"/>
      <c r="L294" s="116" t="s">
        <v>2647</v>
      </c>
      <c r="M294" s="127" t="s">
        <v>12</v>
      </c>
      <c r="N294" s="118"/>
    </row>
    <row r="295">
      <c r="A295" s="115">
        <v>294.0</v>
      </c>
      <c r="B295" s="119" t="s">
        <v>2798</v>
      </c>
      <c r="C295" s="119" t="s">
        <v>2797</v>
      </c>
      <c r="D295" s="120"/>
      <c r="E295" s="114"/>
      <c r="F295" s="116" t="s">
        <v>2799</v>
      </c>
      <c r="G295" s="116">
        <v>3.040250838E9</v>
      </c>
      <c r="H295" s="114"/>
      <c r="I295" s="114"/>
      <c r="J295" s="121">
        <v>45769.0</v>
      </c>
      <c r="K295" s="117"/>
      <c r="L295" s="116" t="s">
        <v>2647</v>
      </c>
      <c r="M295" s="127" t="s">
        <v>12</v>
      </c>
      <c r="N295" s="118"/>
    </row>
    <row r="296">
      <c r="A296" s="115">
        <v>295.0</v>
      </c>
      <c r="B296" s="116" t="s">
        <v>2798</v>
      </c>
      <c r="C296" s="116" t="s">
        <v>2797</v>
      </c>
      <c r="D296" s="117"/>
      <c r="E296" s="114"/>
      <c r="F296" s="116">
        <v>9.2080418E7</v>
      </c>
      <c r="G296" s="116">
        <v>3.040250839E9</v>
      </c>
      <c r="H296" s="114"/>
      <c r="I296" s="114"/>
      <c r="J296" s="121">
        <v>45769.0</v>
      </c>
      <c r="K296" s="117"/>
      <c r="L296" s="116" t="s">
        <v>2647</v>
      </c>
      <c r="M296" s="127" t="s">
        <v>12</v>
      </c>
      <c r="N296" s="118"/>
    </row>
    <row r="297">
      <c r="A297" s="115">
        <v>296.0</v>
      </c>
      <c r="B297" s="119" t="s">
        <v>1460</v>
      </c>
      <c r="C297" s="119" t="s">
        <v>2800</v>
      </c>
      <c r="D297" s="120"/>
      <c r="E297" s="114"/>
      <c r="F297" s="116" t="s">
        <v>2088</v>
      </c>
      <c r="G297" s="116">
        <v>3.040254205E9</v>
      </c>
      <c r="H297" s="114"/>
      <c r="I297" s="114"/>
      <c r="J297" s="121">
        <v>46147.0</v>
      </c>
      <c r="K297" s="117"/>
      <c r="L297" s="117"/>
      <c r="M297" s="117"/>
      <c r="N297" s="118"/>
    </row>
    <row r="298">
      <c r="A298" s="115">
        <v>297.0</v>
      </c>
      <c r="B298" s="116" t="s">
        <v>1460</v>
      </c>
      <c r="C298" s="116" t="s">
        <v>2800</v>
      </c>
      <c r="D298" s="117"/>
      <c r="E298" s="114"/>
      <c r="F298" s="116" t="s">
        <v>2089</v>
      </c>
      <c r="G298" s="116">
        <v>3.040254206E9</v>
      </c>
      <c r="H298" s="114"/>
      <c r="I298" s="114"/>
      <c r="J298" s="121">
        <v>46147.0</v>
      </c>
      <c r="K298" s="117"/>
      <c r="L298" s="117"/>
      <c r="M298" s="117"/>
      <c r="N298" s="118"/>
    </row>
    <row r="299">
      <c r="A299" s="115">
        <v>298.0</v>
      </c>
      <c r="B299" s="119" t="s">
        <v>1460</v>
      </c>
      <c r="C299" s="119" t="s">
        <v>2800</v>
      </c>
      <c r="D299" s="120"/>
      <c r="E299" s="114"/>
      <c r="F299" s="116" t="s">
        <v>1462</v>
      </c>
      <c r="G299" s="116">
        <v>3.040254208E9</v>
      </c>
      <c r="H299" s="114"/>
      <c r="I299" s="114"/>
      <c r="J299" s="121">
        <v>46147.0</v>
      </c>
      <c r="K299" s="117"/>
      <c r="L299" s="117"/>
      <c r="M299" s="117"/>
      <c r="N299" s="118"/>
    </row>
    <row r="300">
      <c r="A300" s="115">
        <v>299.0</v>
      </c>
      <c r="B300" s="116" t="s">
        <v>107</v>
      </c>
      <c r="C300" s="116" t="s">
        <v>1367</v>
      </c>
      <c r="D300" s="117"/>
      <c r="E300" s="114"/>
      <c r="F300" s="116" t="s">
        <v>2801</v>
      </c>
      <c r="G300" s="116">
        <v>3.04025084E9</v>
      </c>
      <c r="H300" s="114"/>
      <c r="I300" s="114"/>
      <c r="J300" s="121">
        <v>45814.0</v>
      </c>
      <c r="K300" s="117"/>
      <c r="L300" s="116" t="s">
        <v>2688</v>
      </c>
      <c r="M300" s="116" t="s">
        <v>12</v>
      </c>
      <c r="N300" s="118"/>
    </row>
    <row r="301">
      <c r="A301" s="115">
        <v>300.0</v>
      </c>
      <c r="B301" s="119" t="s">
        <v>107</v>
      </c>
      <c r="C301" s="119" t="s">
        <v>1367</v>
      </c>
      <c r="D301" s="120"/>
      <c r="E301" s="114"/>
      <c r="F301" s="116" t="s">
        <v>1368</v>
      </c>
      <c r="G301" s="116">
        <v>3.040250841E9</v>
      </c>
      <c r="H301" s="114"/>
      <c r="I301" s="114"/>
      <c r="J301" s="117"/>
      <c r="K301" s="117"/>
      <c r="L301" s="117"/>
      <c r="M301" s="117"/>
      <c r="N301" s="118"/>
    </row>
    <row r="302">
      <c r="A302" s="115">
        <v>301.0</v>
      </c>
      <c r="B302" s="116" t="s">
        <v>1759</v>
      </c>
      <c r="C302" s="116" t="s">
        <v>2802</v>
      </c>
      <c r="D302" s="117"/>
      <c r="E302" s="114"/>
      <c r="F302" s="116" t="s">
        <v>2803</v>
      </c>
      <c r="G302" s="116">
        <v>3.040255705E9</v>
      </c>
      <c r="H302" s="114"/>
      <c r="I302" s="114"/>
      <c r="J302" s="121">
        <v>45860.0</v>
      </c>
      <c r="K302" s="117"/>
      <c r="L302" s="116" t="s">
        <v>2804</v>
      </c>
      <c r="M302" s="116" t="s">
        <v>15</v>
      </c>
      <c r="N302" s="118"/>
    </row>
    <row r="303">
      <c r="A303" s="115">
        <v>302.0</v>
      </c>
      <c r="B303" s="119" t="s">
        <v>1759</v>
      </c>
      <c r="C303" s="119" t="s">
        <v>2802</v>
      </c>
      <c r="D303" s="120"/>
      <c r="E303" s="114"/>
      <c r="F303" s="116" t="s">
        <v>1764</v>
      </c>
      <c r="G303" s="116">
        <v>3.040255706E9</v>
      </c>
      <c r="H303" s="114"/>
      <c r="I303" s="114"/>
      <c r="J303" s="121">
        <v>45971.0</v>
      </c>
      <c r="K303" s="117"/>
      <c r="L303" s="116" t="s">
        <v>2623</v>
      </c>
      <c r="M303" s="116" t="s">
        <v>12</v>
      </c>
      <c r="N303" s="118"/>
    </row>
    <row r="304">
      <c r="A304" s="115">
        <v>303.0</v>
      </c>
      <c r="B304" s="116" t="s">
        <v>1759</v>
      </c>
      <c r="C304" s="116" t="s">
        <v>2802</v>
      </c>
      <c r="D304" s="117"/>
      <c r="E304" s="114"/>
      <c r="F304" s="116" t="s">
        <v>2805</v>
      </c>
      <c r="G304" s="116">
        <v>3.040255707E9</v>
      </c>
      <c r="H304" s="114"/>
      <c r="I304" s="114"/>
      <c r="J304" s="121">
        <v>45863.0</v>
      </c>
      <c r="K304" s="117"/>
      <c r="L304" s="116" t="s">
        <v>2806</v>
      </c>
      <c r="M304" s="116" t="s">
        <v>17</v>
      </c>
      <c r="N304" s="118"/>
    </row>
    <row r="305">
      <c r="A305" s="115">
        <v>304.0</v>
      </c>
      <c r="B305" s="119" t="s">
        <v>1759</v>
      </c>
      <c r="C305" s="119" t="s">
        <v>2802</v>
      </c>
      <c r="D305" s="120"/>
      <c r="E305" s="114"/>
      <c r="F305" s="116" t="s">
        <v>2136</v>
      </c>
      <c r="G305" s="116">
        <v>3.040256702E9</v>
      </c>
      <c r="H305" s="114"/>
      <c r="I305" s="114"/>
      <c r="J305" s="121">
        <v>45905.0</v>
      </c>
      <c r="K305" s="117"/>
      <c r="L305" s="116" t="s">
        <v>2807</v>
      </c>
      <c r="M305" s="117"/>
      <c r="N305" s="118"/>
    </row>
    <row r="306">
      <c r="A306" s="115">
        <v>305.0</v>
      </c>
      <c r="B306" s="116" t="s">
        <v>1759</v>
      </c>
      <c r="C306" s="116" t="s">
        <v>2802</v>
      </c>
      <c r="D306" s="117"/>
      <c r="E306" s="114"/>
      <c r="F306" s="116" t="s">
        <v>1763</v>
      </c>
      <c r="G306" s="116">
        <v>3.040256703E9</v>
      </c>
      <c r="H306" s="114"/>
      <c r="I306" s="114"/>
      <c r="J306" s="121">
        <v>45971.0</v>
      </c>
      <c r="K306" s="117"/>
      <c r="L306" s="116" t="s">
        <v>2623</v>
      </c>
      <c r="M306" s="116" t="s">
        <v>12</v>
      </c>
      <c r="N306" s="118"/>
    </row>
    <row r="307">
      <c r="A307" s="115">
        <v>306.0</v>
      </c>
      <c r="B307" s="119" t="s">
        <v>1759</v>
      </c>
      <c r="C307" s="119" t="s">
        <v>2802</v>
      </c>
      <c r="D307" s="120"/>
      <c r="E307" s="114"/>
      <c r="F307" s="116" t="s">
        <v>1762</v>
      </c>
      <c r="G307" s="116">
        <v>3.040256704E9</v>
      </c>
      <c r="H307" s="114"/>
      <c r="I307" s="114"/>
      <c r="J307" s="121">
        <v>45971.0</v>
      </c>
      <c r="K307" s="117"/>
      <c r="L307" s="116" t="s">
        <v>2623</v>
      </c>
      <c r="M307" s="116" t="s">
        <v>12</v>
      </c>
      <c r="N307" s="118"/>
    </row>
    <row r="308">
      <c r="A308" s="115">
        <v>307.0</v>
      </c>
      <c r="B308" s="116" t="s">
        <v>1759</v>
      </c>
      <c r="C308" s="116" t="s">
        <v>88</v>
      </c>
      <c r="D308" s="117"/>
      <c r="E308" s="114"/>
      <c r="F308" s="116" t="s">
        <v>2808</v>
      </c>
      <c r="G308" s="116">
        <v>3.040259829E9</v>
      </c>
      <c r="H308" s="114"/>
      <c r="I308" s="114"/>
      <c r="J308" s="121">
        <v>45744.0</v>
      </c>
      <c r="K308" s="117"/>
      <c r="L308" s="130">
        <v>45839.0</v>
      </c>
      <c r="M308" s="116" t="s">
        <v>17</v>
      </c>
      <c r="N308" s="118"/>
    </row>
    <row r="309">
      <c r="A309" s="115">
        <v>308.0</v>
      </c>
      <c r="B309" s="119" t="s">
        <v>87</v>
      </c>
      <c r="C309" s="119" t="s">
        <v>88</v>
      </c>
      <c r="D309" s="120"/>
      <c r="E309" s="114"/>
      <c r="F309" s="116" t="s">
        <v>2809</v>
      </c>
      <c r="G309" s="116">
        <v>3.040251141E9</v>
      </c>
      <c r="H309" s="114"/>
      <c r="I309" s="114"/>
      <c r="J309" s="121">
        <v>45814.0</v>
      </c>
      <c r="K309" s="117"/>
      <c r="L309" s="116" t="s">
        <v>2688</v>
      </c>
      <c r="M309" s="116" t="s">
        <v>12</v>
      </c>
      <c r="N309" s="118"/>
    </row>
    <row r="310">
      <c r="A310" s="115">
        <v>309.0</v>
      </c>
      <c r="B310" s="116" t="s">
        <v>87</v>
      </c>
      <c r="C310" s="116" t="s">
        <v>88</v>
      </c>
      <c r="D310" s="117"/>
      <c r="E310" s="114"/>
      <c r="F310" s="116" t="s">
        <v>2810</v>
      </c>
      <c r="G310" s="116">
        <v>3.040251142E9</v>
      </c>
      <c r="H310" s="114"/>
      <c r="I310" s="114"/>
      <c r="J310" s="121">
        <v>45807.0</v>
      </c>
      <c r="K310" s="117"/>
      <c r="L310" s="116" t="s">
        <v>2811</v>
      </c>
      <c r="M310" s="116" t="s">
        <v>17</v>
      </c>
      <c r="N310" s="118"/>
    </row>
    <row r="311">
      <c r="A311" s="115">
        <v>310.0</v>
      </c>
      <c r="B311" s="119" t="s">
        <v>171</v>
      </c>
      <c r="C311" s="119" t="s">
        <v>1370</v>
      </c>
      <c r="D311" s="120"/>
      <c r="E311" s="114"/>
      <c r="F311" s="116">
        <v>1570.0</v>
      </c>
      <c r="G311" s="116">
        <v>3.040250842E9</v>
      </c>
      <c r="H311" s="114"/>
      <c r="I311" s="114"/>
      <c r="J311" s="121">
        <v>45802.0</v>
      </c>
      <c r="K311" s="117"/>
      <c r="L311" s="116" t="s">
        <v>2769</v>
      </c>
      <c r="M311" s="116" t="s">
        <v>12</v>
      </c>
      <c r="N311" s="118"/>
    </row>
    <row r="312">
      <c r="A312" s="115">
        <v>311.0</v>
      </c>
      <c r="B312" s="116" t="s">
        <v>171</v>
      </c>
      <c r="C312" s="116" t="s">
        <v>1370</v>
      </c>
      <c r="D312" s="117"/>
      <c r="E312" s="114"/>
      <c r="F312" s="116">
        <v>3890.0</v>
      </c>
      <c r="G312" s="116">
        <v>3.040250843E9</v>
      </c>
      <c r="H312" s="114"/>
      <c r="I312" s="114"/>
      <c r="J312" s="121">
        <v>45802.0</v>
      </c>
      <c r="K312" s="117"/>
      <c r="L312" s="116" t="s">
        <v>2769</v>
      </c>
      <c r="M312" s="116" t="s">
        <v>12</v>
      </c>
      <c r="N312" s="118"/>
    </row>
    <row r="313">
      <c r="A313" s="115">
        <v>312.0</v>
      </c>
      <c r="B313" s="119" t="s">
        <v>171</v>
      </c>
      <c r="C313" s="119" t="s">
        <v>1370</v>
      </c>
      <c r="D313" s="120"/>
      <c r="E313" s="114"/>
      <c r="F313" s="116">
        <v>7077.0</v>
      </c>
      <c r="G313" s="116">
        <v>3.040250844E9</v>
      </c>
      <c r="H313" s="114"/>
      <c r="I313" s="114"/>
      <c r="J313" s="121">
        <v>45802.0</v>
      </c>
      <c r="K313" s="117"/>
      <c r="L313" s="116" t="s">
        <v>2769</v>
      </c>
      <c r="M313" s="116" t="s">
        <v>12</v>
      </c>
      <c r="N313" s="118"/>
    </row>
    <row r="314">
      <c r="A314" s="115">
        <v>313.0</v>
      </c>
      <c r="B314" s="116" t="s">
        <v>171</v>
      </c>
      <c r="C314" s="116" t="s">
        <v>1370</v>
      </c>
      <c r="D314" s="117"/>
      <c r="E314" s="114"/>
      <c r="F314" s="116">
        <v>791.0</v>
      </c>
      <c r="G314" s="116">
        <v>3.040250845E9</v>
      </c>
      <c r="H314" s="114"/>
      <c r="I314" s="114"/>
      <c r="J314" s="121">
        <v>45897.0</v>
      </c>
      <c r="K314" s="117"/>
      <c r="L314" s="117"/>
      <c r="M314" s="117"/>
      <c r="N314" s="118"/>
    </row>
    <row r="315">
      <c r="A315" s="115">
        <v>314.0</v>
      </c>
      <c r="B315" s="119" t="s">
        <v>169</v>
      </c>
      <c r="C315" s="119" t="s">
        <v>170</v>
      </c>
      <c r="D315" s="120"/>
      <c r="E315" s="114"/>
      <c r="F315" s="116" t="s">
        <v>2812</v>
      </c>
      <c r="G315" s="116">
        <v>3.040250846E9</v>
      </c>
      <c r="H315" s="114"/>
      <c r="I315" s="114"/>
      <c r="J315" s="121">
        <v>45802.0</v>
      </c>
      <c r="K315" s="117"/>
      <c r="L315" s="116" t="s">
        <v>2769</v>
      </c>
      <c r="M315" s="116" t="s">
        <v>12</v>
      </c>
      <c r="N315" s="118"/>
    </row>
    <row r="316">
      <c r="A316" s="115">
        <v>315.0</v>
      </c>
      <c r="B316" s="116" t="s">
        <v>169</v>
      </c>
      <c r="C316" s="116" t="s">
        <v>170</v>
      </c>
      <c r="D316" s="117"/>
      <c r="E316" s="114"/>
      <c r="F316" s="116" t="s">
        <v>2813</v>
      </c>
      <c r="G316" s="116">
        <v>3.040250847E9</v>
      </c>
      <c r="H316" s="114"/>
      <c r="I316" s="114"/>
      <c r="J316" s="121">
        <v>45802.0</v>
      </c>
      <c r="K316" s="117"/>
      <c r="L316" s="116" t="s">
        <v>2769</v>
      </c>
      <c r="M316" s="116" t="s">
        <v>12</v>
      </c>
      <c r="N316" s="118"/>
    </row>
    <row r="317">
      <c r="A317" s="115">
        <v>316.0</v>
      </c>
      <c r="B317" s="119" t="s">
        <v>1477</v>
      </c>
      <c r="C317" s="119" t="s">
        <v>1478</v>
      </c>
      <c r="D317" s="120"/>
      <c r="E317" s="114"/>
      <c r="F317" s="116">
        <v>30998.0</v>
      </c>
      <c r="G317" s="116">
        <v>3.040254793E9</v>
      </c>
      <c r="H317" s="114"/>
      <c r="I317" s="114"/>
      <c r="J317" s="121">
        <v>45876.0</v>
      </c>
      <c r="K317" s="117"/>
      <c r="L317" s="116" t="s">
        <v>2814</v>
      </c>
      <c r="M317" s="116" t="s">
        <v>12</v>
      </c>
      <c r="N317" s="118"/>
    </row>
    <row r="318">
      <c r="A318" s="115">
        <v>317.0</v>
      </c>
      <c r="B318" s="116" t="s">
        <v>1477</v>
      </c>
      <c r="C318" s="116" t="s">
        <v>1478</v>
      </c>
      <c r="D318" s="117"/>
      <c r="E318" s="114"/>
      <c r="F318" s="116">
        <v>6132.0</v>
      </c>
      <c r="G318" s="116">
        <v>3.040254794E9</v>
      </c>
      <c r="H318" s="114"/>
      <c r="I318" s="114"/>
      <c r="J318" s="121">
        <v>45889.0</v>
      </c>
      <c r="K318" s="117"/>
      <c r="L318" s="116" t="s">
        <v>2713</v>
      </c>
      <c r="M318" s="116" t="s">
        <v>12</v>
      </c>
      <c r="N318" s="118"/>
    </row>
    <row r="319">
      <c r="A319" s="115">
        <v>318.0</v>
      </c>
      <c r="B319" s="119" t="s">
        <v>1477</v>
      </c>
      <c r="C319" s="119" t="s">
        <v>1478</v>
      </c>
      <c r="D319" s="120"/>
      <c r="E319" s="114"/>
      <c r="F319" s="116">
        <v>6949.0</v>
      </c>
      <c r="G319" s="116">
        <v>3.040254795E9</v>
      </c>
      <c r="H319" s="114"/>
      <c r="I319" s="114"/>
      <c r="J319" s="121">
        <v>45876.0</v>
      </c>
      <c r="K319" s="117"/>
      <c r="L319" s="116" t="s">
        <v>2814</v>
      </c>
      <c r="M319" s="116" t="s">
        <v>12</v>
      </c>
      <c r="N319" s="118"/>
    </row>
    <row r="320">
      <c r="A320" s="115">
        <v>319.0</v>
      </c>
      <c r="B320" s="116" t="s">
        <v>1523</v>
      </c>
      <c r="C320" s="116" t="s">
        <v>1525</v>
      </c>
      <c r="D320" s="117"/>
      <c r="E320" s="114"/>
      <c r="F320" s="116" t="s">
        <v>2815</v>
      </c>
      <c r="G320" s="116">
        <v>3.040250851E9</v>
      </c>
      <c r="H320" s="114"/>
      <c r="I320" s="114"/>
      <c r="J320" s="121">
        <v>45926.0</v>
      </c>
      <c r="K320" s="117"/>
      <c r="L320" s="116" t="s">
        <v>2816</v>
      </c>
      <c r="M320" s="116" t="s">
        <v>12</v>
      </c>
      <c r="N320" s="118"/>
    </row>
    <row r="321">
      <c r="A321" s="115">
        <v>320.0</v>
      </c>
      <c r="B321" s="119" t="s">
        <v>1523</v>
      </c>
      <c r="C321" s="119" t="s">
        <v>1525</v>
      </c>
      <c r="D321" s="120"/>
      <c r="E321" s="114"/>
      <c r="F321" s="116" t="s">
        <v>2817</v>
      </c>
      <c r="G321" s="116">
        <v>3.040250852E9</v>
      </c>
      <c r="H321" s="114"/>
      <c r="I321" s="114"/>
      <c r="J321" s="121">
        <v>45909.0</v>
      </c>
      <c r="K321" s="117"/>
      <c r="L321" s="116" t="s">
        <v>2818</v>
      </c>
      <c r="M321" s="116" t="s">
        <v>12</v>
      </c>
      <c r="N321" s="118"/>
    </row>
    <row r="322">
      <c r="A322" s="115">
        <v>321.0</v>
      </c>
      <c r="B322" s="116" t="s">
        <v>1523</v>
      </c>
      <c r="C322" s="116" t="s">
        <v>2819</v>
      </c>
      <c r="D322" s="117"/>
      <c r="E322" s="114"/>
      <c r="F322" s="116">
        <v>1.550816E7</v>
      </c>
      <c r="G322" s="116">
        <v>3.040256707E9</v>
      </c>
      <c r="H322" s="114"/>
      <c r="I322" s="114"/>
      <c r="J322" s="121">
        <v>46119.0</v>
      </c>
      <c r="K322" s="117"/>
      <c r="L322" s="116" t="s">
        <v>2612</v>
      </c>
      <c r="M322" s="116" t="s">
        <v>12</v>
      </c>
      <c r="N322" s="118"/>
    </row>
    <row r="323">
      <c r="A323" s="115">
        <v>322.0</v>
      </c>
      <c r="B323" s="119" t="s">
        <v>1523</v>
      </c>
      <c r="C323" s="119" t="s">
        <v>2819</v>
      </c>
      <c r="D323" s="120"/>
      <c r="E323" s="114"/>
      <c r="F323" s="116">
        <v>1.2056029E7</v>
      </c>
      <c r="G323" s="116">
        <v>3.040256708E9</v>
      </c>
      <c r="H323" s="114"/>
      <c r="I323" s="114"/>
      <c r="J323" s="117"/>
      <c r="K323" s="117"/>
      <c r="L323" s="117"/>
      <c r="M323" s="117"/>
      <c r="N323" s="118"/>
    </row>
    <row r="324">
      <c r="A324" s="115">
        <v>323.0</v>
      </c>
      <c r="B324" s="116" t="s">
        <v>1523</v>
      </c>
      <c r="C324" s="116" t="s">
        <v>2820</v>
      </c>
      <c r="D324" s="117"/>
      <c r="E324" s="114"/>
      <c r="F324" s="116" t="s">
        <v>1556</v>
      </c>
      <c r="G324" s="116">
        <v>3.040258306E9</v>
      </c>
      <c r="H324" s="114"/>
      <c r="I324" s="114"/>
      <c r="J324" s="117"/>
      <c r="K324" s="117"/>
      <c r="L324" s="117"/>
      <c r="M324" s="117"/>
      <c r="N324" s="118"/>
    </row>
    <row r="325">
      <c r="A325" s="115">
        <v>324.0</v>
      </c>
      <c r="B325" s="119" t="s">
        <v>1523</v>
      </c>
      <c r="C325" s="119" t="s">
        <v>2820</v>
      </c>
      <c r="D325" s="120"/>
      <c r="E325" s="114"/>
      <c r="F325" s="116">
        <v>1.6940865E7</v>
      </c>
      <c r="G325" s="116">
        <v>3.040258307E9</v>
      </c>
      <c r="H325" s="114"/>
      <c r="I325" s="114"/>
      <c r="J325" s="121">
        <v>46119.0</v>
      </c>
      <c r="K325" s="117"/>
      <c r="L325" s="116" t="s">
        <v>2612</v>
      </c>
      <c r="M325" s="116" t="s">
        <v>12</v>
      </c>
      <c r="N325" s="118"/>
    </row>
    <row r="326">
      <c r="A326" s="115">
        <v>325.0</v>
      </c>
      <c r="B326" s="116" t="s">
        <v>1523</v>
      </c>
      <c r="C326" s="116" t="s">
        <v>2820</v>
      </c>
      <c r="D326" s="117"/>
      <c r="E326" s="114"/>
      <c r="F326" s="116">
        <v>1.8384912E7</v>
      </c>
      <c r="G326" s="116">
        <v>3.040258308E9</v>
      </c>
      <c r="H326" s="114"/>
      <c r="I326" s="114"/>
      <c r="J326" s="121">
        <v>46119.0</v>
      </c>
      <c r="K326" s="117"/>
      <c r="L326" s="116" t="s">
        <v>2612</v>
      </c>
      <c r="M326" s="116" t="s">
        <v>12</v>
      </c>
      <c r="N326" s="118"/>
    </row>
    <row r="327">
      <c r="A327" s="115">
        <v>326.0</v>
      </c>
      <c r="B327" s="119" t="s">
        <v>1523</v>
      </c>
      <c r="C327" s="119" t="s">
        <v>2820</v>
      </c>
      <c r="D327" s="120"/>
      <c r="E327" s="114"/>
      <c r="F327" s="116">
        <v>1.6389901E7</v>
      </c>
      <c r="G327" s="116">
        <v>3.040258309E9</v>
      </c>
      <c r="H327" s="114"/>
      <c r="I327" s="114"/>
      <c r="J327" s="117"/>
      <c r="K327" s="117"/>
      <c r="L327" s="117"/>
      <c r="M327" s="117"/>
      <c r="N327" s="118"/>
    </row>
    <row r="328">
      <c r="A328" s="115">
        <v>327.0</v>
      </c>
      <c r="B328" s="116" t="s">
        <v>1523</v>
      </c>
      <c r="C328" s="116" t="s">
        <v>2820</v>
      </c>
      <c r="D328" s="117"/>
      <c r="E328" s="114"/>
      <c r="F328" s="116" t="s">
        <v>2175</v>
      </c>
      <c r="G328" s="116">
        <v>3.04025831E9</v>
      </c>
      <c r="H328" s="114"/>
      <c r="I328" s="114"/>
      <c r="J328" s="117"/>
      <c r="K328" s="117"/>
      <c r="L328" s="117"/>
      <c r="M328" s="117"/>
      <c r="N328" s="118"/>
    </row>
    <row r="329">
      <c r="A329" s="115">
        <v>328.0</v>
      </c>
      <c r="B329" s="119" t="s">
        <v>79</v>
      </c>
      <c r="C329" s="119" t="s">
        <v>2821</v>
      </c>
      <c r="D329" s="120"/>
      <c r="E329" s="114"/>
      <c r="F329" s="116">
        <v>235.0</v>
      </c>
      <c r="G329" s="116">
        <v>3.040250854E9</v>
      </c>
      <c r="H329" s="114"/>
      <c r="I329" s="114"/>
      <c r="J329" s="117"/>
      <c r="K329" s="117"/>
      <c r="L329" s="117"/>
      <c r="M329" s="117"/>
      <c r="N329" s="118"/>
    </row>
    <row r="330">
      <c r="A330" s="115">
        <v>329.0</v>
      </c>
      <c r="B330" s="116" t="s">
        <v>2158</v>
      </c>
      <c r="C330" s="116" t="s">
        <v>2822</v>
      </c>
      <c r="D330" s="117"/>
      <c r="E330" s="114"/>
      <c r="F330" s="116" t="s">
        <v>2160</v>
      </c>
      <c r="G330" s="116">
        <v>3.040257453E9</v>
      </c>
      <c r="H330" s="114"/>
      <c r="I330" s="114"/>
      <c r="J330" s="122">
        <v>46086.0</v>
      </c>
      <c r="K330" s="117"/>
      <c r="L330" s="116" t="s">
        <v>2588</v>
      </c>
      <c r="M330" s="117"/>
      <c r="N330" s="118"/>
    </row>
    <row r="331">
      <c r="A331" s="115">
        <v>330.0</v>
      </c>
      <c r="B331" s="119" t="s">
        <v>2158</v>
      </c>
      <c r="C331" s="119" t="s">
        <v>2822</v>
      </c>
      <c r="D331" s="120"/>
      <c r="E331" s="114"/>
      <c r="F331" s="116" t="s">
        <v>2823</v>
      </c>
      <c r="G331" s="116">
        <v>3.040257454E9</v>
      </c>
      <c r="H331" s="114"/>
      <c r="I331" s="114"/>
      <c r="J331" s="117"/>
      <c r="K331" s="117"/>
      <c r="L331" s="117"/>
      <c r="M331" s="117"/>
      <c r="N331" s="118"/>
    </row>
    <row r="332">
      <c r="A332" s="115">
        <v>331.0</v>
      </c>
      <c r="B332" s="116" t="s">
        <v>2158</v>
      </c>
      <c r="C332" s="116" t="s">
        <v>2822</v>
      </c>
      <c r="D332" s="117"/>
      <c r="E332" s="114"/>
      <c r="F332" s="116" t="s">
        <v>2162</v>
      </c>
      <c r="G332" s="116">
        <v>3.040257455E9</v>
      </c>
      <c r="H332" s="114"/>
      <c r="I332" s="114"/>
      <c r="J332" s="121">
        <v>45965.0</v>
      </c>
      <c r="K332" s="117"/>
      <c r="L332" s="116" t="s">
        <v>2451</v>
      </c>
      <c r="M332" s="116" t="s">
        <v>14</v>
      </c>
      <c r="N332" s="118"/>
    </row>
    <row r="333">
      <c r="A333" s="115">
        <v>332.0</v>
      </c>
      <c r="B333" s="119" t="s">
        <v>2083</v>
      </c>
      <c r="C333" s="119" t="s">
        <v>2712</v>
      </c>
      <c r="D333" s="120"/>
      <c r="E333" s="114"/>
      <c r="F333" s="116" t="s">
        <v>2824</v>
      </c>
      <c r="G333" s="116">
        <v>3.040254203E9</v>
      </c>
      <c r="H333" s="114"/>
      <c r="I333" s="114"/>
      <c r="J333" s="121">
        <v>46064.0</v>
      </c>
      <c r="K333" s="117"/>
      <c r="L333" s="117"/>
      <c r="M333" s="117"/>
      <c r="N333" s="118"/>
    </row>
    <row r="334">
      <c r="A334" s="115">
        <v>333.0</v>
      </c>
      <c r="B334" s="116" t="s">
        <v>1580</v>
      </c>
      <c r="C334" s="116" t="s">
        <v>146</v>
      </c>
      <c r="D334" s="117"/>
      <c r="E334" s="114"/>
      <c r="F334" s="116">
        <v>1439.0</v>
      </c>
      <c r="G334" s="116">
        <v>3.040259694E9</v>
      </c>
      <c r="H334" s="114"/>
      <c r="I334" s="114"/>
      <c r="J334" s="121">
        <v>46049.0</v>
      </c>
      <c r="K334" s="117"/>
      <c r="L334" s="116" t="s">
        <v>2825</v>
      </c>
      <c r="M334" s="116" t="s">
        <v>1352</v>
      </c>
      <c r="N334" s="118"/>
    </row>
    <row r="335">
      <c r="A335" s="115">
        <v>334.0</v>
      </c>
      <c r="B335" s="119" t="s">
        <v>133</v>
      </c>
      <c r="C335" s="119" t="s">
        <v>134</v>
      </c>
      <c r="D335" s="120"/>
      <c r="E335" s="117"/>
      <c r="F335" s="116" t="s">
        <v>2826</v>
      </c>
      <c r="G335" s="116">
        <v>3.040259921E9</v>
      </c>
      <c r="H335" s="117"/>
      <c r="I335" s="117"/>
      <c r="J335" s="121">
        <v>45996.0</v>
      </c>
      <c r="K335" s="117"/>
      <c r="L335" s="116" t="s">
        <v>2827</v>
      </c>
      <c r="M335" s="117"/>
      <c r="N335" s="118"/>
    </row>
    <row r="336">
      <c r="A336" s="115">
        <v>335.0</v>
      </c>
      <c r="B336" s="116" t="s">
        <v>133</v>
      </c>
      <c r="C336" s="116" t="s">
        <v>134</v>
      </c>
      <c r="D336" s="117"/>
      <c r="E336" s="120"/>
      <c r="F336" s="116">
        <v>337.0</v>
      </c>
      <c r="G336" s="116">
        <v>3.040259923E9</v>
      </c>
      <c r="H336" s="120"/>
      <c r="I336" s="120"/>
      <c r="J336" s="121">
        <v>45996.0</v>
      </c>
      <c r="K336" s="117"/>
      <c r="L336" s="116" t="s">
        <v>2827</v>
      </c>
      <c r="M336" s="117"/>
      <c r="N336" s="118"/>
    </row>
    <row r="337">
      <c r="A337" s="115">
        <v>336.0</v>
      </c>
      <c r="B337" s="119" t="s">
        <v>133</v>
      </c>
      <c r="C337" s="119" t="s">
        <v>134</v>
      </c>
      <c r="D337" s="120"/>
      <c r="E337" s="117"/>
      <c r="F337" s="116">
        <v>368.0</v>
      </c>
      <c r="G337" s="116">
        <v>3.040259926E9</v>
      </c>
      <c r="H337" s="117"/>
      <c r="I337" s="117"/>
      <c r="J337" s="121">
        <v>45989.0</v>
      </c>
      <c r="K337" s="117"/>
      <c r="L337" s="116" t="s">
        <v>2828</v>
      </c>
      <c r="M337" s="117"/>
      <c r="N337" s="118"/>
    </row>
    <row r="338">
      <c r="A338" s="115">
        <v>337.0</v>
      </c>
      <c r="B338" s="116" t="s">
        <v>133</v>
      </c>
      <c r="C338" s="116" t="s">
        <v>134</v>
      </c>
      <c r="D338" s="117"/>
      <c r="E338" s="120"/>
      <c r="F338" s="116">
        <v>182.0</v>
      </c>
      <c r="G338" s="116">
        <v>3.040259922E9</v>
      </c>
      <c r="H338" s="120"/>
      <c r="I338" s="120"/>
      <c r="J338" s="121">
        <v>46156.0</v>
      </c>
      <c r="K338" s="117"/>
      <c r="L338" s="117"/>
      <c r="M338" s="117"/>
      <c r="N338" s="118"/>
    </row>
    <row r="339">
      <c r="A339" s="115">
        <v>338.0</v>
      </c>
      <c r="B339" s="119" t="s">
        <v>133</v>
      </c>
      <c r="C339" s="119" t="s">
        <v>134</v>
      </c>
      <c r="D339" s="120"/>
      <c r="E339" s="117"/>
      <c r="F339" s="116">
        <v>188.0</v>
      </c>
      <c r="G339" s="116">
        <v>3.040259919E9</v>
      </c>
      <c r="H339" s="117"/>
      <c r="I339" s="117"/>
      <c r="J339" s="121">
        <v>45996.0</v>
      </c>
      <c r="K339" s="117"/>
      <c r="L339" s="116" t="s">
        <v>2827</v>
      </c>
      <c r="M339" s="117"/>
      <c r="N339" s="118"/>
    </row>
    <row r="340">
      <c r="A340" s="115">
        <v>339.0</v>
      </c>
      <c r="B340" s="116" t="s">
        <v>117</v>
      </c>
      <c r="C340" s="116" t="s">
        <v>118</v>
      </c>
      <c r="D340" s="117"/>
      <c r="E340" s="120"/>
      <c r="F340" s="116" t="s">
        <v>2829</v>
      </c>
      <c r="G340" s="116">
        <v>3.040259819E9</v>
      </c>
      <c r="H340" s="120"/>
      <c r="I340" s="120"/>
      <c r="J340" s="121">
        <v>45989.0</v>
      </c>
      <c r="K340" s="117"/>
      <c r="L340" s="116" t="s">
        <v>2828</v>
      </c>
      <c r="M340" s="117"/>
      <c r="N340" s="118"/>
    </row>
    <row r="341">
      <c r="A341" s="115">
        <v>340.0</v>
      </c>
      <c r="B341" s="119" t="s">
        <v>117</v>
      </c>
      <c r="C341" s="119" t="s">
        <v>118</v>
      </c>
      <c r="D341" s="120"/>
      <c r="E341" s="117"/>
      <c r="F341" s="116">
        <v>30435.0</v>
      </c>
      <c r="G341" s="116">
        <v>3.04025982E9</v>
      </c>
      <c r="H341" s="117"/>
      <c r="I341" s="117"/>
      <c r="J341" s="121">
        <v>46002.0</v>
      </c>
      <c r="K341" s="117"/>
      <c r="L341" s="116" t="s">
        <v>2830</v>
      </c>
      <c r="M341" s="117"/>
      <c r="N341" s="118"/>
    </row>
    <row r="342">
      <c r="A342" s="115">
        <v>341.0</v>
      </c>
      <c r="B342" s="116" t="s">
        <v>117</v>
      </c>
      <c r="C342" s="116" t="s">
        <v>118</v>
      </c>
      <c r="D342" s="117"/>
      <c r="E342" s="120"/>
      <c r="F342" s="116">
        <v>23091.0</v>
      </c>
      <c r="G342" s="116">
        <v>3.040259821E9</v>
      </c>
      <c r="H342" s="120"/>
      <c r="I342" s="120"/>
      <c r="J342" s="121">
        <v>46002.0</v>
      </c>
      <c r="K342" s="117"/>
      <c r="L342" s="116" t="s">
        <v>2830</v>
      </c>
      <c r="M342" s="117"/>
      <c r="N342" s="118"/>
    </row>
    <row r="343">
      <c r="A343" s="115">
        <v>342.0</v>
      </c>
      <c r="B343" s="119" t="s">
        <v>260</v>
      </c>
      <c r="C343" s="119" t="s">
        <v>2831</v>
      </c>
      <c r="D343" s="120"/>
      <c r="E343" s="117"/>
      <c r="F343" s="116">
        <v>39492.0</v>
      </c>
      <c r="G343" s="116">
        <v>3.040259948E9</v>
      </c>
      <c r="H343" s="117"/>
      <c r="I343" s="117"/>
      <c r="J343" s="121">
        <v>45996.0</v>
      </c>
      <c r="K343" s="117"/>
      <c r="L343" s="116" t="s">
        <v>2827</v>
      </c>
      <c r="M343" s="117"/>
      <c r="N343" s="118"/>
    </row>
    <row r="344">
      <c r="A344" s="115">
        <v>343.0</v>
      </c>
      <c r="B344" s="116" t="s">
        <v>260</v>
      </c>
      <c r="C344" s="116" t="s">
        <v>2831</v>
      </c>
      <c r="D344" s="117"/>
      <c r="E344" s="120"/>
      <c r="F344" s="116">
        <v>37853.0</v>
      </c>
      <c r="G344" s="116">
        <v>3.040259952E9</v>
      </c>
      <c r="H344" s="120"/>
      <c r="I344" s="120"/>
      <c r="J344" s="121">
        <v>46002.0</v>
      </c>
      <c r="K344" s="117"/>
      <c r="L344" s="116" t="s">
        <v>2832</v>
      </c>
      <c r="M344" s="117"/>
      <c r="N344" s="118"/>
    </row>
    <row r="345">
      <c r="A345" s="115">
        <v>344.0</v>
      </c>
      <c r="B345" s="119" t="s">
        <v>1590</v>
      </c>
      <c r="C345" s="119" t="s">
        <v>2833</v>
      </c>
      <c r="D345" s="120"/>
      <c r="E345" s="117"/>
      <c r="F345" s="116">
        <v>89287.0</v>
      </c>
      <c r="G345" s="116">
        <v>3.040259944E9</v>
      </c>
      <c r="H345" s="117"/>
      <c r="I345" s="117"/>
      <c r="J345" s="121">
        <v>46031.0</v>
      </c>
      <c r="K345" s="117"/>
      <c r="L345" s="124" t="s">
        <v>2834</v>
      </c>
      <c r="M345" s="117"/>
      <c r="N345" s="118"/>
    </row>
    <row r="346">
      <c r="A346" s="115">
        <v>345.0</v>
      </c>
      <c r="B346" s="116" t="s">
        <v>1590</v>
      </c>
      <c r="C346" s="116" t="s">
        <v>2833</v>
      </c>
      <c r="D346" s="117"/>
      <c r="E346" s="120"/>
      <c r="F346" s="116">
        <v>96293.0</v>
      </c>
      <c r="G346" s="116">
        <v>3.040259946E9</v>
      </c>
      <c r="H346" s="120"/>
      <c r="I346" s="120"/>
      <c r="J346" s="121">
        <v>46153.0</v>
      </c>
      <c r="K346" s="117"/>
      <c r="L346" s="116" t="s">
        <v>2835</v>
      </c>
      <c r="M346" s="116" t="s">
        <v>17</v>
      </c>
      <c r="N346" s="118"/>
    </row>
    <row r="347">
      <c r="A347" s="115">
        <v>346.0</v>
      </c>
      <c r="B347" s="119" t="s">
        <v>1590</v>
      </c>
      <c r="C347" s="119" t="s">
        <v>2833</v>
      </c>
      <c r="D347" s="120"/>
      <c r="E347" s="117"/>
      <c r="F347" s="116">
        <v>89292.0</v>
      </c>
      <c r="G347" s="116">
        <v>3.040259947E9</v>
      </c>
      <c r="H347" s="117"/>
      <c r="I347" s="117"/>
      <c r="J347" s="121">
        <v>46135.0</v>
      </c>
      <c r="K347" s="117"/>
      <c r="L347" s="116">
        <v>317.0</v>
      </c>
      <c r="M347" s="116" t="s">
        <v>14</v>
      </c>
      <c r="N347" s="118"/>
    </row>
    <row r="348">
      <c r="A348" s="115">
        <v>347.0</v>
      </c>
      <c r="B348" s="116" t="s">
        <v>260</v>
      </c>
      <c r="C348" s="116" t="s">
        <v>261</v>
      </c>
      <c r="D348" s="117"/>
      <c r="E348" s="120"/>
      <c r="F348" s="116">
        <v>39816.0</v>
      </c>
      <c r="G348" s="116">
        <v>3.040259949E9</v>
      </c>
      <c r="H348" s="120"/>
      <c r="I348" s="120"/>
      <c r="J348" s="117"/>
      <c r="K348" s="117"/>
      <c r="L348" s="117"/>
      <c r="M348" s="117"/>
      <c r="N348" s="118"/>
    </row>
    <row r="349">
      <c r="A349" s="115">
        <v>348.0</v>
      </c>
      <c r="B349" s="119" t="s">
        <v>260</v>
      </c>
      <c r="C349" s="119" t="s">
        <v>261</v>
      </c>
      <c r="D349" s="120"/>
      <c r="E349" s="117"/>
      <c r="F349" s="116">
        <v>37940.0</v>
      </c>
      <c r="G349" s="116">
        <v>3.04025995E9</v>
      </c>
      <c r="H349" s="117"/>
      <c r="I349" s="117"/>
      <c r="J349" s="117"/>
      <c r="K349" s="117"/>
      <c r="L349" s="117"/>
      <c r="M349" s="117"/>
      <c r="N349" s="118"/>
    </row>
    <row r="350">
      <c r="A350" s="115">
        <v>349.0</v>
      </c>
      <c r="B350" s="116" t="s">
        <v>133</v>
      </c>
      <c r="C350" s="116" t="s">
        <v>134</v>
      </c>
      <c r="D350" s="117"/>
      <c r="E350" s="120"/>
      <c r="F350" s="116" t="s">
        <v>2199</v>
      </c>
      <c r="G350" s="116">
        <v>3.040259918E9</v>
      </c>
      <c r="H350" s="120"/>
      <c r="I350" s="120"/>
      <c r="J350" s="121">
        <v>46230.0</v>
      </c>
      <c r="K350" s="117"/>
      <c r="L350" s="116" t="s">
        <v>2662</v>
      </c>
      <c r="M350" s="116" t="s">
        <v>12</v>
      </c>
      <c r="N350" s="118"/>
    </row>
    <row r="351">
      <c r="A351" s="115">
        <v>350.0</v>
      </c>
      <c r="B351" s="119" t="s">
        <v>133</v>
      </c>
      <c r="C351" s="119" t="s">
        <v>134</v>
      </c>
      <c r="D351" s="120"/>
      <c r="E351" s="117"/>
      <c r="F351" s="116" t="s">
        <v>1585</v>
      </c>
      <c r="G351" s="116">
        <v>3.040259928E9</v>
      </c>
      <c r="H351" s="117"/>
      <c r="I351" s="117"/>
      <c r="J351" s="117"/>
      <c r="K351" s="117"/>
      <c r="L351" s="117"/>
      <c r="M351" s="117"/>
      <c r="N351" s="118"/>
    </row>
    <row r="352">
      <c r="A352" s="115">
        <v>351.0</v>
      </c>
      <c r="B352" s="116" t="s">
        <v>133</v>
      </c>
      <c r="C352" s="116" t="s">
        <v>134</v>
      </c>
      <c r="D352" s="117"/>
      <c r="E352" s="120"/>
      <c r="F352" s="116" t="s">
        <v>1583</v>
      </c>
      <c r="G352" s="116">
        <v>3.040259924E9</v>
      </c>
      <c r="H352" s="120"/>
      <c r="I352" s="120"/>
      <c r="J352" s="117"/>
      <c r="K352" s="117"/>
      <c r="L352" s="117"/>
      <c r="M352" s="117"/>
      <c r="N352" s="118"/>
    </row>
    <row r="353">
      <c r="A353" s="115">
        <v>352.0</v>
      </c>
      <c r="B353" s="119" t="s">
        <v>1759</v>
      </c>
      <c r="C353" s="119" t="s">
        <v>88</v>
      </c>
      <c r="D353" s="120"/>
      <c r="E353" s="117"/>
      <c r="F353" s="116" t="s">
        <v>2836</v>
      </c>
      <c r="G353" s="116">
        <v>3.040259953E9</v>
      </c>
      <c r="H353" s="117"/>
      <c r="I353" s="117"/>
      <c r="J353" s="121">
        <v>45996.0</v>
      </c>
      <c r="K353" s="117"/>
      <c r="L353" s="116" t="s">
        <v>2827</v>
      </c>
      <c r="M353" s="117"/>
      <c r="N353" s="118"/>
    </row>
    <row r="354">
      <c r="A354" s="115">
        <v>353.0</v>
      </c>
      <c r="B354" s="116" t="s">
        <v>1759</v>
      </c>
      <c r="C354" s="116" t="s">
        <v>88</v>
      </c>
      <c r="D354" s="117"/>
      <c r="E354" s="120"/>
      <c r="F354" s="116" t="s">
        <v>2837</v>
      </c>
      <c r="G354" s="116">
        <v>3.040259954E9</v>
      </c>
      <c r="H354" s="120"/>
      <c r="I354" s="120"/>
      <c r="J354" s="121">
        <v>45996.0</v>
      </c>
      <c r="K354" s="117"/>
      <c r="L354" s="116" t="s">
        <v>2827</v>
      </c>
      <c r="M354" s="117"/>
      <c r="N354" s="118"/>
    </row>
    <row r="355">
      <c r="A355" s="115">
        <v>354.0</v>
      </c>
      <c r="B355" s="119" t="s">
        <v>2838</v>
      </c>
      <c r="C355" s="119" t="s">
        <v>2839</v>
      </c>
      <c r="D355" s="120"/>
      <c r="E355" s="117"/>
      <c r="F355" s="116">
        <v>791.0</v>
      </c>
      <c r="G355" s="116">
        <v>3.040260481E9</v>
      </c>
      <c r="H355" s="117"/>
      <c r="I355" s="117"/>
      <c r="J355" s="117"/>
      <c r="K355" s="117"/>
      <c r="L355" s="117"/>
      <c r="M355" s="117"/>
      <c r="N355" s="118"/>
    </row>
    <row r="356">
      <c r="A356" s="115">
        <v>355.0</v>
      </c>
      <c r="B356" s="116" t="s">
        <v>1612</v>
      </c>
      <c r="C356" s="116" t="s">
        <v>1613</v>
      </c>
      <c r="D356" s="117"/>
      <c r="E356" s="120"/>
      <c r="F356" s="116" t="s">
        <v>1614</v>
      </c>
      <c r="G356" s="116">
        <v>3.040260521E9</v>
      </c>
      <c r="H356" s="120"/>
      <c r="I356" s="120"/>
      <c r="J356" s="121">
        <v>46164.0</v>
      </c>
      <c r="K356" s="117"/>
      <c r="L356" s="117"/>
      <c r="M356" s="117"/>
      <c r="N356" s="118"/>
    </row>
    <row r="357">
      <c r="A357" s="115">
        <v>356.0</v>
      </c>
      <c r="B357" s="119" t="s">
        <v>1612</v>
      </c>
      <c r="C357" s="119" t="s">
        <v>1613</v>
      </c>
      <c r="D357" s="120"/>
      <c r="E357" s="117"/>
      <c r="F357" s="116" t="s">
        <v>2840</v>
      </c>
      <c r="G357" s="116">
        <v>3.040260522E9</v>
      </c>
      <c r="H357" s="117"/>
      <c r="I357" s="117"/>
      <c r="J357" s="121">
        <v>46020.0</v>
      </c>
      <c r="K357" s="117"/>
      <c r="L357" s="116" t="s">
        <v>2841</v>
      </c>
      <c r="M357" s="117"/>
      <c r="N357" s="118"/>
    </row>
    <row r="358">
      <c r="A358" s="115">
        <v>357.0</v>
      </c>
      <c r="B358" s="116" t="s">
        <v>1612</v>
      </c>
      <c r="C358" s="116" t="s">
        <v>1613</v>
      </c>
      <c r="D358" s="116" t="s">
        <v>2774</v>
      </c>
      <c r="E358" s="131">
        <v>2721.0</v>
      </c>
      <c r="F358" s="116" t="s">
        <v>2208</v>
      </c>
      <c r="G358" s="116">
        <v>3.040260523E9</v>
      </c>
      <c r="H358" s="120"/>
      <c r="I358" s="120"/>
      <c r="J358" s="121">
        <v>46225.0</v>
      </c>
      <c r="K358" s="117"/>
      <c r="L358" s="116" t="s">
        <v>2842</v>
      </c>
      <c r="M358" s="116" t="s">
        <v>14</v>
      </c>
      <c r="N358" s="118"/>
    </row>
    <row r="359">
      <c r="A359" s="115">
        <v>358.0</v>
      </c>
      <c r="B359" s="119" t="s">
        <v>1608</v>
      </c>
      <c r="C359" s="119" t="s">
        <v>1613</v>
      </c>
      <c r="D359" s="120"/>
      <c r="E359" s="117"/>
      <c r="F359" s="116" t="s">
        <v>1611</v>
      </c>
      <c r="G359" s="116">
        <v>3.040260516E9</v>
      </c>
      <c r="H359" s="117"/>
      <c r="I359" s="117"/>
      <c r="J359" s="121">
        <v>46176.0</v>
      </c>
      <c r="K359" s="117"/>
      <c r="L359" s="117"/>
      <c r="M359" s="117"/>
      <c r="N359" s="118"/>
    </row>
    <row r="360">
      <c r="A360" s="115">
        <v>359.0</v>
      </c>
      <c r="B360" s="116" t="s">
        <v>1608</v>
      </c>
      <c r="C360" s="116" t="s">
        <v>1613</v>
      </c>
      <c r="D360" s="117"/>
      <c r="E360" s="120"/>
      <c r="F360" s="116" t="s">
        <v>1882</v>
      </c>
      <c r="G360" s="116">
        <v>3.040260517E9</v>
      </c>
      <c r="H360" s="120"/>
      <c r="I360" s="120"/>
      <c r="J360" s="122">
        <v>46086.0</v>
      </c>
      <c r="K360" s="117"/>
      <c r="L360" s="116" t="s">
        <v>2588</v>
      </c>
      <c r="M360" s="117"/>
      <c r="N360" s="118"/>
    </row>
    <row r="361">
      <c r="A361" s="115">
        <v>360.0</v>
      </c>
      <c r="B361" s="119" t="s">
        <v>1606</v>
      </c>
      <c r="C361" s="119" t="s">
        <v>2843</v>
      </c>
      <c r="D361" s="120"/>
      <c r="E361" s="117"/>
      <c r="F361" s="116">
        <v>3201.0</v>
      </c>
      <c r="G361" s="116">
        <v>3.040260524E9</v>
      </c>
      <c r="H361" s="117"/>
      <c r="I361" s="117"/>
      <c r="J361" s="121">
        <v>46052.0</v>
      </c>
      <c r="K361" s="117"/>
      <c r="L361" s="127" t="s">
        <v>2518</v>
      </c>
      <c r="M361" s="117"/>
      <c r="N361" s="118"/>
    </row>
    <row r="362">
      <c r="A362" s="115">
        <v>361.0</v>
      </c>
      <c r="B362" s="116" t="s">
        <v>127</v>
      </c>
      <c r="C362" s="116" t="s">
        <v>2844</v>
      </c>
      <c r="D362" s="117"/>
      <c r="E362" s="120"/>
      <c r="F362" s="116">
        <v>8.6805429E7</v>
      </c>
      <c r="G362" s="116">
        <v>3.040260209E9</v>
      </c>
      <c r="H362" s="120"/>
      <c r="I362" s="120"/>
      <c r="J362" s="116" t="s">
        <v>2845</v>
      </c>
      <c r="K362" s="117"/>
      <c r="L362" s="116" t="s">
        <v>2514</v>
      </c>
      <c r="M362" s="117"/>
      <c r="N362" s="118"/>
    </row>
    <row r="363">
      <c r="A363" s="115">
        <v>362.0</v>
      </c>
      <c r="B363" s="119" t="s">
        <v>1596</v>
      </c>
      <c r="C363" s="119" t="s">
        <v>2846</v>
      </c>
      <c r="D363" s="120"/>
      <c r="E363" s="117"/>
      <c r="F363" s="116" t="s">
        <v>2847</v>
      </c>
      <c r="G363" s="116">
        <v>3.040260203E9</v>
      </c>
      <c r="H363" s="117"/>
      <c r="I363" s="117"/>
      <c r="J363" s="121">
        <v>46010.0</v>
      </c>
      <c r="K363" s="117"/>
      <c r="L363" s="116" t="s">
        <v>2848</v>
      </c>
      <c r="M363" s="117"/>
      <c r="N363" s="118"/>
    </row>
    <row r="364">
      <c r="A364" s="115">
        <v>363.0</v>
      </c>
      <c r="B364" s="116" t="s">
        <v>1596</v>
      </c>
      <c r="C364" s="116" t="s">
        <v>2846</v>
      </c>
      <c r="D364" s="117"/>
      <c r="E364" s="120"/>
      <c r="F364" s="116" t="s">
        <v>2203</v>
      </c>
      <c r="G364" s="116">
        <v>3.040260204E9</v>
      </c>
      <c r="H364" s="120"/>
      <c r="I364" s="120"/>
      <c r="J364" s="121">
        <v>46010.0</v>
      </c>
      <c r="K364" s="117"/>
      <c r="L364" s="116" t="s">
        <v>2849</v>
      </c>
      <c r="M364" s="117"/>
      <c r="N364" s="118"/>
    </row>
    <row r="365">
      <c r="A365" s="115">
        <v>364.0</v>
      </c>
      <c r="B365" s="119" t="s">
        <v>1596</v>
      </c>
      <c r="C365" s="119" t="s">
        <v>2846</v>
      </c>
      <c r="D365" s="120"/>
      <c r="E365" s="117"/>
      <c r="F365" s="116" t="s">
        <v>1599</v>
      </c>
      <c r="G365" s="116">
        <v>3.040260205E9</v>
      </c>
      <c r="H365" s="117"/>
      <c r="I365" s="117"/>
      <c r="J365" s="117"/>
      <c r="K365" s="117"/>
      <c r="L365" s="117"/>
      <c r="M365" s="117"/>
      <c r="N365" s="118"/>
    </row>
    <row r="366">
      <c r="A366" s="115">
        <v>365.0</v>
      </c>
      <c r="B366" s="116" t="s">
        <v>1596</v>
      </c>
      <c r="C366" s="116" t="s">
        <v>2846</v>
      </c>
      <c r="D366" s="117"/>
      <c r="E366" s="120"/>
      <c r="F366" s="116" t="s">
        <v>2204</v>
      </c>
      <c r="G366" s="116">
        <v>3.040260206E9</v>
      </c>
      <c r="H366" s="120"/>
      <c r="I366" s="120"/>
      <c r="J366" s="121">
        <v>46079.0</v>
      </c>
      <c r="K366" s="117"/>
      <c r="L366" s="116" t="s">
        <v>2850</v>
      </c>
      <c r="M366" s="116" t="s">
        <v>13</v>
      </c>
      <c r="N366" s="118"/>
    </row>
    <row r="367">
      <c r="A367" s="115">
        <v>366.0</v>
      </c>
      <c r="B367" s="119" t="s">
        <v>1596</v>
      </c>
      <c r="C367" s="119" t="s">
        <v>2846</v>
      </c>
      <c r="D367" s="120"/>
      <c r="E367" s="117"/>
      <c r="F367" s="116" t="s">
        <v>2851</v>
      </c>
      <c r="G367" s="116">
        <v>3.040260207E9</v>
      </c>
      <c r="H367" s="117"/>
      <c r="I367" s="117"/>
      <c r="J367" s="121">
        <v>46010.0</v>
      </c>
      <c r="K367" s="117"/>
      <c r="L367" s="116" t="s">
        <v>2848</v>
      </c>
      <c r="M367" s="117"/>
      <c r="N367" s="118"/>
    </row>
    <row r="368">
      <c r="A368" s="115">
        <v>367.0</v>
      </c>
      <c r="B368" s="116" t="s">
        <v>1596</v>
      </c>
      <c r="C368" s="116" t="s">
        <v>2846</v>
      </c>
      <c r="D368" s="117"/>
      <c r="E368" s="120"/>
      <c r="F368" s="116" t="s">
        <v>2852</v>
      </c>
      <c r="G368" s="116">
        <v>3.040260208E9</v>
      </c>
      <c r="H368" s="120"/>
      <c r="I368" s="120"/>
      <c r="J368" s="121">
        <v>46010.0</v>
      </c>
      <c r="K368" s="117"/>
      <c r="L368" s="116" t="s">
        <v>2848</v>
      </c>
      <c r="M368" s="117"/>
      <c r="N368" s="118"/>
    </row>
    <row r="369">
      <c r="A369" s="115">
        <v>368.0</v>
      </c>
      <c r="B369" s="119" t="s">
        <v>1596</v>
      </c>
      <c r="C369" s="119" t="s">
        <v>2846</v>
      </c>
      <c r="D369" s="120"/>
      <c r="E369" s="117"/>
      <c r="F369" s="116" t="s">
        <v>1619</v>
      </c>
      <c r="G369" s="116">
        <v>3.040260538E9</v>
      </c>
      <c r="H369" s="117"/>
      <c r="I369" s="117"/>
      <c r="J369" s="121">
        <v>46230.0</v>
      </c>
      <c r="K369" s="117"/>
      <c r="L369" s="116" t="s">
        <v>2853</v>
      </c>
      <c r="M369" s="116" t="s">
        <v>12</v>
      </c>
      <c r="N369" s="118"/>
    </row>
    <row r="370">
      <c r="A370" s="115">
        <v>369.0</v>
      </c>
      <c r="B370" s="116" t="s">
        <v>1596</v>
      </c>
      <c r="C370" s="116" t="s">
        <v>2846</v>
      </c>
      <c r="D370" s="117"/>
      <c r="E370" s="120"/>
      <c r="F370" s="116" t="s">
        <v>2219</v>
      </c>
      <c r="G370" s="116">
        <v>3.040260539E9</v>
      </c>
      <c r="H370" s="120"/>
      <c r="I370" s="120"/>
      <c r="J370" s="121">
        <v>46063.0</v>
      </c>
      <c r="K370" s="117"/>
      <c r="L370" s="116" t="s">
        <v>2854</v>
      </c>
      <c r="M370" s="117"/>
      <c r="N370" s="118"/>
    </row>
    <row r="371">
      <c r="A371" s="115">
        <v>370.0</v>
      </c>
      <c r="B371" s="119" t="s">
        <v>1596</v>
      </c>
      <c r="C371" s="119" t="s">
        <v>2846</v>
      </c>
      <c r="D371" s="120"/>
      <c r="E371" s="117"/>
      <c r="F371" s="116" t="s">
        <v>1616</v>
      </c>
      <c r="G371" s="116">
        <v>3.04026054E9</v>
      </c>
      <c r="H371" s="117"/>
      <c r="I371" s="117"/>
      <c r="J371" s="121">
        <v>46063.0</v>
      </c>
      <c r="K371" s="117"/>
      <c r="L371" s="116" t="s">
        <v>2855</v>
      </c>
      <c r="M371" s="116" t="s">
        <v>13</v>
      </c>
      <c r="N371" s="118"/>
    </row>
    <row r="372">
      <c r="A372" s="115">
        <v>371.0</v>
      </c>
      <c r="B372" s="116" t="s">
        <v>1596</v>
      </c>
      <c r="C372" s="116" t="s">
        <v>2846</v>
      </c>
      <c r="D372" s="117"/>
      <c r="E372" s="120"/>
      <c r="F372" s="116" t="s">
        <v>1617</v>
      </c>
      <c r="G372" s="116">
        <v>3.040260541E9</v>
      </c>
      <c r="H372" s="120"/>
      <c r="I372" s="120"/>
      <c r="J372" s="121">
        <v>46063.0</v>
      </c>
      <c r="K372" s="117"/>
      <c r="L372" s="116" t="s">
        <v>2855</v>
      </c>
      <c r="M372" s="116" t="s">
        <v>13</v>
      </c>
      <c r="N372" s="118"/>
    </row>
    <row r="373">
      <c r="A373" s="115">
        <v>372.0</v>
      </c>
      <c r="B373" s="119" t="s">
        <v>1596</v>
      </c>
      <c r="C373" s="119" t="s">
        <v>2846</v>
      </c>
      <c r="D373" s="120"/>
      <c r="E373" s="117"/>
      <c r="F373" s="116" t="s">
        <v>1618</v>
      </c>
      <c r="G373" s="116">
        <v>3.040260542E9</v>
      </c>
      <c r="H373" s="117"/>
      <c r="I373" s="117"/>
      <c r="J373" s="121">
        <v>46063.0</v>
      </c>
      <c r="K373" s="117"/>
      <c r="L373" s="116" t="s">
        <v>2855</v>
      </c>
      <c r="M373" s="116" t="s">
        <v>13</v>
      </c>
      <c r="N373" s="118"/>
    </row>
    <row r="374">
      <c r="A374" s="115">
        <v>373.0</v>
      </c>
      <c r="B374" s="116" t="s">
        <v>1596</v>
      </c>
      <c r="C374" s="116" t="s">
        <v>2846</v>
      </c>
      <c r="D374" s="117"/>
      <c r="E374" s="120"/>
      <c r="F374" s="116" t="s">
        <v>2218</v>
      </c>
      <c r="G374" s="116">
        <v>3.040260543E9</v>
      </c>
      <c r="H374" s="120"/>
      <c r="I374" s="120"/>
      <c r="J374" s="121">
        <v>46063.0</v>
      </c>
      <c r="K374" s="117"/>
      <c r="L374" s="116" t="s">
        <v>2854</v>
      </c>
      <c r="M374" s="117"/>
      <c r="N374" s="118"/>
    </row>
    <row r="375">
      <c r="A375" s="115">
        <v>374.0</v>
      </c>
      <c r="B375" s="119" t="s">
        <v>279</v>
      </c>
      <c r="C375" s="119" t="s">
        <v>2856</v>
      </c>
      <c r="D375" s="120"/>
      <c r="E375" s="117"/>
      <c r="F375" s="116">
        <v>1.14111198E9</v>
      </c>
      <c r="G375" s="116">
        <v>3.040260388E9</v>
      </c>
      <c r="H375" s="117"/>
      <c r="I375" s="117"/>
      <c r="J375" s="117"/>
      <c r="K375" s="117"/>
      <c r="L375" s="117"/>
      <c r="M375" s="117"/>
      <c r="N375" s="118"/>
    </row>
    <row r="376">
      <c r="A376" s="115">
        <v>375.0</v>
      </c>
      <c r="B376" s="116" t="s">
        <v>279</v>
      </c>
      <c r="C376" s="116" t="s">
        <v>2856</v>
      </c>
      <c r="D376" s="117"/>
      <c r="E376" s="120"/>
      <c r="F376" s="116">
        <v>1.381310971E9</v>
      </c>
      <c r="G376" s="116">
        <v>3.040260389E9</v>
      </c>
      <c r="H376" s="120"/>
      <c r="I376" s="120"/>
      <c r="J376" s="117"/>
      <c r="K376" s="117"/>
      <c r="L376" s="117"/>
      <c r="M376" s="117"/>
      <c r="N376" s="118"/>
    </row>
    <row r="377">
      <c r="A377" s="115">
        <v>376.0</v>
      </c>
      <c r="B377" s="119" t="s">
        <v>1602</v>
      </c>
      <c r="C377" s="119" t="s">
        <v>2857</v>
      </c>
      <c r="D377" s="120"/>
      <c r="E377" s="117"/>
      <c r="F377" s="116" t="s">
        <v>1604</v>
      </c>
      <c r="G377" s="116">
        <v>3.040260382E9</v>
      </c>
      <c r="H377" s="117"/>
      <c r="I377" s="117"/>
      <c r="J377" s="117"/>
      <c r="K377" s="117"/>
      <c r="L377" s="117"/>
      <c r="M377" s="117"/>
      <c r="N377" s="118"/>
    </row>
    <row r="378">
      <c r="A378" s="115">
        <v>377.0</v>
      </c>
      <c r="B378" s="116" t="s">
        <v>2838</v>
      </c>
      <c r="C378" s="116" t="s">
        <v>2839</v>
      </c>
      <c r="D378" s="117"/>
      <c r="E378" s="120"/>
      <c r="F378" s="116">
        <v>791.0</v>
      </c>
      <c r="G378" s="116">
        <v>3.040260481E9</v>
      </c>
      <c r="H378" s="120"/>
      <c r="I378" s="120"/>
      <c r="J378" s="117"/>
      <c r="K378" s="117"/>
      <c r="L378" s="117"/>
      <c r="M378" s="117"/>
      <c r="N378" s="118"/>
    </row>
    <row r="379">
      <c r="A379" s="115">
        <v>378.0</v>
      </c>
      <c r="B379" s="119" t="s">
        <v>1361</v>
      </c>
      <c r="C379" s="119" t="s">
        <v>2858</v>
      </c>
      <c r="D379" s="120"/>
      <c r="E379" s="117"/>
      <c r="F379" s="116">
        <v>1270.0</v>
      </c>
      <c r="G379" s="116">
        <v>3.040260595E9</v>
      </c>
      <c r="H379" s="117"/>
      <c r="I379" s="117"/>
      <c r="J379" s="117"/>
      <c r="K379" s="117"/>
      <c r="L379" s="117"/>
      <c r="M379" s="117"/>
      <c r="N379" s="118"/>
    </row>
    <row r="380">
      <c r="A380" s="115">
        <v>379.0</v>
      </c>
      <c r="B380" s="116" t="s">
        <v>1361</v>
      </c>
      <c r="C380" s="116" t="s">
        <v>2858</v>
      </c>
      <c r="D380" s="117"/>
      <c r="E380" s="120"/>
      <c r="F380" s="116">
        <v>2165.0</v>
      </c>
      <c r="G380" s="116">
        <v>3.040260597E9</v>
      </c>
      <c r="H380" s="120"/>
      <c r="I380" s="120"/>
      <c r="J380" s="121">
        <v>46114.0</v>
      </c>
      <c r="K380" s="117"/>
      <c r="L380" s="116" t="s">
        <v>2859</v>
      </c>
      <c r="M380" s="116" t="s">
        <v>16</v>
      </c>
      <c r="N380" s="118"/>
    </row>
    <row r="381">
      <c r="A381" s="115">
        <v>380.0</v>
      </c>
      <c r="B381" s="119" t="s">
        <v>2010</v>
      </c>
      <c r="C381" s="119" t="s">
        <v>2729</v>
      </c>
      <c r="D381" s="120"/>
      <c r="E381" s="117"/>
      <c r="F381" s="116" t="s">
        <v>2017</v>
      </c>
      <c r="G381" s="116">
        <v>3.040260552E9</v>
      </c>
      <c r="H381" s="117"/>
      <c r="I381" s="117"/>
      <c r="J381" s="121">
        <v>46191.0</v>
      </c>
      <c r="K381" s="117"/>
      <c r="L381" s="116" t="s">
        <v>2728</v>
      </c>
      <c r="M381" s="116" t="s">
        <v>12</v>
      </c>
      <c r="N381" s="118"/>
    </row>
    <row r="382">
      <c r="A382" s="115">
        <v>381.0</v>
      </c>
      <c r="B382" s="116" t="s">
        <v>1436</v>
      </c>
      <c r="C382" s="116" t="s">
        <v>2860</v>
      </c>
      <c r="D382" s="117"/>
      <c r="E382" s="120"/>
      <c r="F382" s="116">
        <v>48.0</v>
      </c>
      <c r="G382" s="116">
        <v>3.040260549E9</v>
      </c>
      <c r="H382" s="120"/>
      <c r="I382" s="120"/>
      <c r="J382" s="121">
        <v>46230.0</v>
      </c>
      <c r="K382" s="117"/>
      <c r="L382" s="116" t="s">
        <v>2662</v>
      </c>
      <c r="M382" s="116" t="s">
        <v>12</v>
      </c>
      <c r="N382" s="118"/>
    </row>
    <row r="383">
      <c r="A383" s="115">
        <v>382.0</v>
      </c>
      <c r="B383" s="119" t="s">
        <v>1436</v>
      </c>
      <c r="C383" s="119" t="s">
        <v>2860</v>
      </c>
      <c r="D383" s="120"/>
      <c r="E383" s="117"/>
      <c r="F383" s="116" t="s">
        <v>2215</v>
      </c>
      <c r="G383" s="116">
        <v>3.04026055E9</v>
      </c>
      <c r="H383" s="117"/>
      <c r="I383" s="117"/>
      <c r="J383" s="121">
        <v>46230.0</v>
      </c>
      <c r="K383" s="117"/>
      <c r="L383" s="116" t="s">
        <v>2662</v>
      </c>
      <c r="M383" s="116" t="s">
        <v>12</v>
      </c>
      <c r="N383" s="118"/>
    </row>
    <row r="384">
      <c r="A384" s="115">
        <v>383.0</v>
      </c>
      <c r="B384" s="116" t="s">
        <v>61</v>
      </c>
      <c r="C384" s="116" t="s">
        <v>2861</v>
      </c>
      <c r="D384" s="117"/>
      <c r="E384" s="120"/>
      <c r="F384" s="116" t="s">
        <v>2216</v>
      </c>
      <c r="G384" s="116">
        <v>3.040260551E9</v>
      </c>
      <c r="H384" s="120"/>
      <c r="I384" s="120"/>
      <c r="J384" s="121">
        <v>46230.0</v>
      </c>
      <c r="K384" s="117"/>
      <c r="L384" s="116" t="s">
        <v>2662</v>
      </c>
      <c r="M384" s="116" t="s">
        <v>12</v>
      </c>
      <c r="N384" s="118"/>
    </row>
    <row r="385">
      <c r="A385" s="115">
        <v>384.0</v>
      </c>
      <c r="B385" s="119" t="s">
        <v>1394</v>
      </c>
      <c r="C385" s="119" t="s">
        <v>2862</v>
      </c>
      <c r="D385" s="120"/>
      <c r="E385" s="117"/>
      <c r="F385" s="116">
        <v>795.0</v>
      </c>
      <c r="G385" s="116">
        <v>3.040260544E9</v>
      </c>
      <c r="H385" s="117"/>
      <c r="I385" s="117"/>
      <c r="J385" s="121">
        <v>46230.0</v>
      </c>
      <c r="K385" s="117"/>
      <c r="L385" s="116" t="s">
        <v>2662</v>
      </c>
      <c r="M385" s="116" t="s">
        <v>12</v>
      </c>
      <c r="N385" s="118"/>
    </row>
    <row r="386">
      <c r="A386" s="115">
        <v>385.0</v>
      </c>
      <c r="B386" s="116" t="s">
        <v>1394</v>
      </c>
      <c r="C386" s="116" t="s">
        <v>2862</v>
      </c>
      <c r="D386" s="117"/>
      <c r="E386" s="120"/>
      <c r="F386" s="116" t="s">
        <v>2214</v>
      </c>
      <c r="G386" s="116">
        <v>3.040260545E9</v>
      </c>
      <c r="H386" s="120"/>
      <c r="I386" s="120"/>
      <c r="J386" s="121">
        <v>46230.0</v>
      </c>
      <c r="K386" s="117"/>
      <c r="L386" s="116" t="s">
        <v>2662</v>
      </c>
      <c r="M386" s="116" t="s">
        <v>12</v>
      </c>
      <c r="N386" s="118"/>
    </row>
    <row r="387">
      <c r="A387" s="115">
        <v>386.0</v>
      </c>
      <c r="B387" s="119" t="s">
        <v>1394</v>
      </c>
      <c r="C387" s="119" t="s">
        <v>2862</v>
      </c>
      <c r="D387" s="120"/>
      <c r="E387" s="117"/>
      <c r="F387" s="116">
        <v>784.0</v>
      </c>
      <c r="G387" s="116">
        <v>3.040260548E9</v>
      </c>
      <c r="H387" s="117"/>
      <c r="I387" s="117"/>
      <c r="J387" s="121">
        <v>46230.0</v>
      </c>
      <c r="K387" s="117"/>
      <c r="L387" s="116" t="s">
        <v>2662</v>
      </c>
      <c r="M387" s="116" t="s">
        <v>12</v>
      </c>
      <c r="N387" s="118"/>
    </row>
    <row r="388">
      <c r="A388" s="115">
        <v>387.0</v>
      </c>
      <c r="B388" s="116" t="s">
        <v>63</v>
      </c>
      <c r="C388" s="116" t="s">
        <v>2862</v>
      </c>
      <c r="D388" s="117"/>
      <c r="E388" s="120"/>
      <c r="F388" s="116">
        <v>482.0</v>
      </c>
      <c r="G388" s="116">
        <v>3.040260546E9</v>
      </c>
      <c r="H388" s="120"/>
      <c r="I388" s="120"/>
      <c r="J388" s="121">
        <v>46230.0</v>
      </c>
      <c r="K388" s="117"/>
      <c r="L388" s="116" t="s">
        <v>2662</v>
      </c>
      <c r="M388" s="116" t="s">
        <v>12</v>
      </c>
      <c r="N388" s="118"/>
    </row>
    <row r="389">
      <c r="A389" s="115">
        <v>388.0</v>
      </c>
      <c r="B389" s="119" t="s">
        <v>63</v>
      </c>
      <c r="C389" s="119" t="s">
        <v>2862</v>
      </c>
      <c r="D389" s="120"/>
      <c r="E389" s="117"/>
      <c r="F389" s="116">
        <v>822.0</v>
      </c>
      <c r="G389" s="116">
        <v>3.040260547E9</v>
      </c>
      <c r="H389" s="117"/>
      <c r="I389" s="117"/>
      <c r="J389" s="117"/>
      <c r="K389" s="117"/>
      <c r="L389" s="117"/>
      <c r="M389" s="117"/>
      <c r="N389" s="118"/>
    </row>
    <row r="390">
      <c r="A390" s="115">
        <v>389.0</v>
      </c>
      <c r="B390" s="116" t="s">
        <v>1580</v>
      </c>
      <c r="C390" s="116" t="s">
        <v>146</v>
      </c>
      <c r="D390" s="117"/>
      <c r="E390" s="120"/>
      <c r="F390" s="116">
        <v>1187.0</v>
      </c>
      <c r="G390" s="116">
        <v>3.040259695E9</v>
      </c>
      <c r="H390" s="120"/>
      <c r="I390" s="120"/>
      <c r="J390" s="122">
        <v>45996.0</v>
      </c>
      <c r="K390" s="117"/>
      <c r="L390" s="124" t="s">
        <v>2863</v>
      </c>
      <c r="M390" s="117"/>
      <c r="N390" s="118"/>
    </row>
    <row r="391">
      <c r="A391" s="115">
        <v>390.0</v>
      </c>
      <c r="B391" s="119" t="s">
        <v>2864</v>
      </c>
      <c r="C391" s="119" t="s">
        <v>2865</v>
      </c>
      <c r="D391" s="120"/>
      <c r="E391" s="117"/>
      <c r="F391" s="116" t="s">
        <v>2866</v>
      </c>
      <c r="G391" s="116">
        <v>3.040260661E9</v>
      </c>
      <c r="H391" s="117"/>
      <c r="I391" s="117"/>
      <c r="J391" s="117"/>
      <c r="K391" s="117"/>
      <c r="L391" s="117"/>
      <c r="M391" s="117"/>
      <c r="N391" s="118"/>
    </row>
    <row r="392">
      <c r="A392" s="115">
        <v>391.0</v>
      </c>
      <c r="B392" s="116" t="s">
        <v>2864</v>
      </c>
      <c r="C392" s="116" t="s">
        <v>2865</v>
      </c>
      <c r="D392" s="117"/>
      <c r="E392" s="120"/>
      <c r="F392" s="116">
        <v>1168.0</v>
      </c>
      <c r="G392" s="116">
        <v>3.040260662E9</v>
      </c>
      <c r="H392" s="120"/>
      <c r="I392" s="120"/>
      <c r="J392" s="117"/>
      <c r="K392" s="117"/>
      <c r="L392" s="117"/>
      <c r="M392" s="117"/>
      <c r="N392" s="118"/>
    </row>
    <row r="393">
      <c r="A393" s="115">
        <v>392.0</v>
      </c>
      <c r="B393" s="119" t="s">
        <v>2864</v>
      </c>
      <c r="C393" s="119" t="s">
        <v>2865</v>
      </c>
      <c r="D393" s="120"/>
      <c r="E393" s="117"/>
      <c r="F393" s="116" t="s">
        <v>2867</v>
      </c>
      <c r="G393" s="116">
        <v>3.040260663E9</v>
      </c>
      <c r="H393" s="117"/>
      <c r="I393" s="117"/>
      <c r="J393" s="117"/>
      <c r="K393" s="117"/>
      <c r="L393" s="117"/>
      <c r="M393" s="117"/>
      <c r="N393" s="118"/>
    </row>
    <row r="394">
      <c r="A394" s="115">
        <v>393.0</v>
      </c>
      <c r="B394" s="116" t="s">
        <v>2864</v>
      </c>
      <c r="C394" s="116" t="s">
        <v>2865</v>
      </c>
      <c r="D394" s="117"/>
      <c r="E394" s="120"/>
      <c r="F394" s="116" t="s">
        <v>2868</v>
      </c>
      <c r="G394" s="116">
        <v>3.040260664E9</v>
      </c>
      <c r="H394" s="120"/>
      <c r="I394" s="120"/>
      <c r="J394" s="117"/>
      <c r="K394" s="117"/>
      <c r="L394" s="117"/>
      <c r="M394" s="117"/>
      <c r="N394" s="118"/>
    </row>
    <row r="395">
      <c r="A395" s="115">
        <v>394.0</v>
      </c>
      <c r="B395" s="119" t="s">
        <v>2869</v>
      </c>
      <c r="C395" s="119" t="s">
        <v>2870</v>
      </c>
      <c r="D395" s="120"/>
      <c r="E395" s="117"/>
      <c r="F395" s="116">
        <v>67722.0</v>
      </c>
      <c r="G395" s="116">
        <v>3.040260666E9</v>
      </c>
      <c r="H395" s="117"/>
      <c r="I395" s="117"/>
      <c r="J395" s="117"/>
      <c r="K395" s="117"/>
      <c r="L395" s="117"/>
      <c r="M395" s="117"/>
      <c r="N395" s="118"/>
    </row>
    <row r="396">
      <c r="A396" s="115">
        <v>395.0</v>
      </c>
      <c r="B396" s="116" t="s">
        <v>2869</v>
      </c>
      <c r="C396" s="116" t="s">
        <v>2870</v>
      </c>
      <c r="D396" s="117"/>
      <c r="E396" s="120"/>
      <c r="F396" s="116">
        <v>649069.0</v>
      </c>
      <c r="G396" s="116">
        <v>3.040260667E9</v>
      </c>
      <c r="H396" s="120"/>
      <c r="I396" s="120"/>
      <c r="J396" s="117"/>
      <c r="K396" s="117"/>
      <c r="L396" s="117"/>
      <c r="M396" s="117"/>
      <c r="N396" s="118"/>
    </row>
    <row r="397">
      <c r="A397" s="115">
        <v>396.0</v>
      </c>
      <c r="B397" s="119" t="s">
        <v>1624</v>
      </c>
      <c r="C397" s="119" t="s">
        <v>2871</v>
      </c>
      <c r="D397" s="120"/>
      <c r="E397" s="117"/>
      <c r="F397" s="116" t="s">
        <v>1626</v>
      </c>
      <c r="G397" s="116">
        <v>3.04026075E9</v>
      </c>
      <c r="H397" s="117"/>
      <c r="I397" s="117"/>
      <c r="J397" s="122">
        <v>46052.0</v>
      </c>
      <c r="K397" s="117"/>
      <c r="L397" s="124" t="s">
        <v>2532</v>
      </c>
      <c r="M397" s="116" t="s">
        <v>17</v>
      </c>
      <c r="N397" s="118"/>
    </row>
    <row r="398">
      <c r="A398" s="115">
        <v>397.0</v>
      </c>
      <c r="B398" s="116" t="s">
        <v>1624</v>
      </c>
      <c r="C398" s="116" t="s">
        <v>2871</v>
      </c>
      <c r="D398" s="117"/>
      <c r="E398" s="120"/>
      <c r="F398" s="116" t="s">
        <v>1875</v>
      </c>
      <c r="G398" s="116">
        <v>3.040260751E9</v>
      </c>
      <c r="H398" s="120"/>
      <c r="I398" s="120"/>
      <c r="J398" s="122">
        <v>46057.0</v>
      </c>
      <c r="K398" s="117"/>
      <c r="L398" s="124" t="s">
        <v>2872</v>
      </c>
      <c r="M398" s="116" t="s">
        <v>14</v>
      </c>
      <c r="N398" s="118"/>
    </row>
    <row r="399">
      <c r="A399" s="115">
        <v>398.0</v>
      </c>
      <c r="B399" s="119" t="s">
        <v>143</v>
      </c>
      <c r="C399" s="119" t="s">
        <v>2739</v>
      </c>
      <c r="D399" s="120"/>
      <c r="E399" s="117"/>
      <c r="F399" s="116" t="s">
        <v>2748</v>
      </c>
      <c r="G399" s="117"/>
      <c r="H399" s="117"/>
      <c r="I399" s="117"/>
      <c r="J399" s="122">
        <v>46044.0</v>
      </c>
      <c r="K399" s="117"/>
      <c r="L399" s="124" t="s">
        <v>2873</v>
      </c>
      <c r="M399" s="116" t="s">
        <v>14</v>
      </c>
      <c r="N399" s="118"/>
    </row>
    <row r="400">
      <c r="A400" s="115">
        <v>399.0</v>
      </c>
      <c r="B400" s="116" t="s">
        <v>143</v>
      </c>
      <c r="C400" s="116" t="s">
        <v>2871</v>
      </c>
      <c r="D400" s="117"/>
      <c r="E400" s="120"/>
      <c r="F400" s="116" t="s">
        <v>2223</v>
      </c>
      <c r="G400" s="116">
        <v>3.040260752E9</v>
      </c>
      <c r="H400" s="120"/>
      <c r="I400" s="120"/>
      <c r="J400" s="122">
        <v>46112.0</v>
      </c>
      <c r="K400" s="117"/>
      <c r="L400" s="124" t="s">
        <v>2874</v>
      </c>
      <c r="M400" s="116" t="s">
        <v>14</v>
      </c>
      <c r="N400" s="118"/>
    </row>
    <row r="401">
      <c r="A401" s="115">
        <v>400.0</v>
      </c>
      <c r="B401" s="119" t="s">
        <v>1544</v>
      </c>
      <c r="C401" s="119" t="s">
        <v>2871</v>
      </c>
      <c r="D401" s="120"/>
      <c r="E401" s="117"/>
      <c r="F401" s="116" t="s">
        <v>2224</v>
      </c>
      <c r="G401" s="116">
        <v>3.040260753E9</v>
      </c>
      <c r="H401" s="117"/>
      <c r="I401" s="117"/>
      <c r="J401" s="117"/>
      <c r="K401" s="117"/>
      <c r="L401" s="117"/>
      <c r="M401" s="117"/>
      <c r="N401" s="118"/>
    </row>
    <row r="402">
      <c r="A402" s="115">
        <v>402.0</v>
      </c>
      <c r="B402" s="116" t="s">
        <v>1631</v>
      </c>
      <c r="C402" s="116" t="s">
        <v>214</v>
      </c>
      <c r="D402" s="117"/>
      <c r="E402" s="117"/>
      <c r="F402" s="116">
        <v>24277.0</v>
      </c>
      <c r="G402" s="116">
        <v>3.040260913E9</v>
      </c>
      <c r="H402" s="117"/>
      <c r="I402" s="117"/>
      <c r="J402" s="122">
        <v>46063.0</v>
      </c>
      <c r="K402" s="117"/>
      <c r="L402" s="124" t="s">
        <v>2875</v>
      </c>
      <c r="M402" s="117"/>
      <c r="N402" s="118"/>
    </row>
    <row r="403">
      <c r="A403" s="115">
        <v>403.0</v>
      </c>
      <c r="B403" s="119" t="s">
        <v>1631</v>
      </c>
      <c r="C403" s="119" t="s">
        <v>214</v>
      </c>
      <c r="D403" s="120"/>
      <c r="E403" s="120"/>
      <c r="F403" s="116">
        <v>9816.0</v>
      </c>
      <c r="G403" s="116">
        <v>3.040260914E9</v>
      </c>
      <c r="H403" s="120"/>
      <c r="I403" s="120"/>
      <c r="J403" s="122">
        <v>46048.0</v>
      </c>
      <c r="K403" s="117"/>
      <c r="L403" s="124" t="s">
        <v>2876</v>
      </c>
      <c r="M403" s="117"/>
      <c r="N403" s="118"/>
    </row>
    <row r="404">
      <c r="A404" s="115">
        <v>404.0</v>
      </c>
      <c r="B404" s="116" t="s">
        <v>1631</v>
      </c>
      <c r="C404" s="116" t="s">
        <v>214</v>
      </c>
      <c r="D404" s="117"/>
      <c r="E404" s="117"/>
      <c r="F404" s="116">
        <v>22102.0</v>
      </c>
      <c r="G404" s="116">
        <v>3.040260915E9</v>
      </c>
      <c r="H404" s="117"/>
      <c r="I404" s="117"/>
      <c r="J404" s="122">
        <v>46063.0</v>
      </c>
      <c r="K404" s="117"/>
      <c r="L404" s="117"/>
      <c r="M404" s="117"/>
      <c r="N404" s="118"/>
    </row>
    <row r="405">
      <c r="A405" s="115">
        <v>405.0</v>
      </c>
      <c r="B405" s="119">
        <v>3034792.0</v>
      </c>
      <c r="C405" s="119" t="s">
        <v>2877</v>
      </c>
      <c r="D405" s="120"/>
      <c r="E405" s="120"/>
      <c r="F405" s="116">
        <v>2798.0</v>
      </c>
      <c r="G405" s="116">
        <v>3.040260811E9</v>
      </c>
      <c r="H405" s="120"/>
      <c r="I405" s="120"/>
      <c r="J405" s="117"/>
      <c r="K405" s="117"/>
      <c r="L405" s="117"/>
      <c r="M405" s="117"/>
      <c r="N405" s="118"/>
    </row>
    <row r="406">
      <c r="A406" s="115">
        <v>406.0</v>
      </c>
      <c r="B406" s="116">
        <v>3034792.0</v>
      </c>
      <c r="C406" s="116" t="s">
        <v>2877</v>
      </c>
      <c r="D406" s="117"/>
      <c r="E406" s="117"/>
      <c r="F406" s="116">
        <v>4106.0</v>
      </c>
      <c r="G406" s="116">
        <v>3.040260812E9</v>
      </c>
      <c r="H406" s="117"/>
      <c r="I406" s="117"/>
      <c r="J406" s="121">
        <v>46119.0</v>
      </c>
      <c r="K406" s="117"/>
      <c r="L406" s="116" t="s">
        <v>2612</v>
      </c>
      <c r="M406" s="116" t="s">
        <v>12</v>
      </c>
      <c r="N406" s="118"/>
    </row>
    <row r="407">
      <c r="A407" s="115">
        <v>407.0</v>
      </c>
      <c r="B407" s="119" t="s">
        <v>1398</v>
      </c>
      <c r="C407" s="119" t="s">
        <v>2878</v>
      </c>
      <c r="D407" s="120"/>
      <c r="E407" s="120"/>
      <c r="F407" s="116" t="s">
        <v>1636</v>
      </c>
      <c r="G407" s="116">
        <v>3.040260923E9</v>
      </c>
      <c r="H407" s="120"/>
      <c r="I407" s="120"/>
      <c r="J407" s="117"/>
      <c r="K407" s="117"/>
      <c r="L407" s="117"/>
      <c r="M407" s="117"/>
      <c r="N407" s="118"/>
    </row>
    <row r="408">
      <c r="A408" s="115">
        <v>408.0</v>
      </c>
      <c r="B408" s="116" t="s">
        <v>61</v>
      </c>
      <c r="C408" s="116" t="s">
        <v>2861</v>
      </c>
      <c r="D408" s="117"/>
      <c r="E408" s="117"/>
      <c r="F408" s="116">
        <v>968.0</v>
      </c>
      <c r="G408" s="116">
        <v>3.040260922E9</v>
      </c>
      <c r="H408" s="117"/>
      <c r="I408" s="117"/>
      <c r="J408" s="122">
        <v>46119.0</v>
      </c>
      <c r="K408" s="117"/>
      <c r="L408" s="116" t="s">
        <v>2608</v>
      </c>
      <c r="M408" s="124" t="s">
        <v>12</v>
      </c>
      <c r="N408" s="118"/>
    </row>
    <row r="409">
      <c r="A409" s="115">
        <v>409.0</v>
      </c>
      <c r="B409" s="119" t="s">
        <v>83</v>
      </c>
      <c r="C409" s="119" t="s">
        <v>2879</v>
      </c>
      <c r="D409" s="120"/>
      <c r="E409" s="120"/>
      <c r="F409" s="116">
        <v>42966.0</v>
      </c>
      <c r="G409" s="116">
        <v>3.040261329E9</v>
      </c>
      <c r="H409" s="120"/>
      <c r="I409" s="120"/>
      <c r="J409" s="122">
        <v>46113.0</v>
      </c>
      <c r="K409" s="117"/>
      <c r="L409" s="124" t="s">
        <v>2880</v>
      </c>
      <c r="M409" s="116" t="s">
        <v>14</v>
      </c>
      <c r="N409" s="118"/>
    </row>
    <row r="410">
      <c r="A410" s="115">
        <v>410.0</v>
      </c>
      <c r="B410" s="116" t="s">
        <v>83</v>
      </c>
      <c r="C410" s="116" t="s">
        <v>2879</v>
      </c>
      <c r="D410" s="117"/>
      <c r="E410" s="117"/>
      <c r="F410" s="116">
        <v>48741.0</v>
      </c>
      <c r="G410" s="116">
        <v>3.040261331E9</v>
      </c>
      <c r="H410" s="117"/>
      <c r="I410" s="117"/>
      <c r="J410" s="122">
        <v>46104.0</v>
      </c>
      <c r="K410" s="117"/>
      <c r="L410" s="124" t="s">
        <v>2881</v>
      </c>
      <c r="M410" s="116" t="s">
        <v>12</v>
      </c>
      <c r="N410" s="118"/>
    </row>
    <row r="411">
      <c r="A411" s="115">
        <v>411.0</v>
      </c>
      <c r="B411" s="119" t="s">
        <v>2237</v>
      </c>
      <c r="C411" s="119" t="s">
        <v>2802</v>
      </c>
      <c r="D411" s="120"/>
      <c r="E411" s="120"/>
      <c r="F411" s="116" t="s">
        <v>2238</v>
      </c>
      <c r="G411" s="116">
        <v>3.040261373E9</v>
      </c>
      <c r="H411" s="120"/>
      <c r="I411" s="120"/>
      <c r="J411" s="122">
        <v>46135.0</v>
      </c>
      <c r="K411" s="117"/>
      <c r="L411" s="117"/>
      <c r="M411" s="117"/>
      <c r="N411" s="118"/>
    </row>
    <row r="412">
      <c r="A412" s="115">
        <v>412.0</v>
      </c>
      <c r="B412" s="116" t="s">
        <v>1658</v>
      </c>
      <c r="C412" s="116" t="s">
        <v>2882</v>
      </c>
      <c r="D412" s="117"/>
      <c r="E412" s="117"/>
      <c r="F412" s="116" t="s">
        <v>1659</v>
      </c>
      <c r="G412" s="116">
        <v>3.040261347E9</v>
      </c>
      <c r="H412" s="117"/>
      <c r="I412" s="117"/>
      <c r="J412" s="117"/>
      <c r="K412" s="117"/>
      <c r="L412" s="117"/>
      <c r="M412" s="117"/>
      <c r="N412" s="118"/>
    </row>
    <row r="413">
      <c r="A413" s="115">
        <v>413.0</v>
      </c>
      <c r="B413" s="119" t="s">
        <v>1652</v>
      </c>
      <c r="C413" s="119" t="s">
        <v>2883</v>
      </c>
      <c r="D413" s="120"/>
      <c r="E413" s="120"/>
      <c r="F413" s="116">
        <v>22950.0</v>
      </c>
      <c r="G413" s="116">
        <v>3.040261342E9</v>
      </c>
      <c r="H413" s="120"/>
      <c r="I413" s="120"/>
      <c r="J413" s="121">
        <v>46230.0</v>
      </c>
      <c r="K413" s="117"/>
      <c r="L413" s="116" t="s">
        <v>2853</v>
      </c>
      <c r="M413" s="116" t="s">
        <v>12</v>
      </c>
      <c r="N413" s="118"/>
    </row>
    <row r="414">
      <c r="A414" s="115">
        <v>414.0</v>
      </c>
      <c r="B414" s="116" t="s">
        <v>135</v>
      </c>
      <c r="C414" s="116" t="s">
        <v>2884</v>
      </c>
      <c r="D414" s="117"/>
      <c r="E414" s="117"/>
      <c r="F414" s="116">
        <v>2.0624851E7</v>
      </c>
      <c r="G414" s="116">
        <v>3.040261324E9</v>
      </c>
      <c r="H414" s="117"/>
      <c r="I414" s="117"/>
      <c r="J414" s="122">
        <v>46086.0</v>
      </c>
      <c r="K414" s="117"/>
      <c r="L414" s="124" t="s">
        <v>2588</v>
      </c>
      <c r="M414" s="117"/>
      <c r="N414" s="118"/>
    </row>
    <row r="415">
      <c r="A415" s="115">
        <v>415.0</v>
      </c>
      <c r="B415" s="119" t="s">
        <v>135</v>
      </c>
      <c r="C415" s="119" t="s">
        <v>2884</v>
      </c>
      <c r="D415" s="120"/>
      <c r="E415" s="120"/>
      <c r="F415" s="116">
        <v>2.062531E7</v>
      </c>
      <c r="G415" s="116">
        <v>3.040261326E9</v>
      </c>
      <c r="H415" s="120"/>
      <c r="I415" s="120"/>
      <c r="J415" s="122">
        <v>46086.0</v>
      </c>
      <c r="K415" s="117"/>
      <c r="L415" s="124" t="s">
        <v>2588</v>
      </c>
      <c r="M415" s="117"/>
      <c r="N415" s="118"/>
    </row>
    <row r="416">
      <c r="A416" s="115">
        <v>416.0</v>
      </c>
      <c r="B416" s="116" t="s">
        <v>1646</v>
      </c>
      <c r="C416" s="116" t="s">
        <v>2885</v>
      </c>
      <c r="D416" s="117"/>
      <c r="E416" s="117"/>
      <c r="F416" s="116">
        <v>4.6710866E7</v>
      </c>
      <c r="G416" s="116">
        <v>3.040261322E9</v>
      </c>
      <c r="H416" s="117"/>
      <c r="I416" s="117"/>
      <c r="J416" s="122">
        <v>46086.0</v>
      </c>
      <c r="K416" s="117"/>
      <c r="L416" s="117"/>
      <c r="M416" s="117"/>
      <c r="N416" s="118"/>
    </row>
    <row r="417">
      <c r="A417" s="115">
        <v>417.0</v>
      </c>
      <c r="B417" s="119" t="s">
        <v>1642</v>
      </c>
      <c r="C417" s="119" t="s">
        <v>2886</v>
      </c>
      <c r="D417" s="120"/>
      <c r="E417" s="120"/>
      <c r="F417" s="116">
        <v>1656.0</v>
      </c>
      <c r="G417" s="116">
        <v>3.040261371E9</v>
      </c>
      <c r="H417" s="120"/>
      <c r="I417" s="120"/>
      <c r="J417" s="121">
        <v>46230.0</v>
      </c>
      <c r="K417" s="117"/>
      <c r="L417" s="116" t="s">
        <v>2853</v>
      </c>
      <c r="M417" s="116" t="s">
        <v>12</v>
      </c>
      <c r="N417" s="118"/>
    </row>
    <row r="418">
      <c r="A418" s="115">
        <v>418.0</v>
      </c>
      <c r="B418" s="116" t="s">
        <v>1638</v>
      </c>
      <c r="C418" s="116" t="s">
        <v>2802</v>
      </c>
      <c r="D418" s="117"/>
      <c r="E418" s="117"/>
      <c r="F418" s="116" t="s">
        <v>1640</v>
      </c>
      <c r="G418" s="116">
        <v>3.040261375E9</v>
      </c>
      <c r="H418" s="117"/>
      <c r="I418" s="117"/>
      <c r="J418" s="117"/>
      <c r="K418" s="117"/>
      <c r="L418" s="117"/>
      <c r="M418" s="117"/>
      <c r="N418" s="118"/>
    </row>
    <row r="419">
      <c r="A419" s="115">
        <v>419.0</v>
      </c>
      <c r="B419" s="119" t="s">
        <v>199</v>
      </c>
      <c r="C419" s="119" t="s">
        <v>2883</v>
      </c>
      <c r="D419" s="120"/>
      <c r="E419" s="120"/>
      <c r="F419" s="116">
        <v>11154.0</v>
      </c>
      <c r="G419" s="116">
        <v>3.040261377E9</v>
      </c>
      <c r="H419" s="120"/>
      <c r="I419" s="120"/>
      <c r="J419" s="117"/>
      <c r="K419" s="117"/>
      <c r="L419" s="117"/>
      <c r="M419" s="117"/>
      <c r="N419" s="118"/>
    </row>
    <row r="420">
      <c r="A420" s="115">
        <v>420.0</v>
      </c>
      <c r="B420" s="116" t="s">
        <v>1519</v>
      </c>
      <c r="C420" s="116" t="s">
        <v>214</v>
      </c>
      <c r="D420" s="117"/>
      <c r="E420" s="117"/>
      <c r="F420" s="116">
        <v>8306.0</v>
      </c>
      <c r="G420" s="116">
        <v>3.040261344E9</v>
      </c>
      <c r="H420" s="117"/>
      <c r="I420" s="117"/>
      <c r="J420" s="117"/>
      <c r="K420" s="117"/>
      <c r="L420" s="117"/>
      <c r="M420" s="117"/>
      <c r="N420" s="118"/>
    </row>
    <row r="421">
      <c r="A421" s="115">
        <v>421.0</v>
      </c>
      <c r="B421" s="119" t="s">
        <v>2249</v>
      </c>
      <c r="C421" s="119" t="s">
        <v>214</v>
      </c>
      <c r="D421" s="120"/>
      <c r="E421" s="120"/>
      <c r="F421" s="116">
        <v>7310.0</v>
      </c>
      <c r="G421" s="116">
        <v>3.04026134E9</v>
      </c>
      <c r="H421" s="120"/>
      <c r="I421" s="120"/>
      <c r="J421" s="121">
        <v>46176.0</v>
      </c>
      <c r="K421" s="117"/>
      <c r="L421" s="117"/>
      <c r="M421" s="117"/>
      <c r="N421" s="118"/>
    </row>
    <row r="422">
      <c r="A422" s="115">
        <v>422.0</v>
      </c>
      <c r="B422" s="116" t="s">
        <v>1931</v>
      </c>
      <c r="C422" s="116" t="s">
        <v>214</v>
      </c>
      <c r="D422" s="117"/>
      <c r="E422" s="117"/>
      <c r="F422" s="116">
        <v>12023.0</v>
      </c>
      <c r="G422" s="116">
        <v>3.040261336E9</v>
      </c>
      <c r="H422" s="117"/>
      <c r="I422" s="117"/>
      <c r="J422" s="121">
        <v>46147.0</v>
      </c>
      <c r="K422" s="117"/>
      <c r="L422" s="117"/>
      <c r="M422" s="117"/>
      <c r="N422" s="118"/>
    </row>
    <row r="423">
      <c r="A423" s="115">
        <v>423.0</v>
      </c>
      <c r="B423" s="119" t="s">
        <v>1631</v>
      </c>
      <c r="C423" s="119" t="s">
        <v>214</v>
      </c>
      <c r="D423" s="120"/>
      <c r="E423" s="120"/>
      <c r="F423" s="116">
        <v>2926.0</v>
      </c>
      <c r="G423" s="116">
        <v>3.040261327E9</v>
      </c>
      <c r="H423" s="120"/>
      <c r="I423" s="120"/>
      <c r="J423" s="122">
        <v>46135.0</v>
      </c>
      <c r="K423" s="117"/>
      <c r="L423" s="117"/>
      <c r="M423" s="117"/>
      <c r="N423" s="118"/>
    </row>
    <row r="424">
      <c r="A424" s="115">
        <v>424.0</v>
      </c>
      <c r="B424" s="116" t="s">
        <v>119</v>
      </c>
      <c r="C424" s="116" t="s">
        <v>120</v>
      </c>
      <c r="D424" s="117"/>
      <c r="E424" s="117"/>
      <c r="F424" s="116">
        <v>21940.0</v>
      </c>
      <c r="G424" s="116">
        <v>3.040261334E9</v>
      </c>
      <c r="H424" s="117"/>
      <c r="I424" s="117"/>
      <c r="J424" s="117"/>
      <c r="K424" s="117"/>
      <c r="L424" s="117"/>
      <c r="M424" s="117"/>
      <c r="N424" s="118"/>
    </row>
    <row r="425">
      <c r="A425" s="115">
        <v>425.0</v>
      </c>
      <c r="B425" s="119" t="s">
        <v>119</v>
      </c>
      <c r="C425" s="119" t="s">
        <v>120</v>
      </c>
      <c r="D425" s="119" t="s">
        <v>2887</v>
      </c>
      <c r="E425" s="131">
        <v>2719.0</v>
      </c>
      <c r="F425" s="116" t="s">
        <v>1651</v>
      </c>
      <c r="G425" s="116">
        <v>3.040261335E9</v>
      </c>
      <c r="H425" s="120"/>
      <c r="I425" s="120"/>
      <c r="J425" s="121">
        <v>46227.0</v>
      </c>
      <c r="K425" s="117"/>
      <c r="L425" s="116" t="s">
        <v>2541</v>
      </c>
      <c r="M425" s="117"/>
      <c r="N425" s="118"/>
    </row>
    <row r="426">
      <c r="A426" s="115">
        <v>426.0</v>
      </c>
      <c r="B426" s="116" t="s">
        <v>2255</v>
      </c>
      <c r="C426" s="116" t="s">
        <v>2888</v>
      </c>
      <c r="D426" s="117"/>
      <c r="E426" s="117"/>
      <c r="F426" s="116">
        <v>919.0</v>
      </c>
      <c r="G426" s="116">
        <v>3.040261356E9</v>
      </c>
      <c r="H426" s="117"/>
      <c r="I426" s="117"/>
      <c r="J426" s="121">
        <v>46230.0</v>
      </c>
      <c r="K426" s="117"/>
      <c r="L426" s="116" t="s">
        <v>2472</v>
      </c>
      <c r="M426" s="116" t="s">
        <v>12</v>
      </c>
      <c r="N426" s="118"/>
    </row>
    <row r="427">
      <c r="A427" s="115">
        <v>427.0</v>
      </c>
      <c r="B427" s="119">
        <v>3034792.0</v>
      </c>
      <c r="C427" s="119" t="s">
        <v>2877</v>
      </c>
      <c r="D427" s="120"/>
      <c r="E427" s="120"/>
      <c r="F427" s="116">
        <v>4207.0</v>
      </c>
      <c r="G427" s="116">
        <v>3.040261387E9</v>
      </c>
      <c r="H427" s="120"/>
      <c r="I427" s="120"/>
      <c r="J427" s="122">
        <v>46083.0</v>
      </c>
      <c r="K427" s="117"/>
      <c r="L427" s="124" t="s">
        <v>2889</v>
      </c>
      <c r="M427" s="116" t="s">
        <v>14</v>
      </c>
      <c r="N427" s="118"/>
    </row>
    <row r="428">
      <c r="A428" s="115">
        <v>428.0</v>
      </c>
      <c r="B428" s="116">
        <v>3034792.0</v>
      </c>
      <c r="C428" s="116" t="s">
        <v>2877</v>
      </c>
      <c r="D428" s="117"/>
      <c r="E428" s="117"/>
      <c r="F428" s="116">
        <v>3665.0</v>
      </c>
      <c r="G428" s="116">
        <v>3.040261388E9</v>
      </c>
      <c r="H428" s="117"/>
      <c r="I428" s="117"/>
      <c r="J428" s="122">
        <v>46083.0</v>
      </c>
      <c r="K428" s="117"/>
      <c r="L428" s="124" t="s">
        <v>2890</v>
      </c>
      <c r="M428" s="117"/>
      <c r="N428" s="118"/>
    </row>
    <row r="429">
      <c r="A429" s="115">
        <v>429.0</v>
      </c>
      <c r="B429" s="119">
        <v>3034792.0</v>
      </c>
      <c r="C429" s="119" t="s">
        <v>2877</v>
      </c>
      <c r="D429" s="120"/>
      <c r="E429" s="117"/>
      <c r="F429" s="116">
        <v>4201.0</v>
      </c>
      <c r="G429" s="116">
        <v>3.040261389E9</v>
      </c>
      <c r="H429" s="117"/>
      <c r="I429" s="117"/>
      <c r="J429" s="122">
        <v>46083.0</v>
      </c>
      <c r="K429" s="117"/>
      <c r="L429" s="124" t="s">
        <v>2891</v>
      </c>
      <c r="M429" s="116" t="s">
        <v>24</v>
      </c>
      <c r="N429" s="118"/>
    </row>
    <row r="430">
      <c r="A430" s="115">
        <v>430.0</v>
      </c>
      <c r="B430" s="116" t="s">
        <v>101</v>
      </c>
      <c r="C430" s="116" t="s">
        <v>2892</v>
      </c>
      <c r="D430" s="117"/>
      <c r="E430" s="117"/>
      <c r="F430" s="116" t="s">
        <v>2253</v>
      </c>
      <c r="G430" s="116">
        <v>3.040261357E9</v>
      </c>
      <c r="H430" s="117"/>
      <c r="I430" s="117"/>
      <c r="J430" s="122">
        <v>46127.0</v>
      </c>
      <c r="K430" s="117"/>
      <c r="L430" s="124" t="s">
        <v>2893</v>
      </c>
      <c r="M430" s="116" t="s">
        <v>16</v>
      </c>
      <c r="N430" s="118"/>
    </row>
    <row r="431">
      <c r="A431" s="115">
        <v>431.0</v>
      </c>
      <c r="B431" s="119" t="s">
        <v>1670</v>
      </c>
      <c r="C431" s="119" t="s">
        <v>2894</v>
      </c>
      <c r="D431" s="120"/>
      <c r="E431" s="117"/>
      <c r="F431" s="116" t="s">
        <v>2258</v>
      </c>
      <c r="G431" s="116">
        <v>3.040261354E9</v>
      </c>
      <c r="H431" s="117"/>
      <c r="I431" s="117"/>
      <c r="J431" s="122">
        <v>46100.0</v>
      </c>
      <c r="K431" s="117"/>
      <c r="L431" s="124" t="s">
        <v>2895</v>
      </c>
      <c r="M431" s="116" t="s">
        <v>12</v>
      </c>
      <c r="N431" s="118"/>
    </row>
    <row r="432">
      <c r="A432" s="115">
        <v>432.0</v>
      </c>
      <c r="B432" s="116" t="s">
        <v>1670</v>
      </c>
      <c r="C432" s="116" t="s">
        <v>2894</v>
      </c>
      <c r="D432" s="117"/>
      <c r="E432" s="117"/>
      <c r="F432" s="116" t="s">
        <v>1672</v>
      </c>
      <c r="G432" s="116">
        <v>3.040261355E9</v>
      </c>
      <c r="H432" s="117"/>
      <c r="I432" s="117"/>
      <c r="J432" s="117"/>
      <c r="K432" s="117"/>
      <c r="L432" s="117"/>
      <c r="M432" s="117"/>
      <c r="N432" s="118"/>
    </row>
    <row r="433">
      <c r="A433" s="115">
        <v>433.0</v>
      </c>
      <c r="B433" s="119" t="s">
        <v>1818</v>
      </c>
      <c r="C433" s="119" t="s">
        <v>2896</v>
      </c>
      <c r="D433" s="120"/>
      <c r="E433" s="117"/>
      <c r="F433" s="116" t="s">
        <v>2252</v>
      </c>
      <c r="G433" s="116">
        <v>3.040261353E9</v>
      </c>
      <c r="H433" s="117"/>
      <c r="I433" s="117"/>
      <c r="J433" s="117"/>
      <c r="K433" s="117"/>
      <c r="L433" s="117"/>
      <c r="M433" s="117"/>
      <c r="N433" s="118"/>
    </row>
    <row r="434">
      <c r="A434" s="115">
        <v>434.0</v>
      </c>
      <c r="B434" s="116" t="s">
        <v>121</v>
      </c>
      <c r="C434" s="116" t="s">
        <v>2897</v>
      </c>
      <c r="D434" s="117"/>
      <c r="E434" s="117"/>
      <c r="F434" s="116">
        <v>17714.0</v>
      </c>
      <c r="G434" s="116">
        <v>3.040261376E9</v>
      </c>
      <c r="H434" s="117"/>
      <c r="I434" s="117"/>
      <c r="J434" s="117"/>
      <c r="K434" s="117"/>
      <c r="L434" s="117"/>
      <c r="M434" s="117"/>
      <c r="N434" s="118"/>
    </row>
    <row r="435">
      <c r="A435" s="115">
        <v>435.0</v>
      </c>
      <c r="B435" s="119" t="s">
        <v>1665</v>
      </c>
      <c r="C435" s="119" t="s">
        <v>2898</v>
      </c>
      <c r="D435" s="120"/>
      <c r="E435" s="117"/>
      <c r="F435" s="116" t="s">
        <v>2686</v>
      </c>
      <c r="G435" s="116">
        <v>3.040261352E9</v>
      </c>
      <c r="H435" s="117"/>
      <c r="I435" s="117"/>
      <c r="J435" s="117"/>
      <c r="K435" s="117"/>
      <c r="L435" s="117"/>
      <c r="M435" s="117"/>
      <c r="N435" s="118"/>
    </row>
    <row r="436">
      <c r="A436" s="115">
        <v>436.0</v>
      </c>
      <c r="B436" s="116" t="s">
        <v>1673</v>
      </c>
      <c r="C436" s="116" t="s">
        <v>2899</v>
      </c>
      <c r="D436" s="117"/>
      <c r="E436" s="117"/>
      <c r="F436" s="116">
        <v>2.0675473E7</v>
      </c>
      <c r="G436" s="116">
        <v>3.040261364E9</v>
      </c>
      <c r="H436" s="117"/>
      <c r="I436" s="117"/>
      <c r="J436" s="117"/>
      <c r="K436" s="117"/>
      <c r="L436" s="117"/>
      <c r="M436" s="117"/>
      <c r="N436" s="118"/>
    </row>
    <row r="437">
      <c r="A437" s="115">
        <v>437.0</v>
      </c>
      <c r="B437" s="119" t="s">
        <v>1676</v>
      </c>
      <c r="C437" s="119" t="s">
        <v>2900</v>
      </c>
      <c r="D437" s="120"/>
      <c r="E437" s="117"/>
      <c r="F437" s="116">
        <v>470055.0</v>
      </c>
      <c r="G437" s="116">
        <v>3.040261627E9</v>
      </c>
      <c r="H437" s="117"/>
      <c r="I437" s="117"/>
      <c r="J437" s="121">
        <v>46230.0</v>
      </c>
      <c r="K437" s="117"/>
      <c r="L437" s="116" t="s">
        <v>2853</v>
      </c>
      <c r="M437" s="116" t="s">
        <v>12</v>
      </c>
      <c r="N437" s="118"/>
    </row>
    <row r="438">
      <c r="A438" s="115">
        <v>438.0</v>
      </c>
      <c r="B438" s="116" t="s">
        <v>1676</v>
      </c>
      <c r="C438" s="116" t="s">
        <v>2900</v>
      </c>
      <c r="D438" s="117"/>
      <c r="E438" s="117"/>
      <c r="F438" s="116">
        <v>471591.0</v>
      </c>
      <c r="G438" s="116">
        <v>3.040261622E9</v>
      </c>
      <c r="H438" s="117"/>
      <c r="I438" s="117"/>
      <c r="J438" s="122">
        <v>46079.0</v>
      </c>
      <c r="K438" s="117"/>
      <c r="L438" s="117"/>
      <c r="M438" s="117"/>
      <c r="N438" s="118"/>
    </row>
    <row r="439">
      <c r="A439" s="115">
        <v>439.0</v>
      </c>
      <c r="B439" s="119" t="s">
        <v>1682</v>
      </c>
      <c r="C439" s="119" t="s">
        <v>2901</v>
      </c>
      <c r="D439" s="120"/>
      <c r="E439" s="117"/>
      <c r="F439" s="116">
        <v>8868.0</v>
      </c>
      <c r="G439" s="116">
        <v>3.040261851E9</v>
      </c>
      <c r="H439" s="117"/>
      <c r="I439" s="117"/>
      <c r="J439" s="117"/>
      <c r="K439" s="117"/>
      <c r="L439" s="117"/>
      <c r="M439" s="117"/>
      <c r="N439" s="118"/>
    </row>
    <row r="440">
      <c r="A440" s="115">
        <v>440.0</v>
      </c>
      <c r="B440" s="116" t="s">
        <v>1682</v>
      </c>
      <c r="C440" s="116" t="s">
        <v>2901</v>
      </c>
      <c r="D440" s="117"/>
      <c r="E440" s="117"/>
      <c r="F440" s="116">
        <v>4965.0</v>
      </c>
      <c r="G440" s="116">
        <v>3.040261852E9</v>
      </c>
      <c r="H440" s="117"/>
      <c r="I440" s="117"/>
      <c r="J440" s="117"/>
      <c r="K440" s="117"/>
      <c r="L440" s="117"/>
      <c r="M440" s="117"/>
      <c r="N440" s="118"/>
    </row>
    <row r="441">
      <c r="A441" s="115">
        <v>441.0</v>
      </c>
      <c r="B441" s="119">
        <v>3034792.0</v>
      </c>
      <c r="C441" s="119" t="s">
        <v>2877</v>
      </c>
      <c r="D441" s="120"/>
      <c r="E441" s="117"/>
      <c r="F441" s="116">
        <v>745.0</v>
      </c>
      <c r="G441" s="116">
        <v>3.040261843E9</v>
      </c>
      <c r="H441" s="117"/>
      <c r="I441" s="117"/>
      <c r="J441" s="117"/>
      <c r="K441" s="117"/>
      <c r="L441" s="117"/>
      <c r="M441" s="117"/>
      <c r="N441" s="118"/>
    </row>
    <row r="442">
      <c r="A442" s="115">
        <v>442.0</v>
      </c>
      <c r="B442" s="116" t="s">
        <v>1596</v>
      </c>
      <c r="C442" s="116" t="s">
        <v>2846</v>
      </c>
      <c r="D442" s="117"/>
      <c r="E442" s="117"/>
      <c r="F442" s="116" t="s">
        <v>2268</v>
      </c>
      <c r="G442" s="116">
        <v>3.040262273E9</v>
      </c>
      <c r="H442" s="117"/>
      <c r="I442" s="117"/>
      <c r="J442" s="122">
        <v>46176.0</v>
      </c>
      <c r="K442" s="117"/>
      <c r="L442" s="124" t="s">
        <v>2902</v>
      </c>
      <c r="M442" s="116" t="s">
        <v>13</v>
      </c>
      <c r="N442" s="118"/>
    </row>
    <row r="443">
      <c r="A443" s="115">
        <v>443.0</v>
      </c>
      <c r="B443" s="119" t="s">
        <v>1596</v>
      </c>
      <c r="C443" s="119" t="s">
        <v>2846</v>
      </c>
      <c r="D443" s="120"/>
      <c r="E443" s="117"/>
      <c r="F443" s="116" t="s">
        <v>2267</v>
      </c>
      <c r="G443" s="116">
        <v>3.040262275E9</v>
      </c>
      <c r="H443" s="117"/>
      <c r="I443" s="117"/>
      <c r="J443" s="122">
        <v>46176.0</v>
      </c>
      <c r="K443" s="117"/>
      <c r="L443" s="124" t="s">
        <v>2902</v>
      </c>
      <c r="M443" s="116" t="s">
        <v>13</v>
      </c>
      <c r="N443" s="118"/>
    </row>
    <row r="444">
      <c r="A444" s="115">
        <v>444.0</v>
      </c>
      <c r="B444" s="116" t="s">
        <v>1805</v>
      </c>
      <c r="C444" s="116" t="s">
        <v>2678</v>
      </c>
      <c r="D444" s="117"/>
      <c r="E444" s="117"/>
      <c r="F444" s="116" t="s">
        <v>2265</v>
      </c>
      <c r="G444" s="116">
        <v>3.040262245E9</v>
      </c>
      <c r="H444" s="117"/>
      <c r="I444" s="117"/>
      <c r="J444" s="122">
        <v>46155.0</v>
      </c>
      <c r="K444" s="117"/>
      <c r="L444" s="124" t="s">
        <v>2850</v>
      </c>
      <c r="M444" s="116" t="s">
        <v>13</v>
      </c>
      <c r="N444" s="118"/>
    </row>
    <row r="445">
      <c r="A445" s="115">
        <v>445.0</v>
      </c>
      <c r="B445" s="119" t="s">
        <v>1805</v>
      </c>
      <c r="C445" s="119" t="s">
        <v>2678</v>
      </c>
      <c r="D445" s="120"/>
      <c r="E445" s="117"/>
      <c r="F445" s="116" t="s">
        <v>2266</v>
      </c>
      <c r="G445" s="116">
        <v>3.040262246E9</v>
      </c>
      <c r="H445" s="117"/>
      <c r="I445" s="117"/>
      <c r="J445" s="122">
        <v>46155.0</v>
      </c>
      <c r="K445" s="117"/>
      <c r="L445" s="124" t="s">
        <v>2903</v>
      </c>
      <c r="M445" s="117"/>
      <c r="N445" s="118"/>
    </row>
    <row r="446">
      <c r="A446" s="115">
        <v>446.0</v>
      </c>
      <c r="B446" s="116" t="s">
        <v>1337</v>
      </c>
      <c r="C446" s="116" t="s">
        <v>2751</v>
      </c>
      <c r="D446" s="117"/>
      <c r="E446" s="117"/>
      <c r="F446" s="116">
        <v>9450.0</v>
      </c>
      <c r="G446" s="117"/>
      <c r="H446" s="117"/>
      <c r="I446" s="117"/>
      <c r="J446" s="122">
        <v>46112.0</v>
      </c>
      <c r="K446" s="117"/>
      <c r="L446" s="117"/>
      <c r="M446" s="117"/>
      <c r="N446" s="118"/>
    </row>
    <row r="447">
      <c r="A447" s="115">
        <v>447.0</v>
      </c>
      <c r="B447" s="119" t="s">
        <v>95</v>
      </c>
      <c r="C447" s="119" t="s">
        <v>2904</v>
      </c>
      <c r="D447" s="120"/>
      <c r="E447" s="117"/>
      <c r="F447" s="116">
        <v>35971.0</v>
      </c>
      <c r="G447" s="116">
        <v>3.041262363E9</v>
      </c>
      <c r="H447" s="117"/>
      <c r="I447" s="117"/>
      <c r="J447" s="122">
        <v>46129.0</v>
      </c>
      <c r="K447" s="117"/>
      <c r="L447" s="124" t="s">
        <v>2905</v>
      </c>
      <c r="M447" s="116" t="s">
        <v>21</v>
      </c>
      <c r="N447" s="118"/>
    </row>
    <row r="448">
      <c r="A448" s="115">
        <v>448.0</v>
      </c>
      <c r="B448" s="116" t="s">
        <v>95</v>
      </c>
      <c r="C448" s="116" t="s">
        <v>2904</v>
      </c>
      <c r="D448" s="117"/>
      <c r="E448" s="117"/>
      <c r="F448" s="116">
        <v>108773.0</v>
      </c>
      <c r="G448" s="116">
        <v>3.041262367E9</v>
      </c>
      <c r="H448" s="117"/>
      <c r="I448" s="117"/>
      <c r="J448" s="122">
        <v>46119.0</v>
      </c>
      <c r="K448" s="117"/>
      <c r="L448" s="124" t="s">
        <v>2906</v>
      </c>
      <c r="M448" s="116" t="s">
        <v>13</v>
      </c>
      <c r="N448" s="118"/>
    </row>
    <row r="449">
      <c r="A449" s="115">
        <v>449.0</v>
      </c>
      <c r="B449" s="119" t="s">
        <v>95</v>
      </c>
      <c r="C449" s="119" t="s">
        <v>2904</v>
      </c>
      <c r="D449" s="120"/>
      <c r="E449" s="117"/>
      <c r="F449" s="116">
        <v>107178.0</v>
      </c>
      <c r="G449" s="116">
        <v>3.041262368E9</v>
      </c>
      <c r="H449" s="117"/>
      <c r="I449" s="117"/>
      <c r="J449" s="122">
        <v>46135.0</v>
      </c>
      <c r="K449" s="117"/>
      <c r="L449" s="117"/>
      <c r="M449" s="117"/>
      <c r="N449" s="118"/>
    </row>
    <row r="450">
      <c r="A450" s="115">
        <v>450.0</v>
      </c>
      <c r="B450" s="116" t="s">
        <v>167</v>
      </c>
      <c r="C450" s="116" t="s">
        <v>2907</v>
      </c>
      <c r="D450" s="117"/>
      <c r="E450" s="117"/>
      <c r="F450" s="116">
        <v>99743.0</v>
      </c>
      <c r="G450" s="116">
        <v>3.041262371E9</v>
      </c>
      <c r="H450" s="117"/>
      <c r="I450" s="117"/>
      <c r="J450" s="122">
        <v>46127.0</v>
      </c>
      <c r="K450" s="117"/>
      <c r="L450" s="117"/>
      <c r="M450" s="117"/>
      <c r="N450" s="118"/>
    </row>
    <row r="451">
      <c r="A451" s="115">
        <v>451.0</v>
      </c>
      <c r="B451" s="119" t="s">
        <v>1606</v>
      </c>
      <c r="C451" s="119" t="s">
        <v>2907</v>
      </c>
      <c r="D451" s="120"/>
      <c r="E451" s="117"/>
      <c r="F451" s="116">
        <v>7086.0</v>
      </c>
      <c r="G451" s="116">
        <v>3.041262372E9</v>
      </c>
      <c r="H451" s="117"/>
      <c r="I451" s="117"/>
      <c r="J451" s="122">
        <v>46127.0</v>
      </c>
      <c r="K451" s="117"/>
      <c r="L451" s="117"/>
      <c r="M451" s="117"/>
      <c r="N451" s="118"/>
    </row>
    <row r="452">
      <c r="A452" s="115">
        <v>452.0</v>
      </c>
      <c r="B452" s="116" t="s">
        <v>83</v>
      </c>
      <c r="C452" s="116" t="s">
        <v>2879</v>
      </c>
      <c r="D452" s="117"/>
      <c r="E452" s="117"/>
      <c r="F452" s="116" t="s">
        <v>1690</v>
      </c>
      <c r="G452" s="116">
        <v>3.040262419E9</v>
      </c>
      <c r="H452" s="117"/>
      <c r="I452" s="117"/>
      <c r="J452" s="117"/>
      <c r="K452" s="117"/>
      <c r="L452" s="117"/>
      <c r="M452" s="117"/>
      <c r="N452" s="118"/>
    </row>
    <row r="453">
      <c r="A453" s="115">
        <v>453.0</v>
      </c>
      <c r="B453" s="119" t="s">
        <v>101</v>
      </c>
      <c r="C453" s="119" t="s">
        <v>2908</v>
      </c>
      <c r="D453" s="120"/>
      <c r="E453" s="117"/>
      <c r="F453" s="116" t="s">
        <v>2298</v>
      </c>
      <c r="G453" s="116">
        <v>3.040262966E9</v>
      </c>
      <c r="H453" s="117"/>
      <c r="I453" s="117"/>
      <c r="J453" s="122">
        <v>46175.0</v>
      </c>
      <c r="K453" s="117"/>
      <c r="L453" s="124" t="s">
        <v>2786</v>
      </c>
      <c r="M453" s="116" t="s">
        <v>12</v>
      </c>
      <c r="N453" s="118"/>
    </row>
    <row r="454">
      <c r="A454" s="115">
        <v>454.0</v>
      </c>
      <c r="B454" s="116" t="s">
        <v>101</v>
      </c>
      <c r="C454" s="116" t="s">
        <v>2908</v>
      </c>
      <c r="D454" s="117"/>
      <c r="E454" s="117"/>
      <c r="F454" s="116" t="s">
        <v>2301</v>
      </c>
      <c r="G454" s="116">
        <v>3.040262967E9</v>
      </c>
      <c r="H454" s="117"/>
      <c r="I454" s="117"/>
      <c r="J454" s="122">
        <v>46139.0</v>
      </c>
      <c r="K454" s="117"/>
      <c r="L454" s="117"/>
      <c r="M454" s="117"/>
      <c r="N454" s="118"/>
    </row>
    <row r="455">
      <c r="A455" s="115">
        <v>455.0</v>
      </c>
      <c r="B455" s="119" t="s">
        <v>101</v>
      </c>
      <c r="C455" s="119" t="s">
        <v>2908</v>
      </c>
      <c r="D455" s="120"/>
      <c r="E455" s="117"/>
      <c r="F455" s="116" t="s">
        <v>2299</v>
      </c>
      <c r="G455" s="116">
        <v>3.040262968E9</v>
      </c>
      <c r="H455" s="117"/>
      <c r="I455" s="117"/>
      <c r="J455" s="122">
        <v>46155.0</v>
      </c>
      <c r="K455" s="117"/>
      <c r="L455" s="117"/>
      <c r="M455" s="117"/>
      <c r="N455" s="118"/>
    </row>
    <row r="456">
      <c r="A456" s="115">
        <v>456.0</v>
      </c>
      <c r="B456" s="116" t="s">
        <v>101</v>
      </c>
      <c r="C456" s="116" t="s">
        <v>2908</v>
      </c>
      <c r="D456" s="117"/>
      <c r="E456" s="117"/>
      <c r="F456" s="116" t="s">
        <v>2300</v>
      </c>
      <c r="G456" s="116">
        <v>3.040262969E9</v>
      </c>
      <c r="H456" s="117"/>
      <c r="I456" s="117"/>
      <c r="J456" s="122">
        <v>46175.0</v>
      </c>
      <c r="K456" s="117"/>
      <c r="L456" s="124" t="s">
        <v>2786</v>
      </c>
      <c r="M456" s="116" t="s">
        <v>12</v>
      </c>
      <c r="N456" s="118"/>
    </row>
    <row r="457">
      <c r="A457" s="115">
        <v>457.0</v>
      </c>
      <c r="B457" s="119" t="s">
        <v>282</v>
      </c>
      <c r="C457" s="119" t="s">
        <v>2909</v>
      </c>
      <c r="D457" s="120"/>
      <c r="E457" s="117"/>
      <c r="F457" s="116">
        <v>2.200558E7</v>
      </c>
      <c r="G457" s="116">
        <v>3.04026277E9</v>
      </c>
      <c r="H457" s="117"/>
      <c r="I457" s="117"/>
      <c r="J457" s="117"/>
      <c r="K457" s="117"/>
      <c r="L457" s="117"/>
      <c r="M457" s="117"/>
      <c r="N457" s="118"/>
    </row>
    <row r="458">
      <c r="A458" s="115">
        <v>458.0</v>
      </c>
      <c r="B458" s="116" t="s">
        <v>282</v>
      </c>
      <c r="C458" s="116" t="s">
        <v>2909</v>
      </c>
      <c r="D458" s="117"/>
      <c r="E458" s="117"/>
      <c r="F458" s="116">
        <v>2.2005661E7</v>
      </c>
      <c r="G458" s="116">
        <v>3.0402622772E10</v>
      </c>
      <c r="H458" s="117"/>
      <c r="I458" s="117"/>
      <c r="J458" s="117"/>
      <c r="K458" s="117"/>
      <c r="L458" s="117"/>
      <c r="M458" s="117"/>
      <c r="N458" s="118"/>
    </row>
    <row r="459">
      <c r="A459" s="115">
        <v>459.0</v>
      </c>
      <c r="B459" s="119" t="s">
        <v>282</v>
      </c>
      <c r="C459" s="119" t="s">
        <v>2909</v>
      </c>
      <c r="D459" s="120"/>
      <c r="E459" s="117"/>
      <c r="F459" s="116">
        <v>2.2005955E7</v>
      </c>
      <c r="G459" s="116">
        <v>3.0402622773E10</v>
      </c>
      <c r="H459" s="117"/>
      <c r="I459" s="117"/>
      <c r="J459" s="117"/>
      <c r="K459" s="117"/>
      <c r="L459" s="117"/>
      <c r="M459" s="117"/>
      <c r="N459" s="118"/>
    </row>
    <row r="460">
      <c r="A460" s="115">
        <v>460.0</v>
      </c>
      <c r="B460" s="116" t="s">
        <v>1590</v>
      </c>
      <c r="C460" s="116" t="s">
        <v>2833</v>
      </c>
      <c r="D460" s="117"/>
      <c r="E460" s="117"/>
      <c r="F460" s="116">
        <v>83773.0</v>
      </c>
      <c r="G460" s="116">
        <v>3.040262748E9</v>
      </c>
      <c r="H460" s="117"/>
      <c r="I460" s="117"/>
      <c r="J460" s="122">
        <v>46156.0</v>
      </c>
      <c r="K460" s="117"/>
      <c r="L460" s="124" t="s">
        <v>2910</v>
      </c>
      <c r="M460" s="116" t="s">
        <v>17</v>
      </c>
      <c r="N460" s="118"/>
    </row>
    <row r="461">
      <c r="A461" s="115">
        <v>461.0</v>
      </c>
      <c r="B461" s="119" t="s">
        <v>1590</v>
      </c>
      <c r="C461" s="119" t="s">
        <v>2833</v>
      </c>
      <c r="D461" s="120"/>
      <c r="E461" s="117"/>
      <c r="F461" s="116">
        <v>84317.0</v>
      </c>
      <c r="G461" s="116">
        <v>3.040262767E9</v>
      </c>
      <c r="H461" s="117"/>
      <c r="I461" s="117"/>
      <c r="J461" s="121">
        <v>46157.0</v>
      </c>
      <c r="K461" s="117"/>
      <c r="L461" s="124" t="s">
        <v>2547</v>
      </c>
      <c r="M461" s="117"/>
      <c r="N461" s="118"/>
    </row>
    <row r="462">
      <c r="A462" s="115">
        <v>462.0</v>
      </c>
      <c r="B462" s="116" t="s">
        <v>161</v>
      </c>
      <c r="C462" s="116" t="s">
        <v>2911</v>
      </c>
      <c r="D462" s="117"/>
      <c r="E462" s="117"/>
      <c r="F462" s="116">
        <v>4.7202512E7</v>
      </c>
      <c r="G462" s="116">
        <v>3.040262765E9</v>
      </c>
      <c r="H462" s="117"/>
      <c r="I462" s="117"/>
      <c r="J462" s="122">
        <v>46183.0</v>
      </c>
      <c r="K462" s="117"/>
      <c r="L462" s="117"/>
      <c r="M462" s="117"/>
      <c r="N462" s="118"/>
    </row>
    <row r="463">
      <c r="A463" s="115">
        <v>463.0</v>
      </c>
      <c r="B463" s="119" t="s">
        <v>161</v>
      </c>
      <c r="C463" s="119" t="s">
        <v>2911</v>
      </c>
      <c r="D463" s="120"/>
      <c r="E463" s="117"/>
      <c r="F463" s="116">
        <v>4.7203152E7</v>
      </c>
      <c r="G463" s="116">
        <v>3.040262766E9</v>
      </c>
      <c r="H463" s="117"/>
      <c r="I463" s="117"/>
      <c r="J463" s="122">
        <v>46183.0</v>
      </c>
      <c r="K463" s="117"/>
      <c r="L463" s="117"/>
      <c r="M463" s="117"/>
      <c r="N463" s="118"/>
    </row>
    <row r="464">
      <c r="A464" s="115">
        <v>464.0</v>
      </c>
      <c r="B464" s="116" t="s">
        <v>1707</v>
      </c>
      <c r="C464" s="116" t="s">
        <v>2912</v>
      </c>
      <c r="D464" s="117"/>
      <c r="E464" s="117"/>
      <c r="F464" s="116">
        <v>37971.0</v>
      </c>
      <c r="G464" s="116">
        <v>3.040262747E9</v>
      </c>
      <c r="H464" s="117"/>
      <c r="I464" s="117"/>
      <c r="J464" s="117"/>
      <c r="K464" s="117"/>
      <c r="L464" s="117"/>
      <c r="M464" s="117"/>
      <c r="N464" s="118"/>
    </row>
    <row r="465">
      <c r="A465" s="115">
        <v>465.0</v>
      </c>
      <c r="B465" s="119" t="s">
        <v>111</v>
      </c>
      <c r="C465" s="119" t="s">
        <v>2913</v>
      </c>
      <c r="D465" s="120"/>
      <c r="E465" s="117"/>
      <c r="F465" s="116">
        <v>32207.0</v>
      </c>
      <c r="G465" s="116">
        <v>3.040262746E9</v>
      </c>
      <c r="H465" s="117"/>
      <c r="I465" s="117"/>
      <c r="J465" s="117"/>
      <c r="K465" s="117"/>
      <c r="L465" s="117"/>
      <c r="M465" s="117"/>
      <c r="N465" s="118"/>
    </row>
    <row r="466">
      <c r="A466" s="115">
        <v>466.0</v>
      </c>
      <c r="B466" s="116" t="s">
        <v>227</v>
      </c>
      <c r="C466" s="116" t="s">
        <v>2914</v>
      </c>
      <c r="D466" s="117"/>
      <c r="E466" s="117"/>
      <c r="F466" s="116">
        <v>197.0</v>
      </c>
      <c r="G466" s="116">
        <v>3.04026276E9</v>
      </c>
      <c r="H466" s="117"/>
      <c r="I466" s="117"/>
      <c r="J466" s="121">
        <v>46230.0</v>
      </c>
      <c r="K466" s="117"/>
      <c r="L466" s="116" t="s">
        <v>2853</v>
      </c>
      <c r="M466" s="116" t="s">
        <v>12</v>
      </c>
      <c r="N466" s="118"/>
    </row>
    <row r="467">
      <c r="A467" s="115">
        <v>467.0</v>
      </c>
      <c r="B467" s="119" t="s">
        <v>1698</v>
      </c>
      <c r="C467" s="119" t="s">
        <v>2783</v>
      </c>
      <c r="D467" s="120"/>
      <c r="E467" s="117"/>
      <c r="F467" s="116" t="s">
        <v>2274</v>
      </c>
      <c r="G467" s="116">
        <v>3.040262738E9</v>
      </c>
      <c r="H467" s="117"/>
      <c r="I467" s="117"/>
      <c r="J467" s="122">
        <v>46185.0</v>
      </c>
      <c r="K467" s="117"/>
      <c r="L467" s="117"/>
      <c r="M467" s="117"/>
      <c r="N467" s="118"/>
    </row>
    <row r="468">
      <c r="A468" s="115">
        <v>468.0</v>
      </c>
      <c r="B468" s="116" t="s">
        <v>1698</v>
      </c>
      <c r="C468" s="116" t="s">
        <v>2783</v>
      </c>
      <c r="D468" s="117"/>
      <c r="E468" s="117"/>
      <c r="F468" s="116" t="s">
        <v>1701</v>
      </c>
      <c r="G468" s="116">
        <v>3.040262739E9</v>
      </c>
      <c r="H468" s="117"/>
      <c r="I468" s="117"/>
      <c r="J468" s="117"/>
      <c r="K468" s="117"/>
      <c r="L468" s="117"/>
      <c r="M468" s="117"/>
      <c r="N468" s="118"/>
    </row>
    <row r="469">
      <c r="A469" s="115">
        <v>469.0</v>
      </c>
      <c r="B469" s="119" t="s">
        <v>1698</v>
      </c>
      <c r="C469" s="119" t="s">
        <v>2783</v>
      </c>
      <c r="D469" s="120"/>
      <c r="E469" s="117"/>
      <c r="F469" s="116" t="s">
        <v>2275</v>
      </c>
      <c r="G469" s="116">
        <v>3.04026274E9</v>
      </c>
      <c r="H469" s="117"/>
      <c r="I469" s="117"/>
      <c r="J469" s="122">
        <v>46185.0</v>
      </c>
      <c r="K469" s="117"/>
      <c r="L469" s="117"/>
      <c r="M469" s="117"/>
      <c r="N469" s="118"/>
    </row>
    <row r="470">
      <c r="A470" s="115">
        <v>470.0</v>
      </c>
      <c r="B470" s="116" t="s">
        <v>1691</v>
      </c>
      <c r="C470" s="116" t="s">
        <v>2783</v>
      </c>
      <c r="D470" s="117"/>
      <c r="E470" s="117"/>
      <c r="F470" s="116" t="s">
        <v>1694</v>
      </c>
      <c r="G470" s="116">
        <v>3.040262734E9</v>
      </c>
      <c r="H470" s="117"/>
      <c r="I470" s="117"/>
      <c r="J470" s="117"/>
      <c r="K470" s="117"/>
      <c r="L470" s="117"/>
      <c r="M470" s="117"/>
      <c r="N470" s="118"/>
    </row>
    <row r="471">
      <c r="A471" s="115">
        <v>471.0</v>
      </c>
      <c r="B471" s="119" t="s">
        <v>81</v>
      </c>
      <c r="C471" s="119" t="s">
        <v>2678</v>
      </c>
      <c r="D471" s="120"/>
      <c r="E471" s="117"/>
      <c r="F471" s="116">
        <v>1391.0</v>
      </c>
      <c r="G471" s="116">
        <v>3.040262638E9</v>
      </c>
      <c r="H471" s="117"/>
      <c r="I471" s="117"/>
      <c r="J471" s="117"/>
      <c r="K471" s="117"/>
      <c r="L471" s="117"/>
      <c r="M471" s="117"/>
      <c r="N471" s="118"/>
    </row>
    <row r="472">
      <c r="A472" s="115">
        <v>472.0</v>
      </c>
      <c r="B472" s="116" t="s">
        <v>81</v>
      </c>
      <c r="C472" s="116" t="s">
        <v>2678</v>
      </c>
      <c r="D472" s="117"/>
      <c r="E472" s="117"/>
      <c r="F472" s="116" t="s">
        <v>2290</v>
      </c>
      <c r="G472" s="116">
        <v>3.040262639E9</v>
      </c>
      <c r="H472" s="117"/>
      <c r="I472" s="117"/>
      <c r="J472" s="122">
        <v>46175.0</v>
      </c>
      <c r="K472" s="117"/>
      <c r="L472" s="124" t="s">
        <v>2786</v>
      </c>
      <c r="M472" s="116" t="s">
        <v>12</v>
      </c>
      <c r="N472" s="118"/>
    </row>
    <row r="473">
      <c r="A473" s="115">
        <v>473.0</v>
      </c>
      <c r="B473" s="119" t="s">
        <v>81</v>
      </c>
      <c r="C473" s="119" t="s">
        <v>2678</v>
      </c>
      <c r="D473" s="120"/>
      <c r="E473" s="117"/>
      <c r="F473" s="116" t="s">
        <v>2291</v>
      </c>
      <c r="G473" s="116">
        <v>3.040262646E9</v>
      </c>
      <c r="H473" s="117"/>
      <c r="I473" s="117"/>
      <c r="J473" s="122">
        <v>46175.0</v>
      </c>
      <c r="K473" s="117"/>
      <c r="L473" s="124" t="s">
        <v>2786</v>
      </c>
      <c r="M473" s="116" t="s">
        <v>12</v>
      </c>
      <c r="N473" s="118"/>
    </row>
    <row r="474">
      <c r="A474" s="115">
        <v>474.0</v>
      </c>
      <c r="B474" s="116" t="s">
        <v>1724</v>
      </c>
      <c r="C474" s="116" t="s">
        <v>2915</v>
      </c>
      <c r="D474" s="117"/>
      <c r="E474" s="117"/>
      <c r="F474" s="116">
        <v>3493.0</v>
      </c>
      <c r="G474" s="116">
        <v>3.040262706E9</v>
      </c>
      <c r="H474" s="117"/>
      <c r="I474" s="117"/>
      <c r="J474" s="121">
        <v>46230.0</v>
      </c>
      <c r="K474" s="117"/>
      <c r="L474" s="116" t="s">
        <v>2662</v>
      </c>
      <c r="M474" s="116" t="s">
        <v>12</v>
      </c>
      <c r="N474" s="118"/>
    </row>
    <row r="475">
      <c r="A475" s="115">
        <v>475.0</v>
      </c>
      <c r="B475" s="119" t="s">
        <v>1724</v>
      </c>
      <c r="C475" s="119" t="s">
        <v>2915</v>
      </c>
      <c r="D475" s="120"/>
      <c r="E475" s="117"/>
      <c r="F475" s="116" t="s">
        <v>1731</v>
      </c>
      <c r="G475" s="116">
        <v>3.040262707E9</v>
      </c>
      <c r="H475" s="117"/>
      <c r="I475" s="117"/>
      <c r="J475" s="122">
        <v>46175.0</v>
      </c>
      <c r="K475" s="117"/>
      <c r="L475" s="124" t="s">
        <v>2549</v>
      </c>
      <c r="M475" s="117"/>
      <c r="N475" s="118"/>
    </row>
    <row r="476">
      <c r="A476" s="115">
        <v>476.0</v>
      </c>
      <c r="B476" s="116" t="s">
        <v>1724</v>
      </c>
      <c r="C476" s="116" t="s">
        <v>2915</v>
      </c>
      <c r="D476" s="117"/>
      <c r="E476" s="117"/>
      <c r="F476" s="116">
        <v>3454.0</v>
      </c>
      <c r="G476" s="116">
        <v>3.040262711E9</v>
      </c>
      <c r="H476" s="117"/>
      <c r="I476" s="117"/>
      <c r="J476" s="122">
        <v>46175.0</v>
      </c>
      <c r="K476" s="117"/>
      <c r="L476" s="124" t="s">
        <v>2549</v>
      </c>
      <c r="M476" s="117"/>
      <c r="N476" s="118"/>
    </row>
    <row r="477">
      <c r="A477" s="115">
        <v>477.0</v>
      </c>
      <c r="B477" s="119" t="s">
        <v>1724</v>
      </c>
      <c r="C477" s="119" t="s">
        <v>2915</v>
      </c>
      <c r="D477" s="120"/>
      <c r="E477" s="117"/>
      <c r="F477" s="116" t="s">
        <v>1732</v>
      </c>
      <c r="G477" s="116">
        <v>3.040262712E9</v>
      </c>
      <c r="H477" s="117"/>
      <c r="I477" s="117"/>
      <c r="J477" s="122">
        <v>46175.0</v>
      </c>
      <c r="K477" s="117"/>
      <c r="L477" s="124" t="s">
        <v>2549</v>
      </c>
      <c r="M477" s="117"/>
      <c r="N477" s="118"/>
    </row>
    <row r="478">
      <c r="A478" s="115">
        <v>478.0</v>
      </c>
      <c r="B478" s="116" t="s">
        <v>1724</v>
      </c>
      <c r="C478" s="116" t="s">
        <v>2915</v>
      </c>
      <c r="D478" s="117"/>
      <c r="E478" s="117"/>
      <c r="F478" s="116" t="s">
        <v>2916</v>
      </c>
      <c r="G478" s="116">
        <v>3.040262708E9</v>
      </c>
      <c r="H478" s="117"/>
      <c r="I478" s="117"/>
      <c r="J478" s="121">
        <v>46230.0</v>
      </c>
      <c r="K478" s="117"/>
      <c r="L478" s="116" t="s">
        <v>2662</v>
      </c>
      <c r="M478" s="116" t="s">
        <v>12</v>
      </c>
      <c r="N478" s="118"/>
    </row>
    <row r="479">
      <c r="A479" s="115">
        <v>479.0</v>
      </c>
      <c r="B479" s="119" t="s">
        <v>1724</v>
      </c>
      <c r="C479" s="119" t="s">
        <v>2915</v>
      </c>
      <c r="D479" s="120"/>
      <c r="E479" s="117"/>
      <c r="F479" s="116">
        <v>3235.0</v>
      </c>
      <c r="G479" s="116">
        <v>3.040262709E9</v>
      </c>
      <c r="H479" s="117"/>
      <c r="I479" s="117"/>
      <c r="J479" s="122">
        <v>46175.0</v>
      </c>
      <c r="K479" s="117"/>
      <c r="L479" s="124" t="s">
        <v>2549</v>
      </c>
      <c r="M479" s="117"/>
      <c r="N479" s="118"/>
    </row>
    <row r="480">
      <c r="A480" s="115">
        <v>480.0</v>
      </c>
      <c r="B480" s="116" t="s">
        <v>1724</v>
      </c>
      <c r="C480" s="116" t="s">
        <v>2915</v>
      </c>
      <c r="D480" s="117"/>
      <c r="E480" s="117"/>
      <c r="F480" s="116" t="s">
        <v>1733</v>
      </c>
      <c r="G480" s="116">
        <v>3.040262713E9</v>
      </c>
      <c r="H480" s="117"/>
      <c r="I480" s="117"/>
      <c r="J480" s="122">
        <v>46175.0</v>
      </c>
      <c r="K480" s="117"/>
      <c r="L480" s="124" t="s">
        <v>2549</v>
      </c>
      <c r="M480" s="117"/>
      <c r="N480" s="118"/>
    </row>
    <row r="481">
      <c r="A481" s="115">
        <v>481.0</v>
      </c>
      <c r="B481" s="119" t="s">
        <v>1724</v>
      </c>
      <c r="C481" s="119" t="s">
        <v>2915</v>
      </c>
      <c r="D481" s="120"/>
      <c r="E481" s="117"/>
      <c r="F481" s="116" t="s">
        <v>1728</v>
      </c>
      <c r="G481" s="116">
        <v>3.040262714E9</v>
      </c>
      <c r="H481" s="117"/>
      <c r="I481" s="117"/>
      <c r="J481" s="122">
        <v>46175.0</v>
      </c>
      <c r="K481" s="117"/>
      <c r="L481" s="124" t="s">
        <v>2549</v>
      </c>
      <c r="M481" s="117"/>
      <c r="N481" s="118"/>
    </row>
    <row r="482">
      <c r="A482" s="115">
        <v>482.0</v>
      </c>
      <c r="B482" s="116" t="s">
        <v>1724</v>
      </c>
      <c r="C482" s="116" t="s">
        <v>2915</v>
      </c>
      <c r="D482" s="117"/>
      <c r="E482" s="117"/>
      <c r="F482" s="116" t="s">
        <v>2917</v>
      </c>
      <c r="G482" s="116">
        <v>3.040262717E9</v>
      </c>
      <c r="H482" s="117"/>
      <c r="I482" s="117"/>
      <c r="J482" s="121">
        <v>46230.0</v>
      </c>
      <c r="K482" s="117"/>
      <c r="L482" s="116" t="s">
        <v>2662</v>
      </c>
      <c r="M482" s="116" t="s">
        <v>12</v>
      </c>
      <c r="N482" s="118"/>
    </row>
    <row r="483">
      <c r="A483" s="115">
        <v>483.0</v>
      </c>
      <c r="B483" s="119" t="s">
        <v>1590</v>
      </c>
      <c r="C483" s="119" t="s">
        <v>2918</v>
      </c>
      <c r="D483" s="120"/>
      <c r="E483" s="120"/>
      <c r="F483" s="116">
        <v>84326.0</v>
      </c>
      <c r="G483" s="116">
        <v>3.040262768E9</v>
      </c>
      <c r="H483" s="120"/>
      <c r="I483" s="120"/>
      <c r="J483" s="117"/>
      <c r="K483" s="117"/>
      <c r="L483" s="117"/>
      <c r="M483" s="117"/>
      <c r="N483" s="118"/>
    </row>
    <row r="484">
      <c r="A484" s="115">
        <v>484.0</v>
      </c>
      <c r="B484" s="116" t="s">
        <v>1590</v>
      </c>
      <c r="C484" s="116" t="s">
        <v>2918</v>
      </c>
      <c r="D484" s="116" t="s">
        <v>2774</v>
      </c>
      <c r="E484" s="132">
        <v>2721.0</v>
      </c>
      <c r="F484" s="116">
        <v>83740.0</v>
      </c>
      <c r="G484" s="116">
        <v>3.040262769E9</v>
      </c>
      <c r="H484" s="117"/>
      <c r="I484" s="117"/>
      <c r="J484" s="121">
        <v>46209.0</v>
      </c>
      <c r="K484" s="117"/>
      <c r="L484" s="116" t="s">
        <v>2550</v>
      </c>
      <c r="M484" s="116" t="s">
        <v>14</v>
      </c>
      <c r="N484" s="118"/>
    </row>
    <row r="485">
      <c r="A485" s="115">
        <v>485.0</v>
      </c>
      <c r="B485" s="119" t="s">
        <v>1734</v>
      </c>
      <c r="C485" s="119" t="s">
        <v>2739</v>
      </c>
      <c r="D485" s="120"/>
      <c r="E485" s="114"/>
      <c r="F485" s="116" t="s">
        <v>1736</v>
      </c>
      <c r="G485" s="116">
        <v>3.040262744E9</v>
      </c>
      <c r="H485" s="114"/>
      <c r="I485" s="114"/>
      <c r="J485" s="117"/>
      <c r="K485" s="117"/>
      <c r="L485" s="117"/>
      <c r="M485" s="117"/>
      <c r="N485" s="118"/>
    </row>
    <row r="486">
      <c r="A486" s="115">
        <v>486.0</v>
      </c>
      <c r="B486" s="116" t="s">
        <v>1355</v>
      </c>
      <c r="C486" s="116" t="s">
        <v>2919</v>
      </c>
      <c r="D486" s="117"/>
      <c r="E486" s="114"/>
      <c r="F486" s="116" t="s">
        <v>1737</v>
      </c>
      <c r="G486" s="116">
        <v>3.040262758E9</v>
      </c>
      <c r="H486" s="114"/>
      <c r="I486" s="114"/>
      <c r="J486" s="117"/>
      <c r="K486" s="117"/>
      <c r="L486" s="117"/>
      <c r="M486" s="117"/>
      <c r="N486" s="118"/>
    </row>
    <row r="487">
      <c r="A487" s="115">
        <v>487.0</v>
      </c>
      <c r="B487" s="119" t="s">
        <v>189</v>
      </c>
      <c r="C487" s="119" t="s">
        <v>2920</v>
      </c>
      <c r="D487" s="120"/>
      <c r="E487" s="114"/>
      <c r="F487" s="116">
        <v>120315.0</v>
      </c>
      <c r="G487" s="116">
        <v>3.040262757E9</v>
      </c>
      <c r="H487" s="114"/>
      <c r="I487" s="114"/>
      <c r="J487" s="117"/>
      <c r="K487" s="117"/>
      <c r="L487" s="117"/>
      <c r="M487" s="117"/>
      <c r="N487" s="118"/>
    </row>
    <row r="488">
      <c r="A488" s="115">
        <v>488.0</v>
      </c>
      <c r="B488" s="116" t="s">
        <v>151</v>
      </c>
      <c r="C488" s="116" t="s">
        <v>2921</v>
      </c>
      <c r="D488" s="117"/>
      <c r="E488" s="114"/>
      <c r="F488" s="116">
        <v>9727.0</v>
      </c>
      <c r="G488" s="116">
        <v>3.040262791E9</v>
      </c>
      <c r="H488" s="114"/>
      <c r="I488" s="114"/>
      <c r="J488" s="117"/>
      <c r="K488" s="117"/>
      <c r="L488" s="117"/>
      <c r="M488" s="117"/>
      <c r="N488" s="118"/>
    </row>
    <row r="489">
      <c r="A489" s="115">
        <v>489.0</v>
      </c>
      <c r="B489" s="119" t="s">
        <v>151</v>
      </c>
      <c r="C489" s="119" t="s">
        <v>2921</v>
      </c>
      <c r="D489" s="120"/>
      <c r="E489" s="114"/>
      <c r="F489" s="116">
        <v>6708.0</v>
      </c>
      <c r="G489" s="116">
        <v>3.040262792E9</v>
      </c>
      <c r="H489" s="114"/>
      <c r="I489" s="114"/>
      <c r="J489" s="121">
        <v>46230.0</v>
      </c>
      <c r="K489" s="117"/>
      <c r="L489" s="116" t="s">
        <v>2472</v>
      </c>
      <c r="M489" s="116" t="s">
        <v>12</v>
      </c>
      <c r="N489" s="118"/>
    </row>
    <row r="490">
      <c r="A490" s="115">
        <v>490.0</v>
      </c>
      <c r="B490" s="116" t="s">
        <v>1394</v>
      </c>
      <c r="C490" s="116" t="s">
        <v>2922</v>
      </c>
      <c r="D490" s="117"/>
      <c r="E490" s="114"/>
      <c r="F490" s="116" t="s">
        <v>2284</v>
      </c>
      <c r="G490" s="116">
        <v>3.04026263E9</v>
      </c>
      <c r="H490" s="114"/>
      <c r="I490" s="114"/>
      <c r="J490" s="121">
        <v>46230.0</v>
      </c>
      <c r="K490" s="117"/>
      <c r="L490" s="116" t="s">
        <v>2662</v>
      </c>
      <c r="M490" s="116" t="s">
        <v>12</v>
      </c>
      <c r="N490" s="118"/>
    </row>
    <row r="491">
      <c r="A491" s="115">
        <v>491.0</v>
      </c>
      <c r="B491" s="119" t="s">
        <v>1436</v>
      </c>
      <c r="C491" s="119" t="s">
        <v>2922</v>
      </c>
      <c r="D491" s="120"/>
      <c r="E491" s="114"/>
      <c r="F491" s="116" t="s">
        <v>2285</v>
      </c>
      <c r="G491" s="116">
        <v>3.040262634E9</v>
      </c>
      <c r="H491" s="114"/>
      <c r="I491" s="114"/>
      <c r="J491" s="121">
        <v>46230.0</v>
      </c>
      <c r="K491" s="117"/>
      <c r="L491" s="116" t="s">
        <v>2662</v>
      </c>
      <c r="M491" s="116" t="s">
        <v>12</v>
      </c>
      <c r="N491" s="118"/>
    </row>
    <row r="492">
      <c r="A492" s="115">
        <v>492.0</v>
      </c>
      <c r="B492" s="116" t="s">
        <v>2923</v>
      </c>
      <c r="C492" s="116" t="s">
        <v>2914</v>
      </c>
      <c r="D492" s="117"/>
      <c r="E492" s="114"/>
      <c r="F492" s="116">
        <v>1378.0</v>
      </c>
      <c r="G492" s="116">
        <v>3.040262759E9</v>
      </c>
      <c r="H492" s="114"/>
      <c r="I492" s="114"/>
      <c r="J492" s="117"/>
      <c r="K492" s="117"/>
      <c r="L492" s="117"/>
      <c r="M492" s="117"/>
      <c r="N492" s="118"/>
    </row>
    <row r="493">
      <c r="A493" s="115">
        <v>493.0</v>
      </c>
      <c r="B493" s="119" t="s">
        <v>105</v>
      </c>
      <c r="C493" s="119" t="s">
        <v>2924</v>
      </c>
      <c r="D493" s="120"/>
      <c r="E493" s="114"/>
      <c r="F493" s="116">
        <v>18156.0</v>
      </c>
      <c r="G493" s="116">
        <v>3.040262745E9</v>
      </c>
      <c r="H493" s="114"/>
      <c r="I493" s="114"/>
      <c r="J493" s="117"/>
      <c r="K493" s="117"/>
      <c r="L493" s="117"/>
      <c r="M493" s="117"/>
      <c r="N493" s="118"/>
    </row>
    <row r="494">
      <c r="A494" s="115">
        <v>494.0</v>
      </c>
      <c r="B494" s="116" t="s">
        <v>63</v>
      </c>
      <c r="C494" s="116" t="s">
        <v>2922</v>
      </c>
      <c r="D494" s="117"/>
      <c r="E494" s="114"/>
      <c r="F494" s="116">
        <v>965.0</v>
      </c>
      <c r="G494" s="116">
        <v>3.040262632E9</v>
      </c>
      <c r="H494" s="114"/>
      <c r="I494" s="114"/>
      <c r="J494" s="117"/>
      <c r="K494" s="117"/>
      <c r="L494" s="117"/>
      <c r="M494" s="117"/>
      <c r="N494" s="118"/>
    </row>
    <row r="495">
      <c r="A495" s="115">
        <v>495.0</v>
      </c>
      <c r="B495" s="119" t="s">
        <v>63</v>
      </c>
      <c r="C495" s="119" t="s">
        <v>2922</v>
      </c>
      <c r="D495" s="120"/>
      <c r="E495" s="114"/>
      <c r="F495" s="116">
        <v>31.0</v>
      </c>
      <c r="G495" s="116">
        <v>3.040262633E9</v>
      </c>
      <c r="H495" s="114"/>
      <c r="I495" s="114"/>
      <c r="J495" s="117"/>
      <c r="K495" s="117"/>
      <c r="L495" s="117"/>
      <c r="M495" s="117"/>
      <c r="N495" s="118"/>
    </row>
    <row r="496">
      <c r="A496" s="115">
        <v>496.0</v>
      </c>
      <c r="B496" s="116" t="s">
        <v>61</v>
      </c>
      <c r="C496" s="116" t="s">
        <v>2922</v>
      </c>
      <c r="D496" s="117"/>
      <c r="E496" s="114"/>
      <c r="F496" s="116" t="s">
        <v>2925</v>
      </c>
      <c r="G496" s="116">
        <v>3.040262635E9</v>
      </c>
      <c r="H496" s="114"/>
      <c r="I496" s="114"/>
      <c r="J496" s="117"/>
      <c r="K496" s="117"/>
      <c r="L496" s="117"/>
      <c r="M496" s="117"/>
      <c r="N496" s="118"/>
    </row>
    <row r="497">
      <c r="A497" s="115">
        <v>497.0</v>
      </c>
      <c r="B497" s="119" t="s">
        <v>61</v>
      </c>
      <c r="C497" s="119" t="s">
        <v>2922</v>
      </c>
      <c r="D497" s="120"/>
      <c r="E497" s="114"/>
      <c r="F497" s="116">
        <v>688.0</v>
      </c>
      <c r="G497" s="116">
        <v>3.040262636E9</v>
      </c>
      <c r="H497" s="114"/>
      <c r="I497" s="114"/>
      <c r="J497" s="117"/>
      <c r="K497" s="117"/>
      <c r="L497" s="117"/>
      <c r="M497" s="117"/>
      <c r="N497" s="118"/>
    </row>
    <row r="498">
      <c r="A498" s="115">
        <v>498.0</v>
      </c>
      <c r="B498" s="116" t="s">
        <v>61</v>
      </c>
      <c r="C498" s="116" t="s">
        <v>2922</v>
      </c>
      <c r="D498" s="117"/>
      <c r="E498" s="114"/>
      <c r="F498" s="116">
        <v>2007.0</v>
      </c>
      <c r="G498" s="116">
        <v>3.040262637E9</v>
      </c>
      <c r="H498" s="114"/>
      <c r="I498" s="114"/>
      <c r="J498" s="117"/>
      <c r="K498" s="117"/>
      <c r="L498" s="117"/>
      <c r="M498" s="117"/>
      <c r="N498" s="118"/>
    </row>
    <row r="499">
      <c r="A499" s="115">
        <v>499.0</v>
      </c>
      <c r="B499" s="119" t="s">
        <v>87</v>
      </c>
      <c r="C499" s="119" t="s">
        <v>2926</v>
      </c>
      <c r="D499" s="120"/>
      <c r="E499" s="114"/>
      <c r="F499" s="116" t="s">
        <v>1755</v>
      </c>
      <c r="G499" s="116">
        <v>3.040263286E9</v>
      </c>
      <c r="H499" s="114"/>
      <c r="I499" s="114"/>
      <c r="J499" s="121">
        <v>46230.0</v>
      </c>
      <c r="K499" s="117"/>
      <c r="L499" s="116" t="s">
        <v>2853</v>
      </c>
      <c r="M499" s="116" t="s">
        <v>12</v>
      </c>
      <c r="N499" s="118"/>
    </row>
    <row r="500">
      <c r="A500" s="115">
        <v>500.0</v>
      </c>
      <c r="B500" s="116" t="s">
        <v>1759</v>
      </c>
      <c r="C500" s="116" t="s">
        <v>2926</v>
      </c>
      <c r="D500" s="117"/>
      <c r="E500" s="114"/>
      <c r="F500" s="116" t="s">
        <v>1764</v>
      </c>
      <c r="G500" s="116">
        <v>3.040263327E9</v>
      </c>
      <c r="H500" s="114"/>
      <c r="I500" s="114"/>
      <c r="J500" s="121">
        <v>46230.0</v>
      </c>
      <c r="K500" s="117"/>
      <c r="L500" s="116" t="s">
        <v>2853</v>
      </c>
      <c r="M500" s="116" t="s">
        <v>12</v>
      </c>
      <c r="N500" s="118"/>
    </row>
    <row r="501">
      <c r="A501" s="115">
        <v>501.0</v>
      </c>
      <c r="B501" s="119" t="s">
        <v>1759</v>
      </c>
      <c r="C501" s="119" t="s">
        <v>2926</v>
      </c>
      <c r="D501" s="120"/>
      <c r="E501" s="114"/>
      <c r="F501" s="116" t="s">
        <v>1760</v>
      </c>
      <c r="G501" s="116">
        <v>3.040263328E9</v>
      </c>
      <c r="H501" s="114"/>
      <c r="I501" s="114"/>
      <c r="J501" s="117"/>
      <c r="K501" s="117"/>
      <c r="L501" s="117"/>
      <c r="M501" s="117"/>
      <c r="N501" s="118"/>
    </row>
    <row r="502">
      <c r="A502" s="115">
        <v>502.0</v>
      </c>
      <c r="B502" s="116" t="s">
        <v>1759</v>
      </c>
      <c r="C502" s="116" t="s">
        <v>2926</v>
      </c>
      <c r="D502" s="117"/>
      <c r="E502" s="114"/>
      <c r="F502" s="116" t="s">
        <v>1761</v>
      </c>
      <c r="G502" s="116">
        <v>3.040263329E9</v>
      </c>
      <c r="H502" s="114"/>
      <c r="I502" s="114"/>
      <c r="J502" s="117"/>
      <c r="K502" s="117"/>
      <c r="L502" s="117"/>
      <c r="M502" s="117"/>
      <c r="N502" s="118"/>
    </row>
    <row r="503">
      <c r="A503" s="115">
        <v>503.0</v>
      </c>
      <c r="B503" s="119" t="s">
        <v>1759</v>
      </c>
      <c r="C503" s="119" t="s">
        <v>2926</v>
      </c>
      <c r="D503" s="120"/>
      <c r="E503" s="114"/>
      <c r="F503" s="116" t="s">
        <v>1763</v>
      </c>
      <c r="G503" s="116">
        <v>3.04026333E9</v>
      </c>
      <c r="H503" s="114"/>
      <c r="I503" s="114"/>
      <c r="J503" s="121">
        <v>46230.0</v>
      </c>
      <c r="K503" s="117"/>
      <c r="L503" s="116" t="s">
        <v>2853</v>
      </c>
      <c r="M503" s="116" t="s">
        <v>12</v>
      </c>
      <c r="N503" s="118"/>
    </row>
    <row r="504">
      <c r="A504" s="115">
        <v>504.0</v>
      </c>
      <c r="B504" s="116" t="s">
        <v>1759</v>
      </c>
      <c r="C504" s="116" t="s">
        <v>2926</v>
      </c>
      <c r="D504" s="117"/>
      <c r="E504" s="114"/>
      <c r="F504" s="116" t="s">
        <v>1762</v>
      </c>
      <c r="G504" s="116">
        <v>3.040263331E9</v>
      </c>
      <c r="H504" s="114"/>
      <c r="I504" s="114"/>
      <c r="J504" s="121">
        <v>46230.0</v>
      </c>
      <c r="K504" s="117"/>
      <c r="L504" s="116" t="s">
        <v>2853</v>
      </c>
      <c r="M504" s="116" t="s">
        <v>12</v>
      </c>
      <c r="N504" s="118"/>
    </row>
    <row r="505">
      <c r="A505" s="115">
        <v>505.0</v>
      </c>
      <c r="B505" s="119" t="s">
        <v>131</v>
      </c>
      <c r="C505" s="119" t="s">
        <v>2927</v>
      </c>
      <c r="D505" s="120"/>
      <c r="E505" s="114"/>
      <c r="F505" s="116">
        <v>7081234.0</v>
      </c>
      <c r="G505" s="116">
        <v>3.040263337E9</v>
      </c>
      <c r="H505" s="114"/>
      <c r="I505" s="114"/>
      <c r="J505" s="121">
        <v>46157.0</v>
      </c>
      <c r="K505" s="117"/>
      <c r="L505" s="124" t="s">
        <v>2928</v>
      </c>
      <c r="M505" s="117"/>
      <c r="N505" s="118"/>
    </row>
    <row r="506">
      <c r="A506" s="115">
        <v>506.0</v>
      </c>
      <c r="B506" s="116" t="s">
        <v>131</v>
      </c>
      <c r="C506" s="116" t="s">
        <v>2927</v>
      </c>
      <c r="D506" s="116" t="s">
        <v>2781</v>
      </c>
      <c r="E506" s="115">
        <v>2743.0</v>
      </c>
      <c r="F506" s="116">
        <v>4112112.0</v>
      </c>
      <c r="G506" s="116">
        <v>3.040263338E9</v>
      </c>
      <c r="H506" s="114"/>
      <c r="I506" s="114"/>
      <c r="J506" s="121">
        <v>46213.0</v>
      </c>
      <c r="K506" s="117"/>
      <c r="L506" s="116" t="s">
        <v>2929</v>
      </c>
      <c r="M506" s="116" t="s">
        <v>1352</v>
      </c>
      <c r="N506" s="118"/>
    </row>
    <row r="507">
      <c r="A507" s="115">
        <v>507.0</v>
      </c>
      <c r="B507" s="119" t="s">
        <v>95</v>
      </c>
      <c r="C507" s="119" t="s">
        <v>2930</v>
      </c>
      <c r="D507" s="120"/>
      <c r="E507" s="114"/>
      <c r="F507" s="116">
        <v>30316.0</v>
      </c>
      <c r="G507" s="116">
        <v>3.040263322E9</v>
      </c>
      <c r="H507" s="114"/>
      <c r="I507" s="114"/>
      <c r="J507" s="117"/>
      <c r="K507" s="117"/>
      <c r="L507" s="117"/>
      <c r="M507" s="117"/>
      <c r="N507" s="118"/>
    </row>
    <row r="508">
      <c r="A508" s="115">
        <v>508.0</v>
      </c>
      <c r="B508" s="116" t="s">
        <v>1765</v>
      </c>
      <c r="C508" s="116" t="s">
        <v>2931</v>
      </c>
      <c r="D508" s="116" t="s">
        <v>2887</v>
      </c>
      <c r="E508" s="115">
        <v>2740.0</v>
      </c>
      <c r="F508" s="116">
        <v>8.6815646E7</v>
      </c>
      <c r="G508" s="116">
        <v>3.040263332E9</v>
      </c>
      <c r="H508" s="114"/>
      <c r="I508" s="114"/>
      <c r="J508" s="121">
        <v>46205.0</v>
      </c>
      <c r="K508" s="117"/>
      <c r="L508" s="116" t="s">
        <v>2932</v>
      </c>
      <c r="M508" s="116" t="s">
        <v>16</v>
      </c>
      <c r="N508" s="118"/>
    </row>
    <row r="509">
      <c r="A509" s="115">
        <v>509.0</v>
      </c>
      <c r="B509" s="119" t="s">
        <v>129</v>
      </c>
      <c r="C509" s="119" t="s">
        <v>2933</v>
      </c>
      <c r="D509" s="120"/>
      <c r="E509" s="114"/>
      <c r="F509" s="116">
        <v>18685.0</v>
      </c>
      <c r="G509" s="116">
        <v>3.040263315E9</v>
      </c>
      <c r="H509" s="114"/>
      <c r="I509" s="114"/>
      <c r="J509" s="122">
        <v>46176.0</v>
      </c>
      <c r="K509" s="117"/>
      <c r="L509" s="124" t="s">
        <v>2934</v>
      </c>
      <c r="M509" s="116" t="s">
        <v>14</v>
      </c>
      <c r="N509" s="118"/>
    </row>
    <row r="510">
      <c r="A510" s="115">
        <v>510.0</v>
      </c>
      <c r="B510" s="116" t="s">
        <v>1745</v>
      </c>
      <c r="C510" s="116" t="s">
        <v>2935</v>
      </c>
      <c r="D510" s="117"/>
      <c r="E510" s="114"/>
      <c r="F510" s="116">
        <v>4155.0</v>
      </c>
      <c r="G510" s="116">
        <v>3.040263326E9</v>
      </c>
      <c r="H510" s="114"/>
      <c r="I510" s="114"/>
      <c r="J510" s="122">
        <v>46150.0</v>
      </c>
      <c r="K510" s="117"/>
      <c r="L510" s="124" t="s">
        <v>2936</v>
      </c>
      <c r="M510" s="116" t="s">
        <v>17</v>
      </c>
      <c r="N510" s="118"/>
    </row>
    <row r="511">
      <c r="A511" s="115">
        <v>511.0</v>
      </c>
      <c r="B511" s="119" t="s">
        <v>1765</v>
      </c>
      <c r="C511" s="119" t="s">
        <v>2931</v>
      </c>
      <c r="D511" s="120"/>
      <c r="E511" s="114"/>
      <c r="F511" s="116">
        <v>8.6815595E7</v>
      </c>
      <c r="G511" s="116">
        <v>3.040263333E9</v>
      </c>
      <c r="H511" s="114"/>
      <c r="I511" s="114"/>
      <c r="J511" s="117"/>
      <c r="K511" s="117"/>
      <c r="L511" s="117"/>
      <c r="M511" s="117"/>
      <c r="N511" s="118"/>
    </row>
    <row r="512">
      <c r="A512" s="115">
        <v>512.0</v>
      </c>
      <c r="B512" s="116" t="s">
        <v>1765</v>
      </c>
      <c r="C512" s="116" t="s">
        <v>2931</v>
      </c>
      <c r="D512" s="117"/>
      <c r="E512" s="114"/>
      <c r="F512" s="116">
        <v>8.6816588E7</v>
      </c>
      <c r="G512" s="116">
        <v>3.040263334E9</v>
      </c>
      <c r="H512" s="114"/>
      <c r="I512" s="114"/>
      <c r="J512" s="117"/>
      <c r="K512" s="117"/>
      <c r="L512" s="117"/>
      <c r="M512" s="117"/>
      <c r="N512" s="118"/>
    </row>
    <row r="513">
      <c r="A513" s="115">
        <v>513.0</v>
      </c>
      <c r="B513" s="119" t="s">
        <v>131</v>
      </c>
      <c r="C513" s="119" t="s">
        <v>2927</v>
      </c>
      <c r="D513" s="119" t="s">
        <v>2781</v>
      </c>
      <c r="E513" s="115">
        <v>2722.0</v>
      </c>
      <c r="F513" s="116">
        <v>4100932.0</v>
      </c>
      <c r="G513" s="116">
        <v>3.040263335E9</v>
      </c>
      <c r="H513" s="114"/>
      <c r="I513" s="114"/>
      <c r="J513" s="121">
        <v>46220.0</v>
      </c>
      <c r="K513" s="117"/>
      <c r="L513" s="116" t="s">
        <v>2553</v>
      </c>
      <c r="M513" s="116" t="s">
        <v>17</v>
      </c>
      <c r="N513" s="118"/>
    </row>
    <row r="514">
      <c r="A514" s="115">
        <v>514.0</v>
      </c>
      <c r="B514" s="116" t="s">
        <v>131</v>
      </c>
      <c r="C514" s="116" t="s">
        <v>2927</v>
      </c>
      <c r="D514" s="116" t="s">
        <v>2781</v>
      </c>
      <c r="E514" s="115">
        <v>2729.0</v>
      </c>
      <c r="F514" s="116">
        <v>96123.0</v>
      </c>
      <c r="G514" s="116">
        <v>3.040263336E9</v>
      </c>
      <c r="H514" s="114"/>
      <c r="I514" s="114"/>
      <c r="J514" s="121">
        <v>46224.0</v>
      </c>
      <c r="K514" s="117"/>
      <c r="L514" s="116" t="s">
        <v>2552</v>
      </c>
      <c r="M514" s="116" t="s">
        <v>17</v>
      </c>
      <c r="N514" s="118"/>
    </row>
    <row r="515">
      <c r="A515" s="115">
        <v>515.0</v>
      </c>
      <c r="B515" s="119" t="s">
        <v>95</v>
      </c>
      <c r="C515" s="119" t="s">
        <v>2937</v>
      </c>
      <c r="D515" s="120"/>
      <c r="E515" s="114"/>
      <c r="F515" s="116">
        <v>108207.0</v>
      </c>
      <c r="G515" s="116">
        <v>3.04026332E9</v>
      </c>
      <c r="H515" s="114"/>
      <c r="I515" s="114"/>
      <c r="J515" s="117"/>
      <c r="K515" s="117"/>
      <c r="L515" s="117"/>
      <c r="M515" s="117"/>
      <c r="N515" s="118"/>
    </row>
    <row r="516">
      <c r="A516" s="115">
        <v>516.0</v>
      </c>
      <c r="B516" s="116" t="s">
        <v>129</v>
      </c>
      <c r="C516" s="116" t="s">
        <v>2933</v>
      </c>
      <c r="D516" s="117"/>
      <c r="E516" s="114"/>
      <c r="F516" s="116">
        <v>16784.0</v>
      </c>
      <c r="G516" s="116">
        <v>3.040263316E9</v>
      </c>
      <c r="H516" s="114"/>
      <c r="I516" s="114"/>
      <c r="J516" s="122">
        <v>46155.0</v>
      </c>
      <c r="K516" s="117"/>
      <c r="L516" s="117"/>
      <c r="M516" s="117"/>
      <c r="N516" s="118"/>
    </row>
    <row r="517">
      <c r="A517" s="115">
        <v>517.0</v>
      </c>
      <c r="B517" s="119" t="s">
        <v>129</v>
      </c>
      <c r="C517" s="119" t="s">
        <v>2933</v>
      </c>
      <c r="D517" s="120"/>
      <c r="E517" s="114"/>
      <c r="F517" s="116">
        <v>16810.0</v>
      </c>
      <c r="G517" s="116">
        <v>3.040263317E9</v>
      </c>
      <c r="H517" s="114"/>
      <c r="I517" s="114"/>
      <c r="J517" s="122">
        <v>46156.0</v>
      </c>
      <c r="K517" s="117"/>
      <c r="L517" s="124" t="s">
        <v>2910</v>
      </c>
      <c r="M517" s="116" t="s">
        <v>17</v>
      </c>
      <c r="N517" s="118"/>
    </row>
    <row r="518">
      <c r="A518" s="115">
        <v>518.0</v>
      </c>
      <c r="B518" s="116" t="s">
        <v>1745</v>
      </c>
      <c r="C518" s="116" t="s">
        <v>2935</v>
      </c>
      <c r="D518" s="117"/>
      <c r="E518" s="114"/>
      <c r="F518" s="116">
        <v>4152.0</v>
      </c>
      <c r="G518" s="116">
        <v>3.040263325E9</v>
      </c>
      <c r="H518" s="114"/>
      <c r="I518" s="114"/>
      <c r="J518" s="122">
        <v>46185.0</v>
      </c>
      <c r="K518" s="117"/>
      <c r="L518" s="117"/>
      <c r="M518" s="117"/>
      <c r="N518" s="118"/>
    </row>
    <row r="519">
      <c r="A519" s="115">
        <v>519.0</v>
      </c>
      <c r="B519" s="119" t="s">
        <v>87</v>
      </c>
      <c r="C519" s="119" t="s">
        <v>2926</v>
      </c>
      <c r="D519" s="120"/>
      <c r="E519" s="114"/>
      <c r="F519" s="116" t="s">
        <v>2310</v>
      </c>
      <c r="G519" s="116">
        <v>3.040263287E9</v>
      </c>
      <c r="H519" s="114"/>
      <c r="I519" s="114"/>
      <c r="J519" s="121">
        <v>46230.0</v>
      </c>
      <c r="K519" s="117"/>
      <c r="L519" s="116" t="s">
        <v>2472</v>
      </c>
      <c r="M519" s="116" t="s">
        <v>12</v>
      </c>
      <c r="N519" s="118"/>
    </row>
    <row r="520">
      <c r="A520" s="115">
        <v>520.0</v>
      </c>
      <c r="B520" s="116" t="s">
        <v>87</v>
      </c>
      <c r="C520" s="116" t="s">
        <v>2926</v>
      </c>
      <c r="D520" s="117"/>
      <c r="E520" s="114"/>
      <c r="F520" s="116" t="s">
        <v>2312</v>
      </c>
      <c r="G520" s="116">
        <v>3.040263288E9</v>
      </c>
      <c r="H520" s="114"/>
      <c r="I520" s="114"/>
      <c r="J520" s="121">
        <v>46230.0</v>
      </c>
      <c r="K520" s="117"/>
      <c r="L520" s="116" t="s">
        <v>2472</v>
      </c>
      <c r="M520" s="116" t="s">
        <v>12</v>
      </c>
      <c r="N520" s="118"/>
    </row>
    <row r="521">
      <c r="A521" s="115">
        <v>521.0</v>
      </c>
      <c r="B521" s="119" t="s">
        <v>95</v>
      </c>
      <c r="C521" s="119" t="s">
        <v>2937</v>
      </c>
      <c r="D521" s="120"/>
      <c r="E521" s="114"/>
      <c r="F521" s="116">
        <v>102549.0</v>
      </c>
      <c r="G521" s="116">
        <v>3.040263319E9</v>
      </c>
      <c r="H521" s="114"/>
      <c r="I521" s="114"/>
      <c r="J521" s="121">
        <v>46230.0</v>
      </c>
      <c r="K521" s="117"/>
      <c r="L521" s="116" t="s">
        <v>2662</v>
      </c>
      <c r="M521" s="116" t="s">
        <v>12</v>
      </c>
      <c r="N521" s="118"/>
    </row>
    <row r="522">
      <c r="A522" s="115">
        <v>522.0</v>
      </c>
      <c r="B522" s="116" t="s">
        <v>1477</v>
      </c>
      <c r="C522" s="116" t="s">
        <v>2938</v>
      </c>
      <c r="D522" s="117"/>
      <c r="E522" s="114"/>
      <c r="F522" s="116">
        <v>1062.0</v>
      </c>
      <c r="G522" s="116">
        <v>3.040263283E9</v>
      </c>
      <c r="H522" s="114"/>
      <c r="I522" s="114"/>
      <c r="J522" s="121">
        <v>46230.0</v>
      </c>
      <c r="K522" s="117"/>
      <c r="L522" s="116" t="s">
        <v>2662</v>
      </c>
      <c r="M522" s="116" t="s">
        <v>12</v>
      </c>
      <c r="N522" s="118"/>
    </row>
    <row r="523">
      <c r="A523" s="115">
        <v>523.0</v>
      </c>
      <c r="B523" s="119" t="s">
        <v>1477</v>
      </c>
      <c r="C523" s="119" t="s">
        <v>2938</v>
      </c>
      <c r="D523" s="120"/>
      <c r="E523" s="114"/>
      <c r="F523" s="116">
        <v>8619.0</v>
      </c>
      <c r="G523" s="116">
        <v>3.040263284E9</v>
      </c>
      <c r="H523" s="114"/>
      <c r="I523" s="114"/>
      <c r="J523" s="121">
        <v>46230.0</v>
      </c>
      <c r="K523" s="117"/>
      <c r="L523" s="116" t="s">
        <v>2662</v>
      </c>
      <c r="M523" s="116" t="s">
        <v>12</v>
      </c>
      <c r="N523" s="118"/>
    </row>
    <row r="524">
      <c r="A524" s="115">
        <v>524.0</v>
      </c>
      <c r="B524" s="116" t="s">
        <v>129</v>
      </c>
      <c r="C524" s="116" t="s">
        <v>2933</v>
      </c>
      <c r="D524" s="117"/>
      <c r="E524" s="114"/>
      <c r="F524" s="116">
        <v>20238.0</v>
      </c>
      <c r="G524" s="116">
        <v>3.040263314E9</v>
      </c>
      <c r="H524" s="114"/>
      <c r="I524" s="114"/>
      <c r="J524" s="117"/>
      <c r="K524" s="117"/>
      <c r="L524" s="117"/>
      <c r="M524" s="117"/>
      <c r="N524" s="118"/>
    </row>
    <row r="525">
      <c r="A525" s="115">
        <v>525.0</v>
      </c>
      <c r="B525" s="119" t="s">
        <v>1745</v>
      </c>
      <c r="C525" s="119" t="s">
        <v>2935</v>
      </c>
      <c r="D525" s="120"/>
      <c r="E525" s="114"/>
      <c r="F525" s="116">
        <v>4136.0</v>
      </c>
      <c r="G525" s="116">
        <v>3.040263324E9</v>
      </c>
      <c r="H525" s="114"/>
      <c r="I525" s="114"/>
      <c r="J525" s="117"/>
      <c r="K525" s="117"/>
      <c r="L525" s="117"/>
      <c r="M525" s="117"/>
      <c r="N525" s="118"/>
    </row>
    <row r="526">
      <c r="A526" s="115">
        <v>526.0</v>
      </c>
      <c r="B526" s="116" t="s">
        <v>1337</v>
      </c>
      <c r="C526" s="116" t="s">
        <v>2751</v>
      </c>
      <c r="D526" s="117"/>
      <c r="E526" s="114"/>
      <c r="F526" s="116">
        <v>6291.0</v>
      </c>
      <c r="G526" s="116">
        <v>3.040263069E9</v>
      </c>
      <c r="H526" s="114"/>
      <c r="I526" s="114"/>
      <c r="J526" s="122">
        <v>46147.0</v>
      </c>
      <c r="K526" s="117"/>
      <c r="L526" s="124" t="s">
        <v>2939</v>
      </c>
      <c r="M526" s="117"/>
      <c r="N526" s="118"/>
    </row>
    <row r="527">
      <c r="A527" s="115">
        <v>527.0</v>
      </c>
      <c r="B527" s="119" t="s">
        <v>143</v>
      </c>
      <c r="C527" s="119" t="s">
        <v>2739</v>
      </c>
      <c r="D527" s="120"/>
      <c r="E527" s="114"/>
      <c r="F527" s="116" t="s">
        <v>1776</v>
      </c>
      <c r="G527" s="116">
        <v>3.040263443E9</v>
      </c>
      <c r="H527" s="114"/>
      <c r="I527" s="114"/>
      <c r="J527" s="117"/>
      <c r="K527" s="117"/>
      <c r="L527" s="117"/>
      <c r="M527" s="117"/>
      <c r="N527" s="118"/>
    </row>
    <row r="528">
      <c r="A528" s="115">
        <v>528.0</v>
      </c>
      <c r="B528" s="116" t="s">
        <v>143</v>
      </c>
      <c r="C528" s="116" t="s">
        <v>2739</v>
      </c>
      <c r="D528" s="117"/>
      <c r="E528" s="114"/>
      <c r="F528" s="116" t="s">
        <v>1777</v>
      </c>
      <c r="G528" s="116">
        <v>3.040263444E9</v>
      </c>
      <c r="H528" s="114"/>
      <c r="I528" s="114"/>
      <c r="J528" s="117"/>
      <c r="K528" s="117"/>
      <c r="L528" s="117"/>
      <c r="M528" s="117"/>
      <c r="N528" s="118"/>
    </row>
    <row r="529">
      <c r="A529" s="115">
        <v>529.0</v>
      </c>
      <c r="B529" s="119" t="s">
        <v>1745</v>
      </c>
      <c r="C529" s="119" t="s">
        <v>2617</v>
      </c>
      <c r="D529" s="120"/>
      <c r="E529" s="114"/>
      <c r="F529" s="116">
        <v>4157.0</v>
      </c>
      <c r="G529" s="116">
        <v>3.040263415E9</v>
      </c>
      <c r="H529" s="114"/>
      <c r="I529" s="114"/>
      <c r="J529" s="117"/>
      <c r="K529" s="117"/>
      <c r="L529" s="117"/>
      <c r="M529" s="117"/>
      <c r="N529" s="118"/>
    </row>
    <row r="530">
      <c r="A530" s="115">
        <v>530.0</v>
      </c>
      <c r="B530" s="116" t="s">
        <v>1745</v>
      </c>
      <c r="C530" s="116" t="s">
        <v>2617</v>
      </c>
      <c r="D530" s="117"/>
      <c r="E530" s="114"/>
      <c r="F530" s="116">
        <v>4129.0</v>
      </c>
      <c r="G530" s="116">
        <v>3.040263416E9</v>
      </c>
      <c r="H530" s="114"/>
      <c r="I530" s="114"/>
      <c r="J530" s="122">
        <v>46164.0</v>
      </c>
      <c r="K530" s="117"/>
      <c r="L530" s="124" t="s">
        <v>2940</v>
      </c>
      <c r="M530" s="116" t="s">
        <v>17</v>
      </c>
      <c r="N530" s="118"/>
    </row>
    <row r="531">
      <c r="A531" s="115">
        <v>531.0</v>
      </c>
      <c r="B531" s="119" t="s">
        <v>1745</v>
      </c>
      <c r="C531" s="119" t="s">
        <v>2617</v>
      </c>
      <c r="D531" s="120"/>
      <c r="E531" s="114"/>
      <c r="F531" s="116">
        <v>2913.0</v>
      </c>
      <c r="G531" s="116">
        <v>3.040263417E9</v>
      </c>
      <c r="H531" s="114"/>
      <c r="I531" s="114"/>
      <c r="J531" s="117"/>
      <c r="K531" s="117"/>
      <c r="L531" s="117"/>
      <c r="M531" s="117"/>
      <c r="N531" s="118"/>
    </row>
    <row r="532">
      <c r="A532" s="115">
        <v>532.0</v>
      </c>
      <c r="B532" s="116" t="s">
        <v>1421</v>
      </c>
      <c r="C532" s="116" t="s">
        <v>2941</v>
      </c>
      <c r="D532" s="117"/>
      <c r="E532" s="114"/>
      <c r="F532" s="116">
        <v>30559.0</v>
      </c>
      <c r="G532" s="116">
        <v>3.040263433E9</v>
      </c>
      <c r="H532" s="114"/>
      <c r="I532" s="114"/>
      <c r="J532" s="117"/>
      <c r="K532" s="117"/>
      <c r="L532" s="117"/>
      <c r="M532" s="117"/>
      <c r="N532" s="118"/>
    </row>
    <row r="533">
      <c r="A533" s="115">
        <v>533.0</v>
      </c>
      <c r="B533" s="119" t="s">
        <v>1421</v>
      </c>
      <c r="C533" s="119" t="s">
        <v>2941</v>
      </c>
      <c r="D533" s="120"/>
      <c r="E533" s="114"/>
      <c r="F533" s="116">
        <v>34851.0</v>
      </c>
      <c r="G533" s="116">
        <v>3.040263434E9</v>
      </c>
      <c r="H533" s="114"/>
      <c r="I533" s="114"/>
      <c r="J533" s="117"/>
      <c r="K533" s="117"/>
      <c r="L533" s="117"/>
      <c r="M533" s="117"/>
      <c r="N533" s="118"/>
    </row>
    <row r="534">
      <c r="A534" s="115">
        <v>534.0</v>
      </c>
      <c r="B534" s="116" t="s">
        <v>1421</v>
      </c>
      <c r="C534" s="116" t="s">
        <v>2941</v>
      </c>
      <c r="D534" s="117"/>
      <c r="E534" s="114"/>
      <c r="F534" s="116">
        <v>3958.0</v>
      </c>
      <c r="G534" s="116">
        <v>3.040263435E9</v>
      </c>
      <c r="H534" s="114"/>
      <c r="I534" s="114"/>
      <c r="J534" s="121">
        <v>46230.0</v>
      </c>
      <c r="K534" s="117"/>
      <c r="L534" s="116" t="s">
        <v>2853</v>
      </c>
      <c r="M534" s="116" t="s">
        <v>12</v>
      </c>
      <c r="N534" s="118"/>
    </row>
    <row r="535">
      <c r="A535" s="115">
        <v>535.0</v>
      </c>
      <c r="B535" s="119" t="s">
        <v>137</v>
      </c>
      <c r="C535" s="119" t="s">
        <v>2942</v>
      </c>
      <c r="D535" s="120"/>
      <c r="E535" s="114"/>
      <c r="F535" s="116">
        <v>35511.0</v>
      </c>
      <c r="G535" s="116">
        <v>3.040263577E9</v>
      </c>
      <c r="H535" s="114"/>
      <c r="I535" s="114"/>
      <c r="J535" s="117"/>
      <c r="K535" s="117"/>
      <c r="L535" s="117"/>
      <c r="M535" s="117"/>
      <c r="N535" s="118"/>
    </row>
    <row r="536">
      <c r="A536" s="115">
        <v>536.0</v>
      </c>
      <c r="B536" s="116" t="s">
        <v>149</v>
      </c>
      <c r="C536" s="116" t="s">
        <v>2883</v>
      </c>
      <c r="D536" s="117"/>
      <c r="E536" s="114"/>
      <c r="F536" s="116">
        <v>24970.0</v>
      </c>
      <c r="G536" s="116">
        <v>3.040263571E9</v>
      </c>
      <c r="H536" s="114"/>
      <c r="I536" s="114"/>
      <c r="J536" s="117"/>
      <c r="K536" s="117"/>
      <c r="L536" s="117"/>
      <c r="M536" s="117"/>
      <c r="N536" s="118"/>
    </row>
    <row r="537">
      <c r="A537" s="115">
        <v>537.0</v>
      </c>
      <c r="B537" s="119" t="s">
        <v>149</v>
      </c>
      <c r="C537" s="119" t="s">
        <v>2883</v>
      </c>
      <c r="D537" s="120"/>
      <c r="E537" s="114"/>
      <c r="F537" s="116">
        <v>21156.0</v>
      </c>
      <c r="G537" s="116">
        <v>3.040263572E9</v>
      </c>
      <c r="H537" s="114"/>
      <c r="I537" s="114"/>
      <c r="J537" s="117"/>
      <c r="K537" s="117"/>
      <c r="L537" s="117"/>
      <c r="M537" s="117"/>
      <c r="N537" s="118"/>
    </row>
    <row r="538">
      <c r="A538" s="115">
        <v>538.0</v>
      </c>
      <c r="B538" s="116" t="s">
        <v>149</v>
      </c>
      <c r="C538" s="116" t="s">
        <v>2883</v>
      </c>
      <c r="D538" s="117"/>
      <c r="E538" s="114"/>
      <c r="F538" s="116">
        <v>25424.0</v>
      </c>
      <c r="G538" s="116">
        <v>3.040263573E9</v>
      </c>
      <c r="H538" s="114"/>
      <c r="I538" s="114"/>
      <c r="J538" s="122">
        <v>46171.0</v>
      </c>
      <c r="K538" s="117"/>
      <c r="L538" s="124" t="s">
        <v>2558</v>
      </c>
      <c r="M538" s="116" t="s">
        <v>14</v>
      </c>
      <c r="N538" s="118"/>
    </row>
    <row r="539">
      <c r="A539" s="115">
        <v>539.0</v>
      </c>
      <c r="B539" s="119" t="s">
        <v>1781</v>
      </c>
      <c r="C539" s="119" t="s">
        <v>2943</v>
      </c>
      <c r="D539" s="120"/>
      <c r="E539" s="114"/>
      <c r="F539" s="116">
        <v>83287.0</v>
      </c>
      <c r="G539" s="116">
        <v>3.040263574E9</v>
      </c>
      <c r="H539" s="114"/>
      <c r="I539" s="114"/>
      <c r="J539" s="117"/>
      <c r="K539" s="117"/>
      <c r="L539" s="117"/>
      <c r="M539" s="117"/>
      <c r="N539" s="118"/>
    </row>
    <row r="540">
      <c r="A540" s="115">
        <v>540.0</v>
      </c>
      <c r="B540" s="116" t="s">
        <v>1781</v>
      </c>
      <c r="C540" s="116" t="s">
        <v>2943</v>
      </c>
      <c r="D540" s="117"/>
      <c r="E540" s="114"/>
      <c r="F540" s="116">
        <v>85023.0</v>
      </c>
      <c r="G540" s="116">
        <v>3.040263575E9</v>
      </c>
      <c r="H540" s="114"/>
      <c r="I540" s="114"/>
      <c r="J540" s="117"/>
      <c r="K540" s="117"/>
      <c r="L540" s="117"/>
      <c r="M540" s="117"/>
      <c r="N540" s="118"/>
    </row>
    <row r="541">
      <c r="A541" s="115">
        <v>541.0</v>
      </c>
      <c r="B541" s="119" t="s">
        <v>1781</v>
      </c>
      <c r="C541" s="119" t="s">
        <v>2943</v>
      </c>
      <c r="D541" s="120"/>
      <c r="E541" s="114"/>
      <c r="F541" s="116">
        <v>64318.0</v>
      </c>
      <c r="G541" s="116">
        <v>3.040263576E9</v>
      </c>
      <c r="H541" s="114"/>
      <c r="I541" s="114"/>
      <c r="J541" s="121">
        <v>46176.0</v>
      </c>
      <c r="K541" s="117"/>
      <c r="L541" s="124" t="s">
        <v>2944</v>
      </c>
      <c r="M541" s="117"/>
      <c r="N541" s="118"/>
    </row>
    <row r="542">
      <c r="A542" s="115">
        <v>542.0</v>
      </c>
      <c r="B542" s="116" t="s">
        <v>1789</v>
      </c>
      <c r="C542" s="116" t="s">
        <v>2927</v>
      </c>
      <c r="D542" s="117"/>
      <c r="E542" s="114"/>
      <c r="F542" s="116">
        <v>1713.0</v>
      </c>
      <c r="G542" s="116">
        <v>3.040263448E9</v>
      </c>
      <c r="H542" s="114"/>
      <c r="I542" s="114"/>
      <c r="J542" s="121">
        <v>46230.0</v>
      </c>
      <c r="K542" s="117"/>
      <c r="L542" s="116" t="s">
        <v>2853</v>
      </c>
      <c r="M542" s="116" t="s">
        <v>12</v>
      </c>
      <c r="N542" s="118"/>
    </row>
    <row r="543">
      <c r="A543" s="115">
        <v>543.0</v>
      </c>
      <c r="B543" s="119" t="s">
        <v>1789</v>
      </c>
      <c r="C543" s="119" t="s">
        <v>2927</v>
      </c>
      <c r="D543" s="120"/>
      <c r="E543" s="114"/>
      <c r="F543" s="116">
        <v>1652.0</v>
      </c>
      <c r="G543" s="116">
        <v>3.040263449E9</v>
      </c>
      <c r="H543" s="114"/>
      <c r="I543" s="114"/>
      <c r="J543" s="117"/>
      <c r="K543" s="117"/>
      <c r="L543" s="117"/>
      <c r="M543" s="117"/>
      <c r="N543" s="118"/>
    </row>
    <row r="544">
      <c r="A544" s="115">
        <v>544.0</v>
      </c>
      <c r="B544" s="116" t="s">
        <v>1724</v>
      </c>
      <c r="C544" s="116" t="s">
        <v>2945</v>
      </c>
      <c r="D544" s="117"/>
      <c r="E544" s="114"/>
      <c r="F544" s="116" t="s">
        <v>1794</v>
      </c>
      <c r="G544" s="116">
        <v>3.040263877E9</v>
      </c>
      <c r="H544" s="114"/>
      <c r="I544" s="114"/>
      <c r="J544" s="117"/>
      <c r="K544" s="117"/>
      <c r="L544" s="117"/>
      <c r="M544" s="117"/>
      <c r="N544" s="118"/>
    </row>
    <row r="545">
      <c r="A545" s="115">
        <v>545.0</v>
      </c>
      <c r="B545" s="119" t="s">
        <v>1724</v>
      </c>
      <c r="C545" s="119" t="s">
        <v>2945</v>
      </c>
      <c r="D545" s="120"/>
      <c r="E545" s="114"/>
      <c r="F545" s="116" t="s">
        <v>2377</v>
      </c>
      <c r="G545" s="116">
        <v>3.040263878E9</v>
      </c>
      <c r="H545" s="114"/>
      <c r="I545" s="114"/>
      <c r="J545" s="117"/>
      <c r="K545" s="117"/>
      <c r="L545" s="117"/>
      <c r="M545" s="117"/>
      <c r="N545" s="118"/>
    </row>
    <row r="546">
      <c r="A546" s="115">
        <v>546.0</v>
      </c>
      <c r="B546" s="116" t="s">
        <v>1590</v>
      </c>
      <c r="C546" s="116" t="s">
        <v>2946</v>
      </c>
      <c r="D546" s="117"/>
      <c r="E546" s="114"/>
      <c r="F546" s="116">
        <v>94934.0</v>
      </c>
      <c r="G546" s="116">
        <v>3.040263797E9</v>
      </c>
      <c r="H546" s="114"/>
      <c r="I546" s="114"/>
      <c r="J546" s="117"/>
      <c r="K546" s="117"/>
      <c r="L546" s="117"/>
      <c r="M546" s="117"/>
      <c r="N546" s="118"/>
    </row>
    <row r="547">
      <c r="A547" s="115">
        <v>547.0</v>
      </c>
      <c r="B547" s="119" t="s">
        <v>1590</v>
      </c>
      <c r="C547" s="119" t="s">
        <v>2946</v>
      </c>
      <c r="D547" s="120"/>
      <c r="E547" s="114"/>
      <c r="F547" s="116">
        <v>89177.0</v>
      </c>
      <c r="G547" s="116">
        <v>3.040263798E9</v>
      </c>
      <c r="H547" s="114"/>
      <c r="I547" s="114"/>
      <c r="J547" s="117"/>
      <c r="K547" s="117"/>
      <c r="L547" s="117"/>
      <c r="M547" s="117"/>
      <c r="N547" s="118"/>
    </row>
    <row r="548">
      <c r="A548" s="115">
        <v>548.0</v>
      </c>
      <c r="B548" s="116" t="s">
        <v>1590</v>
      </c>
      <c r="C548" s="116" t="s">
        <v>2946</v>
      </c>
      <c r="D548" s="116" t="s">
        <v>2774</v>
      </c>
      <c r="E548" s="115">
        <v>2723.0</v>
      </c>
      <c r="F548" s="116">
        <v>25304.0</v>
      </c>
      <c r="G548" s="116">
        <v>3.040263799E9</v>
      </c>
      <c r="H548" s="114"/>
      <c r="I548" s="114"/>
      <c r="J548" s="121">
        <v>46211.0</v>
      </c>
      <c r="K548" s="117"/>
      <c r="L548" s="116" t="s">
        <v>2947</v>
      </c>
      <c r="M548" s="116" t="s">
        <v>21</v>
      </c>
      <c r="N548" s="118"/>
    </row>
    <row r="549">
      <c r="A549" s="115">
        <v>549.0</v>
      </c>
      <c r="B549" s="119" t="s">
        <v>129</v>
      </c>
      <c r="C549" s="119" t="s">
        <v>2933</v>
      </c>
      <c r="D549" s="120"/>
      <c r="E549" s="114"/>
      <c r="F549" s="116">
        <v>17143.0</v>
      </c>
      <c r="G549" s="116">
        <v>3.040264246E9</v>
      </c>
      <c r="H549" s="114"/>
      <c r="I549" s="114"/>
      <c r="J549" s="122">
        <v>46183.0</v>
      </c>
      <c r="K549" s="117"/>
      <c r="L549" s="117"/>
      <c r="M549" s="117"/>
      <c r="N549" s="118"/>
    </row>
    <row r="550">
      <c r="A550" s="115">
        <v>550.0</v>
      </c>
      <c r="B550" s="116" t="s">
        <v>195</v>
      </c>
      <c r="C550" s="116" t="s">
        <v>2948</v>
      </c>
      <c r="D550" s="117"/>
      <c r="E550" s="114"/>
      <c r="F550" s="116">
        <v>612.0</v>
      </c>
      <c r="G550" s="116">
        <v>3.040264262E9</v>
      </c>
      <c r="H550" s="114"/>
      <c r="I550" s="114"/>
      <c r="J550" s="122">
        <v>46191.0</v>
      </c>
      <c r="K550" s="117"/>
      <c r="L550" s="117"/>
      <c r="M550" s="117"/>
      <c r="N550" s="118"/>
    </row>
    <row r="551">
      <c r="A551" s="115">
        <v>551.0</v>
      </c>
      <c r="B551" s="119" t="s">
        <v>195</v>
      </c>
      <c r="C551" s="119" t="s">
        <v>2948</v>
      </c>
      <c r="D551" s="120"/>
      <c r="E551" s="114"/>
      <c r="F551" s="116" t="s">
        <v>2391</v>
      </c>
      <c r="G551" s="116">
        <v>3.040264263E9</v>
      </c>
      <c r="H551" s="114"/>
      <c r="I551" s="114"/>
      <c r="J551" s="122">
        <v>46176.0</v>
      </c>
      <c r="K551" s="117"/>
      <c r="L551" s="124" t="s">
        <v>2934</v>
      </c>
      <c r="M551" s="116" t="s">
        <v>14</v>
      </c>
      <c r="N551" s="118"/>
    </row>
    <row r="552">
      <c r="A552" s="115">
        <v>552.0</v>
      </c>
      <c r="B552" s="116" t="s">
        <v>123</v>
      </c>
      <c r="C552" s="116" t="s">
        <v>2883</v>
      </c>
      <c r="D552" s="117"/>
      <c r="E552" s="114"/>
      <c r="F552" s="116">
        <v>5155.0</v>
      </c>
      <c r="G552" s="116">
        <v>3.040263795E9</v>
      </c>
      <c r="H552" s="114"/>
      <c r="I552" s="114"/>
      <c r="J552" s="117"/>
      <c r="K552" s="117"/>
      <c r="L552" s="117"/>
      <c r="M552" s="117"/>
      <c r="N552" s="118"/>
    </row>
    <row r="553">
      <c r="A553" s="115">
        <v>553.0</v>
      </c>
      <c r="B553" s="119" t="s">
        <v>123</v>
      </c>
      <c r="C553" s="119" t="s">
        <v>2883</v>
      </c>
      <c r="D553" s="120"/>
      <c r="E553" s="114"/>
      <c r="F553" s="116">
        <v>2333.0</v>
      </c>
      <c r="G553" s="116">
        <v>3.040263796E9</v>
      </c>
      <c r="H553" s="114"/>
      <c r="I553" s="114"/>
      <c r="J553" s="117"/>
      <c r="K553" s="117"/>
      <c r="L553" s="117"/>
      <c r="M553" s="117"/>
      <c r="N553" s="118"/>
    </row>
    <row r="554">
      <c r="A554" s="115">
        <v>554.0</v>
      </c>
      <c r="B554" s="116" t="s">
        <v>1745</v>
      </c>
      <c r="C554" s="116" t="s">
        <v>2949</v>
      </c>
      <c r="D554" s="117"/>
      <c r="E554" s="114"/>
      <c r="F554" s="116">
        <v>4164.0</v>
      </c>
      <c r="G554" s="116">
        <v>3.040264243E9</v>
      </c>
      <c r="H554" s="114"/>
      <c r="I554" s="114"/>
      <c r="J554" s="117"/>
      <c r="K554" s="117"/>
      <c r="L554" s="117"/>
      <c r="M554" s="117"/>
      <c r="N554" s="118"/>
    </row>
    <row r="555">
      <c r="A555" s="115">
        <v>555.0</v>
      </c>
      <c r="B555" s="119" t="s">
        <v>1745</v>
      </c>
      <c r="C555" s="119" t="s">
        <v>2949</v>
      </c>
      <c r="D555" s="120"/>
      <c r="E555" s="114"/>
      <c r="F555" s="116">
        <v>4154.0</v>
      </c>
      <c r="G555" s="116">
        <v>3.040264244E9</v>
      </c>
      <c r="H555" s="114"/>
      <c r="I555" s="114"/>
      <c r="J555" s="117"/>
      <c r="K555" s="117"/>
      <c r="L555" s="117"/>
      <c r="M555" s="117"/>
      <c r="N555" s="118"/>
    </row>
    <row r="556">
      <c r="A556" s="115">
        <v>556.0</v>
      </c>
      <c r="B556" s="116" t="s">
        <v>1805</v>
      </c>
      <c r="C556" s="116" t="s">
        <v>2678</v>
      </c>
      <c r="D556" s="117"/>
      <c r="E556" s="114"/>
      <c r="F556" s="116" t="s">
        <v>2386</v>
      </c>
      <c r="G556" s="116">
        <v>3.040264263E9</v>
      </c>
      <c r="H556" s="114"/>
      <c r="I556" s="114"/>
      <c r="J556" s="122">
        <v>46191.0</v>
      </c>
      <c r="K556" s="117"/>
      <c r="L556" s="124" t="s">
        <v>2565</v>
      </c>
      <c r="M556" s="117"/>
      <c r="N556" s="118"/>
    </row>
    <row r="557">
      <c r="A557" s="115">
        <v>557.0</v>
      </c>
      <c r="B557" s="119" t="s">
        <v>1805</v>
      </c>
      <c r="C557" s="119" t="s">
        <v>2678</v>
      </c>
      <c r="D557" s="120"/>
      <c r="E557" s="114"/>
      <c r="F557" s="116" t="s">
        <v>1807</v>
      </c>
      <c r="G557" s="116">
        <v>3.040264237E9</v>
      </c>
      <c r="H557" s="114"/>
      <c r="I557" s="114"/>
      <c r="J557" s="117"/>
      <c r="K557" s="117"/>
      <c r="L557" s="117"/>
      <c r="M557" s="117"/>
      <c r="N557" s="118"/>
    </row>
    <row r="558">
      <c r="A558" s="115">
        <v>558.0</v>
      </c>
      <c r="B558" s="116" t="s">
        <v>187</v>
      </c>
      <c r="C558" s="116" t="s">
        <v>2846</v>
      </c>
      <c r="D558" s="117"/>
      <c r="E558" s="114"/>
      <c r="F558" s="116" t="s">
        <v>2405</v>
      </c>
      <c r="G558" s="116">
        <v>3.04026424E9</v>
      </c>
      <c r="H558" s="114"/>
      <c r="I558" s="114"/>
      <c r="J558" s="121">
        <v>46230.0</v>
      </c>
      <c r="K558" s="117"/>
      <c r="L558" s="116" t="s">
        <v>2853</v>
      </c>
      <c r="M558" s="116" t="s">
        <v>12</v>
      </c>
      <c r="N558" s="118"/>
    </row>
    <row r="559">
      <c r="A559" s="115">
        <v>559.0</v>
      </c>
      <c r="B559" s="119" t="s">
        <v>187</v>
      </c>
      <c r="C559" s="119" t="s">
        <v>2846</v>
      </c>
      <c r="D559" s="120"/>
      <c r="E559" s="114"/>
      <c r="F559" s="116" t="s">
        <v>2403</v>
      </c>
      <c r="G559" s="116">
        <v>3.040264264E9</v>
      </c>
      <c r="H559" s="114"/>
      <c r="I559" s="114"/>
      <c r="J559" s="117"/>
      <c r="K559" s="117"/>
      <c r="L559" s="117"/>
      <c r="M559" s="117"/>
      <c r="N559" s="118"/>
    </row>
    <row r="560">
      <c r="A560" s="115">
        <v>560.0</v>
      </c>
      <c r="B560" s="116" t="s">
        <v>187</v>
      </c>
      <c r="C560" s="116" t="s">
        <v>2846</v>
      </c>
      <c r="D560" s="117"/>
      <c r="E560" s="114"/>
      <c r="F560" s="116" t="s">
        <v>2397</v>
      </c>
      <c r="G560" s="116">
        <v>3.040264238E9</v>
      </c>
      <c r="H560" s="114"/>
      <c r="I560" s="114"/>
      <c r="J560" s="117"/>
      <c r="K560" s="117"/>
      <c r="L560" s="117"/>
      <c r="M560" s="117"/>
      <c r="N560" s="118"/>
    </row>
    <row r="561">
      <c r="A561" s="115">
        <v>561.0</v>
      </c>
      <c r="B561" s="119" t="s">
        <v>187</v>
      </c>
      <c r="C561" s="119" t="s">
        <v>2846</v>
      </c>
      <c r="D561" s="120"/>
      <c r="E561" s="114"/>
      <c r="F561" s="116" t="s">
        <v>2399</v>
      </c>
      <c r="G561" s="116">
        <v>3.040264241E9</v>
      </c>
      <c r="H561" s="114"/>
      <c r="I561" s="114"/>
      <c r="J561" s="121">
        <v>46230.0</v>
      </c>
      <c r="K561" s="117"/>
      <c r="L561" s="116" t="s">
        <v>2853</v>
      </c>
      <c r="M561" s="116" t="s">
        <v>12</v>
      </c>
      <c r="N561" s="118"/>
    </row>
    <row r="562">
      <c r="A562" s="115">
        <v>562.0</v>
      </c>
      <c r="B562" s="116" t="s">
        <v>187</v>
      </c>
      <c r="C562" s="116" t="s">
        <v>2846</v>
      </c>
      <c r="D562" s="117"/>
      <c r="E562" s="114"/>
      <c r="F562" s="116" t="s">
        <v>2401</v>
      </c>
      <c r="G562" s="116">
        <v>3.040264242E9</v>
      </c>
      <c r="H562" s="114"/>
      <c r="I562" s="114"/>
      <c r="J562" s="122">
        <v>46191.0</v>
      </c>
      <c r="K562" s="117"/>
      <c r="L562" s="124" t="s">
        <v>2565</v>
      </c>
      <c r="M562" s="117"/>
      <c r="N562" s="118"/>
    </row>
    <row r="563">
      <c r="A563" s="115">
        <v>563.0</v>
      </c>
      <c r="B563" s="119" t="s">
        <v>129</v>
      </c>
      <c r="C563" s="119" t="s">
        <v>2933</v>
      </c>
      <c r="D563" s="120"/>
      <c r="E563" s="114"/>
      <c r="F563" s="116">
        <v>9920.0</v>
      </c>
      <c r="G563" s="116">
        <v>3.040264572E9</v>
      </c>
      <c r="H563" s="114"/>
      <c r="I563" s="114"/>
      <c r="J563" s="117"/>
      <c r="K563" s="117"/>
      <c r="L563" s="117"/>
      <c r="M563" s="117"/>
      <c r="N563" s="118"/>
    </row>
    <row r="564">
      <c r="A564" s="115">
        <v>564.0</v>
      </c>
      <c r="B564" s="116" t="s">
        <v>129</v>
      </c>
      <c r="C564" s="116" t="s">
        <v>2933</v>
      </c>
      <c r="D564" s="117"/>
      <c r="E564" s="114"/>
      <c r="F564" s="116">
        <v>14396.0</v>
      </c>
      <c r="G564" s="116">
        <v>3.040264573E9</v>
      </c>
      <c r="H564" s="114"/>
      <c r="I564" s="114"/>
      <c r="J564" s="117"/>
      <c r="K564" s="117"/>
      <c r="L564" s="117"/>
      <c r="M564" s="117"/>
      <c r="N564" s="118"/>
    </row>
    <row r="565">
      <c r="A565" s="115">
        <v>565.0</v>
      </c>
      <c r="B565" s="119" t="s">
        <v>129</v>
      </c>
      <c r="C565" s="119" t="s">
        <v>2933</v>
      </c>
      <c r="D565" s="120"/>
      <c r="E565" s="114"/>
      <c r="F565" s="116">
        <v>14251.0</v>
      </c>
      <c r="G565" s="116">
        <v>3.040264574E9</v>
      </c>
      <c r="H565" s="114"/>
      <c r="I565" s="114"/>
      <c r="J565" s="117"/>
      <c r="K565" s="117"/>
      <c r="L565" s="117"/>
      <c r="M565" s="117"/>
      <c r="N565" s="118"/>
    </row>
    <row r="566">
      <c r="A566" s="115">
        <v>566.0</v>
      </c>
      <c r="B566" s="116" t="s">
        <v>129</v>
      </c>
      <c r="C566" s="116" t="s">
        <v>2933</v>
      </c>
      <c r="D566" s="117"/>
      <c r="E566" s="114"/>
      <c r="F566" s="116">
        <v>20528.0</v>
      </c>
      <c r="G566" s="116">
        <v>3.040264576E9</v>
      </c>
      <c r="H566" s="114"/>
      <c r="I566" s="114"/>
      <c r="J566" s="117"/>
      <c r="K566" s="117"/>
      <c r="L566" s="117"/>
      <c r="M566" s="117"/>
      <c r="N566" s="118"/>
    </row>
    <row r="567">
      <c r="A567" s="115">
        <v>567.0</v>
      </c>
      <c r="B567" s="119" t="s">
        <v>129</v>
      </c>
      <c r="C567" s="119" t="s">
        <v>2933</v>
      </c>
      <c r="D567" s="120"/>
      <c r="E567" s="114"/>
      <c r="F567" s="116">
        <v>9599.0</v>
      </c>
      <c r="G567" s="116">
        <v>3.040264577E9</v>
      </c>
      <c r="H567" s="114"/>
      <c r="I567" s="114"/>
      <c r="J567" s="122">
        <v>46191.0</v>
      </c>
      <c r="K567" s="117"/>
      <c r="L567" s="124" t="s">
        <v>2950</v>
      </c>
      <c r="M567" s="117"/>
      <c r="N567" s="118"/>
    </row>
    <row r="568">
      <c r="A568" s="115">
        <v>568.0</v>
      </c>
      <c r="B568" s="116" t="s">
        <v>129</v>
      </c>
      <c r="C568" s="116" t="s">
        <v>2933</v>
      </c>
      <c r="D568" s="117"/>
      <c r="E568" s="114"/>
      <c r="F568" s="116">
        <v>19955.0</v>
      </c>
      <c r="G568" s="116">
        <v>3.040264579E9</v>
      </c>
      <c r="H568" s="114"/>
      <c r="I568" s="114"/>
      <c r="J568" s="117"/>
      <c r="K568" s="117"/>
      <c r="L568" s="117"/>
      <c r="M568" s="117"/>
      <c r="N568" s="118"/>
    </row>
    <row r="569">
      <c r="A569" s="115">
        <v>569.0</v>
      </c>
      <c r="B569" s="119" t="s">
        <v>1828</v>
      </c>
      <c r="C569" s="119" t="s">
        <v>2677</v>
      </c>
      <c r="D569" s="120"/>
      <c r="E569" s="114"/>
      <c r="F569" s="116">
        <v>6309.0</v>
      </c>
      <c r="G569" s="116">
        <v>3.040264727E9</v>
      </c>
      <c r="H569" s="114"/>
      <c r="I569" s="114"/>
      <c r="J569" s="117"/>
      <c r="K569" s="117"/>
      <c r="L569" s="117"/>
      <c r="M569" s="117"/>
      <c r="N569" s="118"/>
    </row>
    <row r="570">
      <c r="A570" s="115">
        <v>570.0</v>
      </c>
      <c r="B570" s="116" t="s">
        <v>2423</v>
      </c>
      <c r="C570" s="116" t="s">
        <v>2677</v>
      </c>
      <c r="D570" s="117"/>
      <c r="E570" s="114"/>
      <c r="F570" s="116">
        <v>5.04011190625165E14</v>
      </c>
      <c r="G570" s="116">
        <v>3.040264728E9</v>
      </c>
      <c r="H570" s="114"/>
      <c r="I570" s="114"/>
      <c r="J570" s="117"/>
      <c r="K570" s="117"/>
      <c r="L570" s="117"/>
      <c r="M570" s="117"/>
      <c r="N570" s="118"/>
    </row>
    <row r="571">
      <c r="A571" s="115">
        <v>571.0</v>
      </c>
      <c r="B571" s="119" t="s">
        <v>2423</v>
      </c>
      <c r="C571" s="119" t="s">
        <v>2677</v>
      </c>
      <c r="D571" s="120"/>
      <c r="E571" s="114"/>
      <c r="F571" s="116">
        <v>5.04011190625186E14</v>
      </c>
      <c r="G571" s="116">
        <v>3.040264729E9</v>
      </c>
      <c r="H571" s="114"/>
      <c r="I571" s="114"/>
      <c r="J571" s="117"/>
      <c r="K571" s="117"/>
      <c r="L571" s="117"/>
      <c r="M571" s="117"/>
      <c r="N571" s="118"/>
    </row>
    <row r="572">
      <c r="A572" s="115">
        <v>572.0</v>
      </c>
      <c r="B572" s="116" t="s">
        <v>153</v>
      </c>
      <c r="C572" s="116" t="s">
        <v>2951</v>
      </c>
      <c r="D572" s="117"/>
      <c r="E572" s="114"/>
      <c r="F572" s="116" t="s">
        <v>1826</v>
      </c>
      <c r="G572" s="116">
        <v>3.040264724E9</v>
      </c>
      <c r="H572" s="114"/>
      <c r="I572" s="114"/>
      <c r="J572" s="117"/>
      <c r="K572" s="117"/>
      <c r="L572" s="117"/>
      <c r="M572" s="117"/>
      <c r="N572" s="118"/>
    </row>
    <row r="573">
      <c r="A573" s="115">
        <v>573.0</v>
      </c>
      <c r="B573" s="119" t="s">
        <v>195</v>
      </c>
      <c r="C573" s="119" t="s">
        <v>2919</v>
      </c>
      <c r="D573" s="120"/>
      <c r="E573" s="114"/>
      <c r="F573" s="116">
        <v>580.0</v>
      </c>
      <c r="G573" s="116">
        <v>3.040264718E9</v>
      </c>
      <c r="H573" s="114"/>
      <c r="I573" s="114"/>
      <c r="J573" s="121">
        <v>46230.0</v>
      </c>
      <c r="K573" s="117"/>
      <c r="L573" s="116" t="s">
        <v>2853</v>
      </c>
      <c r="M573" s="116" t="s">
        <v>12</v>
      </c>
      <c r="N573" s="118"/>
    </row>
    <row r="574">
      <c r="A574" s="115">
        <v>574.0</v>
      </c>
      <c r="B574" s="116" t="s">
        <v>1849</v>
      </c>
      <c r="C574" s="116" t="s">
        <v>2678</v>
      </c>
      <c r="D574" s="117"/>
      <c r="E574" s="114"/>
      <c r="F574" s="116" t="s">
        <v>2419</v>
      </c>
      <c r="G574" s="116">
        <v>3.04026471E9</v>
      </c>
      <c r="H574" s="114"/>
      <c r="I574" s="114"/>
      <c r="J574" s="117"/>
      <c r="K574" s="117"/>
      <c r="L574" s="117"/>
      <c r="M574" s="117"/>
      <c r="N574" s="118"/>
    </row>
    <row r="575">
      <c r="A575" s="115">
        <v>575.0</v>
      </c>
      <c r="B575" s="119" t="s">
        <v>1849</v>
      </c>
      <c r="C575" s="119" t="s">
        <v>2678</v>
      </c>
      <c r="D575" s="120"/>
      <c r="E575" s="114"/>
      <c r="F575" s="116" t="s">
        <v>2421</v>
      </c>
      <c r="G575" s="116">
        <v>3.040264711E9</v>
      </c>
      <c r="H575" s="114"/>
      <c r="I575" s="114"/>
      <c r="J575" s="117"/>
      <c r="K575" s="117"/>
      <c r="L575" s="117"/>
      <c r="M575" s="117"/>
      <c r="N575" s="118"/>
    </row>
    <row r="576">
      <c r="A576" s="115">
        <v>576.0</v>
      </c>
      <c r="B576" s="116" t="s">
        <v>1818</v>
      </c>
      <c r="C576" s="116" t="s">
        <v>2896</v>
      </c>
      <c r="D576" s="117"/>
      <c r="E576" s="114"/>
      <c r="F576" s="116" t="s">
        <v>2417</v>
      </c>
      <c r="G576" s="116">
        <v>3.040264643E9</v>
      </c>
      <c r="H576" s="114"/>
      <c r="I576" s="114"/>
      <c r="J576" s="117"/>
      <c r="K576" s="117"/>
      <c r="L576" s="117"/>
      <c r="M576" s="117"/>
      <c r="N576" s="118"/>
    </row>
    <row r="577">
      <c r="A577" s="115">
        <v>577.0</v>
      </c>
      <c r="B577" s="119" t="s">
        <v>1818</v>
      </c>
      <c r="C577" s="119" t="s">
        <v>2896</v>
      </c>
      <c r="D577" s="120"/>
      <c r="E577" s="114"/>
      <c r="F577" s="116" t="s">
        <v>1820</v>
      </c>
      <c r="G577" s="116">
        <v>3.040264645E9</v>
      </c>
      <c r="H577" s="114"/>
      <c r="I577" s="114"/>
      <c r="J577" s="117"/>
      <c r="K577" s="117"/>
      <c r="L577" s="117"/>
      <c r="M577" s="117"/>
      <c r="N577" s="118"/>
    </row>
    <row r="578">
      <c r="A578" s="115">
        <v>578.0</v>
      </c>
      <c r="B578" s="116" t="s">
        <v>1818</v>
      </c>
      <c r="C578" s="116" t="s">
        <v>2896</v>
      </c>
      <c r="D578" s="117"/>
      <c r="E578" s="114"/>
      <c r="F578" s="116" t="s">
        <v>1824</v>
      </c>
      <c r="G578" s="116">
        <v>3.040264646E9</v>
      </c>
      <c r="H578" s="114"/>
      <c r="I578" s="114"/>
      <c r="J578" s="117"/>
      <c r="K578" s="117"/>
      <c r="L578" s="117"/>
      <c r="M578" s="117"/>
      <c r="N578" s="118"/>
    </row>
    <row r="579">
      <c r="A579" s="115">
        <v>579.0</v>
      </c>
      <c r="B579" s="119" t="s">
        <v>1818</v>
      </c>
      <c r="C579" s="119" t="s">
        <v>2896</v>
      </c>
      <c r="D579" s="120"/>
      <c r="E579" s="114"/>
      <c r="F579" s="116" t="s">
        <v>1822</v>
      </c>
      <c r="G579" s="116">
        <v>3.040264647E9</v>
      </c>
      <c r="H579" s="114"/>
      <c r="I579" s="114"/>
      <c r="J579" s="117"/>
      <c r="K579" s="117"/>
      <c r="L579" s="117"/>
      <c r="M579" s="117"/>
      <c r="N579" s="118"/>
    </row>
    <row r="580">
      <c r="A580" s="115">
        <v>580.0</v>
      </c>
      <c r="B580" s="116" t="s">
        <v>179</v>
      </c>
      <c r="C580" s="116" t="s">
        <v>2952</v>
      </c>
      <c r="D580" s="117"/>
      <c r="E580" s="114"/>
      <c r="F580" s="116" t="s">
        <v>1853</v>
      </c>
      <c r="G580" s="116">
        <v>3.040264731E9</v>
      </c>
      <c r="H580" s="114"/>
      <c r="I580" s="114"/>
      <c r="J580" s="117"/>
      <c r="K580" s="117"/>
      <c r="L580" s="117"/>
      <c r="M580" s="117"/>
      <c r="N580" s="118"/>
    </row>
    <row r="581">
      <c r="A581" s="115">
        <v>581.0</v>
      </c>
      <c r="B581" s="119" t="s">
        <v>179</v>
      </c>
      <c r="C581" s="119" t="s">
        <v>2952</v>
      </c>
      <c r="D581" s="120"/>
      <c r="E581" s="114"/>
      <c r="F581" s="116" t="s">
        <v>1859</v>
      </c>
      <c r="G581" s="116">
        <v>3.040264732E9</v>
      </c>
      <c r="H581" s="114"/>
      <c r="I581" s="114"/>
      <c r="J581" s="117"/>
      <c r="K581" s="117"/>
      <c r="L581" s="117"/>
      <c r="M581" s="117"/>
      <c r="N581" s="118"/>
    </row>
    <row r="582">
      <c r="A582" s="115">
        <v>582.0</v>
      </c>
      <c r="B582" s="116" t="s">
        <v>1855</v>
      </c>
      <c r="C582" s="116" t="s">
        <v>2953</v>
      </c>
      <c r="D582" s="117"/>
      <c r="E582" s="114"/>
      <c r="F582" s="116" t="s">
        <v>1857</v>
      </c>
      <c r="G582" s="116">
        <v>3.04026473E9</v>
      </c>
      <c r="H582" s="114"/>
      <c r="I582" s="114"/>
      <c r="J582" s="117"/>
      <c r="K582" s="117"/>
      <c r="L582" s="117"/>
      <c r="M582" s="117"/>
      <c r="N582" s="118"/>
    </row>
    <row r="583">
      <c r="A583" s="115">
        <v>583.0</v>
      </c>
      <c r="B583" s="119" t="s">
        <v>153</v>
      </c>
      <c r="C583" s="119" t="s">
        <v>2692</v>
      </c>
      <c r="D583" s="120"/>
      <c r="E583" s="114"/>
      <c r="F583" s="116" t="s">
        <v>1844</v>
      </c>
      <c r="G583" s="116">
        <v>3.040264725E9</v>
      </c>
      <c r="H583" s="114"/>
      <c r="I583" s="114"/>
      <c r="J583" s="117"/>
      <c r="K583" s="117"/>
      <c r="L583" s="117"/>
      <c r="M583" s="117"/>
      <c r="N583" s="118"/>
    </row>
    <row r="584">
      <c r="A584" s="115">
        <v>584.0</v>
      </c>
      <c r="B584" s="116" t="s">
        <v>197</v>
      </c>
      <c r="C584" s="116" t="s">
        <v>2954</v>
      </c>
      <c r="D584" s="117"/>
      <c r="E584" s="114"/>
      <c r="F584" s="116" t="s">
        <v>1839</v>
      </c>
      <c r="G584" s="116">
        <v>3.040264719E9</v>
      </c>
      <c r="H584" s="114"/>
      <c r="I584" s="114"/>
      <c r="J584" s="117"/>
      <c r="K584" s="117"/>
      <c r="L584" s="117"/>
      <c r="M584" s="117"/>
      <c r="N584" s="118"/>
    </row>
    <row r="585">
      <c r="A585" s="115">
        <v>585.0</v>
      </c>
      <c r="B585" s="119" t="s">
        <v>197</v>
      </c>
      <c r="C585" s="119" t="s">
        <v>2954</v>
      </c>
      <c r="D585" s="120"/>
      <c r="E585" s="114"/>
      <c r="F585" s="116" t="s">
        <v>1837</v>
      </c>
      <c r="G585" s="116">
        <v>3.04026472E9</v>
      </c>
      <c r="H585" s="114"/>
      <c r="I585" s="114"/>
      <c r="J585" s="117"/>
      <c r="K585" s="117"/>
      <c r="L585" s="117"/>
      <c r="M585" s="117"/>
      <c r="N585" s="118"/>
    </row>
    <row r="586">
      <c r="A586" s="115">
        <v>586.0</v>
      </c>
      <c r="B586" s="116" t="s">
        <v>197</v>
      </c>
      <c r="C586" s="116" t="s">
        <v>2954</v>
      </c>
      <c r="D586" s="117"/>
      <c r="E586" s="114"/>
      <c r="F586" s="116" t="s">
        <v>1838</v>
      </c>
      <c r="G586" s="116">
        <v>3.040264721E9</v>
      </c>
      <c r="H586" s="114"/>
      <c r="I586" s="114"/>
      <c r="J586" s="117"/>
      <c r="K586" s="117"/>
      <c r="L586" s="117"/>
      <c r="M586" s="117"/>
      <c r="N586" s="118"/>
    </row>
    <row r="587">
      <c r="A587" s="115">
        <v>587.0</v>
      </c>
      <c r="B587" s="119" t="s">
        <v>1841</v>
      </c>
      <c r="C587" s="119" t="s">
        <v>2920</v>
      </c>
      <c r="D587" s="120"/>
      <c r="E587" s="114"/>
      <c r="F587" s="116" t="s">
        <v>1843</v>
      </c>
      <c r="G587" s="116">
        <v>3.040264726E9</v>
      </c>
      <c r="H587" s="114"/>
      <c r="I587" s="114"/>
      <c r="J587" s="117"/>
      <c r="K587" s="117"/>
      <c r="L587" s="117"/>
      <c r="M587" s="117"/>
      <c r="N587" s="118"/>
    </row>
    <row r="588">
      <c r="A588" s="115">
        <v>588.0</v>
      </c>
      <c r="B588" s="116" t="s">
        <v>1394</v>
      </c>
      <c r="C588" s="116" t="s">
        <v>2861</v>
      </c>
      <c r="D588" s="117"/>
      <c r="E588" s="114"/>
      <c r="F588" s="116">
        <v>277.0</v>
      </c>
      <c r="G588" s="116">
        <v>3.040264735E9</v>
      </c>
      <c r="H588" s="114"/>
      <c r="I588" s="114"/>
      <c r="J588" s="117"/>
      <c r="K588" s="117"/>
      <c r="L588" s="117"/>
      <c r="M588" s="117"/>
      <c r="N588" s="118"/>
    </row>
    <row r="589">
      <c r="A589" s="115">
        <v>589.0</v>
      </c>
      <c r="B589" s="119" t="s">
        <v>1398</v>
      </c>
      <c r="C589" s="119" t="s">
        <v>2878</v>
      </c>
      <c r="D589" s="120"/>
      <c r="E589" s="114"/>
      <c r="F589" s="116" t="s">
        <v>1840</v>
      </c>
      <c r="G589" s="116">
        <v>3.040264733E9</v>
      </c>
      <c r="H589" s="114"/>
      <c r="I589" s="114"/>
      <c r="J589" s="117"/>
      <c r="K589" s="117"/>
      <c r="L589" s="117"/>
      <c r="M589" s="117"/>
      <c r="N589" s="118"/>
    </row>
    <row r="590">
      <c r="A590" s="115">
        <v>590.0</v>
      </c>
      <c r="B590" s="116" t="s">
        <v>1398</v>
      </c>
      <c r="C590" s="116" t="s">
        <v>2878</v>
      </c>
      <c r="D590" s="117"/>
      <c r="E590" s="114"/>
      <c r="F590" s="116">
        <v>328.0</v>
      </c>
      <c r="G590" s="116">
        <v>3.040264734E9</v>
      </c>
      <c r="H590" s="114"/>
      <c r="I590" s="114"/>
      <c r="J590" s="117"/>
      <c r="K590" s="117"/>
      <c r="L590" s="117"/>
      <c r="M590" s="117"/>
      <c r="N590" s="118"/>
    </row>
    <row r="591">
      <c r="A591" s="115">
        <v>591.0</v>
      </c>
      <c r="B591" s="119" t="s">
        <v>1849</v>
      </c>
      <c r="C591" s="119" t="s">
        <v>2678</v>
      </c>
      <c r="D591" s="120"/>
      <c r="E591" s="114"/>
      <c r="F591" s="116" t="s">
        <v>1851</v>
      </c>
      <c r="G591" s="116">
        <v>3.040264712E9</v>
      </c>
      <c r="H591" s="114"/>
      <c r="I591" s="114"/>
      <c r="J591" s="117"/>
      <c r="K591" s="117"/>
      <c r="L591" s="117"/>
      <c r="M591" s="117"/>
      <c r="N591" s="118"/>
    </row>
    <row r="592">
      <c r="A592" s="115">
        <v>592.0</v>
      </c>
      <c r="B592" s="116" t="s">
        <v>1453</v>
      </c>
      <c r="C592" s="116" t="s">
        <v>2955</v>
      </c>
      <c r="D592" s="116" t="s">
        <v>2781</v>
      </c>
      <c r="E592" s="115">
        <v>2729.0</v>
      </c>
      <c r="F592" s="116">
        <v>5844.0</v>
      </c>
      <c r="G592" s="116">
        <v>3.040264709E9</v>
      </c>
      <c r="H592" s="114"/>
      <c r="I592" s="114"/>
      <c r="J592" s="121">
        <v>46226.0</v>
      </c>
      <c r="K592" s="117"/>
      <c r="L592" s="116" t="s">
        <v>2956</v>
      </c>
      <c r="M592" s="116" t="s">
        <v>17</v>
      </c>
      <c r="N592" s="118"/>
    </row>
    <row r="593">
      <c r="A593" s="115">
        <v>593.0</v>
      </c>
      <c r="B593" s="119" t="s">
        <v>63</v>
      </c>
      <c r="C593" s="119" t="s">
        <v>2861</v>
      </c>
      <c r="D593" s="120"/>
      <c r="E593" s="114"/>
      <c r="F593" s="116">
        <v>477.0</v>
      </c>
      <c r="G593" s="116">
        <v>3.040264736E9</v>
      </c>
      <c r="H593" s="114"/>
      <c r="I593" s="114"/>
      <c r="J593" s="117"/>
      <c r="K593" s="117"/>
      <c r="L593" s="117"/>
      <c r="M593" s="117"/>
      <c r="N593" s="118"/>
    </row>
    <row r="594">
      <c r="A594" s="115">
        <v>594.0</v>
      </c>
      <c r="B594" s="116" t="s">
        <v>155</v>
      </c>
      <c r="C594" s="116" t="s">
        <v>2957</v>
      </c>
      <c r="D594" s="117"/>
      <c r="E594" s="114"/>
      <c r="F594" s="116" t="s">
        <v>1863</v>
      </c>
      <c r="G594" s="116">
        <v>3.040264807E9</v>
      </c>
      <c r="H594" s="114"/>
      <c r="I594" s="114"/>
      <c r="J594" s="117"/>
      <c r="K594" s="117"/>
      <c r="L594" s="117"/>
      <c r="M594" s="117"/>
      <c r="N594" s="118"/>
    </row>
    <row r="595">
      <c r="A595" s="115">
        <v>595.0</v>
      </c>
      <c r="B595" s="119" t="s">
        <v>155</v>
      </c>
      <c r="C595" s="119" t="s">
        <v>2957</v>
      </c>
      <c r="D595" s="120"/>
      <c r="E595" s="114"/>
      <c r="F595" s="116" t="s">
        <v>1862</v>
      </c>
      <c r="G595" s="116">
        <v>3.040264808E9</v>
      </c>
      <c r="H595" s="114"/>
      <c r="I595" s="114"/>
      <c r="J595" s="117"/>
      <c r="K595" s="117"/>
      <c r="L595" s="117"/>
      <c r="M595" s="117"/>
      <c r="N595" s="118"/>
    </row>
    <row r="596">
      <c r="A596" s="115">
        <v>596.0</v>
      </c>
      <c r="B596" s="116" t="s">
        <v>1765</v>
      </c>
      <c r="C596" s="116" t="s">
        <v>2958</v>
      </c>
      <c r="D596" s="117"/>
      <c r="E596" s="114"/>
      <c r="F596" s="116">
        <v>8.6815651E7</v>
      </c>
      <c r="G596" s="116">
        <v>3.040264907E9</v>
      </c>
      <c r="H596" s="114"/>
      <c r="I596" s="114"/>
      <c r="J596" s="117"/>
      <c r="K596" s="117"/>
      <c r="L596" s="117"/>
      <c r="M596" s="117"/>
      <c r="N596" s="118"/>
    </row>
    <row r="597">
      <c r="A597" s="115">
        <v>597.0</v>
      </c>
      <c r="B597" s="119" t="s">
        <v>1765</v>
      </c>
      <c r="C597" s="119" t="s">
        <v>2958</v>
      </c>
      <c r="D597" s="120"/>
      <c r="E597" s="114"/>
      <c r="F597" s="116">
        <v>8.6817554E7</v>
      </c>
      <c r="G597" s="116">
        <v>3.040264908E9</v>
      </c>
      <c r="H597" s="114"/>
      <c r="I597" s="114"/>
      <c r="J597" s="117"/>
      <c r="K597" s="117"/>
      <c r="L597" s="117"/>
      <c r="M597" s="117"/>
      <c r="N597" s="118"/>
    </row>
    <row r="598">
      <c r="A598" s="133">
        <v>598.0</v>
      </c>
      <c r="B598" s="134" t="s">
        <v>282</v>
      </c>
      <c r="C598" s="134" t="s">
        <v>2959</v>
      </c>
      <c r="D598" s="135"/>
      <c r="E598" s="136"/>
      <c r="F598" s="134">
        <v>2.2005733E7</v>
      </c>
      <c r="G598" s="134">
        <v>3.04026314E9</v>
      </c>
      <c r="H598" s="136"/>
      <c r="I598" s="136"/>
      <c r="J598" s="135"/>
      <c r="K598" s="136"/>
      <c r="L598" s="135"/>
      <c r="M598" s="136"/>
      <c r="N598" s="137"/>
    </row>
    <row r="599">
      <c r="A599" s="115">
        <v>599.0</v>
      </c>
      <c r="B599" s="119" t="s">
        <v>282</v>
      </c>
      <c r="C599" s="119" t="s">
        <v>2959</v>
      </c>
      <c r="D599" s="120"/>
      <c r="E599" s="114"/>
      <c r="F599" s="119">
        <v>2.2006508E7</v>
      </c>
      <c r="G599" s="119">
        <v>3.040263144E9</v>
      </c>
      <c r="H599" s="114"/>
      <c r="I599" s="114"/>
      <c r="J599" s="117"/>
      <c r="K599" s="114"/>
      <c r="L599" s="117"/>
      <c r="M599" s="114"/>
      <c r="N599" s="114"/>
    </row>
    <row r="600">
      <c r="A600" s="115">
        <v>600.0</v>
      </c>
      <c r="B600" s="116" t="s">
        <v>1765</v>
      </c>
      <c r="C600" s="116" t="s">
        <v>2960</v>
      </c>
      <c r="D600" s="117"/>
      <c r="E600" s="114"/>
      <c r="F600" s="116">
        <v>8.6815651E7</v>
      </c>
      <c r="G600" s="116">
        <v>3.040264907E9</v>
      </c>
      <c r="H600" s="114"/>
      <c r="I600" s="114"/>
      <c r="J600" s="117"/>
      <c r="K600" s="114"/>
      <c r="L600" s="117"/>
      <c r="M600" s="114"/>
      <c r="N600" s="114"/>
    </row>
    <row r="601">
      <c r="A601" s="115">
        <v>601.0</v>
      </c>
      <c r="B601" s="119" t="s">
        <v>1765</v>
      </c>
      <c r="C601" s="119" t="s">
        <v>2960</v>
      </c>
      <c r="D601" s="120"/>
      <c r="E601" s="114"/>
      <c r="F601" s="119">
        <v>8.6817554E7</v>
      </c>
      <c r="G601" s="119">
        <v>3.040264908E9</v>
      </c>
      <c r="H601" s="114"/>
      <c r="I601" s="114"/>
      <c r="J601" s="117"/>
      <c r="K601" s="114"/>
      <c r="L601" s="117"/>
      <c r="M601" s="114"/>
      <c r="N601" s="1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19.38"/>
    <col customWidth="1" min="4" max="4" width="20.5"/>
    <col customWidth="1" min="5" max="5" width="17.5"/>
    <col customWidth="1" min="6" max="6" width="24.75"/>
  </cols>
  <sheetData>
    <row r="1">
      <c r="A1" s="138" t="str">
        <f>IFERROR(__xludf.DUMMYFUNCTION("IMPORTRANGE(""1lVFj-f-FiaMMHgIX9lV6f6REalXG1hKQWtenCLJSxo4"", ""'AC Virtual Transferência'!A:ZZ"")"),"Acerto virtual de item atendido pela empresa Vee One através do contrato 005/CELOG-PAMALS/2025; RBS15/10/26.")</f>
        <v>Acerto virtual de item atendido pela empresa Vee One através do contrato 005/CELOG-PAMALS/2025; RBS15/10/26.</v>
      </c>
      <c r="B1" s="139"/>
      <c r="C1" s="139"/>
      <c r="D1" s="139"/>
      <c r="E1" s="139"/>
      <c r="F1" s="139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>
      <c r="A2" s="138" t="str">
        <f>IFERROR(__xludf.DUMMYFUNCTION("""COMPUTED_VALUE"""),"Acerto virtual de item atendido pela empresa Vee One através do contrato 005/CELOG-PAMALS/2025; NGS15/10/26.")</f>
        <v>Acerto virtual de item atendido pela empresa Vee One através do contrato 005/CELOG-PAMALS/2025; NGS15/10/26.</v>
      </c>
      <c r="B2" s="139"/>
      <c r="C2" s="139"/>
      <c r="D2" s="139"/>
      <c r="E2" s="139"/>
      <c r="F2" s="139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>
      <c r="A3" s="138" t="str">
        <f>IFERROR(__xludf.DUMMYFUNCTION("""COMPUTED_VALUE"""),"ACERTO VIRTUAL DE TRANSFERÊNCIA DE ITENS PARA O OPERADOR")</f>
        <v>ACERTO VIRTUAL DE TRANSFERÊNCIA DE ITENS PARA O OPERADOR</v>
      </c>
      <c r="B3" s="139"/>
      <c r="C3" s="139"/>
      <c r="D3" s="139"/>
      <c r="E3" s="139"/>
      <c r="F3" s="139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A4" s="138" t="str">
        <f>IFERROR(__xludf.DUMMYFUNCTION("""COMPUTED_VALUE"""),"ORIG")</f>
        <v>ORIG</v>
      </c>
      <c r="B4" s="138" t="str">
        <f>IFERROR(__xludf.DUMMYFUNCTION("""COMPUTED_VALUE"""),"DEST")</f>
        <v>DEST</v>
      </c>
      <c r="C4" s="138" t="str">
        <f>IFERROR(__xludf.DUMMYFUNCTION("""COMPUTED_VALUE"""),"PN")</f>
        <v>PN</v>
      </c>
      <c r="D4" s="138" t="str">
        <f>IFERROR(__xludf.DUMMYFUNCTION("""COMPUTED_VALUE"""),"NOMENCLATURA")</f>
        <v>NOMENCLATURA</v>
      </c>
      <c r="E4" s="138" t="str">
        <f>IFERROR(__xludf.DUMMYFUNCTION("""COMPUTED_VALUE"""),"SN")</f>
        <v>SN</v>
      </c>
      <c r="F4" s="138" t="str">
        <f>IFERROR(__xludf.DUMMYFUNCTION("""COMPUTED_VALUE"""),"TERMO DE RECEBIMENTO")</f>
        <v>TERMO DE RECEBIMENTO</v>
      </c>
      <c r="G4" s="138" t="str">
        <f>IFERROR(__xludf.DUMMYFUNCTION("""COMPUTED_VALUE"""),"DATA DO TERMO")</f>
        <v>DATA DO TERMO</v>
      </c>
      <c r="H4" s="138" t="str">
        <f>IFERROR(__xludf.DUMMYFUNCTION("""COMPUTED_VALUE"""),"RECEBIMENTO DO TERMO")</f>
        <v>RECEBIMENTO DO TERMO</v>
      </c>
      <c r="I4" s="138" t="str">
        <f>IFERROR(__xludf.DUMMYFUNCTION("""COMPUTED_VALUE"""),"SOLICITAR INFO à Vee One")</f>
        <v>SOLICITAR INFO à Vee One</v>
      </c>
      <c r="J4" s="138" t="str">
        <f>IFERROR(__xludf.DUMMYFUNCTION("""COMPUTED_VALUE"""),"SOLICITAR CONCLUSÃO OS")</f>
        <v>SOLICITAR CONCLUSÃO OS</v>
      </c>
      <c r="K4" s="138" t="str">
        <f>IFERROR(__xludf.DUMMYFUNCTION("""COMPUTED_VALUE"""),"OS CONCLUÍDA")</f>
        <v>OS CONCLUÍDA</v>
      </c>
      <c r="L4" s="138" t="str">
        <f>IFERROR(__xludf.DUMMYFUNCTION("""COMPUTED_VALUE"""),"SOLICITAR RECEBIMENTO")</f>
        <v>SOLICITAR RECEBIMENTO</v>
      </c>
      <c r="M4" s="138" t="str">
        <f>IFERROR(__xludf.DUMMYFUNCTION("""COMPUTED_VALUE"""),"ITEM RECEBIDO")</f>
        <v>ITEM RECEBIDO</v>
      </c>
      <c r="N4" s="138" t="str">
        <f>IFERROR(__xludf.DUMMYFUNCTION("""COMPUTED_VALUE"""),"SOLICITAR ARMAZENAGEM")</f>
        <v>SOLICITAR ARMAZENAGEM</v>
      </c>
      <c r="O4" s="138" t="str">
        <f>IFERROR(__xludf.DUMMYFUNCTION("""COMPUTED_VALUE"""),"ITEM ARMAZENADO")</f>
        <v>ITEM ARMAZENADO</v>
      </c>
      <c r="P4" s="138" t="str">
        <f>IFERROR(__xludf.DUMMYFUNCTION("""COMPUTED_VALUE"""),"TRANSFERIR E SOLICITAR ATENDIMENTO TSAU")</f>
        <v>TRANSFERIR E SOLICITAR ATENDIMENTO TSAU</v>
      </c>
      <c r="Q4" s="138" t="str">
        <f>IFERROR(__xludf.DUMMYFUNCTION("""COMPUTED_VALUE"""),"SOLICITAR TRANSFERÊNCIA TSAE")</f>
        <v>SOLICITAR TRANSFERÊNCIA TSAE</v>
      </c>
      <c r="R4" s="138" t="str">
        <f>IFERROR(__xludf.DUMMYFUNCTION("""COMPUTED_VALUE"""),"ENVIO")</f>
        <v>ENVIO</v>
      </c>
      <c r="S4" s="138" t="str">
        <f>IFERROR(__xludf.DUMMYFUNCTION("""COMPUTED_VALUE"""),"SOL REC OPERADOR")</f>
        <v>SOL REC OPERADOR</v>
      </c>
      <c r="T4" s="138" t="str">
        <f>IFERROR(__xludf.DUMMYFUNCTION("""COMPUTED_VALUE"""),"REC OPERADOR")</f>
        <v>REC OPERADOR</v>
      </c>
      <c r="U4" s="138" t="str">
        <f>IFERROR(__xludf.DUMMYFUNCTION("""COMPUTED_VALUE"""),"OBS")</f>
        <v>OBS</v>
      </c>
      <c r="V4" s="138"/>
      <c r="W4" s="138"/>
      <c r="X4" s="138"/>
      <c r="Y4" s="138"/>
      <c r="Z4" s="138"/>
    </row>
    <row r="5" hidden="1">
      <c r="A5" s="138" t="str">
        <f>IFERROR(__xludf.DUMMYFUNCTION("""COMPUTED_VALUE"""),"VEE ONE")</f>
        <v>VEE ONE</v>
      </c>
      <c r="B5" s="138" t="str">
        <f>IFERROR(__xludf.DUMMYFUNCTION("""COMPUTED_VALUE"""),"BASM")</f>
        <v>BASM</v>
      </c>
      <c r="C5" s="138" t="str">
        <f>IFERROR(__xludf.DUMMYFUNCTION("""COMPUTED_VALUE"""),"030-18200")</f>
        <v>030-18200</v>
      </c>
      <c r="D5" s="138" t="str">
        <f>IFERROR(__xludf.DUMMYFUNCTION("""COMPUTED_VALUE"""),"CONJUNTO DE FREIO")</f>
        <v>CONJUNTO DE FREIO</v>
      </c>
      <c r="E5" s="138" t="str">
        <f>IFERROR(__xludf.DUMMYFUNCTION("""COMPUTED_VALUE"""),"0723")</f>
        <v>0723</v>
      </c>
      <c r="F5" s="138" t="str">
        <f>IFERROR(__xludf.DUMMYFUNCTION("""COMPUTED_VALUE"""),"004/2025")</f>
        <v>004/2025</v>
      </c>
      <c r="G5" s="138" t="str">
        <f>IFERROR(__xludf.DUMMYFUNCTION("""COMPUTED_VALUE"""),"04/07")</f>
        <v>04/07</v>
      </c>
      <c r="H5" s="138" t="str">
        <f>IFERROR(__xludf.DUMMYFUNCTION("""COMPUTED_VALUE"""),"04/07")</f>
        <v>04/07</v>
      </c>
      <c r="I5" s="138" t="str">
        <f>IFERROR(__xludf.DUMMYFUNCTION("""COMPUTED_VALUE"""),"24/07, 30/07, 01/08, 13/08, 19/08 e 26/08")</f>
        <v>24/07, 30/07, 01/08, 13/08, 19/08 e 26/08</v>
      </c>
      <c r="J5" s="138" t="str">
        <f>IFERROR(__xludf.DUMMYFUNCTION("""COMPUTED_VALUE"""),"26/08")</f>
        <v>26/08</v>
      </c>
      <c r="K5" s="138" t="str">
        <f>IFERROR(__xludf.DUMMYFUNCTION("""COMPUTED_VALUE"""),"01/09")</f>
        <v>01/09</v>
      </c>
      <c r="L5" s="138" t="str">
        <f>IFERROR(__xludf.DUMMYFUNCTION("""COMPUTED_VALUE"""),"01/09")</f>
        <v>01/09</v>
      </c>
      <c r="M5" s="138" t="str">
        <f>IFERROR(__xludf.DUMMYFUNCTION("""COMPUTED_VALUE"""),"02/09")</f>
        <v>02/09</v>
      </c>
      <c r="N5" s="138" t="str">
        <f>IFERROR(__xludf.DUMMYFUNCTION("""COMPUTED_VALUE"""),"02/09")</f>
        <v>02/09</v>
      </c>
      <c r="O5" s="138" t="str">
        <f>IFERROR(__xludf.DUMMYFUNCTION("""COMPUTED_VALUE"""),"03/09")</f>
        <v>03/09</v>
      </c>
      <c r="P5" s="138" t="str">
        <f>IFERROR(__xludf.DUMMYFUNCTION("""COMPUTED_VALUE"""),"17/10")</f>
        <v>17/10</v>
      </c>
      <c r="Q5" s="138" t="str">
        <f>IFERROR(__xludf.DUMMYFUNCTION("""COMPUTED_VALUE"""),"17/10 e 13/11")</f>
        <v>17/10 e 13/11</v>
      </c>
      <c r="R5" s="138" t="str">
        <f>IFERROR(__xludf.DUMMYFUNCTION("""COMPUTED_VALUE"""),"17/10")</f>
        <v>17/10</v>
      </c>
      <c r="S5" s="138" t="str">
        <f>IFERROR(__xludf.DUMMYFUNCTION("""COMPUTED_VALUE"""),"17/11")</f>
        <v>17/11</v>
      </c>
      <c r="T5" s="138" t="str">
        <f>IFERROR(__xludf.DUMMYFUNCTION("""COMPUTED_VALUE"""),"18/11")</f>
        <v>18/11</v>
      </c>
      <c r="U5" s="138"/>
      <c r="V5" s="138"/>
      <c r="W5" s="138"/>
      <c r="X5" s="138"/>
      <c r="Y5" s="138"/>
      <c r="Z5" s="138"/>
    </row>
    <row r="6" hidden="1">
      <c r="A6" s="138" t="str">
        <f>IFERROR(__xludf.DUMMYFUNCTION("""COMPUTED_VALUE"""),"VEE ONE")</f>
        <v>VEE ONE</v>
      </c>
      <c r="B6" s="138" t="str">
        <f>IFERROR(__xludf.DUMMYFUNCTION("""COMPUTED_VALUE"""),"BASM")</f>
        <v>BASM</v>
      </c>
      <c r="C6" s="138" t="str">
        <f>IFERROR(__xludf.DUMMYFUNCTION("""COMPUTED_VALUE"""),"030-18200")</f>
        <v>030-18200</v>
      </c>
      <c r="D6" s="138" t="str">
        <f>IFERROR(__xludf.DUMMYFUNCTION("""COMPUTED_VALUE"""),"CONJUNTO DE FREIO")</f>
        <v>CONJUNTO DE FREIO</v>
      </c>
      <c r="E6" s="138" t="str">
        <f>IFERROR(__xludf.DUMMYFUNCTION("""COMPUTED_VALUE"""),"2L343")</f>
        <v>2L343</v>
      </c>
      <c r="F6" s="138" t="str">
        <f>IFERROR(__xludf.DUMMYFUNCTION("""COMPUTED_VALUE"""),"004/2025")</f>
        <v>004/2025</v>
      </c>
      <c r="G6" s="138" t="str">
        <f>IFERROR(__xludf.DUMMYFUNCTION("""COMPUTED_VALUE"""),"04/07")</f>
        <v>04/07</v>
      </c>
      <c r="H6" s="138" t="str">
        <f>IFERROR(__xludf.DUMMYFUNCTION("""COMPUTED_VALUE"""),"04/07")</f>
        <v>04/07</v>
      </c>
      <c r="I6" s="138" t="str">
        <f>IFERROR(__xludf.DUMMYFUNCTION("""COMPUTED_VALUE"""),"24/07, 30/07, 01/08, 13/08, 19/08 e 26/08")</f>
        <v>24/07, 30/07, 01/08, 13/08, 19/08 e 26/08</v>
      </c>
      <c r="J6" s="138" t="str">
        <f>IFERROR(__xludf.DUMMYFUNCTION("""COMPUTED_VALUE"""),"26/08")</f>
        <v>26/08</v>
      </c>
      <c r="K6" s="138" t="str">
        <f>IFERROR(__xludf.DUMMYFUNCTION("""COMPUTED_VALUE"""),"01/09")</f>
        <v>01/09</v>
      </c>
      <c r="L6" s="138" t="str">
        <f>IFERROR(__xludf.DUMMYFUNCTION("""COMPUTED_VALUE"""),"01/09")</f>
        <v>01/09</v>
      </c>
      <c r="M6" s="138" t="str">
        <f>IFERROR(__xludf.DUMMYFUNCTION("""COMPUTED_VALUE"""),"02/09")</f>
        <v>02/09</v>
      </c>
      <c r="N6" s="138" t="str">
        <f>IFERROR(__xludf.DUMMYFUNCTION("""COMPUTED_VALUE"""),"02/09")</f>
        <v>02/09</v>
      </c>
      <c r="O6" s="138" t="str">
        <f>IFERROR(__xludf.DUMMYFUNCTION("""COMPUTED_VALUE"""),"03/09")</f>
        <v>03/09</v>
      </c>
      <c r="P6" s="138" t="str">
        <f>IFERROR(__xludf.DUMMYFUNCTION("""COMPUTED_VALUE"""),"17/10")</f>
        <v>17/10</v>
      </c>
      <c r="Q6" s="138" t="str">
        <f>IFERROR(__xludf.DUMMYFUNCTION("""COMPUTED_VALUE"""),"17/10 e 13/11")</f>
        <v>17/10 e 13/11</v>
      </c>
      <c r="R6" s="138" t="str">
        <f>IFERROR(__xludf.DUMMYFUNCTION("""COMPUTED_VALUE"""),"17/10")</f>
        <v>17/10</v>
      </c>
      <c r="S6" s="138" t="str">
        <f>IFERROR(__xludf.DUMMYFUNCTION("""COMPUTED_VALUE"""),"17/11")</f>
        <v>17/11</v>
      </c>
      <c r="T6" s="138" t="str">
        <f>IFERROR(__xludf.DUMMYFUNCTION("""COMPUTED_VALUE"""),"18/11")</f>
        <v>18/11</v>
      </c>
      <c r="U6" s="138"/>
      <c r="V6" s="138"/>
      <c r="W6" s="138"/>
      <c r="X6" s="138"/>
      <c r="Y6" s="138"/>
      <c r="Z6" s="138"/>
    </row>
    <row r="7" hidden="1">
      <c r="A7" s="138" t="str">
        <f>IFERROR(__xludf.DUMMYFUNCTION("""COMPUTED_VALUE"""),"VEE ONE")</f>
        <v>VEE ONE</v>
      </c>
      <c r="B7" s="138" t="str">
        <f>IFERROR(__xludf.DUMMYFUNCTION("""COMPUTED_VALUE"""),"BAPV")</f>
        <v>BAPV</v>
      </c>
      <c r="C7" s="138" t="str">
        <f>IFERROR(__xludf.DUMMYFUNCTION("""COMPUTED_VALUE"""),"30-182A")</f>
        <v>30-182A</v>
      </c>
      <c r="D7" s="138" t="str">
        <f>IFERROR(__xludf.DUMMYFUNCTION("""COMPUTED_VALUE"""),"BRAKE ASSEMBLY")</f>
        <v>BRAKE ASSEMBLY</v>
      </c>
      <c r="E7" s="138" t="str">
        <f>IFERROR(__xludf.DUMMYFUNCTION("""COMPUTED_VALUE"""),"LS04")</f>
        <v>LS04</v>
      </c>
      <c r="F7" s="138" t="str">
        <f>IFERROR(__xludf.DUMMYFUNCTION("""COMPUTED_VALUE"""),"005/2025")</f>
        <v>005/2025</v>
      </c>
      <c r="G7" s="138" t="str">
        <f>IFERROR(__xludf.DUMMYFUNCTION("""COMPUTED_VALUE"""),"22/07")</f>
        <v>22/07</v>
      </c>
      <c r="H7" s="138" t="str">
        <f>IFERROR(__xludf.DUMMYFUNCTION("""COMPUTED_VALUE"""),"23/07")</f>
        <v>23/07</v>
      </c>
      <c r="I7" s="138" t="str">
        <f>IFERROR(__xludf.DUMMYFUNCTION("""COMPUTED_VALUE"""),"24/07, 30/07, 01/08 e 13/08")</f>
        <v>24/07, 30/07, 01/08 e 13/08</v>
      </c>
      <c r="J7" s="138" t="str">
        <f>IFERROR(__xludf.DUMMYFUNCTION("""COMPUTED_VALUE"""),"13/08")</f>
        <v>13/08</v>
      </c>
      <c r="K7" s="138" t="str">
        <f>IFERROR(__xludf.DUMMYFUNCTION("""COMPUTED_VALUE"""),"14/08")</f>
        <v>14/08</v>
      </c>
      <c r="L7" s="138" t="str">
        <f>IFERROR(__xludf.DUMMYFUNCTION("""COMPUTED_VALUE"""),"18/08")</f>
        <v>18/08</v>
      </c>
      <c r="M7" s="138" t="str">
        <f>IFERROR(__xludf.DUMMYFUNCTION("""COMPUTED_VALUE"""),"02/09")</f>
        <v>02/09</v>
      </c>
      <c r="N7" s="138" t="str">
        <f>IFERROR(__xludf.DUMMYFUNCTION("""COMPUTED_VALUE"""),"02/09")</f>
        <v>02/09</v>
      </c>
      <c r="O7" s="138" t="str">
        <f>IFERROR(__xludf.DUMMYFUNCTION("""COMPUTED_VALUE"""),"03/09")</f>
        <v>03/09</v>
      </c>
      <c r="P7" s="138" t="str">
        <f>IFERROR(__xludf.DUMMYFUNCTION("""COMPUTED_VALUE"""),"17/10")</f>
        <v>17/10</v>
      </c>
      <c r="Q7" s="138" t="str">
        <f>IFERROR(__xludf.DUMMYFUNCTION("""COMPUTED_VALUE"""),"17/10 e 13/11")</f>
        <v>17/10 e 13/11</v>
      </c>
      <c r="R7" s="138" t="str">
        <f>IFERROR(__xludf.DUMMYFUNCTION("""COMPUTED_VALUE"""),"17/10")</f>
        <v>17/10</v>
      </c>
      <c r="S7" s="138" t="str">
        <f>IFERROR(__xludf.DUMMYFUNCTION("""COMPUTED_VALUE"""),"17/11")</f>
        <v>17/11</v>
      </c>
      <c r="T7" s="138" t="str">
        <f>IFERROR(__xludf.DUMMYFUNCTION("""COMPUTED_VALUE"""),"17/11")</f>
        <v>17/11</v>
      </c>
      <c r="U7" s="138" t="str">
        <f>IFERROR(__xludf.DUMMYFUNCTION("""COMPUTED_VALUE"""),"Documentação com o PN 30-182, PN entregue é o 30-182A")</f>
        <v>Documentação com o PN 30-182, PN entregue é o 30-182A</v>
      </c>
      <c r="V7" s="138"/>
      <c r="W7" s="138"/>
      <c r="X7" s="138"/>
      <c r="Y7" s="138"/>
      <c r="Z7" s="138"/>
    </row>
    <row r="8" hidden="1">
      <c r="A8" s="138" t="str">
        <f>IFERROR(__xludf.DUMMYFUNCTION("""COMPUTED_VALUE"""),"VEE ONE")</f>
        <v>VEE ONE</v>
      </c>
      <c r="B8" s="138" t="str">
        <f>IFERROR(__xludf.DUMMYFUNCTION("""COMPUTED_VALUE"""),"BAPV")</f>
        <v>BAPV</v>
      </c>
      <c r="C8" s="138" t="str">
        <f>IFERROR(__xludf.DUMMYFUNCTION("""COMPUTED_VALUE"""),"2641011-5")</f>
        <v>2641011-5</v>
      </c>
      <c r="D8" s="138" t="str">
        <f>IFERROR(__xludf.DUMMYFUNCTION("""COMPUTED_VALUE"""),"AXLE-MAIN GEAR")</f>
        <v>AXLE-MAIN GEAR</v>
      </c>
      <c r="E8" s="138" t="str">
        <f>IFERROR(__xludf.DUMMYFUNCTION("""COMPUTED_VALUE"""),"2305-5")</f>
        <v>2305-5</v>
      </c>
      <c r="F8" s="138" t="str">
        <f>IFERROR(__xludf.DUMMYFUNCTION("""COMPUTED_VALUE"""),"004/2025")</f>
        <v>004/2025</v>
      </c>
      <c r="G8" s="138" t="str">
        <f>IFERROR(__xludf.DUMMYFUNCTION("""COMPUTED_VALUE"""),"22/07")</f>
        <v>22/07</v>
      </c>
      <c r="H8" s="138" t="str">
        <f>IFERROR(__xludf.DUMMYFUNCTION("""COMPUTED_VALUE"""),"23/07")</f>
        <v>23/07</v>
      </c>
      <c r="I8" s="138" t="str">
        <f>IFERROR(__xludf.DUMMYFUNCTION("""COMPUTED_VALUE"""),"24/07")</f>
        <v>24/07</v>
      </c>
      <c r="J8" s="138" t="str">
        <f>IFERROR(__xludf.DUMMYFUNCTION("""COMPUTED_VALUE"""),"25/07 e 30/07")</f>
        <v>25/07 e 30/07</v>
      </c>
      <c r="K8" s="138" t="str">
        <f>IFERROR(__xludf.DUMMYFUNCTION("""COMPUTED_VALUE"""),"28/07")</f>
        <v>28/07</v>
      </c>
      <c r="L8" s="138" t="str">
        <f>IFERROR(__xludf.DUMMYFUNCTION("""COMPUTED_VALUE"""),"31/07")</f>
        <v>31/07</v>
      </c>
      <c r="M8" s="138" t="str">
        <f>IFERROR(__xludf.DUMMYFUNCTION("""COMPUTED_VALUE"""),"31/07")</f>
        <v>31/07</v>
      </c>
      <c r="N8" s="138" t="str">
        <f>IFERROR(__xludf.DUMMYFUNCTION("""COMPUTED_VALUE"""),"01/08")</f>
        <v>01/08</v>
      </c>
      <c r="O8" s="138" t="str">
        <f>IFERROR(__xludf.DUMMYFUNCTION("""COMPUTED_VALUE"""),"01/08")</f>
        <v>01/08</v>
      </c>
      <c r="P8" s="138" t="str">
        <f>IFERROR(__xludf.DUMMYFUNCTION("""COMPUTED_VALUE"""),"01/08")</f>
        <v>01/08</v>
      </c>
      <c r="Q8" s="138" t="str">
        <f>IFERROR(__xludf.DUMMYFUNCTION("""COMPUTED_VALUE"""),"01/08")</f>
        <v>01/08</v>
      </c>
      <c r="R8" s="138" t="str">
        <f>IFERROR(__xludf.DUMMYFUNCTION("""COMPUTED_VALUE"""),"07/08")</f>
        <v>07/08</v>
      </c>
      <c r="S8" s="138" t="str">
        <f>IFERROR(__xludf.DUMMYFUNCTION("""COMPUTED_VALUE"""),"07/08")</f>
        <v>07/08</v>
      </c>
      <c r="T8" s="138" t="str">
        <f>IFERROR(__xludf.DUMMYFUNCTION("""COMPUTED_VALUE"""),"08/08")</f>
        <v>08/08</v>
      </c>
      <c r="U8" s="138"/>
      <c r="V8" s="138"/>
      <c r="W8" s="138"/>
      <c r="X8" s="138"/>
      <c r="Y8" s="138"/>
      <c r="Z8" s="138"/>
    </row>
    <row r="9" hidden="1">
      <c r="A9" s="138" t="str">
        <f>IFERROR(__xludf.DUMMYFUNCTION("""COMPUTED_VALUE"""),"VEE ONE")</f>
        <v>VEE ONE</v>
      </c>
      <c r="B9" s="138" t="str">
        <f>IFERROR(__xludf.DUMMYFUNCTION("""COMPUTED_VALUE"""),"BAPV")</f>
        <v>BAPV</v>
      </c>
      <c r="C9" s="138" t="str">
        <f>IFERROR(__xludf.DUMMYFUNCTION("""COMPUTED_VALUE"""),"2641011-5")</f>
        <v>2641011-5</v>
      </c>
      <c r="D9" s="138" t="str">
        <f>IFERROR(__xludf.DUMMYFUNCTION("""COMPUTED_VALUE"""),"AXLE-MAIN GEAR")</f>
        <v>AXLE-MAIN GEAR</v>
      </c>
      <c r="E9" s="138" t="str">
        <f>IFERROR(__xludf.DUMMYFUNCTION("""COMPUTED_VALUE"""),"822-5")</f>
        <v>822-5</v>
      </c>
      <c r="F9" s="138" t="str">
        <f>IFERROR(__xludf.DUMMYFUNCTION("""COMPUTED_VALUE"""),"004/2025")</f>
        <v>004/2025</v>
      </c>
      <c r="G9" s="138" t="str">
        <f>IFERROR(__xludf.DUMMYFUNCTION("""COMPUTED_VALUE"""),"22/07")</f>
        <v>22/07</v>
      </c>
      <c r="H9" s="138" t="str">
        <f>IFERROR(__xludf.DUMMYFUNCTION("""COMPUTED_VALUE"""),"23/07")</f>
        <v>23/07</v>
      </c>
      <c r="I9" s="138" t="str">
        <f>IFERROR(__xludf.DUMMYFUNCTION("""COMPUTED_VALUE"""),"24/07")</f>
        <v>24/07</v>
      </c>
      <c r="J9" s="138" t="str">
        <f>IFERROR(__xludf.DUMMYFUNCTION("""COMPUTED_VALUE"""),"25/07 e 30/07")</f>
        <v>25/07 e 30/07</v>
      </c>
      <c r="K9" s="138" t="str">
        <f>IFERROR(__xludf.DUMMYFUNCTION("""COMPUTED_VALUE"""),"28/07")</f>
        <v>28/07</v>
      </c>
      <c r="L9" s="138" t="str">
        <f>IFERROR(__xludf.DUMMYFUNCTION("""COMPUTED_VALUE"""),"31/07")</f>
        <v>31/07</v>
      </c>
      <c r="M9" s="138" t="str">
        <f>IFERROR(__xludf.DUMMYFUNCTION("""COMPUTED_VALUE"""),"31/07")</f>
        <v>31/07</v>
      </c>
      <c r="N9" s="138" t="str">
        <f>IFERROR(__xludf.DUMMYFUNCTION("""COMPUTED_VALUE"""),"31/07")</f>
        <v>31/07</v>
      </c>
      <c r="O9" s="138" t="str">
        <f>IFERROR(__xludf.DUMMYFUNCTION("""COMPUTED_VALUE"""),"01/08")</f>
        <v>01/08</v>
      </c>
      <c r="P9" s="138" t="str">
        <f>IFERROR(__xludf.DUMMYFUNCTION("""COMPUTED_VALUE"""),"01/08")</f>
        <v>01/08</v>
      </c>
      <c r="Q9" s="138" t="str">
        <f>IFERROR(__xludf.DUMMYFUNCTION("""COMPUTED_VALUE"""),"01/08")</f>
        <v>01/08</v>
      </c>
      <c r="R9" s="138" t="str">
        <f>IFERROR(__xludf.DUMMYFUNCTION("""COMPUTED_VALUE"""),"07/08")</f>
        <v>07/08</v>
      </c>
      <c r="S9" s="138" t="str">
        <f>IFERROR(__xludf.DUMMYFUNCTION("""COMPUTED_VALUE"""),"07/08")</f>
        <v>07/08</v>
      </c>
      <c r="T9" s="138" t="str">
        <f>IFERROR(__xludf.DUMMYFUNCTION("""COMPUTED_VALUE"""),"08/08")</f>
        <v>08/08</v>
      </c>
      <c r="U9" s="138"/>
      <c r="V9" s="138"/>
      <c r="W9" s="138"/>
      <c r="X9" s="138"/>
      <c r="Y9" s="138"/>
      <c r="Z9" s="138"/>
    </row>
    <row r="10" hidden="1">
      <c r="A10" s="138" t="str">
        <f>IFERROR(__xludf.DUMMYFUNCTION("""COMPUTED_VALUE"""),"VEE ONE")</f>
        <v>VEE ONE</v>
      </c>
      <c r="B10" s="138" t="str">
        <f>IFERROR(__xludf.DUMMYFUNCTION("""COMPUTED_VALUE"""),"BABE")</f>
        <v>BABE</v>
      </c>
      <c r="C10" s="138" t="str">
        <f>IFERROR(__xludf.DUMMYFUNCTION("""COMPUTED_VALUE"""),"030-18200")</f>
        <v>030-18200</v>
      </c>
      <c r="D10" s="138" t="str">
        <f>IFERROR(__xludf.DUMMYFUNCTION("""COMPUTED_VALUE"""),"CONJUNTO DE FREIO")</f>
        <v>CONJUNTO DE FREIO</v>
      </c>
      <c r="E10" s="138" t="str">
        <f>IFERROR(__xludf.DUMMYFUNCTION("""COMPUTED_VALUE"""),"572")</f>
        <v>572</v>
      </c>
      <c r="F10" s="138" t="str">
        <f>IFERROR(__xludf.DUMMYFUNCTION("""COMPUTED_VALUE"""),"004/2025")</f>
        <v>004/2025</v>
      </c>
      <c r="G10" s="138" t="str">
        <f>IFERROR(__xludf.DUMMYFUNCTION("""COMPUTED_VALUE"""),"11/07")</f>
        <v>11/07</v>
      </c>
      <c r="H10" s="138" t="str">
        <f>IFERROR(__xludf.DUMMYFUNCTION("""COMPUTED_VALUE"""),"21/07")</f>
        <v>21/07</v>
      </c>
      <c r="I10" s="138" t="str">
        <f>IFERROR(__xludf.DUMMYFUNCTION("""COMPUTED_VALUE"""),"25/07")</f>
        <v>25/07</v>
      </c>
      <c r="J10" s="138" t="str">
        <f>IFERROR(__xludf.DUMMYFUNCTION("""COMPUTED_VALUE"""),"25/07")</f>
        <v>25/07</v>
      </c>
      <c r="K10" s="138" t="str">
        <f>IFERROR(__xludf.DUMMYFUNCTION("""COMPUTED_VALUE"""),"29/07")</f>
        <v>29/07</v>
      </c>
      <c r="L10" s="138" t="str">
        <f>IFERROR(__xludf.DUMMYFUNCTION("""COMPUTED_VALUE"""),"29/07")</f>
        <v>29/07</v>
      </c>
      <c r="M10" s="138" t="str">
        <f>IFERROR(__xludf.DUMMYFUNCTION("""COMPUTED_VALUE"""),"29/07")</f>
        <v>29/07</v>
      </c>
      <c r="N10" s="138" t="str">
        <f>IFERROR(__xludf.DUMMYFUNCTION("""COMPUTED_VALUE"""),"30/07")</f>
        <v>30/07</v>
      </c>
      <c r="O10" s="138" t="str">
        <f>IFERROR(__xludf.DUMMYFUNCTION("""COMPUTED_VALUE"""),"30/07")</f>
        <v>30/07</v>
      </c>
      <c r="P10" s="138" t="str">
        <f>IFERROR(__xludf.DUMMYFUNCTION("""COMPUTED_VALUE"""),"30/07")</f>
        <v>30/07</v>
      </c>
      <c r="Q10" s="138" t="str">
        <f>IFERROR(__xludf.DUMMYFUNCTION("""COMPUTED_VALUE"""),"30/07")</f>
        <v>30/07</v>
      </c>
      <c r="R10" s="138" t="str">
        <f>IFERROR(__xludf.DUMMYFUNCTION("""COMPUTED_VALUE"""),"31/07")</f>
        <v>31/07</v>
      </c>
      <c r="S10" s="138" t="str">
        <f>IFERROR(__xludf.DUMMYFUNCTION("""COMPUTED_VALUE"""),"31/07")</f>
        <v>31/07</v>
      </c>
      <c r="T10" s="138" t="str">
        <f>IFERROR(__xludf.DUMMYFUNCTION("""COMPUTED_VALUE"""),"25/08")</f>
        <v>25/08</v>
      </c>
      <c r="U10" s="138"/>
      <c r="V10" s="138"/>
      <c r="W10" s="138"/>
      <c r="X10" s="138"/>
      <c r="Y10" s="138"/>
      <c r="Z10" s="138"/>
    </row>
    <row r="11" hidden="1">
      <c r="A11" s="138" t="str">
        <f>IFERROR(__xludf.DUMMYFUNCTION("""COMPUTED_VALUE"""),"VEE ONE")</f>
        <v>VEE ONE</v>
      </c>
      <c r="B11" s="138" t="str">
        <f>IFERROR(__xludf.DUMMYFUNCTION("""COMPUTED_VALUE"""),"BACG")</f>
        <v>BACG</v>
      </c>
      <c r="C11" s="138" t="str">
        <f>IFERROR(__xludf.DUMMYFUNCTION("""COMPUTED_VALUE"""),"030-18200")</f>
        <v>030-18200</v>
      </c>
      <c r="D11" s="138" t="str">
        <f>IFERROR(__xludf.DUMMYFUNCTION("""COMPUTED_VALUE"""),"CONJUNTO DE FREIO")</f>
        <v>CONJUNTO DE FREIO</v>
      </c>
      <c r="E11" s="138" t="str">
        <f>IFERROR(__xludf.DUMMYFUNCTION("""COMPUTED_VALUE"""),"J716")</f>
        <v>J716</v>
      </c>
      <c r="F11" s="138" t="str">
        <f>IFERROR(__xludf.DUMMYFUNCTION("""COMPUTED_VALUE"""),"002/2025")</f>
        <v>002/2025</v>
      </c>
      <c r="G11" s="138" t="str">
        <f>IFERROR(__xludf.DUMMYFUNCTION("""COMPUTED_VALUE"""),"19/05")</f>
        <v>19/05</v>
      </c>
      <c r="H11" s="138" t="str">
        <f>IFERROR(__xludf.DUMMYFUNCTION("""COMPUTED_VALUE"""),"28/05")</f>
        <v>28/05</v>
      </c>
      <c r="I11" s="138" t="str">
        <f>IFERROR(__xludf.DUMMYFUNCTION("""COMPUTED_VALUE"""),"25/07")</f>
        <v>25/07</v>
      </c>
      <c r="J11" s="138" t="str">
        <f>IFERROR(__xludf.DUMMYFUNCTION("""COMPUTED_VALUE"""),"25/07")</f>
        <v>25/07</v>
      </c>
      <c r="K11" s="138" t="str">
        <f>IFERROR(__xludf.DUMMYFUNCTION("""COMPUTED_VALUE"""),"29/07")</f>
        <v>29/07</v>
      </c>
      <c r="L11" s="138" t="str">
        <f>IFERROR(__xludf.DUMMYFUNCTION("""COMPUTED_VALUE"""),"29/07")</f>
        <v>29/07</v>
      </c>
      <c r="M11" s="138" t="str">
        <f>IFERROR(__xludf.DUMMYFUNCTION("""COMPUTED_VALUE"""),"29/07")</f>
        <v>29/07</v>
      </c>
      <c r="N11" s="138" t="str">
        <f>IFERROR(__xludf.DUMMYFUNCTION("""COMPUTED_VALUE"""),"30/07")</f>
        <v>30/07</v>
      </c>
      <c r="O11" s="138" t="str">
        <f>IFERROR(__xludf.DUMMYFUNCTION("""COMPUTED_VALUE"""),"30/07")</f>
        <v>30/07</v>
      </c>
      <c r="P11" s="138" t="str">
        <f>IFERROR(__xludf.DUMMYFUNCTION("""COMPUTED_VALUE"""),"30/07")</f>
        <v>30/07</v>
      </c>
      <c r="Q11" s="138" t="str">
        <f>IFERROR(__xludf.DUMMYFUNCTION("""COMPUTED_VALUE"""),"30/07")</f>
        <v>30/07</v>
      </c>
      <c r="R11" s="138" t="str">
        <f>IFERROR(__xludf.DUMMYFUNCTION("""COMPUTED_VALUE"""),"31/07")</f>
        <v>31/07</v>
      </c>
      <c r="S11" s="138" t="str">
        <f>IFERROR(__xludf.DUMMYFUNCTION("""COMPUTED_VALUE"""),"31/07")</f>
        <v>31/07</v>
      </c>
      <c r="T11" s="138" t="str">
        <f>IFERROR(__xludf.DUMMYFUNCTION("""COMPUTED_VALUE"""),"02/09")</f>
        <v>02/09</v>
      </c>
      <c r="U11" s="138"/>
      <c r="V11" s="138"/>
      <c r="W11" s="138"/>
      <c r="X11" s="138"/>
      <c r="Y11" s="138"/>
      <c r="Z11" s="138"/>
    </row>
    <row r="12" hidden="1">
      <c r="A12" s="138" t="str">
        <f>IFERROR(__xludf.DUMMYFUNCTION("""COMPUTED_VALUE"""),"VEE ONE")</f>
        <v>VEE ONE</v>
      </c>
      <c r="B12" s="138" t="str">
        <f>IFERROR(__xludf.DUMMYFUNCTION("""COMPUTED_VALUE"""),"BABE")</f>
        <v>BABE</v>
      </c>
      <c r="C12" s="138" t="str">
        <f>IFERROR(__xludf.DUMMYFUNCTION("""COMPUTED_VALUE"""),"011-00916-00")</f>
        <v>011-00916-00</v>
      </c>
      <c r="D12" s="138" t="str">
        <f>IFERROR(__xludf.DUMMYFUNCTION("""COMPUTED_VALUE"""),"DISPLAY UNIT GDU")</f>
        <v>DISPLAY UNIT GDU</v>
      </c>
      <c r="E12" s="138" t="str">
        <f>IFERROR(__xludf.DUMMYFUNCTION("""COMPUTED_VALUE"""),"86800921")</f>
        <v>86800921</v>
      </c>
      <c r="F12" s="138" t="str">
        <f>IFERROR(__xludf.DUMMYFUNCTION("""COMPUTED_VALUE"""),"005/2025")</f>
        <v>005/2025</v>
      </c>
      <c r="G12" s="138" t="str">
        <f>IFERROR(__xludf.DUMMYFUNCTION("""COMPUTED_VALUE"""),"13/08")</f>
        <v>13/08</v>
      </c>
      <c r="H12" s="138" t="str">
        <f>IFERROR(__xludf.DUMMYFUNCTION("""COMPUTED_VALUE"""),"22/08")</f>
        <v>22/08</v>
      </c>
      <c r="I12" s="138" t="str">
        <f>IFERROR(__xludf.DUMMYFUNCTION("""COMPUTED_VALUE"""),"26/08")</f>
        <v>26/08</v>
      </c>
      <c r="J12" s="138" t="str">
        <f>IFERROR(__xludf.DUMMYFUNCTION("""COMPUTED_VALUE"""),"26/08")</f>
        <v>26/08</v>
      </c>
      <c r="K12" s="138" t="str">
        <f>IFERROR(__xludf.DUMMYFUNCTION("""COMPUTED_VALUE"""),"03/09")</f>
        <v>03/09</v>
      </c>
      <c r="L12" s="138" t="str">
        <f>IFERROR(__xludf.DUMMYFUNCTION("""COMPUTED_VALUE"""),"03/09")</f>
        <v>03/09</v>
      </c>
      <c r="M12" s="138" t="str">
        <f>IFERROR(__xludf.DUMMYFUNCTION("""COMPUTED_VALUE"""),"03/09")</f>
        <v>03/09</v>
      </c>
      <c r="N12" s="138" t="str">
        <f>IFERROR(__xludf.DUMMYFUNCTION("""COMPUTED_VALUE"""),"03/09")</f>
        <v>03/09</v>
      </c>
      <c r="O12" s="138" t="str">
        <f>IFERROR(__xludf.DUMMYFUNCTION("""COMPUTED_VALUE"""),"04/09")</f>
        <v>04/09</v>
      </c>
      <c r="P12" s="138" t="str">
        <f>IFERROR(__xludf.DUMMYFUNCTION("""COMPUTED_VALUE"""),"17/10")</f>
        <v>17/10</v>
      </c>
      <c r="Q12" s="138" t="str">
        <f>IFERROR(__xludf.DUMMYFUNCTION("""COMPUTED_VALUE"""),"17/10 e 13/11")</f>
        <v>17/10 e 13/11</v>
      </c>
      <c r="R12" s="138" t="str">
        <f>IFERROR(__xludf.DUMMYFUNCTION("""COMPUTED_VALUE"""),"17/10")</f>
        <v>17/10</v>
      </c>
      <c r="S12" s="138" t="str">
        <f>IFERROR(__xludf.DUMMYFUNCTION("""COMPUTED_VALUE"""),"17/11")</f>
        <v>17/11</v>
      </c>
      <c r="T12" s="138" t="str">
        <f>IFERROR(__xludf.DUMMYFUNCTION("""COMPUTED_VALUE"""),"23/12")</f>
        <v>23/12</v>
      </c>
      <c r="U12" s="138" t="str">
        <f>IFERROR(__xludf.DUMMYFUNCTION("""COMPUTED_VALUE"""),"Exchange com PN 011-00916-00 SN 86801594")</f>
        <v>Exchange com PN 011-00916-00 SN 86801594</v>
      </c>
      <c r="V12" s="138"/>
      <c r="W12" s="138"/>
      <c r="X12" s="138"/>
      <c r="Y12" s="138"/>
      <c r="Z12" s="138"/>
    </row>
    <row r="13" hidden="1">
      <c r="A13" s="138" t="str">
        <f>IFERROR(__xludf.DUMMYFUNCTION("""COMPUTED_VALUE"""),"VEE ONE")</f>
        <v>VEE ONE</v>
      </c>
      <c r="B13" s="138" t="str">
        <f>IFERROR(__xludf.DUMMYFUNCTION("""COMPUTED_VALUE"""),"BABE")</f>
        <v>BABE</v>
      </c>
      <c r="C13" s="138" t="str">
        <f>IFERROR(__xludf.DUMMYFUNCTION("""COMPUTED_VALUE"""),"011-00916-00")</f>
        <v>011-00916-00</v>
      </c>
      <c r="D13" s="138" t="str">
        <f>IFERROR(__xludf.DUMMYFUNCTION("""COMPUTED_VALUE"""),"DISPLAY UNIT GDU")</f>
        <v>DISPLAY UNIT GDU</v>
      </c>
      <c r="E13" s="138" t="str">
        <f>IFERROR(__xludf.DUMMYFUNCTION("""COMPUTED_VALUE"""),"86801618 ")</f>
        <v>86801618 </v>
      </c>
      <c r="F13" s="138" t="str">
        <f>IFERROR(__xludf.DUMMYFUNCTION("""COMPUTED_VALUE"""),"005/2025")</f>
        <v>005/2025</v>
      </c>
      <c r="G13" s="138" t="str">
        <f>IFERROR(__xludf.DUMMYFUNCTION("""COMPUTED_VALUE"""),"13/08")</f>
        <v>13/08</v>
      </c>
      <c r="H13" s="138" t="str">
        <f>IFERROR(__xludf.DUMMYFUNCTION("""COMPUTED_VALUE"""),"22/08")</f>
        <v>22/08</v>
      </c>
      <c r="I13" s="138" t="str">
        <f>IFERROR(__xludf.DUMMYFUNCTION("""COMPUTED_VALUE"""),"26/08")</f>
        <v>26/08</v>
      </c>
      <c r="J13" s="138" t="str">
        <f>IFERROR(__xludf.DUMMYFUNCTION("""COMPUTED_VALUE"""),"26/08")</f>
        <v>26/08</v>
      </c>
      <c r="K13" s="138" t="str">
        <f>IFERROR(__xludf.DUMMYFUNCTION("""COMPUTED_VALUE"""),"03/09")</f>
        <v>03/09</v>
      </c>
      <c r="L13" s="138" t="str">
        <f>IFERROR(__xludf.DUMMYFUNCTION("""COMPUTED_VALUE"""),"03/09")</f>
        <v>03/09</v>
      </c>
      <c r="M13" s="138" t="str">
        <f>IFERROR(__xludf.DUMMYFUNCTION("""COMPUTED_VALUE"""),"03/09")</f>
        <v>03/09</v>
      </c>
      <c r="N13" s="138" t="str">
        <f>IFERROR(__xludf.DUMMYFUNCTION("""COMPUTED_VALUE"""),"03/09")</f>
        <v>03/09</v>
      </c>
      <c r="O13" s="138" t="str">
        <f>IFERROR(__xludf.DUMMYFUNCTION("""COMPUTED_VALUE"""),"04/09")</f>
        <v>04/09</v>
      </c>
      <c r="P13" s="138" t="str">
        <f>IFERROR(__xludf.DUMMYFUNCTION("""COMPUTED_VALUE"""),"17/10")</f>
        <v>17/10</v>
      </c>
      <c r="Q13" s="138" t="str">
        <f>IFERROR(__xludf.DUMMYFUNCTION("""COMPUTED_VALUE"""),"17/10 e 13/11")</f>
        <v>17/10 e 13/11</v>
      </c>
      <c r="R13" s="138" t="str">
        <f>IFERROR(__xludf.DUMMYFUNCTION("""COMPUTED_VALUE"""),"17/10")</f>
        <v>17/10</v>
      </c>
      <c r="S13" s="138" t="str">
        <f>IFERROR(__xludf.DUMMYFUNCTION("""COMPUTED_VALUE"""),"17/11")</f>
        <v>17/11</v>
      </c>
      <c r="T13" s="138" t="str">
        <f>IFERROR(__xludf.DUMMYFUNCTION("""COMPUTED_VALUE"""),"23/12")</f>
        <v>23/12</v>
      </c>
      <c r="U13" s="138" t="str">
        <f>IFERROR(__xludf.DUMMYFUNCTION("""COMPUTED_VALUE"""),"Exchange com PN 011-00916-10 SN 86815647")</f>
        <v>Exchange com PN 011-00916-10 SN 86815647</v>
      </c>
      <c r="V13" s="138"/>
      <c r="W13" s="138"/>
      <c r="X13" s="138"/>
      <c r="Y13" s="138"/>
      <c r="Z13" s="138"/>
    </row>
    <row r="14" hidden="1">
      <c r="A14" s="138" t="str">
        <f>IFERROR(__xludf.DUMMYFUNCTION("""COMPUTED_VALUE"""),"VEE ONE")</f>
        <v>VEE ONE</v>
      </c>
      <c r="B14" s="138" t="str">
        <f>IFERROR(__xludf.DUMMYFUNCTION("""COMPUTED_VALUE"""),"BABE")</f>
        <v>BABE</v>
      </c>
      <c r="C14" s="138" t="str">
        <f>IFERROR(__xludf.DUMMYFUNCTION("""COMPUTED_VALUE"""),"2C6-8")</f>
        <v>2C6-8</v>
      </c>
      <c r="D14" s="138" t="str">
        <f>IFERROR(__xludf.DUMMYFUNCTION("""COMPUTED_VALUE"""),"FUEL BOOST PUMP")</f>
        <v>FUEL BOOST PUMP</v>
      </c>
      <c r="E14" s="138" t="str">
        <f>IFERROR(__xludf.DUMMYFUNCTION("""COMPUTED_VALUE"""),"K295-4")</f>
        <v>K295-4</v>
      </c>
      <c r="F14" s="138" t="str">
        <f>IFERROR(__xludf.DUMMYFUNCTION("""COMPUTED_VALUE"""),"005/2025")</f>
        <v>005/2025</v>
      </c>
      <c r="G14" s="138" t="str">
        <f>IFERROR(__xludf.DUMMYFUNCTION("""COMPUTED_VALUE"""),"13/08")</f>
        <v>13/08</v>
      </c>
      <c r="H14" s="138" t="str">
        <f>IFERROR(__xludf.DUMMYFUNCTION("""COMPUTED_VALUE"""),"22/08")</f>
        <v>22/08</v>
      </c>
      <c r="I14" s="138" t="str">
        <f>IFERROR(__xludf.DUMMYFUNCTION("""COMPUTED_VALUE"""),"26/08")</f>
        <v>26/08</v>
      </c>
      <c r="J14" s="138" t="str">
        <f>IFERROR(__xludf.DUMMYFUNCTION("""COMPUTED_VALUE"""),"26/08")</f>
        <v>26/08</v>
      </c>
      <c r="K14" s="138" t="str">
        <f>IFERROR(__xludf.DUMMYFUNCTION("""COMPUTED_VALUE"""),"03/09")</f>
        <v>03/09</v>
      </c>
      <c r="L14" s="138" t="str">
        <f>IFERROR(__xludf.DUMMYFUNCTION("""COMPUTED_VALUE"""),"03/09")</f>
        <v>03/09</v>
      </c>
      <c r="M14" s="138" t="str">
        <f>IFERROR(__xludf.DUMMYFUNCTION("""COMPUTED_VALUE"""),"03/09")</f>
        <v>03/09</v>
      </c>
      <c r="N14" s="138" t="str">
        <f>IFERROR(__xludf.DUMMYFUNCTION("""COMPUTED_VALUE"""),"03/09")</f>
        <v>03/09</v>
      </c>
      <c r="O14" s="138" t="str">
        <f>IFERROR(__xludf.DUMMYFUNCTION("""COMPUTED_VALUE"""),"04/09")</f>
        <v>04/09</v>
      </c>
      <c r="P14" s="138" t="str">
        <f>IFERROR(__xludf.DUMMYFUNCTION("""COMPUTED_VALUE"""),"17/10")</f>
        <v>17/10</v>
      </c>
      <c r="Q14" s="138" t="str">
        <f>IFERROR(__xludf.DUMMYFUNCTION("""COMPUTED_VALUE"""),"17/10 e 13/11")</f>
        <v>17/10 e 13/11</v>
      </c>
      <c r="R14" s="138" t="str">
        <f>IFERROR(__xludf.DUMMYFUNCTION("""COMPUTED_VALUE"""),"17/10")</f>
        <v>17/10</v>
      </c>
      <c r="S14" s="138" t="str">
        <f>IFERROR(__xludf.DUMMYFUNCTION("""COMPUTED_VALUE"""),"17/11")</f>
        <v>17/11</v>
      </c>
      <c r="T14" s="138" t="str">
        <f>IFERROR(__xludf.DUMMYFUNCTION("""COMPUTED_VALUE"""),"23/12")</f>
        <v>23/12</v>
      </c>
      <c r="U14" s="138"/>
      <c r="V14" s="138"/>
      <c r="W14" s="138"/>
      <c r="X14" s="138"/>
      <c r="Y14" s="138"/>
      <c r="Z14" s="138"/>
    </row>
    <row r="15" hidden="1">
      <c r="A15" s="138" t="str">
        <f>IFERROR(__xludf.DUMMYFUNCTION("""COMPUTED_VALUE"""),"VEE ONE")</f>
        <v>VEE ONE</v>
      </c>
      <c r="B15" s="138" t="str">
        <f>IFERROR(__xludf.DUMMYFUNCTION("""COMPUTED_VALUE"""),"BABE")</f>
        <v>BABE</v>
      </c>
      <c r="C15" s="138" t="str">
        <f>IFERROR(__xludf.DUMMYFUNCTION("""COMPUTED_VALUE"""),"ASG12000-2")</f>
        <v>ASG12000-2</v>
      </c>
      <c r="D15" s="138" t="str">
        <f>IFERROR(__xludf.DUMMYFUNCTION("""COMPUTED_VALUE"""),"ALTERNADOR")</f>
        <v>ALTERNADOR</v>
      </c>
      <c r="E15" s="138" t="str">
        <f>IFERROR(__xludf.DUMMYFUNCTION("""COMPUTED_VALUE"""),"K060493")</f>
        <v>K060493</v>
      </c>
      <c r="F15" s="138" t="str">
        <f>IFERROR(__xludf.DUMMYFUNCTION("""COMPUTED_VALUE"""),"013/2025")</f>
        <v>013/2025</v>
      </c>
      <c r="G15" s="138" t="str">
        <f>IFERROR(__xludf.DUMMYFUNCTION("""COMPUTED_VALUE"""),"03/09")</f>
        <v>03/09</v>
      </c>
      <c r="H15" s="138" t="str">
        <f>IFERROR(__xludf.DUMMYFUNCTION("""COMPUTED_VALUE"""),"04/09")</f>
        <v>04/09</v>
      </c>
      <c r="I15" s="138" t="str">
        <f>IFERROR(__xludf.DUMMYFUNCTION("""COMPUTED_VALUE"""),"04/09")</f>
        <v>04/09</v>
      </c>
      <c r="J15" s="138" t="str">
        <f>IFERROR(__xludf.DUMMYFUNCTION("""COMPUTED_VALUE"""),"04/09")</f>
        <v>04/09</v>
      </c>
      <c r="K15" s="138" t="str">
        <f>IFERROR(__xludf.DUMMYFUNCTION("""COMPUTED_VALUE"""),"05/09")</f>
        <v>05/09</v>
      </c>
      <c r="L15" s="138" t="str">
        <f>IFERROR(__xludf.DUMMYFUNCTION("""COMPUTED_VALUE"""),"05/09")</f>
        <v>05/09</v>
      </c>
      <c r="M15" s="138" t="str">
        <f>IFERROR(__xludf.DUMMYFUNCTION("""COMPUTED_VALUE"""),"08/09")</f>
        <v>08/09</v>
      </c>
      <c r="N15" s="138" t="str">
        <f>IFERROR(__xludf.DUMMYFUNCTION("""COMPUTED_VALUE"""),"08/09")</f>
        <v>08/09</v>
      </c>
      <c r="O15" s="138" t="str">
        <f>IFERROR(__xludf.DUMMYFUNCTION("""COMPUTED_VALUE"""),"08/09")</f>
        <v>08/09</v>
      </c>
      <c r="P15" s="138" t="str">
        <f>IFERROR(__xludf.DUMMYFUNCTION("""COMPUTED_VALUE"""),"08/09")</f>
        <v>08/09</v>
      </c>
      <c r="Q15" s="138" t="str">
        <f>IFERROR(__xludf.DUMMYFUNCTION("""COMPUTED_VALUE"""),"08/09")</f>
        <v>08/09</v>
      </c>
      <c r="R15" s="138" t="str">
        <f>IFERROR(__xludf.DUMMYFUNCTION("""COMPUTED_VALUE"""),"08/09")</f>
        <v>08/09</v>
      </c>
      <c r="S15" s="138" t="str">
        <f>IFERROR(__xludf.DUMMYFUNCTION("""COMPUTED_VALUE"""),"26/09")</f>
        <v>26/09</v>
      </c>
      <c r="T15" s="138" t="str">
        <f>IFERROR(__xludf.DUMMYFUNCTION("""COMPUTED_VALUE"""),"01/10")</f>
        <v>01/10</v>
      </c>
      <c r="U15" s="138"/>
      <c r="V15" s="138"/>
      <c r="W15" s="138"/>
      <c r="X15" s="138"/>
      <c r="Y15" s="138"/>
      <c r="Z15" s="138"/>
    </row>
    <row r="16" hidden="1">
      <c r="A16" s="138" t="str">
        <f>IFERROR(__xludf.DUMMYFUNCTION("""COMPUTED_VALUE"""),"VEE ONE")</f>
        <v>VEE ONE</v>
      </c>
      <c r="B16" s="138" t="str">
        <f>IFERROR(__xludf.DUMMYFUNCTION("""COMPUTED_VALUE"""),"BABE")</f>
        <v>BABE</v>
      </c>
      <c r="C16" s="138" t="str">
        <f>IFERROR(__xludf.DUMMYFUNCTION("""COMPUTED_VALUE"""),"3121248-03")</f>
        <v>3121248-03</v>
      </c>
      <c r="D16" s="138" t="str">
        <f>IFERROR(__xludf.DUMMYFUNCTION("""COMPUTED_VALUE"""),"VALVE ASSEMBLY,COMPRESSOR BLEED")</f>
        <v>VALVE ASSEMBLY,COMPRESSOR BLEED</v>
      </c>
      <c r="E16" s="138" t="str">
        <f>IFERROR(__xludf.DUMMYFUNCTION("""COMPUTED_VALUE"""),"3H399")</f>
        <v>3H399</v>
      </c>
      <c r="F16" s="138" t="str">
        <f>IFERROR(__xludf.DUMMYFUNCTION("""COMPUTED_VALUE"""),"015/2025")</f>
        <v>015/2025</v>
      </c>
      <c r="G16" s="138" t="str">
        <f>IFERROR(__xludf.DUMMYFUNCTION("""COMPUTED_VALUE"""),"15/10")</f>
        <v>15/10</v>
      </c>
      <c r="H16" s="138" t="str">
        <f>IFERROR(__xludf.DUMMYFUNCTION("""COMPUTED_VALUE"""),"15/10")</f>
        <v>15/10</v>
      </c>
      <c r="I16" s="138" t="str">
        <f>IFERROR(__xludf.DUMMYFUNCTION("""COMPUTED_VALUE"""),"15/10")</f>
        <v>15/10</v>
      </c>
      <c r="J16" s="138" t="str">
        <f>IFERROR(__xludf.DUMMYFUNCTION("""COMPUTED_VALUE"""),"16/10")</f>
        <v>16/10</v>
      </c>
      <c r="K16" s="138" t="str">
        <f>IFERROR(__xludf.DUMMYFUNCTION("""COMPUTED_VALUE"""),"16/10")</f>
        <v>16/10</v>
      </c>
      <c r="L16" s="138" t="str">
        <f>IFERROR(__xludf.DUMMYFUNCTION("""COMPUTED_VALUE"""),"16/10")</f>
        <v>16/10</v>
      </c>
      <c r="M16" s="138" t="str">
        <f>IFERROR(__xludf.DUMMYFUNCTION("""COMPUTED_VALUE"""),"17/10")</f>
        <v>17/10</v>
      </c>
      <c r="N16" s="138" t="str">
        <f>IFERROR(__xludf.DUMMYFUNCTION("""COMPUTED_VALUE"""),"17/10")</f>
        <v>17/10</v>
      </c>
      <c r="O16" s="138" t="str">
        <f>IFERROR(__xludf.DUMMYFUNCTION("""COMPUTED_VALUE"""),"17/10")</f>
        <v>17/10</v>
      </c>
      <c r="P16" s="138" t="str">
        <f>IFERROR(__xludf.DUMMYFUNCTION("""COMPUTED_VALUE"""),"17/10")</f>
        <v>17/10</v>
      </c>
      <c r="Q16" s="138" t="str">
        <f>IFERROR(__xludf.DUMMYFUNCTION("""COMPUTED_VALUE"""),"17/10 e 13/11")</f>
        <v>17/10 e 13/11</v>
      </c>
      <c r="R16" s="138" t="str">
        <f>IFERROR(__xludf.DUMMYFUNCTION("""COMPUTED_VALUE"""),"17/10")</f>
        <v>17/10</v>
      </c>
      <c r="S16" s="138" t="str">
        <f>IFERROR(__xludf.DUMMYFUNCTION("""COMPUTED_VALUE"""),"17/11")</f>
        <v>17/11</v>
      </c>
      <c r="T16" s="138" t="str">
        <f>IFERROR(__xludf.DUMMYFUNCTION("""COMPUTED_VALUE"""),"23/12")</f>
        <v>23/12</v>
      </c>
      <c r="U16" s="138"/>
      <c r="V16" s="138"/>
      <c r="W16" s="138"/>
      <c r="X16" s="138"/>
      <c r="Y16" s="138"/>
      <c r="Z16" s="138"/>
    </row>
    <row r="17" hidden="1">
      <c r="A17" s="138" t="str">
        <f>IFERROR(__xludf.DUMMYFUNCTION("""COMPUTED_VALUE"""),"VEE ONE")</f>
        <v>VEE ONE</v>
      </c>
      <c r="B17" s="138" t="str">
        <f>IFERROR(__xludf.DUMMYFUNCTION("""COMPUTED_VALUE"""),"BACG")</f>
        <v>BACG</v>
      </c>
      <c r="C17" s="138" t="str">
        <f>IFERROR(__xludf.DUMMYFUNCTION("""COMPUTED_VALUE"""),"3122678-04")</f>
        <v>3122678-04</v>
      </c>
      <c r="D17" s="138" t="str">
        <f>IFERROR(__xludf.DUMMYFUNCTION("""COMPUTED_VALUE"""),"FUEL CONTROL UNIT")</f>
        <v>FUEL CONTROL UNIT</v>
      </c>
      <c r="E17" s="138" t="str">
        <f>IFERROR(__xludf.DUMMYFUNCTION("""COMPUTED_VALUE"""),"C66689")</f>
        <v>C66689</v>
      </c>
      <c r="F17" s="138" t="str">
        <f>IFERROR(__xludf.DUMMYFUNCTION("""COMPUTED_VALUE"""),"002/2025")</f>
        <v>002/2025</v>
      </c>
      <c r="G17" s="138" t="str">
        <f>IFERROR(__xludf.DUMMYFUNCTION("""COMPUTED_VALUE"""),"19/05")</f>
        <v>19/05</v>
      </c>
      <c r="H17" s="138" t="str">
        <f>IFERROR(__xludf.DUMMYFUNCTION("""COMPUTED_VALUE"""),"28/05")</f>
        <v>28/05</v>
      </c>
      <c r="I17" s="138" t="str">
        <f>IFERROR(__xludf.DUMMYFUNCTION("""COMPUTED_VALUE"""),"25/07")</f>
        <v>25/07</v>
      </c>
      <c r="J17" s="138" t="str">
        <f>IFERROR(__xludf.DUMMYFUNCTION("""COMPUTED_VALUE"""),"25/07")</f>
        <v>25/07</v>
      </c>
      <c r="K17" s="138" t="str">
        <f>IFERROR(__xludf.DUMMYFUNCTION("""COMPUTED_VALUE"""),"29/07")</f>
        <v>29/07</v>
      </c>
      <c r="L17" s="138" t="str">
        <f>IFERROR(__xludf.DUMMYFUNCTION("""COMPUTED_VALUE"""),"29/07")</f>
        <v>29/07</v>
      </c>
      <c r="M17" s="138" t="str">
        <f>IFERROR(__xludf.DUMMYFUNCTION("""COMPUTED_VALUE"""),"29/07")</f>
        <v>29/07</v>
      </c>
      <c r="N17" s="138" t="str">
        <f>IFERROR(__xludf.DUMMYFUNCTION("""COMPUTED_VALUE"""),"30/07")</f>
        <v>30/07</v>
      </c>
      <c r="O17" s="138" t="str">
        <f>IFERROR(__xludf.DUMMYFUNCTION("""COMPUTED_VALUE"""),"30/07")</f>
        <v>30/07</v>
      </c>
      <c r="P17" s="138" t="str">
        <f>IFERROR(__xludf.DUMMYFUNCTION("""COMPUTED_VALUE"""),"30/07")</f>
        <v>30/07</v>
      </c>
      <c r="Q17" s="138" t="str">
        <f>IFERROR(__xludf.DUMMYFUNCTION("""COMPUTED_VALUE"""),"30/07")</f>
        <v>30/07</v>
      </c>
      <c r="R17" s="138" t="str">
        <f>IFERROR(__xludf.DUMMYFUNCTION("""COMPUTED_VALUE"""),"31/07")</f>
        <v>31/07</v>
      </c>
      <c r="S17" s="138" t="str">
        <f>IFERROR(__xludf.DUMMYFUNCTION("""COMPUTED_VALUE"""),"31/07")</f>
        <v>31/07</v>
      </c>
      <c r="T17" s="138" t="str">
        <f>IFERROR(__xludf.DUMMYFUNCTION("""COMPUTED_VALUE"""),"02/09")</f>
        <v>02/09</v>
      </c>
      <c r="U17" s="138"/>
      <c r="V17" s="138"/>
      <c r="W17" s="138"/>
      <c r="X17" s="138"/>
      <c r="Y17" s="138"/>
      <c r="Z17" s="138"/>
    </row>
    <row r="18" hidden="1">
      <c r="A18" s="138" t="str">
        <f>IFERROR(__xludf.DUMMYFUNCTION("""COMPUTED_VALUE"""),"VEE ONE")</f>
        <v>VEE ONE</v>
      </c>
      <c r="B18" s="138" t="str">
        <f>IFERROR(__xludf.DUMMYFUNCTION("""COMPUTED_VALUE"""),"BACG")</f>
        <v>BACG</v>
      </c>
      <c r="C18" s="138" t="str">
        <f>IFERROR(__xludf.DUMMYFUNCTION("""COMPUTED_VALUE"""),"C661064-0237")</f>
        <v>C661064-0237</v>
      </c>
      <c r="D18" s="138" t="str">
        <f>IFERROR(__xludf.DUMMYFUNCTION("""COMPUTED_VALUE"""),"AIRSPEED INDICATOR")</f>
        <v>AIRSPEED INDICATOR</v>
      </c>
      <c r="E18" s="138" t="str">
        <f>IFERROR(__xludf.DUMMYFUNCTION("""COMPUTED_VALUE"""),"T23149")</f>
        <v>T23149</v>
      </c>
      <c r="F18" s="138" t="str">
        <f>IFERROR(__xludf.DUMMYFUNCTION("""COMPUTED_VALUE"""),"005/2025")</f>
        <v>005/2025</v>
      </c>
      <c r="G18" s="138" t="str">
        <f>IFERROR(__xludf.DUMMYFUNCTION("""COMPUTED_VALUE"""),"04/08")</f>
        <v>04/08</v>
      </c>
      <c r="H18" s="138" t="str">
        <f>IFERROR(__xludf.DUMMYFUNCTION("""COMPUTED_VALUE"""),"04/08")</f>
        <v>04/08</v>
      </c>
      <c r="I18" s="138" t="str">
        <f>IFERROR(__xludf.DUMMYFUNCTION("""COMPUTED_VALUE"""),"04/08")</f>
        <v>04/08</v>
      </c>
      <c r="J18" s="138" t="str">
        <f>IFERROR(__xludf.DUMMYFUNCTION("""COMPUTED_VALUE"""),"05/08")</f>
        <v>05/08</v>
      </c>
      <c r="K18" s="138" t="str">
        <f>IFERROR(__xludf.DUMMYFUNCTION("""COMPUTED_VALUE"""),"06/08")</f>
        <v>06/08</v>
      </c>
      <c r="L18" s="138" t="str">
        <f>IFERROR(__xludf.DUMMYFUNCTION("""COMPUTED_VALUE"""),"06/08")</f>
        <v>06/08</v>
      </c>
      <c r="M18" s="138" t="str">
        <f>IFERROR(__xludf.DUMMYFUNCTION("""COMPUTED_VALUE"""),"06/08")</f>
        <v>06/08</v>
      </c>
      <c r="N18" s="138" t="str">
        <f>IFERROR(__xludf.DUMMYFUNCTION("""COMPUTED_VALUE"""),"06/08")</f>
        <v>06/08</v>
      </c>
      <c r="O18" s="138" t="str">
        <f>IFERROR(__xludf.DUMMYFUNCTION("""COMPUTED_VALUE"""),"06/08")</f>
        <v>06/08</v>
      </c>
      <c r="P18" s="138" t="str">
        <f>IFERROR(__xludf.DUMMYFUNCTION("""COMPUTED_VALUE"""),"06/08")</f>
        <v>06/08</v>
      </c>
      <c r="Q18" s="138" t="str">
        <f>IFERROR(__xludf.DUMMYFUNCTION("""COMPUTED_VALUE"""),"06/08")</f>
        <v>06/08</v>
      </c>
      <c r="R18" s="138" t="str">
        <f>IFERROR(__xludf.DUMMYFUNCTION("""COMPUTED_VALUE"""),"06/08")</f>
        <v>06/08</v>
      </c>
      <c r="S18" s="138" t="str">
        <f>IFERROR(__xludf.DUMMYFUNCTION("""COMPUTED_VALUE"""),"06/08")</f>
        <v>06/08</v>
      </c>
      <c r="T18" s="138" t="str">
        <f>IFERROR(__xludf.DUMMYFUNCTION("""COMPUTED_VALUE"""),"07/08")</f>
        <v>07/08</v>
      </c>
      <c r="U18" s="138"/>
      <c r="V18" s="138"/>
      <c r="W18" s="138"/>
      <c r="X18" s="138"/>
      <c r="Y18" s="138"/>
      <c r="Z18" s="138"/>
    </row>
    <row r="19" hidden="1">
      <c r="A19" s="138" t="str">
        <f>IFERROR(__xludf.DUMMYFUNCTION("""COMPUTED_VALUE"""),"VEE ONE")</f>
        <v>VEE ONE</v>
      </c>
      <c r="B19" s="138" t="str">
        <f>IFERROR(__xludf.DUMMYFUNCTION("""COMPUTED_VALUE"""),"BAPV")</f>
        <v>BAPV</v>
      </c>
      <c r="C19" s="138" t="str">
        <f>IFERROR(__xludf.DUMMYFUNCTION("""COMPUTED_VALUE"""),"011-00916-00")</f>
        <v>011-00916-00</v>
      </c>
      <c r="D19" s="138" t="str">
        <f>IFERROR(__xludf.DUMMYFUNCTION("""COMPUTED_VALUE"""),"DISPLAY UNIT GDU")</f>
        <v>DISPLAY UNIT GDU</v>
      </c>
      <c r="E19" s="138" t="str">
        <f>IFERROR(__xludf.DUMMYFUNCTION("""COMPUTED_VALUE"""),"86800662")</f>
        <v>86800662</v>
      </c>
      <c r="F19" s="138" t="str">
        <f>IFERROR(__xludf.DUMMYFUNCTION("""COMPUTED_VALUE"""),"006/2025")</f>
        <v>006/2025</v>
      </c>
      <c r="G19" s="138" t="str">
        <f>IFERROR(__xludf.DUMMYFUNCTION("""COMPUTED_VALUE"""),"08/08")</f>
        <v>08/08</v>
      </c>
      <c r="H19" s="138" t="str">
        <f>IFERROR(__xludf.DUMMYFUNCTION("""COMPUTED_VALUE"""),"08/08")</f>
        <v>08/08</v>
      </c>
      <c r="I19" s="138" t="str">
        <f>IFERROR(__xludf.DUMMYFUNCTION("""COMPUTED_VALUE"""),"13/08")</f>
        <v>13/08</v>
      </c>
      <c r="J19" s="138" t="str">
        <f>IFERROR(__xludf.DUMMYFUNCTION("""COMPUTED_VALUE"""),"13/08")</f>
        <v>13/08</v>
      </c>
      <c r="K19" s="138" t="str">
        <f>IFERROR(__xludf.DUMMYFUNCTION("""COMPUTED_VALUE"""),"14/08")</f>
        <v>14/08</v>
      </c>
      <c r="L19" s="138" t="str">
        <f>IFERROR(__xludf.DUMMYFUNCTION("""COMPUTED_VALUE"""),"25/08")</f>
        <v>25/08</v>
      </c>
      <c r="M19" s="138" t="str">
        <f>IFERROR(__xludf.DUMMYFUNCTION("""COMPUTED_VALUE"""),"25/08")</f>
        <v>25/08</v>
      </c>
      <c r="N19" s="138" t="str">
        <f>IFERROR(__xludf.DUMMYFUNCTION("""COMPUTED_VALUE"""),"25/08")</f>
        <v>25/08</v>
      </c>
      <c r="O19" s="138" t="str">
        <f>IFERROR(__xludf.DUMMYFUNCTION("""COMPUTED_VALUE"""),"25/08")</f>
        <v>25/08</v>
      </c>
      <c r="P19" s="138" t="str">
        <f>IFERROR(__xludf.DUMMYFUNCTION("""COMPUTED_VALUE"""),"26/08")</f>
        <v>26/08</v>
      </c>
      <c r="Q19" s="138" t="str">
        <f>IFERROR(__xludf.DUMMYFUNCTION("""COMPUTED_VALUE"""),"26/08")</f>
        <v>26/08</v>
      </c>
      <c r="R19" s="138" t="str">
        <f>IFERROR(__xludf.DUMMYFUNCTION("""COMPUTED_VALUE"""),"27/08")</f>
        <v>27/08</v>
      </c>
      <c r="S19" s="138" t="str">
        <f>IFERROR(__xludf.DUMMYFUNCTION("""COMPUTED_VALUE"""),"27/08")</f>
        <v>27/08</v>
      </c>
      <c r="T19" s="138" t="str">
        <f>IFERROR(__xludf.DUMMYFUNCTION("""COMPUTED_VALUE"""),"27/08")</f>
        <v>27/08</v>
      </c>
      <c r="U19" s="138" t="str">
        <f>IFERROR(__xludf.DUMMYFUNCTION("""COMPUTED_VALUE"""),"Exchange com PN 011-00916-00 SN 86801069")</f>
        <v>Exchange com PN 011-00916-00 SN 86801069</v>
      </c>
      <c r="V19" s="138"/>
      <c r="W19" s="138"/>
      <c r="X19" s="138"/>
      <c r="Y19" s="138"/>
      <c r="Z19" s="138"/>
    </row>
    <row r="20" hidden="1">
      <c r="A20" s="138" t="str">
        <f>IFERROR(__xludf.DUMMYFUNCTION("""COMPUTED_VALUE"""),"VEE ONE")</f>
        <v>VEE ONE</v>
      </c>
      <c r="B20" s="138" t="str">
        <f>IFERROR(__xludf.DUMMYFUNCTION("""COMPUTED_VALUE"""),"BAMN")</f>
        <v>BAMN</v>
      </c>
      <c r="C20" s="138" t="str">
        <f>IFERROR(__xludf.DUMMYFUNCTION("""COMPUTED_VALUE"""),"3244897-4")</f>
        <v>3244897-4</v>
      </c>
      <c r="D20" s="138" t="str">
        <f>IFERROR(__xludf.DUMMYFUNCTION("""COMPUTED_VALUE"""),"FUEL CONTROL UNIT")</f>
        <v>FUEL CONTROL UNIT</v>
      </c>
      <c r="E20" s="138" t="str">
        <f>IFERROR(__xludf.DUMMYFUNCTION("""COMPUTED_VALUE"""),"B1025")</f>
        <v>B1025</v>
      </c>
      <c r="F20" s="138" t="str">
        <f>IFERROR(__xludf.DUMMYFUNCTION("""COMPUTED_VALUE"""),"029/2025")</f>
        <v>029/2025</v>
      </c>
      <c r="G20" s="138" t="str">
        <f>IFERROR(__xludf.DUMMYFUNCTION("""COMPUTED_VALUE"""),"14/10")</f>
        <v>14/10</v>
      </c>
      <c r="H20" s="138" t="str">
        <f>IFERROR(__xludf.DUMMYFUNCTION("""COMPUTED_VALUE"""),"17/10")</f>
        <v>17/10</v>
      </c>
      <c r="I20" s="138" t="str">
        <f>IFERROR(__xludf.DUMMYFUNCTION("""COMPUTED_VALUE"""),"21/10")</f>
        <v>21/10</v>
      </c>
      <c r="J20" s="138" t="str">
        <f>IFERROR(__xludf.DUMMYFUNCTION("""COMPUTED_VALUE"""),"21/10")</f>
        <v>21/10</v>
      </c>
      <c r="K20" s="138" t="str">
        <f>IFERROR(__xludf.DUMMYFUNCTION("""COMPUTED_VALUE"""),"27/10")</f>
        <v>27/10</v>
      </c>
      <c r="L20" s="138" t="str">
        <f>IFERROR(__xludf.DUMMYFUNCTION("""COMPUTED_VALUE"""),"28/10")</f>
        <v>28/10</v>
      </c>
      <c r="M20" s="138" t="str">
        <f>IFERROR(__xludf.DUMMYFUNCTION("""COMPUTED_VALUE"""),"28/10")</f>
        <v>28/10</v>
      </c>
      <c r="N20" s="138" t="str">
        <f>IFERROR(__xludf.DUMMYFUNCTION("""COMPUTED_VALUE"""),"28/10")</f>
        <v>28/10</v>
      </c>
      <c r="O20" s="138" t="str">
        <f>IFERROR(__xludf.DUMMYFUNCTION("""COMPUTED_VALUE"""),"28/10")</f>
        <v>28/10</v>
      </c>
      <c r="P20" s="138" t="str">
        <f>IFERROR(__xludf.DUMMYFUNCTION("""COMPUTED_VALUE"""),"28/10")</f>
        <v>28/10</v>
      </c>
      <c r="Q20" s="138" t="str">
        <f>IFERROR(__xludf.DUMMYFUNCTION("""COMPUTED_VALUE"""),"28/10")</f>
        <v>28/10</v>
      </c>
      <c r="R20" s="138" t="str">
        <f>IFERROR(__xludf.DUMMYFUNCTION("""COMPUTED_VALUE"""),"28/10")</f>
        <v>28/10</v>
      </c>
      <c r="S20" s="138" t="str">
        <f>IFERROR(__xludf.DUMMYFUNCTION("""COMPUTED_VALUE"""),"28/10")</f>
        <v>28/10</v>
      </c>
      <c r="T20" s="138" t="str">
        <f>IFERROR(__xludf.DUMMYFUNCTION("""COMPUTED_VALUE"""),"02/12")</f>
        <v>02/12</v>
      </c>
      <c r="U20" s="138"/>
      <c r="V20" s="138"/>
      <c r="W20" s="138"/>
      <c r="X20" s="138"/>
      <c r="Y20" s="138"/>
      <c r="Z20" s="138"/>
    </row>
    <row r="21" hidden="1">
      <c r="A21" s="138" t="str">
        <f>IFERROR(__xludf.DUMMYFUNCTION("""COMPUTED_VALUE"""),"VEE ONE")</f>
        <v>VEE ONE</v>
      </c>
      <c r="B21" s="138" t="str">
        <f>IFERROR(__xludf.DUMMYFUNCTION("""COMPUTED_VALUE"""),"BAPV")</f>
        <v>BAPV</v>
      </c>
      <c r="C21" s="138" t="str">
        <f>IFERROR(__xludf.DUMMYFUNCTION("""COMPUTED_VALUE"""),"3244897-4")</f>
        <v>3244897-4</v>
      </c>
      <c r="D21" s="138" t="str">
        <f>IFERROR(__xludf.DUMMYFUNCTION("""COMPUTED_VALUE"""),"FUEL CONTROL UNIT")</f>
        <v>FUEL CONTROL UNIT</v>
      </c>
      <c r="E21" s="138" t="str">
        <f>IFERROR(__xludf.DUMMYFUNCTION("""COMPUTED_VALUE"""),"F66912")</f>
        <v>F66912</v>
      </c>
      <c r="F21" s="138" t="str">
        <f>IFERROR(__xludf.DUMMYFUNCTION("""COMPUTED_VALUE"""),"007/2025")</f>
        <v>007/2025</v>
      </c>
      <c r="G21" s="138" t="str">
        <f>IFERROR(__xludf.DUMMYFUNCTION("""COMPUTED_VALUE"""),"08/09")</f>
        <v>08/09</v>
      </c>
      <c r="H21" s="138" t="str">
        <f>IFERROR(__xludf.DUMMYFUNCTION("""COMPUTED_VALUE"""),"09/09")</f>
        <v>09/09</v>
      </c>
      <c r="I21" s="138" t="str">
        <f>IFERROR(__xludf.DUMMYFUNCTION("""COMPUTED_VALUE"""),"15/10")</f>
        <v>15/10</v>
      </c>
      <c r="J21" s="138" t="str">
        <f>IFERROR(__xludf.DUMMYFUNCTION("""COMPUTED_VALUE"""),"12/12")</f>
        <v>12/12</v>
      </c>
      <c r="K21" s="138" t="str">
        <f>IFERROR(__xludf.DUMMYFUNCTION("""COMPUTED_VALUE"""),"16/12")</f>
        <v>16/12</v>
      </c>
      <c r="L21" s="138" t="str">
        <f>IFERROR(__xludf.DUMMYFUNCTION("""COMPUTED_VALUE"""),"16/12")</f>
        <v>16/12</v>
      </c>
      <c r="M21" s="138" t="str">
        <f>IFERROR(__xludf.DUMMYFUNCTION("""COMPUTED_VALUE"""),"16/12")</f>
        <v>16/12</v>
      </c>
      <c r="N21" s="138" t="str">
        <f>IFERROR(__xludf.DUMMYFUNCTION("""COMPUTED_VALUE"""),"16/12")</f>
        <v>16/12</v>
      </c>
      <c r="O21" s="138" t="str">
        <f>IFERROR(__xludf.DUMMYFUNCTION("""COMPUTED_VALUE"""),"16/12")</f>
        <v>16/12</v>
      </c>
      <c r="P21" s="138" t="str">
        <f>IFERROR(__xludf.DUMMYFUNCTION("""COMPUTED_VALUE"""),"27/01")</f>
        <v>27/01</v>
      </c>
      <c r="Q21" s="138" t="str">
        <f>IFERROR(__xludf.DUMMYFUNCTION("""COMPUTED_VALUE"""),"27/01")</f>
        <v>27/01</v>
      </c>
      <c r="R21" s="138" t="str">
        <f>IFERROR(__xludf.DUMMYFUNCTION("""COMPUTED_VALUE"""),"29/01")</f>
        <v>29/01</v>
      </c>
      <c r="S21" s="138" t="str">
        <f>IFERROR(__xludf.DUMMYFUNCTION("""COMPUTED_VALUE"""),"29/01")</f>
        <v>29/01</v>
      </c>
      <c r="T21" s="138" t="str">
        <f>IFERROR(__xludf.DUMMYFUNCTION("""COMPUTED_VALUE"""),"02/02")</f>
        <v>02/02</v>
      </c>
      <c r="U21" s="138" t="str">
        <f>IFERROR(__xludf.DUMMYFUNCTION("""COMPUTED_VALUE"""),"Agd certificado da BAPV, empresa não pode fornecer outro. Item entregue em pane. Certificado enviado pelo Roberto em 21/10.")</f>
        <v>Agd certificado da BAPV, empresa não pode fornecer outro. Item entregue em pane. Certificado enviado pelo Roberto em 21/10.</v>
      </c>
      <c r="V21" s="138"/>
      <c r="W21" s="138"/>
      <c r="X21" s="138"/>
      <c r="Y21" s="138"/>
      <c r="Z21" s="138"/>
    </row>
    <row r="22" hidden="1">
      <c r="A22" s="138" t="str">
        <f>IFERROR(__xludf.DUMMYFUNCTION("""COMPUTED_VALUE"""),"VEE ONE")</f>
        <v>VEE ONE</v>
      </c>
      <c r="B22" s="138" t="str">
        <f>IFERROR(__xludf.DUMMYFUNCTION("""COMPUTED_VALUE"""),"BABR")</f>
        <v>BABR</v>
      </c>
      <c r="C22" s="138" t="str">
        <f>IFERROR(__xludf.DUMMYFUNCTION("""COMPUTED_VALUE"""),"064-1054-30")</f>
        <v>064-1054-30</v>
      </c>
      <c r="D22" s="138" t="str">
        <f>IFERROR(__xludf.DUMMYFUNCTION("""COMPUTED_VALUE"""),"RECEPTOR DE VHF")</f>
        <v>RECEPTOR DE VHF</v>
      </c>
      <c r="E22" s="138" t="str">
        <f>IFERROR(__xludf.DUMMYFUNCTION("""COMPUTED_VALUE"""),"24310")</f>
        <v>24310</v>
      </c>
      <c r="F22" s="138" t="str">
        <f>IFERROR(__xludf.DUMMYFUNCTION("""COMPUTED_VALUE"""),"003/2025")</f>
        <v>003/2025</v>
      </c>
      <c r="G22" s="138" t="str">
        <f>IFERROR(__xludf.DUMMYFUNCTION("""COMPUTED_VALUE"""),"12/11")</f>
        <v>12/11</v>
      </c>
      <c r="H22" s="138" t="str">
        <f>IFERROR(__xludf.DUMMYFUNCTION("""COMPUTED_VALUE"""),"13/11")</f>
        <v>13/11</v>
      </c>
      <c r="I22" s="138" t="str">
        <f>IFERROR(__xludf.DUMMYFUNCTION("""COMPUTED_VALUE"""),"14/11")</f>
        <v>14/11</v>
      </c>
      <c r="J22" s="138" t="str">
        <f>IFERROR(__xludf.DUMMYFUNCTION("""COMPUTED_VALUE"""),"17/11")</f>
        <v>17/11</v>
      </c>
      <c r="K22" s="138" t="str">
        <f>IFERROR(__xludf.DUMMYFUNCTION("""COMPUTED_VALUE"""),"17/11")</f>
        <v>17/11</v>
      </c>
      <c r="L22" s="138" t="str">
        <f>IFERROR(__xludf.DUMMYFUNCTION("""COMPUTED_VALUE"""),"17/11")</f>
        <v>17/11</v>
      </c>
      <c r="M22" s="138" t="str">
        <f>IFERROR(__xludf.DUMMYFUNCTION("""COMPUTED_VALUE"""),"17/11")</f>
        <v>17/11</v>
      </c>
      <c r="N22" s="138" t="str">
        <f>IFERROR(__xludf.DUMMYFUNCTION("""COMPUTED_VALUE"""),"17/11")</f>
        <v>17/11</v>
      </c>
      <c r="O22" s="138" t="str">
        <f>IFERROR(__xludf.DUMMYFUNCTION("""COMPUTED_VALUE"""),"17/11")</f>
        <v>17/11</v>
      </c>
      <c r="P22" s="138" t="str">
        <f>IFERROR(__xludf.DUMMYFUNCTION("""COMPUTED_VALUE"""),"*")</f>
        <v>*</v>
      </c>
      <c r="Q22" s="138" t="str">
        <f>IFERROR(__xludf.DUMMYFUNCTION("""COMPUTED_VALUE"""),"*")</f>
        <v>*</v>
      </c>
      <c r="R22" s="138" t="str">
        <f>IFERROR(__xludf.DUMMYFUNCTION("""COMPUTED_VALUE"""),"27/01")</f>
        <v>27/01</v>
      </c>
      <c r="S22" s="138" t="str">
        <f>IFERROR(__xludf.DUMMYFUNCTION("""COMPUTED_VALUE"""),"27/01")</f>
        <v>27/01</v>
      </c>
      <c r="T22" s="138" t="str">
        <f>IFERROR(__xludf.DUMMYFUNCTION("""COMPUTED_VALUE"""),"27/01")</f>
        <v>27/01</v>
      </c>
      <c r="U22" s="138"/>
      <c r="V22" s="138"/>
      <c r="W22" s="138"/>
      <c r="X22" s="138"/>
      <c r="Y22" s="138"/>
      <c r="Z22" s="138"/>
    </row>
    <row r="23" hidden="1">
      <c r="A23" s="138" t="str">
        <f>IFERROR(__xludf.DUMMYFUNCTION("""COMPUTED_VALUE"""),"VEE ONE")</f>
        <v>VEE ONE</v>
      </c>
      <c r="B23" s="138" t="str">
        <f>IFERROR(__xludf.DUMMYFUNCTION("""COMPUTED_VALUE"""),"BABR")</f>
        <v>BABR</v>
      </c>
      <c r="C23" s="138" t="str">
        <f>IFERROR(__xludf.DUMMYFUNCTION("""COMPUTED_VALUE"""),"3244897-4")</f>
        <v>3244897-4</v>
      </c>
      <c r="D23" s="138" t="str">
        <f>IFERROR(__xludf.DUMMYFUNCTION("""COMPUTED_VALUE"""),"FUEL CONTROL UNIT")</f>
        <v>FUEL CONTROL UNIT</v>
      </c>
      <c r="E23" s="138" t="str">
        <f>IFERROR(__xludf.DUMMYFUNCTION("""COMPUTED_VALUE"""),"C65376")</f>
        <v>C65376</v>
      </c>
      <c r="F23" s="138" t="str">
        <f>IFERROR(__xludf.DUMMYFUNCTION("""COMPUTED_VALUE"""),"009/2026")</f>
        <v>009/2026</v>
      </c>
      <c r="G23" s="138" t="str">
        <f>IFERROR(__xludf.DUMMYFUNCTION("""COMPUTED_VALUE"""),"27/01")</f>
        <v>27/01</v>
      </c>
      <c r="H23" s="138" t="str">
        <f>IFERROR(__xludf.DUMMYFUNCTION("""COMPUTED_VALUE"""),"02/02")</f>
        <v>02/02</v>
      </c>
      <c r="I23" s="138" t="str">
        <f>IFERROR(__xludf.DUMMYFUNCTION("""COMPUTED_VALUE"""),"02/02")</f>
        <v>02/02</v>
      </c>
      <c r="J23" s="138" t="str">
        <f>IFERROR(__xludf.DUMMYFUNCTION("""COMPUTED_VALUE"""),"02/02")</f>
        <v>02/02</v>
      </c>
      <c r="K23" s="138" t="str">
        <f>IFERROR(__xludf.DUMMYFUNCTION("""COMPUTED_VALUE"""),"03/02")</f>
        <v>03/02</v>
      </c>
      <c r="L23" s="138" t="str">
        <f>IFERROR(__xludf.DUMMYFUNCTION("""COMPUTED_VALUE"""),"03/02")</f>
        <v>03/02</v>
      </c>
      <c r="M23" s="138" t="str">
        <f>IFERROR(__xludf.DUMMYFUNCTION("""COMPUTED_VALUE"""),"03/02")</f>
        <v>03/02</v>
      </c>
      <c r="N23" s="138" t="str">
        <f>IFERROR(__xludf.DUMMYFUNCTION("""COMPUTED_VALUE"""),"03/02")</f>
        <v>03/02</v>
      </c>
      <c r="O23" s="138" t="str">
        <f>IFERROR(__xludf.DUMMYFUNCTION("""COMPUTED_VALUE"""),"03/02")</f>
        <v>03/02</v>
      </c>
      <c r="P23" s="138" t="str">
        <f>IFERROR(__xludf.DUMMYFUNCTION("""COMPUTED_VALUE"""),"04/02")</f>
        <v>04/02</v>
      </c>
      <c r="Q23" s="138" t="str">
        <f>IFERROR(__xludf.DUMMYFUNCTION("""COMPUTED_VALUE"""),"04/02")</f>
        <v>04/02</v>
      </c>
      <c r="R23" s="138" t="str">
        <f>IFERROR(__xludf.DUMMYFUNCTION("""COMPUTED_VALUE"""),"04/02")</f>
        <v>04/02</v>
      </c>
      <c r="S23" s="138" t="str">
        <f>IFERROR(__xludf.DUMMYFUNCTION("""COMPUTED_VALUE"""),"04/02")</f>
        <v>04/02</v>
      </c>
      <c r="T23" s="138" t="str">
        <f>IFERROR(__xludf.DUMMYFUNCTION("""COMPUTED_VALUE"""),"04/02")</f>
        <v>04/02</v>
      </c>
      <c r="U23" s="138"/>
      <c r="V23" s="138"/>
      <c r="W23" s="138"/>
      <c r="X23" s="138"/>
      <c r="Y23" s="138"/>
      <c r="Z23" s="138"/>
    </row>
    <row r="24" hidden="1">
      <c r="A24" s="138" t="str">
        <f>IFERROR(__xludf.DUMMYFUNCTION("""COMPUTED_VALUE"""),"VEE ONE")</f>
        <v>VEE ONE</v>
      </c>
      <c r="B24" s="138" t="str">
        <f>IFERROR(__xludf.DUMMYFUNCTION("""COMPUTED_VALUE"""),"BACG")</f>
        <v>BACG</v>
      </c>
      <c r="C24" s="138" t="str">
        <f>IFERROR(__xludf.DUMMYFUNCTION("""COMPUTED_VALUE"""),"069-1025-25")</f>
        <v>069-1025-25</v>
      </c>
      <c r="D24" s="138" t="str">
        <f>IFERROR(__xludf.DUMMYFUNCTION("""COMPUTED_VALUE"""),"RECEIVER TRANSMITTER")</f>
        <v>RECEIVER TRANSMITTER</v>
      </c>
      <c r="E24" s="138" t="str">
        <f>IFERROR(__xludf.DUMMYFUNCTION("""COMPUTED_VALUE"""),"62600")</f>
        <v>62600</v>
      </c>
      <c r="F24" s="138" t="str">
        <f>IFERROR(__xludf.DUMMYFUNCTION("""COMPUTED_VALUE"""),"004/2025")</f>
        <v>004/2025</v>
      </c>
      <c r="G24" s="138" t="str">
        <f>IFERROR(__xludf.DUMMYFUNCTION("""COMPUTED_VALUE"""),"04/08")</f>
        <v>04/08</v>
      </c>
      <c r="H24" s="138" t="str">
        <f>IFERROR(__xludf.DUMMYFUNCTION("""COMPUTED_VALUE"""),"04/08")</f>
        <v>04/08</v>
      </c>
      <c r="I24" s="138" t="str">
        <f>IFERROR(__xludf.DUMMYFUNCTION("""COMPUTED_VALUE"""),"04/08 e 16/10")</f>
        <v>04/08 e 16/10</v>
      </c>
      <c r="J24" s="138" t="str">
        <f>IFERROR(__xludf.DUMMYFUNCTION("""COMPUTED_VALUE"""),"05/08 e 12/11")</f>
        <v>05/08 e 12/11</v>
      </c>
      <c r="K24" s="138" t="str">
        <f>IFERROR(__xludf.DUMMYFUNCTION("""COMPUTED_VALUE"""),"28/11")</f>
        <v>28/11</v>
      </c>
      <c r="L24" s="138" t="str">
        <f>IFERROR(__xludf.DUMMYFUNCTION("""COMPUTED_VALUE"""),"27/01")</f>
        <v>27/01</v>
      </c>
      <c r="M24" s="138" t="str">
        <f>IFERROR(__xludf.DUMMYFUNCTION("""COMPUTED_VALUE"""),"27/01")</f>
        <v>27/01</v>
      </c>
      <c r="N24" s="138" t="str">
        <f>IFERROR(__xludf.DUMMYFUNCTION("""COMPUTED_VALUE"""),"27/01")</f>
        <v>27/01</v>
      </c>
      <c r="O24" s="138" t="str">
        <f>IFERROR(__xludf.DUMMYFUNCTION("""COMPUTED_VALUE"""),"27/01")</f>
        <v>27/01</v>
      </c>
      <c r="P24" s="138" t="str">
        <f>IFERROR(__xludf.DUMMYFUNCTION("""COMPUTED_VALUE"""),"27/01")</f>
        <v>27/01</v>
      </c>
      <c r="Q24" s="138" t="str">
        <f>IFERROR(__xludf.DUMMYFUNCTION("""COMPUTED_VALUE"""),"27/01")</f>
        <v>27/01</v>
      </c>
      <c r="R24" s="138" t="str">
        <f>IFERROR(__xludf.DUMMYFUNCTION("""COMPUTED_VALUE"""),"29/01")</f>
        <v>29/01</v>
      </c>
      <c r="S24" s="138" t="str">
        <f>IFERROR(__xludf.DUMMYFUNCTION("""COMPUTED_VALUE"""),"29/01")</f>
        <v>29/01</v>
      </c>
      <c r="T24" s="138" t="str">
        <f>IFERROR(__xludf.DUMMYFUNCTION("""COMPUTED_VALUE"""),"04/02")</f>
        <v>04/02</v>
      </c>
      <c r="U24" s="138"/>
      <c r="V24" s="138"/>
      <c r="W24" s="138"/>
      <c r="X24" s="138"/>
      <c r="Y24" s="138"/>
      <c r="Z24" s="138"/>
    </row>
    <row r="25" hidden="1">
      <c r="A25" s="138" t="str">
        <f>IFERROR(__xludf.DUMMYFUNCTION("""COMPUTED_VALUE"""),"VEE ONE")</f>
        <v>VEE ONE</v>
      </c>
      <c r="B25" s="138" t="str">
        <f>IFERROR(__xludf.DUMMYFUNCTION("""COMPUTED_VALUE"""),"BACG")</f>
        <v>BACG</v>
      </c>
      <c r="C25" s="138" t="str">
        <f>IFERROR(__xludf.DUMMYFUNCTION("""COMPUTED_VALUE"""),"066-1069-00")</f>
        <v>066-1069-00</v>
      </c>
      <c r="D25" s="138" t="str">
        <f>IFERROR(__xludf.DUMMYFUNCTION("""COMPUTED_VALUE"""),"INDICATOR, BEARING-DISTANCE-HEADING")</f>
        <v>INDICATOR, BEARING-DISTANCE-HEADING</v>
      </c>
      <c r="E25" s="138" t="str">
        <f>IFERROR(__xludf.DUMMYFUNCTION("""COMPUTED_VALUE"""),"32402")</f>
        <v>32402</v>
      </c>
      <c r="F25" s="138" t="str">
        <f>IFERROR(__xludf.DUMMYFUNCTION("""COMPUTED_VALUE"""),"011/2025")</f>
        <v>011/2025</v>
      </c>
      <c r="G25" s="138" t="str">
        <f>IFERROR(__xludf.DUMMYFUNCTION("""COMPUTED_VALUE"""),"07/11")</f>
        <v>07/11</v>
      </c>
      <c r="H25" s="138" t="str">
        <f>IFERROR(__xludf.DUMMYFUNCTION("""COMPUTED_VALUE"""),"11/11")</f>
        <v>11/11</v>
      </c>
      <c r="I25" s="138" t="str">
        <f>IFERROR(__xludf.DUMMYFUNCTION("""COMPUTED_VALUE"""),"11/11")</f>
        <v>11/11</v>
      </c>
      <c r="J25" s="138" t="str">
        <f>IFERROR(__xludf.DUMMYFUNCTION("""COMPUTED_VALUE"""),"13/11")</f>
        <v>13/11</v>
      </c>
      <c r="K25" s="138" t="str">
        <f>IFERROR(__xludf.DUMMYFUNCTION("""COMPUTED_VALUE"""),"17/11")</f>
        <v>17/11</v>
      </c>
      <c r="L25" s="138" t="str">
        <f>IFERROR(__xludf.DUMMYFUNCTION("""COMPUTED_VALUE"""),"17/11 e 27/01")</f>
        <v>17/11 e 27/01</v>
      </c>
      <c r="M25" s="138" t="str">
        <f>IFERROR(__xludf.DUMMYFUNCTION("""COMPUTED_VALUE"""),"27/01")</f>
        <v>27/01</v>
      </c>
      <c r="N25" s="138" t="str">
        <f>IFERROR(__xludf.DUMMYFUNCTION("""COMPUTED_VALUE"""),"27/01")</f>
        <v>27/01</v>
      </c>
      <c r="O25" s="138" t="str">
        <f>IFERROR(__xludf.DUMMYFUNCTION("""COMPUTED_VALUE"""),"27/01")</f>
        <v>27/01</v>
      </c>
      <c r="P25" s="138" t="str">
        <f>IFERROR(__xludf.DUMMYFUNCTION("""COMPUTED_VALUE"""),"27/01")</f>
        <v>27/01</v>
      </c>
      <c r="Q25" s="138" t="str">
        <f>IFERROR(__xludf.DUMMYFUNCTION("""COMPUTED_VALUE"""),"27/01")</f>
        <v>27/01</v>
      </c>
      <c r="R25" s="138" t="str">
        <f>IFERROR(__xludf.DUMMYFUNCTION("""COMPUTED_VALUE"""),"29/01")</f>
        <v>29/01</v>
      </c>
      <c r="S25" s="138" t="str">
        <f>IFERROR(__xludf.DUMMYFUNCTION("""COMPUTED_VALUE"""),"29/01")</f>
        <v>29/01</v>
      </c>
      <c r="T25" s="138" t="str">
        <f>IFERROR(__xludf.DUMMYFUNCTION("""COMPUTED_VALUE"""),"04/02")</f>
        <v>04/02</v>
      </c>
      <c r="U25" s="138"/>
      <c r="V25" s="138"/>
      <c r="W25" s="138"/>
      <c r="X25" s="138"/>
      <c r="Y25" s="138"/>
      <c r="Z25" s="138"/>
    </row>
    <row r="26" hidden="1">
      <c r="A26" s="138" t="str">
        <f>IFERROR(__xludf.DUMMYFUNCTION("""COMPUTED_VALUE"""),"VEE ONE")</f>
        <v>VEE ONE</v>
      </c>
      <c r="B26" s="138" t="str">
        <f>IFERROR(__xludf.DUMMYFUNCTION("""COMPUTED_VALUE"""),"BAMN")</f>
        <v>BAMN</v>
      </c>
      <c r="C26" s="138" t="str">
        <f>IFERROR(__xludf.DUMMYFUNCTION("""COMPUTED_VALUE"""),"3122678-04")</f>
        <v>3122678-04</v>
      </c>
      <c r="D26" s="138" t="str">
        <f>IFERROR(__xludf.DUMMYFUNCTION("""COMPUTED_VALUE"""),"FUEL CONTROL UNIT")</f>
        <v>FUEL CONTROL UNIT</v>
      </c>
      <c r="E26" s="138" t="str">
        <f>IFERROR(__xludf.DUMMYFUNCTION("""COMPUTED_VALUE"""),"C66369")</f>
        <v>C66369</v>
      </c>
      <c r="F26" s="138" t="str">
        <f>IFERROR(__xludf.DUMMYFUNCTION("""COMPUTED_VALUE"""),"040/2026")</f>
        <v>040/2026</v>
      </c>
      <c r="G26" s="138" t="str">
        <f>IFERROR(__xludf.DUMMYFUNCTION("""COMPUTED_VALUE"""),"07/01")</f>
        <v>07/01</v>
      </c>
      <c r="H26" s="138" t="str">
        <f>IFERROR(__xludf.DUMMYFUNCTION("""COMPUTED_VALUE"""),"29/01")</f>
        <v>29/01</v>
      </c>
      <c r="I26" s="138" t="str">
        <f>IFERROR(__xludf.DUMMYFUNCTION("""COMPUTED_VALUE"""),"*")</f>
        <v>*</v>
      </c>
      <c r="J26" s="138" t="str">
        <f>IFERROR(__xludf.DUMMYFUNCTION("""COMPUTED_VALUE"""),"03/02")</f>
        <v>03/02</v>
      </c>
      <c r="K26" s="138" t="str">
        <f>IFERROR(__xludf.DUMMYFUNCTION("""COMPUTED_VALUE"""),"09/02")</f>
        <v>09/02</v>
      </c>
      <c r="L26" s="138" t="str">
        <f>IFERROR(__xludf.DUMMYFUNCTION("""COMPUTED_VALUE"""),"09/02")</f>
        <v>09/02</v>
      </c>
      <c r="M26" s="138" t="str">
        <f>IFERROR(__xludf.DUMMYFUNCTION("""COMPUTED_VALUE"""),"09/02")</f>
        <v>09/02</v>
      </c>
      <c r="N26" s="138" t="str">
        <f>IFERROR(__xludf.DUMMYFUNCTION("""COMPUTED_VALUE"""),"09/02")</f>
        <v>09/02</v>
      </c>
      <c r="O26" s="138" t="str">
        <f>IFERROR(__xludf.DUMMYFUNCTION("""COMPUTED_VALUE"""),"09/02")</f>
        <v>09/02</v>
      </c>
      <c r="P26" s="138" t="str">
        <f>IFERROR(__xludf.DUMMYFUNCTION("""COMPUTED_VALUE"""),"09/02")</f>
        <v>09/02</v>
      </c>
      <c r="Q26" s="138" t="str">
        <f>IFERROR(__xludf.DUMMYFUNCTION("""COMPUTED_VALUE"""),"09/02")</f>
        <v>09/02</v>
      </c>
      <c r="R26" s="138" t="str">
        <f>IFERROR(__xludf.DUMMYFUNCTION("""COMPUTED_VALUE"""),"09/02")</f>
        <v>09/02</v>
      </c>
      <c r="S26" s="138" t="str">
        <f>IFERROR(__xludf.DUMMYFUNCTION("""COMPUTED_VALUE"""),"09/02")</f>
        <v>09/02</v>
      </c>
      <c r="T26" s="138" t="str">
        <f>IFERROR(__xludf.DUMMYFUNCTION("""COMPUTED_VALUE"""),"10/02")</f>
        <v>10/02</v>
      </c>
      <c r="U26" s="138"/>
      <c r="V26" s="138"/>
      <c r="W26" s="138"/>
      <c r="X26" s="138"/>
      <c r="Y26" s="138"/>
      <c r="Z26" s="138"/>
    </row>
    <row r="27" hidden="1">
      <c r="A27" s="138" t="str">
        <f>IFERROR(__xludf.DUMMYFUNCTION("""COMPUTED_VALUE"""),"VEE ONE")</f>
        <v>VEE ONE</v>
      </c>
      <c r="B27" s="138" t="str">
        <f>IFERROR(__xludf.DUMMYFUNCTION("""COMPUTED_VALUE"""),"BAMN")</f>
        <v>BAMN</v>
      </c>
      <c r="C27" s="138" t="str">
        <f>IFERROR(__xludf.DUMMYFUNCTION("""COMPUTED_VALUE"""),"9910592-2")</f>
        <v>9910592-2</v>
      </c>
      <c r="D27" s="138" t="str">
        <f>IFERROR(__xludf.DUMMYFUNCTION("""COMPUTED_VALUE"""),"ALTERNATOR ASSY")</f>
        <v>ALTERNATOR ASSY</v>
      </c>
      <c r="E27" s="138" t="str">
        <f>IFERROR(__xludf.DUMMYFUNCTION("""COMPUTED_VALUE"""),"A-181157")</f>
        <v>A-181157</v>
      </c>
      <c r="F27" s="138" t="str">
        <f>IFERROR(__xludf.DUMMYFUNCTION("""COMPUTED_VALUE"""),"043/2026")</f>
        <v>043/2026</v>
      </c>
      <c r="G27" s="138" t="str">
        <f>IFERROR(__xludf.DUMMYFUNCTION("""COMPUTED_VALUE"""),"22/01")</f>
        <v>22/01</v>
      </c>
      <c r="H27" s="138" t="str">
        <f>IFERROR(__xludf.DUMMYFUNCTION("""COMPUTED_VALUE"""),"29/01")</f>
        <v>29/01</v>
      </c>
      <c r="I27" s="138" t="str">
        <f>IFERROR(__xludf.DUMMYFUNCTION("""COMPUTED_VALUE"""),"*")</f>
        <v>*</v>
      </c>
      <c r="J27" s="138" t="str">
        <f>IFERROR(__xludf.DUMMYFUNCTION("""COMPUTED_VALUE"""),"03/02")</f>
        <v>03/02</v>
      </c>
      <c r="K27" s="138" t="str">
        <f>IFERROR(__xludf.DUMMYFUNCTION("""COMPUTED_VALUE"""),"03/02")</f>
        <v>03/02</v>
      </c>
      <c r="L27" s="138" t="str">
        <f>IFERROR(__xludf.DUMMYFUNCTION("""COMPUTED_VALUE"""),"09/02")</f>
        <v>09/02</v>
      </c>
      <c r="M27" s="138" t="str">
        <f>IFERROR(__xludf.DUMMYFUNCTION("""COMPUTED_VALUE"""),"09/02")</f>
        <v>09/02</v>
      </c>
      <c r="N27" s="138" t="str">
        <f>IFERROR(__xludf.DUMMYFUNCTION("""COMPUTED_VALUE"""),"09/02")</f>
        <v>09/02</v>
      </c>
      <c r="O27" s="138" t="str">
        <f>IFERROR(__xludf.DUMMYFUNCTION("""COMPUTED_VALUE"""),"09/02")</f>
        <v>09/02</v>
      </c>
      <c r="P27" s="138" t="str">
        <f>IFERROR(__xludf.DUMMYFUNCTION("""COMPUTED_VALUE"""),"09/02")</f>
        <v>09/02</v>
      </c>
      <c r="Q27" s="138" t="str">
        <f>IFERROR(__xludf.DUMMYFUNCTION("""COMPUTED_VALUE"""),"09/02")</f>
        <v>09/02</v>
      </c>
      <c r="R27" s="138" t="str">
        <f>IFERROR(__xludf.DUMMYFUNCTION("""COMPUTED_VALUE"""),"09/02")</f>
        <v>09/02</v>
      </c>
      <c r="S27" s="138" t="str">
        <f>IFERROR(__xludf.DUMMYFUNCTION("""COMPUTED_VALUE"""),"09/02")</f>
        <v>09/02</v>
      </c>
      <c r="T27" s="138" t="str">
        <f>IFERROR(__xludf.DUMMYFUNCTION("""COMPUTED_VALUE"""),"10/02")</f>
        <v>10/02</v>
      </c>
      <c r="U27" s="138"/>
      <c r="V27" s="138"/>
      <c r="W27" s="138"/>
      <c r="X27" s="138"/>
      <c r="Y27" s="138"/>
      <c r="Z27" s="138"/>
    </row>
    <row r="28" hidden="1">
      <c r="A28" s="138" t="str">
        <f>IFERROR(__xludf.DUMMYFUNCTION("""COMPUTED_VALUE"""),"VEE ONE")</f>
        <v>VEE ONE</v>
      </c>
      <c r="B28" s="138" t="str">
        <f>IFERROR(__xludf.DUMMYFUNCTION("""COMPUTED_VALUE"""),"BAMN")</f>
        <v>BAMN</v>
      </c>
      <c r="C28" s="138" t="str">
        <f>IFERROR(__xludf.DUMMYFUNCTION("""COMPUTED_VALUE"""),"030-18200")</f>
        <v>030-18200</v>
      </c>
      <c r="D28" s="138" t="str">
        <f>IFERROR(__xludf.DUMMYFUNCTION("""COMPUTED_VALUE"""),"CONJUNTO DE FREIO")</f>
        <v>CONJUNTO DE FREIO</v>
      </c>
      <c r="E28" s="138" t="str">
        <f>IFERROR(__xludf.DUMMYFUNCTION("""COMPUTED_VALUE"""),"L4H162")</f>
        <v>L4H162</v>
      </c>
      <c r="F28" s="138" t="str">
        <f>IFERROR(__xludf.DUMMYFUNCTION("""COMPUTED_VALUE"""),"009/2025")</f>
        <v>009/2025</v>
      </c>
      <c r="G28" s="138" t="str">
        <f>IFERROR(__xludf.DUMMYFUNCTION("""COMPUTED_VALUE"""),"23/07")</f>
        <v>23/07</v>
      </c>
      <c r="H28" s="138" t="str">
        <f>IFERROR(__xludf.DUMMYFUNCTION("""COMPUTED_VALUE"""),"22/08")</f>
        <v>22/08</v>
      </c>
      <c r="I28" s="138" t="str">
        <f>IFERROR(__xludf.DUMMYFUNCTION("""COMPUTED_VALUE"""),"sol correção 28/08")</f>
        <v>sol correção 28/08</v>
      </c>
      <c r="J28" s="138" t="str">
        <f>IFERROR(__xludf.DUMMYFUNCTION("""COMPUTED_VALUE"""),"*")</f>
        <v>*</v>
      </c>
      <c r="K28" s="138" t="str">
        <f>IFERROR(__xludf.DUMMYFUNCTION("""COMPUTED_VALUE"""),"*")</f>
        <v>*</v>
      </c>
      <c r="L28" s="138" t="str">
        <f>IFERROR(__xludf.DUMMYFUNCTION("""COMPUTED_VALUE"""),"*")</f>
        <v>*</v>
      </c>
      <c r="M28" s="138" t="str">
        <f>IFERROR(__xludf.DUMMYFUNCTION("""COMPUTED_VALUE"""),"*")</f>
        <v>*</v>
      </c>
      <c r="N28" s="138" t="str">
        <f>IFERROR(__xludf.DUMMYFUNCTION("""COMPUTED_VALUE"""),"*")</f>
        <v>*</v>
      </c>
      <c r="O28" s="138" t="str">
        <f>IFERROR(__xludf.DUMMYFUNCTION("""COMPUTED_VALUE"""),"*")</f>
        <v>*</v>
      </c>
      <c r="P28" s="138" t="str">
        <f>IFERROR(__xludf.DUMMYFUNCTION("""COMPUTED_VALUE"""),"09/02")</f>
        <v>09/02</v>
      </c>
      <c r="Q28" s="138" t="str">
        <f>IFERROR(__xludf.DUMMYFUNCTION("""COMPUTED_VALUE"""),"09/02")</f>
        <v>09/02</v>
      </c>
      <c r="R28" s="138" t="str">
        <f>IFERROR(__xludf.DUMMYFUNCTION("""COMPUTED_VALUE"""),"09/02")</f>
        <v>09/02</v>
      </c>
      <c r="S28" s="138" t="str">
        <f>IFERROR(__xludf.DUMMYFUNCTION("""COMPUTED_VALUE"""),"09/02")</f>
        <v>09/02</v>
      </c>
      <c r="T28" s="138" t="str">
        <f>IFERROR(__xludf.DUMMYFUNCTION("""COMPUTED_VALUE"""),"11/02")</f>
        <v>11/02</v>
      </c>
      <c r="U28" s="138" t="str">
        <f>IFERROR(__xludf.DUMMYFUNCTION("""COMPUTED_VALUE"""),"PN que existe no SILOMS e está em OS é o 030-18200. TR com o PN 30-182. Demais documentações corrigidas para o PN correto e reenviadas pelo 1T Phillipe Soares.")</f>
        <v>PN que existe no SILOMS e está em OS é o 030-18200. TR com o PN 30-182. Demais documentações corrigidas para o PN correto e reenviadas pelo 1T Phillipe Soares.</v>
      </c>
      <c r="V28" s="138"/>
      <c r="W28" s="138"/>
      <c r="X28" s="138"/>
      <c r="Y28" s="138"/>
      <c r="Z28" s="138"/>
    </row>
    <row r="29" hidden="1">
      <c r="A29" s="138" t="str">
        <f>IFERROR(__xludf.DUMMYFUNCTION("""COMPUTED_VALUE"""),"VEE ONE")</f>
        <v>VEE ONE</v>
      </c>
      <c r="B29" s="138" t="str">
        <f>IFERROR(__xludf.DUMMYFUNCTION("""COMPUTED_VALUE"""),"BAMN")</f>
        <v>BAMN</v>
      </c>
      <c r="C29" s="138" t="str">
        <f>IFERROR(__xludf.DUMMYFUNCTION("""COMPUTED_VALUE"""),"3049038-03")</f>
        <v>3049038-03</v>
      </c>
      <c r="D29" s="138" t="str">
        <f>IFERROR(__xludf.DUMMYFUNCTION("""COMPUTED_VALUE"""),"VALVE,COMPRESSOR BLEED")</f>
        <v>VALVE,COMPRESSOR BLEED</v>
      </c>
      <c r="E29" s="138" t="str">
        <f>IFERROR(__xludf.DUMMYFUNCTION("""COMPUTED_VALUE"""),"6454")</f>
        <v>6454</v>
      </c>
      <c r="F29" s="138" t="str">
        <f>IFERROR(__xludf.DUMMYFUNCTION("""COMPUTED_VALUE"""),"012/2025")</f>
        <v>012/2025</v>
      </c>
      <c r="G29" s="138" t="str">
        <f>IFERROR(__xludf.DUMMYFUNCTION("""COMPUTED_VALUE"""),"06/08")</f>
        <v>06/08</v>
      </c>
      <c r="H29" s="138" t="str">
        <f>IFERROR(__xludf.DUMMYFUNCTION("""COMPUTED_VALUE"""),"22/08")</f>
        <v>22/08</v>
      </c>
      <c r="I29" s="138" t="str">
        <f>IFERROR(__xludf.DUMMYFUNCTION("""COMPUTED_VALUE"""),"sol correção 28/08")</f>
        <v>sol correção 28/08</v>
      </c>
      <c r="J29" s="138" t="str">
        <f>IFERROR(__xludf.DUMMYFUNCTION("""COMPUTED_VALUE"""),"*")</f>
        <v>*</v>
      </c>
      <c r="K29" s="138" t="str">
        <f>IFERROR(__xludf.DUMMYFUNCTION("""COMPUTED_VALUE"""),"*")</f>
        <v>*</v>
      </c>
      <c r="L29" s="138" t="str">
        <f>IFERROR(__xludf.DUMMYFUNCTION("""COMPUTED_VALUE"""),"*")</f>
        <v>*</v>
      </c>
      <c r="M29" s="138" t="str">
        <f>IFERROR(__xludf.DUMMYFUNCTION("""COMPUTED_VALUE"""),"*")</f>
        <v>*</v>
      </c>
      <c r="N29" s="138" t="str">
        <f>IFERROR(__xludf.DUMMYFUNCTION("""COMPUTED_VALUE"""),"*")</f>
        <v>*</v>
      </c>
      <c r="O29" s="138" t="str">
        <f>IFERROR(__xludf.DUMMYFUNCTION("""COMPUTED_VALUE"""),"*")</f>
        <v>*</v>
      </c>
      <c r="P29" s="138" t="str">
        <f>IFERROR(__xludf.DUMMYFUNCTION("""COMPUTED_VALUE"""),"09/02")</f>
        <v>09/02</v>
      </c>
      <c r="Q29" s="138" t="str">
        <f>IFERROR(__xludf.DUMMYFUNCTION("""COMPUTED_VALUE"""),"09/02")</f>
        <v>09/02</v>
      </c>
      <c r="R29" s="138" t="str">
        <f>IFERROR(__xludf.DUMMYFUNCTION("""COMPUTED_VALUE"""),"09/02")</f>
        <v>09/02</v>
      </c>
      <c r="S29" s="138" t="str">
        <f>IFERROR(__xludf.DUMMYFUNCTION("""COMPUTED_VALUE"""),"09/02")</f>
        <v>09/02</v>
      </c>
      <c r="T29" s="138" t="str">
        <f>IFERROR(__xludf.DUMMYFUNCTION("""COMPUTED_VALUE"""),"11/02")</f>
        <v>11/02</v>
      </c>
      <c r="U29" s="138" t="str">
        <f>IFERROR(__xludf.DUMMYFUNCTION("""COMPUTED_VALUE"""),"PN que existe no SILOMS e está em OS é o 3049038-03. TR com o PN 540-1407-4. Demais documentações corrigidas para o PN correto e reenviadas pelo 1T Phillipe Soares.")</f>
        <v>PN que existe no SILOMS e está em OS é o 3049038-03. TR com o PN 540-1407-4. Demais documentações corrigidas para o PN correto e reenviadas pelo 1T Phillipe Soares.</v>
      </c>
      <c r="V29" s="138"/>
      <c r="W29" s="138"/>
      <c r="X29" s="138"/>
      <c r="Y29" s="138"/>
      <c r="Z29" s="138"/>
    </row>
    <row r="30" hidden="1">
      <c r="A30" s="138" t="str">
        <f>IFERROR(__xludf.DUMMYFUNCTION("""COMPUTED_VALUE"""),"VEE ONE")</f>
        <v>VEE ONE</v>
      </c>
      <c r="B30" s="138" t="str">
        <f>IFERROR(__xludf.DUMMYFUNCTION("""COMPUTED_VALUE"""),"BAMN")</f>
        <v>BAMN</v>
      </c>
      <c r="C30" s="138" t="str">
        <f>IFERROR(__xludf.DUMMYFUNCTION("""COMPUTED_VALUE"""),"030-18200")</f>
        <v>030-18200</v>
      </c>
      <c r="D30" s="138" t="str">
        <f>IFERROR(__xludf.DUMMYFUNCTION("""COMPUTED_VALUE"""),"CONJUNTO DE FREIO")</f>
        <v>CONJUNTO DE FREIO</v>
      </c>
      <c r="E30" s="138" t="str">
        <f>IFERROR(__xludf.DUMMYFUNCTION("""COMPUTED_VALUE"""),"52")</f>
        <v>52</v>
      </c>
      <c r="F30" s="138" t="str">
        <f>IFERROR(__xludf.DUMMYFUNCTION("""COMPUTED_VALUE"""),"016/2025")</f>
        <v>016/2025</v>
      </c>
      <c r="G30" s="138" t="str">
        <f>IFERROR(__xludf.DUMMYFUNCTION("""COMPUTED_VALUE"""),"07/08")</f>
        <v>07/08</v>
      </c>
      <c r="H30" s="138" t="str">
        <f>IFERROR(__xludf.DUMMYFUNCTION("""COMPUTED_VALUE"""),"22/08")</f>
        <v>22/08</v>
      </c>
      <c r="I30" s="138" t="str">
        <f>IFERROR(__xludf.DUMMYFUNCTION("""COMPUTED_VALUE"""),"sol correção 28/08")</f>
        <v>sol correção 28/08</v>
      </c>
      <c r="J30" s="138" t="str">
        <f>IFERROR(__xludf.DUMMYFUNCTION("""COMPUTED_VALUE"""),"*")</f>
        <v>*</v>
      </c>
      <c r="K30" s="138" t="str">
        <f>IFERROR(__xludf.DUMMYFUNCTION("""COMPUTED_VALUE"""),"*")</f>
        <v>*</v>
      </c>
      <c r="L30" s="138" t="str">
        <f>IFERROR(__xludf.DUMMYFUNCTION("""COMPUTED_VALUE"""),"*")</f>
        <v>*</v>
      </c>
      <c r="M30" s="138" t="str">
        <f>IFERROR(__xludf.DUMMYFUNCTION("""COMPUTED_VALUE"""),"*")</f>
        <v>*</v>
      </c>
      <c r="N30" s="138" t="str">
        <f>IFERROR(__xludf.DUMMYFUNCTION("""COMPUTED_VALUE"""),"*")</f>
        <v>*</v>
      </c>
      <c r="O30" s="138" t="str">
        <f>IFERROR(__xludf.DUMMYFUNCTION("""COMPUTED_VALUE"""),"*")</f>
        <v>*</v>
      </c>
      <c r="P30" s="138" t="str">
        <f>IFERROR(__xludf.DUMMYFUNCTION("""COMPUTED_VALUE"""),"09/02")</f>
        <v>09/02</v>
      </c>
      <c r="Q30" s="138" t="str">
        <f>IFERROR(__xludf.DUMMYFUNCTION("""COMPUTED_VALUE"""),"09/02")</f>
        <v>09/02</v>
      </c>
      <c r="R30" s="138" t="str">
        <f>IFERROR(__xludf.DUMMYFUNCTION("""COMPUTED_VALUE"""),"09/02")</f>
        <v>09/02</v>
      </c>
      <c r="S30" s="138" t="str">
        <f>IFERROR(__xludf.DUMMYFUNCTION("""COMPUTED_VALUE"""),"09/02")</f>
        <v>09/02</v>
      </c>
      <c r="T30" s="138" t="str">
        <f>IFERROR(__xludf.DUMMYFUNCTION("""COMPUTED_VALUE"""),"11/02")</f>
        <v>11/02</v>
      </c>
      <c r="U30" s="138" t="str">
        <f>IFERROR(__xludf.DUMMYFUNCTION("""COMPUTED_VALUE"""),"PN que existe no SILOMS e está em OS é o 030-18200. TR com o PN 30-182. Demais documentações corrigidas para o PN correto e reenviadas pelo 1T Phillipe Soares.")</f>
        <v>PN que existe no SILOMS e está em OS é o 030-18200. TR com o PN 30-182. Demais documentações corrigidas para o PN correto e reenviadas pelo 1T Phillipe Soares.</v>
      </c>
      <c r="V30" s="138"/>
      <c r="W30" s="138"/>
      <c r="X30" s="138"/>
      <c r="Y30" s="138"/>
      <c r="Z30" s="138"/>
    </row>
    <row r="31" hidden="1">
      <c r="A31" s="138" t="str">
        <f>IFERROR(__xludf.DUMMYFUNCTION("""COMPUTED_VALUE"""),"VEE ONE")</f>
        <v>VEE ONE</v>
      </c>
      <c r="B31" s="138" t="str">
        <f>IFERROR(__xludf.DUMMYFUNCTION("""COMPUTED_VALUE"""),"BAMN")</f>
        <v>BAMN</v>
      </c>
      <c r="C31" s="138" t="str">
        <f>IFERROR(__xludf.DUMMYFUNCTION("""COMPUTED_VALUE"""),"011-00916-00")</f>
        <v>011-00916-00</v>
      </c>
      <c r="D31" s="138" t="str">
        <f>IFERROR(__xludf.DUMMYFUNCTION("""COMPUTED_VALUE"""),"DISPLAY UNIT GDU")</f>
        <v>DISPLAY UNIT GDU</v>
      </c>
      <c r="E31" s="138" t="str">
        <f>IFERROR(__xludf.DUMMYFUNCTION("""COMPUTED_VALUE"""),"86805766")</f>
        <v>86805766</v>
      </c>
      <c r="F31" s="138" t="str">
        <f>IFERROR(__xludf.DUMMYFUNCTION("""COMPUTED_VALUE"""),"017/2025")</f>
        <v>017/2025</v>
      </c>
      <c r="G31" s="138" t="str">
        <f>IFERROR(__xludf.DUMMYFUNCTION("""COMPUTED_VALUE"""),"01/10")</f>
        <v>01/10</v>
      </c>
      <c r="H31" s="138" t="str">
        <f>IFERROR(__xludf.DUMMYFUNCTION("""COMPUTED_VALUE"""),"01/10")</f>
        <v>01/10</v>
      </c>
      <c r="I31" s="138" t="str">
        <f>IFERROR(__xludf.DUMMYFUNCTION("""COMPUTED_VALUE"""),"15/10")</f>
        <v>15/10</v>
      </c>
      <c r="J31" s="138" t="str">
        <f>IFERROR(__xludf.DUMMYFUNCTION("""COMPUTED_VALUE"""),"12/12")</f>
        <v>12/12</v>
      </c>
      <c r="K31" s="138" t="str">
        <f>IFERROR(__xludf.DUMMYFUNCTION("""COMPUTED_VALUE"""),"12/12")</f>
        <v>12/12</v>
      </c>
      <c r="L31" s="138" t="str">
        <f>IFERROR(__xludf.DUMMYFUNCTION("""COMPUTED_VALUE"""),"27/01")</f>
        <v>27/01</v>
      </c>
      <c r="M31" s="138" t="str">
        <f>IFERROR(__xludf.DUMMYFUNCTION("""COMPUTED_VALUE"""),"27/01")</f>
        <v>27/01</v>
      </c>
      <c r="N31" s="138" t="str">
        <f>IFERROR(__xludf.DUMMYFUNCTION("""COMPUTED_VALUE"""),"27/01")</f>
        <v>27/01</v>
      </c>
      <c r="O31" s="138" t="str">
        <f>IFERROR(__xludf.DUMMYFUNCTION("""COMPUTED_VALUE"""),"27/01")</f>
        <v>27/01</v>
      </c>
      <c r="P31" s="138" t="str">
        <f>IFERROR(__xludf.DUMMYFUNCTION("""COMPUTED_VALUE"""),"27/01")</f>
        <v>27/01</v>
      </c>
      <c r="Q31" s="138" t="str">
        <f>IFERROR(__xludf.DUMMYFUNCTION("""COMPUTED_VALUE"""),"27/01")</f>
        <v>27/01</v>
      </c>
      <c r="R31" s="138" t="str">
        <f>IFERROR(__xludf.DUMMYFUNCTION("""COMPUTED_VALUE"""),"29/01")</f>
        <v>29/01</v>
      </c>
      <c r="S31" s="138" t="str">
        <f>IFERROR(__xludf.DUMMYFUNCTION("""COMPUTED_VALUE"""),"29/01")</f>
        <v>29/01</v>
      </c>
      <c r="T31" s="138" t="str">
        <f>IFERROR(__xludf.DUMMYFUNCTION("""COMPUTED_VALUE"""),"11/02")</f>
        <v>11/02</v>
      </c>
      <c r="U31" s="138"/>
      <c r="V31" s="138"/>
      <c r="W31" s="138"/>
      <c r="X31" s="138"/>
      <c r="Y31" s="138"/>
      <c r="Z31" s="138"/>
    </row>
    <row r="32" hidden="1">
      <c r="A32" s="138" t="str">
        <f>IFERROR(__xludf.DUMMYFUNCTION("""COMPUTED_VALUE"""),"VEE ONE")</f>
        <v>VEE ONE</v>
      </c>
      <c r="B32" s="138" t="str">
        <f>IFERROR(__xludf.DUMMYFUNCTION("""COMPUTED_VALUE"""),"BAMN")</f>
        <v>BAMN</v>
      </c>
      <c r="C32" s="138" t="str">
        <f>IFERROR(__xludf.DUMMYFUNCTION("""COMPUTED_VALUE"""),"066-1072-04")</f>
        <v>066-1072-04</v>
      </c>
      <c r="D32" s="138" t="str">
        <f>IFERROR(__xludf.DUMMYFUNCTION("""COMPUTED_VALUE"""),"RECEIVER RADIO")</f>
        <v>RECEIVER RADIO</v>
      </c>
      <c r="E32" s="138" t="str">
        <f>IFERROR(__xludf.DUMMYFUNCTION("""COMPUTED_VALUE"""),"84196")</f>
        <v>84196</v>
      </c>
      <c r="F32" s="138" t="str">
        <f>IFERROR(__xludf.DUMMYFUNCTION("""COMPUTED_VALUE"""),"027/2025")</f>
        <v>027/2025</v>
      </c>
      <c r="G32" s="138" t="str">
        <f>IFERROR(__xludf.DUMMYFUNCTION("""COMPUTED_VALUE"""),"26/09")</f>
        <v>26/09</v>
      </c>
      <c r="H32" s="138" t="str">
        <f>IFERROR(__xludf.DUMMYFUNCTION("""COMPUTED_VALUE"""),"13/10")</f>
        <v>13/10</v>
      </c>
      <c r="I32" s="138" t="str">
        <f>IFERROR(__xludf.DUMMYFUNCTION("""COMPUTED_VALUE"""),"13/10")</f>
        <v>13/10</v>
      </c>
      <c r="J32" s="138" t="str">
        <f>IFERROR(__xludf.DUMMYFUNCTION("""COMPUTED_VALUE"""),"14/10 e 12/11")</f>
        <v>14/10 e 12/11</v>
      </c>
      <c r="K32" s="138" t="str">
        <f>IFERROR(__xludf.DUMMYFUNCTION("""COMPUTED_VALUE"""),"14/10")</f>
        <v>14/10</v>
      </c>
      <c r="L32" s="138" t="str">
        <f>IFERROR(__xludf.DUMMYFUNCTION("""COMPUTED_VALUE"""),"13/11")</f>
        <v>13/11</v>
      </c>
      <c r="M32" s="138" t="str">
        <f>IFERROR(__xludf.DUMMYFUNCTION("""COMPUTED_VALUE"""),"14/11")</f>
        <v>14/11</v>
      </c>
      <c r="N32" s="138" t="str">
        <f>IFERROR(__xludf.DUMMYFUNCTION("""COMPUTED_VALUE"""),"14/11")</f>
        <v>14/11</v>
      </c>
      <c r="O32" s="138" t="str">
        <f>IFERROR(__xludf.DUMMYFUNCTION("""COMPUTED_VALUE"""),"14/11")</f>
        <v>14/11</v>
      </c>
      <c r="P32" s="138" t="str">
        <f>IFERROR(__xludf.DUMMYFUNCTION("""COMPUTED_VALUE"""),"27/01")</f>
        <v>27/01</v>
      </c>
      <c r="Q32" s="138" t="str">
        <f>IFERROR(__xludf.DUMMYFUNCTION("""COMPUTED_VALUE"""),"27/01")</f>
        <v>27/01</v>
      </c>
      <c r="R32" s="138" t="str">
        <f>IFERROR(__xludf.DUMMYFUNCTION("""COMPUTED_VALUE"""),"29/01")</f>
        <v>29/01</v>
      </c>
      <c r="S32" s="138" t="str">
        <f>IFERROR(__xludf.DUMMYFUNCTION("""COMPUTED_VALUE"""),"29/01")</f>
        <v>29/01</v>
      </c>
      <c r="T32" s="138" t="str">
        <f>IFERROR(__xludf.DUMMYFUNCTION("""COMPUTED_VALUE"""),"12/02")</f>
        <v>12/02</v>
      </c>
      <c r="U32" s="138"/>
      <c r="V32" s="138"/>
      <c r="W32" s="138"/>
      <c r="X32" s="138"/>
      <c r="Y32" s="138"/>
      <c r="Z32" s="138"/>
    </row>
    <row r="33" hidden="1">
      <c r="A33" s="138" t="str">
        <f>IFERROR(__xludf.DUMMYFUNCTION("""COMPUTED_VALUE"""),"VEE ONE")</f>
        <v>VEE ONE</v>
      </c>
      <c r="B33" s="138" t="str">
        <f>IFERROR(__xludf.DUMMYFUNCTION("""COMPUTED_VALUE"""),"BAMN")</f>
        <v>BAMN</v>
      </c>
      <c r="C33" s="138" t="str">
        <f>IFERROR(__xludf.DUMMYFUNCTION("""COMPUTED_VALUE"""),"066-1072-00")</f>
        <v>066-1072-00</v>
      </c>
      <c r="D33" s="138" t="str">
        <f>IFERROR(__xludf.DUMMYFUNCTION("""COMPUTED_VALUE"""),"RECEIVER ADF")</f>
        <v>RECEIVER ADF</v>
      </c>
      <c r="E33" s="138" t="str">
        <f>IFERROR(__xludf.DUMMYFUNCTION("""COMPUTED_VALUE"""),"37955")</f>
        <v>37955</v>
      </c>
      <c r="F33" s="138" t="str">
        <f>IFERROR(__xludf.DUMMYFUNCTION("""COMPUTED_VALUE"""),"022/2025")</f>
        <v>022/2025</v>
      </c>
      <c r="G33" s="138" t="str">
        <f>IFERROR(__xludf.DUMMYFUNCTION("""COMPUTED_VALUE"""),"01/10")</f>
        <v>01/10</v>
      </c>
      <c r="H33" s="138" t="str">
        <f>IFERROR(__xludf.DUMMYFUNCTION("""COMPUTED_VALUE"""),"09/10")</f>
        <v>09/10</v>
      </c>
      <c r="I33" s="138" t="str">
        <f>IFERROR(__xludf.DUMMYFUNCTION("""COMPUTED_VALUE"""),"15/10")</f>
        <v>15/10</v>
      </c>
      <c r="J33" s="138" t="str">
        <f>IFERROR(__xludf.DUMMYFUNCTION("""COMPUTED_VALUE"""),"*")</f>
        <v>*</v>
      </c>
      <c r="K33" s="138" t="str">
        <f>IFERROR(__xludf.DUMMYFUNCTION("""COMPUTED_VALUE"""),"03/10")</f>
        <v>03/10</v>
      </c>
      <c r="L33" s="138" t="str">
        <f>IFERROR(__xludf.DUMMYFUNCTION("""COMPUTED_VALUE"""),"12/11")</f>
        <v>12/11</v>
      </c>
      <c r="M33" s="138" t="str">
        <f>IFERROR(__xludf.DUMMYFUNCTION("""COMPUTED_VALUE"""),"12/11")</f>
        <v>12/11</v>
      </c>
      <c r="N33" s="138" t="str">
        <f>IFERROR(__xludf.DUMMYFUNCTION("""COMPUTED_VALUE"""),"12/11")</f>
        <v>12/11</v>
      </c>
      <c r="O33" s="138" t="str">
        <f>IFERROR(__xludf.DUMMYFUNCTION("""COMPUTED_VALUE"""),"12/11")</f>
        <v>12/11</v>
      </c>
      <c r="P33" s="138" t="str">
        <f>IFERROR(__xludf.DUMMYFUNCTION("""COMPUTED_VALUE"""),"12/11")</f>
        <v>12/11</v>
      </c>
      <c r="Q33" s="138" t="str">
        <f>IFERROR(__xludf.DUMMYFUNCTION("""COMPUTED_VALUE"""),"12/11")</f>
        <v>12/11</v>
      </c>
      <c r="R33" s="138" t="str">
        <f>IFERROR(__xludf.DUMMYFUNCTION("""COMPUTED_VALUE"""),"12/11")</f>
        <v>12/11</v>
      </c>
      <c r="S33" s="138" t="str">
        <f>IFERROR(__xludf.DUMMYFUNCTION("""COMPUTED_VALUE"""),"12/11")</f>
        <v>12/11</v>
      </c>
      <c r="T33" s="138" t="str">
        <f>IFERROR(__xludf.DUMMYFUNCTION("""COMPUTED_VALUE"""),"12/02")</f>
        <v>12/02</v>
      </c>
      <c r="U33" s="138"/>
      <c r="V33" s="138"/>
      <c r="W33" s="138"/>
      <c r="X33" s="138"/>
      <c r="Y33" s="138"/>
      <c r="Z33" s="138"/>
    </row>
    <row r="34" hidden="1">
      <c r="A34" s="138" t="str">
        <f>IFERROR(__xludf.DUMMYFUNCTION("""COMPUTED_VALUE"""),"VEE ONE")</f>
        <v>VEE ONE</v>
      </c>
      <c r="B34" s="138" t="str">
        <f>IFERROR(__xludf.DUMMYFUNCTION("""COMPUTED_VALUE"""),"BAMN")</f>
        <v>BAMN</v>
      </c>
      <c r="C34" s="138" t="str">
        <f>IFERROR(__xludf.DUMMYFUNCTION("""COMPUTED_VALUE"""),"030-18200")</f>
        <v>030-18200</v>
      </c>
      <c r="D34" s="138" t="str">
        <f>IFERROR(__xludf.DUMMYFUNCTION("""COMPUTED_VALUE"""),"CONJUNTO DE FREIO")</f>
        <v>CONJUNTO DE FREIO</v>
      </c>
      <c r="E34" s="138" t="str">
        <f>IFERROR(__xludf.DUMMYFUNCTION("""COMPUTED_VALUE"""),"0976")</f>
        <v>0976</v>
      </c>
      <c r="F34" s="138" t="str">
        <f>IFERROR(__xludf.DUMMYFUNCTION("""COMPUTED_VALUE"""),"022/2025")</f>
        <v>022/2025</v>
      </c>
      <c r="G34" s="138" t="str">
        <f>IFERROR(__xludf.DUMMYFUNCTION("""COMPUTED_VALUE"""),"01/10")</f>
        <v>01/10</v>
      </c>
      <c r="H34" s="138" t="str">
        <f>IFERROR(__xludf.DUMMYFUNCTION("""COMPUTED_VALUE"""),"09/10")</f>
        <v>09/10</v>
      </c>
      <c r="I34" s="138" t="str">
        <f>IFERROR(__xludf.DUMMYFUNCTION("""COMPUTED_VALUE"""),"15/10")</f>
        <v>15/10</v>
      </c>
      <c r="J34" s="138" t="str">
        <f>IFERROR(__xludf.DUMMYFUNCTION("""COMPUTED_VALUE"""),"*")</f>
        <v>*</v>
      </c>
      <c r="K34" s="138" t="str">
        <f>IFERROR(__xludf.DUMMYFUNCTION("""COMPUTED_VALUE"""),"03/10")</f>
        <v>03/10</v>
      </c>
      <c r="L34" s="138" t="str">
        <f>IFERROR(__xludf.DUMMYFUNCTION("""COMPUTED_VALUE"""),"12/11")</f>
        <v>12/11</v>
      </c>
      <c r="M34" s="138" t="str">
        <f>IFERROR(__xludf.DUMMYFUNCTION("""COMPUTED_VALUE"""),"12/11")</f>
        <v>12/11</v>
      </c>
      <c r="N34" s="138" t="str">
        <f>IFERROR(__xludf.DUMMYFUNCTION("""COMPUTED_VALUE"""),"12/11")</f>
        <v>12/11</v>
      </c>
      <c r="O34" s="138" t="str">
        <f>IFERROR(__xludf.DUMMYFUNCTION("""COMPUTED_VALUE"""),"12/11")</f>
        <v>12/11</v>
      </c>
      <c r="P34" s="138" t="str">
        <f>IFERROR(__xludf.DUMMYFUNCTION("""COMPUTED_VALUE"""),"12/11")</f>
        <v>12/11</v>
      </c>
      <c r="Q34" s="138" t="str">
        <f>IFERROR(__xludf.DUMMYFUNCTION("""COMPUTED_VALUE"""),"12/11")</f>
        <v>12/11</v>
      </c>
      <c r="R34" s="138" t="str">
        <f>IFERROR(__xludf.DUMMYFUNCTION("""COMPUTED_VALUE"""),"12/11")</f>
        <v>12/11</v>
      </c>
      <c r="S34" s="138" t="str">
        <f>IFERROR(__xludf.DUMMYFUNCTION("""COMPUTED_VALUE"""),"12/11")</f>
        <v>12/11</v>
      </c>
      <c r="T34" s="138" t="str">
        <f>IFERROR(__xludf.DUMMYFUNCTION("""COMPUTED_VALUE"""),"12/02")</f>
        <v>12/02</v>
      </c>
      <c r="U34" s="138"/>
      <c r="V34" s="138"/>
      <c r="W34" s="138"/>
      <c r="X34" s="138"/>
      <c r="Y34" s="138"/>
      <c r="Z34" s="138"/>
    </row>
    <row r="35" hidden="1">
      <c r="A35" s="138" t="str">
        <f>IFERROR(__xludf.DUMMYFUNCTION("""COMPUTED_VALUE"""),"VEE ONE")</f>
        <v>VEE ONE</v>
      </c>
      <c r="B35" s="138" t="str">
        <f>IFERROR(__xludf.DUMMYFUNCTION("""COMPUTED_VALUE"""),"BABE")</f>
        <v>BABE</v>
      </c>
      <c r="C35" s="138" t="str">
        <f>IFERROR(__xludf.DUMMYFUNCTION("""COMPUTED_VALUE"""),"3244809-4")</f>
        <v>3244809-4</v>
      </c>
      <c r="D35" s="138" t="str">
        <f>IFERROR(__xludf.DUMMYFUNCTION("""COMPUTED_VALUE"""),"FUEL CONTROL UNIT")</f>
        <v>FUEL CONTROL UNIT</v>
      </c>
      <c r="E35" s="138" t="str">
        <f>IFERROR(__xludf.DUMMYFUNCTION("""COMPUTED_VALUE"""),"A87528")</f>
        <v>A87528</v>
      </c>
      <c r="F35" s="138" t="str">
        <f>IFERROR(__xludf.DUMMYFUNCTION("""COMPUTED_VALUE"""),"002/2026")</f>
        <v>002/2026</v>
      </c>
      <c r="G35" s="138" t="str">
        <f>IFERROR(__xludf.DUMMYFUNCTION("""COMPUTED_VALUE"""),"23/01")</f>
        <v>23/01</v>
      </c>
      <c r="H35" s="138" t="str">
        <f>IFERROR(__xludf.DUMMYFUNCTION("""COMPUTED_VALUE"""),"02/02")</f>
        <v>02/02</v>
      </c>
      <c r="I35" s="138" t="str">
        <f>IFERROR(__xludf.DUMMYFUNCTION("""COMPUTED_VALUE"""),"*")</f>
        <v>*</v>
      </c>
      <c r="J35" s="138" t="str">
        <f>IFERROR(__xludf.DUMMYFUNCTION("""COMPUTED_VALUE"""),"*")</f>
        <v>*</v>
      </c>
      <c r="K35" s="138" t="str">
        <f>IFERROR(__xludf.DUMMYFUNCTION("""COMPUTED_VALUE"""),"*")</f>
        <v>*</v>
      </c>
      <c r="L35" s="138" t="str">
        <f>IFERROR(__xludf.DUMMYFUNCTION("""COMPUTED_VALUE"""),"*")</f>
        <v>*</v>
      </c>
      <c r="M35" s="138" t="str">
        <f>IFERROR(__xludf.DUMMYFUNCTION("""COMPUTED_VALUE"""),"*")</f>
        <v>*</v>
      </c>
      <c r="N35" s="138" t="str">
        <f>IFERROR(__xludf.DUMMYFUNCTION("""COMPUTED_VALUE"""),"*")</f>
        <v>*</v>
      </c>
      <c r="O35" s="138" t="str">
        <f>IFERROR(__xludf.DUMMYFUNCTION("""COMPUTED_VALUE"""),"*")</f>
        <v>*</v>
      </c>
      <c r="P35" s="138" t="str">
        <f>IFERROR(__xludf.DUMMYFUNCTION("""COMPUTED_VALUE"""),"*")</f>
        <v>*</v>
      </c>
      <c r="Q35" s="138" t="str">
        <f>IFERROR(__xludf.DUMMYFUNCTION("""COMPUTED_VALUE"""),"*")</f>
        <v>*</v>
      </c>
      <c r="R35" s="138" t="str">
        <f>IFERROR(__xludf.DUMMYFUNCTION("""COMPUTED_VALUE"""),"*")</f>
        <v>*</v>
      </c>
      <c r="S35" s="138" t="str">
        <f>IFERROR(__xludf.DUMMYFUNCTION("""COMPUTED_VALUE"""),"*")</f>
        <v>*</v>
      </c>
      <c r="T35" s="138" t="str">
        <f>IFERROR(__xludf.DUMMYFUNCTION("""COMPUTED_VALUE"""),"*")</f>
        <v>*</v>
      </c>
      <c r="U35" s="138" t="str">
        <f>IFERROR(__xludf.DUMMYFUNCTION("""COMPUTED_VALUE"""),"Não foi encontrado OS do item")</f>
        <v>Não foi encontrado OS do item</v>
      </c>
      <c r="V35" s="138"/>
      <c r="W35" s="138"/>
      <c r="X35" s="138"/>
      <c r="Y35" s="138"/>
      <c r="Z35" s="138"/>
    </row>
    <row r="36" hidden="1">
      <c r="A36" s="138" t="str">
        <f>IFERROR(__xludf.DUMMYFUNCTION("""COMPUTED_VALUE"""),"VEE ONE")</f>
        <v>VEE ONE</v>
      </c>
      <c r="B36" s="138" t="str">
        <f>IFERROR(__xludf.DUMMYFUNCTION("""COMPUTED_VALUE"""),"BAMN")</f>
        <v>BAMN</v>
      </c>
      <c r="C36" s="138" t="str">
        <f>IFERROR(__xludf.DUMMYFUNCTION("""COMPUTED_VALUE"""),"30-182")</f>
        <v>30-182</v>
      </c>
      <c r="D36" s="138" t="str">
        <f>IFERROR(__xludf.DUMMYFUNCTION("""COMPUTED_VALUE"""),"MAIN WHEEL BRAKE")</f>
        <v>MAIN WHEEL BRAKE</v>
      </c>
      <c r="E36" s="138" t="str">
        <f>IFERROR(__xludf.DUMMYFUNCTION("""COMPUTED_VALUE"""),"327")</f>
        <v>327</v>
      </c>
      <c r="F36" s="138" t="str">
        <f>IFERROR(__xludf.DUMMYFUNCTION("""COMPUTED_VALUE"""),"035/2025")</f>
        <v>035/2025</v>
      </c>
      <c r="G36" s="138" t="str">
        <f>IFERROR(__xludf.DUMMYFUNCTION("""COMPUTED_VALUE"""),"04/11")</f>
        <v>04/11</v>
      </c>
      <c r="H36" s="138" t="str">
        <f>IFERROR(__xludf.DUMMYFUNCTION("""COMPUTED_VALUE"""),"26/11")</f>
        <v>26/11</v>
      </c>
      <c r="I36" s="138" t="str">
        <f>IFERROR(__xludf.DUMMYFUNCTION("""COMPUTED_VALUE"""),"12/12")</f>
        <v>12/12</v>
      </c>
      <c r="J36" s="138" t="str">
        <f>IFERROR(__xludf.DUMMYFUNCTION("""COMPUTED_VALUE"""),"29/01")</f>
        <v>29/01</v>
      </c>
      <c r="K36" s="138" t="str">
        <f>IFERROR(__xludf.DUMMYFUNCTION("""COMPUTED_VALUE"""),"11/02")</f>
        <v>11/02</v>
      </c>
      <c r="L36" s="138" t="str">
        <f>IFERROR(__xludf.DUMMYFUNCTION("""COMPUTED_VALUE"""),"11/02")</f>
        <v>11/02</v>
      </c>
      <c r="M36" s="138" t="str">
        <f>IFERROR(__xludf.DUMMYFUNCTION("""COMPUTED_VALUE"""),"12/02")</f>
        <v>12/02</v>
      </c>
      <c r="N36" s="138" t="str">
        <f>IFERROR(__xludf.DUMMYFUNCTION("""COMPUTED_VALUE"""),"12/02")</f>
        <v>12/02</v>
      </c>
      <c r="O36" s="138" t="str">
        <f>IFERROR(__xludf.DUMMYFUNCTION("""COMPUTED_VALUE"""),"12/02")</f>
        <v>12/02</v>
      </c>
      <c r="P36" s="138" t="str">
        <f>IFERROR(__xludf.DUMMYFUNCTION("""COMPUTED_VALUE"""),"12/02")</f>
        <v>12/02</v>
      </c>
      <c r="Q36" s="138" t="str">
        <f>IFERROR(__xludf.DUMMYFUNCTION("""COMPUTED_VALUE"""),"12/02")</f>
        <v>12/02</v>
      </c>
      <c r="R36" s="138" t="str">
        <f>IFERROR(__xludf.DUMMYFUNCTION("""COMPUTED_VALUE"""),"12/02")</f>
        <v>12/02</v>
      </c>
      <c r="S36" s="138" t="str">
        <f>IFERROR(__xludf.DUMMYFUNCTION("""COMPUTED_VALUE"""),"12/02")</f>
        <v>12/02</v>
      </c>
      <c r="T36" s="138" t="str">
        <f>IFERROR(__xludf.DUMMYFUNCTION("""COMPUTED_VALUE"""),"13/02")</f>
        <v>13/02</v>
      </c>
      <c r="U36" s="138"/>
      <c r="V36" s="138"/>
      <c r="W36" s="138"/>
      <c r="X36" s="138"/>
      <c r="Y36" s="138"/>
      <c r="Z36" s="138"/>
    </row>
    <row r="37" hidden="1">
      <c r="A37" s="138" t="str">
        <f>IFERROR(__xludf.DUMMYFUNCTION("""COMPUTED_VALUE"""),"VEE ONE")</f>
        <v>VEE ONE</v>
      </c>
      <c r="B37" s="138" t="str">
        <f>IFERROR(__xludf.DUMMYFUNCTION("""COMPUTED_VALUE"""),"BAMN")</f>
        <v>BAMN</v>
      </c>
      <c r="C37" s="138" t="str">
        <f>IFERROR(__xludf.DUMMYFUNCTION("""COMPUTED_VALUE"""),"3074154-01")</f>
        <v>3074154-01</v>
      </c>
      <c r="D37" s="138" t="str">
        <f>IFERROR(__xludf.DUMMYFUNCTION("""COMPUTED_VALUE"""),"GOVERNOR PROPELLER")</f>
        <v>GOVERNOR PROPELLER</v>
      </c>
      <c r="E37" s="138" t="str">
        <f>IFERROR(__xludf.DUMMYFUNCTION("""COMPUTED_VALUE"""),"18392762")</f>
        <v>18392762</v>
      </c>
      <c r="F37" s="138" t="str">
        <f>IFERROR(__xludf.DUMMYFUNCTION("""COMPUTED_VALUE"""),"040/2026")</f>
        <v>040/2026</v>
      </c>
      <c r="G37" s="138" t="str">
        <f>IFERROR(__xludf.DUMMYFUNCTION("""COMPUTED_VALUE"""),"07/01")</f>
        <v>07/01</v>
      </c>
      <c r="H37" s="138" t="str">
        <f>IFERROR(__xludf.DUMMYFUNCTION("""COMPUTED_VALUE"""),"29/01")</f>
        <v>29/01</v>
      </c>
      <c r="I37" s="138" t="str">
        <f>IFERROR(__xludf.DUMMYFUNCTION("""COMPUTED_VALUE"""),"09/02")</f>
        <v>09/02</v>
      </c>
      <c r="J37" s="138" t="str">
        <f>IFERROR(__xludf.DUMMYFUNCTION("""COMPUTED_VALUE"""),"09/02")</f>
        <v>09/02</v>
      </c>
      <c r="K37" s="138" t="str">
        <f>IFERROR(__xludf.DUMMYFUNCTION("""COMPUTED_VALUE"""),"10/02")</f>
        <v>10/02</v>
      </c>
      <c r="L37" s="138" t="str">
        <f>IFERROR(__xludf.DUMMYFUNCTION("""COMPUTED_VALUE"""),"10/02")</f>
        <v>10/02</v>
      </c>
      <c r="M37" s="138" t="str">
        <f>IFERROR(__xludf.DUMMYFUNCTION("""COMPUTED_VALUE"""),"10/02")</f>
        <v>10/02</v>
      </c>
      <c r="N37" s="138" t="str">
        <f>IFERROR(__xludf.DUMMYFUNCTION("""COMPUTED_VALUE"""),"10/02")</f>
        <v>10/02</v>
      </c>
      <c r="O37" s="138" t="str">
        <f>IFERROR(__xludf.DUMMYFUNCTION("""COMPUTED_VALUE"""),"10/02")</f>
        <v>10/02</v>
      </c>
      <c r="P37" s="138" t="str">
        <f>IFERROR(__xludf.DUMMYFUNCTION("""COMPUTED_VALUE"""),"10/02")</f>
        <v>10/02</v>
      </c>
      <c r="Q37" s="138" t="str">
        <f>IFERROR(__xludf.DUMMYFUNCTION("""COMPUTED_VALUE"""),"10/02")</f>
        <v>10/02</v>
      </c>
      <c r="R37" s="138" t="str">
        <f>IFERROR(__xludf.DUMMYFUNCTION("""COMPUTED_VALUE"""),"11/02")</f>
        <v>11/02</v>
      </c>
      <c r="S37" s="138" t="str">
        <f>IFERROR(__xludf.DUMMYFUNCTION("""COMPUTED_VALUE"""),"11/02")</f>
        <v>11/02</v>
      </c>
      <c r="T37" s="138" t="str">
        <f>IFERROR(__xludf.DUMMYFUNCTION("""COMPUTED_VALUE"""),"11/02")</f>
        <v>11/02</v>
      </c>
      <c r="U37" s="138"/>
      <c r="V37" s="138"/>
      <c r="W37" s="138"/>
      <c r="X37" s="138"/>
      <c r="Y37" s="138"/>
      <c r="Z37" s="138"/>
    </row>
    <row r="38" hidden="1">
      <c r="A38" s="138" t="str">
        <f>IFERROR(__xludf.DUMMYFUNCTION("""COMPUTED_VALUE"""),"VEE ONE")</f>
        <v>VEE ONE</v>
      </c>
      <c r="B38" s="138" t="str">
        <f>IFERROR(__xludf.DUMMYFUNCTION("""COMPUTED_VALUE"""),"CLA")</f>
        <v>CLA</v>
      </c>
      <c r="C38" s="138" t="str">
        <f>IFERROR(__xludf.DUMMYFUNCTION("""COMPUTED_VALUE"""),"162-11800")</f>
        <v>162-11800</v>
      </c>
      <c r="D38" s="138" t="str">
        <f>IFERROR(__xludf.DUMMYFUNCTION("""COMPUTED_VALUE"""),"WHEEL HALF ASSY")</f>
        <v>WHEEL HALF ASSY</v>
      </c>
      <c r="E38" s="138" t="str">
        <f>IFERROR(__xludf.DUMMYFUNCTION("""COMPUTED_VALUE"""),"92E")</f>
        <v>92E</v>
      </c>
      <c r="F38" s="138" t="str">
        <f>IFERROR(__xludf.DUMMYFUNCTION("""COMPUTED_VALUE"""),"005/2025")</f>
        <v>005/2025</v>
      </c>
      <c r="G38" s="138" t="str">
        <f>IFERROR(__xludf.DUMMYFUNCTION("""COMPUTED_VALUE"""),"05/09")</f>
        <v>05/09</v>
      </c>
      <c r="H38" s="138" t="str">
        <f>IFERROR(__xludf.DUMMYFUNCTION("""COMPUTED_VALUE"""),"30/09")</f>
        <v>30/09</v>
      </c>
      <c r="I38" s="138" t="str">
        <f>IFERROR(__xludf.DUMMYFUNCTION("""COMPUTED_VALUE"""),"15/10")</f>
        <v>15/10</v>
      </c>
      <c r="J38" s="138" t="str">
        <f>IFERROR(__xludf.DUMMYFUNCTION("""COMPUTED_VALUE"""),"16/10 e 12/11")</f>
        <v>16/10 e 12/11</v>
      </c>
      <c r="K38" s="138" t="str">
        <f>IFERROR(__xludf.DUMMYFUNCTION("""COMPUTED_VALUE"""),"04/11")</f>
        <v>04/11</v>
      </c>
      <c r="L38" s="138" t="str">
        <f>IFERROR(__xludf.DUMMYFUNCTION("""COMPUTED_VALUE"""),"13/11")</f>
        <v>13/11</v>
      </c>
      <c r="M38" s="138" t="str">
        <f>IFERROR(__xludf.DUMMYFUNCTION("""COMPUTED_VALUE"""),"14/11")</f>
        <v>14/11</v>
      </c>
      <c r="N38" s="138" t="str">
        <f>IFERROR(__xludf.DUMMYFUNCTION("""COMPUTED_VALUE"""),"14/11")</f>
        <v>14/11</v>
      </c>
      <c r="O38" s="138" t="str">
        <f>IFERROR(__xludf.DUMMYFUNCTION("""COMPUTED_VALUE"""),"14/11")</f>
        <v>14/11</v>
      </c>
      <c r="P38" s="138" t="str">
        <f>IFERROR(__xludf.DUMMYFUNCTION("""COMPUTED_VALUE"""),"27/01")</f>
        <v>27/01</v>
      </c>
      <c r="Q38" s="138" t="str">
        <f>IFERROR(__xludf.DUMMYFUNCTION("""COMPUTED_VALUE"""),"27/01")</f>
        <v>27/01</v>
      </c>
      <c r="R38" s="138" t="str">
        <f>IFERROR(__xludf.DUMMYFUNCTION("""COMPUTED_VALUE"""),"29/01")</f>
        <v>29/01</v>
      </c>
      <c r="S38" s="138" t="str">
        <f>IFERROR(__xludf.DUMMYFUNCTION("""COMPUTED_VALUE"""),"29/01")</f>
        <v>29/01</v>
      </c>
      <c r="T38" s="138" t="str">
        <f>IFERROR(__xludf.DUMMYFUNCTION("""COMPUTED_VALUE"""),"23/02")</f>
        <v>23/02</v>
      </c>
      <c r="U38" s="138"/>
      <c r="V38" s="138"/>
      <c r="W38" s="138"/>
      <c r="X38" s="138"/>
      <c r="Y38" s="138"/>
      <c r="Z38" s="138"/>
    </row>
    <row r="39" hidden="1">
      <c r="A39" s="138" t="str">
        <f>IFERROR(__xludf.DUMMYFUNCTION("""COMPUTED_VALUE"""),"VEE ONE")</f>
        <v>VEE ONE</v>
      </c>
      <c r="B39" s="138" t="str">
        <f>IFERROR(__xludf.DUMMYFUNCTION("""COMPUTED_VALUE"""),"CLA")</f>
        <v>CLA</v>
      </c>
      <c r="C39" s="138" t="str">
        <f>IFERROR(__xludf.DUMMYFUNCTION("""COMPUTED_VALUE"""),"540-1407-4")</f>
        <v>540-1407-4</v>
      </c>
      <c r="D39" s="138" t="str">
        <f>IFERROR(__xludf.DUMMYFUNCTION("""COMPUTED_VALUE""")," VALVE,BLEED,TURBINEENGINE")</f>
        <v> VALVE,BLEED,TURBINEENGINE</v>
      </c>
      <c r="E39" s="138" t="str">
        <f>IFERROR(__xludf.DUMMYFUNCTION("""COMPUTED_VALUE"""),"GA1536")</f>
        <v>GA1536</v>
      </c>
      <c r="F39" s="138" t="str">
        <f>IFERROR(__xludf.DUMMYFUNCTION("""COMPUTED_VALUE"""),"006/2025")</f>
        <v>006/2025</v>
      </c>
      <c r="G39" s="138" t="str">
        <f>IFERROR(__xludf.DUMMYFUNCTION("""COMPUTED_VALUE"""),"23/09")</f>
        <v>23/09</v>
      </c>
      <c r="H39" s="138" t="str">
        <f>IFERROR(__xludf.DUMMYFUNCTION("""COMPUTED_VALUE"""),"30/09")</f>
        <v>30/09</v>
      </c>
      <c r="I39" s="138" t="str">
        <f>IFERROR(__xludf.DUMMYFUNCTION("""COMPUTED_VALUE"""),"15/10")</f>
        <v>15/10</v>
      </c>
      <c r="J39" s="138" t="str">
        <f>IFERROR(__xludf.DUMMYFUNCTION("""COMPUTED_VALUE"""),"16/10 e 12/11")</f>
        <v>16/10 e 12/11</v>
      </c>
      <c r="K39" s="138" t="str">
        <f>IFERROR(__xludf.DUMMYFUNCTION("""COMPUTED_VALUE"""),"04/11")</f>
        <v>04/11</v>
      </c>
      <c r="L39" s="138" t="str">
        <f>IFERROR(__xludf.DUMMYFUNCTION("""COMPUTED_VALUE"""),"13/11")</f>
        <v>13/11</v>
      </c>
      <c r="M39" s="138" t="str">
        <f>IFERROR(__xludf.DUMMYFUNCTION("""COMPUTED_VALUE"""),"14/11")</f>
        <v>14/11</v>
      </c>
      <c r="N39" s="138" t="str">
        <f>IFERROR(__xludf.DUMMYFUNCTION("""COMPUTED_VALUE"""),"14/11")</f>
        <v>14/11</v>
      </c>
      <c r="O39" s="138" t="str">
        <f>IFERROR(__xludf.DUMMYFUNCTION("""COMPUTED_VALUE"""),"14/11")</f>
        <v>14/11</v>
      </c>
      <c r="P39" s="138" t="str">
        <f>IFERROR(__xludf.DUMMYFUNCTION("""COMPUTED_VALUE"""),"27/01")</f>
        <v>27/01</v>
      </c>
      <c r="Q39" s="138" t="str">
        <f>IFERROR(__xludf.DUMMYFUNCTION("""COMPUTED_VALUE"""),"27/01")</f>
        <v>27/01</v>
      </c>
      <c r="R39" s="138" t="str">
        <f>IFERROR(__xludf.DUMMYFUNCTION("""COMPUTED_VALUE"""),"29/01")</f>
        <v>29/01</v>
      </c>
      <c r="S39" s="138" t="str">
        <f>IFERROR(__xludf.DUMMYFUNCTION("""COMPUTED_VALUE"""),"29/01")</f>
        <v>29/01</v>
      </c>
      <c r="T39" s="138" t="str">
        <f>IFERROR(__xludf.DUMMYFUNCTION("""COMPUTED_VALUE"""),"23/02")</f>
        <v>23/02</v>
      </c>
      <c r="U39" s="138"/>
      <c r="V39" s="138"/>
      <c r="W39" s="138"/>
      <c r="X39" s="138"/>
      <c r="Y39" s="138"/>
      <c r="Z39" s="138"/>
    </row>
    <row r="40" hidden="1">
      <c r="A40" s="138" t="str">
        <f>IFERROR(__xludf.DUMMYFUNCTION("""COMPUTED_VALUE"""),"VEE ONE")</f>
        <v>VEE ONE</v>
      </c>
      <c r="B40" s="138" t="str">
        <f>IFERROR(__xludf.DUMMYFUNCTION("""COMPUTED_VALUE"""),"CLA")</f>
        <v>CLA</v>
      </c>
      <c r="C40" s="138" t="str">
        <f>IFERROR(__xludf.DUMMYFUNCTION("""COMPUTED_VALUE"""),"2606013-1")</f>
        <v>2606013-1</v>
      </c>
      <c r="D40" s="138" t="str">
        <f>IFERROR(__xludf.DUMMYFUNCTION("""COMPUTED_VALUE"""),"INDICATOR-PERCENT RPM")</f>
        <v>INDICATOR-PERCENT RPM</v>
      </c>
      <c r="E40" s="138" t="str">
        <f>IFERROR(__xludf.DUMMYFUNCTION("""COMPUTED_VALUE"""),"890880")</f>
        <v>890880</v>
      </c>
      <c r="F40" s="138" t="str">
        <f>IFERROR(__xludf.DUMMYFUNCTION("""COMPUTED_VALUE"""),"003/2025")</f>
        <v>003/2025</v>
      </c>
      <c r="G40" s="138" t="str">
        <f>IFERROR(__xludf.DUMMYFUNCTION("""COMPUTED_VALUE"""),"04/07")</f>
        <v>04/07</v>
      </c>
      <c r="H40" s="138" t="str">
        <f>IFERROR(__xludf.DUMMYFUNCTION("""COMPUTED_VALUE"""),"16/10")</f>
        <v>16/10</v>
      </c>
      <c r="I40" s="138" t="str">
        <f>IFERROR(__xludf.DUMMYFUNCTION("""COMPUTED_VALUE"""),"16/10")</f>
        <v>16/10</v>
      </c>
      <c r="J40" s="138" t="str">
        <f>IFERROR(__xludf.DUMMYFUNCTION("""COMPUTED_VALUE"""),"18/11")</f>
        <v>18/11</v>
      </c>
      <c r="K40" s="138" t="str">
        <f>IFERROR(__xludf.DUMMYFUNCTION("""COMPUTED_VALUE"""),"18/11")</f>
        <v>18/11</v>
      </c>
      <c r="L40" s="138" t="str">
        <f>IFERROR(__xludf.DUMMYFUNCTION("""COMPUTED_VALUE"""),"18/11 e 02/02")</f>
        <v>18/11 e 02/02</v>
      </c>
      <c r="M40" s="138" t="str">
        <f>IFERROR(__xludf.DUMMYFUNCTION("""COMPUTED_VALUE"""),"03/02")</f>
        <v>03/02</v>
      </c>
      <c r="N40" s="138" t="str">
        <f>IFERROR(__xludf.DUMMYFUNCTION("""COMPUTED_VALUE"""),"03/02")</f>
        <v>03/02</v>
      </c>
      <c r="O40" s="138" t="str">
        <f>IFERROR(__xludf.DUMMYFUNCTION("""COMPUTED_VALUE"""),"03/02")</f>
        <v>03/02</v>
      </c>
      <c r="P40" s="138" t="str">
        <f>IFERROR(__xludf.DUMMYFUNCTION("""COMPUTED_VALUE"""),"04/02")</f>
        <v>04/02</v>
      </c>
      <c r="Q40" s="138" t="str">
        <f>IFERROR(__xludf.DUMMYFUNCTION("""COMPUTED_VALUE"""),"04/02")</f>
        <v>04/02</v>
      </c>
      <c r="R40" s="138" t="str">
        <f>IFERROR(__xludf.DUMMYFUNCTION("""COMPUTED_VALUE"""),"04/02")</f>
        <v>04/02</v>
      </c>
      <c r="S40" s="138" t="str">
        <f>IFERROR(__xludf.DUMMYFUNCTION("""COMPUTED_VALUE"""),"04/02")</f>
        <v>04/02</v>
      </c>
      <c r="T40" s="138" t="str">
        <f>IFERROR(__xludf.DUMMYFUNCTION("""COMPUTED_VALUE"""),"23/02")</f>
        <v>23/02</v>
      </c>
      <c r="U40" s="138" t="str">
        <f>IFERROR(__xludf.DUMMYFUNCTION("""COMPUTED_VALUE"""),"Chegou no operador sem SEG VOO")</f>
        <v>Chegou no operador sem SEG VOO</v>
      </c>
      <c r="V40" s="138"/>
      <c r="W40" s="138"/>
      <c r="X40" s="138"/>
      <c r="Y40" s="138"/>
      <c r="Z40" s="138"/>
    </row>
    <row r="41" hidden="1">
      <c r="A41" s="138" t="str">
        <f>IFERROR(__xludf.DUMMYFUNCTION("""COMPUTED_VALUE"""),"VEE ONE")</f>
        <v>VEE ONE</v>
      </c>
      <c r="B41" s="138" t="str">
        <f>IFERROR(__xludf.DUMMYFUNCTION("""COMPUTED_VALUE"""),"CLA")</f>
        <v>CLA</v>
      </c>
      <c r="C41" s="138" t="str">
        <f>IFERROR(__xludf.DUMMYFUNCTION("""COMPUTED_VALUE"""),"C661065-0237")</f>
        <v>C661065-0237</v>
      </c>
      <c r="D41" s="138" t="str">
        <f>IFERROR(__xludf.DUMMYFUNCTION("""COMPUTED_VALUE"""),"INDICATOR TRUE")</f>
        <v>INDICATOR TRUE</v>
      </c>
      <c r="E41" s="138" t="str">
        <f>IFERROR(__xludf.DUMMYFUNCTION("""COMPUTED_VALUE"""),"T39023")</f>
        <v>T39023</v>
      </c>
      <c r="F41" s="138" t="str">
        <f>IFERROR(__xludf.DUMMYFUNCTION("""COMPUTED_VALUE"""),"009/2025")</f>
        <v>009/2025</v>
      </c>
      <c r="G41" s="138" t="str">
        <f>IFERROR(__xludf.DUMMYFUNCTION("""COMPUTED_VALUE"""),"20/10")</f>
        <v>20/10</v>
      </c>
      <c r="H41" s="138" t="str">
        <f>IFERROR(__xludf.DUMMYFUNCTION("""COMPUTED_VALUE"""),"26/11")</f>
        <v>26/11</v>
      </c>
      <c r="I41" s="138" t="str">
        <f>IFERROR(__xludf.DUMMYFUNCTION("""COMPUTED_VALUE"""),"12/12")</f>
        <v>12/12</v>
      </c>
      <c r="J41" s="138" t="str">
        <f>IFERROR(__xludf.DUMMYFUNCTION("""COMPUTED_VALUE"""),"12/12")</f>
        <v>12/12</v>
      </c>
      <c r="K41" s="138" t="str">
        <f>IFERROR(__xludf.DUMMYFUNCTION("""COMPUTED_VALUE"""),"12/12")</f>
        <v>12/12</v>
      </c>
      <c r="L41" s="138" t="str">
        <f>IFERROR(__xludf.DUMMYFUNCTION("""COMPUTED_VALUE"""),"12/12")</f>
        <v>12/12</v>
      </c>
      <c r="M41" s="138" t="str">
        <f>IFERROR(__xludf.DUMMYFUNCTION("""COMPUTED_VALUE"""),"12/12")</f>
        <v>12/12</v>
      </c>
      <c r="N41" s="138" t="str">
        <f>IFERROR(__xludf.DUMMYFUNCTION("""COMPUTED_VALUE"""),"12/12")</f>
        <v>12/12</v>
      </c>
      <c r="O41" s="138" t="str">
        <f>IFERROR(__xludf.DUMMYFUNCTION("""COMPUTED_VALUE"""),"12/12")</f>
        <v>12/12</v>
      </c>
      <c r="P41" s="138" t="str">
        <f>IFERROR(__xludf.DUMMYFUNCTION("""COMPUTED_VALUE"""),"02/02")</f>
        <v>02/02</v>
      </c>
      <c r="Q41" s="138" t="str">
        <f>IFERROR(__xludf.DUMMYFUNCTION("""COMPUTED_VALUE"""),"02/02")</f>
        <v>02/02</v>
      </c>
      <c r="R41" s="138" t="str">
        <f>IFERROR(__xludf.DUMMYFUNCTION("""COMPUTED_VALUE"""),"03/02")</f>
        <v>03/02</v>
      </c>
      <c r="S41" s="138" t="str">
        <f>IFERROR(__xludf.DUMMYFUNCTION("""COMPUTED_VALUE"""),"03/02")</f>
        <v>03/02</v>
      </c>
      <c r="T41" s="138" t="str">
        <f>IFERROR(__xludf.DUMMYFUNCTION("""COMPUTED_VALUE"""),"23/02")</f>
        <v>23/02</v>
      </c>
      <c r="U41" s="138"/>
      <c r="V41" s="138"/>
      <c r="W41" s="138"/>
      <c r="X41" s="138"/>
      <c r="Y41" s="138"/>
      <c r="Z41" s="138"/>
    </row>
    <row r="42" hidden="1">
      <c r="A42" s="138" t="str">
        <f>IFERROR(__xludf.DUMMYFUNCTION("""COMPUTED_VALUE"""),"VEE ONE")</f>
        <v>VEE ONE</v>
      </c>
      <c r="B42" s="138" t="str">
        <f>IFERROR(__xludf.DUMMYFUNCTION("""COMPUTED_VALUE"""),"CLA")</f>
        <v>CLA</v>
      </c>
      <c r="C42" s="138" t="str">
        <f>IFERROR(__xludf.DUMMYFUNCTION("""COMPUTED_VALUE"""),"161-12800")</f>
        <v>161-12800</v>
      </c>
      <c r="D42" s="138" t="str">
        <f>IFERROR(__xludf.DUMMYFUNCTION("""COMPUTED_VALUE"""),"WHEEL HALF ASSY")</f>
        <v>WHEEL HALF ASSY</v>
      </c>
      <c r="E42" s="138" t="str">
        <f>IFERROR(__xludf.DUMMYFUNCTION("""COMPUTED_VALUE"""),"29")</f>
        <v>29</v>
      </c>
      <c r="F42" s="138" t="str">
        <f>IFERROR(__xludf.DUMMYFUNCTION("""COMPUTED_VALUE"""),"010/2025")</f>
        <v>010/2025</v>
      </c>
      <c r="G42" s="138" t="str">
        <f>IFERROR(__xludf.DUMMYFUNCTION("""COMPUTED_VALUE"""),"16/10")</f>
        <v>16/10</v>
      </c>
      <c r="H42" s="138" t="str">
        <f>IFERROR(__xludf.DUMMYFUNCTION("""COMPUTED_VALUE"""),"26/11")</f>
        <v>26/11</v>
      </c>
      <c r="I42" s="138" t="str">
        <f>IFERROR(__xludf.DUMMYFUNCTION("""COMPUTED_VALUE"""),"12/12")</f>
        <v>12/12</v>
      </c>
      <c r="J42" s="138" t="str">
        <f>IFERROR(__xludf.DUMMYFUNCTION("""COMPUTED_VALUE"""),"12/12")</f>
        <v>12/12</v>
      </c>
      <c r="K42" s="138" t="str">
        <f>IFERROR(__xludf.DUMMYFUNCTION("""COMPUTED_VALUE"""),"12/12")</f>
        <v>12/12</v>
      </c>
      <c r="L42" s="138" t="str">
        <f>IFERROR(__xludf.DUMMYFUNCTION("""COMPUTED_VALUE"""),"12/12")</f>
        <v>12/12</v>
      </c>
      <c r="M42" s="138" t="str">
        <f>IFERROR(__xludf.DUMMYFUNCTION("""COMPUTED_VALUE"""),"12/12")</f>
        <v>12/12</v>
      </c>
      <c r="N42" s="138" t="str">
        <f>IFERROR(__xludf.DUMMYFUNCTION("""COMPUTED_VALUE"""),"12/12")</f>
        <v>12/12</v>
      </c>
      <c r="O42" s="138" t="str">
        <f>IFERROR(__xludf.DUMMYFUNCTION("""COMPUTED_VALUE"""),"12/12")</f>
        <v>12/12</v>
      </c>
      <c r="P42" s="138" t="str">
        <f>IFERROR(__xludf.DUMMYFUNCTION("""COMPUTED_VALUE"""),"02/02")</f>
        <v>02/02</v>
      </c>
      <c r="Q42" s="138" t="str">
        <f>IFERROR(__xludf.DUMMYFUNCTION("""COMPUTED_VALUE"""),"02/02")</f>
        <v>02/02</v>
      </c>
      <c r="R42" s="138" t="str">
        <f>IFERROR(__xludf.DUMMYFUNCTION("""COMPUTED_VALUE"""),"03/02")</f>
        <v>03/02</v>
      </c>
      <c r="S42" s="138" t="str">
        <f>IFERROR(__xludf.DUMMYFUNCTION("""COMPUTED_VALUE"""),"03/02")</f>
        <v>03/02</v>
      </c>
      <c r="T42" s="138" t="str">
        <f>IFERROR(__xludf.DUMMYFUNCTION("""COMPUTED_VALUE"""),"23/02")</f>
        <v>23/02</v>
      </c>
      <c r="U42" s="138"/>
      <c r="V42" s="138"/>
      <c r="W42" s="138"/>
      <c r="X42" s="138"/>
      <c r="Y42" s="138"/>
      <c r="Z42" s="138"/>
    </row>
    <row r="43" hidden="1">
      <c r="A43" s="138" t="str">
        <f>IFERROR(__xludf.DUMMYFUNCTION("""COMPUTED_VALUE"""),"VEE ONE")</f>
        <v>VEE ONE</v>
      </c>
      <c r="B43" s="138" t="str">
        <f>IFERROR(__xludf.DUMMYFUNCTION("""COMPUTED_VALUE"""),"BABE")</f>
        <v>BABE</v>
      </c>
      <c r="C43" s="138" t="str">
        <f>IFERROR(__xludf.DUMMYFUNCTION("""COMPUTED_VALUE"""),"011-00877-00")</f>
        <v>011-00877-00</v>
      </c>
      <c r="D43" s="138" t="str">
        <f>IFERROR(__xludf.DUMMYFUNCTION("""COMPUTED_VALUE"""),"GSA 80 TORQUE SERVO")</f>
        <v>GSA 80 TORQUE SERVO</v>
      </c>
      <c r="E43" s="138" t="str">
        <f>IFERROR(__xludf.DUMMYFUNCTION("""COMPUTED_VALUE"""),"66305960")</f>
        <v>66305960</v>
      </c>
      <c r="F43" s="138" t="str">
        <f>IFERROR(__xludf.DUMMYFUNCTION("""COMPUTED_VALUE"""),"018/2025")</f>
        <v>018/2025</v>
      </c>
      <c r="G43" s="138" t="str">
        <f>IFERROR(__xludf.DUMMYFUNCTION("""COMPUTED_VALUE"""),"04/12")</f>
        <v>04/12</v>
      </c>
      <c r="H43" s="138" t="str">
        <f>IFERROR(__xludf.DUMMYFUNCTION("""COMPUTED_VALUE"""),"05/12")</f>
        <v>05/12</v>
      </c>
      <c r="I43" s="138" t="str">
        <f>IFERROR(__xludf.DUMMYFUNCTION("""COMPUTED_VALUE"""),"12/12")</f>
        <v>12/12</v>
      </c>
      <c r="J43" s="138" t="str">
        <f>IFERROR(__xludf.DUMMYFUNCTION("""COMPUTED_VALUE"""),"16/12")</f>
        <v>16/12</v>
      </c>
      <c r="K43" s="138" t="str">
        <f>IFERROR(__xludf.DUMMYFUNCTION("""COMPUTED_VALUE"""),"29/12")</f>
        <v>29/12</v>
      </c>
      <c r="L43" s="138" t="str">
        <f>IFERROR(__xludf.DUMMYFUNCTION("""COMPUTED_VALUE"""),"02/02")</f>
        <v>02/02</v>
      </c>
      <c r="M43" s="138" t="str">
        <f>IFERROR(__xludf.DUMMYFUNCTION("""COMPUTED_VALUE"""),"03/02")</f>
        <v>03/02</v>
      </c>
      <c r="N43" s="138" t="str">
        <f>IFERROR(__xludf.DUMMYFUNCTION("""COMPUTED_VALUE"""),"03/02")</f>
        <v>03/02</v>
      </c>
      <c r="O43" s="138" t="str">
        <f>IFERROR(__xludf.DUMMYFUNCTION("""COMPUTED_VALUE"""),"03/02")</f>
        <v>03/02</v>
      </c>
      <c r="P43" s="138" t="str">
        <f>IFERROR(__xludf.DUMMYFUNCTION("""COMPUTED_VALUE"""),"04/02")</f>
        <v>04/02</v>
      </c>
      <c r="Q43" s="138" t="str">
        <f>IFERROR(__xludf.DUMMYFUNCTION("""COMPUTED_VALUE"""),"04/02")</f>
        <v>04/02</v>
      </c>
      <c r="R43" s="138" t="str">
        <f>IFERROR(__xludf.DUMMYFUNCTION("""COMPUTED_VALUE"""),"04/02")</f>
        <v>04/02</v>
      </c>
      <c r="S43" s="138" t="str">
        <f>IFERROR(__xludf.DUMMYFUNCTION("""COMPUTED_VALUE"""),"04/02")</f>
        <v>04/02</v>
      </c>
      <c r="T43" s="138" t="str">
        <f>IFERROR(__xludf.DUMMYFUNCTION("""COMPUTED_VALUE"""),"23/02")</f>
        <v>23/02</v>
      </c>
      <c r="U43" s="138" t="str">
        <f>IFERROR(__xludf.DUMMYFUNCTION("""COMPUTED_VALUE"""),"Exchange com SN 66306629")</f>
        <v>Exchange com SN 66306629</v>
      </c>
      <c r="V43" s="138"/>
      <c r="W43" s="138"/>
      <c r="X43" s="138"/>
      <c r="Y43" s="138"/>
      <c r="Z43" s="138"/>
    </row>
    <row r="44" hidden="1">
      <c r="A44" s="138" t="str">
        <f>IFERROR(__xludf.DUMMYFUNCTION("""COMPUTED_VALUE"""),"VEE ONE")</f>
        <v>VEE ONE</v>
      </c>
      <c r="B44" s="138" t="str">
        <f>IFERROR(__xludf.DUMMYFUNCTION("""COMPUTED_VALUE"""),"BABR")</f>
        <v>BABR</v>
      </c>
      <c r="C44" s="138" t="str">
        <f>IFERROR(__xludf.DUMMYFUNCTION("""COMPUTED_VALUE"""),"064-1054-30")</f>
        <v>064-1054-30</v>
      </c>
      <c r="D44" s="138" t="str">
        <f>IFERROR(__xludf.DUMMYFUNCTION("""COMPUTED_VALUE"""),"RECEPTOR DE VHF")</f>
        <v>RECEPTOR DE VHF</v>
      </c>
      <c r="E44" s="138" t="str">
        <f>IFERROR(__xludf.DUMMYFUNCTION("""COMPUTED_VALUE"""),"9816")</f>
        <v>9816</v>
      </c>
      <c r="F44" s="138" t="str">
        <f>IFERROR(__xludf.DUMMYFUNCTION("""COMPUTED_VALUE"""),"010/2026")</f>
        <v>010/2026</v>
      </c>
      <c r="G44" s="138" t="str">
        <f>IFERROR(__xludf.DUMMYFUNCTION("""COMPUTED_VALUE"""),"03/02")</f>
        <v>03/02</v>
      </c>
      <c r="H44" s="138" t="str">
        <f>IFERROR(__xludf.DUMMYFUNCTION("""COMPUTED_VALUE"""),"04/02")</f>
        <v>04/02</v>
      </c>
      <c r="I44" s="138" t="str">
        <f>IFERROR(__xludf.DUMMYFUNCTION("""COMPUTED_VALUE"""),"09/02")</f>
        <v>09/02</v>
      </c>
      <c r="J44" s="138" t="str">
        <f>IFERROR(__xludf.DUMMYFUNCTION("""COMPUTED_VALUE"""),"*")</f>
        <v>*</v>
      </c>
      <c r="K44" s="138" t="str">
        <f>IFERROR(__xludf.DUMMYFUNCTION("""COMPUTED_VALUE"""),"12/02")</f>
        <v>12/02</v>
      </c>
      <c r="L44" s="138" t="str">
        <f>IFERROR(__xludf.DUMMYFUNCTION("""COMPUTED_VALUE"""),"12/02")</f>
        <v>12/02</v>
      </c>
      <c r="M44" s="138" t="str">
        <f>IFERROR(__xludf.DUMMYFUNCTION("""COMPUTED_VALUE"""),"12/02")</f>
        <v>12/02</v>
      </c>
      <c r="N44" s="138" t="str">
        <f>IFERROR(__xludf.DUMMYFUNCTION("""COMPUTED_VALUE"""),"12/02")</f>
        <v>12/02</v>
      </c>
      <c r="O44" s="138" t="str">
        <f>IFERROR(__xludf.DUMMYFUNCTION("""COMPUTED_VALUE"""),"12/02")</f>
        <v>12/02</v>
      </c>
      <c r="P44" s="138" t="str">
        <f>IFERROR(__xludf.DUMMYFUNCTION("""COMPUTED_VALUE"""),"13/02")</f>
        <v>13/02</v>
      </c>
      <c r="Q44" s="138" t="str">
        <f>IFERROR(__xludf.DUMMYFUNCTION("""COMPUTED_VALUE"""),"13/02")</f>
        <v>13/02</v>
      </c>
      <c r="R44" s="138" t="str">
        <f>IFERROR(__xludf.DUMMYFUNCTION("""COMPUTED_VALUE"""),"13/02")</f>
        <v>13/02</v>
      </c>
      <c r="S44" s="138" t="str">
        <f>IFERROR(__xludf.DUMMYFUNCTION("""COMPUTED_VALUE"""),"13/02")</f>
        <v>13/02</v>
      </c>
      <c r="T44" s="138" t="str">
        <f>IFERROR(__xludf.DUMMYFUNCTION("""COMPUTED_VALUE"""),"23/02")</f>
        <v>23/02</v>
      </c>
      <c r="U44" s="138" t="str">
        <f>IFERROR(__xludf.DUMMYFUNCTION("""COMPUTED_VALUE"""),"SN 24310 do termo errado. Será refeito com o SN correto que é o 9816. Solicitado carta de correção e termo corrigido em 10/02")</f>
        <v>SN 24310 do termo errado. Será refeito com o SN correto que é o 9816. Solicitado carta de correção e termo corrigido em 10/02</v>
      </c>
      <c r="V44" s="138"/>
      <c r="W44" s="138"/>
      <c r="X44" s="138"/>
      <c r="Y44" s="138"/>
      <c r="Z44" s="138"/>
    </row>
    <row r="45" hidden="1">
      <c r="A45" s="138" t="str">
        <f>IFERROR(__xludf.DUMMYFUNCTION("""COMPUTED_VALUE"""),"VEE ONE")</f>
        <v>VEE ONE</v>
      </c>
      <c r="B45" s="138" t="str">
        <f>IFERROR(__xludf.DUMMYFUNCTION("""COMPUTED_VALUE"""),"BABR")</f>
        <v>BABR</v>
      </c>
      <c r="C45" s="138" t="str">
        <f>IFERROR(__xludf.DUMMYFUNCTION("""COMPUTED_VALUE"""),"3122678-04")</f>
        <v>3122678-04</v>
      </c>
      <c r="D45" s="138" t="str">
        <f>IFERROR(__xludf.DUMMYFUNCTION("""COMPUTED_VALUE"""),"FUEL CONTROL UNIT")</f>
        <v>FUEL CONTROL UNIT</v>
      </c>
      <c r="E45" s="138" t="str">
        <f>IFERROR(__xludf.DUMMYFUNCTION("""COMPUTED_VALUE"""),"C66221")</f>
        <v>C66221</v>
      </c>
      <c r="F45" s="138" t="str">
        <f>IFERROR(__xludf.DUMMYFUNCTION("""COMPUTED_VALUE"""),"012/2026")</f>
        <v>012/2026</v>
      </c>
      <c r="G45" s="138" t="str">
        <f>IFERROR(__xludf.DUMMYFUNCTION("""COMPUTED_VALUE"""),"23/02")</f>
        <v>23/02</v>
      </c>
      <c r="H45" s="138" t="str">
        <f>IFERROR(__xludf.DUMMYFUNCTION("""COMPUTED_VALUE"""),"23/02")</f>
        <v>23/02</v>
      </c>
      <c r="I45" s="138" t="str">
        <f>IFERROR(__xludf.DUMMYFUNCTION("""COMPUTED_VALUE"""),"23/02")</f>
        <v>23/02</v>
      </c>
      <c r="J45" s="138" t="str">
        <f>IFERROR(__xludf.DUMMYFUNCTION("""COMPUTED_VALUE"""),"24/02")</f>
        <v>24/02</v>
      </c>
      <c r="K45" s="138" t="str">
        <f>IFERROR(__xludf.DUMMYFUNCTION("""COMPUTED_VALUE"""),"24/02")</f>
        <v>24/02</v>
      </c>
      <c r="L45" s="138" t="str">
        <f>IFERROR(__xludf.DUMMYFUNCTION("""COMPUTED_VALUE"""),"24/02")</f>
        <v>24/02</v>
      </c>
      <c r="M45" s="138" t="str">
        <f>IFERROR(__xludf.DUMMYFUNCTION("""COMPUTED_VALUE"""),"24/02")</f>
        <v>24/02</v>
      </c>
      <c r="N45" s="138" t="str">
        <f>IFERROR(__xludf.DUMMYFUNCTION("""COMPUTED_VALUE"""),"24/02")</f>
        <v>24/02</v>
      </c>
      <c r="O45" s="138" t="str">
        <f>IFERROR(__xludf.DUMMYFUNCTION("""COMPUTED_VALUE"""),"25/02")</f>
        <v>25/02</v>
      </c>
      <c r="P45" s="138" t="str">
        <f>IFERROR(__xludf.DUMMYFUNCTION("""COMPUTED_VALUE"""),"25/02")</f>
        <v>25/02</v>
      </c>
      <c r="Q45" s="138" t="str">
        <f>IFERROR(__xludf.DUMMYFUNCTION("""COMPUTED_VALUE"""),"25/02")</f>
        <v>25/02</v>
      </c>
      <c r="R45" s="138" t="str">
        <f>IFERROR(__xludf.DUMMYFUNCTION("""COMPUTED_VALUE"""),"26/02")</f>
        <v>26/02</v>
      </c>
      <c r="S45" s="138" t="str">
        <f>IFERROR(__xludf.DUMMYFUNCTION("""COMPUTED_VALUE"""),"26/02")</f>
        <v>26/02</v>
      </c>
      <c r="T45" s="138" t="str">
        <f>IFERROR(__xludf.DUMMYFUNCTION("""COMPUTED_VALUE"""),"26/02")</f>
        <v>26/02</v>
      </c>
      <c r="U45" s="138"/>
      <c r="V45" s="138"/>
      <c r="W45" s="138"/>
      <c r="X45" s="138"/>
      <c r="Y45" s="138"/>
      <c r="Z45" s="138"/>
    </row>
    <row r="46" hidden="1">
      <c r="A46" s="138" t="str">
        <f>IFERROR(__xludf.DUMMYFUNCTION("""COMPUTED_VALUE"""),"VEE ONE")</f>
        <v>VEE ONE</v>
      </c>
      <c r="B46" s="138" t="str">
        <f>IFERROR(__xludf.DUMMYFUNCTION("""COMPUTED_VALUE"""),"BABE")</f>
        <v>BABE</v>
      </c>
      <c r="C46" s="138" t="str">
        <f>IFERROR(__xludf.DUMMYFUNCTION("""COMPUTED_VALUE"""),"324843-W020")</f>
        <v>324843-W020</v>
      </c>
      <c r="D46" s="138" t="str">
        <f>IFERROR(__xludf.DUMMYFUNCTION("""COMPUTED_VALUE"""),"HEADSET-MICROPHONE")</f>
        <v>HEADSET-MICROPHONE</v>
      </c>
      <c r="E46" s="138" t="str">
        <f>IFERROR(__xludf.DUMMYFUNCTION("""COMPUTED_VALUE"""),"073200G90080033AE")</f>
        <v>073200G90080033AE</v>
      </c>
      <c r="F46" s="138" t="str">
        <f>IFERROR(__xludf.DUMMYFUNCTION("""COMPUTED_VALUE"""),"001/2026")</f>
        <v>001/2026</v>
      </c>
      <c r="G46" s="138" t="str">
        <f>IFERROR(__xludf.DUMMYFUNCTION("""COMPUTED_VALUE"""),"14/01")</f>
        <v>14/01</v>
      </c>
      <c r="H46" s="138" t="str">
        <f>IFERROR(__xludf.DUMMYFUNCTION("""COMPUTED_VALUE"""),"09/02")</f>
        <v>09/02</v>
      </c>
      <c r="I46" s="138" t="str">
        <f>IFERROR(__xludf.DUMMYFUNCTION("""COMPUTED_VALUE"""),"12/02")</f>
        <v>12/02</v>
      </c>
      <c r="J46" s="138" t="str">
        <f>IFERROR(__xludf.DUMMYFUNCTION("""COMPUTED_VALUE"""),"13/02")</f>
        <v>13/02</v>
      </c>
      <c r="K46" s="138" t="str">
        <f>IFERROR(__xludf.DUMMYFUNCTION("""COMPUTED_VALUE"""),"13/02")</f>
        <v>13/02</v>
      </c>
      <c r="L46" s="138" t="str">
        <f>IFERROR(__xludf.DUMMYFUNCTION("""COMPUTED_VALUE"""),"13/02")</f>
        <v>13/02</v>
      </c>
      <c r="M46" s="138" t="str">
        <f>IFERROR(__xludf.DUMMYFUNCTION("""COMPUTED_VALUE"""),"13/02")</f>
        <v>13/02</v>
      </c>
      <c r="N46" s="138" t="str">
        <f>IFERROR(__xludf.DUMMYFUNCTION("""COMPUTED_VALUE"""),"13/02")</f>
        <v>13/02</v>
      </c>
      <c r="O46" s="138" t="str">
        <f>IFERROR(__xludf.DUMMYFUNCTION("""COMPUTED_VALUE"""),"13/02")</f>
        <v>13/02</v>
      </c>
      <c r="P46" s="138" t="str">
        <f>IFERROR(__xludf.DUMMYFUNCTION("""COMPUTED_VALUE"""),"13/02")</f>
        <v>13/02</v>
      </c>
      <c r="Q46" s="138" t="str">
        <f>IFERROR(__xludf.DUMMYFUNCTION("""COMPUTED_VALUE"""),"13/02 e 09/03")</f>
        <v>13/02 e 09/03</v>
      </c>
      <c r="R46" s="138" t="str">
        <f>IFERROR(__xludf.DUMMYFUNCTION("""COMPUTED_VALUE"""),"09/03")</f>
        <v>09/03</v>
      </c>
      <c r="S46" s="138" t="str">
        <f>IFERROR(__xludf.DUMMYFUNCTION("""COMPUTED_VALUE"""),"09/03")</f>
        <v>09/03</v>
      </c>
      <c r="T46" s="138" t="str">
        <f>IFERROR(__xludf.DUMMYFUNCTION("""COMPUTED_VALUE"""),"10/03")</f>
        <v>10/03</v>
      </c>
      <c r="U46" s="138"/>
      <c r="V46" s="138"/>
      <c r="W46" s="138"/>
      <c r="X46" s="138"/>
      <c r="Y46" s="138"/>
      <c r="Z46" s="138"/>
    </row>
    <row r="47" hidden="1">
      <c r="A47" s="138" t="str">
        <f>IFERROR(__xludf.DUMMYFUNCTION("""COMPUTED_VALUE"""),"VEE ONE")</f>
        <v>VEE ONE</v>
      </c>
      <c r="B47" s="138" t="str">
        <f>IFERROR(__xludf.DUMMYFUNCTION("""COMPUTED_VALUE"""),"BABE")</f>
        <v>BABE</v>
      </c>
      <c r="C47" s="138" t="str">
        <f>IFERROR(__xludf.DUMMYFUNCTION("""COMPUTED_VALUE"""),"324843-W020")</f>
        <v>324843-W020</v>
      </c>
      <c r="D47" s="138" t="str">
        <f>IFERROR(__xludf.DUMMYFUNCTION("""COMPUTED_VALUE"""),"HEADSET-MICROPHONE")</f>
        <v>HEADSET-MICROPHONE</v>
      </c>
      <c r="E47" s="138" t="str">
        <f>IFERROR(__xludf.DUMMYFUNCTION("""COMPUTED_VALUE"""),"073200G71030087AE")</f>
        <v>073200G71030087AE</v>
      </c>
      <c r="F47" s="138" t="str">
        <f>IFERROR(__xludf.DUMMYFUNCTION("""COMPUTED_VALUE"""),"001/2026")</f>
        <v>001/2026</v>
      </c>
      <c r="G47" s="138" t="str">
        <f>IFERROR(__xludf.DUMMYFUNCTION("""COMPUTED_VALUE"""),"14/01")</f>
        <v>14/01</v>
      </c>
      <c r="H47" s="138" t="str">
        <f>IFERROR(__xludf.DUMMYFUNCTION("""COMPUTED_VALUE"""),"09/02")</f>
        <v>09/02</v>
      </c>
      <c r="I47" s="138" t="str">
        <f>IFERROR(__xludf.DUMMYFUNCTION("""COMPUTED_VALUE"""),"12/02")</f>
        <v>12/02</v>
      </c>
      <c r="J47" s="138" t="str">
        <f>IFERROR(__xludf.DUMMYFUNCTION("""COMPUTED_VALUE"""),"13/02")</f>
        <v>13/02</v>
      </c>
      <c r="K47" s="138" t="str">
        <f>IFERROR(__xludf.DUMMYFUNCTION("""COMPUTED_VALUE"""),"13/02")</f>
        <v>13/02</v>
      </c>
      <c r="L47" s="138" t="str">
        <f>IFERROR(__xludf.DUMMYFUNCTION("""COMPUTED_VALUE"""),"13/02")</f>
        <v>13/02</v>
      </c>
      <c r="M47" s="138" t="str">
        <f>IFERROR(__xludf.DUMMYFUNCTION("""COMPUTED_VALUE"""),"13/02")</f>
        <v>13/02</v>
      </c>
      <c r="N47" s="138" t="str">
        <f>IFERROR(__xludf.DUMMYFUNCTION("""COMPUTED_VALUE"""),"13/02")</f>
        <v>13/02</v>
      </c>
      <c r="O47" s="138" t="str">
        <f>IFERROR(__xludf.DUMMYFUNCTION("""COMPUTED_VALUE"""),"13/02")</f>
        <v>13/02</v>
      </c>
      <c r="P47" s="138" t="str">
        <f>IFERROR(__xludf.DUMMYFUNCTION("""COMPUTED_VALUE"""),"13/02")</f>
        <v>13/02</v>
      </c>
      <c r="Q47" s="138" t="str">
        <f>IFERROR(__xludf.DUMMYFUNCTION("""COMPUTED_VALUE"""),"13/02 e 09/03")</f>
        <v>13/02 e 09/03</v>
      </c>
      <c r="R47" s="138" t="str">
        <f>IFERROR(__xludf.DUMMYFUNCTION("""COMPUTED_VALUE"""),"09/03")</f>
        <v>09/03</v>
      </c>
      <c r="S47" s="138" t="str">
        <f>IFERROR(__xludf.DUMMYFUNCTION("""COMPUTED_VALUE"""),"09/03")</f>
        <v>09/03</v>
      </c>
      <c r="T47" s="138" t="str">
        <f>IFERROR(__xludf.DUMMYFUNCTION("""COMPUTED_VALUE"""),"10/03")</f>
        <v>10/03</v>
      </c>
      <c r="U47" s="138"/>
      <c r="V47" s="138"/>
      <c r="W47" s="138"/>
      <c r="X47" s="138"/>
      <c r="Y47" s="138"/>
      <c r="Z47" s="138"/>
    </row>
    <row r="48" hidden="1">
      <c r="A48" s="138" t="str">
        <f>IFERROR(__xludf.DUMMYFUNCTION("""COMPUTED_VALUE"""),"VEE ONE")</f>
        <v>VEE ONE</v>
      </c>
      <c r="B48" s="138" t="str">
        <f>IFERROR(__xludf.DUMMYFUNCTION("""COMPUTED_VALUE"""),"BABE")</f>
        <v>BABE</v>
      </c>
      <c r="C48" s="138" t="str">
        <f>IFERROR(__xludf.DUMMYFUNCTION("""COMPUTED_VALUE"""),"324843-W020")</f>
        <v>324843-W020</v>
      </c>
      <c r="D48" s="138" t="str">
        <f>IFERROR(__xludf.DUMMYFUNCTION("""COMPUTED_VALUE"""),"HEADSET-MICROPHONE")</f>
        <v>HEADSET-MICROPHONE</v>
      </c>
      <c r="E48" s="138" t="str">
        <f>IFERROR(__xludf.DUMMYFUNCTION("""COMPUTED_VALUE"""),"073200G71030096AE")</f>
        <v>073200G71030096AE</v>
      </c>
      <c r="F48" s="138" t="str">
        <f>IFERROR(__xludf.DUMMYFUNCTION("""COMPUTED_VALUE"""),"001/2026")</f>
        <v>001/2026</v>
      </c>
      <c r="G48" s="138" t="str">
        <f>IFERROR(__xludf.DUMMYFUNCTION("""COMPUTED_VALUE"""),"14/01")</f>
        <v>14/01</v>
      </c>
      <c r="H48" s="138" t="str">
        <f>IFERROR(__xludf.DUMMYFUNCTION("""COMPUTED_VALUE"""),"09/02")</f>
        <v>09/02</v>
      </c>
      <c r="I48" s="138" t="str">
        <f>IFERROR(__xludf.DUMMYFUNCTION("""COMPUTED_VALUE"""),"12/02")</f>
        <v>12/02</v>
      </c>
      <c r="J48" s="138" t="str">
        <f>IFERROR(__xludf.DUMMYFUNCTION("""COMPUTED_VALUE"""),"13/02")</f>
        <v>13/02</v>
      </c>
      <c r="K48" s="138" t="str">
        <f>IFERROR(__xludf.DUMMYFUNCTION("""COMPUTED_VALUE"""),"13/02")</f>
        <v>13/02</v>
      </c>
      <c r="L48" s="138" t="str">
        <f>IFERROR(__xludf.DUMMYFUNCTION("""COMPUTED_VALUE"""),"13/02")</f>
        <v>13/02</v>
      </c>
      <c r="M48" s="138" t="str">
        <f>IFERROR(__xludf.DUMMYFUNCTION("""COMPUTED_VALUE"""),"13/02")</f>
        <v>13/02</v>
      </c>
      <c r="N48" s="138" t="str">
        <f>IFERROR(__xludf.DUMMYFUNCTION("""COMPUTED_VALUE"""),"13/02")</f>
        <v>13/02</v>
      </c>
      <c r="O48" s="138" t="str">
        <f>IFERROR(__xludf.DUMMYFUNCTION("""COMPUTED_VALUE"""),"13/02")</f>
        <v>13/02</v>
      </c>
      <c r="P48" s="138" t="str">
        <f>IFERROR(__xludf.DUMMYFUNCTION("""COMPUTED_VALUE"""),"13/02")</f>
        <v>13/02</v>
      </c>
      <c r="Q48" s="138" t="str">
        <f>IFERROR(__xludf.DUMMYFUNCTION("""COMPUTED_VALUE"""),"13/02 e 09/03")</f>
        <v>13/02 e 09/03</v>
      </c>
      <c r="R48" s="138" t="str">
        <f>IFERROR(__xludf.DUMMYFUNCTION("""COMPUTED_VALUE"""),"09/03")</f>
        <v>09/03</v>
      </c>
      <c r="S48" s="138" t="str">
        <f>IFERROR(__xludf.DUMMYFUNCTION("""COMPUTED_VALUE"""),"09/03")</f>
        <v>09/03</v>
      </c>
      <c r="T48" s="138" t="str">
        <f>IFERROR(__xludf.DUMMYFUNCTION("""COMPUTED_VALUE"""),"10/03")</f>
        <v>10/03</v>
      </c>
      <c r="U48" s="138"/>
      <c r="V48" s="138"/>
      <c r="W48" s="138"/>
      <c r="X48" s="138"/>
      <c r="Y48" s="138"/>
      <c r="Z48" s="138"/>
    </row>
    <row r="49" hidden="1">
      <c r="A49" s="138" t="str">
        <f>IFERROR(__xludf.DUMMYFUNCTION("""COMPUTED_VALUE"""),"VEE ONE")</f>
        <v>VEE ONE</v>
      </c>
      <c r="B49" s="138" t="str">
        <f>IFERROR(__xludf.DUMMYFUNCTION("""COMPUTED_VALUE"""),"BABR")</f>
        <v>BABR</v>
      </c>
      <c r="C49" s="138" t="str">
        <f>IFERROR(__xludf.DUMMYFUNCTION("""COMPUTED_VALUE"""),"5934PAD-3")</f>
        <v>5934PAD-3</v>
      </c>
      <c r="D49" s="138" t="str">
        <f>IFERROR(__xludf.DUMMYFUNCTION("""COMPUTED_VALUE"""),"ALTIMETER")</f>
        <v>ALTIMETER</v>
      </c>
      <c r="E49" s="138" t="str">
        <f>IFERROR(__xludf.DUMMYFUNCTION("""COMPUTED_VALUE"""),"409496")</f>
        <v>409496</v>
      </c>
      <c r="F49" s="138" t="str">
        <f>IFERROR(__xludf.DUMMYFUNCTION("""COMPUTED_VALUE"""),"004/2025")</f>
        <v>004/2025</v>
      </c>
      <c r="G49" s="138" t="str">
        <f>IFERROR(__xludf.DUMMYFUNCTION("""COMPUTED_VALUE"""),"19/11")</f>
        <v>19/11</v>
      </c>
      <c r="H49" s="138" t="str">
        <f>IFERROR(__xludf.DUMMYFUNCTION("""COMPUTED_VALUE"""),"09/03/2026")</f>
        <v>09/03/2026</v>
      </c>
      <c r="I49" s="138" t="str">
        <f>IFERROR(__xludf.DUMMYFUNCTION("""COMPUTED_VALUE"""),"09/03")</f>
        <v>09/03</v>
      </c>
      <c r="J49" s="138" t="str">
        <f>IFERROR(__xludf.DUMMYFUNCTION("""COMPUTED_VALUE"""),"10/03")</f>
        <v>10/03</v>
      </c>
      <c r="K49" s="138" t="str">
        <f>IFERROR(__xludf.DUMMYFUNCTION("""COMPUTED_VALUE"""),"10/03")</f>
        <v>10/03</v>
      </c>
      <c r="L49" s="138" t="str">
        <f>IFERROR(__xludf.DUMMYFUNCTION("""COMPUTED_VALUE"""),"10/03")</f>
        <v>10/03</v>
      </c>
      <c r="M49" s="138" t="str">
        <f>IFERROR(__xludf.DUMMYFUNCTION("""COMPUTED_VALUE"""),"11/03")</f>
        <v>11/03</v>
      </c>
      <c r="N49" s="138" t="str">
        <f>IFERROR(__xludf.DUMMYFUNCTION("""COMPUTED_VALUE"""),"11/03")</f>
        <v>11/03</v>
      </c>
      <c r="O49" s="138" t="str">
        <f>IFERROR(__xludf.DUMMYFUNCTION("""COMPUTED_VALUE"""),"11/03")</f>
        <v>11/03</v>
      </c>
      <c r="P49" s="138" t="str">
        <f>IFERROR(__xludf.DUMMYFUNCTION("""COMPUTED_VALUE"""),"11/03")</f>
        <v>11/03</v>
      </c>
      <c r="Q49" s="138" t="str">
        <f>IFERROR(__xludf.DUMMYFUNCTION("""COMPUTED_VALUE"""),"11/03")</f>
        <v>11/03</v>
      </c>
      <c r="R49" s="138" t="str">
        <f>IFERROR(__xludf.DUMMYFUNCTION("""COMPUTED_VALUE"""),"12/03")</f>
        <v>12/03</v>
      </c>
      <c r="S49" s="138" t="str">
        <f>IFERROR(__xludf.DUMMYFUNCTION("""COMPUTED_VALUE"""),"12/03")</f>
        <v>12/03</v>
      </c>
      <c r="T49" s="138" t="str">
        <f>IFERROR(__xludf.DUMMYFUNCTION("""COMPUTED_VALUE"""),"12/03")</f>
        <v>12/03</v>
      </c>
      <c r="U49" s="138"/>
      <c r="V49" s="138"/>
      <c r="W49" s="138"/>
      <c r="X49" s="138"/>
      <c r="Y49" s="138"/>
      <c r="Z49" s="138"/>
    </row>
    <row r="50" hidden="1">
      <c r="A50" s="138" t="str">
        <f>IFERROR(__xludf.DUMMYFUNCTION("""COMPUTED_VALUE"""),"VEE ONE")</f>
        <v>VEE ONE</v>
      </c>
      <c r="B50" s="138" t="str">
        <f>IFERROR(__xludf.DUMMYFUNCTION("""COMPUTED_VALUE"""),"EEAR")</f>
        <v>EEAR</v>
      </c>
      <c r="C50" s="138" t="str">
        <f>IFERROR(__xludf.DUMMYFUNCTION("""COMPUTED_VALUE"""),"3034792")</f>
        <v>3034792</v>
      </c>
      <c r="D50" s="138" t="str">
        <f>IFERROR(__xludf.DUMMYFUNCTION("""COMPUTED_VALUE"""),"BOMBA DE COMBUSTÍVEL")</f>
        <v>BOMBA DE COMBUSTÍVEL</v>
      </c>
      <c r="E50" s="138" t="str">
        <f>IFERROR(__xludf.DUMMYFUNCTION("""COMPUTED_VALUE"""),"004201")</f>
        <v>004201</v>
      </c>
      <c r="F50" s="138" t="str">
        <f>IFERROR(__xludf.DUMMYFUNCTION("""COMPUTED_VALUE"""),"*")</f>
        <v>*</v>
      </c>
      <c r="G50" s="138" t="str">
        <f>IFERROR(__xludf.DUMMYFUNCTION("""COMPUTED_VALUE"""),"12/03/2026")</f>
        <v>12/03/2026</v>
      </c>
      <c r="H50" s="138" t="str">
        <f>IFERROR(__xludf.DUMMYFUNCTION("""COMPUTED_VALUE"""),"17/03")</f>
        <v>17/03</v>
      </c>
      <c r="I50" s="138" t="str">
        <f>IFERROR(__xludf.DUMMYFUNCTION("""COMPUTED_VALUE"""),"*")</f>
        <v>*</v>
      </c>
      <c r="J50" s="138" t="str">
        <f>IFERROR(__xludf.DUMMYFUNCTION("""COMPUTED_VALUE"""),"17/03")</f>
        <v>17/03</v>
      </c>
      <c r="K50" s="138" t="str">
        <f>IFERROR(__xludf.DUMMYFUNCTION("""COMPUTED_VALUE"""),"17/03")</f>
        <v>17/03</v>
      </c>
      <c r="L50" s="138" t="str">
        <f>IFERROR(__xludf.DUMMYFUNCTION("""COMPUTED_VALUE"""),"17/03")</f>
        <v>17/03</v>
      </c>
      <c r="M50" s="138" t="str">
        <f>IFERROR(__xludf.DUMMYFUNCTION("""COMPUTED_VALUE"""),"17/03")</f>
        <v>17/03</v>
      </c>
      <c r="N50" s="138" t="str">
        <f>IFERROR(__xludf.DUMMYFUNCTION("""COMPUTED_VALUE"""),"17/03")</f>
        <v>17/03</v>
      </c>
      <c r="O50" s="138" t="str">
        <f>IFERROR(__xludf.DUMMYFUNCTION("""COMPUTED_VALUE"""),"17/03")</f>
        <v>17/03</v>
      </c>
      <c r="P50" s="138" t="str">
        <f>IFERROR(__xludf.DUMMYFUNCTION("""COMPUTED_VALUE"""),"24/03")</f>
        <v>24/03</v>
      </c>
      <c r="Q50" s="138" t="str">
        <f>IFERROR(__xludf.DUMMYFUNCTION("""COMPUTED_VALUE"""),"24/03")</f>
        <v>24/03</v>
      </c>
      <c r="R50" s="138" t="str">
        <f>IFERROR(__xludf.DUMMYFUNCTION("""COMPUTED_VALUE"""),"24/03")</f>
        <v>24/03</v>
      </c>
      <c r="S50" s="138" t="str">
        <f>IFERROR(__xludf.DUMMYFUNCTION("""COMPUTED_VALUE"""),"24/03")</f>
        <v>24/03</v>
      </c>
      <c r="T50" s="138" t="str">
        <f>IFERROR(__xludf.DUMMYFUNCTION("""COMPUTED_VALUE"""),"24/03")</f>
        <v>24/03</v>
      </c>
      <c r="U50" s="138"/>
      <c r="V50" s="138"/>
      <c r="W50" s="138"/>
      <c r="X50" s="138"/>
      <c r="Y50" s="138"/>
      <c r="Z50" s="138"/>
    </row>
    <row r="51" hidden="1">
      <c r="A51" s="138" t="str">
        <f>IFERROR(__xludf.DUMMYFUNCTION("""COMPUTED_VALUE"""),"VEE ONE")</f>
        <v>VEE ONE</v>
      </c>
      <c r="B51" s="138" t="str">
        <f>IFERROR(__xludf.DUMMYFUNCTION("""COMPUTED_VALUE"""),"BABR")</f>
        <v>BABR</v>
      </c>
      <c r="C51" s="138" t="str">
        <f>IFERROR(__xludf.DUMMYFUNCTION("""COMPUTED_VALUE"""),"2606013-1RX")</f>
        <v>2606013-1RX</v>
      </c>
      <c r="D51" s="138" t="str">
        <f>IFERROR(__xludf.DUMMYFUNCTION("""COMPUTED_VALUE"""),"INDICATOR-PERCENT RPM")</f>
        <v>INDICATOR-PERCENT RPM</v>
      </c>
      <c r="E51" s="138" t="str">
        <f>IFERROR(__xludf.DUMMYFUNCTION("""COMPUTED_VALUE"""),"857939")</f>
        <v>857939</v>
      </c>
      <c r="F51" s="138" t="str">
        <f>IFERROR(__xludf.DUMMYFUNCTION("""COMPUTED_VALUE"""),"011/2026")</f>
        <v>011/2026</v>
      </c>
      <c r="G51" s="138" t="str">
        <f>IFERROR(__xludf.DUMMYFUNCTION("""COMPUTED_VALUE"""),"19/02")</f>
        <v>19/02</v>
      </c>
      <c r="H51" s="138" t="str">
        <f>IFERROR(__xludf.DUMMYFUNCTION("""COMPUTED_VALUE"""),"19/02")</f>
        <v>19/02</v>
      </c>
      <c r="I51" s="138" t="str">
        <f>IFERROR(__xludf.DUMMYFUNCTION("""COMPUTED_VALUE"""),"20/02")</f>
        <v>20/02</v>
      </c>
      <c r="J51" s="138" t="str">
        <f>IFERROR(__xludf.DUMMYFUNCTION("""COMPUTED_VALUE"""),"26/02")</f>
        <v>26/02</v>
      </c>
      <c r="K51" s="138" t="str">
        <f>IFERROR(__xludf.DUMMYFUNCTION("""COMPUTED_VALUE"""),"27/02")</f>
        <v>27/02</v>
      </c>
      <c r="L51" s="138" t="str">
        <f>IFERROR(__xludf.DUMMYFUNCTION("""COMPUTED_VALUE"""),"02/03 e 26/03")</f>
        <v>02/03 e 26/03</v>
      </c>
      <c r="M51" s="138" t="str">
        <f>IFERROR(__xludf.DUMMYFUNCTION("""COMPUTED_VALUE"""),"26/03")</f>
        <v>26/03</v>
      </c>
      <c r="N51" s="138" t="str">
        <f>IFERROR(__xludf.DUMMYFUNCTION("""COMPUTED_VALUE"""),"26/03")</f>
        <v>26/03</v>
      </c>
      <c r="O51" s="138" t="str">
        <f>IFERROR(__xludf.DUMMYFUNCTION("""COMPUTED_VALUE"""),"26/03")</f>
        <v>26/03</v>
      </c>
      <c r="P51" s="138" t="str">
        <f>IFERROR(__xludf.DUMMYFUNCTION("""COMPUTED_VALUE"""),"26/03")</f>
        <v>26/03</v>
      </c>
      <c r="Q51" s="138" t="str">
        <f>IFERROR(__xludf.DUMMYFUNCTION("""COMPUTED_VALUE"""),"26/03")</f>
        <v>26/03</v>
      </c>
      <c r="R51" s="138" t="str">
        <f>IFERROR(__xludf.DUMMYFUNCTION("""COMPUTED_VALUE"""),"26/03")</f>
        <v>26/03</v>
      </c>
      <c r="S51" s="138" t="str">
        <f>IFERROR(__xludf.DUMMYFUNCTION("""COMPUTED_VALUE"""),"26/03")</f>
        <v>26/03</v>
      </c>
      <c r="T51" s="138" t="str">
        <f>IFERROR(__xludf.DUMMYFUNCTION("""COMPUTED_VALUE"""),"30/03")</f>
        <v>30/03</v>
      </c>
      <c r="U51" s="138"/>
      <c r="V51" s="138"/>
      <c r="W51" s="138"/>
      <c r="X51" s="138"/>
      <c r="Y51" s="138"/>
      <c r="Z51" s="138"/>
    </row>
    <row r="52" hidden="1">
      <c r="A52" s="138" t="str">
        <f>IFERROR(__xludf.DUMMYFUNCTION("""COMPUTED_VALUE"""),"VEE ONE")</f>
        <v>VEE ONE</v>
      </c>
      <c r="B52" s="138" t="str">
        <f>IFERROR(__xludf.DUMMYFUNCTION("""COMPUTED_VALUE"""),"BABR")</f>
        <v>BABR</v>
      </c>
      <c r="C52" s="138" t="str">
        <f>IFERROR(__xludf.DUMMYFUNCTION("""COMPUTED_VALUE"""),"3034792")</f>
        <v>3034792</v>
      </c>
      <c r="D52" s="138" t="str">
        <f>IFERROR(__xludf.DUMMYFUNCTION("""COMPUTED_VALUE"""),"BOMBA DE COMBUSTÍVEL")</f>
        <v>BOMBA DE COMBUSTÍVEL</v>
      </c>
      <c r="E52" s="138" t="str">
        <f>IFERROR(__xludf.DUMMYFUNCTION("""COMPUTED_VALUE"""),"004207")</f>
        <v>004207</v>
      </c>
      <c r="F52" s="138" t="str">
        <f>IFERROR(__xludf.DUMMYFUNCTION("""COMPUTED_VALUE"""),"013/2026")</f>
        <v>013/2026</v>
      </c>
      <c r="G52" s="138" t="str">
        <f>IFERROR(__xludf.DUMMYFUNCTION("""COMPUTED_VALUE"""),"20/03")</f>
        <v>20/03</v>
      </c>
      <c r="H52" s="138" t="str">
        <f>IFERROR(__xludf.DUMMYFUNCTION("""COMPUTED_VALUE"""),"24/03")</f>
        <v>24/03</v>
      </c>
      <c r="I52" s="138" t="str">
        <f>IFERROR(__xludf.DUMMYFUNCTION("""COMPUTED_VALUE"""),"24/03")</f>
        <v>24/03</v>
      </c>
      <c r="J52" s="138" t="str">
        <f>IFERROR(__xludf.DUMMYFUNCTION("""COMPUTED_VALUE"""),"24/03")</f>
        <v>24/03</v>
      </c>
      <c r="K52" s="138" t="str">
        <f>IFERROR(__xludf.DUMMYFUNCTION("""COMPUTED_VALUE"""),"24/03")</f>
        <v>24/03</v>
      </c>
      <c r="L52" s="138" t="str">
        <f>IFERROR(__xludf.DUMMYFUNCTION("""COMPUTED_VALUE"""),"24/03")</f>
        <v>24/03</v>
      </c>
      <c r="M52" s="138" t="str">
        <f>IFERROR(__xludf.DUMMYFUNCTION("""COMPUTED_VALUE"""),"24/03")</f>
        <v>24/03</v>
      </c>
      <c r="N52" s="138" t="str">
        <f>IFERROR(__xludf.DUMMYFUNCTION("""COMPUTED_VALUE"""),"24/03")</f>
        <v>24/03</v>
      </c>
      <c r="O52" s="138" t="str">
        <f>IFERROR(__xludf.DUMMYFUNCTION("""COMPUTED_VALUE"""),"24/03")</f>
        <v>24/03</v>
      </c>
      <c r="P52" s="138" t="str">
        <f>IFERROR(__xludf.DUMMYFUNCTION("""COMPUTED_VALUE"""),"26/03")</f>
        <v>26/03</v>
      </c>
      <c r="Q52" s="138" t="str">
        <f>IFERROR(__xludf.DUMMYFUNCTION("""COMPUTED_VALUE"""),"26/03")</f>
        <v>26/03</v>
      </c>
      <c r="R52" s="138" t="str">
        <f>IFERROR(__xludf.DUMMYFUNCTION("""COMPUTED_VALUE"""),"26/03")</f>
        <v>26/03</v>
      </c>
      <c r="S52" s="138" t="str">
        <f>IFERROR(__xludf.DUMMYFUNCTION("""COMPUTED_VALUE"""),"26/03")</f>
        <v>26/03</v>
      </c>
      <c r="T52" s="138" t="str">
        <f>IFERROR(__xludf.DUMMYFUNCTION("""COMPUTED_VALUE"""),"30/03")</f>
        <v>30/03</v>
      </c>
      <c r="U52" s="138"/>
      <c r="V52" s="138"/>
      <c r="W52" s="138"/>
      <c r="X52" s="138"/>
      <c r="Y52" s="138"/>
      <c r="Z52" s="138"/>
    </row>
    <row r="53" hidden="1">
      <c r="A53" s="138" t="str">
        <f>IFERROR(__xludf.DUMMYFUNCTION("""COMPUTED_VALUE"""),"VEE ONE")</f>
        <v>VEE ONE</v>
      </c>
      <c r="B53" s="138" t="str">
        <f>IFERROR(__xludf.DUMMYFUNCTION("""COMPUTED_VALUE"""),"BACG")</f>
        <v>BACG</v>
      </c>
      <c r="C53" s="138" t="str">
        <f>IFERROR(__xludf.DUMMYFUNCTION("""COMPUTED_VALUE"""),"162-10700")</f>
        <v>162-10700</v>
      </c>
      <c r="D53" s="138" t="str">
        <f>IFERROR(__xludf.DUMMYFUNCTION("""COMPUTED_VALUE"""),"WHEEL HALF ASSY")</f>
        <v>WHEEL HALF ASSY</v>
      </c>
      <c r="E53" s="138" t="str">
        <f>IFERROR(__xludf.DUMMYFUNCTION("""COMPUTED_VALUE"""),"15")</f>
        <v>15</v>
      </c>
      <c r="F53" s="138" t="str">
        <f>IFERROR(__xludf.DUMMYFUNCTION("""COMPUTED_VALUE"""),"009/2025")</f>
        <v>009/2025</v>
      </c>
      <c r="G53" s="138" t="str">
        <f>IFERROR(__xludf.DUMMYFUNCTION("""COMPUTED_VALUE"""),"22/10")</f>
        <v>22/10</v>
      </c>
      <c r="H53" s="138" t="str">
        <f>IFERROR(__xludf.DUMMYFUNCTION("""COMPUTED_VALUE"""),"24/10")</f>
        <v>24/10</v>
      </c>
      <c r="I53" s="138" t="str">
        <f>IFERROR(__xludf.DUMMYFUNCTION("""COMPUTED_VALUE"""),"29/10")</f>
        <v>29/10</v>
      </c>
      <c r="J53" s="138" t="str">
        <f>IFERROR(__xludf.DUMMYFUNCTION("""COMPUTED_VALUE"""),"26/02")</f>
        <v>26/02</v>
      </c>
      <c r="K53" s="138" t="str">
        <f>IFERROR(__xludf.DUMMYFUNCTION("""COMPUTED_VALUE"""),"02/03")</f>
        <v>02/03</v>
      </c>
      <c r="L53" s="138" t="str">
        <f>IFERROR(__xludf.DUMMYFUNCTION("""COMPUTED_VALUE"""),"02/03 e 26/03")</f>
        <v>02/03 e 26/03</v>
      </c>
      <c r="M53" s="138" t="str">
        <f>IFERROR(__xludf.DUMMYFUNCTION("""COMPUTED_VALUE"""),"26/03")</f>
        <v>26/03</v>
      </c>
      <c r="N53" s="138" t="str">
        <f>IFERROR(__xludf.DUMMYFUNCTION("""COMPUTED_VALUE"""),"26/03")</f>
        <v>26/03</v>
      </c>
      <c r="O53" s="138" t="str">
        <f>IFERROR(__xludf.DUMMYFUNCTION("""COMPUTED_VALUE"""),"26/03")</f>
        <v>26/03</v>
      </c>
      <c r="P53" s="138" t="str">
        <f>IFERROR(__xludf.DUMMYFUNCTION("""COMPUTED_VALUE"""),"26/03")</f>
        <v>26/03</v>
      </c>
      <c r="Q53" s="138" t="str">
        <f>IFERROR(__xludf.DUMMYFUNCTION("""COMPUTED_VALUE"""),"26/03")</f>
        <v>26/03</v>
      </c>
      <c r="R53" s="138" t="str">
        <f>IFERROR(__xludf.DUMMYFUNCTION("""COMPUTED_VALUE"""),"26/03")</f>
        <v>26/03</v>
      </c>
      <c r="S53" s="138" t="str">
        <f>IFERROR(__xludf.DUMMYFUNCTION("""COMPUTED_VALUE"""),"26/03 e 07/04")</f>
        <v>26/03 e 07/04</v>
      </c>
      <c r="T53" s="138" t="str">
        <f>IFERROR(__xludf.DUMMYFUNCTION("""COMPUTED_VALUE"""),"08/04")</f>
        <v>08/04</v>
      </c>
      <c r="U53" s="138" t="str">
        <f>IFERROR(__xludf.DUMMYFUNCTION("""COMPUTED_VALUE"""),"Agd certificado corrigido da Vee One")</f>
        <v>Agd certificado corrigido da Vee One</v>
      </c>
      <c r="V53" s="138"/>
      <c r="W53" s="138"/>
      <c r="X53" s="138"/>
      <c r="Y53" s="138"/>
      <c r="Z53" s="138"/>
    </row>
    <row r="54" hidden="1">
      <c r="A54" s="138" t="str">
        <f>IFERROR(__xludf.DUMMYFUNCTION("""COMPUTED_VALUE"""),"VEE ONE")</f>
        <v>VEE ONE</v>
      </c>
      <c r="B54" s="138" t="str">
        <f>IFERROR(__xludf.DUMMYFUNCTION("""COMPUTED_VALUE"""),"BACG")</f>
        <v>BACG</v>
      </c>
      <c r="C54" s="138" t="str">
        <f>IFERROR(__xludf.DUMMYFUNCTION("""COMPUTED_VALUE"""),"161-11700")</f>
        <v>161-11700</v>
      </c>
      <c r="D54" s="138" t="str">
        <f>IFERROR(__xludf.DUMMYFUNCTION("""COMPUTED_VALUE"""),"WHEEL HALF ASSY")</f>
        <v>WHEEL HALF ASSY</v>
      </c>
      <c r="E54" s="138" t="str">
        <f>IFERROR(__xludf.DUMMYFUNCTION("""COMPUTED_VALUE"""),"783")</f>
        <v>783</v>
      </c>
      <c r="F54" s="138" t="str">
        <f>IFERROR(__xludf.DUMMYFUNCTION("""COMPUTED_VALUE"""),"009/2025")</f>
        <v>009/2025</v>
      </c>
      <c r="G54" s="138" t="str">
        <f>IFERROR(__xludf.DUMMYFUNCTION("""COMPUTED_VALUE"""),"22/10")</f>
        <v>22/10</v>
      </c>
      <c r="H54" s="138" t="str">
        <f>IFERROR(__xludf.DUMMYFUNCTION("""COMPUTED_VALUE"""),"24/10")</f>
        <v>24/10</v>
      </c>
      <c r="I54" s="138" t="str">
        <f>IFERROR(__xludf.DUMMYFUNCTION("""COMPUTED_VALUE"""),"29/10")</f>
        <v>29/10</v>
      </c>
      <c r="J54" s="138" t="str">
        <f>IFERROR(__xludf.DUMMYFUNCTION("""COMPUTED_VALUE"""),"26/02")</f>
        <v>26/02</v>
      </c>
      <c r="K54" s="138" t="str">
        <f>IFERROR(__xludf.DUMMYFUNCTION("""COMPUTED_VALUE"""),"27/02")</f>
        <v>27/02</v>
      </c>
      <c r="L54" s="138" t="str">
        <f>IFERROR(__xludf.DUMMYFUNCTION("""COMPUTED_VALUE"""),"26/03")</f>
        <v>26/03</v>
      </c>
      <c r="M54" s="138" t="str">
        <f>IFERROR(__xludf.DUMMYFUNCTION("""COMPUTED_VALUE"""),"26/03")</f>
        <v>26/03</v>
      </c>
      <c r="N54" s="138" t="str">
        <f>IFERROR(__xludf.DUMMYFUNCTION("""COMPUTED_VALUE"""),"26/03")</f>
        <v>26/03</v>
      </c>
      <c r="O54" s="138" t="str">
        <f>IFERROR(__xludf.DUMMYFUNCTION("""COMPUTED_VALUE"""),"26/03")</f>
        <v>26/03</v>
      </c>
      <c r="P54" s="138" t="str">
        <f>IFERROR(__xludf.DUMMYFUNCTION("""COMPUTED_VALUE"""),"26/03")</f>
        <v>26/03</v>
      </c>
      <c r="Q54" s="138" t="str">
        <f>IFERROR(__xludf.DUMMYFUNCTION("""COMPUTED_VALUE"""),"26/03")</f>
        <v>26/03</v>
      </c>
      <c r="R54" s="138" t="str">
        <f>IFERROR(__xludf.DUMMYFUNCTION("""COMPUTED_VALUE"""),"26/03")</f>
        <v>26/03</v>
      </c>
      <c r="S54" s="138" t="str">
        <f>IFERROR(__xludf.DUMMYFUNCTION("""COMPUTED_VALUE"""),"26/03 e 07/04")</f>
        <v>26/03 e 07/04</v>
      </c>
      <c r="T54" s="138" t="str">
        <f>IFERROR(__xludf.DUMMYFUNCTION("""COMPUTED_VALUE"""),"08/04")</f>
        <v>08/04</v>
      </c>
      <c r="U54" s="138"/>
      <c r="V54" s="138"/>
      <c r="W54" s="138"/>
      <c r="X54" s="138"/>
      <c r="Y54" s="138"/>
      <c r="Z54" s="138"/>
    </row>
    <row r="55" hidden="1">
      <c r="A55" s="138" t="str">
        <f>IFERROR(__xludf.DUMMYFUNCTION("""COMPUTED_VALUE"""),"VEE ONE")</f>
        <v>VEE ONE</v>
      </c>
      <c r="B55" s="138" t="str">
        <f>IFERROR(__xludf.DUMMYFUNCTION("""COMPUTED_VALUE"""),"BACG")</f>
        <v>BACG</v>
      </c>
      <c r="C55" s="138" t="str">
        <f>IFERROR(__xludf.DUMMYFUNCTION("""COMPUTED_VALUE"""),"066-1070-01")</f>
        <v>066-1070-01</v>
      </c>
      <c r="D55" s="138" t="str">
        <f>IFERROR(__xludf.DUMMYFUNCTION("""COMPUTED_VALUE"""),"TRANSCEIVER DME (KN63)")</f>
        <v>TRANSCEIVER DME (KN63)</v>
      </c>
      <c r="E55" s="138" t="str">
        <f>IFERROR(__xludf.DUMMYFUNCTION("""COMPUTED_VALUE"""),"15285")</f>
        <v>15285</v>
      </c>
      <c r="F55" s="138" t="str">
        <f>IFERROR(__xludf.DUMMYFUNCTION("""COMPUTED_VALUE"""),"011/2025")</f>
        <v>011/2025</v>
      </c>
      <c r="G55" s="138" t="str">
        <f>IFERROR(__xludf.DUMMYFUNCTION("""COMPUTED_VALUE"""),"07/11")</f>
        <v>07/11</v>
      </c>
      <c r="H55" s="138" t="str">
        <f>IFERROR(__xludf.DUMMYFUNCTION("""COMPUTED_VALUE"""),"11/11")</f>
        <v>11/11</v>
      </c>
      <c r="I55" s="138" t="str">
        <f>IFERROR(__xludf.DUMMYFUNCTION("""COMPUTED_VALUE"""),"11/11")</f>
        <v>11/11</v>
      </c>
      <c r="J55" s="138" t="str">
        <f>IFERROR(__xludf.DUMMYFUNCTION("""COMPUTED_VALUE"""),"13/11")</f>
        <v>13/11</v>
      </c>
      <c r="K55" s="138" t="str">
        <f>IFERROR(__xludf.DUMMYFUNCTION("""COMPUTED_VALUE"""),"17/11")</f>
        <v>17/11</v>
      </c>
      <c r="L55" s="138" t="str">
        <f>IFERROR(__xludf.DUMMYFUNCTION("""COMPUTED_VALUE"""),"17/11 e 27/01")</f>
        <v>17/11 e 27/01</v>
      </c>
      <c r="M55" s="138" t="str">
        <f>IFERROR(__xludf.DUMMYFUNCTION("""COMPUTED_VALUE"""),"27/01")</f>
        <v>27/01</v>
      </c>
      <c r="N55" s="138" t="str">
        <f>IFERROR(__xludf.DUMMYFUNCTION("""COMPUTED_VALUE"""),"27/01")</f>
        <v>27/01</v>
      </c>
      <c r="O55" s="138" t="str">
        <f>IFERROR(__xludf.DUMMYFUNCTION("""COMPUTED_VALUE"""),"27/01")</f>
        <v>27/01</v>
      </c>
      <c r="P55" s="138" t="str">
        <f>IFERROR(__xludf.DUMMYFUNCTION("""COMPUTED_VALUE"""),"27/01")</f>
        <v>27/01</v>
      </c>
      <c r="Q55" s="138" t="str">
        <f>IFERROR(__xludf.DUMMYFUNCTION("""COMPUTED_VALUE"""),"27/01")</f>
        <v>27/01</v>
      </c>
      <c r="R55" s="138" t="str">
        <f>IFERROR(__xludf.DUMMYFUNCTION("""COMPUTED_VALUE"""),"29/01")</f>
        <v>29/01</v>
      </c>
      <c r="S55" s="138" t="str">
        <f>IFERROR(__xludf.DUMMYFUNCTION("""COMPUTED_VALUE"""),"29/01 e 07/04")</f>
        <v>29/01 e 07/04</v>
      </c>
      <c r="T55" s="138" t="str">
        <f>IFERROR(__xludf.DUMMYFUNCTION("""COMPUTED_VALUE"""),"10/04")</f>
        <v>10/04</v>
      </c>
      <c r="U55" s="138" t="str">
        <f>IFERROR(__xludf.DUMMYFUNCTION("""COMPUTED_VALUE"""),"FH não é mais necessária")</f>
        <v>FH não é mais necessária</v>
      </c>
      <c r="V55" s="138"/>
      <c r="W55" s="138"/>
      <c r="X55" s="138"/>
      <c r="Y55" s="138"/>
      <c r="Z55" s="138"/>
    </row>
    <row r="56">
      <c r="A56" s="138" t="str">
        <f>IFERROR(__xludf.DUMMYFUNCTION("""COMPUTED_VALUE"""),"VEE ONE")</f>
        <v>VEE ONE</v>
      </c>
      <c r="B56" s="138" t="str">
        <f>IFERROR(__xludf.DUMMYFUNCTION("""COMPUTED_VALUE"""),"BANT")</f>
        <v>BANT</v>
      </c>
      <c r="C56" s="138" t="str">
        <f>IFERROR(__xludf.DUMMYFUNCTION("""COMPUTED_VALUE"""),"30994-001")</f>
        <v>30994-001</v>
      </c>
      <c r="D56" s="138" t="str">
        <f>IFERROR(__xludf.DUMMYFUNCTION("""COMPUTED_VALUE""")," BATTERY-MARATHON TSP410 NICAD")</f>
        <v> BATTERY-MARATHON TSP410 NICAD</v>
      </c>
      <c r="E56" s="138" t="str">
        <f>IFERROR(__xludf.DUMMYFUNCTION("""COMPUTED_VALUE"""),"9902509")</f>
        <v>9902509</v>
      </c>
      <c r="F56" s="138" t="str">
        <f>IFERROR(__xludf.DUMMYFUNCTION("""COMPUTED_VALUE"""),"032/2025")</f>
        <v>032/2025</v>
      </c>
      <c r="G56" s="138" t="str">
        <f>IFERROR(__xludf.DUMMYFUNCTION("""COMPUTED_VALUE"""),"24/10")</f>
        <v>24/10</v>
      </c>
      <c r="H56" s="138" t="str">
        <f>IFERROR(__xludf.DUMMYFUNCTION("""COMPUTED_VALUE"""),"30/01/2026")</f>
        <v>30/01/2026</v>
      </c>
      <c r="I56" s="138" t="str">
        <f>IFERROR(__xludf.DUMMYFUNCTION("""COMPUTED_VALUE"""),"24/03")</f>
        <v>24/03</v>
      </c>
      <c r="J56" s="138" t="str">
        <f>IFERROR(__xludf.DUMMYFUNCTION("""COMPUTED_VALUE"""),"24/03")</f>
        <v>24/03</v>
      </c>
      <c r="K56" s="138" t="str">
        <f>IFERROR(__xludf.DUMMYFUNCTION("""COMPUTED_VALUE"""),"24/03")</f>
        <v>24/03</v>
      </c>
      <c r="L56" s="138" t="str">
        <f>IFERROR(__xludf.DUMMYFUNCTION("""COMPUTED_VALUE"""),"24/03")</f>
        <v>24/03</v>
      </c>
      <c r="M56" s="138" t="str">
        <f>IFERROR(__xludf.DUMMYFUNCTION("""COMPUTED_VALUE"""),"24/03")</f>
        <v>24/03</v>
      </c>
      <c r="N56" s="138" t="str">
        <f>IFERROR(__xludf.DUMMYFUNCTION("""COMPUTED_VALUE"""),"24/03")</f>
        <v>24/03</v>
      </c>
      <c r="O56" s="138" t="str">
        <f>IFERROR(__xludf.DUMMYFUNCTION("""COMPUTED_VALUE"""),"24/03")</f>
        <v>24/03</v>
      </c>
      <c r="P56" s="138" t="str">
        <f>IFERROR(__xludf.DUMMYFUNCTION("""COMPUTED_VALUE"""),"26/03")</f>
        <v>26/03</v>
      </c>
      <c r="Q56" s="138" t="str">
        <f>IFERROR(__xludf.DUMMYFUNCTION("""COMPUTED_VALUE"""),"26/03")</f>
        <v>26/03</v>
      </c>
      <c r="R56" s="138" t="str">
        <f>IFERROR(__xludf.DUMMYFUNCTION("""COMPUTED_VALUE"""),"26/03")</f>
        <v>26/03</v>
      </c>
      <c r="S56" s="138" t="str">
        <f>IFERROR(__xludf.DUMMYFUNCTION("""COMPUTED_VALUE"""),"26/03")</f>
        <v>26/03</v>
      </c>
      <c r="T56" s="138" t="str">
        <f>IFERROR(__xludf.DUMMYFUNCTION("""COMPUTED_VALUE"""),"22/04")</f>
        <v>22/04</v>
      </c>
      <c r="U56" s="138"/>
      <c r="V56" s="138"/>
      <c r="W56" s="138"/>
      <c r="X56" s="138"/>
      <c r="Y56" s="138"/>
      <c r="Z56" s="138"/>
    </row>
    <row r="57">
      <c r="A57" s="138" t="str">
        <f>IFERROR(__xludf.DUMMYFUNCTION("""COMPUTED_VALUE"""),"VEE ONE")</f>
        <v>VEE ONE</v>
      </c>
      <c r="B57" s="138" t="str">
        <f>IFERROR(__xludf.DUMMYFUNCTION("""COMPUTED_VALUE"""),"BANT")</f>
        <v>BANT</v>
      </c>
      <c r="C57" s="138" t="str">
        <f>IFERROR(__xludf.DUMMYFUNCTION("""COMPUTED_VALUE"""),"161-12800")</f>
        <v>161-12800</v>
      </c>
      <c r="D57" s="138" t="str">
        <f>IFERROR(__xludf.DUMMYFUNCTION("""COMPUTED_VALUE"""),"WHEEL HALF ASSY")</f>
        <v>WHEEL HALF ASSY</v>
      </c>
      <c r="E57" s="138" t="str">
        <f>IFERROR(__xludf.DUMMYFUNCTION("""COMPUTED_VALUE"""),"291")</f>
        <v>291</v>
      </c>
      <c r="F57" s="138" t="str">
        <f>IFERROR(__xludf.DUMMYFUNCTION("""COMPUTED_VALUE"""),"036/2025")</f>
        <v>036/2025</v>
      </c>
      <c r="G57" s="138" t="str">
        <f>IFERROR(__xludf.DUMMYFUNCTION("""COMPUTED_VALUE"""),"04/12")</f>
        <v>04/12</v>
      </c>
      <c r="H57" s="138" t="str">
        <f>IFERROR(__xludf.DUMMYFUNCTION("""COMPUTED_VALUE"""),"02/02/2026")</f>
        <v>02/02/2026</v>
      </c>
      <c r="I57" s="138" t="str">
        <f>IFERROR(__xludf.DUMMYFUNCTION("""COMPUTED_VALUE"""),"24/03")</f>
        <v>24/03</v>
      </c>
      <c r="J57" s="138" t="str">
        <f>IFERROR(__xludf.DUMMYFUNCTION("""COMPUTED_VALUE"""),"24/03")</f>
        <v>24/03</v>
      </c>
      <c r="K57" s="138" t="str">
        <f>IFERROR(__xludf.DUMMYFUNCTION("""COMPUTED_VALUE"""),"24/03")</f>
        <v>24/03</v>
      </c>
      <c r="L57" s="138" t="str">
        <f>IFERROR(__xludf.DUMMYFUNCTION("""COMPUTED_VALUE"""),"24/03")</f>
        <v>24/03</v>
      </c>
      <c r="M57" s="138" t="str">
        <f>IFERROR(__xludf.DUMMYFUNCTION("""COMPUTED_VALUE"""),"24/03")</f>
        <v>24/03</v>
      </c>
      <c r="N57" s="138" t="str">
        <f>IFERROR(__xludf.DUMMYFUNCTION("""COMPUTED_VALUE"""),"24/03")</f>
        <v>24/03</v>
      </c>
      <c r="O57" s="138" t="str">
        <f>IFERROR(__xludf.DUMMYFUNCTION("""COMPUTED_VALUE"""),"24/03")</f>
        <v>24/03</v>
      </c>
      <c r="P57" s="138" t="str">
        <f>IFERROR(__xludf.DUMMYFUNCTION("""COMPUTED_VALUE"""),"26/03")</f>
        <v>26/03</v>
      </c>
      <c r="Q57" s="138" t="str">
        <f>IFERROR(__xludf.DUMMYFUNCTION("""COMPUTED_VALUE"""),"26/03")</f>
        <v>26/03</v>
      </c>
      <c r="R57" s="138" t="str">
        <f>IFERROR(__xludf.DUMMYFUNCTION("""COMPUTED_VALUE"""),"26/03")</f>
        <v>26/03</v>
      </c>
      <c r="S57" s="138" t="str">
        <f>IFERROR(__xludf.DUMMYFUNCTION("""COMPUTED_VALUE"""),"26/03")</f>
        <v>26/03</v>
      </c>
      <c r="T57" s="138" t="str">
        <f>IFERROR(__xludf.DUMMYFUNCTION("""COMPUTED_VALUE"""),"14/04")</f>
        <v>14/04</v>
      </c>
      <c r="U57" s="138"/>
      <c r="V57" s="138"/>
      <c r="W57" s="138"/>
      <c r="X57" s="138"/>
      <c r="Y57" s="138"/>
      <c r="Z57" s="138"/>
    </row>
    <row r="58">
      <c r="A58" s="138" t="str">
        <f>IFERROR(__xludf.DUMMYFUNCTION("""COMPUTED_VALUE"""),"VEE ONE")</f>
        <v>VEE ONE</v>
      </c>
      <c r="B58" s="138" t="str">
        <f>IFERROR(__xludf.DUMMYFUNCTION("""COMPUTED_VALUE"""),"BANT")</f>
        <v>BANT</v>
      </c>
      <c r="C58" s="138" t="str">
        <f>IFERROR(__xludf.DUMMYFUNCTION("""COMPUTED_VALUE"""),"030-18200")</f>
        <v>030-18200</v>
      </c>
      <c r="D58" s="138" t="str">
        <f>IFERROR(__xludf.DUMMYFUNCTION("""COMPUTED_VALUE"""),"CONJUNTO DE FREIO")</f>
        <v>CONJUNTO DE FREIO</v>
      </c>
      <c r="E58" s="138" t="str">
        <f>IFERROR(__xludf.DUMMYFUNCTION("""COMPUTED_VALUE"""),"122")</f>
        <v>122</v>
      </c>
      <c r="F58" s="138" t="str">
        <f>IFERROR(__xludf.DUMMYFUNCTION("""COMPUTED_VALUE"""),"005/2025")</f>
        <v>005/2025</v>
      </c>
      <c r="G58" s="138" t="str">
        <f>IFERROR(__xludf.DUMMYFUNCTION("""COMPUTED_VALUE"""),"28/05/2025")</f>
        <v>28/05/2025</v>
      </c>
      <c r="H58" s="138" t="str">
        <f>IFERROR(__xludf.DUMMYFUNCTION("""COMPUTED_VALUE"""),"30/01/2026")</f>
        <v>30/01/2026</v>
      </c>
      <c r="I58" s="138" t="str">
        <f>IFERROR(__xludf.DUMMYFUNCTION("""COMPUTED_VALUE"""),"30/01")</f>
        <v>30/01</v>
      </c>
      <c r="J58" s="138" t="str">
        <f>IFERROR(__xludf.DUMMYFUNCTION("""COMPUTED_VALUE"""),"31/03")</f>
        <v>31/03</v>
      </c>
      <c r="K58" s="138" t="str">
        <f>IFERROR(__xludf.DUMMYFUNCTION("""COMPUTED_VALUE"""),"31/03")</f>
        <v>31/03</v>
      </c>
      <c r="L58" s="138" t="str">
        <f>IFERROR(__xludf.DUMMYFUNCTION("""COMPUTED_VALUE"""),"31/03")</f>
        <v>31/03</v>
      </c>
      <c r="M58" s="138" t="str">
        <f>IFERROR(__xludf.DUMMYFUNCTION("""COMPUTED_VALUE"""),"31/03")</f>
        <v>31/03</v>
      </c>
      <c r="N58" s="138" t="str">
        <f>IFERROR(__xludf.DUMMYFUNCTION("""COMPUTED_VALUE"""),"31/03")</f>
        <v>31/03</v>
      </c>
      <c r="O58" s="138" t="str">
        <f>IFERROR(__xludf.DUMMYFUNCTION("""COMPUTED_VALUE"""),"31/03")</f>
        <v>31/03</v>
      </c>
      <c r="P58" s="138" t="str">
        <f>IFERROR(__xludf.DUMMYFUNCTION("""COMPUTED_VALUE"""),"31/03")</f>
        <v>31/03</v>
      </c>
      <c r="Q58" s="138" t="str">
        <f>IFERROR(__xludf.DUMMYFUNCTION("""COMPUTED_VALUE"""),"31/03")</f>
        <v>31/03</v>
      </c>
      <c r="R58" s="138" t="str">
        <f>IFERROR(__xludf.DUMMYFUNCTION("""COMPUTED_VALUE"""),"31/03")</f>
        <v>31/03</v>
      </c>
      <c r="S58" s="138" t="str">
        <f>IFERROR(__xludf.DUMMYFUNCTION("""COMPUTED_VALUE"""),"31/03")</f>
        <v>31/03</v>
      </c>
      <c r="T58" s="138" t="str">
        <f>IFERROR(__xludf.DUMMYFUNCTION("""COMPUTED_VALUE"""),"22/04")</f>
        <v>22/04</v>
      </c>
      <c r="U58" s="138"/>
      <c r="V58" s="138"/>
      <c r="W58" s="138"/>
      <c r="X58" s="138"/>
      <c r="Y58" s="138"/>
      <c r="Z58" s="138"/>
    </row>
    <row r="59">
      <c r="A59" s="138" t="str">
        <f>IFERROR(__xludf.DUMMYFUNCTION("""COMPUTED_VALUE"""),"VEE ONE")</f>
        <v>VEE ONE</v>
      </c>
      <c r="B59" s="138" t="str">
        <f>IFERROR(__xludf.DUMMYFUNCTION("""COMPUTED_VALUE"""),"BANT")</f>
        <v>BANT</v>
      </c>
      <c r="C59" s="138" t="str">
        <f>IFERROR(__xludf.DUMMYFUNCTION("""COMPUTED_VALUE"""),"030-18200")</f>
        <v>030-18200</v>
      </c>
      <c r="D59" s="138" t="str">
        <f>IFERROR(__xludf.DUMMYFUNCTION("""COMPUTED_VALUE"""),"CONJUNTO DE FREIO")</f>
        <v>CONJUNTO DE FREIO</v>
      </c>
      <c r="E59" s="138" t="str">
        <f>IFERROR(__xludf.DUMMYFUNCTION("""COMPUTED_VALUE"""),"7951")</f>
        <v>7951</v>
      </c>
      <c r="F59" s="138" t="str">
        <f>IFERROR(__xludf.DUMMYFUNCTION("""COMPUTED_VALUE"""),"005/2025")</f>
        <v>005/2025</v>
      </c>
      <c r="G59" s="138" t="str">
        <f>IFERROR(__xludf.DUMMYFUNCTION("""COMPUTED_VALUE"""),"28/05/2025")</f>
        <v>28/05/2025</v>
      </c>
      <c r="H59" s="138" t="str">
        <f>IFERROR(__xludf.DUMMYFUNCTION("""COMPUTED_VALUE"""),"30/01/2026")</f>
        <v>30/01/2026</v>
      </c>
      <c r="I59" s="138" t="str">
        <f>IFERROR(__xludf.DUMMYFUNCTION("""COMPUTED_VALUE"""),"30/01")</f>
        <v>30/01</v>
      </c>
      <c r="J59" s="138" t="str">
        <f>IFERROR(__xludf.DUMMYFUNCTION("""COMPUTED_VALUE"""),"31/03")</f>
        <v>31/03</v>
      </c>
      <c r="K59" s="138" t="str">
        <f>IFERROR(__xludf.DUMMYFUNCTION("""COMPUTED_VALUE"""),"31/03")</f>
        <v>31/03</v>
      </c>
      <c r="L59" s="138" t="str">
        <f>IFERROR(__xludf.DUMMYFUNCTION("""COMPUTED_VALUE"""),"31/03")</f>
        <v>31/03</v>
      </c>
      <c r="M59" s="138" t="str">
        <f>IFERROR(__xludf.DUMMYFUNCTION("""COMPUTED_VALUE"""),"31/03")</f>
        <v>31/03</v>
      </c>
      <c r="N59" s="138" t="str">
        <f>IFERROR(__xludf.DUMMYFUNCTION("""COMPUTED_VALUE"""),"31/03")</f>
        <v>31/03</v>
      </c>
      <c r="O59" s="138" t="str">
        <f>IFERROR(__xludf.DUMMYFUNCTION("""COMPUTED_VALUE"""),"31/03")</f>
        <v>31/03</v>
      </c>
      <c r="P59" s="138" t="str">
        <f>IFERROR(__xludf.DUMMYFUNCTION("""COMPUTED_VALUE"""),"31/03")</f>
        <v>31/03</v>
      </c>
      <c r="Q59" s="138" t="str">
        <f>IFERROR(__xludf.DUMMYFUNCTION("""COMPUTED_VALUE"""),"31/03")</f>
        <v>31/03</v>
      </c>
      <c r="R59" s="138" t="str">
        <f>IFERROR(__xludf.DUMMYFUNCTION("""COMPUTED_VALUE"""),"31/03")</f>
        <v>31/03</v>
      </c>
      <c r="S59" s="138" t="str">
        <f>IFERROR(__xludf.DUMMYFUNCTION("""COMPUTED_VALUE"""),"31/03")</f>
        <v>31/03</v>
      </c>
      <c r="T59" s="138" t="str">
        <f>IFERROR(__xludf.DUMMYFUNCTION("""COMPUTED_VALUE"""),"22/04")</f>
        <v>22/04</v>
      </c>
      <c r="U59" s="138"/>
      <c r="V59" s="138"/>
      <c r="W59" s="138"/>
      <c r="X59" s="138"/>
      <c r="Y59" s="138"/>
      <c r="Z59" s="138"/>
    </row>
    <row r="60" hidden="1">
      <c r="A60" s="138" t="str">
        <f>IFERROR(__xludf.DUMMYFUNCTION("""COMPUTED_VALUE"""),"VEE ONE")</f>
        <v>VEE ONE</v>
      </c>
      <c r="B60" s="138" t="str">
        <f>IFERROR(__xludf.DUMMYFUNCTION("""COMPUTED_VALUE"""),"BABE")</f>
        <v>BABE</v>
      </c>
      <c r="C60" s="138" t="str">
        <f>IFERROR(__xludf.DUMMYFUNCTION("""COMPUTED_VALUE"""),"2641011-5")</f>
        <v>2641011-5</v>
      </c>
      <c r="D60" s="138" t="str">
        <f>IFERROR(__xludf.DUMMYFUNCTION("""COMPUTED_VALUE"""),"AXLE-MAIN GEAR")</f>
        <v>AXLE-MAIN GEAR</v>
      </c>
      <c r="E60" s="138" t="str">
        <f>IFERROR(__xludf.DUMMYFUNCTION("""COMPUTED_VALUE"""),"3155-5")</f>
        <v>3155-5</v>
      </c>
      <c r="F60" s="138" t="str">
        <f>IFERROR(__xludf.DUMMYFUNCTION("""COMPUTED_VALUE"""),"009/2026")</f>
        <v>009/2026</v>
      </c>
      <c r="G60" s="138" t="str">
        <f>IFERROR(__xludf.DUMMYFUNCTION("""COMPUTED_VALUE"""),"31/03")</f>
        <v>31/03</v>
      </c>
      <c r="H60" s="138" t="str">
        <f>IFERROR(__xludf.DUMMYFUNCTION("""COMPUTED_VALUE"""),"31/03")</f>
        <v>31/03</v>
      </c>
      <c r="I60" s="138" t="str">
        <f>IFERROR(__xludf.DUMMYFUNCTION("""COMPUTED_VALUE"""),"31/03 e 29/04")</f>
        <v>31/03 e 29/04</v>
      </c>
      <c r="J60" s="138" t="str">
        <f>IFERROR(__xludf.DUMMYFUNCTION("""COMPUTED_VALUE"""),"29/04")</f>
        <v>29/04</v>
      </c>
      <c r="K60" s="138" t="str">
        <f>IFERROR(__xludf.DUMMYFUNCTION("""COMPUTED_VALUE"""),"29/04")</f>
        <v>29/04</v>
      </c>
      <c r="L60" s="138" t="str">
        <f>IFERROR(__xludf.DUMMYFUNCTION("""COMPUTED_VALUE"""),"29/04")</f>
        <v>29/04</v>
      </c>
      <c r="M60" s="138" t="str">
        <f>IFERROR(__xludf.DUMMYFUNCTION("""COMPUTED_VALUE"""),"30/04")</f>
        <v>30/04</v>
      </c>
      <c r="N60" s="138" t="str">
        <f>IFERROR(__xludf.DUMMYFUNCTION("""COMPUTED_VALUE"""),"30/04")</f>
        <v>30/04</v>
      </c>
      <c r="O60" s="138" t="str">
        <f>IFERROR(__xludf.DUMMYFUNCTION("""COMPUTED_VALUE"""),"30/04")</f>
        <v>30/04</v>
      </c>
      <c r="P60" s="138" t="str">
        <f>IFERROR(__xludf.DUMMYFUNCTION("""COMPUTED_VALUE"""),"30/04")</f>
        <v>30/04</v>
      </c>
      <c r="Q60" s="138" t="str">
        <f>IFERROR(__xludf.DUMMYFUNCTION("""COMPUTED_VALUE"""),"30/04")</f>
        <v>30/04</v>
      </c>
      <c r="R60" s="138" t="str">
        <f>IFERROR(__xludf.DUMMYFUNCTION("""COMPUTED_VALUE"""),"30/04")</f>
        <v>30/04</v>
      </c>
      <c r="S60" s="138" t="str">
        <f>IFERROR(__xludf.DUMMYFUNCTION("""COMPUTED_VALUE"""),"30/04")</f>
        <v>30/04</v>
      </c>
      <c r="T60" s="138" t="str">
        <f>IFERROR(__xludf.DUMMYFUNCTION("""COMPUTED_VALUE"""),"05/05")</f>
        <v>05/05</v>
      </c>
      <c r="U60" s="138"/>
      <c r="V60" s="138"/>
      <c r="W60" s="138"/>
      <c r="X60" s="138"/>
      <c r="Y60" s="138"/>
      <c r="Z60" s="138"/>
    </row>
    <row r="61" hidden="1">
      <c r="A61" s="138" t="str">
        <f>IFERROR(__xludf.DUMMYFUNCTION("""COMPUTED_VALUE"""),"VEE ONE")</f>
        <v>VEE ONE</v>
      </c>
      <c r="B61" s="138" t="str">
        <f>IFERROR(__xludf.DUMMYFUNCTION("""COMPUTED_VALUE"""),"CLA / BABE")</f>
        <v>CLA / BABE</v>
      </c>
      <c r="C61" s="138" t="str">
        <f>IFERROR(__xludf.DUMMYFUNCTION("""COMPUTED_VALUE"""),"3244809-8")</f>
        <v>3244809-8</v>
      </c>
      <c r="D61" s="138" t="str">
        <f>IFERROR(__xludf.DUMMYFUNCTION("""COMPUTED_VALUE"""),"FUEL CONTROL UNIT")</f>
        <v>FUEL CONTROL UNIT</v>
      </c>
      <c r="E61" s="138" t="str">
        <f>IFERROR(__xludf.DUMMYFUNCTION("""COMPUTED_VALUE"""),"B10133")</f>
        <v>B10133</v>
      </c>
      <c r="F61" s="138" t="str">
        <f>IFERROR(__xludf.DUMMYFUNCTION("""COMPUTED_VALUE"""),"004/2026")</f>
        <v>004/2026</v>
      </c>
      <c r="G61" s="138" t="str">
        <f>IFERROR(__xludf.DUMMYFUNCTION("""COMPUTED_VALUE"""),"12/02")</f>
        <v>12/02</v>
      </c>
      <c r="H61" s="138" t="str">
        <f>IFERROR(__xludf.DUMMYFUNCTION("""COMPUTED_VALUE"""),"27/04")</f>
        <v>27/04</v>
      </c>
      <c r="I61" s="138" t="str">
        <f>IFERROR(__xludf.DUMMYFUNCTION("""COMPUTED_VALUE"""),"27/04")</f>
        <v>27/04</v>
      </c>
      <c r="J61" s="138" t="str">
        <f>IFERROR(__xludf.DUMMYFUNCTION("""COMPUTED_VALUE"""),"29/04")</f>
        <v>29/04</v>
      </c>
      <c r="K61" s="138" t="str">
        <f>IFERROR(__xludf.DUMMYFUNCTION("""COMPUTED_VALUE"""),"29/04")</f>
        <v>29/04</v>
      </c>
      <c r="L61" s="138" t="str">
        <f>IFERROR(__xludf.DUMMYFUNCTION("""COMPUTED_VALUE"""),"29/04")</f>
        <v>29/04</v>
      </c>
      <c r="M61" s="138" t="str">
        <f>IFERROR(__xludf.DUMMYFUNCTION("""COMPUTED_VALUE"""),"30/04")</f>
        <v>30/04</v>
      </c>
      <c r="N61" s="138" t="str">
        <f>IFERROR(__xludf.DUMMYFUNCTION("""COMPUTED_VALUE"""),"30/04")</f>
        <v>30/04</v>
      </c>
      <c r="O61" s="138" t="str">
        <f>IFERROR(__xludf.DUMMYFUNCTION("""COMPUTED_VALUE"""),"30/04")</f>
        <v>30/04</v>
      </c>
      <c r="P61" s="138" t="str">
        <f>IFERROR(__xludf.DUMMYFUNCTION("""COMPUTED_VALUE"""),"30/04")</f>
        <v>30/04</v>
      </c>
      <c r="Q61" s="138" t="str">
        <f>IFERROR(__xludf.DUMMYFUNCTION("""COMPUTED_VALUE"""),"30/04")</f>
        <v>30/04</v>
      </c>
      <c r="R61" s="138" t="str">
        <f>IFERROR(__xludf.DUMMYFUNCTION("""COMPUTED_VALUE"""),"30/04")</f>
        <v>30/04</v>
      </c>
      <c r="S61" s="138" t="str">
        <f>IFERROR(__xludf.DUMMYFUNCTION("""COMPUTED_VALUE"""),"30/04")</f>
        <v>30/04</v>
      </c>
      <c r="T61" s="138" t="str">
        <f>IFERROR(__xludf.DUMMYFUNCTION("""COMPUTED_VALUE"""),"05/05")</f>
        <v>05/05</v>
      </c>
      <c r="U61" s="138" t="str">
        <f>IFERROR(__xludf.DUMMYFUNCTION("""COMPUTED_VALUE"""),"Item ficou na BABE para ser instalado no 2739, por isso o envio para Belém.")</f>
        <v>Item ficou na BABE para ser instalado no 2739, por isso o envio para Belém.</v>
      </c>
      <c r="V61" s="138"/>
      <c r="W61" s="138"/>
      <c r="X61" s="138"/>
      <c r="Y61" s="138"/>
      <c r="Z61" s="138"/>
    </row>
    <row r="62" hidden="1">
      <c r="A62" s="138" t="str">
        <f>IFERROR(__xludf.DUMMYFUNCTION("""COMPUTED_VALUE"""),"VEE ONE")</f>
        <v>VEE ONE</v>
      </c>
      <c r="B62" s="138" t="str">
        <f>IFERROR(__xludf.DUMMYFUNCTION("""COMPUTED_VALUE"""),"BAMN")</f>
        <v>BAMN</v>
      </c>
      <c r="C62" s="138" t="str">
        <f>IFERROR(__xludf.DUMMYFUNCTION("""COMPUTED_VALUE"""),"066-1072-04")</f>
        <v>066-1072-04</v>
      </c>
      <c r="D62" s="138" t="str">
        <f>IFERROR(__xludf.DUMMYFUNCTION("""COMPUTED_VALUE"""),"RECEIVER RADIO")</f>
        <v>RECEIVER RADIO</v>
      </c>
      <c r="E62" s="138" t="str">
        <f>IFERROR(__xludf.DUMMYFUNCTION("""COMPUTED_VALUE"""),"84163")</f>
        <v>84163</v>
      </c>
      <c r="F62" s="138" t="str">
        <f>IFERROR(__xludf.DUMMYFUNCTION("""COMPUTED_VALUE"""),"021/2025")</f>
        <v>021/2025</v>
      </c>
      <c r="G62" s="138" t="str">
        <f>IFERROR(__xludf.DUMMYFUNCTION("""COMPUTED_VALUE"""),"28/10")</f>
        <v>28/10</v>
      </c>
      <c r="H62" s="138" t="str">
        <f>IFERROR(__xludf.DUMMYFUNCTION("""COMPUTED_VALUE"""),"12/11")</f>
        <v>12/11</v>
      </c>
      <c r="I62" s="138" t="str">
        <f>IFERROR(__xludf.DUMMYFUNCTION("""COMPUTED_VALUE"""),"12/11")</f>
        <v>12/11</v>
      </c>
      <c r="J62" s="138" t="str">
        <f>IFERROR(__xludf.DUMMYFUNCTION("""COMPUTED_VALUE"""),"*")</f>
        <v>*</v>
      </c>
      <c r="K62" s="138" t="str">
        <f>IFERROR(__xludf.DUMMYFUNCTION("""COMPUTED_VALUE"""),"*")</f>
        <v>*</v>
      </c>
      <c r="L62" s="138" t="str">
        <f>IFERROR(__xludf.DUMMYFUNCTION("""COMPUTED_VALUE"""),"30/04")</f>
        <v>30/04</v>
      </c>
      <c r="M62" s="138" t="str">
        <f>IFERROR(__xludf.DUMMYFUNCTION("""COMPUTED_VALUE"""),"30/04")</f>
        <v>30/04</v>
      </c>
      <c r="N62" s="138" t="str">
        <f>IFERROR(__xludf.DUMMYFUNCTION("""COMPUTED_VALUE"""),"30/04")</f>
        <v>30/04</v>
      </c>
      <c r="O62" s="138" t="str">
        <f>IFERROR(__xludf.DUMMYFUNCTION("""COMPUTED_VALUE"""),"30/04")</f>
        <v>30/04</v>
      </c>
      <c r="P62" s="138" t="str">
        <f>IFERROR(__xludf.DUMMYFUNCTION("""COMPUTED_VALUE"""),"30/04")</f>
        <v>30/04</v>
      </c>
      <c r="Q62" s="138" t="str">
        <f>IFERROR(__xludf.DUMMYFUNCTION("""COMPUTED_VALUE"""),"30/04")</f>
        <v>30/04</v>
      </c>
      <c r="R62" s="138" t="str">
        <f>IFERROR(__xludf.DUMMYFUNCTION("""COMPUTED_VALUE"""),"30/04")</f>
        <v>30/04</v>
      </c>
      <c r="S62" s="138" t="str">
        <f>IFERROR(__xludf.DUMMYFUNCTION("""COMPUTED_VALUE"""),"30/04")</f>
        <v>30/04</v>
      </c>
      <c r="T62" s="138" t="str">
        <f>IFERROR(__xludf.DUMMYFUNCTION("""COMPUTED_VALUE"""),"05/05")</f>
        <v>05/05</v>
      </c>
      <c r="U62" s="138"/>
      <c r="V62" s="138"/>
      <c r="W62" s="138"/>
      <c r="X62" s="138"/>
      <c r="Y62" s="138"/>
      <c r="Z62" s="138"/>
    </row>
    <row r="63">
      <c r="A63" s="138" t="str">
        <f>IFERROR(__xludf.DUMMYFUNCTION("""COMPUTED_VALUE"""),"VEE ONE")</f>
        <v>VEE ONE</v>
      </c>
      <c r="B63" s="138" t="str">
        <f>IFERROR(__xludf.DUMMYFUNCTION("""COMPUTED_VALUE"""),"BANT")</f>
        <v>BANT</v>
      </c>
      <c r="C63" s="138" t="str">
        <f>IFERROR(__xludf.DUMMYFUNCTION("""COMPUTED_VALUE"""),"071-01519-0101")</f>
        <v>071-01519-0101</v>
      </c>
      <c r="D63" s="138" t="str">
        <f>IFERROR(__xludf.DUMMYFUNCTION("""COMPUTED_VALUE"""),"RECEPTOR DE RADAR")</f>
        <v>RECEPTOR DE RADAR</v>
      </c>
      <c r="E63" s="138" t="str">
        <f>IFERROR(__xludf.DUMMYFUNCTION("""COMPUTED_VALUE"""),"ART2000-13237")</f>
        <v>ART2000-13237</v>
      </c>
      <c r="F63" s="138" t="str">
        <f>IFERROR(__xludf.DUMMYFUNCTION("""COMPUTED_VALUE"""),"029/2025")</f>
        <v>029/2025</v>
      </c>
      <c r="G63" s="138" t="str">
        <f>IFERROR(__xludf.DUMMYFUNCTION("""COMPUTED_VALUE"""),"16/09/2025")</f>
        <v>16/09/2025</v>
      </c>
      <c r="H63" s="138" t="str">
        <f>IFERROR(__xludf.DUMMYFUNCTION("""COMPUTED_VALUE"""),"30/01/2026")</f>
        <v>30/01/2026</v>
      </c>
      <c r="I63" s="138" t="str">
        <f>IFERROR(__xludf.DUMMYFUNCTION("""COMPUTED_VALUE"""),"30/01")</f>
        <v>30/01</v>
      </c>
      <c r="J63" s="138" t="str">
        <f>IFERROR(__xludf.DUMMYFUNCTION("""COMPUTED_VALUE"""),"26/03")</f>
        <v>26/03</v>
      </c>
      <c r="K63" s="138" t="str">
        <f>IFERROR(__xludf.DUMMYFUNCTION("""COMPUTED_VALUE"""),"27/03")</f>
        <v>27/03</v>
      </c>
      <c r="L63" s="138" t="str">
        <f>IFERROR(__xludf.DUMMYFUNCTION("""COMPUTED_VALUE"""),"31/03")</f>
        <v>31/03</v>
      </c>
      <c r="M63" s="138" t="str">
        <f>IFERROR(__xludf.DUMMYFUNCTION("""COMPUTED_VALUE"""),"31/03")</f>
        <v>31/03</v>
      </c>
      <c r="N63" s="138" t="str">
        <f>IFERROR(__xludf.DUMMYFUNCTION("""COMPUTED_VALUE"""),"31/03")</f>
        <v>31/03</v>
      </c>
      <c r="O63" s="138" t="str">
        <f>IFERROR(__xludf.DUMMYFUNCTION("""COMPUTED_VALUE"""),"31/03")</f>
        <v>31/03</v>
      </c>
      <c r="P63" s="138" t="str">
        <f>IFERROR(__xludf.DUMMYFUNCTION("""COMPUTED_VALUE"""),"31/03")</f>
        <v>31/03</v>
      </c>
      <c r="Q63" s="138" t="str">
        <f>IFERROR(__xludf.DUMMYFUNCTION("""COMPUTED_VALUE"""),"31/03")</f>
        <v>31/03</v>
      </c>
      <c r="R63" s="138" t="str">
        <f>IFERROR(__xludf.DUMMYFUNCTION("""COMPUTED_VALUE"""),"31/03")</f>
        <v>31/03</v>
      </c>
      <c r="S63" s="138" t="str">
        <f>IFERROR(__xludf.DUMMYFUNCTION("""COMPUTED_VALUE"""),"31/03")</f>
        <v>31/03</v>
      </c>
      <c r="T63" s="138" t="str">
        <f>IFERROR(__xludf.DUMMYFUNCTION("""COMPUTED_VALUE"""),"05/05")</f>
        <v>05/05</v>
      </c>
      <c r="U63" s="138"/>
      <c r="V63" s="138"/>
      <c r="W63" s="138"/>
      <c r="X63" s="138"/>
      <c r="Y63" s="138"/>
      <c r="Z63" s="138"/>
    </row>
    <row r="64">
      <c r="A64" s="138" t="str">
        <f>IFERROR(__xludf.DUMMYFUNCTION("""COMPUTED_VALUE"""),"VEE ONE")</f>
        <v>VEE ONE</v>
      </c>
      <c r="B64" s="138" t="str">
        <f>IFERROR(__xludf.DUMMYFUNCTION("""COMPUTED_VALUE"""),"BANT")</f>
        <v>BANT</v>
      </c>
      <c r="C64" s="138" t="str">
        <f>IFERROR(__xludf.DUMMYFUNCTION("""COMPUTED_VALUE"""),"C661064-0237")</f>
        <v>C661064-0237</v>
      </c>
      <c r="D64" s="138" t="str">
        <f>IFERROR(__xludf.DUMMYFUNCTION("""COMPUTED_VALUE"""),"AIRSPEED INDICATOR")</f>
        <v>AIRSPEED INDICATOR</v>
      </c>
      <c r="E64" s="138" t="str">
        <f>IFERROR(__xludf.DUMMYFUNCTION("""COMPUTED_VALUE"""),"T25426")</f>
        <v>T25426</v>
      </c>
      <c r="F64" s="138" t="str">
        <f>IFERROR(__xludf.DUMMYFUNCTION("""COMPUTED_VALUE"""),"028/2025")</f>
        <v>028/2025</v>
      </c>
      <c r="G64" s="138" t="str">
        <f>IFERROR(__xludf.DUMMYFUNCTION("""COMPUTED_VALUE"""),"09/09/2025")</f>
        <v>09/09/2025</v>
      </c>
      <c r="H64" s="138" t="str">
        <f>IFERROR(__xludf.DUMMYFUNCTION("""COMPUTED_VALUE"""),"30/01/2026")</f>
        <v>30/01/2026</v>
      </c>
      <c r="I64" s="138" t="str">
        <f>IFERROR(__xludf.DUMMYFUNCTION("""COMPUTED_VALUE"""),"30/01")</f>
        <v>30/01</v>
      </c>
      <c r="J64" s="138" t="str">
        <f>IFERROR(__xludf.DUMMYFUNCTION("""COMPUTED_VALUE"""),"26/03")</f>
        <v>26/03</v>
      </c>
      <c r="K64" s="138" t="str">
        <f>IFERROR(__xludf.DUMMYFUNCTION("""COMPUTED_VALUE"""),"27/03")</f>
        <v>27/03</v>
      </c>
      <c r="L64" s="138" t="str">
        <f>IFERROR(__xludf.DUMMYFUNCTION("""COMPUTED_VALUE"""),"31/03")</f>
        <v>31/03</v>
      </c>
      <c r="M64" s="138" t="str">
        <f>IFERROR(__xludf.DUMMYFUNCTION("""COMPUTED_VALUE"""),"31/03")</f>
        <v>31/03</v>
      </c>
      <c r="N64" s="138" t="str">
        <f>IFERROR(__xludf.DUMMYFUNCTION("""COMPUTED_VALUE"""),"31/03")</f>
        <v>31/03</v>
      </c>
      <c r="O64" s="138" t="str">
        <f>IFERROR(__xludf.DUMMYFUNCTION("""COMPUTED_VALUE"""),"31/03")</f>
        <v>31/03</v>
      </c>
      <c r="P64" s="138" t="str">
        <f>IFERROR(__xludf.DUMMYFUNCTION("""COMPUTED_VALUE"""),"31/03")</f>
        <v>31/03</v>
      </c>
      <c r="Q64" s="138" t="str">
        <f>IFERROR(__xludf.DUMMYFUNCTION("""COMPUTED_VALUE"""),"31/03")</f>
        <v>31/03</v>
      </c>
      <c r="R64" s="138" t="str">
        <f>IFERROR(__xludf.DUMMYFUNCTION("""COMPUTED_VALUE"""),"31/03")</f>
        <v>31/03</v>
      </c>
      <c r="S64" s="138" t="str">
        <f>IFERROR(__xludf.DUMMYFUNCTION("""COMPUTED_VALUE"""),"31/03")</f>
        <v>31/03</v>
      </c>
      <c r="T64" s="138" t="str">
        <f>IFERROR(__xludf.DUMMYFUNCTION("""COMPUTED_VALUE"""),"05/05")</f>
        <v>05/05</v>
      </c>
      <c r="U64" s="138"/>
      <c r="V64" s="138"/>
      <c r="W64" s="138"/>
      <c r="X64" s="138"/>
      <c r="Y64" s="138"/>
      <c r="Z64" s="138"/>
    </row>
    <row r="65">
      <c r="A65" s="138" t="str">
        <f>IFERROR(__xludf.DUMMYFUNCTION("""COMPUTED_VALUE"""),"VEE ONE")</f>
        <v>VEE ONE</v>
      </c>
      <c r="B65" s="138" t="str">
        <f>IFERROR(__xludf.DUMMYFUNCTION("""COMPUTED_VALUE"""),"BANT")</f>
        <v>BANT</v>
      </c>
      <c r="C65" s="138" t="str">
        <f>IFERROR(__xludf.DUMMYFUNCTION("""COMPUTED_VALUE"""),"066-1072-04")</f>
        <v>066-1072-04</v>
      </c>
      <c r="D65" s="138" t="str">
        <f>IFERROR(__xludf.DUMMYFUNCTION("""COMPUTED_VALUE"""),"RECEIVER RADIO")</f>
        <v>RECEIVER RADIO</v>
      </c>
      <c r="E65" s="138" t="str">
        <f>IFERROR(__xludf.DUMMYFUNCTION("""COMPUTED_VALUE"""),"84459")</f>
        <v>84459</v>
      </c>
      <c r="F65" s="138" t="str">
        <f>IFERROR(__xludf.DUMMYFUNCTION("""COMPUTED_VALUE"""),"014/2025")</f>
        <v>014/2025</v>
      </c>
      <c r="G65" s="138" t="str">
        <f>IFERROR(__xludf.DUMMYFUNCTION("""COMPUTED_VALUE"""),"28/07/2025")</f>
        <v>28/07/2025</v>
      </c>
      <c r="H65" s="138" t="str">
        <f>IFERROR(__xludf.DUMMYFUNCTION("""COMPUTED_VALUE"""),"30/01/2026")</f>
        <v>30/01/2026</v>
      </c>
      <c r="I65" s="138" t="str">
        <f>IFERROR(__xludf.DUMMYFUNCTION("""COMPUTED_VALUE"""),"30/01")</f>
        <v>30/01</v>
      </c>
      <c r="J65" s="138" t="str">
        <f>IFERROR(__xludf.DUMMYFUNCTION("""COMPUTED_VALUE"""),"26/03")</f>
        <v>26/03</v>
      </c>
      <c r="K65" s="138" t="str">
        <f>IFERROR(__xludf.DUMMYFUNCTION("""COMPUTED_VALUE"""),"27/03")</f>
        <v>27/03</v>
      </c>
      <c r="L65" s="138" t="str">
        <f>IFERROR(__xludf.DUMMYFUNCTION("""COMPUTED_VALUE"""),"31/03")</f>
        <v>31/03</v>
      </c>
      <c r="M65" s="138" t="str">
        <f>IFERROR(__xludf.DUMMYFUNCTION("""COMPUTED_VALUE"""),"31/03")</f>
        <v>31/03</v>
      </c>
      <c r="N65" s="138" t="str">
        <f>IFERROR(__xludf.DUMMYFUNCTION("""COMPUTED_VALUE"""),"31/03")</f>
        <v>31/03</v>
      </c>
      <c r="O65" s="138" t="str">
        <f>IFERROR(__xludf.DUMMYFUNCTION("""COMPUTED_VALUE"""),"31/03")</f>
        <v>31/03</v>
      </c>
      <c r="P65" s="138" t="str">
        <f>IFERROR(__xludf.DUMMYFUNCTION("""COMPUTED_VALUE"""),"31/03")</f>
        <v>31/03</v>
      </c>
      <c r="Q65" s="138" t="str">
        <f>IFERROR(__xludf.DUMMYFUNCTION("""COMPUTED_VALUE"""),"31/03")</f>
        <v>31/03</v>
      </c>
      <c r="R65" s="138" t="str">
        <f>IFERROR(__xludf.DUMMYFUNCTION("""COMPUTED_VALUE"""),"31/03")</f>
        <v>31/03</v>
      </c>
      <c r="S65" s="138" t="str">
        <f>IFERROR(__xludf.DUMMYFUNCTION("""COMPUTED_VALUE"""),"31/03")</f>
        <v>31/03</v>
      </c>
      <c r="T65" s="138" t="str">
        <f>IFERROR(__xludf.DUMMYFUNCTION("""COMPUTED_VALUE"""),"05/05")</f>
        <v>05/05</v>
      </c>
      <c r="U65" s="138"/>
      <c r="V65" s="138"/>
      <c r="W65" s="138"/>
      <c r="X65" s="138"/>
      <c r="Y65" s="138"/>
      <c r="Z65" s="138"/>
    </row>
    <row r="66">
      <c r="A66" s="138" t="str">
        <f>IFERROR(__xludf.DUMMYFUNCTION("""COMPUTED_VALUE"""),"VEE ONE")</f>
        <v>VEE ONE</v>
      </c>
      <c r="B66" s="138" t="str">
        <f>IFERROR(__xludf.DUMMYFUNCTION("""COMPUTED_VALUE"""),"BANT")</f>
        <v>BANT</v>
      </c>
      <c r="C66" s="138" t="str">
        <f>IFERROR(__xludf.DUMMYFUNCTION("""COMPUTED_VALUE"""),"066-03064-0005")</f>
        <v>066-03064-0005</v>
      </c>
      <c r="D66" s="138" t="str">
        <f>IFERROR(__xludf.DUMMYFUNCTION("""COMPUTED_VALUE"""),"ENCODING ALTIMETER")</f>
        <v>ENCODING ALTIMETER</v>
      </c>
      <c r="E66" s="138" t="str">
        <f>IFERROR(__xludf.DUMMYFUNCTION("""COMPUTED_VALUE"""),"35378")</f>
        <v>35378</v>
      </c>
      <c r="F66" s="138" t="str">
        <f>IFERROR(__xludf.DUMMYFUNCTION("""COMPUTED_VALUE"""),"009/2025")</f>
        <v>009/2025</v>
      </c>
      <c r="G66" s="138" t="str">
        <f>IFERROR(__xludf.DUMMYFUNCTION("""COMPUTED_VALUE"""),"17/06/2025")</f>
        <v>17/06/2025</v>
      </c>
      <c r="H66" s="138" t="str">
        <f>IFERROR(__xludf.DUMMYFUNCTION("""COMPUTED_VALUE"""),"30/01/2026")</f>
        <v>30/01/2026</v>
      </c>
      <c r="I66" s="138" t="str">
        <f>IFERROR(__xludf.DUMMYFUNCTION("""COMPUTED_VALUE"""),"30/01")</f>
        <v>30/01</v>
      </c>
      <c r="J66" s="138" t="str">
        <f>IFERROR(__xludf.DUMMYFUNCTION("""COMPUTED_VALUE"""),"26/03")</f>
        <v>26/03</v>
      </c>
      <c r="K66" s="138" t="str">
        <f>IFERROR(__xludf.DUMMYFUNCTION("""COMPUTED_VALUE"""),"27/03")</f>
        <v>27/03</v>
      </c>
      <c r="L66" s="138" t="str">
        <f>IFERROR(__xludf.DUMMYFUNCTION("""COMPUTED_VALUE"""),"31/03")</f>
        <v>31/03</v>
      </c>
      <c r="M66" s="138" t="str">
        <f>IFERROR(__xludf.DUMMYFUNCTION("""COMPUTED_VALUE"""),"31/03")</f>
        <v>31/03</v>
      </c>
      <c r="N66" s="138" t="str">
        <f>IFERROR(__xludf.DUMMYFUNCTION("""COMPUTED_VALUE"""),"31/03")</f>
        <v>31/03</v>
      </c>
      <c r="O66" s="138" t="str">
        <f>IFERROR(__xludf.DUMMYFUNCTION("""COMPUTED_VALUE"""),"31/03")</f>
        <v>31/03</v>
      </c>
      <c r="P66" s="138" t="str">
        <f>IFERROR(__xludf.DUMMYFUNCTION("""COMPUTED_VALUE"""),"31/03")</f>
        <v>31/03</v>
      </c>
      <c r="Q66" s="138" t="str">
        <f>IFERROR(__xludf.DUMMYFUNCTION("""COMPUTED_VALUE"""),"31/03")</f>
        <v>31/03</v>
      </c>
      <c r="R66" s="138" t="str">
        <f>IFERROR(__xludf.DUMMYFUNCTION("""COMPUTED_VALUE"""),"31/03")</f>
        <v>31/03</v>
      </c>
      <c r="S66" s="138" t="str">
        <f>IFERROR(__xludf.DUMMYFUNCTION("""COMPUTED_VALUE"""),"31/03")</f>
        <v>31/03</v>
      </c>
      <c r="T66" s="138" t="str">
        <f>IFERROR(__xludf.DUMMYFUNCTION("""COMPUTED_VALUE"""),"05/05")</f>
        <v>05/05</v>
      </c>
      <c r="U66" s="138"/>
      <c r="V66" s="138"/>
      <c r="W66" s="138"/>
      <c r="X66" s="138"/>
      <c r="Y66" s="138"/>
      <c r="Z66" s="138"/>
    </row>
    <row r="67">
      <c r="A67" s="138" t="str">
        <f>IFERROR(__xludf.DUMMYFUNCTION("""COMPUTED_VALUE"""),"VEE ONE")</f>
        <v>VEE ONE</v>
      </c>
      <c r="B67" s="138" t="str">
        <f>IFERROR(__xludf.DUMMYFUNCTION("""COMPUTED_VALUE"""),"BANT")</f>
        <v>BANT</v>
      </c>
      <c r="C67" s="138" t="str">
        <f>IFERROR(__xludf.DUMMYFUNCTION("""COMPUTED_VALUE"""),"066-03064-0005")</f>
        <v>066-03064-0005</v>
      </c>
      <c r="D67" s="138" t="str">
        <f>IFERROR(__xludf.DUMMYFUNCTION("""COMPUTED_VALUE"""),"ENCODING ALTIMETER")</f>
        <v>ENCODING ALTIMETER</v>
      </c>
      <c r="E67" s="138" t="str">
        <f>IFERROR(__xludf.DUMMYFUNCTION("""COMPUTED_VALUE"""),"36025")</f>
        <v>36025</v>
      </c>
      <c r="F67" s="138" t="str">
        <f>IFERROR(__xludf.DUMMYFUNCTION("""COMPUTED_VALUE"""),"007/2025")</f>
        <v>007/2025</v>
      </c>
      <c r="G67" s="138" t="str">
        <f>IFERROR(__xludf.DUMMYFUNCTION("""COMPUTED_VALUE"""),"17/06/2025")</f>
        <v>17/06/2025</v>
      </c>
      <c r="H67" s="138" t="str">
        <f>IFERROR(__xludf.DUMMYFUNCTION("""COMPUTED_VALUE"""),"30/01/2026")</f>
        <v>30/01/2026</v>
      </c>
      <c r="I67" s="138" t="str">
        <f>IFERROR(__xludf.DUMMYFUNCTION("""COMPUTED_VALUE"""),"30/01")</f>
        <v>30/01</v>
      </c>
      <c r="J67" s="138" t="str">
        <f>IFERROR(__xludf.DUMMYFUNCTION("""COMPUTED_VALUE"""),"26/03")</f>
        <v>26/03</v>
      </c>
      <c r="K67" s="138" t="str">
        <f>IFERROR(__xludf.DUMMYFUNCTION("""COMPUTED_VALUE"""),"27/03")</f>
        <v>27/03</v>
      </c>
      <c r="L67" s="138" t="str">
        <f>IFERROR(__xludf.DUMMYFUNCTION("""COMPUTED_VALUE"""),"31/03")</f>
        <v>31/03</v>
      </c>
      <c r="M67" s="138" t="str">
        <f>IFERROR(__xludf.DUMMYFUNCTION("""COMPUTED_VALUE"""),"31/03")</f>
        <v>31/03</v>
      </c>
      <c r="N67" s="138" t="str">
        <f>IFERROR(__xludf.DUMMYFUNCTION("""COMPUTED_VALUE"""),"31/03")</f>
        <v>31/03</v>
      </c>
      <c r="O67" s="138" t="str">
        <f>IFERROR(__xludf.DUMMYFUNCTION("""COMPUTED_VALUE"""),"31/03")</f>
        <v>31/03</v>
      </c>
      <c r="P67" s="138" t="str">
        <f>IFERROR(__xludf.DUMMYFUNCTION("""COMPUTED_VALUE"""),"31/03")</f>
        <v>31/03</v>
      </c>
      <c r="Q67" s="138" t="str">
        <f>IFERROR(__xludf.DUMMYFUNCTION("""COMPUTED_VALUE"""),"31/03")</f>
        <v>31/03</v>
      </c>
      <c r="R67" s="138" t="str">
        <f>IFERROR(__xludf.DUMMYFUNCTION("""COMPUTED_VALUE"""),"31/03")</f>
        <v>31/03</v>
      </c>
      <c r="S67" s="138" t="str">
        <f>IFERROR(__xludf.DUMMYFUNCTION("""COMPUTED_VALUE"""),"31/03")</f>
        <v>31/03</v>
      </c>
      <c r="T67" s="138" t="str">
        <f>IFERROR(__xludf.DUMMYFUNCTION("""COMPUTED_VALUE"""),"05/05")</f>
        <v>05/05</v>
      </c>
      <c r="U67" s="138"/>
      <c r="V67" s="138"/>
      <c r="W67" s="138"/>
      <c r="X67" s="138"/>
      <c r="Y67" s="138"/>
      <c r="Z67" s="138"/>
    </row>
    <row r="68">
      <c r="A68" s="138" t="str">
        <f>IFERROR(__xludf.DUMMYFUNCTION("""COMPUTED_VALUE"""),"VEE ONE")</f>
        <v>VEE ONE</v>
      </c>
      <c r="B68" s="138" t="str">
        <f>IFERROR(__xludf.DUMMYFUNCTION("""COMPUTED_VALUE"""),"BANT")</f>
        <v>BANT</v>
      </c>
      <c r="C68" s="138" t="str">
        <f>IFERROR(__xludf.DUMMYFUNCTION("""COMPUTED_VALUE"""),"9910338-6")</f>
        <v>9910338-6</v>
      </c>
      <c r="D68" s="138" t="str">
        <f>IFERROR(__xludf.DUMMYFUNCTION("""COMPUTED_VALUE"""),"TRANSMITTER")</f>
        <v>TRANSMITTER</v>
      </c>
      <c r="E68" s="138" t="str">
        <f>IFERROR(__xludf.DUMMYFUNCTION("""COMPUTED_VALUE"""),"AAE3882")</f>
        <v>AAE3882</v>
      </c>
      <c r="F68" s="138" t="str">
        <f>IFERROR(__xludf.DUMMYFUNCTION("""COMPUTED_VALUE"""),"007/2025")</f>
        <v>007/2025</v>
      </c>
      <c r="G68" s="138" t="str">
        <f>IFERROR(__xludf.DUMMYFUNCTION("""COMPUTED_VALUE"""),"17/06/2025")</f>
        <v>17/06/2025</v>
      </c>
      <c r="H68" s="138" t="str">
        <f>IFERROR(__xludf.DUMMYFUNCTION("""COMPUTED_VALUE"""),"30/01/2026")</f>
        <v>30/01/2026</v>
      </c>
      <c r="I68" s="138" t="str">
        <f>IFERROR(__xludf.DUMMYFUNCTION("""COMPUTED_VALUE"""),"30/01")</f>
        <v>30/01</v>
      </c>
      <c r="J68" s="138" t="str">
        <f>IFERROR(__xludf.DUMMYFUNCTION("""COMPUTED_VALUE"""),"26/03")</f>
        <v>26/03</v>
      </c>
      <c r="K68" s="138" t="str">
        <f>IFERROR(__xludf.DUMMYFUNCTION("""COMPUTED_VALUE"""),"27/03")</f>
        <v>27/03</v>
      </c>
      <c r="L68" s="138" t="str">
        <f>IFERROR(__xludf.DUMMYFUNCTION("""COMPUTED_VALUE"""),"31/03")</f>
        <v>31/03</v>
      </c>
      <c r="M68" s="138" t="str">
        <f>IFERROR(__xludf.DUMMYFUNCTION("""COMPUTED_VALUE"""),"31/03")</f>
        <v>31/03</v>
      </c>
      <c r="N68" s="138" t="str">
        <f>IFERROR(__xludf.DUMMYFUNCTION("""COMPUTED_VALUE"""),"31/03")</f>
        <v>31/03</v>
      </c>
      <c r="O68" s="138" t="str">
        <f>IFERROR(__xludf.DUMMYFUNCTION("""COMPUTED_VALUE"""),"31/03")</f>
        <v>31/03</v>
      </c>
      <c r="P68" s="138" t="str">
        <f>IFERROR(__xludf.DUMMYFUNCTION("""COMPUTED_VALUE"""),"31/03")</f>
        <v>31/03</v>
      </c>
      <c r="Q68" s="138" t="str">
        <f>IFERROR(__xludf.DUMMYFUNCTION("""COMPUTED_VALUE"""),"31/03")</f>
        <v>31/03</v>
      </c>
      <c r="R68" s="138" t="str">
        <f>IFERROR(__xludf.DUMMYFUNCTION("""COMPUTED_VALUE"""),"31/03")</f>
        <v>31/03</v>
      </c>
      <c r="S68" s="138" t="str">
        <f>IFERROR(__xludf.DUMMYFUNCTION("""COMPUTED_VALUE"""),"31/03")</f>
        <v>31/03</v>
      </c>
      <c r="T68" s="138" t="str">
        <f>IFERROR(__xludf.DUMMYFUNCTION("""COMPUTED_VALUE"""),"05/05")</f>
        <v>05/05</v>
      </c>
      <c r="U68" s="138"/>
      <c r="V68" s="138"/>
      <c r="W68" s="138"/>
      <c r="X68" s="138"/>
      <c r="Y68" s="138"/>
      <c r="Z68" s="138"/>
    </row>
    <row r="69">
      <c r="A69" s="138" t="str">
        <f>IFERROR(__xludf.DUMMYFUNCTION("""COMPUTED_VALUE"""),"VEE ONE")</f>
        <v>VEE ONE</v>
      </c>
      <c r="B69" s="138" t="str">
        <f>IFERROR(__xludf.DUMMYFUNCTION("""COMPUTED_VALUE"""),"BANT")</f>
        <v>BANT</v>
      </c>
      <c r="C69" s="138" t="str">
        <f>IFERROR(__xludf.DUMMYFUNCTION("""COMPUTED_VALUE"""),"066-1072-04")</f>
        <v>066-1072-04</v>
      </c>
      <c r="D69" s="138" t="str">
        <f>IFERROR(__xludf.DUMMYFUNCTION("""COMPUTED_VALUE"""),"RECEIVER RADIO")</f>
        <v>RECEIVER RADIO</v>
      </c>
      <c r="E69" s="138" t="str">
        <f>IFERROR(__xludf.DUMMYFUNCTION("""COMPUTED_VALUE"""),"85131")</f>
        <v>85131</v>
      </c>
      <c r="F69" s="138" t="str">
        <f>IFERROR(__xludf.DUMMYFUNCTION("""COMPUTED_VALUE"""),"007/2025")</f>
        <v>007/2025</v>
      </c>
      <c r="G69" s="138" t="str">
        <f>IFERROR(__xludf.DUMMYFUNCTION("""COMPUTED_VALUE"""),"17/06/2025")</f>
        <v>17/06/2025</v>
      </c>
      <c r="H69" s="138" t="str">
        <f>IFERROR(__xludf.DUMMYFUNCTION("""COMPUTED_VALUE"""),"30/01/2026")</f>
        <v>30/01/2026</v>
      </c>
      <c r="I69" s="138" t="str">
        <f>IFERROR(__xludf.DUMMYFUNCTION("""COMPUTED_VALUE"""),"30/01")</f>
        <v>30/01</v>
      </c>
      <c r="J69" s="138" t="str">
        <f>IFERROR(__xludf.DUMMYFUNCTION("""COMPUTED_VALUE"""),"26/03")</f>
        <v>26/03</v>
      </c>
      <c r="K69" s="138" t="str">
        <f>IFERROR(__xludf.DUMMYFUNCTION("""COMPUTED_VALUE"""),"27/03")</f>
        <v>27/03</v>
      </c>
      <c r="L69" s="138" t="str">
        <f>IFERROR(__xludf.DUMMYFUNCTION("""COMPUTED_VALUE"""),"31/03")</f>
        <v>31/03</v>
      </c>
      <c r="M69" s="138" t="str">
        <f>IFERROR(__xludf.DUMMYFUNCTION("""COMPUTED_VALUE"""),"31/03")</f>
        <v>31/03</v>
      </c>
      <c r="N69" s="138" t="str">
        <f>IFERROR(__xludf.DUMMYFUNCTION("""COMPUTED_VALUE"""),"31/03")</f>
        <v>31/03</v>
      </c>
      <c r="O69" s="138" t="str">
        <f>IFERROR(__xludf.DUMMYFUNCTION("""COMPUTED_VALUE"""),"31/03")</f>
        <v>31/03</v>
      </c>
      <c r="P69" s="138" t="str">
        <f>IFERROR(__xludf.DUMMYFUNCTION("""COMPUTED_VALUE"""),"31/03")</f>
        <v>31/03</v>
      </c>
      <c r="Q69" s="138" t="str">
        <f>IFERROR(__xludf.DUMMYFUNCTION("""COMPUTED_VALUE"""),"31/03")</f>
        <v>31/03</v>
      </c>
      <c r="R69" s="138" t="str">
        <f>IFERROR(__xludf.DUMMYFUNCTION("""COMPUTED_VALUE"""),"31/03")</f>
        <v>31/03</v>
      </c>
      <c r="S69" s="138" t="str">
        <f>IFERROR(__xludf.DUMMYFUNCTION("""COMPUTED_VALUE"""),"31/03")</f>
        <v>31/03</v>
      </c>
      <c r="T69" s="138" t="str">
        <f>IFERROR(__xludf.DUMMYFUNCTION("""COMPUTED_VALUE"""),"05/05")</f>
        <v>05/05</v>
      </c>
      <c r="U69" s="138"/>
      <c r="V69" s="138"/>
      <c r="W69" s="138"/>
      <c r="X69" s="138"/>
      <c r="Y69" s="138"/>
      <c r="Z69" s="138"/>
    </row>
    <row r="70">
      <c r="A70" s="138" t="str">
        <f>IFERROR(__xludf.DUMMYFUNCTION("""COMPUTED_VALUE"""),"VEE ONE")</f>
        <v>VEE ONE</v>
      </c>
      <c r="B70" s="138" t="str">
        <f>IFERROR(__xludf.DUMMYFUNCTION("""COMPUTED_VALUE"""),"BANT")</f>
        <v>BANT</v>
      </c>
      <c r="C70" s="138" t="str">
        <f>IFERROR(__xludf.DUMMYFUNCTION("""COMPUTED_VALUE"""),"C662041-0102")</f>
        <v>C662041-0102</v>
      </c>
      <c r="D70" s="138" t="str">
        <f>IFERROR(__xludf.DUMMYFUNCTION("""COMPUTED_VALUE"""),"INDICATOR FUEL")</f>
        <v>INDICATOR FUEL</v>
      </c>
      <c r="E70" s="138" t="str">
        <f>IFERROR(__xludf.DUMMYFUNCTION("""COMPUTED_VALUE"""),"3890")</f>
        <v>3890</v>
      </c>
      <c r="F70" s="138" t="str">
        <f>IFERROR(__xludf.DUMMYFUNCTION("""COMPUTED_VALUE"""),"014/2025")</f>
        <v>014/2025</v>
      </c>
      <c r="G70" s="138" t="str">
        <f>IFERROR(__xludf.DUMMYFUNCTION("""COMPUTED_VALUE"""),"28/07/2025")</f>
        <v>28/07/2025</v>
      </c>
      <c r="H70" s="138" t="str">
        <f>IFERROR(__xludf.DUMMYFUNCTION("""COMPUTED_VALUE"""),"30/01/2026")</f>
        <v>30/01/2026</v>
      </c>
      <c r="I70" s="138" t="str">
        <f>IFERROR(__xludf.DUMMYFUNCTION("""COMPUTED_VALUE"""),"30/01")</f>
        <v>30/01</v>
      </c>
      <c r="J70" s="138" t="str">
        <f>IFERROR(__xludf.DUMMYFUNCTION("""COMPUTED_VALUE"""),"26/03")</f>
        <v>26/03</v>
      </c>
      <c r="K70" s="138" t="str">
        <f>IFERROR(__xludf.DUMMYFUNCTION("""COMPUTED_VALUE"""),"27/03")</f>
        <v>27/03</v>
      </c>
      <c r="L70" s="138" t="str">
        <f>IFERROR(__xludf.DUMMYFUNCTION("""COMPUTED_VALUE"""),"31/03")</f>
        <v>31/03</v>
      </c>
      <c r="M70" s="138" t="str">
        <f>IFERROR(__xludf.DUMMYFUNCTION("""COMPUTED_VALUE"""),"31/03")</f>
        <v>31/03</v>
      </c>
      <c r="N70" s="138" t="str">
        <f>IFERROR(__xludf.DUMMYFUNCTION("""COMPUTED_VALUE"""),"31/03")</f>
        <v>31/03</v>
      </c>
      <c r="O70" s="138" t="str">
        <f>IFERROR(__xludf.DUMMYFUNCTION("""COMPUTED_VALUE"""),"31/03")</f>
        <v>31/03</v>
      </c>
      <c r="P70" s="138" t="str">
        <f>IFERROR(__xludf.DUMMYFUNCTION("""COMPUTED_VALUE"""),"31/03")</f>
        <v>31/03</v>
      </c>
      <c r="Q70" s="138" t="str">
        <f>IFERROR(__xludf.DUMMYFUNCTION("""COMPUTED_VALUE"""),"31/03")</f>
        <v>31/03</v>
      </c>
      <c r="R70" s="138" t="str">
        <f>IFERROR(__xludf.DUMMYFUNCTION("""COMPUTED_VALUE"""),"31/03")</f>
        <v>31/03</v>
      </c>
      <c r="S70" s="138" t="str">
        <f>IFERROR(__xludf.DUMMYFUNCTION("""COMPUTED_VALUE"""),"31/03")</f>
        <v>31/03</v>
      </c>
      <c r="T70" s="138" t="str">
        <f>IFERROR(__xludf.DUMMYFUNCTION("""COMPUTED_VALUE"""),"05/05")</f>
        <v>05/05</v>
      </c>
      <c r="U70" s="138"/>
      <c r="V70" s="138"/>
      <c r="W70" s="138"/>
      <c r="X70" s="138"/>
      <c r="Y70" s="138"/>
      <c r="Z70" s="138"/>
    </row>
    <row r="71" hidden="1">
      <c r="A71" s="138" t="str">
        <f>IFERROR(__xludf.DUMMYFUNCTION("""COMPUTED_VALUE"""),"VEE ONE")</f>
        <v>VEE ONE</v>
      </c>
      <c r="B71" s="138" t="str">
        <f>IFERROR(__xludf.DUMMYFUNCTION("""COMPUTED_VALUE"""),"BABR")</f>
        <v>BABR</v>
      </c>
      <c r="C71" s="138" t="str">
        <f>IFERROR(__xludf.DUMMYFUNCTION("""COMPUTED_VALUE"""),"3244897-4")</f>
        <v>3244897-4</v>
      </c>
      <c r="D71" s="138" t="str">
        <f>IFERROR(__xludf.DUMMYFUNCTION("""COMPUTED_VALUE"""),"FUEL CONTROL UNIT")</f>
        <v>FUEL CONTROL UNIT</v>
      </c>
      <c r="E71" s="138" t="str">
        <f>IFERROR(__xludf.DUMMYFUNCTION("""COMPUTED_VALUE"""),"C66477")</f>
        <v>C66477</v>
      </c>
      <c r="F71" s="138" t="str">
        <f>IFERROR(__xludf.DUMMYFUNCTION("""COMPUTED_VALUE"""),"014/2026")</f>
        <v>014/2026</v>
      </c>
      <c r="G71" s="138" t="str">
        <f>IFERROR(__xludf.DUMMYFUNCTION("""COMPUTED_VALUE"""),"22/04")</f>
        <v>22/04</v>
      </c>
      <c r="H71" s="138" t="str">
        <f>IFERROR(__xludf.DUMMYFUNCTION("""COMPUTED_VALUE"""),"27/04")</f>
        <v>27/04</v>
      </c>
      <c r="I71" s="138" t="str">
        <f>IFERROR(__xludf.DUMMYFUNCTION("""COMPUTED_VALUE"""),"27/04")</f>
        <v>27/04</v>
      </c>
      <c r="J71" s="138" t="str">
        <f>IFERROR(__xludf.DUMMYFUNCTION("""COMPUTED_VALUE"""),"05/05")</f>
        <v>05/05</v>
      </c>
      <c r="K71" s="138" t="str">
        <f>IFERROR(__xludf.DUMMYFUNCTION("""COMPUTED_VALUE"""),"08/05")</f>
        <v>08/05</v>
      </c>
      <c r="L71" s="138" t="str">
        <f>IFERROR(__xludf.DUMMYFUNCTION("""COMPUTED_VALUE"""),"08/05")</f>
        <v>08/05</v>
      </c>
      <c r="M71" s="138" t="str">
        <f>IFERROR(__xludf.DUMMYFUNCTION("""COMPUTED_VALUE"""),"08/05")</f>
        <v>08/05</v>
      </c>
      <c r="N71" s="138" t="str">
        <f>IFERROR(__xludf.DUMMYFUNCTION("""COMPUTED_VALUE"""),"08/05")</f>
        <v>08/05</v>
      </c>
      <c r="O71" s="138" t="str">
        <f>IFERROR(__xludf.DUMMYFUNCTION("""COMPUTED_VALUE"""),"08/05")</f>
        <v>08/05</v>
      </c>
      <c r="P71" s="138" t="str">
        <f>IFERROR(__xludf.DUMMYFUNCTION("""COMPUTED_VALUE"""),"13/05")</f>
        <v>13/05</v>
      </c>
      <c r="Q71" s="138" t="str">
        <f>IFERROR(__xludf.DUMMYFUNCTION("""COMPUTED_VALUE"""),"13/05")</f>
        <v>13/05</v>
      </c>
      <c r="R71" s="138" t="str">
        <f>IFERROR(__xludf.DUMMYFUNCTION("""COMPUTED_VALUE"""),"13/05")</f>
        <v>13/05</v>
      </c>
      <c r="S71" s="138" t="str">
        <f>IFERROR(__xludf.DUMMYFUNCTION("""COMPUTED_VALUE"""),"13/05")</f>
        <v>13/05</v>
      </c>
      <c r="T71" s="138" t="str">
        <f>IFERROR(__xludf.DUMMYFUNCTION("""COMPUTED_VALUE"""),"13/05")</f>
        <v>13/05</v>
      </c>
      <c r="U71" s="138" t="str">
        <f>IFERROR(__xludf.DUMMYFUNCTION("""COMPUTED_VALUE"""),"Dtata constante no termo é 22/05/2026, o correto é 22/04/2026.")</f>
        <v>Dtata constante no termo é 22/05/2026, o correto é 22/04/2026.</v>
      </c>
      <c r="V71" s="138"/>
      <c r="W71" s="138"/>
      <c r="X71" s="138"/>
      <c r="Y71" s="138"/>
      <c r="Z71" s="138"/>
    </row>
    <row r="72" hidden="1">
      <c r="A72" s="138" t="str">
        <f>IFERROR(__xludf.DUMMYFUNCTION("""COMPUTED_VALUE"""),"VEE ONE")</f>
        <v>VEE ONE</v>
      </c>
      <c r="B72" s="138" t="str">
        <f>IFERROR(__xludf.DUMMYFUNCTION("""COMPUTED_VALUE"""),"BABE")</f>
        <v>BABE</v>
      </c>
      <c r="C72" s="138" t="str">
        <f>IFERROR(__xludf.DUMMYFUNCTION("""COMPUTED_VALUE"""),"066-1055-00")</f>
        <v>066-1055-00</v>
      </c>
      <c r="D72" s="138" t="str">
        <f>IFERROR(__xludf.DUMMYFUNCTION("""COMPUTED_VALUE"""),"AUDIO CONTROL PANEL")</f>
        <v>AUDIO CONTROL PANEL</v>
      </c>
      <c r="E72" s="138" t="str">
        <f>IFERROR(__xludf.DUMMYFUNCTION("""COMPUTED_VALUE"""),"108773")</f>
        <v>108773</v>
      </c>
      <c r="F72" s="138" t="str">
        <f>IFERROR(__xludf.DUMMYFUNCTION("""COMPUTED_VALUE"""),"011/2026")</f>
        <v>011/2026</v>
      </c>
      <c r="G72" s="138" t="str">
        <f>IFERROR(__xludf.DUMMYFUNCTION("""COMPUTED_VALUE"""),"05/05")</f>
        <v>05/05</v>
      </c>
      <c r="H72" s="138" t="str">
        <f>IFERROR(__xludf.DUMMYFUNCTION("""COMPUTED_VALUE"""),"07/05")</f>
        <v>07/05</v>
      </c>
      <c r="I72" s="138" t="str">
        <f>IFERROR(__xludf.DUMMYFUNCTION("""COMPUTED_VALUE"""),"*")</f>
        <v>*</v>
      </c>
      <c r="J72" s="138" t="str">
        <f>IFERROR(__xludf.DUMMYFUNCTION("""COMPUTED_VALUE"""),"07/05")</f>
        <v>07/05</v>
      </c>
      <c r="K72" s="138" t="str">
        <f>IFERROR(__xludf.DUMMYFUNCTION("""COMPUTED_VALUE"""),"11/05")</f>
        <v>11/05</v>
      </c>
      <c r="L72" s="138" t="str">
        <f>IFERROR(__xludf.DUMMYFUNCTION("""COMPUTED_VALUE"""),"11/05")</f>
        <v>11/05</v>
      </c>
      <c r="M72" s="138" t="str">
        <f>IFERROR(__xludf.DUMMYFUNCTION("""COMPUTED_VALUE"""),"11/05")</f>
        <v>11/05</v>
      </c>
      <c r="N72" s="138" t="str">
        <f>IFERROR(__xludf.DUMMYFUNCTION("""COMPUTED_VALUE"""),"11/05")</f>
        <v>11/05</v>
      </c>
      <c r="O72" s="138" t="str">
        <f>IFERROR(__xludf.DUMMYFUNCTION("""COMPUTED_VALUE"""),"11/05")</f>
        <v>11/05</v>
      </c>
      <c r="P72" s="138" t="str">
        <f>IFERROR(__xludf.DUMMYFUNCTION("""COMPUTED_VALUE"""),"13/05")</f>
        <v>13/05</v>
      </c>
      <c r="Q72" s="138" t="str">
        <f>IFERROR(__xludf.DUMMYFUNCTION("""COMPUTED_VALUE"""),"13/05")</f>
        <v>13/05</v>
      </c>
      <c r="R72" s="138" t="str">
        <f>IFERROR(__xludf.DUMMYFUNCTION("""COMPUTED_VALUE"""),"13/05")</f>
        <v>13/05</v>
      </c>
      <c r="S72" s="138" t="str">
        <f>IFERROR(__xludf.DUMMYFUNCTION("""COMPUTED_VALUE"""),"13/05")</f>
        <v>13/05</v>
      </c>
      <c r="T72" s="138" t="str">
        <f>IFERROR(__xludf.DUMMYFUNCTION("""COMPUTED_VALUE"""),"14/05")</f>
        <v>14/05</v>
      </c>
      <c r="U72" s="138"/>
      <c r="V72" s="138"/>
      <c r="W72" s="138"/>
      <c r="X72" s="138"/>
      <c r="Y72" s="138"/>
      <c r="Z72" s="138"/>
    </row>
    <row r="73" hidden="1">
      <c r="A73" s="138" t="str">
        <f>IFERROR(__xludf.DUMMYFUNCTION("""COMPUTED_VALUE"""),"VEE ONE")</f>
        <v>VEE ONE</v>
      </c>
      <c r="B73" s="138" t="str">
        <f>IFERROR(__xludf.DUMMYFUNCTION("""COMPUTED_VALUE"""),"BAMN")</f>
        <v>BAMN</v>
      </c>
      <c r="C73" s="138" t="str">
        <f>IFERROR(__xludf.DUMMYFUNCTION("""COMPUTED_VALUE"""),"2682001-1")</f>
        <v>2682001-1</v>
      </c>
      <c r="D73" s="138" t="str">
        <f>IFERROR(__xludf.DUMMYFUNCTION("""COMPUTED_VALUE"""),"CILINDRO DE FREIO")</f>
        <v>CILINDRO DE FREIO</v>
      </c>
      <c r="E73" s="138" t="str">
        <f>IFERROR(__xludf.DUMMYFUNCTION("""COMPUTED_VALUE"""),"S4H004")</f>
        <v>S4H004</v>
      </c>
      <c r="F73" s="138" t="str">
        <f>IFERROR(__xludf.DUMMYFUNCTION("""COMPUTED_VALUE"""),"059/2026")</f>
        <v>059/2026</v>
      </c>
      <c r="G73" s="138" t="str">
        <f>IFERROR(__xludf.DUMMYFUNCTION("""COMPUTED_VALUE"""),"05/05")</f>
        <v>05/05</v>
      </c>
      <c r="H73" s="138" t="str">
        <f>IFERROR(__xludf.DUMMYFUNCTION("""COMPUTED_VALUE"""),"08/05")</f>
        <v>08/05</v>
      </c>
      <c r="I73" s="138" t="str">
        <f>IFERROR(__xludf.DUMMYFUNCTION("""COMPUTED_VALUE"""),"*")</f>
        <v>*</v>
      </c>
      <c r="J73" s="138" t="str">
        <f>IFERROR(__xludf.DUMMYFUNCTION("""COMPUTED_VALUE"""),"08/05")</f>
        <v>08/05</v>
      </c>
      <c r="K73" s="138" t="str">
        <f>IFERROR(__xludf.DUMMYFUNCTION("""COMPUTED_VALUE"""),"08/05")</f>
        <v>08/05</v>
      </c>
      <c r="L73" s="138" t="str">
        <f>IFERROR(__xludf.DUMMYFUNCTION("""COMPUTED_VALUE"""),"08/05")</f>
        <v>08/05</v>
      </c>
      <c r="M73" s="138" t="str">
        <f>IFERROR(__xludf.DUMMYFUNCTION("""COMPUTED_VALUE"""),"08/05")</f>
        <v>08/05</v>
      </c>
      <c r="N73" s="138" t="str">
        <f>IFERROR(__xludf.DUMMYFUNCTION("""COMPUTED_VALUE"""),"08/05")</f>
        <v>08/05</v>
      </c>
      <c r="O73" s="138" t="str">
        <f>IFERROR(__xludf.DUMMYFUNCTION("""COMPUTED_VALUE"""),"08/05")</f>
        <v>08/05</v>
      </c>
      <c r="P73" s="138" t="str">
        <f>IFERROR(__xludf.DUMMYFUNCTION("""COMPUTED_VALUE"""),"13/05")</f>
        <v>13/05</v>
      </c>
      <c r="Q73" s="138" t="str">
        <f>IFERROR(__xludf.DUMMYFUNCTION("""COMPUTED_VALUE"""),"13/05")</f>
        <v>13/05</v>
      </c>
      <c r="R73" s="138" t="str">
        <f>IFERROR(__xludf.DUMMYFUNCTION("""COMPUTED_VALUE"""),"13/05")</f>
        <v>13/05</v>
      </c>
      <c r="S73" s="138" t="str">
        <f>IFERROR(__xludf.DUMMYFUNCTION("""COMPUTED_VALUE"""),"13/05")</f>
        <v>13/05</v>
      </c>
      <c r="T73" s="138" t="str">
        <f>IFERROR(__xludf.DUMMYFUNCTION("""COMPUTED_VALUE"""),"13/05")</f>
        <v>13/05</v>
      </c>
      <c r="U73" s="138"/>
      <c r="V73" s="138"/>
      <c r="W73" s="138"/>
      <c r="X73" s="138"/>
      <c r="Y73" s="138"/>
      <c r="Z73" s="138"/>
    </row>
    <row r="74">
      <c r="A74" s="138" t="str">
        <f>IFERROR(__xludf.DUMMYFUNCTION("""COMPUTED_VALUE"""),"VEE ONE")</f>
        <v>VEE ONE</v>
      </c>
      <c r="B74" s="138" t="str">
        <f>IFERROR(__xludf.DUMMYFUNCTION("""COMPUTED_VALUE"""),"CLA")</f>
        <v>CLA</v>
      </c>
      <c r="C74" s="138" t="str">
        <f>IFERROR(__xludf.DUMMYFUNCTION("""COMPUTED_VALUE"""),"2641011-5")</f>
        <v>2641011-5</v>
      </c>
      <c r="D74" s="138" t="str">
        <f>IFERROR(__xludf.DUMMYFUNCTION("""COMPUTED_VALUE"""),"AXLE-MAIN GEAR")</f>
        <v>AXLE-MAIN GEAR</v>
      </c>
      <c r="E74" s="138" t="str">
        <f>IFERROR(__xludf.DUMMYFUNCTION("""COMPUTED_VALUE"""),"3124-5")</f>
        <v>3124-5</v>
      </c>
      <c r="F74" s="138" t="str">
        <f>IFERROR(__xludf.DUMMYFUNCTION("""COMPUTED_VALUE"""),"005/2026")</f>
        <v>005/2026</v>
      </c>
      <c r="G74" s="138" t="str">
        <f>IFERROR(__xludf.DUMMYFUNCTION("""COMPUTED_VALUE"""),"13/02")</f>
        <v>13/02</v>
      </c>
      <c r="H74" s="138" t="str">
        <f>IFERROR(__xludf.DUMMYFUNCTION("""COMPUTED_VALUE"""),"06/05")</f>
        <v>06/05</v>
      </c>
      <c r="I74" s="138" t="str">
        <f>IFERROR(__xludf.DUMMYFUNCTION("""COMPUTED_VALUE"""),"*")</f>
        <v>*</v>
      </c>
      <c r="J74" s="138" t="str">
        <f>IFERROR(__xludf.DUMMYFUNCTION("""COMPUTED_VALUE"""),"06/05")</f>
        <v>06/05</v>
      </c>
      <c r="K74" s="138" t="str">
        <f>IFERROR(__xludf.DUMMYFUNCTION("""COMPUTED_VALUE"""),"07/05")</f>
        <v>07/05</v>
      </c>
      <c r="L74" s="138" t="str">
        <f>IFERROR(__xludf.DUMMYFUNCTION("""COMPUTED_VALUE"""),"07/05")</f>
        <v>07/05</v>
      </c>
      <c r="M74" s="138" t="str">
        <f>IFERROR(__xludf.DUMMYFUNCTION("""COMPUTED_VALUE"""),"08/05")</f>
        <v>08/05</v>
      </c>
      <c r="N74" s="138" t="str">
        <f>IFERROR(__xludf.DUMMYFUNCTION("""COMPUTED_VALUE"""),"08/05")</f>
        <v>08/05</v>
      </c>
      <c r="O74" s="138" t="str">
        <f>IFERROR(__xludf.DUMMYFUNCTION("""COMPUTED_VALUE"""),"08/05")</f>
        <v>08/05</v>
      </c>
      <c r="P74" s="138" t="str">
        <f>IFERROR(__xludf.DUMMYFUNCTION("""COMPUTED_VALUE"""),"13/05")</f>
        <v>13/05</v>
      </c>
      <c r="Q74" s="138" t="str">
        <f>IFERROR(__xludf.DUMMYFUNCTION("""COMPUTED_VALUE"""),"13/05")</f>
        <v>13/05</v>
      </c>
      <c r="R74" s="138" t="str">
        <f>IFERROR(__xludf.DUMMYFUNCTION("""COMPUTED_VALUE"""),"13/05")</f>
        <v>13/05</v>
      </c>
      <c r="S74" s="138" t="str">
        <f>IFERROR(__xludf.DUMMYFUNCTION("""COMPUTED_VALUE"""),"13/05")</f>
        <v>13/05</v>
      </c>
      <c r="T74" s="138" t="str">
        <f>IFERROR(__xludf.DUMMYFUNCTION("""COMPUTED_VALUE"""),"25/05")</f>
        <v>25/05</v>
      </c>
      <c r="U74" s="138"/>
      <c r="V74" s="138"/>
      <c r="W74" s="138"/>
      <c r="X74" s="138"/>
      <c r="Y74" s="138"/>
      <c r="Z74" s="138"/>
    </row>
    <row r="75" hidden="1">
      <c r="A75" s="138" t="str">
        <f>IFERROR(__xludf.DUMMYFUNCTION("""COMPUTED_VALUE"""),"VEE ONE")</f>
        <v>VEE ONE</v>
      </c>
      <c r="B75" s="138" t="str">
        <f>IFERROR(__xludf.DUMMYFUNCTION("""COMPUTED_VALUE"""),"CLA")</f>
        <v>CLA</v>
      </c>
      <c r="C75" s="138" t="str">
        <f>IFERROR(__xludf.DUMMYFUNCTION("""COMPUTED_VALUE"""),"324843-W020")</f>
        <v>324843-W020</v>
      </c>
      <c r="D75" s="138" t="str">
        <f>IFERROR(__xludf.DUMMYFUNCTION("""COMPUTED_VALUE"""),"HEADSET-MICROPHONE")</f>
        <v>HEADSET-MICROPHONE</v>
      </c>
      <c r="E75" s="138" t="str">
        <f>IFERROR(__xludf.DUMMYFUNCTION("""COMPUTED_VALUE"""),"073200G71030137AE")</f>
        <v>073200G71030137AE</v>
      </c>
      <c r="F75" s="138" t="str">
        <f>IFERROR(__xludf.DUMMYFUNCTION("""COMPUTED_VALUE"""),"002/2026")</f>
        <v>002/2026</v>
      </c>
      <c r="G75" s="138" t="str">
        <f>IFERROR(__xludf.DUMMYFUNCTION("""COMPUTED_VALUE"""),"03/02")</f>
        <v>03/02</v>
      </c>
      <c r="H75" s="138" t="str">
        <f>IFERROR(__xludf.DUMMYFUNCTION("""COMPUTED_VALUE"""),"08/05")</f>
        <v>08/05</v>
      </c>
      <c r="I75" s="138" t="str">
        <f>IFERROR(__xludf.DUMMYFUNCTION("""COMPUTED_VALUE"""),"*")</f>
        <v>*</v>
      </c>
      <c r="J75" s="138" t="str">
        <f>IFERROR(__xludf.DUMMYFUNCTION("""COMPUTED_VALUE"""),"08/05")</f>
        <v>08/05</v>
      </c>
      <c r="K75" s="138" t="str">
        <f>IFERROR(__xludf.DUMMYFUNCTION("""COMPUTED_VALUE"""),"11/05")</f>
        <v>11/05</v>
      </c>
      <c r="L75" s="138" t="str">
        <f>IFERROR(__xludf.DUMMYFUNCTION("""COMPUTED_VALUE"""),"11/05")</f>
        <v>11/05</v>
      </c>
      <c r="M75" s="138" t="str">
        <f>IFERROR(__xludf.DUMMYFUNCTION("""COMPUTED_VALUE"""),"11/05")</f>
        <v>11/05</v>
      </c>
      <c r="N75" s="138" t="str">
        <f>IFERROR(__xludf.DUMMYFUNCTION("""COMPUTED_VALUE"""),"11/05")</f>
        <v>11/05</v>
      </c>
      <c r="O75" s="138" t="str">
        <f>IFERROR(__xludf.DUMMYFUNCTION("""COMPUTED_VALUE"""),"13/05")</f>
        <v>13/05</v>
      </c>
      <c r="P75" s="138" t="str">
        <f>IFERROR(__xludf.DUMMYFUNCTION("""COMPUTED_VALUE"""),"14/05")</f>
        <v>14/05</v>
      </c>
      <c r="Q75" s="138" t="str">
        <f>IFERROR(__xludf.DUMMYFUNCTION("""COMPUTED_VALUE"""),"14/05")</f>
        <v>14/05</v>
      </c>
      <c r="R75" s="138" t="str">
        <f>IFERROR(__xludf.DUMMYFUNCTION("""COMPUTED_VALUE"""),"14/05")</f>
        <v>14/05</v>
      </c>
      <c r="S75" s="138" t="str">
        <f>IFERROR(__xludf.DUMMYFUNCTION("""COMPUTED_VALUE"""),"14/05")</f>
        <v>14/05</v>
      </c>
      <c r="T75" s="138" t="str">
        <f>IFERROR(__xludf.DUMMYFUNCTION("""COMPUTED_VALUE"""),"25/05")</f>
        <v>25/05</v>
      </c>
      <c r="U75" s="138" t="str">
        <f>IFERROR(__xludf.DUMMYFUNCTION("""COMPUTED_VALUE"""),"SN não encontrado no sistema e sem certificado")</f>
        <v>SN não encontrado no sistema e sem certificado</v>
      </c>
      <c r="V75" s="138"/>
      <c r="W75" s="138"/>
      <c r="X75" s="138"/>
      <c r="Y75" s="138"/>
      <c r="Z75" s="138"/>
    </row>
    <row r="76" hidden="1">
      <c r="A76" s="138" t="str">
        <f>IFERROR(__xludf.DUMMYFUNCTION("""COMPUTED_VALUE"""),"VEE ONE")</f>
        <v>VEE ONE</v>
      </c>
      <c r="B76" s="138" t="str">
        <f>IFERROR(__xludf.DUMMYFUNCTION("""COMPUTED_VALUE"""),"BABE")</f>
        <v>BABE</v>
      </c>
      <c r="C76" s="138" t="str">
        <f>IFERROR(__xludf.DUMMYFUNCTION("""COMPUTED_VALUE"""),"011-01020-10")</f>
        <v>011-01020-10</v>
      </c>
      <c r="D76" s="138" t="str">
        <f>IFERROR(__xludf.DUMMYFUNCTION("""COMPUTED_VALUE"""),"AFCS MODE CONTROLLER GMC 710")</f>
        <v>AFCS MODE CONTROLLER GMC 710</v>
      </c>
      <c r="E76" s="138" t="str">
        <f>IFERROR(__xludf.DUMMYFUNCTION("""COMPUTED_VALUE"""),"22010827")</f>
        <v>22010827</v>
      </c>
      <c r="F76" s="138" t="str">
        <f>IFERROR(__xludf.DUMMYFUNCTION("""COMPUTED_VALUE"""),"007/2026")</f>
        <v>007/2026</v>
      </c>
      <c r="G76" s="138" t="str">
        <f>IFERROR(__xludf.DUMMYFUNCTION("""COMPUTED_VALUE"""),"19/03")</f>
        <v>19/03</v>
      </c>
      <c r="H76" s="138" t="str">
        <f>IFERROR(__xludf.DUMMYFUNCTION("""COMPUTED_VALUE"""),"23/03")</f>
        <v>23/03</v>
      </c>
      <c r="I76" s="138"/>
      <c r="J76" s="138" t="str">
        <f>IFERROR(__xludf.DUMMYFUNCTION("""COMPUTED_VALUE"""),"20/05")</f>
        <v>20/05</v>
      </c>
      <c r="K76" s="138" t="str">
        <f>IFERROR(__xludf.DUMMYFUNCTION("""COMPUTED_VALUE"""),"21/05")</f>
        <v>21/05</v>
      </c>
      <c r="L76" s="138" t="str">
        <f>IFERROR(__xludf.DUMMYFUNCTION("""COMPUTED_VALUE"""),"21/05")</f>
        <v>21/05</v>
      </c>
      <c r="M76" s="138" t="str">
        <f>IFERROR(__xludf.DUMMYFUNCTION("""COMPUTED_VALUE"""),"22/05")</f>
        <v>22/05</v>
      </c>
      <c r="N76" s="138" t="str">
        <f>IFERROR(__xludf.DUMMYFUNCTION("""COMPUTED_VALUE"""),"22/05")</f>
        <v>22/05</v>
      </c>
      <c r="O76" s="138" t="str">
        <f>IFERROR(__xludf.DUMMYFUNCTION("""COMPUTED_VALUE"""),"22/05")</f>
        <v>22/05</v>
      </c>
      <c r="P76" s="138" t="str">
        <f>IFERROR(__xludf.DUMMYFUNCTION("""COMPUTED_VALUE"""),"22/05")</f>
        <v>22/05</v>
      </c>
      <c r="Q76" s="138" t="str">
        <f>IFERROR(__xludf.DUMMYFUNCTION("""COMPUTED_VALUE"""),"22/05")</f>
        <v>22/05</v>
      </c>
      <c r="R76" s="138" t="str">
        <f>IFERROR(__xludf.DUMMYFUNCTION("""COMPUTED_VALUE"""),"22/05")</f>
        <v>22/05</v>
      </c>
      <c r="S76" s="138" t="str">
        <f>IFERROR(__xludf.DUMMYFUNCTION("""COMPUTED_VALUE"""),"22/05")</f>
        <v>22/05</v>
      </c>
      <c r="T76" s="138" t="str">
        <f>IFERROR(__xludf.DUMMYFUNCTION("""COMPUTED_VALUE"""),"27/05")</f>
        <v>27/05</v>
      </c>
      <c r="U76" s="138" t="str">
        <f>IFERROR(__xludf.DUMMYFUNCTION("""COMPUTED_VALUE"""),"Exchange com SN 22005920")</f>
        <v>Exchange com SN 22005920</v>
      </c>
      <c r="V76" s="138"/>
      <c r="W76" s="138"/>
      <c r="X76" s="138"/>
      <c r="Y76" s="138"/>
      <c r="Z76" s="138"/>
    </row>
    <row r="77" hidden="1">
      <c r="A77" s="138" t="str">
        <f>IFERROR(__xludf.DUMMYFUNCTION("""COMPUTED_VALUE"""),"VEE ONE")</f>
        <v>VEE ONE</v>
      </c>
      <c r="B77" s="138" t="str">
        <f>IFERROR(__xludf.DUMMYFUNCTION("""COMPUTED_VALUE"""),"BAMN")</f>
        <v>BAMN</v>
      </c>
      <c r="C77" s="138" t="str">
        <f>IFERROR(__xludf.DUMMYFUNCTION("""COMPUTED_VALUE"""),"D210507")</f>
        <v>D210507</v>
      </c>
      <c r="D77" s="138" t="str">
        <f>IFERROR(__xludf.DUMMYFUNCTION("""COMPUTED_VALUE"""),"GOVERNOR,OVERSPEED")</f>
        <v>GOVERNOR,OVERSPEED</v>
      </c>
      <c r="E77" s="138" t="str">
        <f>IFERROR(__xludf.DUMMYFUNCTION("""COMPUTED_VALUE"""),"12245097V")</f>
        <v>12245097V</v>
      </c>
      <c r="F77" s="138" t="str">
        <f>IFERROR(__xludf.DUMMYFUNCTION("""COMPUTED_VALUE"""),"060/2026")</f>
        <v>060/2026</v>
      </c>
      <c r="G77" s="138" t="str">
        <f>IFERROR(__xludf.DUMMYFUNCTION("""COMPUTED_VALUE"""),"07/05")</f>
        <v>07/05</v>
      </c>
      <c r="H77" s="138" t="str">
        <f>IFERROR(__xludf.DUMMYFUNCTION("""COMPUTED_VALUE"""),"08/05")</f>
        <v>08/05</v>
      </c>
      <c r="I77" s="138"/>
      <c r="J77" s="138" t="str">
        <f>IFERROR(__xludf.DUMMYFUNCTION("""COMPUTED_VALUE"""),"19/05")</f>
        <v>19/05</v>
      </c>
      <c r="K77" s="138" t="str">
        <f>IFERROR(__xludf.DUMMYFUNCTION("""COMPUTED_VALUE"""),"19/05")</f>
        <v>19/05</v>
      </c>
      <c r="L77" s="138" t="str">
        <f>IFERROR(__xludf.DUMMYFUNCTION("""COMPUTED_VALUE"""),"19/05")</f>
        <v>19/05</v>
      </c>
      <c r="M77" s="138" t="str">
        <f>IFERROR(__xludf.DUMMYFUNCTION("""COMPUTED_VALUE"""),"19/05")</f>
        <v>19/05</v>
      </c>
      <c r="N77" s="138" t="str">
        <f>IFERROR(__xludf.DUMMYFUNCTION("""COMPUTED_VALUE"""),"21/05")</f>
        <v>21/05</v>
      </c>
      <c r="O77" s="138" t="str">
        <f>IFERROR(__xludf.DUMMYFUNCTION("""COMPUTED_VALUE"""),"22/05")</f>
        <v>22/05</v>
      </c>
      <c r="P77" s="138" t="str">
        <f>IFERROR(__xludf.DUMMYFUNCTION("""COMPUTED_VALUE"""),"22/05")</f>
        <v>22/05</v>
      </c>
      <c r="Q77" s="138" t="str">
        <f>IFERROR(__xludf.DUMMYFUNCTION("""COMPUTED_VALUE"""),"22/05")</f>
        <v>22/05</v>
      </c>
      <c r="R77" s="138" t="str">
        <f>IFERROR(__xludf.DUMMYFUNCTION("""COMPUTED_VALUE"""),"22/05")</f>
        <v>22/05</v>
      </c>
      <c r="S77" s="138" t="str">
        <f>IFERROR(__xludf.DUMMYFUNCTION("""COMPUTED_VALUE"""),"22/05")</f>
        <v>22/05</v>
      </c>
      <c r="T77" s="138" t="str">
        <f>IFERROR(__xludf.DUMMYFUNCTION("""COMPUTED_VALUE"""),"25/05")</f>
        <v>25/05</v>
      </c>
      <c r="U77" s="138"/>
      <c r="V77" s="138"/>
      <c r="W77" s="138"/>
      <c r="X77" s="138"/>
      <c r="Y77" s="138"/>
      <c r="Z77" s="138"/>
    </row>
    <row r="78" hidden="1">
      <c r="A78" s="138" t="str">
        <f>IFERROR(__xludf.DUMMYFUNCTION("""COMPUTED_VALUE"""),"VEE ONE")</f>
        <v>VEE ONE</v>
      </c>
      <c r="B78" s="138" t="str">
        <f>IFERROR(__xludf.DUMMYFUNCTION("""COMPUTED_VALUE"""),"BAMN")</f>
        <v>BAMN</v>
      </c>
      <c r="C78" s="138" t="str">
        <f>IFERROR(__xludf.DUMMYFUNCTION("""COMPUTED_VALUE"""),"162-11800")</f>
        <v>162-11800</v>
      </c>
      <c r="D78" s="138" t="str">
        <f>IFERROR(__xludf.DUMMYFUNCTION("""COMPUTED_VALUE"""),"WHEEL HALF ASSY")</f>
        <v>WHEEL HALF ASSY</v>
      </c>
      <c r="E78" s="138" t="str">
        <f>IFERROR(__xludf.DUMMYFUNCTION("""COMPUTED_VALUE"""),"935")</f>
        <v>935</v>
      </c>
      <c r="F78" s="138" t="str">
        <f>IFERROR(__xludf.DUMMYFUNCTION("""COMPUTED_VALUE"""),"061/2026")</f>
        <v>061/2026</v>
      </c>
      <c r="G78" s="138" t="str">
        <f>IFERROR(__xludf.DUMMYFUNCTION("""COMPUTED_VALUE"""),"07/05")</f>
        <v>07/05</v>
      </c>
      <c r="H78" s="138" t="str">
        <f>IFERROR(__xludf.DUMMYFUNCTION("""COMPUTED_VALUE"""),"08/05")</f>
        <v>08/05</v>
      </c>
      <c r="I78" s="138"/>
      <c r="J78" s="138" t="str">
        <f>IFERROR(__xludf.DUMMYFUNCTION("""COMPUTED_VALUE"""),"19/05")</f>
        <v>19/05</v>
      </c>
      <c r="K78" s="138" t="str">
        <f>IFERROR(__xludf.DUMMYFUNCTION("""COMPUTED_VALUE"""),"19/05")</f>
        <v>19/05</v>
      </c>
      <c r="L78" s="138" t="str">
        <f>IFERROR(__xludf.DUMMYFUNCTION("""COMPUTED_VALUE"""),"19/05")</f>
        <v>19/05</v>
      </c>
      <c r="M78" s="138" t="str">
        <f>IFERROR(__xludf.DUMMYFUNCTION("""COMPUTED_VALUE"""),"19/05")</f>
        <v>19/05</v>
      </c>
      <c r="N78" s="138" t="str">
        <f>IFERROR(__xludf.DUMMYFUNCTION("""COMPUTED_VALUE"""),"21/05")</f>
        <v>21/05</v>
      </c>
      <c r="O78" s="138" t="str">
        <f>IFERROR(__xludf.DUMMYFUNCTION("""COMPUTED_VALUE"""),"22/05")</f>
        <v>22/05</v>
      </c>
      <c r="P78" s="138" t="str">
        <f>IFERROR(__xludf.DUMMYFUNCTION("""COMPUTED_VALUE"""),"22/05")</f>
        <v>22/05</v>
      </c>
      <c r="Q78" s="138" t="str">
        <f>IFERROR(__xludf.DUMMYFUNCTION("""COMPUTED_VALUE"""),"22/05")</f>
        <v>22/05</v>
      </c>
      <c r="R78" s="138" t="str">
        <f>IFERROR(__xludf.DUMMYFUNCTION("""COMPUTED_VALUE"""),"22/05")</f>
        <v>22/05</v>
      </c>
      <c r="S78" s="138" t="str">
        <f>IFERROR(__xludf.DUMMYFUNCTION("""COMPUTED_VALUE"""),"22/05")</f>
        <v>22/05</v>
      </c>
      <c r="T78" s="138" t="str">
        <f>IFERROR(__xludf.DUMMYFUNCTION("""COMPUTED_VALUE"""),"25/05")</f>
        <v>25/05</v>
      </c>
      <c r="U78" s="138"/>
      <c r="V78" s="138"/>
      <c r="W78" s="138"/>
      <c r="X78" s="138"/>
      <c r="Y78" s="138"/>
      <c r="Z78" s="138"/>
    </row>
    <row r="79" hidden="1">
      <c r="A79" s="138" t="str">
        <f>IFERROR(__xludf.DUMMYFUNCTION("""COMPUTED_VALUE"""),"VEE ONE")</f>
        <v>VEE ONE</v>
      </c>
      <c r="B79" s="138" t="str">
        <f>IFERROR(__xludf.DUMMYFUNCTION("""COMPUTED_VALUE"""),"BAMN")</f>
        <v>BAMN</v>
      </c>
      <c r="C79" s="138" t="str">
        <f>IFERROR(__xludf.DUMMYFUNCTION("""COMPUTED_VALUE"""),"161-12800")</f>
        <v>161-12800</v>
      </c>
      <c r="D79" s="138" t="str">
        <f>IFERROR(__xludf.DUMMYFUNCTION("""COMPUTED_VALUE"""),"WHEEL HALF ASSY")</f>
        <v>WHEEL HALF ASSY</v>
      </c>
      <c r="E79" s="138" t="str">
        <f>IFERROR(__xludf.DUMMYFUNCTION("""COMPUTED_VALUE"""),"108")</f>
        <v>108</v>
      </c>
      <c r="F79" s="138" t="str">
        <f>IFERROR(__xludf.DUMMYFUNCTION("""COMPUTED_VALUE"""),"061/2026")</f>
        <v>061/2026</v>
      </c>
      <c r="G79" s="138" t="str">
        <f>IFERROR(__xludf.DUMMYFUNCTION("""COMPUTED_VALUE"""),"07/05")</f>
        <v>07/05</v>
      </c>
      <c r="H79" s="138" t="str">
        <f>IFERROR(__xludf.DUMMYFUNCTION("""COMPUTED_VALUE"""),"08/05")</f>
        <v>08/05</v>
      </c>
      <c r="I79" s="138"/>
      <c r="J79" s="138" t="str">
        <f>IFERROR(__xludf.DUMMYFUNCTION("""COMPUTED_VALUE"""),"19/05")</f>
        <v>19/05</v>
      </c>
      <c r="K79" s="138" t="str">
        <f>IFERROR(__xludf.DUMMYFUNCTION("""COMPUTED_VALUE"""),"19/05")</f>
        <v>19/05</v>
      </c>
      <c r="L79" s="138" t="str">
        <f>IFERROR(__xludf.DUMMYFUNCTION("""COMPUTED_VALUE"""),"19/05")</f>
        <v>19/05</v>
      </c>
      <c r="M79" s="138" t="str">
        <f>IFERROR(__xludf.DUMMYFUNCTION("""COMPUTED_VALUE"""),"19/05")</f>
        <v>19/05</v>
      </c>
      <c r="N79" s="138" t="str">
        <f>IFERROR(__xludf.DUMMYFUNCTION("""COMPUTED_VALUE"""),"21/05")</f>
        <v>21/05</v>
      </c>
      <c r="O79" s="138" t="str">
        <f>IFERROR(__xludf.DUMMYFUNCTION("""COMPUTED_VALUE"""),"22/05")</f>
        <v>22/05</v>
      </c>
      <c r="P79" s="138" t="str">
        <f>IFERROR(__xludf.DUMMYFUNCTION("""COMPUTED_VALUE"""),"22/05")</f>
        <v>22/05</v>
      </c>
      <c r="Q79" s="138" t="str">
        <f>IFERROR(__xludf.DUMMYFUNCTION("""COMPUTED_VALUE"""),"22/05")</f>
        <v>22/05</v>
      </c>
      <c r="R79" s="138" t="str">
        <f>IFERROR(__xludf.DUMMYFUNCTION("""COMPUTED_VALUE"""),"22/05")</f>
        <v>22/05</v>
      </c>
      <c r="S79" s="138" t="str">
        <f>IFERROR(__xludf.DUMMYFUNCTION("""COMPUTED_VALUE"""),"22/05")</f>
        <v>22/05</v>
      </c>
      <c r="T79" s="138" t="str">
        <f>IFERROR(__xludf.DUMMYFUNCTION("""COMPUTED_VALUE"""),"25/05")</f>
        <v>25/05</v>
      </c>
      <c r="U79" s="138"/>
      <c r="V79" s="138"/>
      <c r="W79" s="138"/>
      <c r="X79" s="138"/>
      <c r="Y79" s="138"/>
      <c r="Z79" s="138"/>
    </row>
    <row r="80" hidden="1">
      <c r="A80" s="138" t="str">
        <f>IFERROR(__xludf.DUMMYFUNCTION("""COMPUTED_VALUE"""),"VEE ONE")</f>
        <v>VEE ONE</v>
      </c>
      <c r="B80" s="138" t="str">
        <f>IFERROR(__xludf.DUMMYFUNCTION("""COMPUTED_VALUE"""),"BAMN")</f>
        <v>BAMN</v>
      </c>
      <c r="C80" s="138" t="str">
        <f>IFERROR(__xludf.DUMMYFUNCTION("""COMPUTED_VALUE"""),"162-11800")</f>
        <v>162-11800</v>
      </c>
      <c r="D80" s="138" t="str">
        <f>IFERROR(__xludf.DUMMYFUNCTION("""COMPUTED_VALUE"""),"WHEEL HALF ASSY")</f>
        <v>WHEEL HALF ASSY</v>
      </c>
      <c r="E80" s="138" t="str">
        <f>IFERROR(__xludf.DUMMYFUNCTION("""COMPUTED_VALUE"""),"289")</f>
        <v>289</v>
      </c>
      <c r="F80" s="138" t="str">
        <f>IFERROR(__xludf.DUMMYFUNCTION("""COMPUTED_VALUE"""),"061/2026")</f>
        <v>061/2026</v>
      </c>
      <c r="G80" s="138" t="str">
        <f>IFERROR(__xludf.DUMMYFUNCTION("""COMPUTED_VALUE"""),"07/05")</f>
        <v>07/05</v>
      </c>
      <c r="H80" s="138" t="str">
        <f>IFERROR(__xludf.DUMMYFUNCTION("""COMPUTED_VALUE"""),"08/05")</f>
        <v>08/05</v>
      </c>
      <c r="I80" s="138"/>
      <c r="J80" s="138" t="str">
        <f>IFERROR(__xludf.DUMMYFUNCTION("""COMPUTED_VALUE"""),"19/05")</f>
        <v>19/05</v>
      </c>
      <c r="K80" s="138" t="str">
        <f>IFERROR(__xludf.DUMMYFUNCTION("""COMPUTED_VALUE"""),"19/05")</f>
        <v>19/05</v>
      </c>
      <c r="L80" s="138" t="str">
        <f>IFERROR(__xludf.DUMMYFUNCTION("""COMPUTED_VALUE"""),"19/05")</f>
        <v>19/05</v>
      </c>
      <c r="M80" s="138" t="str">
        <f>IFERROR(__xludf.DUMMYFUNCTION("""COMPUTED_VALUE"""),"19/05")</f>
        <v>19/05</v>
      </c>
      <c r="N80" s="138" t="str">
        <f>IFERROR(__xludf.DUMMYFUNCTION("""COMPUTED_VALUE"""),"21/05")</f>
        <v>21/05</v>
      </c>
      <c r="O80" s="138" t="str">
        <f>IFERROR(__xludf.DUMMYFUNCTION("""COMPUTED_VALUE"""),"22/05")</f>
        <v>22/05</v>
      </c>
      <c r="P80" s="138" t="str">
        <f>IFERROR(__xludf.DUMMYFUNCTION("""COMPUTED_VALUE"""),"22/05")</f>
        <v>22/05</v>
      </c>
      <c r="Q80" s="138" t="str">
        <f>IFERROR(__xludf.DUMMYFUNCTION("""COMPUTED_VALUE"""),"22/05")</f>
        <v>22/05</v>
      </c>
      <c r="R80" s="138" t="str">
        <f>IFERROR(__xludf.DUMMYFUNCTION("""COMPUTED_VALUE"""),"22/05")</f>
        <v>22/05</v>
      </c>
      <c r="S80" s="138" t="str">
        <f>IFERROR(__xludf.DUMMYFUNCTION("""COMPUTED_VALUE"""),"22/05")</f>
        <v>22/05</v>
      </c>
      <c r="T80" s="138" t="str">
        <f>IFERROR(__xludf.DUMMYFUNCTION("""COMPUTED_VALUE"""),"25/05")</f>
        <v>25/05</v>
      </c>
      <c r="U80" s="138"/>
      <c r="V80" s="138"/>
      <c r="W80" s="138"/>
      <c r="X80" s="138"/>
      <c r="Y80" s="138"/>
      <c r="Z80" s="138"/>
    </row>
    <row r="81" hidden="1">
      <c r="A81" s="138" t="str">
        <f>IFERROR(__xludf.DUMMYFUNCTION("""COMPUTED_VALUE"""),"VEE ONE")</f>
        <v>VEE ONE</v>
      </c>
      <c r="B81" s="138" t="str">
        <f>IFERROR(__xludf.DUMMYFUNCTION("""COMPUTED_VALUE"""),"BAMN")</f>
        <v>BAMN</v>
      </c>
      <c r="C81" s="138" t="str">
        <f>IFERROR(__xludf.DUMMYFUNCTION("""COMPUTED_VALUE"""),"453-5060")</f>
        <v>453-5060</v>
      </c>
      <c r="D81" s="138" t="str">
        <f>IFERROR(__xludf.DUMMYFUNCTION("""COMPUTED_VALUE"""),"TRANSMISSOR LOCALIZADOR DE EMERGÊNCIA")</f>
        <v>TRANSMISSOR LOCALIZADOR DE EMERGÊNCIA</v>
      </c>
      <c r="E81" s="138" t="str">
        <f>IFERROR(__xludf.DUMMYFUNCTION("""COMPUTED_VALUE"""),"06291")</f>
        <v>06291</v>
      </c>
      <c r="F81" s="138" t="str">
        <f>IFERROR(__xludf.DUMMYFUNCTION("""COMPUTED_VALUE"""),"063/2026")</f>
        <v>063/2026</v>
      </c>
      <c r="G81" s="138" t="str">
        <f>IFERROR(__xludf.DUMMYFUNCTION("""COMPUTED_VALUE"""),"07/05")</f>
        <v>07/05</v>
      </c>
      <c r="H81" s="138" t="str">
        <f>IFERROR(__xludf.DUMMYFUNCTION("""COMPUTED_VALUE"""),"08/05")</f>
        <v>08/05</v>
      </c>
      <c r="I81" s="138"/>
      <c r="J81" s="138" t="str">
        <f>IFERROR(__xludf.DUMMYFUNCTION("""COMPUTED_VALUE"""),"19/05")</f>
        <v>19/05</v>
      </c>
      <c r="K81" s="138" t="str">
        <f>IFERROR(__xludf.DUMMYFUNCTION("""COMPUTED_VALUE"""),"19/05")</f>
        <v>19/05</v>
      </c>
      <c r="L81" s="138" t="str">
        <f>IFERROR(__xludf.DUMMYFUNCTION("""COMPUTED_VALUE"""),"19/05")</f>
        <v>19/05</v>
      </c>
      <c r="M81" s="138" t="str">
        <f>IFERROR(__xludf.DUMMYFUNCTION("""COMPUTED_VALUE"""),"19/05")</f>
        <v>19/05</v>
      </c>
      <c r="N81" s="138" t="str">
        <f>IFERROR(__xludf.DUMMYFUNCTION("""COMPUTED_VALUE"""),"21/05")</f>
        <v>21/05</v>
      </c>
      <c r="O81" s="138" t="str">
        <f>IFERROR(__xludf.DUMMYFUNCTION("""COMPUTED_VALUE"""),"22/05")</f>
        <v>22/05</v>
      </c>
      <c r="P81" s="138" t="str">
        <f>IFERROR(__xludf.DUMMYFUNCTION("""COMPUTED_VALUE"""),"22/05")</f>
        <v>22/05</v>
      </c>
      <c r="Q81" s="138" t="str">
        <f>IFERROR(__xludf.DUMMYFUNCTION("""COMPUTED_VALUE"""),"22/05")</f>
        <v>22/05</v>
      </c>
      <c r="R81" s="138" t="str">
        <f>IFERROR(__xludf.DUMMYFUNCTION("""COMPUTED_VALUE"""),"22/05")</f>
        <v>22/05</v>
      </c>
      <c r="S81" s="138" t="str">
        <f>IFERROR(__xludf.DUMMYFUNCTION("""COMPUTED_VALUE"""),"22/05")</f>
        <v>22/05</v>
      </c>
      <c r="T81" s="138" t="str">
        <f>IFERROR(__xludf.DUMMYFUNCTION("""COMPUTED_VALUE"""),"25/05")</f>
        <v>25/05</v>
      </c>
      <c r="U81" s="138"/>
      <c r="V81" s="138"/>
      <c r="W81" s="138"/>
      <c r="X81" s="138"/>
      <c r="Y81" s="138"/>
      <c r="Z81" s="138"/>
    </row>
    <row r="82" hidden="1">
      <c r="A82" s="138" t="str">
        <f>IFERROR(__xludf.DUMMYFUNCTION("""COMPUTED_VALUE"""),"VEE ONE")</f>
        <v>VEE ONE</v>
      </c>
      <c r="B82" s="138" t="str">
        <f>IFERROR(__xludf.DUMMYFUNCTION("""COMPUTED_VALUE"""),"BACG")</f>
        <v>BACG</v>
      </c>
      <c r="C82" s="138" t="str">
        <f>IFERROR(__xludf.DUMMYFUNCTION("""COMPUTED_VALUE"""),"9910338-6")</f>
        <v>9910338-6</v>
      </c>
      <c r="D82" s="138" t="str">
        <f>IFERROR(__xludf.DUMMYFUNCTION("""COMPUTED_VALUE"""),"TRANSMITTER")</f>
        <v>TRANSMITTER</v>
      </c>
      <c r="E82" s="138" t="str">
        <f>IFERROR(__xludf.DUMMYFUNCTION("""COMPUTED_VALUE"""),"AAT5599")</f>
        <v>AAT5599</v>
      </c>
      <c r="F82" s="138" t="str">
        <f>IFERROR(__xludf.DUMMYFUNCTION("""COMPUTED_VALUE"""),"004/2026")</f>
        <v>004/2026</v>
      </c>
      <c r="G82" s="138" t="str">
        <f>IFERROR(__xludf.DUMMYFUNCTION("""COMPUTED_VALUE"""),"26/03")</f>
        <v>26/03</v>
      </c>
      <c r="H82" s="138" t="str">
        <f>IFERROR(__xludf.DUMMYFUNCTION("""COMPUTED_VALUE"""),"30/03")</f>
        <v>30/03</v>
      </c>
      <c r="I82" s="138" t="str">
        <f>IFERROR(__xludf.DUMMYFUNCTION("""COMPUTED_VALUE"""),"30/03")</f>
        <v>30/03</v>
      </c>
      <c r="J82" s="138" t="str">
        <f>IFERROR(__xludf.DUMMYFUNCTION("""COMPUTED_VALUE"""),"30/03")</f>
        <v>30/03</v>
      </c>
      <c r="K82" s="138" t="str">
        <f>IFERROR(__xludf.DUMMYFUNCTION("""COMPUTED_VALUE"""),"30/03")</f>
        <v>30/03</v>
      </c>
      <c r="L82" s="138" t="str">
        <f>IFERROR(__xludf.DUMMYFUNCTION("""COMPUTED_VALUE"""),"30/03")</f>
        <v>30/03</v>
      </c>
      <c r="M82" s="138" t="str">
        <f>IFERROR(__xludf.DUMMYFUNCTION("""COMPUTED_VALUE"""),"31/03")</f>
        <v>31/03</v>
      </c>
      <c r="N82" s="138" t="str">
        <f>IFERROR(__xludf.DUMMYFUNCTION("""COMPUTED_VALUE"""),"31/03")</f>
        <v>31/03</v>
      </c>
      <c r="O82" s="138" t="str">
        <f>IFERROR(__xludf.DUMMYFUNCTION("""COMPUTED_VALUE"""),"31/03")</f>
        <v>31/03</v>
      </c>
      <c r="P82" s="138" t="str">
        <f>IFERROR(__xludf.DUMMYFUNCTION("""COMPUTED_VALUE"""),"31/03")</f>
        <v>31/03</v>
      </c>
      <c r="Q82" s="138" t="str">
        <f>IFERROR(__xludf.DUMMYFUNCTION("""COMPUTED_VALUE"""),"31/03")</f>
        <v>31/03</v>
      </c>
      <c r="R82" s="138" t="str">
        <f>IFERROR(__xludf.DUMMYFUNCTION("""COMPUTED_VALUE"""),"31/03")</f>
        <v>31/03</v>
      </c>
      <c r="S82" s="138" t="str">
        <f>IFERROR(__xludf.DUMMYFUNCTION("""COMPUTED_VALUE"""),"31/03, 05/05 e 02/06")</f>
        <v>31/03, 05/05 e 02/06</v>
      </c>
      <c r="T82" s="138" t="str">
        <f>IFERROR(__xludf.DUMMYFUNCTION("""COMPUTED_VALUE"""),"02/06")</f>
        <v>02/06</v>
      </c>
      <c r="U82" s="138"/>
      <c r="V82" s="138"/>
      <c r="W82" s="138"/>
      <c r="X82" s="138"/>
      <c r="Y82" s="138"/>
      <c r="Z82" s="138"/>
    </row>
    <row r="83" hidden="1">
      <c r="A83" s="138" t="str">
        <f>IFERROR(__xludf.DUMMYFUNCTION("""COMPUTED_VALUE"""),"VEE ONE")</f>
        <v>VEE ONE</v>
      </c>
      <c r="B83" s="138" t="str">
        <f>IFERROR(__xludf.DUMMYFUNCTION("""COMPUTED_VALUE"""),"BACO")</f>
        <v>BACO</v>
      </c>
      <c r="C83" s="138" t="str">
        <f>IFERROR(__xludf.DUMMYFUNCTION("""COMPUTED_VALUE"""),"200SGL119Q-2")</f>
        <v>200SGL119Q-2</v>
      </c>
      <c r="D83" s="138" t="str">
        <f>IFERROR(__xludf.DUMMYFUNCTION("""COMPUTED_VALUE"""),"STARTER GENERATOR")</f>
        <v>STARTER GENERATOR</v>
      </c>
      <c r="E83" s="138" t="str">
        <f>IFERROR(__xludf.DUMMYFUNCTION("""COMPUTED_VALUE"""),"S00062XL")</f>
        <v>S00062XL</v>
      </c>
      <c r="F83" s="138" t="str">
        <f>IFERROR(__xludf.DUMMYFUNCTION("""COMPUTED_VALUE"""),"735/2026")</f>
        <v>735/2026</v>
      </c>
      <c r="G83" s="138" t="str">
        <f>IFERROR(__xludf.DUMMYFUNCTION("""COMPUTED_VALUE"""),"15/05")</f>
        <v>15/05</v>
      </c>
      <c r="H83" s="138" t="str">
        <f>IFERROR(__xludf.DUMMYFUNCTION("""COMPUTED_VALUE"""),"25/05")</f>
        <v>25/05</v>
      </c>
      <c r="I83" s="138"/>
      <c r="J83" s="138" t="str">
        <f>IFERROR(__xludf.DUMMYFUNCTION("""COMPUTED_VALUE"""),"26/05")</f>
        <v>26/05</v>
      </c>
      <c r="K83" s="138" t="str">
        <f>IFERROR(__xludf.DUMMYFUNCTION("""COMPUTED_VALUE"""),"27/05")</f>
        <v>27/05</v>
      </c>
      <c r="L83" s="138" t="str">
        <f>IFERROR(__xludf.DUMMYFUNCTION("""COMPUTED_VALUE"""),"27/05")</f>
        <v>27/05</v>
      </c>
      <c r="M83" s="138" t="str">
        <f>IFERROR(__xludf.DUMMYFUNCTION("""COMPUTED_VALUE"""),"27/05")</f>
        <v>27/05</v>
      </c>
      <c r="N83" s="138" t="str">
        <f>IFERROR(__xludf.DUMMYFUNCTION("""COMPUTED_VALUE"""),"27/05")</f>
        <v>27/05</v>
      </c>
      <c r="O83" s="138" t="str">
        <f>IFERROR(__xludf.DUMMYFUNCTION("""COMPUTED_VALUE"""),"27/05")</f>
        <v>27/05</v>
      </c>
      <c r="P83" s="138" t="str">
        <f>IFERROR(__xludf.DUMMYFUNCTION("""COMPUTED_VALUE"""),"27/05")</f>
        <v>27/05</v>
      </c>
      <c r="Q83" s="138" t="str">
        <f>IFERROR(__xludf.DUMMYFUNCTION("""COMPUTED_VALUE"""),"27/05")</f>
        <v>27/05</v>
      </c>
      <c r="R83" s="138" t="str">
        <f>IFERROR(__xludf.DUMMYFUNCTION("""COMPUTED_VALUE"""),"27/05")</f>
        <v>27/05</v>
      </c>
      <c r="S83" s="138" t="str">
        <f>IFERROR(__xludf.DUMMYFUNCTION("""COMPUTED_VALUE"""),"27/05 e 02/06")</f>
        <v>27/05 e 02/06</v>
      </c>
      <c r="T83" s="138" t="str">
        <f>IFERROR(__xludf.DUMMYFUNCTION("""COMPUTED_VALUE"""),"28/05")</f>
        <v>28/05</v>
      </c>
      <c r="U83" s="138"/>
      <c r="V83" s="138"/>
      <c r="W83" s="138"/>
      <c r="X83" s="138"/>
      <c r="Y83" s="138"/>
      <c r="Z83" s="138"/>
    </row>
    <row r="84" hidden="1">
      <c r="A84" s="138" t="str">
        <f>IFERROR(__xludf.DUMMYFUNCTION("""COMPUTED_VALUE"""),"VEE ONE")</f>
        <v>VEE ONE</v>
      </c>
      <c r="B84" s="138" t="str">
        <f>IFERROR(__xludf.DUMMYFUNCTION("""COMPUTED_VALUE"""),"BABE")</f>
        <v>BABE</v>
      </c>
      <c r="C84" s="138" t="str">
        <f>IFERROR(__xludf.DUMMYFUNCTION("""COMPUTED_VALUE"""),"161-12800")</f>
        <v>161-12800</v>
      </c>
      <c r="D84" s="138" t="str">
        <f>IFERROR(__xludf.DUMMYFUNCTION("""COMPUTED_VALUE"""),"WHEEL HALF ASSY")</f>
        <v>WHEEL HALF ASSY</v>
      </c>
      <c r="E84" s="138" t="str">
        <f>IFERROR(__xludf.DUMMYFUNCTION("""COMPUTED_VALUE"""),"31")</f>
        <v>31</v>
      </c>
      <c r="F84" s="138" t="str">
        <f>IFERROR(__xludf.DUMMYFUNCTION("""COMPUTED_VALUE"""),"016/2026")</f>
        <v>016/2026</v>
      </c>
      <c r="G84" s="138" t="str">
        <f>IFERROR(__xludf.DUMMYFUNCTION("""COMPUTED_VALUE"""),"16/06")</f>
        <v>16/06</v>
      </c>
      <c r="H84" s="138" t="str">
        <f>IFERROR(__xludf.DUMMYFUNCTION("""COMPUTED_VALUE"""),"19/06")</f>
        <v>19/06</v>
      </c>
      <c r="I84" s="138"/>
      <c r="J84" s="138" t="str">
        <f>IFERROR(__xludf.DUMMYFUNCTION("""COMPUTED_VALUE"""),"22/06")</f>
        <v>22/06</v>
      </c>
      <c r="K84" s="138" t="str">
        <f>IFERROR(__xludf.DUMMYFUNCTION("""COMPUTED_VALUE"""),"22/06")</f>
        <v>22/06</v>
      </c>
      <c r="L84" s="138" t="str">
        <f>IFERROR(__xludf.DUMMYFUNCTION("""COMPUTED_VALUE"""),"22/06")</f>
        <v>22/06</v>
      </c>
      <c r="M84" s="138" t="str">
        <f>IFERROR(__xludf.DUMMYFUNCTION("""COMPUTED_VALUE"""),"23/06")</f>
        <v>23/06</v>
      </c>
      <c r="N84" s="138" t="str">
        <f>IFERROR(__xludf.DUMMYFUNCTION("""COMPUTED_VALUE"""),"23/06")</f>
        <v>23/06</v>
      </c>
      <c r="O84" s="138" t="str">
        <f>IFERROR(__xludf.DUMMYFUNCTION("""COMPUTED_VALUE"""),"23/06")</f>
        <v>23/06</v>
      </c>
      <c r="P84" s="138" t="str">
        <f>IFERROR(__xludf.DUMMYFUNCTION("""COMPUTED_VALUE"""),"24/06")</f>
        <v>24/06</v>
      </c>
      <c r="Q84" s="138" t="str">
        <f>IFERROR(__xludf.DUMMYFUNCTION("""COMPUTED_VALUE"""),"24/06")</f>
        <v>24/06</v>
      </c>
      <c r="R84" s="138" t="str">
        <f>IFERROR(__xludf.DUMMYFUNCTION("""COMPUTED_VALUE"""),"24/06")</f>
        <v>24/06</v>
      </c>
      <c r="S84" s="138" t="str">
        <f>IFERROR(__xludf.DUMMYFUNCTION("""COMPUTED_VALUE"""),"24/06")</f>
        <v>24/06</v>
      </c>
      <c r="T84" s="138" t="str">
        <f>IFERROR(__xludf.DUMMYFUNCTION("""COMPUTED_VALUE"""),"26/06")</f>
        <v>26/06</v>
      </c>
      <c r="U84" s="138"/>
      <c r="V84" s="138"/>
      <c r="W84" s="138"/>
      <c r="X84" s="138"/>
      <c r="Y84" s="138"/>
      <c r="Z84" s="138"/>
    </row>
    <row r="85" hidden="1">
      <c r="A85" s="138" t="str">
        <f>IFERROR(__xludf.DUMMYFUNCTION("""COMPUTED_VALUE"""),"VEE ONE")</f>
        <v>VEE ONE</v>
      </c>
      <c r="B85" s="138" t="str">
        <f>IFERROR(__xludf.DUMMYFUNCTION("""COMPUTED_VALUE"""),"BABE")</f>
        <v>BABE</v>
      </c>
      <c r="C85" s="138" t="str">
        <f>IFERROR(__xludf.DUMMYFUNCTION("""COMPUTED_VALUE"""),"161-12800")</f>
        <v>161-12800</v>
      </c>
      <c r="D85" s="138" t="str">
        <f>IFERROR(__xludf.DUMMYFUNCTION("""COMPUTED_VALUE"""),"WHEEL HALF ASSY")</f>
        <v>WHEEL HALF ASSY</v>
      </c>
      <c r="E85" s="138" t="str">
        <f>IFERROR(__xludf.DUMMYFUNCTION("""COMPUTED_VALUE"""),"822")</f>
        <v>822</v>
      </c>
      <c r="F85" s="138" t="str">
        <f>IFERROR(__xludf.DUMMYFUNCTION("""COMPUTED_VALUE"""),"016/2026")</f>
        <v>016/2026</v>
      </c>
      <c r="G85" s="138" t="str">
        <f>IFERROR(__xludf.DUMMYFUNCTION("""COMPUTED_VALUE"""),"16/06")</f>
        <v>16/06</v>
      </c>
      <c r="H85" s="138" t="str">
        <f>IFERROR(__xludf.DUMMYFUNCTION("""COMPUTED_VALUE"""),"19/06")</f>
        <v>19/06</v>
      </c>
      <c r="I85" s="138"/>
      <c r="J85" s="138" t="str">
        <f>IFERROR(__xludf.DUMMYFUNCTION("""COMPUTED_VALUE"""),"22/06")</f>
        <v>22/06</v>
      </c>
      <c r="K85" s="138" t="str">
        <f>IFERROR(__xludf.DUMMYFUNCTION("""COMPUTED_VALUE"""),"22/06")</f>
        <v>22/06</v>
      </c>
      <c r="L85" s="138" t="str">
        <f>IFERROR(__xludf.DUMMYFUNCTION("""COMPUTED_VALUE"""),"22/06")</f>
        <v>22/06</v>
      </c>
      <c r="M85" s="138" t="str">
        <f>IFERROR(__xludf.DUMMYFUNCTION("""COMPUTED_VALUE"""),"23/06")</f>
        <v>23/06</v>
      </c>
      <c r="N85" s="138" t="str">
        <f>IFERROR(__xludf.DUMMYFUNCTION("""COMPUTED_VALUE"""),"23/06")</f>
        <v>23/06</v>
      </c>
      <c r="O85" s="138" t="str">
        <f>IFERROR(__xludf.DUMMYFUNCTION("""COMPUTED_VALUE"""),"23/06")</f>
        <v>23/06</v>
      </c>
      <c r="P85" s="138" t="str">
        <f>IFERROR(__xludf.DUMMYFUNCTION("""COMPUTED_VALUE"""),"24/06")</f>
        <v>24/06</v>
      </c>
      <c r="Q85" s="138" t="str">
        <f>IFERROR(__xludf.DUMMYFUNCTION("""COMPUTED_VALUE"""),"24/06")</f>
        <v>24/06</v>
      </c>
      <c r="R85" s="138" t="str">
        <f>IFERROR(__xludf.DUMMYFUNCTION("""COMPUTED_VALUE"""),"24/06")</f>
        <v>24/06</v>
      </c>
      <c r="S85" s="138" t="str">
        <f>IFERROR(__xludf.DUMMYFUNCTION("""COMPUTED_VALUE"""),"24/06")</f>
        <v>24/06</v>
      </c>
      <c r="T85" s="138" t="str">
        <f>IFERROR(__xludf.DUMMYFUNCTION("""COMPUTED_VALUE"""),"26/06")</f>
        <v>26/06</v>
      </c>
      <c r="U85" s="138"/>
      <c r="V85" s="138"/>
      <c r="W85" s="138"/>
      <c r="X85" s="138"/>
      <c r="Y85" s="138"/>
      <c r="Z85" s="138"/>
    </row>
    <row r="86" hidden="1">
      <c r="A86" s="138" t="str">
        <f>IFERROR(__xludf.DUMMYFUNCTION("""COMPUTED_VALUE"""),"VEE ONE")</f>
        <v>VEE ONE</v>
      </c>
      <c r="B86" s="138" t="str">
        <f>IFERROR(__xludf.DUMMYFUNCTION("""COMPUTED_VALUE"""),"CLA")</f>
        <v>CLA</v>
      </c>
      <c r="C86" s="138" t="str">
        <f>IFERROR(__xludf.DUMMYFUNCTION("""COMPUTED_VALUE"""),"066-3046-07")</f>
        <v>066-3046-07</v>
      </c>
      <c r="D86" s="138" t="str">
        <f>IFERROR(__xludf.DUMMYFUNCTION("""COMPUTED_VALUE"""),"CONTROL INDICATOR")</f>
        <v>CONTROL INDICATOR</v>
      </c>
      <c r="E86" s="138" t="str">
        <f>IFERROR(__xludf.DUMMYFUNCTION("""COMPUTED_VALUE"""),"96782")</f>
        <v>96782</v>
      </c>
      <c r="F86" s="138" t="str">
        <f>IFERROR(__xludf.DUMMYFUNCTION("""COMPUTED_VALUE"""),"006/2026")</f>
        <v>006/2026</v>
      </c>
      <c r="G86" s="138" t="str">
        <f>IFERROR(__xludf.DUMMYFUNCTION("""COMPUTED_VALUE"""),"15/02")</f>
        <v>15/02</v>
      </c>
      <c r="H86" s="138" t="str">
        <f>IFERROR(__xludf.DUMMYFUNCTION("""COMPUTED_VALUE"""),"16/04")</f>
        <v>16/04</v>
      </c>
      <c r="I86" s="138" t="str">
        <f>IFERROR(__xludf.DUMMYFUNCTION("""COMPUTED_VALUE"""),"*")</f>
        <v>*</v>
      </c>
      <c r="J86" s="138" t="str">
        <f>IFERROR(__xludf.DUMMYFUNCTION("""COMPUTED_VALUE"""),"06/05")</f>
        <v>06/05</v>
      </c>
      <c r="K86" s="138" t="str">
        <f>IFERROR(__xludf.DUMMYFUNCTION("""COMPUTED_VALUE"""),"07/05")</f>
        <v>07/05</v>
      </c>
      <c r="L86" s="138" t="str">
        <f>IFERROR(__xludf.DUMMYFUNCTION("""COMPUTED_VALUE"""),"07/05")</f>
        <v>07/05</v>
      </c>
      <c r="M86" s="138" t="str">
        <f>IFERROR(__xludf.DUMMYFUNCTION("""COMPUTED_VALUE"""),"08/05")</f>
        <v>08/05</v>
      </c>
      <c r="N86" s="138" t="str">
        <f>IFERROR(__xludf.DUMMYFUNCTION("""COMPUTED_VALUE"""),"08/05")</f>
        <v>08/05</v>
      </c>
      <c r="O86" s="138" t="str">
        <f>IFERROR(__xludf.DUMMYFUNCTION("""COMPUTED_VALUE"""),"08/05")</f>
        <v>08/05</v>
      </c>
      <c r="P86" s="138" t="str">
        <f>IFERROR(__xludf.DUMMYFUNCTION("""COMPUTED_VALUE"""),"13/05")</f>
        <v>13/05</v>
      </c>
      <c r="Q86" s="138" t="str">
        <f>IFERROR(__xludf.DUMMYFUNCTION("""COMPUTED_VALUE"""),"13/05")</f>
        <v>13/05</v>
      </c>
      <c r="R86" s="138" t="str">
        <f>IFERROR(__xludf.DUMMYFUNCTION("""COMPUTED_VALUE"""),"13/05")</f>
        <v>13/05</v>
      </c>
      <c r="S86" s="138" t="str">
        <f>IFERROR(__xludf.DUMMYFUNCTION("""COMPUTED_VALUE"""),"13/05 e 02/06")</f>
        <v>13/05 e 02/06</v>
      </c>
      <c r="T86" s="138" t="str">
        <f>IFERROR(__xludf.DUMMYFUNCTION("""COMPUTED_VALUE"""),"27/06")</f>
        <v>27/06</v>
      </c>
      <c r="U86" s="138" t="str">
        <f>IFERROR(__xludf.DUMMYFUNCTION("""COMPUTED_VALUE"""),"Sem certificado")</f>
        <v>Sem certificado</v>
      </c>
      <c r="V86" s="138"/>
      <c r="W86" s="138"/>
      <c r="X86" s="138"/>
      <c r="Y86" s="138"/>
      <c r="Z86" s="138"/>
    </row>
    <row r="87" hidden="1">
      <c r="A87" s="138" t="str">
        <f>IFERROR(__xludf.DUMMYFUNCTION("""COMPUTED_VALUE"""),"VEE ONE")</f>
        <v>VEE ONE</v>
      </c>
      <c r="B87" s="138" t="str">
        <f>IFERROR(__xludf.DUMMYFUNCTION("""COMPUTED_VALUE"""),"CLA")</f>
        <v>CLA</v>
      </c>
      <c r="C87" s="138" t="str">
        <f>IFERROR(__xludf.DUMMYFUNCTION("""COMPUTED_VALUE"""),"066-1055-00")</f>
        <v>066-1055-00</v>
      </c>
      <c r="D87" s="138" t="str">
        <f>IFERROR(__xludf.DUMMYFUNCTION("""COMPUTED_VALUE"""),"AUDIO CONTROL PANEL")</f>
        <v>AUDIO CONTROL PANEL</v>
      </c>
      <c r="E87" s="138" t="str">
        <f>IFERROR(__xludf.DUMMYFUNCTION("""COMPUTED_VALUE"""),"35971")</f>
        <v>35971</v>
      </c>
      <c r="F87" s="138" t="str">
        <f>IFERROR(__xludf.DUMMYFUNCTION("""COMPUTED_VALUE"""),"012/2026")</f>
        <v>012/2026</v>
      </c>
      <c r="G87" s="138" t="str">
        <f>IFERROR(__xludf.DUMMYFUNCTION("""COMPUTED_VALUE"""),"23/04")</f>
        <v>23/04</v>
      </c>
      <c r="H87" s="138" t="str">
        <f>IFERROR(__xludf.DUMMYFUNCTION("""COMPUTED_VALUE"""),"04/05")</f>
        <v>04/05</v>
      </c>
      <c r="I87" s="138" t="str">
        <f>IFERROR(__xludf.DUMMYFUNCTION("""COMPUTED_VALUE"""),"*")</f>
        <v>*</v>
      </c>
      <c r="J87" s="138" t="str">
        <f>IFERROR(__xludf.DUMMYFUNCTION("""COMPUTED_VALUE"""),"04/05")</f>
        <v>04/05</v>
      </c>
      <c r="K87" s="138" t="str">
        <f>IFERROR(__xludf.DUMMYFUNCTION("""COMPUTED_VALUE"""),"05/05")</f>
        <v>05/05</v>
      </c>
      <c r="L87" s="138" t="str">
        <f>IFERROR(__xludf.DUMMYFUNCTION("""COMPUTED_VALUE"""),"05/05")</f>
        <v>05/05</v>
      </c>
      <c r="M87" s="138" t="str">
        <f>IFERROR(__xludf.DUMMYFUNCTION("""COMPUTED_VALUE"""),"05/05")</f>
        <v>05/05</v>
      </c>
      <c r="N87" s="138" t="str">
        <f>IFERROR(__xludf.DUMMYFUNCTION("""COMPUTED_VALUE"""),"05/05")</f>
        <v>05/05</v>
      </c>
      <c r="O87" s="138" t="str">
        <f>IFERROR(__xludf.DUMMYFUNCTION("""COMPUTED_VALUE"""),"05/05")</f>
        <v>05/05</v>
      </c>
      <c r="P87" s="138" t="str">
        <f>IFERROR(__xludf.DUMMYFUNCTION("""COMPUTED_VALUE"""),"06/05")</f>
        <v>06/05</v>
      </c>
      <c r="Q87" s="138" t="str">
        <f>IFERROR(__xludf.DUMMYFUNCTION("""COMPUTED_VALUE"""),"06/05")</f>
        <v>06/05</v>
      </c>
      <c r="R87" s="138" t="str">
        <f>IFERROR(__xludf.DUMMYFUNCTION("""COMPUTED_VALUE"""),"06/05")</f>
        <v>06/05</v>
      </c>
      <c r="S87" s="138" t="str">
        <f>IFERROR(__xludf.DUMMYFUNCTION("""COMPUTED_VALUE"""),"06/05 e 02/06")</f>
        <v>06/05 e 02/06</v>
      </c>
      <c r="T87" s="138" t="str">
        <f>IFERROR(__xludf.DUMMYFUNCTION("""COMPUTED_VALUE"""),"30/06")</f>
        <v>30/06</v>
      </c>
      <c r="U87" s="138"/>
      <c r="V87" s="138"/>
      <c r="W87" s="138"/>
      <c r="X87" s="138"/>
      <c r="Y87" s="138"/>
      <c r="Z87" s="138"/>
    </row>
    <row r="88" hidden="1">
      <c r="A88" s="138" t="str">
        <f>IFERROR(__xludf.DUMMYFUNCTION("""COMPUTED_VALUE"""),"VEE ONE")</f>
        <v>VEE ONE</v>
      </c>
      <c r="B88" s="138" t="str">
        <f>IFERROR(__xludf.DUMMYFUNCTION("""COMPUTED_VALUE"""),"BABE")</f>
        <v>BABE</v>
      </c>
      <c r="C88" s="138" t="str">
        <f>IFERROR(__xludf.DUMMYFUNCTION("""COMPUTED_VALUE"""),"324843-W020")</f>
        <v>324843-W020</v>
      </c>
      <c r="D88" s="138" t="str">
        <f>IFERROR(__xludf.DUMMYFUNCTION("""COMPUTED_VALUE"""),"HEADSET-MICROPHONE")</f>
        <v>HEADSET-MICROPHONE</v>
      </c>
      <c r="E88" s="138" t="str">
        <f>IFERROR(__xludf.DUMMYFUNCTION("""COMPUTED_VALUE"""),"073200G91260061AE")</f>
        <v>073200G91260061AE</v>
      </c>
      <c r="F88" s="138" t="str">
        <f>IFERROR(__xludf.DUMMYFUNCTION("""COMPUTED_VALUE"""),"015/2026")</f>
        <v>015/2026</v>
      </c>
      <c r="G88" s="138" t="str">
        <f>IFERROR(__xludf.DUMMYFUNCTION("""COMPUTED_VALUE"""),"09/06")</f>
        <v>09/06</v>
      </c>
      <c r="H88" s="138" t="str">
        <f>IFERROR(__xludf.DUMMYFUNCTION("""COMPUTED_VALUE"""),"09/06")</f>
        <v>09/06</v>
      </c>
      <c r="I88" s="138"/>
      <c r="J88" s="138" t="str">
        <f>IFERROR(__xludf.DUMMYFUNCTION("""COMPUTED_VALUE"""),"10/06")</f>
        <v>10/06</v>
      </c>
      <c r="K88" s="138" t="str">
        <f>IFERROR(__xludf.DUMMYFUNCTION("""COMPUTED_VALUE"""),"10/06")</f>
        <v>10/06</v>
      </c>
      <c r="L88" s="138" t="str">
        <f>IFERROR(__xludf.DUMMYFUNCTION("""COMPUTED_VALUE"""),"10/06")</f>
        <v>10/06</v>
      </c>
      <c r="M88" s="138" t="str">
        <f>IFERROR(__xludf.DUMMYFUNCTION("""COMPUTED_VALUE"""),"11/06")</f>
        <v>11/06</v>
      </c>
      <c r="N88" s="138" t="str">
        <f>IFERROR(__xludf.DUMMYFUNCTION("""COMPUTED_VALUE"""),"11/06")</f>
        <v>11/06</v>
      </c>
      <c r="O88" s="138" t="str">
        <f>IFERROR(__xludf.DUMMYFUNCTION("""COMPUTED_VALUE"""),"11/06")</f>
        <v>11/06</v>
      </c>
      <c r="P88" s="138" t="str">
        <f>IFERROR(__xludf.DUMMYFUNCTION("""COMPUTED_VALUE"""),"11/06")</f>
        <v>11/06</v>
      </c>
      <c r="Q88" s="138" t="str">
        <f>IFERROR(__xludf.DUMMYFUNCTION("""COMPUTED_VALUE"""),"12/06")</f>
        <v>12/06</v>
      </c>
      <c r="R88" s="138" t="str">
        <f>IFERROR(__xludf.DUMMYFUNCTION("""COMPUTED_VALUE"""),"12/06")</f>
        <v>12/06</v>
      </c>
      <c r="S88" s="138" t="str">
        <f>IFERROR(__xludf.DUMMYFUNCTION("""COMPUTED_VALUE"""),"12/06")</f>
        <v>12/06</v>
      </c>
      <c r="T88" s="138" t="str">
        <f>IFERROR(__xludf.DUMMYFUNCTION("""COMPUTED_VALUE"""),"10/07")</f>
        <v>10/07</v>
      </c>
      <c r="U88" s="138"/>
      <c r="V88" s="138"/>
      <c r="W88" s="138"/>
      <c r="X88" s="138"/>
      <c r="Y88" s="138"/>
      <c r="Z88" s="138"/>
    </row>
    <row r="89" hidden="1">
      <c r="A89" s="138" t="str">
        <f>IFERROR(__xludf.DUMMYFUNCTION("""COMPUTED_VALUE"""),"VEE ONE")</f>
        <v>VEE ONE</v>
      </c>
      <c r="B89" s="138" t="str">
        <f>IFERROR(__xludf.DUMMYFUNCTION("""COMPUTED_VALUE"""),"BABE")</f>
        <v>BABE</v>
      </c>
      <c r="C89" s="138" t="str">
        <f>IFERROR(__xludf.DUMMYFUNCTION("""COMPUTED_VALUE"""),"324843-W020")</f>
        <v>324843-W020</v>
      </c>
      <c r="D89" s="138" t="str">
        <f>IFERROR(__xludf.DUMMYFUNCTION("""COMPUTED_VALUE"""),"HEADSET-MICROPHONE")</f>
        <v>HEADSET-MICROPHONE</v>
      </c>
      <c r="E89" s="138" t="str">
        <f>IFERROR(__xludf.DUMMYFUNCTION("""COMPUTED_VALUE"""),"073200G02170082AE")</f>
        <v>073200G02170082AE</v>
      </c>
      <c r="F89" s="138" t="str">
        <f>IFERROR(__xludf.DUMMYFUNCTION("""COMPUTED_VALUE"""),"015/2026")</f>
        <v>015/2026</v>
      </c>
      <c r="G89" s="138" t="str">
        <f>IFERROR(__xludf.DUMMYFUNCTION("""COMPUTED_VALUE"""),"09/06")</f>
        <v>09/06</v>
      </c>
      <c r="H89" s="138" t="str">
        <f>IFERROR(__xludf.DUMMYFUNCTION("""COMPUTED_VALUE"""),"09/06")</f>
        <v>09/06</v>
      </c>
      <c r="I89" s="138"/>
      <c r="J89" s="138" t="str">
        <f>IFERROR(__xludf.DUMMYFUNCTION("""COMPUTED_VALUE"""),"10/06")</f>
        <v>10/06</v>
      </c>
      <c r="K89" s="138" t="str">
        <f>IFERROR(__xludf.DUMMYFUNCTION("""COMPUTED_VALUE"""),"10/06")</f>
        <v>10/06</v>
      </c>
      <c r="L89" s="138" t="str">
        <f>IFERROR(__xludf.DUMMYFUNCTION("""COMPUTED_VALUE"""),"10/06")</f>
        <v>10/06</v>
      </c>
      <c r="M89" s="138" t="str">
        <f>IFERROR(__xludf.DUMMYFUNCTION("""COMPUTED_VALUE"""),"11/06")</f>
        <v>11/06</v>
      </c>
      <c r="N89" s="138" t="str">
        <f>IFERROR(__xludf.DUMMYFUNCTION("""COMPUTED_VALUE"""),"11/06")</f>
        <v>11/06</v>
      </c>
      <c r="O89" s="138" t="str">
        <f>IFERROR(__xludf.DUMMYFUNCTION("""COMPUTED_VALUE"""),"11/06")</f>
        <v>11/06</v>
      </c>
      <c r="P89" s="138" t="str">
        <f>IFERROR(__xludf.DUMMYFUNCTION("""COMPUTED_VALUE"""),"11/06")</f>
        <v>11/06</v>
      </c>
      <c r="Q89" s="138" t="str">
        <f>IFERROR(__xludf.DUMMYFUNCTION("""COMPUTED_VALUE"""),"12/06")</f>
        <v>12/06</v>
      </c>
      <c r="R89" s="138" t="str">
        <f>IFERROR(__xludf.DUMMYFUNCTION("""COMPUTED_VALUE"""),"12/06")</f>
        <v>12/06</v>
      </c>
      <c r="S89" s="138" t="str">
        <f>IFERROR(__xludf.DUMMYFUNCTION("""COMPUTED_VALUE"""),"12/06")</f>
        <v>12/06</v>
      </c>
      <c r="T89" s="138" t="str">
        <f>IFERROR(__xludf.DUMMYFUNCTION("""COMPUTED_VALUE"""),"10/07")</f>
        <v>10/07</v>
      </c>
      <c r="U89" s="138"/>
      <c r="V89" s="138"/>
      <c r="W89" s="138"/>
      <c r="X89" s="138"/>
      <c r="Y89" s="138"/>
      <c r="Z89" s="138"/>
    </row>
    <row r="90" hidden="1">
      <c r="A90" s="138" t="str">
        <f>IFERROR(__xludf.DUMMYFUNCTION("""COMPUTED_VALUE"""),"VEE ONE")</f>
        <v>VEE ONE</v>
      </c>
      <c r="B90" s="138" t="str">
        <f>IFERROR(__xludf.DUMMYFUNCTION("""COMPUTED_VALUE"""),"BABR")</f>
        <v>BABR</v>
      </c>
      <c r="C90" s="138" t="str">
        <f>IFERROR(__xludf.DUMMYFUNCTION("""COMPUTED_VALUE"""),"3244809-8")</f>
        <v>3244809-8</v>
      </c>
      <c r="D90" s="138" t="str">
        <f>IFERROR(__xludf.DUMMYFUNCTION("""COMPUTED_VALUE"""),"FUEL CONTROL UNIT")</f>
        <v>FUEL CONTROL UNIT</v>
      </c>
      <c r="E90" s="138" t="str">
        <f>IFERROR(__xludf.DUMMYFUNCTION("""COMPUTED_VALUE"""),"B10133")</f>
        <v>B10133</v>
      </c>
      <c r="F90" s="138" t="str">
        <f>IFERROR(__xludf.DUMMYFUNCTION("""COMPUTED_VALUE"""),"023/2026")</f>
        <v>023/2026</v>
      </c>
      <c r="G90" s="138" t="str">
        <f>IFERROR(__xludf.DUMMYFUNCTION("""COMPUTED_VALUE"""),"22/06")</f>
        <v>22/06</v>
      </c>
      <c r="H90" s="138" t="str">
        <f>IFERROR(__xludf.DUMMYFUNCTION("""COMPUTED_VALUE"""),"23/06")</f>
        <v>23/06</v>
      </c>
      <c r="I90" s="138"/>
      <c r="J90" s="138" t="str">
        <f>IFERROR(__xludf.DUMMYFUNCTION("""COMPUTED_VALUE"""),"23/06")</f>
        <v>23/06</v>
      </c>
      <c r="K90" s="138" t="str">
        <f>IFERROR(__xludf.DUMMYFUNCTION("""COMPUTED_VALUE"""),"24/06")</f>
        <v>24/06</v>
      </c>
      <c r="L90" s="138" t="str">
        <f>IFERROR(__xludf.DUMMYFUNCTION("""COMPUTED_VALUE"""),"24/06")</f>
        <v>24/06</v>
      </c>
      <c r="M90" s="138" t="str">
        <f>IFERROR(__xludf.DUMMYFUNCTION("""COMPUTED_VALUE"""),"24/06")</f>
        <v>24/06</v>
      </c>
      <c r="N90" s="138" t="str">
        <f>IFERROR(__xludf.DUMMYFUNCTION("""COMPUTED_VALUE"""),"24/06")</f>
        <v>24/06</v>
      </c>
      <c r="O90" s="138" t="str">
        <f>IFERROR(__xludf.DUMMYFUNCTION("""COMPUTED_VALUE"""),"24/06")</f>
        <v>24/06</v>
      </c>
      <c r="P90" s="138" t="str">
        <f>IFERROR(__xludf.DUMMYFUNCTION("""COMPUTED_VALUE"""),"25/06")</f>
        <v>25/06</v>
      </c>
      <c r="Q90" s="138" t="str">
        <f>IFERROR(__xludf.DUMMYFUNCTION("""COMPUTED_VALUE"""),"25/06")</f>
        <v>25/06</v>
      </c>
      <c r="R90" s="138" t="str">
        <f>IFERROR(__xludf.DUMMYFUNCTION("""COMPUTED_VALUE"""),"25/06")</f>
        <v>25/06</v>
      </c>
      <c r="S90" s="138" t="str">
        <f>IFERROR(__xludf.DUMMYFUNCTION("""COMPUTED_VALUE"""),"25/06")</f>
        <v>25/06</v>
      </c>
      <c r="T90" s="138" t="str">
        <f>IFERROR(__xludf.DUMMYFUNCTION("""COMPUTED_VALUE"""),"25/06")</f>
        <v>25/06</v>
      </c>
      <c r="U90" s="138"/>
      <c r="V90" s="138"/>
      <c r="W90" s="138"/>
      <c r="X90" s="138"/>
      <c r="Y90" s="138"/>
      <c r="Z90" s="138"/>
    </row>
    <row r="91" hidden="1">
      <c r="A91" s="138" t="str">
        <f>IFERROR(__xludf.DUMMYFUNCTION("""COMPUTED_VALUE"""),"VEE ONE")</f>
        <v>VEE ONE</v>
      </c>
      <c r="B91" s="138" t="str">
        <f>IFERROR(__xludf.DUMMYFUNCTION("""COMPUTED_VALUE"""),"BABE")</f>
        <v>BABE</v>
      </c>
      <c r="C91" s="138" t="str">
        <f>IFERROR(__xludf.DUMMYFUNCTION("""COMPUTED_VALUE"""),"3244809-4")</f>
        <v>3244809-4</v>
      </c>
      <c r="D91" s="138" t="str">
        <f>IFERROR(__xludf.DUMMYFUNCTION("""COMPUTED_VALUE"""),"FUEL CONTROL UNIT")</f>
        <v>FUEL CONTROL UNIT</v>
      </c>
      <c r="E91" s="138" t="str">
        <f>IFERROR(__xludf.DUMMYFUNCTION("""COMPUTED_VALUE"""),"C25208")</f>
        <v>C25208</v>
      </c>
      <c r="F91" s="138" t="str">
        <f>IFERROR(__xludf.DUMMYFUNCTION("""COMPUTED_VALUE"""),"020/2026")</f>
        <v>020/2026</v>
      </c>
      <c r="G91" s="138" t="str">
        <f>IFERROR(__xludf.DUMMYFUNCTION("""COMPUTED_VALUE"""),"26/06")</f>
        <v>26/06</v>
      </c>
      <c r="H91" s="138" t="str">
        <f>IFERROR(__xludf.DUMMYFUNCTION("""COMPUTED_VALUE"""),"26/06")</f>
        <v>26/06</v>
      </c>
      <c r="I91" s="138"/>
      <c r="J91" s="138" t="str">
        <f>IFERROR(__xludf.DUMMYFUNCTION("""COMPUTED_VALUE"""),"30/06")</f>
        <v>30/06</v>
      </c>
      <c r="K91" s="138" t="str">
        <f>IFERROR(__xludf.DUMMYFUNCTION("""COMPUTED_VALUE"""),"30/06")</f>
        <v>30/06</v>
      </c>
      <c r="L91" s="138" t="str">
        <f>IFERROR(__xludf.DUMMYFUNCTION("""COMPUTED_VALUE"""),"30/06")</f>
        <v>30/06</v>
      </c>
      <c r="M91" s="138" t="str">
        <f>IFERROR(__xludf.DUMMYFUNCTION("""COMPUTED_VALUE"""),"30/06")</f>
        <v>30/06</v>
      </c>
      <c r="N91" s="138" t="str">
        <f>IFERROR(__xludf.DUMMYFUNCTION("""COMPUTED_VALUE"""),"30/06")</f>
        <v>30/06</v>
      </c>
      <c r="O91" s="138" t="str">
        <f>IFERROR(__xludf.DUMMYFUNCTION("""COMPUTED_VALUE"""),"30/06")</f>
        <v>30/06</v>
      </c>
      <c r="P91" s="138" t="str">
        <f>IFERROR(__xludf.DUMMYFUNCTION("""COMPUTED_VALUE"""),"30/06")</f>
        <v>30/06</v>
      </c>
      <c r="Q91" s="138" t="str">
        <f>IFERROR(__xludf.DUMMYFUNCTION("""COMPUTED_VALUE"""),"30/06")</f>
        <v>30/06</v>
      </c>
      <c r="R91" s="138" t="str">
        <f>IFERROR(__xludf.DUMMYFUNCTION("""COMPUTED_VALUE"""),"30/06")</f>
        <v>30/06</v>
      </c>
      <c r="S91" s="138" t="str">
        <f>IFERROR(__xludf.DUMMYFUNCTION("""COMPUTED_VALUE"""),"30/06")</f>
        <v>30/06</v>
      </c>
      <c r="T91" s="138" t="str">
        <f>IFERROR(__xludf.DUMMYFUNCTION("""COMPUTED_VALUE"""),"01/07")</f>
        <v>01/07</v>
      </c>
      <c r="U91" s="138"/>
      <c r="V91" s="138"/>
      <c r="W91" s="138"/>
      <c r="X91" s="138"/>
      <c r="Y91" s="138"/>
      <c r="Z91" s="138"/>
    </row>
    <row r="92" hidden="1">
      <c r="A92" s="138" t="str">
        <f>IFERROR(__xludf.DUMMYFUNCTION("""COMPUTED_VALUE"""),"VEE ONE")</f>
        <v>VEE ONE</v>
      </c>
      <c r="B92" s="138" t="str">
        <f>IFERROR(__xludf.DUMMYFUNCTION("""COMPUTED_VALUE"""),"BABE")</f>
        <v>BABE</v>
      </c>
      <c r="C92" s="138" t="str">
        <f>IFERROR(__xludf.DUMMYFUNCTION("""COMPUTED_VALUE"""),"011-00916-10")</f>
        <v>011-00916-10</v>
      </c>
      <c r="D92" s="138" t="str">
        <f>IFERROR(__xludf.DUMMYFUNCTION("""COMPUTED_VALUE"""),"UNIDADE DE EXIBIÇÃO DE INFORMAÇÕES DE VOO")</f>
        <v>UNIDADE DE EXIBIÇÃO DE INFORMAÇÕES DE VOO</v>
      </c>
      <c r="E92" s="138" t="str">
        <f>IFERROR(__xludf.DUMMYFUNCTION("""COMPUTED_VALUE"""),"86815635")</f>
        <v>86815635</v>
      </c>
      <c r="F92" s="138" t="str">
        <f>IFERROR(__xludf.DUMMYFUNCTION("""COMPUTED_VALUE"""),"004/2026")</f>
        <v>004/2026</v>
      </c>
      <c r="G92" s="138" t="str">
        <f>IFERROR(__xludf.DUMMYFUNCTION("""COMPUTED_VALUE"""),"24/02")</f>
        <v>24/02</v>
      </c>
      <c r="H92" s="138" t="str">
        <f>IFERROR(__xludf.DUMMYFUNCTION("""COMPUTED_VALUE"""),"24/02")</f>
        <v>24/02</v>
      </c>
      <c r="I92" s="138" t="str">
        <f>IFERROR(__xludf.DUMMYFUNCTION("""COMPUTED_VALUE"""),"26/02, 26/03 e 30/04")</f>
        <v>26/02, 26/03 e 30/04</v>
      </c>
      <c r="J92" s="138" t="str">
        <f>IFERROR(__xludf.DUMMYFUNCTION("""COMPUTED_VALUE"""),"19/05")</f>
        <v>19/05</v>
      </c>
      <c r="K92" s="138" t="str">
        <f>IFERROR(__xludf.DUMMYFUNCTION("""COMPUTED_VALUE"""),"19/05")</f>
        <v>19/05</v>
      </c>
      <c r="L92" s="138" t="str">
        <f>IFERROR(__xludf.DUMMYFUNCTION("""COMPUTED_VALUE"""),"19/05")</f>
        <v>19/05</v>
      </c>
      <c r="M92" s="138" t="str">
        <f>IFERROR(__xludf.DUMMYFUNCTION("""COMPUTED_VALUE"""),"19/05")</f>
        <v>19/05</v>
      </c>
      <c r="N92" s="138" t="str">
        <f>IFERROR(__xludf.DUMMYFUNCTION("""COMPUTED_VALUE"""),"19/05")</f>
        <v>19/05</v>
      </c>
      <c r="O92" s="138" t="str">
        <f>IFERROR(__xludf.DUMMYFUNCTION("""COMPUTED_VALUE"""),"19/05")</f>
        <v>19/05</v>
      </c>
      <c r="P92" s="138" t="str">
        <f>IFERROR(__xludf.DUMMYFUNCTION("""COMPUTED_VALUE"""),"21/05")</f>
        <v>21/05</v>
      </c>
      <c r="Q92" s="138" t="str">
        <f>IFERROR(__xludf.DUMMYFUNCTION("""COMPUTED_VALUE"""),"21/05")</f>
        <v>21/05</v>
      </c>
      <c r="R92" s="138" t="str">
        <f>IFERROR(__xludf.DUMMYFUNCTION("""COMPUTED_VALUE"""),"22/05")</f>
        <v>22/05</v>
      </c>
      <c r="S92" s="138" t="str">
        <f>IFERROR(__xludf.DUMMYFUNCTION("""COMPUTED_VALUE"""),"22/05")</f>
        <v>22/05</v>
      </c>
      <c r="T92" s="138" t="str">
        <f>IFERROR(__xludf.DUMMYFUNCTION("""COMPUTED_VALUE"""),"27/05")</f>
        <v>27/05</v>
      </c>
      <c r="U92" s="138" t="str">
        <f>IFERROR(__xludf.DUMMYFUNCTION("""COMPUTED_VALUE"""),"Exchnage com SN 86819178")</f>
        <v>Exchnage com SN 86819178</v>
      </c>
      <c r="V92" s="138"/>
      <c r="W92" s="138"/>
      <c r="X92" s="138"/>
      <c r="Y92" s="138"/>
      <c r="Z92" s="138"/>
    </row>
    <row r="93" hidden="1">
      <c r="A93" s="138" t="str">
        <f>IFERROR(__xludf.DUMMYFUNCTION("""COMPUTED_VALUE"""),"VEE ONE")</f>
        <v>VEE ONE</v>
      </c>
      <c r="B93" s="138" t="str">
        <f>IFERROR(__xludf.DUMMYFUNCTION("""COMPUTED_VALUE"""),"CLA")</f>
        <v>CLA</v>
      </c>
      <c r="C93" s="138" t="str">
        <f>IFERROR(__xludf.DUMMYFUNCTION("""COMPUTED_VALUE"""),"324843-W020")</f>
        <v>324843-W020</v>
      </c>
      <c r="D93" s="138" t="str">
        <f>IFERROR(__xludf.DUMMYFUNCTION("""COMPUTED_VALUE"""),"HEADSET-MICROPHONE")</f>
        <v>HEADSET-MICROPHONE</v>
      </c>
      <c r="E93" s="138" t="str">
        <f>IFERROR(__xludf.DUMMYFUNCTION("""COMPUTED_VALUE"""),"073200G63200008AE")</f>
        <v>073200G63200008AE</v>
      </c>
      <c r="F93" s="138" t="str">
        <f>IFERROR(__xludf.DUMMYFUNCTION("""COMPUTED_VALUE"""),"008/2026")</f>
        <v>008/2026</v>
      </c>
      <c r="G93" s="138" t="str">
        <f>IFERROR(__xludf.DUMMYFUNCTION("""COMPUTED_VALUE"""),"20/02")</f>
        <v>20/02</v>
      </c>
      <c r="H93" s="138" t="str">
        <f>IFERROR(__xludf.DUMMYFUNCTION("""COMPUTED_VALUE"""),"16/04")</f>
        <v>16/04</v>
      </c>
      <c r="I93" s="138" t="str">
        <f>IFERROR(__xludf.DUMMYFUNCTION("""COMPUTED_VALUE"""),"*")</f>
        <v>*</v>
      </c>
      <c r="J93" s="138" t="str">
        <f>IFERROR(__xludf.DUMMYFUNCTION("""COMPUTED_VALUE"""),"30/04")</f>
        <v>30/04</v>
      </c>
      <c r="K93" s="138" t="str">
        <f>IFERROR(__xludf.DUMMYFUNCTION("""COMPUTED_VALUE"""),"04/05")</f>
        <v>04/05</v>
      </c>
      <c r="L93" s="138" t="str">
        <f>IFERROR(__xludf.DUMMYFUNCTION("""COMPUTED_VALUE"""),"04/05")</f>
        <v>04/05</v>
      </c>
      <c r="M93" s="138" t="str">
        <f>IFERROR(__xludf.DUMMYFUNCTION("""COMPUTED_VALUE"""),"04/05")</f>
        <v>04/05</v>
      </c>
      <c r="N93" s="138" t="str">
        <f>IFERROR(__xludf.DUMMYFUNCTION("""COMPUTED_VALUE"""),"04/05")</f>
        <v>04/05</v>
      </c>
      <c r="O93" s="138" t="str">
        <f>IFERROR(__xludf.DUMMYFUNCTION("""COMPUTED_VALUE"""),"04/05")</f>
        <v>04/05</v>
      </c>
      <c r="P93" s="138" t="str">
        <f>IFERROR(__xludf.DUMMYFUNCTION("""COMPUTED_VALUE"""),"04/05")</f>
        <v>04/05</v>
      </c>
      <c r="Q93" s="138" t="str">
        <f>IFERROR(__xludf.DUMMYFUNCTION("""COMPUTED_VALUE"""),"04/05")</f>
        <v>04/05</v>
      </c>
      <c r="R93" s="138" t="str">
        <f>IFERROR(__xludf.DUMMYFUNCTION("""COMPUTED_VALUE"""),"14/05")</f>
        <v>14/05</v>
      </c>
      <c r="S93" s="138" t="str">
        <f>IFERROR(__xludf.DUMMYFUNCTION("""COMPUTED_VALUE"""),"14/05 e 02/06")</f>
        <v>14/05 e 02/06</v>
      </c>
      <c r="T93" s="138" t="str">
        <f>IFERROR(__xludf.DUMMYFUNCTION("""COMPUTED_VALUE"""),"30/06")</f>
        <v>30/06</v>
      </c>
      <c r="U93" s="138" t="str">
        <f>IFERROR(__xludf.DUMMYFUNCTION("""COMPUTED_VALUE"""),"Sem SN e certificado")</f>
        <v>Sem SN e certificado</v>
      </c>
      <c r="V93" s="138"/>
      <c r="W93" s="138"/>
      <c r="X93" s="138"/>
      <c r="Y93" s="138"/>
      <c r="Z93" s="138"/>
    </row>
    <row r="94" hidden="1">
      <c r="A94" s="138" t="str">
        <f>IFERROR(__xludf.DUMMYFUNCTION("""COMPUTED_VALUE"""),"VEE ONE")</f>
        <v>VEE ONE</v>
      </c>
      <c r="B94" s="138" t="str">
        <f>IFERROR(__xludf.DUMMYFUNCTION("""COMPUTED_VALUE"""),"CLA")</f>
        <v>CLA</v>
      </c>
      <c r="C94" s="138" t="str">
        <f>IFERROR(__xludf.DUMMYFUNCTION("""COMPUTED_VALUE"""),"324843-W020")</f>
        <v>324843-W020</v>
      </c>
      <c r="D94" s="138" t="str">
        <f>IFERROR(__xludf.DUMMYFUNCTION("""COMPUTED_VALUE"""),"HEADSET-MICROPHONE")</f>
        <v>HEADSET-MICROPHONE</v>
      </c>
      <c r="E94" s="138" t="str">
        <f>IFERROR(__xludf.DUMMYFUNCTION("""COMPUTED_VALUE"""),"073200G02170089AE")</f>
        <v>073200G02170089AE</v>
      </c>
      <c r="F94" s="138" t="str">
        <f>IFERROR(__xludf.DUMMYFUNCTION("""COMPUTED_VALUE"""),"008/2026")</f>
        <v>008/2026</v>
      </c>
      <c r="G94" s="138" t="str">
        <f>IFERROR(__xludf.DUMMYFUNCTION("""COMPUTED_VALUE"""),"20/02")</f>
        <v>20/02</v>
      </c>
      <c r="H94" s="138" t="str">
        <f>IFERROR(__xludf.DUMMYFUNCTION("""COMPUTED_VALUE"""),"16/04")</f>
        <v>16/04</v>
      </c>
      <c r="I94" s="138" t="str">
        <f>IFERROR(__xludf.DUMMYFUNCTION("""COMPUTED_VALUE"""),"*")</f>
        <v>*</v>
      </c>
      <c r="J94" s="138" t="str">
        <f>IFERROR(__xludf.DUMMYFUNCTION("""COMPUTED_VALUE"""),"30/04")</f>
        <v>30/04</v>
      </c>
      <c r="K94" s="138" t="str">
        <f>IFERROR(__xludf.DUMMYFUNCTION("""COMPUTED_VALUE"""),"04/05")</f>
        <v>04/05</v>
      </c>
      <c r="L94" s="138" t="str">
        <f>IFERROR(__xludf.DUMMYFUNCTION("""COMPUTED_VALUE"""),"04/05")</f>
        <v>04/05</v>
      </c>
      <c r="M94" s="138" t="str">
        <f>IFERROR(__xludf.DUMMYFUNCTION("""COMPUTED_VALUE"""),"04/05")</f>
        <v>04/05</v>
      </c>
      <c r="N94" s="138" t="str">
        <f>IFERROR(__xludf.DUMMYFUNCTION("""COMPUTED_VALUE"""),"04/05")</f>
        <v>04/05</v>
      </c>
      <c r="O94" s="138" t="str">
        <f>IFERROR(__xludf.DUMMYFUNCTION("""COMPUTED_VALUE"""),"04/05")</f>
        <v>04/05</v>
      </c>
      <c r="P94" s="138" t="str">
        <f>IFERROR(__xludf.DUMMYFUNCTION("""COMPUTED_VALUE"""),"04/05")</f>
        <v>04/05</v>
      </c>
      <c r="Q94" s="138" t="str">
        <f>IFERROR(__xludf.DUMMYFUNCTION("""COMPUTED_VALUE"""),"04/05")</f>
        <v>04/05</v>
      </c>
      <c r="R94" s="138" t="str">
        <f>IFERROR(__xludf.DUMMYFUNCTION("""COMPUTED_VALUE"""),"14/05")</f>
        <v>14/05</v>
      </c>
      <c r="S94" s="138" t="str">
        <f>IFERROR(__xludf.DUMMYFUNCTION("""COMPUTED_VALUE"""),"14/05 e 02/06")</f>
        <v>14/05 e 02/06</v>
      </c>
      <c r="T94" s="138" t="str">
        <f>IFERROR(__xludf.DUMMYFUNCTION("""COMPUTED_VALUE"""),"30/06")</f>
        <v>30/06</v>
      </c>
      <c r="U94" s="138" t="str">
        <f>IFERROR(__xludf.DUMMYFUNCTION("""COMPUTED_VALUE"""),"Sem SN e certificado")</f>
        <v>Sem SN e certificado</v>
      </c>
      <c r="V94" s="138"/>
      <c r="W94" s="138"/>
      <c r="X94" s="138"/>
      <c r="Y94" s="138"/>
      <c r="Z94" s="138"/>
    </row>
    <row r="95" hidden="1">
      <c r="A95" s="138" t="str">
        <f>IFERROR(__xludf.DUMMYFUNCTION("""COMPUTED_VALUE"""),"VEE ONE")</f>
        <v>VEE ONE</v>
      </c>
      <c r="B95" s="138" t="str">
        <f>IFERROR(__xludf.DUMMYFUNCTION("""COMPUTED_VALUE"""),"BABE")</f>
        <v>BABE</v>
      </c>
      <c r="C95" s="138" t="str">
        <f>IFERROR(__xludf.DUMMYFUNCTION("""COMPUTED_VALUE"""),"3244809-7")</f>
        <v>3244809-7</v>
      </c>
      <c r="D95" s="138" t="str">
        <f>IFERROR(__xludf.DUMMYFUNCTION("""COMPUTED_VALUE"""),"FUEL CONTROL,MAIN,TURBINE ENGINE")</f>
        <v>FUEL CONTROL,MAIN,TURBINE ENGINE</v>
      </c>
      <c r="E95" s="138" t="str">
        <f>IFERROR(__xludf.DUMMYFUNCTION("""COMPUTED_VALUE"""),"A76103")</f>
        <v>A76103</v>
      </c>
      <c r="F95" s="138" t="str">
        <f>IFERROR(__xludf.DUMMYFUNCTION("""COMPUTED_VALUE"""),"013/2026")</f>
        <v>013/2026</v>
      </c>
      <c r="G95" s="138" t="str">
        <f>IFERROR(__xludf.DUMMYFUNCTION("""COMPUTED_VALUE"""),"18/05")</f>
        <v>18/05</v>
      </c>
      <c r="H95" s="138" t="str">
        <f>IFERROR(__xludf.DUMMYFUNCTION("""COMPUTED_VALUE"""),"18/05")</f>
        <v>18/05</v>
      </c>
      <c r="I95" s="138"/>
      <c r="J95" s="138" t="str">
        <f>IFERROR(__xludf.DUMMYFUNCTION("""COMPUTED_VALUE"""),"18/05")</f>
        <v>18/05</v>
      </c>
      <c r="K95" s="138" t="str">
        <f>IFERROR(__xludf.DUMMYFUNCTION("""COMPUTED_VALUE"""),"19/05")</f>
        <v>19/05</v>
      </c>
      <c r="L95" s="138" t="str">
        <f>IFERROR(__xludf.DUMMYFUNCTION("""COMPUTED_VALUE"""),"19/05")</f>
        <v>19/05</v>
      </c>
      <c r="M95" s="138" t="str">
        <f>IFERROR(__xludf.DUMMYFUNCTION("""COMPUTED_VALUE"""),"19/05")</f>
        <v>19/05</v>
      </c>
      <c r="N95" s="138" t="str">
        <f>IFERROR(__xludf.DUMMYFUNCTION("""COMPUTED_VALUE"""),"19/05")</f>
        <v>19/05</v>
      </c>
      <c r="O95" s="138" t="str">
        <f>IFERROR(__xludf.DUMMYFUNCTION("""COMPUTED_VALUE"""),"19/05")</f>
        <v>19/05</v>
      </c>
      <c r="P95" s="138" t="str">
        <f>IFERROR(__xludf.DUMMYFUNCTION("""COMPUTED_VALUE"""),"21/05")</f>
        <v>21/05</v>
      </c>
      <c r="Q95" s="138" t="str">
        <f>IFERROR(__xludf.DUMMYFUNCTION("""COMPUTED_VALUE"""),"21/05")</f>
        <v>21/05</v>
      </c>
      <c r="R95" s="138" t="str">
        <f>IFERROR(__xludf.DUMMYFUNCTION("""COMPUTED_VALUE"""),"15/06")</f>
        <v>15/06</v>
      </c>
      <c r="S95" s="138" t="str">
        <f>IFERROR(__xludf.DUMMYFUNCTION("""COMPUTED_VALUE"""),"15/06")</f>
        <v>15/06</v>
      </c>
      <c r="T95" s="138" t="str">
        <f>IFERROR(__xludf.DUMMYFUNCTION("""COMPUTED_VALUE"""),"27/05")</f>
        <v>27/05</v>
      </c>
      <c r="U95" s="138"/>
      <c r="V95" s="138"/>
      <c r="W95" s="138"/>
      <c r="X95" s="138"/>
      <c r="Y95" s="138"/>
      <c r="Z95" s="138"/>
    </row>
    <row r="96" hidden="1">
      <c r="A96" s="138" t="str">
        <f>IFERROR(__xludf.DUMMYFUNCTION("""COMPUTED_VALUE"""),"VEE ONE")</f>
        <v>VEE ONE</v>
      </c>
      <c r="B96" s="138" t="str">
        <f>IFERROR(__xludf.DUMMYFUNCTION("""COMPUTED_VALUE"""),"BABE")</f>
        <v>BABE</v>
      </c>
      <c r="C96" s="138" t="str">
        <f>IFERROR(__xludf.DUMMYFUNCTION("""COMPUTED_VALUE"""),"324843-W020")</f>
        <v>324843-W020</v>
      </c>
      <c r="D96" s="138" t="str">
        <f>IFERROR(__xludf.DUMMYFUNCTION("""COMPUTED_VALUE"""),"HEADSET-MICROPHONE")</f>
        <v>HEADSET-MICROPHONE</v>
      </c>
      <c r="E96" s="138" t="str">
        <f>IFERROR(__xludf.DUMMYFUNCTION("""COMPUTED_VALUE"""),"073200G71360003AE")</f>
        <v>073200G71360003AE</v>
      </c>
      <c r="F96" s="138" t="str">
        <f>IFERROR(__xludf.DUMMYFUNCTION("""COMPUTED_VALUE"""),"013/2026")</f>
        <v>013/2026</v>
      </c>
      <c r="G96" s="138" t="str">
        <f>IFERROR(__xludf.DUMMYFUNCTION("""COMPUTED_VALUE"""),"18/05")</f>
        <v>18/05</v>
      </c>
      <c r="H96" s="138" t="str">
        <f>IFERROR(__xludf.DUMMYFUNCTION("""COMPUTED_VALUE"""),"18/05")</f>
        <v>18/05</v>
      </c>
      <c r="I96" s="138"/>
      <c r="J96" s="138" t="str">
        <f>IFERROR(__xludf.DUMMYFUNCTION("""COMPUTED_VALUE"""),"18/05")</f>
        <v>18/05</v>
      </c>
      <c r="K96" s="138" t="str">
        <f>IFERROR(__xludf.DUMMYFUNCTION("""COMPUTED_VALUE"""),"19/05")</f>
        <v>19/05</v>
      </c>
      <c r="L96" s="138" t="str">
        <f>IFERROR(__xludf.DUMMYFUNCTION("""COMPUTED_VALUE"""),"19/05")</f>
        <v>19/05</v>
      </c>
      <c r="M96" s="138" t="str">
        <f>IFERROR(__xludf.DUMMYFUNCTION("""COMPUTED_VALUE"""),"19/05")</f>
        <v>19/05</v>
      </c>
      <c r="N96" s="138" t="str">
        <f>IFERROR(__xludf.DUMMYFUNCTION("""COMPUTED_VALUE"""),"19/05")</f>
        <v>19/05</v>
      </c>
      <c r="O96" s="138" t="str">
        <f>IFERROR(__xludf.DUMMYFUNCTION("""COMPUTED_VALUE"""),"19/05")</f>
        <v>19/05</v>
      </c>
      <c r="P96" s="138" t="str">
        <f>IFERROR(__xludf.DUMMYFUNCTION("""COMPUTED_VALUE"""),"21/05")</f>
        <v>21/05</v>
      </c>
      <c r="Q96" s="138" t="str">
        <f>IFERROR(__xludf.DUMMYFUNCTION("""COMPUTED_VALUE"""),"21/05")</f>
        <v>21/05</v>
      </c>
      <c r="R96" s="138" t="str">
        <f>IFERROR(__xludf.DUMMYFUNCTION("""COMPUTED_VALUE"""),"22/05")</f>
        <v>22/05</v>
      </c>
      <c r="S96" s="138" t="str">
        <f>IFERROR(__xludf.DUMMYFUNCTION("""COMPUTED_VALUE"""),"22/05")</f>
        <v>22/05</v>
      </c>
      <c r="T96" s="138" t="str">
        <f>IFERROR(__xludf.DUMMYFUNCTION("""COMPUTED_VALUE"""),"27/05")</f>
        <v>27/05</v>
      </c>
      <c r="U96" s="138"/>
      <c r="V96" s="138"/>
      <c r="W96" s="138"/>
      <c r="X96" s="138"/>
      <c r="Y96" s="138"/>
      <c r="Z96" s="138"/>
    </row>
    <row r="97" hidden="1">
      <c r="A97" s="138" t="str">
        <f>IFERROR(__xludf.DUMMYFUNCTION("""COMPUTED_VALUE"""),"VEE ONE")</f>
        <v>VEE ONE</v>
      </c>
      <c r="B97" s="138" t="str">
        <f>IFERROR(__xludf.DUMMYFUNCTION("""COMPUTED_VALUE"""),"BABE")</f>
        <v>BABE</v>
      </c>
      <c r="C97" s="138" t="str">
        <f>IFERROR(__xludf.DUMMYFUNCTION("""COMPUTED_VALUE"""),"200SGL119Q-2")</f>
        <v>200SGL119Q-2</v>
      </c>
      <c r="D97" s="138" t="str">
        <f>IFERROR(__xludf.DUMMYFUNCTION("""COMPUTED_VALUE"""),"STARTER GENERATOR")</f>
        <v>STARTER GENERATOR</v>
      </c>
      <c r="E97" s="138" t="str">
        <f>IFERROR(__xludf.DUMMYFUNCTION("""COMPUTED_VALUE"""),"8459XL2")</f>
        <v>8459XL2</v>
      </c>
      <c r="F97" s="138" t="str">
        <f>IFERROR(__xludf.DUMMYFUNCTION("""COMPUTED_VALUE"""),"013/2026")</f>
        <v>013/2026</v>
      </c>
      <c r="G97" s="138" t="str">
        <f>IFERROR(__xludf.DUMMYFUNCTION("""COMPUTED_VALUE"""),"18/05")</f>
        <v>18/05</v>
      </c>
      <c r="H97" s="138" t="str">
        <f>IFERROR(__xludf.DUMMYFUNCTION("""COMPUTED_VALUE"""),"18/05")</f>
        <v>18/05</v>
      </c>
      <c r="I97" s="138"/>
      <c r="J97" s="138" t="str">
        <f>IFERROR(__xludf.DUMMYFUNCTION("""COMPUTED_VALUE"""),"18/05")</f>
        <v>18/05</v>
      </c>
      <c r="K97" s="138" t="str">
        <f>IFERROR(__xludf.DUMMYFUNCTION("""COMPUTED_VALUE"""),"19/05")</f>
        <v>19/05</v>
      </c>
      <c r="L97" s="138" t="str">
        <f>IFERROR(__xludf.DUMMYFUNCTION("""COMPUTED_VALUE"""),"19/05")</f>
        <v>19/05</v>
      </c>
      <c r="M97" s="138" t="str">
        <f>IFERROR(__xludf.DUMMYFUNCTION("""COMPUTED_VALUE"""),"19/05")</f>
        <v>19/05</v>
      </c>
      <c r="N97" s="138" t="str">
        <f>IFERROR(__xludf.DUMMYFUNCTION("""COMPUTED_VALUE"""),"19/05")</f>
        <v>19/05</v>
      </c>
      <c r="O97" s="138" t="str">
        <f>IFERROR(__xludf.DUMMYFUNCTION("""COMPUTED_VALUE"""),"19/05")</f>
        <v>19/05</v>
      </c>
      <c r="P97" s="138" t="str">
        <f>IFERROR(__xludf.DUMMYFUNCTION("""COMPUTED_VALUE"""),"21/05")</f>
        <v>21/05</v>
      </c>
      <c r="Q97" s="138" t="str">
        <f>IFERROR(__xludf.DUMMYFUNCTION("""COMPUTED_VALUE"""),"21/05")</f>
        <v>21/05</v>
      </c>
      <c r="R97" s="138" t="str">
        <f>IFERROR(__xludf.DUMMYFUNCTION("""COMPUTED_VALUE"""),"22/05")</f>
        <v>22/05</v>
      </c>
      <c r="S97" s="138" t="str">
        <f>IFERROR(__xludf.DUMMYFUNCTION("""COMPUTED_VALUE"""),"22/05")</f>
        <v>22/05</v>
      </c>
      <c r="T97" s="138" t="str">
        <f>IFERROR(__xludf.DUMMYFUNCTION("""COMPUTED_VALUE"""),"27/05")</f>
        <v>27/05</v>
      </c>
      <c r="U97" s="138"/>
      <c r="V97" s="138"/>
      <c r="W97" s="138"/>
      <c r="X97" s="138"/>
      <c r="Y97" s="138"/>
      <c r="Z97" s="138"/>
    </row>
    <row r="98" hidden="1">
      <c r="A98" s="138" t="str">
        <f>IFERROR(__xludf.DUMMYFUNCTION("""COMPUTED_VALUE"""),"VEE ONE")</f>
        <v>VEE ONE</v>
      </c>
      <c r="B98" s="138" t="str">
        <f>IFERROR(__xludf.DUMMYFUNCTION("""COMPUTED_VALUE"""),"BABE")</f>
        <v>BABE</v>
      </c>
      <c r="C98" s="138" t="str">
        <f>IFERROR(__xludf.DUMMYFUNCTION("""COMPUTED_VALUE"""),"C611008-0101")</f>
        <v>C611008-0101</v>
      </c>
      <c r="D98" s="138" t="str">
        <f>IFERROR(__xludf.DUMMYFUNCTION("""COMPUTED_VALUE"""),"ALTERNADOR CONTROL UNIT")</f>
        <v>ALTERNADOR CONTROL UNIT</v>
      </c>
      <c r="E98" s="138" t="str">
        <f>IFERROR(__xludf.DUMMYFUNCTION("""COMPUTED_VALUE"""),"7081234")</f>
        <v>7081234</v>
      </c>
      <c r="F98" s="138" t="str">
        <f>IFERROR(__xludf.DUMMYFUNCTION("""COMPUTED_VALUE"""),"013/2026")</f>
        <v>013/2026</v>
      </c>
      <c r="G98" s="138" t="str">
        <f>IFERROR(__xludf.DUMMYFUNCTION("""COMPUTED_VALUE"""),"18/05")</f>
        <v>18/05</v>
      </c>
      <c r="H98" s="138" t="str">
        <f>IFERROR(__xludf.DUMMYFUNCTION("""COMPUTED_VALUE"""),"18/05")</f>
        <v>18/05</v>
      </c>
      <c r="I98" s="138"/>
      <c r="J98" s="138" t="str">
        <f>IFERROR(__xludf.DUMMYFUNCTION("""COMPUTED_VALUE"""),"18/05")</f>
        <v>18/05</v>
      </c>
      <c r="K98" s="138" t="str">
        <f>IFERROR(__xludf.DUMMYFUNCTION("""COMPUTED_VALUE"""),"19/05")</f>
        <v>19/05</v>
      </c>
      <c r="L98" s="138" t="str">
        <f>IFERROR(__xludf.DUMMYFUNCTION("""COMPUTED_VALUE"""),"19/05")</f>
        <v>19/05</v>
      </c>
      <c r="M98" s="138" t="str">
        <f>IFERROR(__xludf.DUMMYFUNCTION("""COMPUTED_VALUE"""),"19/05")</f>
        <v>19/05</v>
      </c>
      <c r="N98" s="138" t="str">
        <f>IFERROR(__xludf.DUMMYFUNCTION("""COMPUTED_VALUE"""),"19/05")</f>
        <v>19/05</v>
      </c>
      <c r="O98" s="138" t="str">
        <f>IFERROR(__xludf.DUMMYFUNCTION("""COMPUTED_VALUE"""),"19/05")</f>
        <v>19/05</v>
      </c>
      <c r="P98" s="138" t="str">
        <f>IFERROR(__xludf.DUMMYFUNCTION("""COMPUTED_VALUE"""),"21/05")</f>
        <v>21/05</v>
      </c>
      <c r="Q98" s="138" t="str">
        <f>IFERROR(__xludf.DUMMYFUNCTION("""COMPUTED_VALUE"""),"21/05")</f>
        <v>21/05</v>
      </c>
      <c r="R98" s="138" t="str">
        <f>IFERROR(__xludf.DUMMYFUNCTION("""COMPUTED_VALUE"""),"22/05")</f>
        <v>22/05</v>
      </c>
      <c r="S98" s="138" t="str">
        <f>IFERROR(__xludf.DUMMYFUNCTION("""COMPUTED_VALUE"""),"22/05")</f>
        <v>22/05</v>
      </c>
      <c r="T98" s="138" t="str">
        <f>IFERROR(__xludf.DUMMYFUNCTION("""COMPUTED_VALUE"""),"27/05")</f>
        <v>27/05</v>
      </c>
      <c r="U98" s="138"/>
      <c r="V98" s="138"/>
      <c r="W98" s="138"/>
      <c r="X98" s="138"/>
      <c r="Y98" s="138"/>
      <c r="Z98" s="138"/>
    </row>
    <row r="99" hidden="1">
      <c r="A99" s="138" t="str">
        <f>IFERROR(__xludf.DUMMYFUNCTION("""COMPUTED_VALUE"""),"VEE ONE")</f>
        <v>VEE ONE</v>
      </c>
      <c r="B99" s="138" t="str">
        <f>IFERROR(__xludf.DUMMYFUNCTION("""COMPUTED_VALUE"""),"CLA")</f>
        <v>CLA</v>
      </c>
      <c r="C99" s="138" t="str">
        <f>IFERROR(__xludf.DUMMYFUNCTION("""COMPUTED_VALUE"""),"3244897-4")</f>
        <v>3244897-4</v>
      </c>
      <c r="D99" s="138" t="str">
        <f>IFERROR(__xludf.DUMMYFUNCTION("""COMPUTED_VALUE"""),"FUEL CONTROL UNIT")</f>
        <v>FUEL CONTROL UNIT</v>
      </c>
      <c r="E99" s="138" t="str">
        <f>IFERROR(__xludf.DUMMYFUNCTION("""COMPUTED_VALUE"""),"C66691")</f>
        <v>C66691</v>
      </c>
      <c r="F99" s="138" t="str">
        <f>IFERROR(__xludf.DUMMYFUNCTION("""COMPUTED_VALUE"""),"015/2026")</f>
        <v>015/2026</v>
      </c>
      <c r="G99" s="138" t="str">
        <f>IFERROR(__xludf.DUMMYFUNCTION("""COMPUTED_VALUE"""),"08/07")</f>
        <v>08/07</v>
      </c>
      <c r="H99" s="138" t="str">
        <f>IFERROR(__xludf.DUMMYFUNCTION("""COMPUTED_VALUE"""),"08/07")</f>
        <v>08/07</v>
      </c>
      <c r="I99" s="138"/>
      <c r="J99" s="138" t="str">
        <f>IFERROR(__xludf.DUMMYFUNCTION("""COMPUTED_VALUE"""),"09/07")</f>
        <v>09/07</v>
      </c>
      <c r="K99" s="138" t="str">
        <f>IFERROR(__xludf.DUMMYFUNCTION("""COMPUTED_VALUE"""),"09/07")</f>
        <v>09/07</v>
      </c>
      <c r="L99" s="138" t="str">
        <f>IFERROR(__xludf.DUMMYFUNCTION("""COMPUTED_VALUE"""),"09/07")</f>
        <v>09/07</v>
      </c>
      <c r="M99" s="138" t="str">
        <f>IFERROR(__xludf.DUMMYFUNCTION("""COMPUTED_VALUE"""),"09/07")</f>
        <v>09/07</v>
      </c>
      <c r="N99" s="138" t="str">
        <f>IFERROR(__xludf.DUMMYFUNCTION("""COMPUTED_VALUE"""),"09/07")</f>
        <v>09/07</v>
      </c>
      <c r="O99" s="138" t="str">
        <f>IFERROR(__xludf.DUMMYFUNCTION("""COMPUTED_VALUE"""),"09/07")</f>
        <v>09/07</v>
      </c>
      <c r="P99" s="138" t="str">
        <f>IFERROR(__xludf.DUMMYFUNCTION("""COMPUTED_VALUE"""),"09/07")</f>
        <v>09/07</v>
      </c>
      <c r="Q99" s="138" t="str">
        <f>IFERROR(__xludf.DUMMYFUNCTION("""COMPUTED_VALUE"""),"09/07")</f>
        <v>09/07</v>
      </c>
      <c r="R99" s="138" t="str">
        <f>IFERROR(__xludf.DUMMYFUNCTION("""COMPUTED_VALUE"""),"09/07")</f>
        <v>09/07</v>
      </c>
      <c r="S99" s="138" t="str">
        <f>IFERROR(__xludf.DUMMYFUNCTION("""COMPUTED_VALUE"""),"09/07")</f>
        <v>09/07</v>
      </c>
      <c r="T99" s="138" t="str">
        <f>IFERROR(__xludf.DUMMYFUNCTION("""COMPUTED_VALUE"""),"09/07")</f>
        <v>09/07</v>
      </c>
      <c r="U99" s="138"/>
      <c r="V99" s="138"/>
      <c r="W99" s="138"/>
      <c r="X99" s="138"/>
      <c r="Y99" s="138"/>
      <c r="Z99" s="138"/>
    </row>
    <row r="100" hidden="1">
      <c r="A100" s="138" t="str">
        <f>IFERROR(__xludf.DUMMYFUNCTION("""COMPUTED_VALUE"""),"VEE ONE")</f>
        <v>VEE ONE</v>
      </c>
      <c r="B100" s="138" t="str">
        <f>IFERROR(__xludf.DUMMYFUNCTION("""COMPUTED_VALUE"""),"BAMN")</f>
        <v>BAMN</v>
      </c>
      <c r="C100" s="138" t="str">
        <f>IFERROR(__xludf.DUMMYFUNCTION("""COMPUTED_VALUE"""),"011-00916-10")</f>
        <v>011-00916-10</v>
      </c>
      <c r="D100" s="138" t="str">
        <f>IFERROR(__xludf.DUMMYFUNCTION("""COMPUTED_VALUE"""),"UNIDADE DE EXIBIÇÃO DE INFORMAÇÕES DE VOO")</f>
        <v>UNIDADE DE EXIBIÇÃO DE INFORMAÇÕES DE VOO</v>
      </c>
      <c r="E100" s="138" t="str">
        <f>IFERROR(__xludf.DUMMYFUNCTION("""COMPUTED_VALUE"""),"86815646")</f>
        <v>86815646</v>
      </c>
      <c r="F100" s="138" t="str">
        <f>IFERROR(__xludf.DUMMYFUNCTION("""COMPUTED_VALUE"""),"078/2026")</f>
        <v>078/2026</v>
      </c>
      <c r="G100" s="138" t="str">
        <f>IFERROR(__xludf.DUMMYFUNCTION("""COMPUTED_VALUE"""),"07/07")</f>
        <v>07/07</v>
      </c>
      <c r="H100" s="138" t="str">
        <f>IFERROR(__xludf.DUMMYFUNCTION("""COMPUTED_VALUE"""),"14/07")</f>
        <v>14/07</v>
      </c>
      <c r="I100" s="138"/>
      <c r="J100" s="138" t="str">
        <f>IFERROR(__xludf.DUMMYFUNCTION("""COMPUTED_VALUE"""),"15/07")</f>
        <v>15/07</v>
      </c>
      <c r="K100" s="138" t="str">
        <f>IFERROR(__xludf.DUMMYFUNCTION("""COMPUTED_VALUE"""),"15/07")</f>
        <v>15/07</v>
      </c>
      <c r="L100" s="138" t="str">
        <f>IFERROR(__xludf.DUMMYFUNCTION("""COMPUTED_VALUE"""),"15/07")</f>
        <v>15/07</v>
      </c>
      <c r="M100" s="138" t="str">
        <f>IFERROR(__xludf.DUMMYFUNCTION("""COMPUTED_VALUE"""),"15/07")</f>
        <v>15/07</v>
      </c>
      <c r="N100" s="138" t="str">
        <f>IFERROR(__xludf.DUMMYFUNCTION("""COMPUTED_VALUE"""),"15/07")</f>
        <v>15/07</v>
      </c>
      <c r="O100" s="138" t="str">
        <f>IFERROR(__xludf.DUMMYFUNCTION("""COMPUTED_VALUE"""),"15/07")</f>
        <v>15/07</v>
      </c>
      <c r="P100" s="138" t="str">
        <f>IFERROR(__xludf.DUMMYFUNCTION("""COMPUTED_VALUE"""),"16/07")</f>
        <v>16/07</v>
      </c>
      <c r="Q100" s="138" t="str">
        <f>IFERROR(__xludf.DUMMYFUNCTION("""COMPUTED_VALUE"""),"16/07")</f>
        <v>16/07</v>
      </c>
      <c r="R100" s="138" t="str">
        <f>IFERROR(__xludf.DUMMYFUNCTION("""COMPUTED_VALUE"""),"16/07")</f>
        <v>16/07</v>
      </c>
      <c r="S100" s="138" t="str">
        <f>IFERROR(__xludf.DUMMYFUNCTION("""COMPUTED_VALUE"""),"16/07")</f>
        <v>16/07</v>
      </c>
      <c r="T100" s="138" t="str">
        <f>IFERROR(__xludf.DUMMYFUNCTION("""COMPUTED_VALUE"""),"21/07")</f>
        <v>21/07</v>
      </c>
      <c r="U100" s="138"/>
      <c r="V100" s="138"/>
      <c r="W100" s="138"/>
      <c r="X100" s="138"/>
      <c r="Y100" s="138"/>
      <c r="Z100" s="138"/>
    </row>
    <row r="101" hidden="1">
      <c r="A101" s="138" t="str">
        <f>IFERROR(__xludf.DUMMYFUNCTION("""COMPUTED_VALUE"""),"VEE ONE")</f>
        <v>VEE ONE</v>
      </c>
      <c r="B101" s="138" t="str">
        <f>IFERROR(__xludf.DUMMYFUNCTION("""COMPUTED_VALUE"""),"BAMN")</f>
        <v>BAMN</v>
      </c>
      <c r="C101" s="138" t="str">
        <f>IFERROR(__xludf.DUMMYFUNCTION("""COMPUTED_VALUE"""),"C163030-1001")</f>
        <v>C163030-1001</v>
      </c>
      <c r="D101" s="138" t="str">
        <f>IFERROR(__xludf.DUMMYFUNCTION("""COMPUTED_VALUE"""),"MAIN WHEEL BRAKE")</f>
        <v>MAIN WHEEL BRAKE</v>
      </c>
      <c r="E101" s="138" t="str">
        <f>IFERROR(__xludf.DUMMYFUNCTION("""COMPUTED_VALUE"""),"02LS")</f>
        <v>02LS</v>
      </c>
      <c r="F101" s="138" t="str">
        <f>IFERROR(__xludf.DUMMYFUNCTION("""COMPUTED_VALUE"""),"080/2026")</f>
        <v>080/2026</v>
      </c>
      <c r="G101" s="138" t="str">
        <f>IFERROR(__xludf.DUMMYFUNCTION("""COMPUTED_VALUE"""),"07/07")</f>
        <v>07/07</v>
      </c>
      <c r="H101" s="138" t="str">
        <f>IFERROR(__xludf.DUMMYFUNCTION("""COMPUTED_VALUE"""),"14/07")</f>
        <v>14/07</v>
      </c>
      <c r="I101" s="138"/>
      <c r="J101" s="138" t="str">
        <f>IFERROR(__xludf.DUMMYFUNCTION("""COMPUTED_VALUE"""),"15/07")</f>
        <v>15/07</v>
      </c>
      <c r="K101" s="138" t="str">
        <f>IFERROR(__xludf.DUMMYFUNCTION("""COMPUTED_VALUE"""),"15/07")</f>
        <v>15/07</v>
      </c>
      <c r="L101" s="138" t="str">
        <f>IFERROR(__xludf.DUMMYFUNCTION("""COMPUTED_VALUE"""),"15/07")</f>
        <v>15/07</v>
      </c>
      <c r="M101" s="138" t="str">
        <f>IFERROR(__xludf.DUMMYFUNCTION("""COMPUTED_VALUE"""),"15/07")</f>
        <v>15/07</v>
      </c>
      <c r="N101" s="138" t="str">
        <f>IFERROR(__xludf.DUMMYFUNCTION("""COMPUTED_VALUE"""),"15/07")</f>
        <v>15/07</v>
      </c>
      <c r="O101" s="138" t="str">
        <f>IFERROR(__xludf.DUMMYFUNCTION("""COMPUTED_VALUE"""),"15/07")</f>
        <v>15/07</v>
      </c>
      <c r="P101" s="138" t="str">
        <f>IFERROR(__xludf.DUMMYFUNCTION("""COMPUTED_VALUE"""),"16/07")</f>
        <v>16/07</v>
      </c>
      <c r="Q101" s="138" t="str">
        <f>IFERROR(__xludf.DUMMYFUNCTION("""COMPUTED_VALUE"""),"16/07")</f>
        <v>16/07</v>
      </c>
      <c r="R101" s="138" t="str">
        <f>IFERROR(__xludf.DUMMYFUNCTION("""COMPUTED_VALUE"""),"16/07")</f>
        <v>16/07</v>
      </c>
      <c r="S101" s="138" t="str">
        <f>IFERROR(__xludf.DUMMYFUNCTION("""COMPUTED_VALUE"""),"16/07")</f>
        <v>16/07</v>
      </c>
      <c r="T101" s="138" t="str">
        <f>IFERROR(__xludf.DUMMYFUNCTION("""COMPUTED_VALUE"""),"21/07")</f>
        <v>21/07</v>
      </c>
      <c r="U101" s="138"/>
      <c r="V101" s="138"/>
      <c r="W101" s="138"/>
      <c r="X101" s="138"/>
      <c r="Y101" s="138"/>
      <c r="Z101" s="138"/>
    </row>
    <row r="102" hidden="1">
      <c r="A102" s="138" t="str">
        <f>IFERROR(__xludf.DUMMYFUNCTION("""COMPUTED_VALUE"""),"VEE ONE")</f>
        <v>VEE ONE</v>
      </c>
      <c r="B102" s="138" t="str">
        <f>IFERROR(__xludf.DUMMYFUNCTION("""COMPUTED_VALUE"""),"BABR")</f>
        <v>BABR</v>
      </c>
      <c r="C102" s="138" t="str">
        <f>IFERROR(__xludf.DUMMYFUNCTION("""COMPUTED_VALUE"""),"066-3046-07")</f>
        <v>066-3046-07</v>
      </c>
      <c r="D102" s="138" t="str">
        <f>IFERROR(__xludf.DUMMYFUNCTION("""COMPUTED_VALUE"""),"CONTROL INDICATOR")</f>
        <v>CONTROL INDICATOR</v>
      </c>
      <c r="E102" s="138" t="str">
        <f>IFERROR(__xludf.DUMMYFUNCTION("""COMPUTED_VALUE"""),"89292")</f>
        <v>89292</v>
      </c>
      <c r="F102" s="138" t="str">
        <f>IFERROR(__xludf.DUMMYFUNCTION("""COMPUTED_VALUE"""),"019/2026")</f>
        <v>019/2026</v>
      </c>
      <c r="G102" s="138" t="str">
        <f>IFERROR(__xludf.DUMMYFUNCTION("""COMPUTED_VALUE"""),"11/05")</f>
        <v>11/05</v>
      </c>
      <c r="H102" s="138" t="str">
        <f>IFERROR(__xludf.DUMMYFUNCTION("""COMPUTED_VALUE"""),"13/05")</f>
        <v>13/05</v>
      </c>
      <c r="I102" s="138"/>
      <c r="J102" s="138" t="str">
        <f>IFERROR(__xludf.DUMMYFUNCTION("""COMPUTED_VALUE"""),"13/05")</f>
        <v>13/05</v>
      </c>
      <c r="K102" s="138" t="str">
        <f>IFERROR(__xludf.DUMMYFUNCTION("""COMPUTED_VALUE"""),"13/05")</f>
        <v>13/05</v>
      </c>
      <c r="L102" s="138" t="str">
        <f>IFERROR(__xludf.DUMMYFUNCTION("""COMPUTED_VALUE"""),"13/05")</f>
        <v>13/05</v>
      </c>
      <c r="M102" s="138" t="str">
        <f>IFERROR(__xludf.DUMMYFUNCTION("""COMPUTED_VALUE"""),"13/05")</f>
        <v>13/05</v>
      </c>
      <c r="N102" s="138" t="str">
        <f>IFERROR(__xludf.DUMMYFUNCTION("""COMPUTED_VALUE"""),"13/05")</f>
        <v>13/05</v>
      </c>
      <c r="O102" s="138" t="str">
        <f>IFERROR(__xludf.DUMMYFUNCTION("""COMPUTED_VALUE"""),"13/05")</f>
        <v>13/05</v>
      </c>
      <c r="P102" s="138" t="str">
        <f>IFERROR(__xludf.DUMMYFUNCTION("""COMPUTED_VALUE"""),"14/05")</f>
        <v>14/05</v>
      </c>
      <c r="Q102" s="138" t="str">
        <f>IFERROR(__xludf.DUMMYFUNCTION("""COMPUTED_VALUE"""),"14/05")</f>
        <v>14/05</v>
      </c>
      <c r="R102" s="138" t="str">
        <f>IFERROR(__xludf.DUMMYFUNCTION("""COMPUTED_VALUE"""),"14/05")</f>
        <v>14/05</v>
      </c>
      <c r="S102" s="138" t="str">
        <f>IFERROR(__xludf.DUMMYFUNCTION("""COMPUTED_VALUE"""),"14/05 e 02/06")</f>
        <v>14/05 e 02/06</v>
      </c>
      <c r="T102" s="138" t="str">
        <f>IFERROR(__xludf.DUMMYFUNCTION("""COMPUTED_VALUE"""),"23/07")</f>
        <v>23/07</v>
      </c>
      <c r="U102" s="138"/>
      <c r="V102" s="138"/>
      <c r="W102" s="138"/>
      <c r="X102" s="138"/>
      <c r="Y102" s="138"/>
      <c r="Z102" s="138"/>
    </row>
    <row r="103" hidden="1">
      <c r="A103" s="138" t="str">
        <f>IFERROR(__xludf.DUMMYFUNCTION("""COMPUTED_VALUE"""),"VEE ONE")</f>
        <v>VEE ONE</v>
      </c>
      <c r="B103" s="138" t="str">
        <f>IFERROR(__xludf.DUMMYFUNCTION("""COMPUTED_VALUE"""),"BAMN")</f>
        <v>BAMN</v>
      </c>
      <c r="C103" s="138" t="str">
        <f>IFERROR(__xludf.DUMMYFUNCTION("""COMPUTED_VALUE"""),"324843-2020")</f>
        <v>324843-2020</v>
      </c>
      <c r="D103" s="138" t="str">
        <f>IFERROR(__xludf.DUMMYFUNCTION("""COMPUTED_VALUE"""),"HEADSET-MICROPHONE")</f>
        <v>HEADSET-MICROPHONE</v>
      </c>
      <c r="E103" s="138" t="str">
        <f>IFERROR(__xludf.DUMMYFUNCTION("""COMPUTED_VALUE"""),"070407983320094AE")</f>
        <v>070407983320094AE</v>
      </c>
      <c r="F103" s="138" t="str">
        <f>IFERROR(__xludf.DUMMYFUNCTION("""COMPUTED_VALUE"""),"088/2026")</f>
        <v>088/2026</v>
      </c>
      <c r="G103" s="138" t="str">
        <f>IFERROR(__xludf.DUMMYFUNCTION("""COMPUTED_VALUE"""),"04/08")</f>
        <v>04/08</v>
      </c>
      <c r="H103" s="138" t="str">
        <f>IFERROR(__xludf.DUMMYFUNCTION("""COMPUTED_VALUE"""),"04/08")</f>
        <v>04/08</v>
      </c>
      <c r="I103" s="138"/>
      <c r="J103" s="138" t="str">
        <f>IFERROR(__xludf.DUMMYFUNCTION("""COMPUTED_VALUE"""),"05/08")</f>
        <v>05/08</v>
      </c>
      <c r="K103" s="138" t="str">
        <f>IFERROR(__xludf.DUMMYFUNCTION("""COMPUTED_VALUE"""),"05/08")</f>
        <v>05/08</v>
      </c>
      <c r="L103" s="138" t="str">
        <f>IFERROR(__xludf.DUMMYFUNCTION("""COMPUTED_VALUE"""),"05/08")</f>
        <v>05/08</v>
      </c>
      <c r="M103" s="138" t="str">
        <f>IFERROR(__xludf.DUMMYFUNCTION("""COMPUTED_VALUE"""),"05/08")</f>
        <v>05/08</v>
      </c>
      <c r="N103" s="138" t="str">
        <f>IFERROR(__xludf.DUMMYFUNCTION("""COMPUTED_VALUE"""),"05/08")</f>
        <v>05/08</v>
      </c>
      <c r="O103" s="138" t="str">
        <f>IFERROR(__xludf.DUMMYFUNCTION("""COMPUTED_VALUE"""),"05/08")</f>
        <v>05/08</v>
      </c>
      <c r="P103" s="138" t="str">
        <f>IFERROR(__xludf.DUMMYFUNCTION("""COMPUTED_VALUE"""),"05/08")</f>
        <v>05/08</v>
      </c>
      <c r="Q103" s="138" t="str">
        <f>IFERROR(__xludf.DUMMYFUNCTION("""COMPUTED_VALUE"""),"05/08")</f>
        <v>05/08</v>
      </c>
      <c r="R103" s="138" t="str">
        <f>IFERROR(__xludf.DUMMYFUNCTION("""COMPUTED_VALUE"""),"05/08")</f>
        <v>05/08</v>
      </c>
      <c r="S103" s="138" t="str">
        <f>IFERROR(__xludf.DUMMYFUNCTION("""COMPUTED_VALUE"""),"05/08")</f>
        <v>05/08</v>
      </c>
      <c r="T103" s="138" t="str">
        <f>IFERROR(__xludf.DUMMYFUNCTION("""COMPUTED_VALUE"""),"06/08")</f>
        <v>06/08</v>
      </c>
      <c r="U103" s="138"/>
      <c r="V103" s="138"/>
      <c r="W103" s="138"/>
      <c r="X103" s="138"/>
      <c r="Y103" s="138"/>
      <c r="Z103" s="138"/>
    </row>
    <row r="104" hidden="1">
      <c r="A104" s="138" t="str">
        <f>IFERROR(__xludf.DUMMYFUNCTION("""COMPUTED_VALUE"""),"VEE ONE")</f>
        <v>VEE ONE</v>
      </c>
      <c r="B104" s="138" t="str">
        <f>IFERROR(__xludf.DUMMYFUNCTION("""COMPUTED_VALUE"""),"BAMN")</f>
        <v>BAMN</v>
      </c>
      <c r="C104" s="138" t="str">
        <f>IFERROR(__xludf.DUMMYFUNCTION("""COMPUTED_VALUE"""),"324843-2020")</f>
        <v>324843-2020</v>
      </c>
      <c r="D104" s="138" t="str">
        <f>IFERROR(__xludf.DUMMYFUNCTION("""COMPUTED_VALUE"""),"HEADSET-MICROPHONE")</f>
        <v>HEADSET-MICROPHONE</v>
      </c>
      <c r="E104" s="138" t="str">
        <f>IFERROR(__xludf.DUMMYFUNCTION("""COMPUTED_VALUE"""),"070407983320130AE")</f>
        <v>070407983320130AE</v>
      </c>
      <c r="F104" s="138" t="str">
        <f>IFERROR(__xludf.DUMMYFUNCTION("""COMPUTED_VALUE"""),"088/2026")</f>
        <v>088/2026</v>
      </c>
      <c r="G104" s="138" t="str">
        <f>IFERROR(__xludf.DUMMYFUNCTION("""COMPUTED_VALUE"""),"04/08")</f>
        <v>04/08</v>
      </c>
      <c r="H104" s="138" t="str">
        <f>IFERROR(__xludf.DUMMYFUNCTION("""COMPUTED_VALUE"""),"04/08")</f>
        <v>04/08</v>
      </c>
      <c r="I104" s="138"/>
      <c r="J104" s="138" t="str">
        <f>IFERROR(__xludf.DUMMYFUNCTION("""COMPUTED_VALUE"""),"05/08")</f>
        <v>05/08</v>
      </c>
      <c r="K104" s="138" t="str">
        <f>IFERROR(__xludf.DUMMYFUNCTION("""COMPUTED_VALUE"""),"05/08")</f>
        <v>05/08</v>
      </c>
      <c r="L104" s="138" t="str">
        <f>IFERROR(__xludf.DUMMYFUNCTION("""COMPUTED_VALUE"""),"05/08")</f>
        <v>05/08</v>
      </c>
      <c r="M104" s="138" t="str">
        <f>IFERROR(__xludf.DUMMYFUNCTION("""COMPUTED_VALUE"""),"05/08")</f>
        <v>05/08</v>
      </c>
      <c r="N104" s="138" t="str">
        <f>IFERROR(__xludf.DUMMYFUNCTION("""COMPUTED_VALUE"""),"05/08")</f>
        <v>05/08</v>
      </c>
      <c r="O104" s="138" t="str">
        <f>IFERROR(__xludf.DUMMYFUNCTION("""COMPUTED_VALUE"""),"05/08")</f>
        <v>05/08</v>
      </c>
      <c r="P104" s="138" t="str">
        <f>IFERROR(__xludf.DUMMYFUNCTION("""COMPUTED_VALUE"""),"05/08")</f>
        <v>05/08</v>
      </c>
      <c r="Q104" s="138" t="str">
        <f>IFERROR(__xludf.DUMMYFUNCTION("""COMPUTED_VALUE"""),"05/08")</f>
        <v>05/08</v>
      </c>
      <c r="R104" s="138" t="str">
        <f>IFERROR(__xludf.DUMMYFUNCTION("""COMPUTED_VALUE"""),"05/08")</f>
        <v>05/08</v>
      </c>
      <c r="S104" s="138" t="str">
        <f>IFERROR(__xludf.DUMMYFUNCTION("""COMPUTED_VALUE"""),"05/08")</f>
        <v>05/08</v>
      </c>
      <c r="T104" s="138" t="str">
        <f>IFERROR(__xludf.DUMMYFUNCTION("""COMPUTED_VALUE"""),"06/08")</f>
        <v>06/08</v>
      </c>
      <c r="U104" s="138"/>
      <c r="V104" s="138"/>
      <c r="W104" s="138"/>
      <c r="X104" s="138"/>
      <c r="Y104" s="138"/>
      <c r="Z104" s="138"/>
    </row>
    <row r="105" hidden="1">
      <c r="A105" s="138" t="str">
        <f>IFERROR(__xludf.DUMMYFUNCTION("""COMPUTED_VALUE"""),"VEE ONE")</f>
        <v>VEE ONE</v>
      </c>
      <c r="B105" s="138" t="str">
        <f>IFERROR(__xludf.DUMMYFUNCTION("""COMPUTED_VALUE"""),"BABR")</f>
        <v>BABR</v>
      </c>
      <c r="C105" s="138" t="str">
        <f>IFERROR(__xludf.DUMMYFUNCTION("""COMPUTED_VALUE"""),"51539-012N")</f>
        <v>51539-012N</v>
      </c>
      <c r="D105" s="138" t="str">
        <f>IFERROR(__xludf.DUMMYFUNCTION("""COMPUTED_VALUE"""),"CONTROL UNIT ASSY-GENERATOR")</f>
        <v>CONTROL UNIT ASSY-GENERATOR</v>
      </c>
      <c r="E105" s="138" t="str">
        <f>IFERROR(__xludf.DUMMYFUNCTION("""COMPUTED_VALUE"""),"P2033")</f>
        <v>P2033</v>
      </c>
      <c r="F105" s="138" t="str">
        <f>IFERROR(__xludf.DUMMYFUNCTION("""COMPUTED_VALUE"""),"016/2026")</f>
        <v>016/2026</v>
      </c>
      <c r="G105" s="138" t="str">
        <f>IFERROR(__xludf.DUMMYFUNCTION("""COMPUTED_VALUE"""),"04/05")</f>
        <v>04/05</v>
      </c>
      <c r="H105" s="138" t="str">
        <f>IFERROR(__xludf.DUMMYFUNCTION("""COMPUTED_VALUE"""),"04/05")</f>
        <v>04/05</v>
      </c>
      <c r="I105" s="138" t="str">
        <f>IFERROR(__xludf.DUMMYFUNCTION("""COMPUTED_VALUE"""),"*")</f>
        <v>*</v>
      </c>
      <c r="J105" s="138" t="str">
        <f>IFERROR(__xludf.DUMMYFUNCTION("""COMPUTED_VALUE"""),"05/05")</f>
        <v>05/05</v>
      </c>
      <c r="K105" s="138" t="str">
        <f>IFERROR(__xludf.DUMMYFUNCTION("""COMPUTED_VALUE"""),"22/05")</f>
        <v>22/05</v>
      </c>
      <c r="L105" s="138" t="str">
        <f>IFERROR(__xludf.DUMMYFUNCTION("""COMPUTED_VALUE"""),"22/05")</f>
        <v>22/05</v>
      </c>
      <c r="M105" s="138" t="str">
        <f>IFERROR(__xludf.DUMMYFUNCTION("""COMPUTED_VALUE"""),"25/05")</f>
        <v>25/05</v>
      </c>
      <c r="N105" s="138" t="str">
        <f>IFERROR(__xludf.DUMMYFUNCTION("""COMPUTED_VALUE"""),"25/05")</f>
        <v>25/05</v>
      </c>
      <c r="O105" s="138" t="str">
        <f>IFERROR(__xludf.DUMMYFUNCTION("""COMPUTED_VALUE"""),"25/05")</f>
        <v>25/05</v>
      </c>
      <c r="P105" s="138" t="str">
        <f>IFERROR(__xludf.DUMMYFUNCTION("""COMPUTED_VALUE"""),"25/05")</f>
        <v>25/05</v>
      </c>
      <c r="Q105" s="138" t="str">
        <f>IFERROR(__xludf.DUMMYFUNCTION("""COMPUTED_VALUE"""),"25/05")</f>
        <v>25/05</v>
      </c>
      <c r="R105" s="138" t="str">
        <f>IFERROR(__xludf.DUMMYFUNCTION("""COMPUTED_VALUE"""),"25/05")</f>
        <v>25/05</v>
      </c>
      <c r="S105" s="138" t="str">
        <f>IFERROR(__xludf.DUMMYFUNCTION("""COMPUTED_VALUE"""),"28/07")</f>
        <v>28/07</v>
      </c>
      <c r="T105" s="138" t="str">
        <f>IFERROR(__xludf.DUMMYFUNCTION("""COMPUTED_VALUE"""),"30/07")</f>
        <v>30/07</v>
      </c>
      <c r="U105" s="138" t="str">
        <f>IFERROR(__xludf.DUMMYFUNCTION("""COMPUTED_VALUE"""),"RECEBIDO POR 3S KESIA")</f>
        <v>RECEBIDO POR 3S KESIA</v>
      </c>
      <c r="V105" s="138"/>
      <c r="W105" s="138"/>
      <c r="X105" s="138"/>
      <c r="Y105" s="138"/>
      <c r="Z105" s="138"/>
    </row>
    <row r="106" hidden="1">
      <c r="A106" s="138" t="str">
        <f>IFERROR(__xludf.DUMMYFUNCTION("""COMPUTED_VALUE"""),"VEE ONE")</f>
        <v>VEE ONE</v>
      </c>
      <c r="B106" s="138" t="str">
        <f>IFERROR(__xludf.DUMMYFUNCTION("""COMPUTED_VALUE"""),"BABR")</f>
        <v>BABR</v>
      </c>
      <c r="C106" s="138" t="str">
        <f>IFERROR(__xludf.DUMMYFUNCTION("""COMPUTED_VALUE"""),"060-0017-00")</f>
        <v>060-0017-00</v>
      </c>
      <c r="D106" s="138" t="str">
        <f>IFERROR(__xludf.DUMMYFUNCTION("""COMPUTED_VALUE"""),"IND DE COMANDO DE VOO")</f>
        <v>IND DE COMANDO DE VOO</v>
      </c>
      <c r="E106" s="138" t="str">
        <f>IFERROR(__xludf.DUMMYFUNCTION("""COMPUTED_VALUE"""),"KI256-25707")</f>
        <v>KI256-25707</v>
      </c>
      <c r="F106" s="138" t="str">
        <f>IFERROR(__xludf.DUMMYFUNCTION("""COMPUTED_VALUE"""),"018/2026")</f>
        <v>018/2026</v>
      </c>
      <c r="G106" s="138" t="str">
        <f>IFERROR(__xludf.DUMMYFUNCTION("""COMPUTED_VALUE"""),"04/05")</f>
        <v>04/05</v>
      </c>
      <c r="H106" s="138" t="str">
        <f>IFERROR(__xludf.DUMMYFUNCTION("""COMPUTED_VALUE"""),"04/05")</f>
        <v>04/05</v>
      </c>
      <c r="I106" s="138" t="str">
        <f>IFERROR(__xludf.DUMMYFUNCTION("""COMPUTED_VALUE"""),"*")</f>
        <v>*</v>
      </c>
      <c r="J106" s="138" t="str">
        <f>IFERROR(__xludf.DUMMYFUNCTION("""COMPUTED_VALUE"""),"05/05")</f>
        <v>05/05</v>
      </c>
      <c r="K106" s="138" t="str">
        <f>IFERROR(__xludf.DUMMYFUNCTION("""COMPUTED_VALUE"""),"22/05")</f>
        <v>22/05</v>
      </c>
      <c r="L106" s="138" t="str">
        <f>IFERROR(__xludf.DUMMYFUNCTION("""COMPUTED_VALUE"""),"22/05")</f>
        <v>22/05</v>
      </c>
      <c r="M106" s="138" t="str">
        <f>IFERROR(__xludf.DUMMYFUNCTION("""COMPUTED_VALUE"""),"25/05")</f>
        <v>25/05</v>
      </c>
      <c r="N106" s="138" t="str">
        <f>IFERROR(__xludf.DUMMYFUNCTION("""COMPUTED_VALUE"""),"25/05")</f>
        <v>25/05</v>
      </c>
      <c r="O106" s="138" t="str">
        <f>IFERROR(__xludf.DUMMYFUNCTION("""COMPUTED_VALUE"""),"25/05")</f>
        <v>25/05</v>
      </c>
      <c r="P106" s="138" t="str">
        <f>IFERROR(__xludf.DUMMYFUNCTION("""COMPUTED_VALUE"""),"25/05")</f>
        <v>25/05</v>
      </c>
      <c r="Q106" s="138" t="str">
        <f>IFERROR(__xludf.DUMMYFUNCTION("""COMPUTED_VALUE"""),"25/05")</f>
        <v>25/05</v>
      </c>
      <c r="R106" s="138" t="str">
        <f>IFERROR(__xludf.DUMMYFUNCTION("""COMPUTED_VALUE"""),"25/05")</f>
        <v>25/05</v>
      </c>
      <c r="S106" s="138" t="str">
        <f>IFERROR(__xludf.DUMMYFUNCTION("""COMPUTED_VALUE"""),"28/07")</f>
        <v>28/07</v>
      </c>
      <c r="T106" s="138" t="str">
        <f>IFERROR(__xludf.DUMMYFUNCTION("""COMPUTED_VALUE"""),"30/07")</f>
        <v>30/07</v>
      </c>
      <c r="U106" s="138" t="str">
        <f>IFERROR(__xludf.DUMMYFUNCTION("""COMPUTED_VALUE"""),"RECEBIDO POR 3S KESIA")</f>
        <v>RECEBIDO POR 3S KESIA</v>
      </c>
      <c r="V106" s="138"/>
      <c r="W106" s="138"/>
      <c r="X106" s="138"/>
      <c r="Y106" s="138"/>
      <c r="Z106" s="138"/>
    </row>
    <row r="107" hidden="1">
      <c r="A107" s="138" t="str">
        <f>IFERROR(__xludf.DUMMYFUNCTION("""COMPUTED_VALUE"""),"VEE ONE")</f>
        <v>VEE ONE</v>
      </c>
      <c r="B107" s="138" t="str">
        <f>IFERROR(__xludf.DUMMYFUNCTION("""COMPUTED_VALUE"""),"BABR")</f>
        <v>BABR</v>
      </c>
      <c r="C107" s="138" t="str">
        <f>IFERROR(__xludf.DUMMYFUNCTION("""COMPUTED_VALUE"""),"2641011-5")</f>
        <v>2641011-5</v>
      </c>
      <c r="D107" s="138" t="str">
        <f>IFERROR(__xludf.DUMMYFUNCTION("""COMPUTED_VALUE"""),"AXLE-MAIN GEAR")</f>
        <v>AXLE-MAIN GEAR</v>
      </c>
      <c r="E107" s="138" t="str">
        <f>IFERROR(__xludf.DUMMYFUNCTION("""COMPUTED_VALUE"""),"3275-5")</f>
        <v>3275-5</v>
      </c>
      <c r="F107" s="138" t="str">
        <f>IFERROR(__xludf.DUMMYFUNCTION("""COMPUTED_VALUE"""),"020/2026")</f>
        <v>020/2026</v>
      </c>
      <c r="G107" s="138" t="str">
        <f>IFERROR(__xludf.DUMMYFUNCTION("""COMPUTED_VALUE"""),"11/05")</f>
        <v>11/05</v>
      </c>
      <c r="H107" s="138" t="str">
        <f>IFERROR(__xludf.DUMMYFUNCTION("""COMPUTED_VALUE"""),"18/05")</f>
        <v>18/05</v>
      </c>
      <c r="I107" s="138" t="str">
        <f>IFERROR(__xludf.DUMMYFUNCTION("""COMPUTED_VALUE"""),"*")</f>
        <v>*</v>
      </c>
      <c r="J107" s="138" t="str">
        <f>IFERROR(__xludf.DUMMYFUNCTION("""COMPUTED_VALUE"""),"18/05")</f>
        <v>18/05</v>
      </c>
      <c r="K107" s="138" t="str">
        <f>IFERROR(__xludf.DUMMYFUNCTION("""COMPUTED_VALUE"""),"19/05")</f>
        <v>19/05</v>
      </c>
      <c r="L107" s="138" t="str">
        <f>IFERROR(__xludf.DUMMYFUNCTION("""COMPUTED_VALUE"""),"19/05")</f>
        <v>19/05</v>
      </c>
      <c r="M107" s="138" t="str">
        <f>IFERROR(__xludf.DUMMYFUNCTION("""COMPUTED_VALUE"""),"19/05")</f>
        <v>19/05</v>
      </c>
      <c r="N107" s="138" t="str">
        <f>IFERROR(__xludf.DUMMYFUNCTION("""COMPUTED_VALUE"""),"19/05")</f>
        <v>19/05</v>
      </c>
      <c r="O107" s="138" t="str">
        <f>IFERROR(__xludf.DUMMYFUNCTION("""COMPUTED_VALUE"""),"19/05")</f>
        <v>19/05</v>
      </c>
      <c r="P107" s="138" t="str">
        <f>IFERROR(__xludf.DUMMYFUNCTION("""COMPUTED_VALUE"""),"21/05")</f>
        <v>21/05</v>
      </c>
      <c r="Q107" s="138" t="str">
        <f>IFERROR(__xludf.DUMMYFUNCTION("""COMPUTED_VALUE"""),"21/05 e 28/07")</f>
        <v>21/05 e 28/07</v>
      </c>
      <c r="R107" s="138" t="str">
        <f>IFERROR(__xludf.DUMMYFUNCTION("""COMPUTED_VALUE"""),"22/05")</f>
        <v>22/05</v>
      </c>
      <c r="S107" s="138" t="str">
        <f>IFERROR(__xludf.DUMMYFUNCTION("""COMPUTED_VALUE"""),"28/07")</f>
        <v>28/07</v>
      </c>
      <c r="T107" s="138" t="str">
        <f>IFERROR(__xludf.DUMMYFUNCTION("""COMPUTED_VALUE"""),"04/08")</f>
        <v>04/08</v>
      </c>
      <c r="U107" s="138" t="str">
        <f>IFERROR(__xludf.DUMMYFUNCTION("""COMPUTED_VALUE"""),"RECEBIDO POR 3S KESIA")</f>
        <v>RECEBIDO POR 3S KESIA</v>
      </c>
      <c r="V107" s="138"/>
      <c r="W107" s="138"/>
      <c r="X107" s="138"/>
      <c r="Y107" s="138"/>
      <c r="Z107" s="138"/>
    </row>
    <row r="108" hidden="1">
      <c r="A108" s="138" t="str">
        <f>IFERROR(__xludf.DUMMYFUNCTION("""COMPUTED_VALUE"""),"VEE ONE")</f>
        <v>VEE ONE</v>
      </c>
      <c r="B108" s="138" t="str">
        <f>IFERROR(__xludf.DUMMYFUNCTION("""COMPUTED_VALUE"""),"BABR")</f>
        <v>BABR</v>
      </c>
      <c r="C108" s="138" t="str">
        <f>IFERROR(__xludf.DUMMYFUNCTION("""COMPUTED_VALUE"""),"2641011-5")</f>
        <v>2641011-5</v>
      </c>
      <c r="D108" s="138" t="str">
        <f>IFERROR(__xludf.DUMMYFUNCTION("""COMPUTED_VALUE"""),"AXLE-MAIN GEAR")</f>
        <v>AXLE-MAIN GEAR</v>
      </c>
      <c r="E108" s="138" t="str">
        <f>IFERROR(__xludf.DUMMYFUNCTION("""COMPUTED_VALUE"""),"2668-5")</f>
        <v>2668-5</v>
      </c>
      <c r="F108" s="138" t="str">
        <f>IFERROR(__xludf.DUMMYFUNCTION("""COMPUTED_VALUE"""),"020/2026")</f>
        <v>020/2026</v>
      </c>
      <c r="G108" s="138" t="str">
        <f>IFERROR(__xludf.DUMMYFUNCTION("""COMPUTED_VALUE"""),"11/05")</f>
        <v>11/05</v>
      </c>
      <c r="H108" s="138" t="str">
        <f>IFERROR(__xludf.DUMMYFUNCTION("""COMPUTED_VALUE"""),"18/05")</f>
        <v>18/05</v>
      </c>
      <c r="I108" s="138" t="str">
        <f>IFERROR(__xludf.DUMMYFUNCTION("""COMPUTED_VALUE"""),"*")</f>
        <v>*</v>
      </c>
      <c r="J108" s="138" t="str">
        <f>IFERROR(__xludf.DUMMYFUNCTION("""COMPUTED_VALUE"""),"18/05")</f>
        <v>18/05</v>
      </c>
      <c r="K108" s="138" t="str">
        <f>IFERROR(__xludf.DUMMYFUNCTION("""COMPUTED_VALUE"""),"19/05")</f>
        <v>19/05</v>
      </c>
      <c r="L108" s="138" t="str">
        <f>IFERROR(__xludf.DUMMYFUNCTION("""COMPUTED_VALUE"""),"19/05")</f>
        <v>19/05</v>
      </c>
      <c r="M108" s="138" t="str">
        <f>IFERROR(__xludf.DUMMYFUNCTION("""COMPUTED_VALUE"""),"19/05")</f>
        <v>19/05</v>
      </c>
      <c r="N108" s="138" t="str">
        <f>IFERROR(__xludf.DUMMYFUNCTION("""COMPUTED_VALUE"""),"19/05")</f>
        <v>19/05</v>
      </c>
      <c r="O108" s="138" t="str">
        <f>IFERROR(__xludf.DUMMYFUNCTION("""COMPUTED_VALUE"""),"19/05")</f>
        <v>19/05</v>
      </c>
      <c r="P108" s="138" t="str">
        <f>IFERROR(__xludf.DUMMYFUNCTION("""COMPUTED_VALUE"""),"21/05")</f>
        <v>21/05</v>
      </c>
      <c r="Q108" s="138" t="str">
        <f>IFERROR(__xludf.DUMMYFUNCTION("""COMPUTED_VALUE"""),"21/05 e 28/07")</f>
        <v>21/05 e 28/07</v>
      </c>
      <c r="R108" s="138" t="str">
        <f>IFERROR(__xludf.DUMMYFUNCTION("""COMPUTED_VALUE"""),"22/05")</f>
        <v>22/05</v>
      </c>
      <c r="S108" s="138" t="str">
        <f>IFERROR(__xludf.DUMMYFUNCTION("""COMPUTED_VALUE"""),"28/07")</f>
        <v>28/07</v>
      </c>
      <c r="T108" s="138" t="str">
        <f>IFERROR(__xludf.DUMMYFUNCTION("""COMPUTED_VALUE"""),"04/08")</f>
        <v>04/08</v>
      </c>
      <c r="U108" s="138" t="str">
        <f>IFERROR(__xludf.DUMMYFUNCTION("""COMPUTED_VALUE"""),"RECEBIDO POR 3S KESIA")</f>
        <v>RECEBIDO POR 3S KESIA</v>
      </c>
      <c r="V108" s="138"/>
      <c r="W108" s="138"/>
      <c r="X108" s="138"/>
      <c r="Y108" s="138"/>
      <c r="Z108" s="138"/>
    </row>
    <row r="109" hidden="1">
      <c r="A109" s="138" t="str">
        <f>IFERROR(__xludf.DUMMYFUNCTION("""COMPUTED_VALUE"""),"VEE ONE")</f>
        <v>VEE ONE</v>
      </c>
      <c r="B109" s="138" t="str">
        <f>IFERROR(__xludf.DUMMYFUNCTION("""COMPUTED_VALUE"""),"CLA")</f>
        <v>CLA</v>
      </c>
      <c r="C109" s="138" t="str">
        <f>IFERROR(__xludf.DUMMYFUNCTION("""COMPUTED_VALUE"""),"3122678-04")</f>
        <v>3122678-04</v>
      </c>
      <c r="D109" s="138" t="str">
        <f>IFERROR(__xludf.DUMMYFUNCTION("""COMPUTED_VALUE"""),"FUEL CONTROL UNIT")</f>
        <v>FUEL CONTROL UNIT</v>
      </c>
      <c r="E109" s="138" t="str">
        <f>IFERROR(__xludf.DUMMYFUNCTION("""COMPUTED_VALUE"""),"F66943")</f>
        <v>F66943</v>
      </c>
      <c r="F109" s="138" t="str">
        <f>IFERROR(__xludf.DUMMYFUNCTION("""COMPUTED_VALUE"""),"016/2026")</f>
        <v>016/2026</v>
      </c>
      <c r="G109" s="138" t="str">
        <f>IFERROR(__xludf.DUMMYFUNCTION("""COMPUTED_VALUE"""),"23/07")</f>
        <v>23/07</v>
      </c>
      <c r="H109" s="138" t="str">
        <f>IFERROR(__xludf.DUMMYFUNCTION("""COMPUTED_VALUE"""),"28/07")</f>
        <v>28/07</v>
      </c>
      <c r="I109" s="138"/>
      <c r="J109" s="138" t="str">
        <f>IFERROR(__xludf.DUMMYFUNCTION("""COMPUTED_VALUE"""),"28/07")</f>
        <v>28/07</v>
      </c>
      <c r="K109" s="138" t="str">
        <f>IFERROR(__xludf.DUMMYFUNCTION("""COMPUTED_VALUE"""),"29/07")</f>
        <v>29/07</v>
      </c>
      <c r="L109" s="138" t="str">
        <f>IFERROR(__xludf.DUMMYFUNCTION("""COMPUTED_VALUE"""),"29/07")</f>
        <v>29/07</v>
      </c>
      <c r="M109" s="138" t="str">
        <f>IFERROR(__xludf.DUMMYFUNCTION("""COMPUTED_VALUE"""),"29/07")</f>
        <v>29/07</v>
      </c>
      <c r="N109" s="138" t="str">
        <f>IFERROR(__xludf.DUMMYFUNCTION("""COMPUTED_VALUE"""),"29/07")</f>
        <v>29/07</v>
      </c>
      <c r="O109" s="138" t="str">
        <f>IFERROR(__xludf.DUMMYFUNCTION("""COMPUTED_VALUE"""),"29/07")</f>
        <v>29/07</v>
      </c>
      <c r="P109" s="138" t="str">
        <f>IFERROR(__xludf.DUMMYFUNCTION("""COMPUTED_VALUE"""),"29/07")</f>
        <v>29/07</v>
      </c>
      <c r="Q109" s="138" t="str">
        <f>IFERROR(__xludf.DUMMYFUNCTION("""COMPUTED_VALUE"""),"29/07")</f>
        <v>29/07</v>
      </c>
      <c r="R109" s="138" t="str">
        <f>IFERROR(__xludf.DUMMYFUNCTION("""COMPUTED_VALUE"""),"30/07")</f>
        <v>30/07</v>
      </c>
      <c r="S109" s="138" t="str">
        <f>IFERROR(__xludf.DUMMYFUNCTION("""COMPUTED_VALUE"""),"30/07")</f>
        <v>30/07</v>
      </c>
      <c r="T109" s="138" t="str">
        <f>IFERROR(__xludf.DUMMYFUNCTION("""COMPUTED_VALUE"""),"07/08")</f>
        <v>07/08</v>
      </c>
      <c r="U109" s="138" t="str">
        <f>IFERROR(__xludf.DUMMYFUNCTION("""COMPUTED_VALUE"""),"RECEBIDO POR 3S PORTELA")</f>
        <v>RECEBIDO POR 3S PORTELA</v>
      </c>
      <c r="V109" s="138"/>
      <c r="W109" s="138"/>
      <c r="X109" s="138"/>
      <c r="Y109" s="138"/>
      <c r="Z109" s="138"/>
    </row>
    <row r="110" hidden="1">
      <c r="A110" s="138" t="str">
        <f>IFERROR(__xludf.DUMMYFUNCTION("""COMPUTED_VALUE"""),"VEE ONE")</f>
        <v>VEE ONE</v>
      </c>
      <c r="B110" s="138" t="str">
        <f>IFERROR(__xludf.DUMMYFUNCTION("""COMPUTED_VALUE"""),"BABE")</f>
        <v>BABE</v>
      </c>
      <c r="C110" s="138" t="str">
        <f>IFERROR(__xludf.DUMMYFUNCTION("""COMPUTED_VALUE"""),"3244809-7")</f>
        <v>3244809-7</v>
      </c>
      <c r="D110" s="138" t="str">
        <f>IFERROR(__xludf.DUMMYFUNCTION("""COMPUTED_VALUE"""),"FUEL CONTROL,MAIN,TURBINE ENGINE")</f>
        <v>FUEL CONTROL,MAIN,TURBINE ENGINE</v>
      </c>
      <c r="E110" s="138" t="str">
        <f>IFERROR(__xludf.DUMMYFUNCTION("""COMPUTED_VALUE"""),"A76103")</f>
        <v>A76103</v>
      </c>
      <c r="F110" s="138" t="str">
        <f>IFERROR(__xludf.DUMMYFUNCTION("""COMPUTED_VALUE"""),"023/2026")</f>
        <v>023/2026</v>
      </c>
      <c r="G110" s="138" t="str">
        <f>IFERROR(__xludf.DUMMYFUNCTION("""COMPUTED_VALUE"""),"31/07")</f>
        <v>31/07</v>
      </c>
      <c r="H110" s="138" t="str">
        <f>IFERROR(__xludf.DUMMYFUNCTION("""COMPUTED_VALUE"""),"31/07")</f>
        <v>31/07</v>
      </c>
      <c r="I110" s="138"/>
      <c r="J110" s="138" t="str">
        <f>IFERROR(__xludf.DUMMYFUNCTION("""COMPUTED_VALUE"""),"03/08")</f>
        <v>03/08</v>
      </c>
      <c r="K110" s="138" t="str">
        <f>IFERROR(__xludf.DUMMYFUNCTION("""COMPUTED_VALUE"""),"04/08")</f>
        <v>04/08</v>
      </c>
      <c r="L110" s="138" t="str">
        <f>IFERROR(__xludf.DUMMYFUNCTION("""COMPUTED_VALUE"""),"04/08")</f>
        <v>04/08</v>
      </c>
      <c r="M110" s="138" t="str">
        <f>IFERROR(__xludf.DUMMYFUNCTION("""COMPUTED_VALUE"""),"04/08")</f>
        <v>04/08</v>
      </c>
      <c r="N110" s="138" t="str">
        <f>IFERROR(__xludf.DUMMYFUNCTION("""COMPUTED_VALUE"""),"05/08")</f>
        <v>05/08</v>
      </c>
      <c r="O110" s="138" t="str">
        <f>IFERROR(__xludf.DUMMYFUNCTION("""COMPUTED_VALUE"""),"05/08")</f>
        <v>05/08</v>
      </c>
      <c r="P110" s="138" t="str">
        <f>IFERROR(__xludf.DUMMYFUNCTION("""COMPUTED_VALUE"""),"05/08")</f>
        <v>05/08</v>
      </c>
      <c r="Q110" s="138" t="str">
        <f>IFERROR(__xludf.DUMMYFUNCTION("""COMPUTED_VALUE"""),"05/08")</f>
        <v>05/08</v>
      </c>
      <c r="R110" s="138" t="str">
        <f>IFERROR(__xludf.DUMMYFUNCTION("""COMPUTED_VALUE"""),"05/08")</f>
        <v>05/08</v>
      </c>
      <c r="S110" s="138" t="str">
        <f>IFERROR(__xludf.DUMMYFUNCTION("""COMPUTED_VALUE"""),"05/08")</f>
        <v>05/08</v>
      </c>
      <c r="T110" s="138" t="str">
        <f>IFERROR(__xludf.DUMMYFUNCTION("""COMPUTED_VALUE"""),"06/08")</f>
        <v>06/08</v>
      </c>
      <c r="U110" s="138" t="str">
        <f>IFERROR(__xludf.DUMMYFUNCTION("""COMPUTED_VALUE"""),"RECEBIDO POR 1S JOAO MARCOS")</f>
        <v>RECEBIDO POR 1S JOAO MARCOS</v>
      </c>
      <c r="V110" s="138"/>
      <c r="W110" s="138"/>
      <c r="X110" s="138"/>
      <c r="Y110" s="138"/>
      <c r="Z110" s="138"/>
    </row>
    <row r="111" hidden="1">
      <c r="A111" s="138" t="str">
        <f>IFERROR(__xludf.DUMMYFUNCTION("""COMPUTED_VALUE"""),"VEE ONE")</f>
        <v>VEE ONE</v>
      </c>
      <c r="B111" s="138" t="str">
        <f>IFERROR(__xludf.DUMMYFUNCTION("""COMPUTED_VALUE"""),"CLA")</f>
        <v>CLA</v>
      </c>
      <c r="C111" s="138" t="str">
        <f>IFERROR(__xludf.DUMMYFUNCTION("""COMPUTED_VALUE"""),"200SGL119Q-2")</f>
        <v>200SGL119Q-2</v>
      </c>
      <c r="D111" s="138" t="str">
        <f>IFERROR(__xludf.DUMMYFUNCTION("""COMPUTED_VALUE"""),"STARTER GENERATOR")</f>
        <v>STARTER GENERATOR</v>
      </c>
      <c r="E111" s="138" t="str">
        <f>IFERROR(__xludf.DUMMYFUNCTION("""COMPUTED_VALUE"""),"S00007XL")</f>
        <v>S00007XL</v>
      </c>
      <c r="F111" s="138" t="str">
        <f>IFERROR(__xludf.DUMMYFUNCTION("""COMPUTED_VALUE"""),"018/2026")</f>
        <v>018/2026</v>
      </c>
      <c r="G111" s="138" t="str">
        <f>IFERROR(__xludf.DUMMYFUNCTION("""COMPUTED_VALUE"""),"22/06")</f>
        <v>22/06</v>
      </c>
      <c r="H111" s="138" t="str">
        <f>IFERROR(__xludf.DUMMYFUNCTION("""COMPUTED_VALUE"""),"07/08")</f>
        <v>07/08</v>
      </c>
      <c r="I111" s="138"/>
      <c r="J111" s="138" t="str">
        <f>IFERROR(__xludf.DUMMYFUNCTION("""COMPUTED_VALUE"""),"10/08")</f>
        <v>10/08</v>
      </c>
      <c r="K111" s="138" t="str">
        <f>IFERROR(__xludf.DUMMYFUNCTION("""COMPUTED_VALUE"""),"10/08")</f>
        <v>10/08</v>
      </c>
      <c r="L111" s="138" t="str">
        <f>IFERROR(__xludf.DUMMYFUNCTION("""COMPUTED_VALUE"""),"10/08")</f>
        <v>10/08</v>
      </c>
      <c r="M111" s="138" t="str">
        <f>IFERROR(__xludf.DUMMYFUNCTION("""COMPUTED_VALUE"""),"10/08")</f>
        <v>10/08</v>
      </c>
      <c r="N111" s="138" t="str">
        <f>IFERROR(__xludf.DUMMYFUNCTION("""COMPUTED_VALUE"""),"10/08")</f>
        <v>10/08</v>
      </c>
      <c r="O111" s="138" t="str">
        <f>IFERROR(__xludf.DUMMYFUNCTION("""COMPUTED_VALUE"""),"10/08")</f>
        <v>10/08</v>
      </c>
      <c r="P111" s="138" t="str">
        <f>IFERROR(__xludf.DUMMYFUNCTION("""COMPUTED_VALUE"""),"10/08")</f>
        <v>10/08</v>
      </c>
      <c r="Q111" s="138" t="str">
        <f>IFERROR(__xludf.DUMMYFUNCTION("""COMPUTED_VALUE"""),"10/08")</f>
        <v>10/08</v>
      </c>
      <c r="R111" s="138" t="str">
        <f>IFERROR(__xludf.DUMMYFUNCTION("""COMPUTED_VALUE"""),"10/08")</f>
        <v>10/08</v>
      </c>
      <c r="S111" s="138" t="str">
        <f>IFERROR(__xludf.DUMMYFUNCTION("""COMPUTED_VALUE"""),"10/08")</f>
        <v>10/08</v>
      </c>
      <c r="T111" s="138" t="str">
        <f>IFERROR(__xludf.DUMMYFUNCTION("""COMPUTED_VALUE"""),"11/08")</f>
        <v>11/08</v>
      </c>
      <c r="U111" s="138" t="str">
        <f>IFERROR(__xludf.DUMMYFUNCTION("""COMPUTED_VALUE"""),"RECEBIDO POR 2S CIPRIANO")</f>
        <v>RECEBIDO POR 2S CIPRIANO</v>
      </c>
      <c r="V111" s="138"/>
      <c r="W111" s="138"/>
      <c r="X111" s="138"/>
      <c r="Y111" s="138"/>
      <c r="Z111" s="138"/>
    </row>
    <row r="112" hidden="1">
      <c r="A112" s="138" t="str">
        <f>IFERROR(__xludf.DUMMYFUNCTION("""COMPUTED_VALUE"""),"VEE ONE")</f>
        <v>VEE ONE</v>
      </c>
      <c r="B112" s="138" t="str">
        <f>IFERROR(__xludf.DUMMYFUNCTION("""COMPUTED_VALUE"""),"CLA")</f>
        <v>CLA</v>
      </c>
      <c r="C112" s="138" t="str">
        <f>IFERROR(__xludf.DUMMYFUNCTION("""COMPUTED_VALUE"""),"066-3046-07")</f>
        <v>066-3046-07</v>
      </c>
      <c r="D112" s="138" t="str">
        <f>IFERROR(__xludf.DUMMYFUNCTION("""COMPUTED_VALUE"""),"CONTROL INDICATOR")</f>
        <v>CONTROL INDICATOR</v>
      </c>
      <c r="E112" s="138" t="str">
        <f>IFERROR(__xludf.DUMMYFUNCTION("""COMPUTED_VALUE"""),"25304")</f>
        <v>25304</v>
      </c>
      <c r="F112" s="138" t="str">
        <f>IFERROR(__xludf.DUMMYFUNCTION("""COMPUTED_VALUE"""),"020/2026")</f>
        <v>020/2026</v>
      </c>
      <c r="G112" s="138" t="str">
        <f>IFERROR(__xludf.DUMMYFUNCTION("""COMPUTED_VALUE"""),"16/07")</f>
        <v>16/07</v>
      </c>
      <c r="H112" s="138" t="str">
        <f>IFERROR(__xludf.DUMMYFUNCTION("""COMPUTED_VALUE"""),"07/08")</f>
        <v>07/08</v>
      </c>
      <c r="I112" s="138"/>
      <c r="J112" s="138" t="str">
        <f>IFERROR(__xludf.DUMMYFUNCTION("""COMPUTED_VALUE"""),"10/08")</f>
        <v>10/08</v>
      </c>
      <c r="K112" s="138" t="str">
        <f>IFERROR(__xludf.DUMMYFUNCTION("""COMPUTED_VALUE"""),"10/08")</f>
        <v>10/08</v>
      </c>
      <c r="L112" s="138" t="str">
        <f>IFERROR(__xludf.DUMMYFUNCTION("""COMPUTED_VALUE"""),"10/08")</f>
        <v>10/08</v>
      </c>
      <c r="M112" s="138" t="str">
        <f>IFERROR(__xludf.DUMMYFUNCTION("""COMPUTED_VALUE"""),"10/08")</f>
        <v>10/08</v>
      </c>
      <c r="N112" s="138" t="str">
        <f>IFERROR(__xludf.DUMMYFUNCTION("""COMPUTED_VALUE"""),"10/08")</f>
        <v>10/08</v>
      </c>
      <c r="O112" s="138" t="str">
        <f>IFERROR(__xludf.DUMMYFUNCTION("""COMPUTED_VALUE"""),"10/08")</f>
        <v>10/08</v>
      </c>
      <c r="P112" s="138" t="str">
        <f>IFERROR(__xludf.DUMMYFUNCTION("""COMPUTED_VALUE"""),"10/08")</f>
        <v>10/08</v>
      </c>
      <c r="Q112" s="138" t="str">
        <f>IFERROR(__xludf.DUMMYFUNCTION("""COMPUTED_VALUE"""),"10/08")</f>
        <v>10/08</v>
      </c>
      <c r="R112" s="138" t="str">
        <f>IFERROR(__xludf.DUMMYFUNCTION("""COMPUTED_VALUE"""),"11/08")</f>
        <v>11/08</v>
      </c>
      <c r="S112" s="138" t="str">
        <f>IFERROR(__xludf.DUMMYFUNCTION("""COMPUTED_VALUE"""),"11/08")</f>
        <v>11/08</v>
      </c>
      <c r="T112" s="138" t="str">
        <f>IFERROR(__xludf.DUMMYFUNCTION("""COMPUTED_VALUE"""),"11/08")</f>
        <v>11/08</v>
      </c>
      <c r="U112" s="138" t="str">
        <f>IFERROR(__xludf.DUMMYFUNCTION("""COMPUTED_VALUE"""),"RECEBIDO POR 2S CIPRIANO")</f>
        <v>RECEBIDO POR 2S CIPRIANO</v>
      </c>
      <c r="V112" s="138"/>
      <c r="W112" s="138"/>
      <c r="X112" s="138"/>
      <c r="Y112" s="138"/>
      <c r="Z112" s="138"/>
    </row>
    <row r="113" hidden="1">
      <c r="A113" s="138" t="str">
        <f>IFERROR(__xludf.DUMMYFUNCTION("""COMPUTED_VALUE"""),"VEE ONE")</f>
        <v>VEE ONE</v>
      </c>
      <c r="B113" s="138" t="str">
        <f>IFERROR(__xludf.DUMMYFUNCTION("""COMPUTED_VALUE"""),"BAMN")</f>
        <v>BAMN</v>
      </c>
      <c r="C113" s="138" t="str">
        <f>IFERROR(__xludf.DUMMYFUNCTION("""COMPUTED_VALUE"""),"011-00883-20")</f>
        <v>011-00883-20</v>
      </c>
      <c r="D113" s="138" t="str">
        <f>IFERROR(__xludf.DUMMYFUNCTION("""COMPUTED_VALUE"""),"RADAR GWX 68 WEATHER")</f>
        <v>RADAR GWX 68 WEATHER</v>
      </c>
      <c r="E113" s="138" t="str">
        <f>IFERROR(__xludf.DUMMYFUNCTION("""COMPUTED_VALUE"""),"47202113")</f>
        <v>47202113</v>
      </c>
      <c r="F113" s="138" t="str">
        <f>IFERROR(__xludf.DUMMYFUNCTION("""COMPUTED_VALUE"""),"075/2026")</f>
        <v>075/2026</v>
      </c>
      <c r="G113" s="138" t="str">
        <f>IFERROR(__xludf.DUMMYFUNCTION("""COMPUTED_VALUE"""),"02/07")</f>
        <v>02/07</v>
      </c>
      <c r="H113" s="138" t="str">
        <f>IFERROR(__xludf.DUMMYFUNCTION("""COMPUTED_VALUE"""),"02/07")</f>
        <v>02/07</v>
      </c>
      <c r="I113" s="138" t="str">
        <f>IFERROR(__xludf.DUMMYFUNCTION("""COMPUTED_VALUE"""),"07/07")</f>
        <v>07/07</v>
      </c>
      <c r="J113" s="138" t="str">
        <f>IFERROR(__xludf.DUMMYFUNCTION("""COMPUTED_VALUE"""),"08/07")</f>
        <v>08/07</v>
      </c>
      <c r="K113" s="138" t="str">
        <f>IFERROR(__xludf.DUMMYFUNCTION("""COMPUTED_VALUE"""),"08/07")</f>
        <v>08/07</v>
      </c>
      <c r="L113" s="138" t="str">
        <f>IFERROR(__xludf.DUMMYFUNCTION("""COMPUTED_VALUE"""),"08/07")</f>
        <v>08/07</v>
      </c>
      <c r="M113" s="138" t="str">
        <f>IFERROR(__xludf.DUMMYFUNCTION("""COMPUTED_VALUE"""),"08/07")</f>
        <v>08/07</v>
      </c>
      <c r="N113" s="138" t="str">
        <f>IFERROR(__xludf.DUMMYFUNCTION("""COMPUTED_VALUE"""),"08/07")</f>
        <v>08/07</v>
      </c>
      <c r="O113" s="138" t="str">
        <f>IFERROR(__xludf.DUMMYFUNCTION("""COMPUTED_VALUE"""),"08/07")</f>
        <v>08/07</v>
      </c>
      <c r="P113" s="138" t="str">
        <f>IFERROR(__xludf.DUMMYFUNCTION("""COMPUTED_VALUE"""),"12/08")</f>
        <v>12/08</v>
      </c>
      <c r="Q113" s="138" t="str">
        <f>IFERROR(__xludf.DUMMYFUNCTION("""COMPUTED_VALUE"""),"12/08")</f>
        <v>12/08</v>
      </c>
      <c r="R113" s="138" t="str">
        <f>IFERROR(__xludf.DUMMYFUNCTION("""COMPUTED_VALUE"""),"13/08")</f>
        <v>13/08</v>
      </c>
      <c r="S113" s="138" t="str">
        <f>IFERROR(__xludf.DUMMYFUNCTION("""COMPUTED_VALUE"""),"13/08")</f>
        <v>13/08</v>
      </c>
      <c r="T113" s="138" t="str">
        <f>IFERROR(__xludf.DUMMYFUNCTION("""COMPUTED_VALUE"""),"17/08")</f>
        <v>17/08</v>
      </c>
      <c r="U113" s="138" t="str">
        <f>IFERROR(__xludf.DUMMYFUNCTION("""COMPUTED_VALUE"""),"exchange com SN 47203152")</f>
        <v>exchange com SN 47203152</v>
      </c>
      <c r="V113" s="138"/>
      <c r="W113" s="138"/>
      <c r="X113" s="138"/>
      <c r="Y113" s="138"/>
      <c r="Z113" s="138"/>
    </row>
    <row r="114" hidden="1">
      <c r="A114" s="138" t="str">
        <f>IFERROR(__xludf.DUMMYFUNCTION("""COMPUTED_VALUE"""),"VEE ONE")</f>
        <v>VEE ONE</v>
      </c>
      <c r="B114" s="138" t="str">
        <f>IFERROR(__xludf.DUMMYFUNCTION("""COMPUTED_VALUE"""),"BAMN")</f>
        <v>BAMN</v>
      </c>
      <c r="C114" s="138" t="str">
        <f>IFERROR(__xludf.DUMMYFUNCTION("""COMPUTED_VALUE"""),"011-00916-10")</f>
        <v>011-00916-10</v>
      </c>
      <c r="D114" s="138" t="str">
        <f>IFERROR(__xludf.DUMMYFUNCTION("""COMPUTED_VALUE"""),"UNIDADE DE EXIBIÇÃO DE INFORMAÇÕES DE VOO")</f>
        <v>UNIDADE DE EXIBIÇÃO DE INFORMAÇÕES DE VOO</v>
      </c>
      <c r="E114" s="138" t="str">
        <f>IFERROR(__xludf.DUMMYFUNCTION("""COMPUTED_VALUE"""),"86816588")</f>
        <v>86816588</v>
      </c>
      <c r="F114" s="138" t="str">
        <f>IFERROR(__xludf.DUMMYFUNCTION("""COMPUTED_VALUE"""),"089/2026")</f>
        <v>089/2026</v>
      </c>
      <c r="G114" s="138" t="str">
        <f>IFERROR(__xludf.DUMMYFUNCTION("""COMPUTED_VALUE"""),"07/08")</f>
        <v>07/08</v>
      </c>
      <c r="H114" s="138" t="str">
        <f>IFERROR(__xludf.DUMMYFUNCTION("""COMPUTED_VALUE"""),"07/08")</f>
        <v>07/08</v>
      </c>
      <c r="I114" s="138"/>
      <c r="J114" s="138" t="str">
        <f>IFERROR(__xludf.DUMMYFUNCTION("""COMPUTED_VALUE"""),"10/08, 12/08")</f>
        <v>10/08, 12/08</v>
      </c>
      <c r="K114" s="138" t="str">
        <f>IFERROR(__xludf.DUMMYFUNCTION("""COMPUTED_VALUE"""),"17/08")</f>
        <v>17/08</v>
      </c>
      <c r="L114" s="138" t="str">
        <f>IFERROR(__xludf.DUMMYFUNCTION("""COMPUTED_VALUE"""),"17/08")</f>
        <v>17/08</v>
      </c>
      <c r="M114" s="138" t="str">
        <f>IFERROR(__xludf.DUMMYFUNCTION("""COMPUTED_VALUE"""),"17/08")</f>
        <v>17/08</v>
      </c>
      <c r="N114" s="138" t="str">
        <f>IFERROR(__xludf.DUMMYFUNCTION("""COMPUTED_VALUE"""),"17/08")</f>
        <v>17/08</v>
      </c>
      <c r="O114" s="138" t="str">
        <f>IFERROR(__xludf.DUMMYFUNCTION("""COMPUTED_VALUE"""),"17/08")</f>
        <v>17/08</v>
      </c>
      <c r="P114" s="138" t="str">
        <f>IFERROR(__xludf.DUMMYFUNCTION("""COMPUTED_VALUE"""),"17/08")</f>
        <v>17/08</v>
      </c>
      <c r="Q114" s="138" t="str">
        <f>IFERROR(__xludf.DUMMYFUNCTION("""COMPUTED_VALUE"""),"17/08")</f>
        <v>17/08</v>
      </c>
      <c r="R114" s="138" t="str">
        <f>IFERROR(__xludf.DUMMYFUNCTION("""COMPUTED_VALUE"""),"18/08")</f>
        <v>18/08</v>
      </c>
      <c r="S114" s="138" t="str">
        <f>IFERROR(__xludf.DUMMYFUNCTION("""COMPUTED_VALUE"""),"18/08")</f>
        <v>18/08</v>
      </c>
      <c r="T114" s="138" t="str">
        <f>IFERROR(__xludf.DUMMYFUNCTION("""COMPUTED_VALUE"""),"18/08")</f>
        <v>18/08</v>
      </c>
      <c r="U114" s="138" t="str">
        <f>IFERROR(__xludf.DUMMYFUNCTION("""COMPUTED_VALUE"""),"RECEBIDO POR 3S SARA")</f>
        <v>RECEBIDO POR 3S SARA</v>
      </c>
      <c r="V114" s="138"/>
      <c r="W114" s="138"/>
      <c r="X114" s="138"/>
      <c r="Y114" s="138"/>
      <c r="Z114" s="138"/>
    </row>
    <row r="115" hidden="1">
      <c r="A115" s="138" t="str">
        <f>IFERROR(__xludf.DUMMYFUNCTION("""COMPUTED_VALUE"""),"VEE ONE")</f>
        <v>VEE ONE</v>
      </c>
      <c r="B115" s="138" t="str">
        <f>IFERROR(__xludf.DUMMYFUNCTION("""COMPUTED_VALUE"""),"BABE")</f>
        <v>BABE</v>
      </c>
      <c r="C115" s="138" t="str">
        <f>IFERROR(__xludf.DUMMYFUNCTION("""COMPUTED_VALUE"""),"1H75-21")</f>
        <v>1H75-21</v>
      </c>
      <c r="D115" s="138" t="str">
        <f>IFERROR(__xludf.DUMMYFUNCTION("""COMPUTED_VALUE"""),"PRESSURE REGULATOR")</f>
        <v>PRESSURE REGULATOR</v>
      </c>
      <c r="E115" s="138" t="str">
        <f>IFERROR(__xludf.DUMMYFUNCTION("""COMPUTED_VALUE"""),"11BP82")</f>
        <v>11BP82</v>
      </c>
      <c r="F115" s="138" t="str">
        <f>IFERROR(__xludf.DUMMYFUNCTION("""COMPUTED_VALUE"""),"022/2026")</f>
        <v>022/2026</v>
      </c>
      <c r="G115" s="138" t="str">
        <f>IFERROR(__xludf.DUMMYFUNCTION("""COMPUTED_VALUE"""),"14/07")</f>
        <v>14/07</v>
      </c>
      <c r="H115" s="138" t="str">
        <f>IFERROR(__xludf.DUMMYFUNCTION("""COMPUTED_VALUE"""),"14/07")</f>
        <v>14/07</v>
      </c>
      <c r="I115" s="138" t="str">
        <f>IFERROR(__xludf.DUMMYFUNCTION("""COMPUTED_VALUE"""),"consultado exchange em 26/08")</f>
        <v>consultado exchange em 26/08</v>
      </c>
      <c r="J115" s="138" t="str">
        <f>IFERROR(__xludf.DUMMYFUNCTION("""COMPUTED_VALUE"""),"26/08")</f>
        <v>26/08</v>
      </c>
      <c r="K115" s="138" t="str">
        <f>IFERROR(__xludf.DUMMYFUNCTION("""COMPUTED_VALUE"""),"26/08")</f>
        <v>26/08</v>
      </c>
      <c r="L115" s="138" t="str">
        <f>IFERROR(__xludf.DUMMYFUNCTION("""COMPUTED_VALUE"""),"26/08")</f>
        <v>26/08</v>
      </c>
      <c r="M115" s="138" t="str">
        <f>IFERROR(__xludf.DUMMYFUNCTION("""COMPUTED_VALUE"""),"26/08")</f>
        <v>26/08</v>
      </c>
      <c r="N115" s="138" t="str">
        <f>IFERROR(__xludf.DUMMYFUNCTION("""COMPUTED_VALUE"""),"26/08")</f>
        <v>26/08</v>
      </c>
      <c r="O115" s="138" t="str">
        <f>IFERROR(__xludf.DUMMYFUNCTION("""COMPUTED_VALUE"""),"26/08")</f>
        <v>26/08</v>
      </c>
      <c r="P115" s="138" t="str">
        <f>IFERROR(__xludf.DUMMYFUNCTION("""COMPUTED_VALUE"""),"26/08")</f>
        <v>26/08</v>
      </c>
      <c r="Q115" s="138" t="str">
        <f>IFERROR(__xludf.DUMMYFUNCTION("""COMPUTED_VALUE"""),"26/08")</f>
        <v>26/08</v>
      </c>
      <c r="R115" s="138" t="str">
        <f>IFERROR(__xludf.DUMMYFUNCTION("""COMPUTED_VALUE"""),"26/08")</f>
        <v>26/08</v>
      </c>
      <c r="S115" s="138" t="str">
        <f>IFERROR(__xludf.DUMMYFUNCTION("""COMPUTED_VALUE"""),"26/08")</f>
        <v>26/08</v>
      </c>
      <c r="T115" s="138" t="str">
        <f>IFERROR(__xludf.DUMMYFUNCTION("""COMPUTED_VALUE"""),"28/08")</f>
        <v>28/08</v>
      </c>
      <c r="U115" s="138" t="str">
        <f>IFERROR(__xludf.DUMMYFUNCTION("""COMPUTED_VALUE"""),"exchange com SN 11BG159")</f>
        <v>exchange com SN 11BG159</v>
      </c>
      <c r="V115" s="138"/>
      <c r="W115" s="138"/>
      <c r="X115" s="138"/>
      <c r="Y115" s="138"/>
      <c r="Z115" s="138"/>
    </row>
    <row r="116" hidden="1">
      <c r="A116" s="138" t="str">
        <f>IFERROR(__xludf.DUMMYFUNCTION("""COMPUTED_VALUE"""),"VEE ONE")</f>
        <v>VEE ONE</v>
      </c>
      <c r="B116" s="138" t="str">
        <f>IFERROR(__xludf.DUMMYFUNCTION("""COMPUTED_VALUE"""),"BABE")</f>
        <v>BABE</v>
      </c>
      <c r="C116" s="138" t="str">
        <f>IFERROR(__xludf.DUMMYFUNCTION("""COMPUTED_VALUE"""),"9910592-2")</f>
        <v>9910592-2</v>
      </c>
      <c r="D116" s="138" t="str">
        <f>IFERROR(__xludf.DUMMYFUNCTION("""COMPUTED_VALUE"""),"ALTERNATOR ASSY")</f>
        <v>ALTERNATOR ASSY</v>
      </c>
      <c r="E116" s="138" t="str">
        <f>IFERROR(__xludf.DUMMYFUNCTION("""COMPUTED_VALUE"""),"A-180215")</f>
        <v>A-180215</v>
      </c>
      <c r="F116" s="138" t="str">
        <f>IFERROR(__xludf.DUMMYFUNCTION("""COMPUTED_VALUE"""),"026/2026")</f>
        <v>026/2026</v>
      </c>
      <c r="G116" s="138" t="str">
        <f>IFERROR(__xludf.DUMMYFUNCTION("""COMPUTED_VALUE"""),"24/08")</f>
        <v>24/08</v>
      </c>
      <c r="H116" s="138" t="str">
        <f>IFERROR(__xludf.DUMMYFUNCTION("""COMPUTED_VALUE"""),"24/08")</f>
        <v>24/08</v>
      </c>
      <c r="I116" s="138"/>
      <c r="J116" s="138" t="str">
        <f>IFERROR(__xludf.DUMMYFUNCTION("""COMPUTED_VALUE"""),"25/08")</f>
        <v>25/08</v>
      </c>
      <c r="K116" s="138" t="str">
        <f>IFERROR(__xludf.DUMMYFUNCTION("""COMPUTED_VALUE"""),"25/08")</f>
        <v>25/08</v>
      </c>
      <c r="L116" s="138" t="str">
        <f>IFERROR(__xludf.DUMMYFUNCTION("""COMPUTED_VALUE"""),"26/08")</f>
        <v>26/08</v>
      </c>
      <c r="M116" s="138" t="str">
        <f>IFERROR(__xludf.DUMMYFUNCTION("""COMPUTED_VALUE"""),"26/08")</f>
        <v>26/08</v>
      </c>
      <c r="N116" s="138" t="str">
        <f>IFERROR(__xludf.DUMMYFUNCTION("""COMPUTED_VALUE"""),"26/08")</f>
        <v>26/08</v>
      </c>
      <c r="O116" s="138" t="str">
        <f>IFERROR(__xludf.DUMMYFUNCTION("""COMPUTED_VALUE"""),"26/08")</f>
        <v>26/08</v>
      </c>
      <c r="P116" s="138" t="str">
        <f>IFERROR(__xludf.DUMMYFUNCTION("""COMPUTED_VALUE"""),"26/08")</f>
        <v>26/08</v>
      </c>
      <c r="Q116" s="138" t="str">
        <f>IFERROR(__xludf.DUMMYFUNCTION("""COMPUTED_VALUE"""),"26/08")</f>
        <v>26/08</v>
      </c>
      <c r="R116" s="138" t="str">
        <f>IFERROR(__xludf.DUMMYFUNCTION("""COMPUTED_VALUE"""),"27/08")</f>
        <v>27/08</v>
      </c>
      <c r="S116" s="138" t="str">
        <f>IFERROR(__xludf.DUMMYFUNCTION("""COMPUTED_VALUE"""),"27/08")</f>
        <v>27/08</v>
      </c>
      <c r="T116" s="138" t="str">
        <f>IFERROR(__xludf.DUMMYFUNCTION("""COMPUTED_VALUE"""),"28/08")</f>
        <v>28/08</v>
      </c>
      <c r="U116" s="138"/>
      <c r="V116" s="138"/>
      <c r="W116" s="138"/>
      <c r="X116" s="138"/>
      <c r="Y116" s="138"/>
      <c r="Z116" s="138"/>
    </row>
    <row r="117" hidden="1">
      <c r="A117" s="138" t="str">
        <f>IFERROR(__xludf.DUMMYFUNCTION("""COMPUTED_VALUE"""),"VEE ONE")</f>
        <v>VEE ONE</v>
      </c>
      <c r="B117" s="138" t="str">
        <f>IFERROR(__xludf.DUMMYFUNCTION("""COMPUTED_VALUE"""),"BAMN")</f>
        <v>BAMN</v>
      </c>
      <c r="C117" s="138" t="str">
        <f>IFERROR(__xludf.DUMMYFUNCTION("""COMPUTED_VALUE"""),"1H75-21")</f>
        <v>1H75-21</v>
      </c>
      <c r="D117" s="138" t="str">
        <f>IFERROR(__xludf.DUMMYFUNCTION("""COMPUTED_VALUE"""),"PRESSURE REGULATOR")</f>
        <v>PRESSURE REGULATOR</v>
      </c>
      <c r="E117" s="138" t="str">
        <f>IFERROR(__xludf.DUMMYFUNCTION("""COMPUTED_VALUE"""),"2AY7")</f>
        <v>2AY7</v>
      </c>
      <c r="F117" s="138" t="str">
        <f>IFERROR(__xludf.DUMMYFUNCTION("""COMPUTED_VALUE"""),"068/2026")</f>
        <v>068/2026</v>
      </c>
      <c r="G117" s="138" t="str">
        <f>IFERROR(__xludf.DUMMYFUNCTION("""COMPUTED_VALUE"""),"15/06")</f>
        <v>15/06</v>
      </c>
      <c r="H117" s="138" t="str">
        <f>IFERROR(__xludf.DUMMYFUNCTION("""COMPUTED_VALUE"""),"03/07")</f>
        <v>03/07</v>
      </c>
      <c r="I117" s="138" t="str">
        <f>IFERROR(__xludf.DUMMYFUNCTION("""COMPUTED_VALUE"""),"07/07")</f>
        <v>07/07</v>
      </c>
      <c r="J117" s="138" t="str">
        <f>IFERROR(__xludf.DUMMYFUNCTION("""COMPUTED_VALUE"""),"08/07, 12/08")</f>
        <v>08/07, 12/08</v>
      </c>
      <c r="K117" s="138" t="str">
        <f>IFERROR(__xludf.DUMMYFUNCTION("""COMPUTED_VALUE"""),"17/08")</f>
        <v>17/08</v>
      </c>
      <c r="L117" s="138" t="str">
        <f>IFERROR(__xludf.DUMMYFUNCTION("""COMPUTED_VALUE"""),"17/08")</f>
        <v>17/08</v>
      </c>
      <c r="M117" s="138" t="str">
        <f>IFERROR(__xludf.DUMMYFUNCTION("""COMPUTED_VALUE"""),"17/08")</f>
        <v>17/08</v>
      </c>
      <c r="N117" s="138" t="str">
        <f>IFERROR(__xludf.DUMMYFUNCTION("""COMPUTED_VALUE"""),"17/08")</f>
        <v>17/08</v>
      </c>
      <c r="O117" s="138" t="str">
        <f>IFERROR(__xludf.DUMMYFUNCTION("""COMPUTED_VALUE"""),"17/08")</f>
        <v>17/08</v>
      </c>
      <c r="P117" s="138" t="str">
        <f>IFERROR(__xludf.DUMMYFUNCTION("""COMPUTED_VALUE"""),"17/08")</f>
        <v>17/08</v>
      </c>
      <c r="Q117" s="138" t="str">
        <f>IFERROR(__xludf.DUMMYFUNCTION("""COMPUTED_VALUE"""),"17/08")</f>
        <v>17/08</v>
      </c>
      <c r="R117" s="138" t="str">
        <f>IFERROR(__xludf.DUMMYFUNCTION("""COMPUTED_VALUE"""),"18/08")</f>
        <v>18/08</v>
      </c>
      <c r="S117" s="138" t="str">
        <f>IFERROR(__xludf.DUMMYFUNCTION("""COMPUTED_VALUE"""),"18/08")</f>
        <v>18/08</v>
      </c>
      <c r="T117" s="138" t="str">
        <f>IFERROR(__xludf.DUMMYFUNCTION("""COMPUTED_VALUE"""),"18/08")</f>
        <v>18/08</v>
      </c>
      <c r="U117" s="138" t="str">
        <f>IFERROR(__xludf.DUMMYFUNCTION("""COMPUTED_VALUE"""),"exchange com SN 5BE34 - RECEBIDO POR 3S SARA")</f>
        <v>exchange com SN 5BE34 - RECEBIDO POR 3S SARA</v>
      </c>
      <c r="V117" s="138"/>
      <c r="W117" s="138"/>
      <c r="X117" s="138"/>
      <c r="Y117" s="138"/>
      <c r="Z117" s="138"/>
    </row>
    <row r="118" hidden="1">
      <c r="A118" s="138" t="str">
        <f>IFERROR(__xludf.DUMMYFUNCTION("""COMPUTED_VALUE"""),"VEE ONE")</f>
        <v>VEE ONE</v>
      </c>
      <c r="B118" s="138" t="str">
        <f>IFERROR(__xludf.DUMMYFUNCTION("""COMPUTED_VALUE"""),"CLA")</f>
        <v>CLA</v>
      </c>
      <c r="C118" s="138" t="str">
        <f>IFERROR(__xludf.DUMMYFUNCTION("""COMPUTED_VALUE"""),"324843-2020")</f>
        <v>324843-2020</v>
      </c>
      <c r="D118" s="138" t="str">
        <f>IFERROR(__xludf.DUMMYFUNCTION("""COMPUTED_VALUE"""),"HEADSET-MICROPHONE")</f>
        <v>HEADSET-MICROPHONE</v>
      </c>
      <c r="E118" s="138" t="str">
        <f>IFERROR(__xludf.DUMMYFUNCTION("""COMPUTED_VALUE"""),"070407983320096AE")</f>
        <v>070407983320096AE</v>
      </c>
      <c r="F118" s="138" t="str">
        <f>IFERROR(__xludf.DUMMYFUNCTION("""COMPUTED_VALUE"""),"018/2026")</f>
        <v>018/2026</v>
      </c>
      <c r="G118" s="138" t="str">
        <f>IFERROR(__xludf.DUMMYFUNCTION("""COMPUTED_VALUE"""),"22/06")</f>
        <v>22/06</v>
      </c>
      <c r="H118" s="138" t="str">
        <f>IFERROR(__xludf.DUMMYFUNCTION("""COMPUTED_VALUE"""),"07/08")</f>
        <v>07/08</v>
      </c>
      <c r="I118" s="138"/>
      <c r="J118" s="138" t="str">
        <f>IFERROR(__xludf.DUMMYFUNCTION("""COMPUTED_VALUE"""),"10/08")</f>
        <v>10/08</v>
      </c>
      <c r="K118" s="138" t="str">
        <f>IFERROR(__xludf.DUMMYFUNCTION("""COMPUTED_VALUE"""),"10/08")</f>
        <v>10/08</v>
      </c>
      <c r="L118" s="138" t="str">
        <f>IFERROR(__xludf.DUMMYFUNCTION("""COMPUTED_VALUE"""),"10/08")</f>
        <v>10/08</v>
      </c>
      <c r="M118" s="138" t="str">
        <f>IFERROR(__xludf.DUMMYFUNCTION("""COMPUTED_VALUE"""),"10/08")</f>
        <v>10/08</v>
      </c>
      <c r="N118" s="138" t="str">
        <f>IFERROR(__xludf.DUMMYFUNCTION("""COMPUTED_VALUE"""),"10/08")</f>
        <v>10/08</v>
      </c>
      <c r="O118" s="138" t="str">
        <f>IFERROR(__xludf.DUMMYFUNCTION("""COMPUTED_VALUE"""),"10/08")</f>
        <v>10/08</v>
      </c>
      <c r="P118" s="138" t="str">
        <f>IFERROR(__xludf.DUMMYFUNCTION("""COMPUTED_VALUE"""),"10/08")</f>
        <v>10/08</v>
      </c>
      <c r="Q118" s="138" t="str">
        <f>IFERROR(__xludf.DUMMYFUNCTION("""COMPUTED_VALUE"""),"10/08")</f>
        <v>10/08</v>
      </c>
      <c r="R118" s="138" t="str">
        <f>IFERROR(__xludf.DUMMYFUNCTION("""COMPUTED_VALUE"""),"10/08")</f>
        <v>10/08</v>
      </c>
      <c r="S118" s="138" t="str">
        <f>IFERROR(__xludf.DUMMYFUNCTION("""COMPUTED_VALUE"""),"10/08")</f>
        <v>10/08</v>
      </c>
      <c r="T118" s="138" t="str">
        <f>IFERROR(__xludf.DUMMYFUNCTION("""COMPUTED_VALUE"""),"31/08")</f>
        <v>31/08</v>
      </c>
      <c r="U118" s="138" t="str">
        <f>IFERROR(__xludf.DUMMYFUNCTION("""COMPUTED_VALUE"""),"RECEBIDO POR 3S CIPRIANO")</f>
        <v>RECEBIDO POR 3S CIPRIANO</v>
      </c>
      <c r="V118" s="138"/>
      <c r="W118" s="138"/>
      <c r="X118" s="138"/>
      <c r="Y118" s="138"/>
      <c r="Z118" s="138"/>
    </row>
    <row r="119" hidden="1">
      <c r="A119" s="138" t="str">
        <f>IFERROR(__xludf.DUMMYFUNCTION("""COMPUTED_VALUE"""),"VEE ONE")</f>
        <v>VEE ONE</v>
      </c>
      <c r="B119" s="138" t="str">
        <f>IFERROR(__xludf.DUMMYFUNCTION("""COMPUTED_VALUE"""),"BABE")</f>
        <v>BABE</v>
      </c>
      <c r="C119" s="138" t="str">
        <f>IFERROR(__xludf.DUMMYFUNCTION("""COMPUTED_VALUE"""),"2641011-5")</f>
        <v>2641011-5</v>
      </c>
      <c r="D119" s="138" t="str">
        <f>IFERROR(__xludf.DUMMYFUNCTION("""COMPUTED_VALUE"""),"AXLE-MAIN GEAR")</f>
        <v>AXLE-MAIN GEAR</v>
      </c>
      <c r="E119" s="138" t="str">
        <f>IFERROR(__xludf.DUMMYFUNCTION("""COMPUTED_VALUE"""),"2309-5")</f>
        <v>2309-5</v>
      </c>
      <c r="F119" s="138" t="str">
        <f>IFERROR(__xludf.DUMMYFUNCTION("""COMPUTED_VALUE"""),"028/2026")</f>
        <v>028/2026</v>
      </c>
      <c r="G119" s="138" t="str">
        <f>IFERROR(__xludf.DUMMYFUNCTION("""COMPUTED_VALUE"""),"04/09")</f>
        <v>04/09</v>
      </c>
      <c r="H119" s="138" t="str">
        <f>IFERROR(__xludf.DUMMYFUNCTION("""COMPUTED_VALUE"""),"04/09")</f>
        <v>04/09</v>
      </c>
      <c r="I119" s="138"/>
      <c r="J119" s="138" t="str">
        <f>IFERROR(__xludf.DUMMYFUNCTION("""COMPUTED_VALUE"""),"08/09")</f>
        <v>08/09</v>
      </c>
      <c r="K119" s="138" t="str">
        <f>IFERROR(__xludf.DUMMYFUNCTION("""COMPUTED_VALUE"""),"08/09")</f>
        <v>08/09</v>
      </c>
      <c r="L119" s="138" t="str">
        <f>IFERROR(__xludf.DUMMYFUNCTION("""COMPUTED_VALUE"""),"08/09")</f>
        <v>08/09</v>
      </c>
      <c r="M119" s="138" t="str">
        <f>IFERROR(__xludf.DUMMYFUNCTION("""COMPUTED_VALUE"""),"09/09")</f>
        <v>09/09</v>
      </c>
      <c r="N119" s="138" t="str">
        <f>IFERROR(__xludf.DUMMYFUNCTION("""COMPUTED_VALUE"""),"09/09")</f>
        <v>09/09</v>
      </c>
      <c r="O119" s="138" t="str">
        <f>IFERROR(__xludf.DUMMYFUNCTION("""COMPUTED_VALUE"""),"09/09")</f>
        <v>09/09</v>
      </c>
      <c r="P119" s="138" t="str">
        <f>IFERROR(__xludf.DUMMYFUNCTION("""COMPUTED_VALUE"""),"09/09")</f>
        <v>09/09</v>
      </c>
      <c r="Q119" s="138" t="str">
        <f>IFERROR(__xludf.DUMMYFUNCTION("""COMPUTED_VALUE"""),"09/09")</f>
        <v>09/09</v>
      </c>
      <c r="R119" s="138" t="str">
        <f>IFERROR(__xludf.DUMMYFUNCTION("""COMPUTED_VALUE"""),"09/09")</f>
        <v>09/09</v>
      </c>
      <c r="S119" s="138" t="str">
        <f>IFERROR(__xludf.DUMMYFUNCTION("""COMPUTED_VALUE"""),"09/09")</f>
        <v>09/09</v>
      </c>
      <c r="T119" s="138" t="str">
        <f>IFERROR(__xludf.DUMMYFUNCTION("""COMPUTED_VALUE"""),"10/09")</f>
        <v>10/09</v>
      </c>
      <c r="U119" s="138"/>
      <c r="V119" s="138"/>
      <c r="W119" s="138"/>
      <c r="X119" s="138"/>
      <c r="Y119" s="138"/>
      <c r="Z119" s="138"/>
    </row>
    <row r="120" hidden="1">
      <c r="A120" s="138" t="str">
        <f>IFERROR(__xludf.DUMMYFUNCTION("""COMPUTED_VALUE"""),"VEE ONE")</f>
        <v>VEE ONE</v>
      </c>
      <c r="B120" s="138" t="str">
        <f>IFERROR(__xludf.DUMMYFUNCTION("""COMPUTED_VALUE"""),"BABE")</f>
        <v>BABE</v>
      </c>
      <c r="C120" s="138" t="str">
        <f>IFERROR(__xludf.DUMMYFUNCTION("""COMPUTED_VALUE"""),"030-18200")</f>
        <v>030-18200</v>
      </c>
      <c r="D120" s="138" t="str">
        <f>IFERROR(__xludf.DUMMYFUNCTION("""COMPUTED_VALUE"""),"CONJUNTO DE FREIO")</f>
        <v>CONJUNTO DE FREIO</v>
      </c>
      <c r="E120" s="138" t="str">
        <f>IFERROR(__xludf.DUMMYFUNCTION("""COMPUTED_VALUE"""),"K517")</f>
        <v>K517</v>
      </c>
      <c r="F120" s="138" t="str">
        <f>IFERROR(__xludf.DUMMYFUNCTION("""COMPUTED_VALUE"""),"028/2026")</f>
        <v>028/2026</v>
      </c>
      <c r="G120" s="138" t="str">
        <f>IFERROR(__xludf.DUMMYFUNCTION("""COMPUTED_VALUE"""),"04/09")</f>
        <v>04/09</v>
      </c>
      <c r="H120" s="138" t="str">
        <f>IFERROR(__xludf.DUMMYFUNCTION("""COMPUTED_VALUE"""),"04/09")</f>
        <v>04/09</v>
      </c>
      <c r="I120" s="138"/>
      <c r="J120" s="138" t="str">
        <f>IFERROR(__xludf.DUMMYFUNCTION("""COMPUTED_VALUE"""),"08/09")</f>
        <v>08/09</v>
      </c>
      <c r="K120" s="138" t="str">
        <f>IFERROR(__xludf.DUMMYFUNCTION("""COMPUTED_VALUE"""),"08/09")</f>
        <v>08/09</v>
      </c>
      <c r="L120" s="138" t="str">
        <f>IFERROR(__xludf.DUMMYFUNCTION("""COMPUTED_VALUE"""),"08/09")</f>
        <v>08/09</v>
      </c>
      <c r="M120" s="138" t="str">
        <f>IFERROR(__xludf.DUMMYFUNCTION("""COMPUTED_VALUE"""),"09/09")</f>
        <v>09/09</v>
      </c>
      <c r="N120" s="138" t="str">
        <f>IFERROR(__xludf.DUMMYFUNCTION("""COMPUTED_VALUE"""),"09/09")</f>
        <v>09/09</v>
      </c>
      <c r="O120" s="138" t="str">
        <f>IFERROR(__xludf.DUMMYFUNCTION("""COMPUTED_VALUE"""),"09/09")</f>
        <v>09/09</v>
      </c>
      <c r="P120" s="138" t="str">
        <f>IFERROR(__xludf.DUMMYFUNCTION("""COMPUTED_VALUE"""),"09/09")</f>
        <v>09/09</v>
      </c>
      <c r="Q120" s="138" t="str">
        <f>IFERROR(__xludf.DUMMYFUNCTION("""COMPUTED_VALUE"""),"09/09")</f>
        <v>09/09</v>
      </c>
      <c r="R120" s="138" t="str">
        <f>IFERROR(__xludf.DUMMYFUNCTION("""COMPUTED_VALUE"""),"09/09")</f>
        <v>09/09</v>
      </c>
      <c r="S120" s="138" t="str">
        <f>IFERROR(__xludf.DUMMYFUNCTION("""COMPUTED_VALUE"""),"09/09")</f>
        <v>09/09</v>
      </c>
      <c r="T120" s="138" t="str">
        <f>IFERROR(__xludf.DUMMYFUNCTION("""COMPUTED_VALUE"""),"10/09")</f>
        <v>10/09</v>
      </c>
      <c r="U120" s="138"/>
      <c r="V120" s="138"/>
      <c r="W120" s="138"/>
      <c r="X120" s="138"/>
      <c r="Y120" s="138"/>
      <c r="Z120" s="138"/>
    </row>
    <row r="121" hidden="1">
      <c r="A121" s="138" t="str">
        <f>IFERROR(__xludf.DUMMYFUNCTION("""COMPUTED_VALUE"""),"VEE ONE")</f>
        <v>VEE ONE</v>
      </c>
      <c r="B121" s="138" t="str">
        <f>IFERROR(__xludf.DUMMYFUNCTION("""COMPUTED_VALUE"""),"BABR")</f>
        <v>BABR</v>
      </c>
      <c r="C121" s="138" t="str">
        <f>IFERROR(__xludf.DUMMYFUNCTION("""COMPUTED_VALUE"""),"066-3046-07")</f>
        <v>066-3046-07</v>
      </c>
      <c r="D121" s="138" t="str">
        <f>IFERROR(__xludf.DUMMYFUNCTION("""COMPUTED_VALUE"""),"CONTROL INDICATOR")</f>
        <v>CONTROL INDICATOR</v>
      </c>
      <c r="E121" s="138" t="str">
        <f>IFERROR(__xludf.DUMMYFUNCTION("""COMPUTED_VALUE"""),"KI525A-B100660")</f>
        <v>KI525A-B100660</v>
      </c>
      <c r="F121" s="138" t="str">
        <f>IFERROR(__xludf.DUMMYFUNCTION("""COMPUTED_VALUE"""),"015/2026")</f>
        <v>015/2026</v>
      </c>
      <c r="G121" s="138" t="str">
        <f>IFERROR(__xludf.DUMMYFUNCTION("""COMPUTED_VALUE"""),"22/04")</f>
        <v>22/04</v>
      </c>
      <c r="H121" s="138" t="str">
        <f>IFERROR(__xludf.DUMMYFUNCTION("""COMPUTED_VALUE"""),"04/05")</f>
        <v>04/05</v>
      </c>
      <c r="I121" s="138" t="str">
        <f>IFERROR(__xludf.DUMMYFUNCTION("""COMPUTED_VALUE"""),"gmm assinada do recolhimento entregue em 21/05")</f>
        <v>gmm assinada do recolhimento entregue em 21/05</v>
      </c>
      <c r="J121" s="138" t="str">
        <f>IFERROR(__xludf.DUMMYFUNCTION("""COMPUTED_VALUE"""),"21/05")</f>
        <v>21/05</v>
      </c>
      <c r="K121" s="138" t="str">
        <f>IFERROR(__xludf.DUMMYFUNCTION("""COMPUTED_VALUE"""),"06/08")</f>
        <v>06/08</v>
      </c>
      <c r="L121" s="138" t="str">
        <f>IFERROR(__xludf.DUMMYFUNCTION("""COMPUTED_VALUE"""),"06/08")</f>
        <v>06/08</v>
      </c>
      <c r="M121" s="138" t="str">
        <f>IFERROR(__xludf.DUMMYFUNCTION("""COMPUTED_VALUE"""),"07/08")</f>
        <v>07/08</v>
      </c>
      <c r="N121" s="138" t="str">
        <f>IFERROR(__xludf.DUMMYFUNCTION("""COMPUTED_VALUE"""),"07/08")</f>
        <v>07/08</v>
      </c>
      <c r="O121" s="138" t="str">
        <f>IFERROR(__xludf.DUMMYFUNCTION("""COMPUTED_VALUE"""),"07/08")</f>
        <v>07/08</v>
      </c>
      <c r="P121" s="138" t="str">
        <f>IFERROR(__xludf.DUMMYFUNCTION("""COMPUTED_VALUE"""),"12/08")</f>
        <v>12/08</v>
      </c>
      <c r="Q121" s="138" t="str">
        <f>IFERROR(__xludf.DUMMYFUNCTION("""COMPUTED_VALUE"""),"12/08")</f>
        <v>12/08</v>
      </c>
      <c r="R121" s="138" t="str">
        <f>IFERROR(__xludf.DUMMYFUNCTION("""COMPUTED_VALUE"""),"12/08, 01/09")</f>
        <v>12/08, 01/09</v>
      </c>
      <c r="S121" s="138" t="str">
        <f>IFERROR(__xludf.DUMMYFUNCTION("""COMPUTED_VALUE"""),"01/09")</f>
        <v>01/09</v>
      </c>
      <c r="T121" s="138" t="str">
        <f>IFERROR(__xludf.DUMMYFUNCTION("""COMPUTED_VALUE"""),"09/09")</f>
        <v>09/09</v>
      </c>
      <c r="U121" s="138" t="str">
        <f>IFERROR(__xludf.DUMMYFUNCTION("""COMPUTED_VALUE"""),"RECEBIDO POR 3S KESIA")</f>
        <v>RECEBIDO POR 3S KESIA</v>
      </c>
      <c r="V121" s="138"/>
      <c r="W121" s="138"/>
      <c r="X121" s="138"/>
      <c r="Y121" s="138"/>
      <c r="Z121" s="138"/>
    </row>
    <row r="122" hidden="1">
      <c r="A122" s="138" t="str">
        <f>IFERROR(__xludf.DUMMYFUNCTION("""COMPUTED_VALUE"""),"VEE ONE")</f>
        <v>VEE ONE</v>
      </c>
      <c r="B122" s="138" t="str">
        <f>IFERROR(__xludf.DUMMYFUNCTION("""COMPUTED_VALUE"""),"BABR")</f>
        <v>BABR</v>
      </c>
      <c r="C122" s="138" t="str">
        <f>IFERROR(__xludf.DUMMYFUNCTION("""COMPUTED_VALUE"""),"065-0061-36")</f>
        <v>065-0061-36</v>
      </c>
      <c r="D122" s="138" t="str">
        <f>IFERROR(__xludf.DUMMYFUNCTION("""COMPUTED_VALUE"""),"ACTUATOR TRIM")</f>
        <v>ACTUATOR TRIM</v>
      </c>
      <c r="E122" s="138" t="str">
        <f>IFERROR(__xludf.DUMMYFUNCTION("""COMPUTED_VALUE"""),"42966")</f>
        <v>42966</v>
      </c>
      <c r="F122" s="138" t="str">
        <f>IFERROR(__xludf.DUMMYFUNCTION("""COMPUTED_VALUE"""),"015/2026")</f>
        <v>015/2026</v>
      </c>
      <c r="G122" s="138" t="str">
        <f>IFERROR(__xludf.DUMMYFUNCTION("""COMPUTED_VALUE"""),"22/04")</f>
        <v>22/04</v>
      </c>
      <c r="H122" s="138" t="str">
        <f>IFERROR(__xludf.DUMMYFUNCTION("""COMPUTED_VALUE"""),"04/05")</f>
        <v>04/05</v>
      </c>
      <c r="I122" s="138"/>
      <c r="J122" s="138" t="str">
        <f>IFERROR(__xludf.DUMMYFUNCTION("""COMPUTED_VALUE"""),"21/05")</f>
        <v>21/05</v>
      </c>
      <c r="K122" s="138" t="str">
        <f>IFERROR(__xludf.DUMMYFUNCTION("""COMPUTED_VALUE"""),"06/08")</f>
        <v>06/08</v>
      </c>
      <c r="L122" s="138" t="str">
        <f>IFERROR(__xludf.DUMMYFUNCTION("""COMPUTED_VALUE"""),"06/08")</f>
        <v>06/08</v>
      </c>
      <c r="M122" s="138" t="str">
        <f>IFERROR(__xludf.DUMMYFUNCTION("""COMPUTED_VALUE"""),"07/08")</f>
        <v>07/08</v>
      </c>
      <c r="N122" s="138" t="str">
        <f>IFERROR(__xludf.DUMMYFUNCTION("""COMPUTED_VALUE"""),"07/08")</f>
        <v>07/08</v>
      </c>
      <c r="O122" s="138" t="str">
        <f>IFERROR(__xludf.DUMMYFUNCTION("""COMPUTED_VALUE"""),"07/08")</f>
        <v>07/08</v>
      </c>
      <c r="P122" s="138" t="str">
        <f>IFERROR(__xludf.DUMMYFUNCTION("""COMPUTED_VALUE"""),"12/08")</f>
        <v>12/08</v>
      </c>
      <c r="Q122" s="138" t="str">
        <f>IFERROR(__xludf.DUMMYFUNCTION("""COMPUTED_VALUE"""),"12/08")</f>
        <v>12/08</v>
      </c>
      <c r="R122" s="138" t="str">
        <f>IFERROR(__xludf.DUMMYFUNCTION("""COMPUTED_VALUE"""),"12/08, 01/09")</f>
        <v>12/08, 01/09</v>
      </c>
      <c r="S122" s="138" t="str">
        <f>IFERROR(__xludf.DUMMYFUNCTION("""COMPUTED_VALUE"""),"01/09")</f>
        <v>01/09</v>
      </c>
      <c r="T122" s="138" t="str">
        <f>IFERROR(__xludf.DUMMYFUNCTION("""COMPUTED_VALUE"""),"09/09")</f>
        <v>09/09</v>
      </c>
      <c r="U122" s="138" t="str">
        <f>IFERROR(__xludf.DUMMYFUNCTION("""COMPUTED_VALUE"""),"RECEBIDO POR 3S KESIA")</f>
        <v>RECEBIDO POR 3S KESIA</v>
      </c>
      <c r="V122" s="138"/>
      <c r="W122" s="138"/>
      <c r="X122" s="138"/>
      <c r="Y122" s="138"/>
      <c r="Z122" s="138"/>
    </row>
    <row r="123" hidden="1">
      <c r="A123" s="138" t="str">
        <f>IFERROR(__xludf.DUMMYFUNCTION("""COMPUTED_VALUE"""),"VEE ONE")</f>
        <v>VEE ONE</v>
      </c>
      <c r="B123" s="138" t="str">
        <f>IFERROR(__xludf.DUMMYFUNCTION("""COMPUTED_VALUE"""),"BABR")</f>
        <v>BABR</v>
      </c>
      <c r="C123" s="138" t="str">
        <f>IFERROR(__xludf.DUMMYFUNCTION("""COMPUTED_VALUE"""),"060-0017-00")</f>
        <v>060-0017-00</v>
      </c>
      <c r="D123" s="138" t="str">
        <f>IFERROR(__xludf.DUMMYFUNCTION("""COMPUTED_VALUE"""),"IND DE COMANDO DE VOO")</f>
        <v>IND DE COMANDO DE VOO</v>
      </c>
      <c r="E123" s="138" t="str">
        <f>IFERROR(__xludf.DUMMYFUNCTION("""COMPUTED_VALUE"""),"18685")</f>
        <v>18685</v>
      </c>
      <c r="F123" s="138" t="str">
        <f>IFERROR(__xludf.DUMMYFUNCTION("""COMPUTED_VALUE"""),"022/2026")</f>
        <v>022/2026</v>
      </c>
      <c r="G123" s="138" t="str">
        <f>IFERROR(__xludf.DUMMYFUNCTION("""COMPUTED_VALUE"""),"22/06")</f>
        <v>22/06</v>
      </c>
      <c r="H123" s="138" t="str">
        <f>IFERROR(__xludf.DUMMYFUNCTION("""COMPUTED_VALUE"""),"23/06")</f>
        <v>23/06</v>
      </c>
      <c r="I123" s="138"/>
      <c r="J123" s="138" t="str">
        <f>IFERROR(__xludf.DUMMYFUNCTION("""COMPUTED_VALUE"""),"23/06")</f>
        <v>23/06</v>
      </c>
      <c r="K123" s="138" t="str">
        <f>IFERROR(__xludf.DUMMYFUNCTION("""COMPUTED_VALUE"""),"24/06")</f>
        <v>24/06</v>
      </c>
      <c r="L123" s="138" t="str">
        <f>IFERROR(__xludf.DUMMYFUNCTION("""COMPUTED_VALUE"""),"24/06")</f>
        <v>24/06</v>
      </c>
      <c r="M123" s="138" t="str">
        <f>IFERROR(__xludf.DUMMYFUNCTION("""COMPUTED_VALUE"""),"24/06")</f>
        <v>24/06</v>
      </c>
      <c r="N123" s="138" t="str">
        <f>IFERROR(__xludf.DUMMYFUNCTION("""COMPUTED_VALUE"""),"24/06")</f>
        <v>24/06</v>
      </c>
      <c r="O123" s="138" t="str">
        <f>IFERROR(__xludf.DUMMYFUNCTION("""COMPUTED_VALUE"""),"24/06")</f>
        <v>24/06</v>
      </c>
      <c r="P123" s="138" t="str">
        <f>IFERROR(__xludf.DUMMYFUNCTION("""COMPUTED_VALUE"""),"02/07")</f>
        <v>02/07</v>
      </c>
      <c r="Q123" s="138" t="str">
        <f>IFERROR(__xludf.DUMMYFUNCTION("""COMPUTED_VALUE"""),"02/07")</f>
        <v>02/07</v>
      </c>
      <c r="R123" s="138" t="str">
        <f>IFERROR(__xludf.DUMMYFUNCTION("""COMPUTED_VALUE"""),"02/07")</f>
        <v>02/07</v>
      </c>
      <c r="S123" s="138" t="str">
        <f>IFERROR(__xludf.DUMMYFUNCTION("""COMPUTED_VALUE"""),"02/07, 01/09")</f>
        <v>02/07, 01/09</v>
      </c>
      <c r="T123" s="138" t="str">
        <f>IFERROR(__xludf.DUMMYFUNCTION("""COMPUTED_VALUE"""),"09/09")</f>
        <v>09/09</v>
      </c>
      <c r="U123" s="138" t="str">
        <f>IFERROR(__xludf.DUMMYFUNCTION("""COMPUTED_VALUE"""),"RECEBIDO POR 3S KESIA")</f>
        <v>RECEBIDO POR 3S KESIA</v>
      </c>
      <c r="V123" s="138"/>
      <c r="W123" s="138"/>
      <c r="X123" s="138"/>
      <c r="Y123" s="138"/>
      <c r="Z123" s="138"/>
    </row>
    <row r="124" hidden="1">
      <c r="A124" s="138" t="str">
        <f>IFERROR(__xludf.DUMMYFUNCTION("""COMPUTED_VALUE"""),"VEE ONE")</f>
        <v>VEE ONE</v>
      </c>
      <c r="B124" s="138" t="str">
        <f>IFERROR(__xludf.DUMMYFUNCTION("""COMPUTED_VALUE"""),"BABR")</f>
        <v>BABR</v>
      </c>
      <c r="C124" s="138" t="str">
        <f>IFERROR(__xludf.DUMMYFUNCTION("""COMPUTED_VALUE"""),"9910338-8")</f>
        <v>9910338-8</v>
      </c>
      <c r="D124" s="138" t="str">
        <f>IFERROR(__xludf.DUMMYFUNCTION("""COMPUTED_VALUE"""),"INDICATOR,FUEL FLOW")</f>
        <v>INDICATOR,FUEL FLOW</v>
      </c>
      <c r="E124" s="138" t="str">
        <f>IFERROR(__xludf.DUMMYFUNCTION("""COMPUTED_VALUE"""),"9933-49")</f>
        <v>9933-49</v>
      </c>
      <c r="F124" s="138" t="str">
        <f>IFERROR(__xludf.DUMMYFUNCTION("""COMPUTED_VALUE"""),"022/2026")</f>
        <v>022/2026</v>
      </c>
      <c r="G124" s="138" t="str">
        <f>IFERROR(__xludf.DUMMYFUNCTION("""COMPUTED_VALUE"""),"22/06")</f>
        <v>22/06</v>
      </c>
      <c r="H124" s="138" t="str">
        <f>IFERROR(__xludf.DUMMYFUNCTION("""COMPUTED_VALUE"""),"23/06")</f>
        <v>23/06</v>
      </c>
      <c r="I124" s="138"/>
      <c r="J124" s="138" t="str">
        <f>IFERROR(__xludf.DUMMYFUNCTION("""COMPUTED_VALUE"""),"23/06")</f>
        <v>23/06</v>
      </c>
      <c r="K124" s="138" t="str">
        <f>IFERROR(__xludf.DUMMYFUNCTION("""COMPUTED_VALUE"""),"24/06")</f>
        <v>24/06</v>
      </c>
      <c r="L124" s="138" t="str">
        <f>IFERROR(__xludf.DUMMYFUNCTION("""COMPUTED_VALUE"""),"24/06")</f>
        <v>24/06</v>
      </c>
      <c r="M124" s="138" t="str">
        <f>IFERROR(__xludf.DUMMYFUNCTION("""COMPUTED_VALUE"""),"24/06")</f>
        <v>24/06</v>
      </c>
      <c r="N124" s="138" t="str">
        <f>IFERROR(__xludf.DUMMYFUNCTION("""COMPUTED_VALUE"""),"24/06")</f>
        <v>24/06</v>
      </c>
      <c r="O124" s="138" t="str">
        <f>IFERROR(__xludf.DUMMYFUNCTION("""COMPUTED_VALUE"""),"24/06")</f>
        <v>24/06</v>
      </c>
      <c r="P124" s="138" t="str">
        <f>IFERROR(__xludf.DUMMYFUNCTION("""COMPUTED_VALUE"""),"02/07")</f>
        <v>02/07</v>
      </c>
      <c r="Q124" s="138" t="str">
        <f>IFERROR(__xludf.DUMMYFUNCTION("""COMPUTED_VALUE"""),"02/07")</f>
        <v>02/07</v>
      </c>
      <c r="R124" s="138" t="str">
        <f>IFERROR(__xludf.DUMMYFUNCTION("""COMPUTED_VALUE"""),"02/07")</f>
        <v>02/07</v>
      </c>
      <c r="S124" s="138" t="str">
        <f>IFERROR(__xludf.DUMMYFUNCTION("""COMPUTED_VALUE"""),"02/07, 01/09")</f>
        <v>02/07, 01/09</v>
      </c>
      <c r="T124" s="138" t="str">
        <f>IFERROR(__xludf.DUMMYFUNCTION("""COMPUTED_VALUE"""),"09/09")</f>
        <v>09/09</v>
      </c>
      <c r="U124" s="138" t="str">
        <f>IFERROR(__xludf.DUMMYFUNCTION("""COMPUTED_VALUE"""),"RECEBIDO POR 3S KESIA")</f>
        <v>RECEBIDO POR 3S KESIA</v>
      </c>
      <c r="V124" s="138"/>
      <c r="W124" s="138"/>
      <c r="X124" s="138"/>
      <c r="Y124" s="138"/>
      <c r="Z124" s="138"/>
    </row>
    <row r="125" hidden="1">
      <c r="A125" s="138" t="str">
        <f>IFERROR(__xludf.DUMMYFUNCTION("""COMPUTED_VALUE"""),"VEE ONE")</f>
        <v>VEE ONE</v>
      </c>
      <c r="B125" s="138" t="str">
        <f>IFERROR(__xludf.DUMMYFUNCTION("""COMPUTED_VALUE"""),"BABR")</f>
        <v>BABR</v>
      </c>
      <c r="C125" s="138" t="str">
        <f>IFERROR(__xludf.DUMMYFUNCTION("""COMPUTED_VALUE"""),"066-1072-04")</f>
        <v>066-1072-04</v>
      </c>
      <c r="D125" s="138" t="str">
        <f>IFERROR(__xludf.DUMMYFUNCTION("""COMPUTED_VALUE"""),"RECEIVER RADIO")</f>
        <v>RECEIVER RADIO</v>
      </c>
      <c r="E125" s="138" t="str">
        <f>IFERROR(__xludf.DUMMYFUNCTION("""COMPUTED_VALUE"""),"64318")</f>
        <v>64318</v>
      </c>
      <c r="F125" s="138" t="str">
        <f>IFERROR(__xludf.DUMMYFUNCTION("""COMPUTED_VALUE"""),"024/2026")</f>
        <v>024/2026</v>
      </c>
      <c r="G125" s="138" t="str">
        <f>IFERROR(__xludf.DUMMYFUNCTION("""COMPUTED_VALUE"""),"07/07")</f>
        <v>07/07</v>
      </c>
      <c r="H125" s="138" t="str">
        <f>IFERROR(__xludf.DUMMYFUNCTION("""COMPUTED_VALUE"""),"09/07")</f>
        <v>09/07</v>
      </c>
      <c r="I125" s="138"/>
      <c r="J125" s="138" t="str">
        <f>IFERROR(__xludf.DUMMYFUNCTION("""COMPUTED_VALUE"""),"09/07")</f>
        <v>09/07</v>
      </c>
      <c r="K125" s="138" t="str">
        <f>IFERROR(__xludf.DUMMYFUNCTION("""COMPUTED_VALUE"""),"10/07")</f>
        <v>10/07</v>
      </c>
      <c r="L125" s="138" t="str">
        <f>IFERROR(__xludf.DUMMYFUNCTION("""COMPUTED_VALUE"""),"10/07")</f>
        <v>10/07</v>
      </c>
      <c r="M125" s="138" t="str">
        <f>IFERROR(__xludf.DUMMYFUNCTION("""COMPUTED_VALUE"""),"13/07")</f>
        <v>13/07</v>
      </c>
      <c r="N125" s="138" t="str">
        <f>IFERROR(__xludf.DUMMYFUNCTION("""COMPUTED_VALUE"""),"13/07")</f>
        <v>13/07</v>
      </c>
      <c r="O125" s="138" t="str">
        <f>IFERROR(__xludf.DUMMYFUNCTION("""COMPUTED_VALUE"""),"13/07")</f>
        <v>13/07</v>
      </c>
      <c r="P125" s="138" t="str">
        <f>IFERROR(__xludf.DUMMYFUNCTION("""COMPUTED_VALUE"""),"13/07")</f>
        <v>13/07</v>
      </c>
      <c r="Q125" s="138" t="str">
        <f>IFERROR(__xludf.DUMMYFUNCTION("""COMPUTED_VALUE"""),"13/07")</f>
        <v>13/07</v>
      </c>
      <c r="R125" s="138" t="str">
        <f>IFERROR(__xludf.DUMMYFUNCTION("""COMPUTED_VALUE"""),"13/07")</f>
        <v>13/07</v>
      </c>
      <c r="S125" s="138" t="str">
        <f>IFERROR(__xludf.DUMMYFUNCTION("""COMPUTED_VALUE"""),"13/07, 01/09")</f>
        <v>13/07, 01/09</v>
      </c>
      <c r="T125" s="138" t="str">
        <f>IFERROR(__xludf.DUMMYFUNCTION("""COMPUTED_VALUE"""),"09/09")</f>
        <v>09/09</v>
      </c>
      <c r="U125" s="138" t="str">
        <f>IFERROR(__xludf.DUMMYFUNCTION("""COMPUTED_VALUE"""),"RECEBIDO POR 3S KESIA")</f>
        <v>RECEBIDO POR 3S KESIA</v>
      </c>
      <c r="V125" s="138"/>
      <c r="W125" s="138"/>
      <c r="X125" s="138"/>
      <c r="Y125" s="138"/>
      <c r="Z125" s="138"/>
    </row>
    <row r="126" hidden="1">
      <c r="A126" s="138" t="str">
        <f>IFERROR(__xludf.DUMMYFUNCTION("""COMPUTED_VALUE"""),"VEE ONE")</f>
        <v>VEE ONE</v>
      </c>
      <c r="B126" s="138" t="str">
        <f>IFERROR(__xludf.DUMMYFUNCTION("""COMPUTED_VALUE"""),"BABR")</f>
        <v>BABR</v>
      </c>
      <c r="C126" s="138" t="str">
        <f>IFERROR(__xludf.DUMMYFUNCTION("""COMPUTED_VALUE"""),"060-0017-00")</f>
        <v>060-0017-00</v>
      </c>
      <c r="D126" s="138" t="str">
        <f>IFERROR(__xludf.DUMMYFUNCTION("""COMPUTED_VALUE"""),"IND DE COMANDO DE VOO")</f>
        <v>IND DE COMANDO DE VOO</v>
      </c>
      <c r="E126" s="138" t="str">
        <f>IFERROR(__xludf.DUMMYFUNCTION("""COMPUTED_VALUE"""),"9599")</f>
        <v>9599</v>
      </c>
      <c r="F126" s="138" t="str">
        <f>IFERROR(__xludf.DUMMYFUNCTION("""COMPUTED_VALUE"""),"025/2026")</f>
        <v>025/2026</v>
      </c>
      <c r="G126" s="138" t="str">
        <f>IFERROR(__xludf.DUMMYFUNCTION("""COMPUTED_VALUE"""),"09/07")</f>
        <v>09/07</v>
      </c>
      <c r="H126" s="138" t="str">
        <f>IFERROR(__xludf.DUMMYFUNCTION("""COMPUTED_VALUE"""),"09/07")</f>
        <v>09/07</v>
      </c>
      <c r="I126" s="138"/>
      <c r="J126" s="138" t="str">
        <f>IFERROR(__xludf.DUMMYFUNCTION("""COMPUTED_VALUE"""),"09/07")</f>
        <v>09/07</v>
      </c>
      <c r="K126" s="138" t="str">
        <f>IFERROR(__xludf.DUMMYFUNCTION("""COMPUTED_VALUE"""),"10/07")</f>
        <v>10/07</v>
      </c>
      <c r="L126" s="138" t="str">
        <f>IFERROR(__xludf.DUMMYFUNCTION("""COMPUTED_VALUE"""),"10/07")</f>
        <v>10/07</v>
      </c>
      <c r="M126" s="138" t="str">
        <f>IFERROR(__xludf.DUMMYFUNCTION("""COMPUTED_VALUE"""),"13/07")</f>
        <v>13/07</v>
      </c>
      <c r="N126" s="138" t="str">
        <f>IFERROR(__xludf.DUMMYFUNCTION("""COMPUTED_VALUE"""),"13/07")</f>
        <v>13/07</v>
      </c>
      <c r="O126" s="138" t="str">
        <f>IFERROR(__xludf.DUMMYFUNCTION("""COMPUTED_VALUE"""),"13/07")</f>
        <v>13/07</v>
      </c>
      <c r="P126" s="138" t="str">
        <f>IFERROR(__xludf.DUMMYFUNCTION("""COMPUTED_VALUE"""),"13/07")</f>
        <v>13/07</v>
      </c>
      <c r="Q126" s="138" t="str">
        <f>IFERROR(__xludf.DUMMYFUNCTION("""COMPUTED_VALUE"""),"13/07")</f>
        <v>13/07</v>
      </c>
      <c r="R126" s="138" t="str">
        <f>IFERROR(__xludf.DUMMYFUNCTION("""COMPUTED_VALUE"""),"13/07")</f>
        <v>13/07</v>
      </c>
      <c r="S126" s="138" t="str">
        <f>IFERROR(__xludf.DUMMYFUNCTION("""COMPUTED_VALUE"""),"13/07, 01/09")</f>
        <v>13/07, 01/09</v>
      </c>
      <c r="T126" s="138" t="str">
        <f>IFERROR(__xludf.DUMMYFUNCTION("""COMPUTED_VALUE"""),"09/09")</f>
        <v>09/09</v>
      </c>
      <c r="U126" s="138" t="str">
        <f>IFERROR(__xludf.DUMMYFUNCTION("""COMPUTED_VALUE"""),"RECEBIDO POR 3S KESIA")</f>
        <v>RECEBIDO POR 3S KESIA</v>
      </c>
      <c r="V126" s="138"/>
      <c r="W126" s="138"/>
      <c r="X126" s="138"/>
      <c r="Y126" s="138"/>
      <c r="Z126" s="138"/>
    </row>
    <row r="127" hidden="1">
      <c r="A127" s="138" t="str">
        <f>IFERROR(__xludf.DUMMYFUNCTION("""COMPUTED_VALUE"""),"VEE ONE")</f>
        <v>VEE ONE</v>
      </c>
      <c r="B127" s="138" t="str">
        <f>IFERROR(__xludf.DUMMYFUNCTION("""COMPUTED_VALUE"""),"CLA")</f>
        <v>CLA</v>
      </c>
      <c r="C127" s="138" t="str">
        <f>IFERROR(__xludf.DUMMYFUNCTION("""COMPUTED_VALUE"""),"3034792")</f>
        <v>3034792</v>
      </c>
      <c r="D127" s="138" t="str">
        <f>IFERROR(__xludf.DUMMYFUNCTION("""COMPUTED_VALUE"""),"BOMBA DE COMBUSTÍVEL")</f>
        <v>BOMBA DE COMBUSTÍVEL</v>
      </c>
      <c r="E127" s="138" t="str">
        <f>IFERROR(__xludf.DUMMYFUNCTION("""COMPUTED_VALUE"""),"003665")</f>
        <v>003665</v>
      </c>
      <c r="F127" s="138" t="str">
        <f>IFERROR(__xludf.DUMMYFUNCTION("""COMPUTED_VALUE"""),"019/2026")</f>
        <v>019/2026</v>
      </c>
      <c r="G127" s="138" t="str">
        <f>IFERROR(__xludf.DUMMYFUNCTION("""COMPUTED_VALUE"""),"25/06")</f>
        <v>25/06</v>
      </c>
      <c r="H127" s="138" t="str">
        <f>IFERROR(__xludf.DUMMYFUNCTION("""COMPUTED_VALUE"""),"07/08")</f>
        <v>07/08</v>
      </c>
      <c r="I127" s="138"/>
      <c r="J127" s="138" t="str">
        <f>IFERROR(__xludf.DUMMYFUNCTION("""COMPUTED_VALUE"""),"10/08")</f>
        <v>10/08</v>
      </c>
      <c r="K127" s="138" t="str">
        <f>IFERROR(__xludf.DUMMYFUNCTION("""COMPUTED_VALUE"""),"10/08")</f>
        <v>10/08</v>
      </c>
      <c r="L127" s="138" t="str">
        <f>IFERROR(__xludf.DUMMYFUNCTION("""COMPUTED_VALUE"""),"10/08, 01/09")</f>
        <v>10/08, 01/09</v>
      </c>
      <c r="M127" s="138" t="str">
        <f>IFERROR(__xludf.DUMMYFUNCTION("""COMPUTED_VALUE"""),"01/09")</f>
        <v>01/09</v>
      </c>
      <c r="N127" s="138" t="str">
        <f>IFERROR(__xludf.DUMMYFUNCTION("""COMPUTED_VALUE"""),"01/09")</f>
        <v>01/09</v>
      </c>
      <c r="O127" s="138" t="str">
        <f>IFERROR(__xludf.DUMMYFUNCTION("""COMPUTED_VALUE"""),"01/09")</f>
        <v>01/09</v>
      </c>
      <c r="P127" s="138" t="str">
        <f>IFERROR(__xludf.DUMMYFUNCTION("""COMPUTED_VALUE"""),"01/09")</f>
        <v>01/09</v>
      </c>
      <c r="Q127" s="138" t="str">
        <f>IFERROR(__xludf.DUMMYFUNCTION("""COMPUTED_VALUE"""),"01/09")</f>
        <v>01/09</v>
      </c>
      <c r="R127" s="138" t="str">
        <f>IFERROR(__xludf.DUMMYFUNCTION("""COMPUTED_VALUE"""),"01/09")</f>
        <v>01/09</v>
      </c>
      <c r="S127" s="138" t="str">
        <f>IFERROR(__xludf.DUMMYFUNCTION("""COMPUTED_VALUE"""),"01/09")</f>
        <v>01/09</v>
      </c>
      <c r="T127" s="138" t="str">
        <f>IFERROR(__xludf.DUMMYFUNCTION("""COMPUTED_VALUE"""),"04/09")</f>
        <v>04/09</v>
      </c>
      <c r="U127" s="138" t="str">
        <f>IFERROR(__xludf.DUMMYFUNCTION("""COMPUTED_VALUE"""),"RECEBIDO POR 2S CIPRIANO")</f>
        <v>RECEBIDO POR 2S CIPRIANO</v>
      </c>
      <c r="V127" s="138"/>
      <c r="W127" s="138"/>
      <c r="X127" s="138"/>
      <c r="Y127" s="138"/>
      <c r="Z127" s="138"/>
    </row>
    <row r="128" hidden="1">
      <c r="A128" s="138" t="str">
        <f>IFERROR(__xludf.DUMMYFUNCTION("""COMPUTED_VALUE"""),"VEE ONE")</f>
        <v>VEE ONE</v>
      </c>
      <c r="B128" s="138" t="str">
        <f>IFERROR(__xludf.DUMMYFUNCTION("""COMPUTED_VALUE"""),"BABR")</f>
        <v>BABR</v>
      </c>
      <c r="C128" s="138" t="str">
        <f>IFERROR(__xludf.DUMMYFUNCTION("""COMPUTED_VALUE"""),"066-3046-07")</f>
        <v>066-3046-07</v>
      </c>
      <c r="D128" s="138" t="str">
        <f>IFERROR(__xludf.DUMMYFUNCTION("""COMPUTED_VALUE"""),"CONTROL INDICATOR")</f>
        <v>CONTROL INDICATOR</v>
      </c>
      <c r="E128" s="138" t="str">
        <f>IFERROR(__xludf.DUMMYFUNCTION("""COMPUTED_VALUE"""),"83740")</f>
        <v>83740</v>
      </c>
      <c r="F128" s="138" t="str">
        <f>IFERROR(__xludf.DUMMYFUNCTION("""COMPUTED_VALUE"""),"026/2026")</f>
        <v>026/2026</v>
      </c>
      <c r="G128" s="138" t="str">
        <f>IFERROR(__xludf.DUMMYFUNCTION("""COMPUTED_VALUE"""),"20/07")</f>
        <v>20/07</v>
      </c>
      <c r="H128" s="138" t="str">
        <f>IFERROR(__xludf.DUMMYFUNCTION("""COMPUTED_VALUE"""),"07/08")</f>
        <v>07/08</v>
      </c>
      <c r="I128" s="138"/>
      <c r="J128" s="138" t="str">
        <f>IFERROR(__xludf.DUMMYFUNCTION("""COMPUTED_VALUE"""),"10/08")</f>
        <v>10/08</v>
      </c>
      <c r="K128" s="138" t="str">
        <f>IFERROR(__xludf.DUMMYFUNCTION("""COMPUTED_VALUE"""),"10/08")</f>
        <v>10/08</v>
      </c>
      <c r="L128" s="138" t="str">
        <f>IFERROR(__xludf.DUMMYFUNCTION("""COMPUTED_VALUE"""),"10/08")</f>
        <v>10/08</v>
      </c>
      <c r="M128" s="138" t="str">
        <f>IFERROR(__xludf.DUMMYFUNCTION("""COMPUTED_VALUE"""),"10/08")</f>
        <v>10/08</v>
      </c>
      <c r="N128" s="138" t="str">
        <f>IFERROR(__xludf.DUMMYFUNCTION("""COMPUTED_VALUE"""),"10/08")</f>
        <v>10/08</v>
      </c>
      <c r="O128" s="138" t="str">
        <f>IFERROR(__xludf.DUMMYFUNCTION("""COMPUTED_VALUE"""),"10/08")</f>
        <v>10/08</v>
      </c>
      <c r="P128" s="138" t="str">
        <f>IFERROR(__xludf.DUMMYFUNCTION("""COMPUTED_VALUE"""),"10/08")</f>
        <v>10/08</v>
      </c>
      <c r="Q128" s="138" t="str">
        <f>IFERROR(__xludf.DUMMYFUNCTION("""COMPUTED_VALUE"""),"10/08")</f>
        <v>10/08</v>
      </c>
      <c r="R128" s="138" t="str">
        <f>IFERROR(__xludf.DUMMYFUNCTION("""COMPUTED_VALUE"""),"10/08")</f>
        <v>10/08</v>
      </c>
      <c r="S128" s="138" t="str">
        <f>IFERROR(__xludf.DUMMYFUNCTION("""COMPUTED_VALUE"""),"10/08, 01/09")</f>
        <v>10/08, 01/09</v>
      </c>
      <c r="T128" s="138" t="str">
        <f>IFERROR(__xludf.DUMMYFUNCTION("""COMPUTED_VALUE"""),"09/09")</f>
        <v>09/09</v>
      </c>
      <c r="U128" s="138" t="str">
        <f>IFERROR(__xludf.DUMMYFUNCTION("""COMPUTED_VALUE"""),"RECEBIDO POR 3S KESIA")</f>
        <v>RECEBIDO POR 3S KESIA</v>
      </c>
      <c r="V128" s="138"/>
      <c r="W128" s="138"/>
      <c r="X128" s="138"/>
      <c r="Y128" s="138"/>
      <c r="Z128" s="138"/>
    </row>
    <row r="129" hidden="1">
      <c r="A129" s="138" t="str">
        <f>IFERROR(__xludf.DUMMYFUNCTION("""COMPUTED_VALUE"""),"VEE ONE")</f>
        <v>VEE ONE</v>
      </c>
      <c r="B129" s="138" t="str">
        <f>IFERROR(__xludf.DUMMYFUNCTION("""COMPUTED_VALUE"""),"BACG")</f>
        <v>BACG</v>
      </c>
      <c r="C129" s="138" t="str">
        <f>IFERROR(__xludf.DUMMYFUNCTION("""COMPUTED_VALUE"""),"3244897-4")</f>
        <v>3244897-4</v>
      </c>
      <c r="D129" s="138" t="str">
        <f>IFERROR(__xludf.DUMMYFUNCTION("""COMPUTED_VALUE"""),"FUEL CONTROL UNIT")</f>
        <v>FUEL CONTROL UNIT</v>
      </c>
      <c r="E129" s="138" t="str">
        <f>IFERROR(__xludf.DUMMYFUNCTION("""COMPUTED_VALUE"""),"F66912")</f>
        <v>F66912</v>
      </c>
      <c r="F129" s="138" t="str">
        <f>IFERROR(__xludf.DUMMYFUNCTION("""COMPUTED_VALUE"""),"008/2026")</f>
        <v>008/2026</v>
      </c>
      <c r="G129" s="138" t="str">
        <f>IFERROR(__xludf.DUMMYFUNCTION("""COMPUTED_VALUE"""),"17/08")</f>
        <v>17/08</v>
      </c>
      <c r="H129" s="138" t="str">
        <f>IFERROR(__xludf.DUMMYFUNCTION("""COMPUTED_VALUE"""),"20/08")</f>
        <v>20/08</v>
      </c>
      <c r="I129" s="138"/>
      <c r="J129" s="138" t="str">
        <f>IFERROR(__xludf.DUMMYFUNCTION("""COMPUTED_VALUE"""),"21/08")</f>
        <v>21/08</v>
      </c>
      <c r="K129" s="138" t="str">
        <f>IFERROR(__xludf.DUMMYFUNCTION("""COMPUTED_VALUE"""),"24/08")</f>
        <v>24/08</v>
      </c>
      <c r="L129" s="138" t="str">
        <f>IFERROR(__xludf.DUMMYFUNCTION("""COMPUTED_VALUE"""),"24/08")</f>
        <v>24/08</v>
      </c>
      <c r="M129" s="138" t="str">
        <f>IFERROR(__xludf.DUMMYFUNCTION("""COMPUTED_VALUE"""),"24/08")</f>
        <v>24/08</v>
      </c>
      <c r="N129" s="138" t="str">
        <f>IFERROR(__xludf.DUMMYFUNCTION("""COMPUTED_VALUE"""),"26/08")</f>
        <v>26/08</v>
      </c>
      <c r="O129" s="138" t="str">
        <f>IFERROR(__xludf.DUMMYFUNCTION("""COMPUTED_VALUE"""),"26/08")</f>
        <v>26/08</v>
      </c>
      <c r="P129" s="138" t="str">
        <f>IFERROR(__xludf.DUMMYFUNCTION("""COMPUTED_VALUE"""),"27/08")</f>
        <v>27/08</v>
      </c>
      <c r="Q129" s="138" t="str">
        <f>IFERROR(__xludf.DUMMYFUNCTION("""COMPUTED_VALUE"""),"27/08")</f>
        <v>27/08</v>
      </c>
      <c r="R129" s="138" t="str">
        <f>IFERROR(__xludf.DUMMYFUNCTION("""COMPUTED_VALUE"""),"27/08")</f>
        <v>27/08</v>
      </c>
      <c r="S129" s="138" t="str">
        <f>IFERROR(__xludf.DUMMYFUNCTION("""COMPUTED_VALUE"""),"27/08")</f>
        <v>27/08</v>
      </c>
      <c r="T129" s="138" t="str">
        <f>IFERROR(__xludf.DUMMYFUNCTION("""COMPUTED_VALUE"""),"16/09")</f>
        <v>16/09</v>
      </c>
      <c r="U129" s="138" t="str">
        <f>IFERROR(__xludf.DUMMYFUNCTION("""COMPUTED_VALUE"""),"RECEBIDO POR 3S ANNA AMURIM")</f>
        <v>RECEBIDO POR 3S ANNA AMURIM</v>
      </c>
      <c r="V129" s="138"/>
      <c r="W129" s="138"/>
      <c r="X129" s="138"/>
      <c r="Y129" s="138"/>
      <c r="Z129" s="138"/>
    </row>
    <row r="130">
      <c r="A130" s="138" t="str">
        <f>IFERROR(__xludf.DUMMYFUNCTION("""COMPUTED_VALUE"""),"VEE ONE")</f>
        <v>VEE ONE</v>
      </c>
      <c r="B130" s="138" t="str">
        <f>IFERROR(__xludf.DUMMYFUNCTION("""COMPUTED_VALUE"""),"BABE")</f>
        <v>BABE</v>
      </c>
      <c r="C130" s="138" t="str">
        <f>IFERROR(__xludf.DUMMYFUNCTION("""COMPUTED_VALUE"""),"ASG12000-2")</f>
        <v>ASG12000-2</v>
      </c>
      <c r="D130" s="138" t="str">
        <f>IFERROR(__xludf.DUMMYFUNCTION("""COMPUTED_VALUE"""),"ALTERNADOR")</f>
        <v>ALTERNADOR</v>
      </c>
      <c r="E130" s="138" t="str">
        <f>IFERROR(__xludf.DUMMYFUNCTION("""COMPUTED_VALUE"""),"H-K121983")</f>
        <v>H-K121983</v>
      </c>
      <c r="F130" s="138" t="str">
        <f>IFERROR(__xludf.DUMMYFUNCTION("""COMPUTED_VALUE"""),"029/2026")</f>
        <v>029/2026</v>
      </c>
      <c r="G130" s="138" t="str">
        <f>IFERROR(__xludf.DUMMYFUNCTION("""COMPUTED_VALUE"""),"14/09")</f>
        <v>14/09</v>
      </c>
      <c r="H130" s="138" t="str">
        <f>IFERROR(__xludf.DUMMYFUNCTION("""COMPUTED_VALUE"""),"14/09")</f>
        <v>14/09</v>
      </c>
      <c r="I130" s="138"/>
      <c r="J130" s="138" t="str">
        <f>IFERROR(__xludf.DUMMYFUNCTION("""COMPUTED_VALUE"""),"17/09")</f>
        <v>17/09</v>
      </c>
      <c r="K130" s="138" t="str">
        <f>IFERROR(__xludf.DUMMYFUNCTION("""COMPUTED_VALUE"""),"17/09")</f>
        <v>17/09</v>
      </c>
      <c r="L130" s="138" t="str">
        <f>IFERROR(__xludf.DUMMYFUNCTION("""COMPUTED_VALUE"""),"17/09")</f>
        <v>17/09</v>
      </c>
      <c r="M130" s="138" t="str">
        <f>IFERROR(__xludf.DUMMYFUNCTION("""COMPUTED_VALUE"""),"17/09")</f>
        <v>17/09</v>
      </c>
      <c r="N130" s="138" t="str">
        <f>IFERROR(__xludf.DUMMYFUNCTION("""COMPUTED_VALUE"""),"17/09")</f>
        <v>17/09</v>
      </c>
      <c r="O130" s="138" t="str">
        <f>IFERROR(__xludf.DUMMYFUNCTION("""COMPUTED_VALUE"""),"17/09")</f>
        <v>17/09</v>
      </c>
      <c r="P130" s="138" t="str">
        <f>IFERROR(__xludf.DUMMYFUNCTION("""COMPUTED_VALUE"""),"18/09")</f>
        <v>18/09</v>
      </c>
      <c r="Q130" s="138" t="str">
        <f>IFERROR(__xludf.DUMMYFUNCTION("""COMPUTED_VALUE"""),"18/09")</f>
        <v>18/09</v>
      </c>
      <c r="R130" s="138" t="str">
        <f>IFERROR(__xludf.DUMMYFUNCTION("""COMPUTED_VALUE"""),"23/09")</f>
        <v>23/09</v>
      </c>
      <c r="S130" s="138" t="str">
        <f>IFERROR(__xludf.DUMMYFUNCTION("""COMPUTED_VALUE"""),"23/09")</f>
        <v>23/09</v>
      </c>
      <c r="T130" s="138" t="str">
        <f>IFERROR(__xludf.DUMMYFUNCTION("""COMPUTED_VALUE"""),"23/09")</f>
        <v>23/09</v>
      </c>
      <c r="U130" s="138" t="str">
        <f>IFERROR(__xludf.DUMMYFUNCTION("""COMPUTED_VALUE"""),"RECEBIDO POR 1S JOAO MARCOS")</f>
        <v>RECEBIDO POR 1S JOAO MARCOS</v>
      </c>
      <c r="V130" s="138"/>
      <c r="W130" s="138"/>
      <c r="X130" s="138"/>
      <c r="Y130" s="138"/>
      <c r="Z130" s="138"/>
    </row>
    <row r="131">
      <c r="A131" s="138" t="str">
        <f>IFERROR(__xludf.DUMMYFUNCTION("""COMPUTED_VALUE"""),"VEE ONE")</f>
        <v>VEE ONE</v>
      </c>
      <c r="B131" s="138" t="str">
        <f>IFERROR(__xludf.DUMMYFUNCTION("""COMPUTED_VALUE"""),"BABE")</f>
        <v>BABE</v>
      </c>
      <c r="C131" s="138" t="str">
        <f>IFERROR(__xludf.DUMMYFUNCTION("""COMPUTED_VALUE"""),"C611505-0201")</f>
        <v>C611505-0201</v>
      </c>
      <c r="D131" s="138" t="str">
        <f>IFERROR(__xludf.DUMMYFUNCTION("""COMPUTED_VALUE"""),"ALTERNATOR ASSY")</f>
        <v>ALTERNATOR ASSY</v>
      </c>
      <c r="E131" s="138" t="str">
        <f>IFERROR(__xludf.DUMMYFUNCTION("""COMPUTED_VALUE"""),"A102704")</f>
        <v>A102704</v>
      </c>
      <c r="F131" s="138" t="str">
        <f>IFERROR(__xludf.DUMMYFUNCTION("""COMPUTED_VALUE"""),"030/2026")</f>
        <v>030/2026</v>
      </c>
      <c r="G131" s="138" t="str">
        <f>IFERROR(__xludf.DUMMYFUNCTION("""COMPUTED_VALUE"""),"15/09")</f>
        <v>15/09</v>
      </c>
      <c r="H131" s="138" t="str">
        <f>IFERROR(__xludf.DUMMYFUNCTION("""COMPUTED_VALUE"""),"17/09")</f>
        <v>17/09</v>
      </c>
      <c r="I131" s="138"/>
      <c r="J131" s="138" t="str">
        <f>IFERROR(__xludf.DUMMYFUNCTION("""COMPUTED_VALUE"""),"21/09")</f>
        <v>21/09</v>
      </c>
      <c r="K131" s="138" t="str">
        <f>IFERROR(__xludf.DUMMYFUNCTION("""COMPUTED_VALUE"""),"21/09")</f>
        <v>21/09</v>
      </c>
      <c r="L131" s="138" t="str">
        <f>IFERROR(__xludf.DUMMYFUNCTION("""COMPUTED_VALUE"""),"21/09")</f>
        <v>21/09</v>
      </c>
      <c r="M131" s="138" t="str">
        <f>IFERROR(__xludf.DUMMYFUNCTION("""COMPUTED_VALUE"""),"22/09")</f>
        <v>22/09</v>
      </c>
      <c r="N131" s="138" t="str">
        <f>IFERROR(__xludf.DUMMYFUNCTION("""COMPUTED_VALUE"""),"22/09")</f>
        <v>22/09</v>
      </c>
      <c r="O131" s="138" t="str">
        <f>IFERROR(__xludf.DUMMYFUNCTION("""COMPUTED_VALUE"""),"22/09")</f>
        <v>22/09</v>
      </c>
      <c r="P131" s="138" t="str">
        <f>IFERROR(__xludf.DUMMYFUNCTION("""COMPUTED_VALUE"""),"22/09")</f>
        <v>22/09</v>
      </c>
      <c r="Q131" s="138" t="str">
        <f>IFERROR(__xludf.DUMMYFUNCTION("""COMPUTED_VALUE"""),"22/09")</f>
        <v>22/09</v>
      </c>
      <c r="R131" s="138" t="str">
        <f>IFERROR(__xludf.DUMMYFUNCTION("""COMPUTED_VALUE"""),"23/09")</f>
        <v>23/09</v>
      </c>
      <c r="S131" s="138" t="str">
        <f>IFERROR(__xludf.DUMMYFUNCTION("""COMPUTED_VALUE"""),"23/09")</f>
        <v>23/09</v>
      </c>
      <c r="T131" s="138" t="str">
        <f>IFERROR(__xludf.DUMMYFUNCTION("""COMPUTED_VALUE"""),"23/09")</f>
        <v>23/09</v>
      </c>
      <c r="U131" s="138" t="str">
        <f>IFERROR(__xludf.DUMMYFUNCTION("""COMPUTED_VALUE"""),"RECEBIDO POR 1S JOAO MARCOS")</f>
        <v>RECEBIDO POR 1S JOAO MARCOS</v>
      </c>
      <c r="V131" s="138"/>
      <c r="W131" s="138"/>
      <c r="X131" s="138"/>
      <c r="Y131" s="138"/>
      <c r="Z131" s="138"/>
    </row>
    <row r="132">
      <c r="A132" s="138" t="str">
        <f>IFERROR(__xludf.DUMMYFUNCTION("""COMPUTED_VALUE"""),"VEE ONE")</f>
        <v>VEE ONE</v>
      </c>
      <c r="B132" s="138" t="str">
        <f>IFERROR(__xludf.DUMMYFUNCTION("""COMPUTED_VALUE"""),"BABE")</f>
        <v>BABE</v>
      </c>
      <c r="C132" s="138" t="str">
        <f>IFERROR(__xludf.DUMMYFUNCTION("""COMPUTED_VALUE"""),"030-18200")</f>
        <v>030-18200</v>
      </c>
      <c r="D132" s="138" t="str">
        <f>IFERROR(__xludf.DUMMYFUNCTION("""COMPUTED_VALUE"""),"CONJUNTO DE FREIO")</f>
        <v>CONJUNTO DE FREIO</v>
      </c>
      <c r="E132" s="138" t="str">
        <f>IFERROR(__xludf.DUMMYFUNCTION("""COMPUTED_VALUE"""),"571")</f>
        <v>571</v>
      </c>
      <c r="F132" s="138" t="str">
        <f>IFERROR(__xludf.DUMMYFUNCTION("""COMPUTED_VALUE"""),"032/2026")</f>
        <v>032/2026</v>
      </c>
      <c r="G132" s="138" t="str">
        <f>IFERROR(__xludf.DUMMYFUNCTION("""COMPUTED_VALUE"""),"22/09")</f>
        <v>22/09</v>
      </c>
      <c r="H132" s="138" t="str">
        <f>IFERROR(__xludf.DUMMYFUNCTION("""COMPUTED_VALUE"""),"22/09")</f>
        <v>22/09</v>
      </c>
      <c r="I132" s="138"/>
      <c r="J132" s="138" t="str">
        <f>IFERROR(__xludf.DUMMYFUNCTION("""COMPUTED_VALUE"""),"22/09")</f>
        <v>22/09</v>
      </c>
      <c r="K132" s="138" t="str">
        <f>IFERROR(__xludf.DUMMYFUNCTION("""COMPUTED_VALUE"""),"22/09")</f>
        <v>22/09</v>
      </c>
      <c r="L132" s="138" t="str">
        <f>IFERROR(__xludf.DUMMYFUNCTION("""COMPUTED_VALUE"""),"22/09")</f>
        <v>22/09</v>
      </c>
      <c r="M132" s="138" t="str">
        <f>IFERROR(__xludf.DUMMYFUNCTION("""COMPUTED_VALUE"""),"22/09")</f>
        <v>22/09</v>
      </c>
      <c r="N132" s="138" t="str">
        <f>IFERROR(__xludf.DUMMYFUNCTION("""COMPUTED_VALUE"""),"22/09")</f>
        <v>22/09</v>
      </c>
      <c r="O132" s="138" t="str">
        <f>IFERROR(__xludf.DUMMYFUNCTION("""COMPUTED_VALUE"""),"22/09")</f>
        <v>22/09</v>
      </c>
      <c r="P132" s="138" t="str">
        <f>IFERROR(__xludf.DUMMYFUNCTION("""COMPUTED_VALUE"""),"22/09")</f>
        <v>22/09</v>
      </c>
      <c r="Q132" s="138" t="str">
        <f>IFERROR(__xludf.DUMMYFUNCTION("""COMPUTED_VALUE"""),"22/09")</f>
        <v>22/09</v>
      </c>
      <c r="R132" s="138" t="str">
        <f>IFERROR(__xludf.DUMMYFUNCTION("""COMPUTED_VALUE"""),"29/09")</f>
        <v>29/09</v>
      </c>
      <c r="S132" s="138" t="str">
        <f>IFERROR(__xludf.DUMMYFUNCTION("""COMPUTED_VALUE"""),"29/09")</f>
        <v>29/09</v>
      </c>
      <c r="T132" s="138" t="str">
        <f>IFERROR(__xludf.DUMMYFUNCTION("""COMPUTED_VALUE"""),"29/09")</f>
        <v>29/09</v>
      </c>
      <c r="U132" s="138" t="str">
        <f>IFERROR(__xludf.DUMMYFUNCTION("""COMPUTED_VALUE"""),"RECEBIDO POR 2S BRUNO")</f>
        <v>RECEBIDO POR 2S BRUNO</v>
      </c>
      <c r="V132" s="138"/>
      <c r="W132" s="138"/>
      <c r="X132" s="138"/>
      <c r="Y132" s="138"/>
      <c r="Z132" s="138"/>
    </row>
    <row r="133">
      <c r="A133" s="138" t="str">
        <f>IFERROR(__xludf.DUMMYFUNCTION("""COMPUTED_VALUE"""),"VEE ONE")</f>
        <v>VEE ONE</v>
      </c>
      <c r="B133" s="138" t="str">
        <f>IFERROR(__xludf.DUMMYFUNCTION("""COMPUTED_VALUE"""),"BANT")</f>
        <v>BANT</v>
      </c>
      <c r="C133" s="138" t="str">
        <f>IFERROR(__xludf.DUMMYFUNCTION("""COMPUTED_VALUE"""),"066-03064-0005")</f>
        <v>066-03064-0005</v>
      </c>
      <c r="D133" s="138" t="str">
        <f>IFERROR(__xludf.DUMMYFUNCTION("""COMPUTED_VALUE"""),"ENCODING ALTIMETER")</f>
        <v>ENCODING ALTIMETER</v>
      </c>
      <c r="E133" s="138" t="str">
        <f>IFERROR(__xludf.DUMMYFUNCTION("""COMPUTED_VALUE"""),"35595")</f>
        <v>35595</v>
      </c>
      <c r="F133" s="138" t="str">
        <f>IFERROR(__xludf.DUMMYFUNCTION("""COMPUTED_VALUE"""),"015/2025")</f>
        <v>015/2025</v>
      </c>
      <c r="G133" s="138" t="str">
        <f>IFERROR(__xludf.DUMMYFUNCTION("""COMPUTED_VALUE"""),"28/07")</f>
        <v>28/07</v>
      </c>
      <c r="H133" s="138" t="str">
        <f>IFERROR(__xludf.DUMMYFUNCTION("""COMPUTED_VALUE"""),"30/01")</f>
        <v>30/01</v>
      </c>
      <c r="I133" s="138" t="str">
        <f>IFERROR(__xludf.DUMMYFUNCTION("""COMPUTED_VALUE"""),"CERTIFICADO ok")</f>
        <v>CERTIFICADO ok</v>
      </c>
      <c r="J133" s="138" t="str">
        <f>IFERROR(__xludf.DUMMYFUNCTION("""COMPUTED_VALUE"""),"21/05")</f>
        <v>21/05</v>
      </c>
      <c r="K133" s="138" t="str">
        <f>IFERROR(__xludf.DUMMYFUNCTION("""COMPUTED_VALUE"""),"*")</f>
        <v>*</v>
      </c>
      <c r="L133" s="138"/>
      <c r="M133" s="138"/>
      <c r="N133" s="138"/>
      <c r="O133" s="138"/>
      <c r="P133" s="138"/>
      <c r="Q133" s="138"/>
      <c r="R133" s="138"/>
      <c r="S133" s="138"/>
      <c r="T133" s="138"/>
      <c r="U133" s="138" t="str">
        <f>IFERROR(__xludf.DUMMYFUNCTION("""COMPUTED_VALUE"""),"Item fornecido pela Vee One no módulo 1 sem exchange. Não vai realizar acerto, pois SN foi criado já na BANT.")</f>
        <v>Item fornecido pela Vee One no módulo 1 sem exchange. Não vai realizar acerto, pois SN foi criado já na BANT.</v>
      </c>
      <c r="V133" s="138"/>
      <c r="W133" s="138"/>
      <c r="X133" s="138"/>
      <c r="Y133" s="138"/>
      <c r="Z133" s="138"/>
    </row>
    <row r="134">
      <c r="A134" s="138" t="str">
        <f>IFERROR(__xludf.DUMMYFUNCTION("""COMPUTED_VALUE"""),"VEE ONE")</f>
        <v>VEE ONE</v>
      </c>
      <c r="B134" s="138" t="str">
        <f>IFERROR(__xludf.DUMMYFUNCTION("""COMPUTED_VALUE"""),"BABE")</f>
        <v>BABE</v>
      </c>
      <c r="C134" s="138" t="str">
        <f>IFERROR(__xludf.DUMMYFUNCTION("""COMPUTED_VALUE"""),"066-01141-5101")</f>
        <v>066-01141-5101</v>
      </c>
      <c r="D134" s="138" t="str">
        <f>IFERROR(__xludf.DUMMYFUNCTION("""COMPUTED_VALUE"""),"RECEIVER-TRANSMITTER,RADIO (KT71)")</f>
        <v>RECEIVER-TRANSMITTER,RADIO (KT71)</v>
      </c>
      <c r="E134" s="138" t="str">
        <f>IFERROR(__xludf.DUMMYFUNCTION("""COMPUTED_VALUE"""),"4623")</f>
        <v>4623</v>
      </c>
      <c r="F134" s="138" t="str">
        <f>IFERROR(__xludf.DUMMYFUNCTION("""COMPUTED_VALUE"""),"001/2025")</f>
        <v>001/2025</v>
      </c>
      <c r="G134" s="138" t="str">
        <f>IFERROR(__xludf.DUMMYFUNCTION("""COMPUTED_VALUE"""),"26/02")</f>
        <v>26/02</v>
      </c>
      <c r="H134" s="138" t="str">
        <f>IFERROR(__xludf.DUMMYFUNCTION("""COMPUTED_VALUE"""),"06/03")</f>
        <v>06/03</v>
      </c>
      <c r="I134" s="138" t="str">
        <f>IFERROR(__xludf.DUMMYFUNCTION("""COMPUTED_VALUE"""),"orçamento 10")</f>
        <v>orçamento 10</v>
      </c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>
      <c r="A135" s="138" t="str">
        <f>IFERROR(__xludf.DUMMYFUNCTION("""COMPUTED_VALUE"""),"VEE ONE")</f>
        <v>VEE ONE</v>
      </c>
      <c r="B135" s="138" t="str">
        <f>IFERROR(__xludf.DUMMYFUNCTION("""COMPUTED_VALUE"""),"BABE")</f>
        <v>BABE</v>
      </c>
      <c r="C135" s="138" t="str">
        <f>IFERROR(__xludf.DUMMYFUNCTION("""COMPUTED_VALUE"""),"066-04035-1101")</f>
        <v>066-04035-1101</v>
      </c>
      <c r="D135" s="138" t="str">
        <f>IFERROR(__xludf.DUMMYFUNCTION("""COMPUTED_VALUE"""),"DISPLAY UNIT,RADAR")</f>
        <v>DISPLAY UNIT,RADAR</v>
      </c>
      <c r="E135" s="138" t="str">
        <f>IFERROR(__xludf.DUMMYFUNCTION("""COMPUTED_VALUE"""),"8706")</f>
        <v>8706</v>
      </c>
      <c r="F135" s="138" t="str">
        <f>IFERROR(__xludf.DUMMYFUNCTION("""COMPUTED_VALUE"""),"001/2025")</f>
        <v>001/2025</v>
      </c>
      <c r="G135" s="138" t="str">
        <f>IFERROR(__xludf.DUMMYFUNCTION("""COMPUTED_VALUE"""),"26/02")</f>
        <v>26/02</v>
      </c>
      <c r="H135" s="138" t="str">
        <f>IFERROR(__xludf.DUMMYFUNCTION("""COMPUTED_VALUE"""),"06/03")</f>
        <v>06/03</v>
      </c>
      <c r="I135" s="138" t="str">
        <f>IFERROR(__xludf.DUMMYFUNCTION("""COMPUTED_VALUE"""),"orçamento 10")</f>
        <v>orçamento 10</v>
      </c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>
      <c r="A136" s="138" t="str">
        <f>IFERROR(__xludf.DUMMYFUNCTION("""COMPUTED_VALUE"""),"VEE ONE")</f>
        <v>VEE ONE</v>
      </c>
      <c r="B136" s="138" t="str">
        <f>IFERROR(__xludf.DUMMYFUNCTION("""COMPUTED_VALUE"""),"BABE")</f>
        <v>BABE</v>
      </c>
      <c r="C136" s="138" t="str">
        <f>IFERROR(__xludf.DUMMYFUNCTION("""COMPUTED_VALUE"""),"1H101-4")</f>
        <v>1H101-4</v>
      </c>
      <c r="D136" s="138" t="str">
        <f>IFERROR(__xludf.DUMMYFUNCTION("""COMPUTED_VALUE"""),"FLOW CONTROL VALVE")</f>
        <v>FLOW CONTROL VALVE</v>
      </c>
      <c r="E136" s="138" t="str">
        <f>IFERROR(__xludf.DUMMYFUNCTION("""COMPUTED_VALUE"""),"9BT12")</f>
        <v>9BT12</v>
      </c>
      <c r="F136" s="138" t="str">
        <f>IFERROR(__xludf.DUMMYFUNCTION("""COMPUTED_VALUE"""),"001/2025")</f>
        <v>001/2025</v>
      </c>
      <c r="G136" s="138" t="str">
        <f>IFERROR(__xludf.DUMMYFUNCTION("""COMPUTED_VALUE"""),"26/02")</f>
        <v>26/02</v>
      </c>
      <c r="H136" s="138" t="str">
        <f>IFERROR(__xludf.DUMMYFUNCTION("""COMPUTED_VALUE"""),"06/03")</f>
        <v>06/03</v>
      </c>
      <c r="I136" s="138" t="str">
        <f>IFERROR(__xludf.DUMMYFUNCTION("""COMPUTED_VALUE"""),"orçamento 10")</f>
        <v>orçamento 10</v>
      </c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 hidden="1">
      <c r="A137" s="138" t="str">
        <f>IFERROR(__xludf.DUMMYFUNCTION("""COMPUTED_VALUE"""),"VEE ONE")</f>
        <v>VEE ONE</v>
      </c>
      <c r="B137" s="138" t="str">
        <f>IFERROR(__xludf.DUMMYFUNCTION("""COMPUTED_VALUE"""),"BABE")</f>
        <v>BABE</v>
      </c>
      <c r="C137" s="138" t="str">
        <f>IFERROR(__xludf.DUMMYFUNCTION("""COMPUTED_VALUE"""),"C661064-0237")</f>
        <v>C661064-0237</v>
      </c>
      <c r="D137" s="138" t="str">
        <f>IFERROR(__xludf.DUMMYFUNCTION("""COMPUTED_VALUE"""),"AIRSPEED INDICATOR")</f>
        <v>AIRSPEED INDICATOR</v>
      </c>
      <c r="E137" s="138" t="str">
        <f>IFERROR(__xludf.DUMMYFUNCTION("""COMPUTED_VALUE"""),"T25090")</f>
        <v>T25090</v>
      </c>
      <c r="F137" s="138" t="str">
        <f>IFERROR(__xludf.DUMMYFUNCTION("""COMPUTED_VALUE"""),"001/2025")</f>
        <v>001/2025</v>
      </c>
      <c r="G137" s="138" t="str">
        <f>IFERROR(__xludf.DUMMYFUNCTION("""COMPUTED_VALUE"""),"26/02")</f>
        <v>26/02</v>
      </c>
      <c r="H137" s="138" t="str">
        <f>IFERROR(__xludf.DUMMYFUNCTION("""COMPUTED_VALUE"""),"06/03")</f>
        <v>06/03</v>
      </c>
      <c r="I137" s="138" t="str">
        <f>IFERROR(__xludf.DUMMYFUNCTION("""COMPUTED_VALUE"""),"orçamento 10")</f>
        <v>orçamento 10</v>
      </c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 hidden="1">
      <c r="A138" s="138" t="str">
        <f>IFERROR(__xludf.DUMMYFUNCTION("""COMPUTED_VALUE"""),"VEE ONE")</f>
        <v>VEE ONE</v>
      </c>
      <c r="B138" s="138" t="str">
        <f>IFERROR(__xludf.DUMMYFUNCTION("""COMPUTED_VALUE"""),"BAPV")</f>
        <v>BAPV</v>
      </c>
      <c r="C138" s="138" t="str">
        <f>IFERROR(__xludf.DUMMYFUNCTION("""COMPUTED_VALUE"""),"161-12800")</f>
        <v>161-12800</v>
      </c>
      <c r="D138" s="138" t="str">
        <f>IFERROR(__xludf.DUMMYFUNCTION("""COMPUTED_VALUE"""),"WHEEL HALF ASSY")</f>
        <v>WHEEL HALF ASSY</v>
      </c>
      <c r="E138" s="138" t="str">
        <f>IFERROR(__xludf.DUMMYFUNCTION("""COMPUTED_VALUE"""),"13")</f>
        <v>13</v>
      </c>
      <c r="F138" s="138" t="str">
        <f>IFERROR(__xludf.DUMMYFUNCTION("""COMPUTED_VALUE"""),"007/2025")</f>
        <v>007/2025</v>
      </c>
      <c r="G138" s="138" t="str">
        <f>IFERROR(__xludf.DUMMYFUNCTION("""COMPUTED_VALUE"""),"08/09")</f>
        <v>08/09</v>
      </c>
      <c r="H138" s="138" t="str">
        <f>IFERROR(__xludf.DUMMYFUNCTION("""COMPUTED_VALUE"""),"09/09")</f>
        <v>09/09</v>
      </c>
      <c r="I138" s="138" t="str">
        <f>IFERROR(__xludf.DUMMYFUNCTION("""COMPUTED_VALUE"""),"15/10")</f>
        <v>15/10</v>
      </c>
      <c r="J138" s="138" t="str">
        <f>IFERROR(__xludf.DUMMYFUNCTION("""COMPUTED_VALUE"""),"12/12")</f>
        <v>12/12</v>
      </c>
      <c r="K138" s="138" t="str">
        <f>IFERROR(__xludf.DUMMYFUNCTION("""COMPUTED_VALUE"""),"16/12")</f>
        <v>16/12</v>
      </c>
      <c r="L138" s="138" t="str">
        <f>IFERROR(__xludf.DUMMYFUNCTION("""COMPUTED_VALUE"""),"16/12")</f>
        <v>16/12</v>
      </c>
      <c r="M138" s="138" t="str">
        <f>IFERROR(__xludf.DUMMYFUNCTION("""COMPUTED_VALUE"""),"16/12")</f>
        <v>16/12</v>
      </c>
      <c r="N138" s="138" t="str">
        <f>IFERROR(__xludf.DUMMYFUNCTION("""COMPUTED_VALUE"""),"16/12")</f>
        <v>16/12</v>
      </c>
      <c r="O138" s="138" t="str">
        <f>IFERROR(__xludf.DUMMYFUNCTION("""COMPUTED_VALUE"""),"16/12")</f>
        <v>16/12</v>
      </c>
      <c r="P138" s="138"/>
      <c r="Q138" s="138"/>
      <c r="R138" s="138"/>
      <c r="S138" s="138"/>
      <c r="T138" s="139"/>
      <c r="U138" s="138" t="str">
        <f>IFERROR(__xludf.DUMMYFUNCTION("""COMPUTED_VALUE"""),"OS estava atrelada")</f>
        <v>OS estava atrelada</v>
      </c>
      <c r="V138" s="138"/>
      <c r="W138" s="138"/>
      <c r="X138" s="138"/>
      <c r="Y138" s="138"/>
      <c r="Z138" s="138"/>
    </row>
    <row r="139" hidden="1">
      <c r="A139" s="138" t="str">
        <f>IFERROR(__xludf.DUMMYFUNCTION("""COMPUTED_VALUE"""),"VEE ONE")</f>
        <v>VEE ONE</v>
      </c>
      <c r="B139" s="138" t="str">
        <f>IFERROR(__xludf.DUMMYFUNCTION("""COMPUTED_VALUE"""),"BAPV")</f>
        <v>BAPV</v>
      </c>
      <c r="C139" s="138" t="str">
        <f>IFERROR(__xludf.DUMMYFUNCTION("""COMPUTED_VALUE"""),"162-11800")</f>
        <v>162-11800</v>
      </c>
      <c r="D139" s="138" t="str">
        <f>IFERROR(__xludf.DUMMYFUNCTION("""COMPUTED_VALUE"""),"WHEEL HALF ASSY")</f>
        <v>WHEEL HALF ASSY</v>
      </c>
      <c r="E139" s="138" t="str">
        <f>IFERROR(__xludf.DUMMYFUNCTION("""COMPUTED_VALUE"""),"A4H-024-03")</f>
        <v>A4H-024-03</v>
      </c>
      <c r="F139" s="138" t="str">
        <f>IFERROR(__xludf.DUMMYFUNCTION("""COMPUTED_VALUE"""),"007/2025")</f>
        <v>007/2025</v>
      </c>
      <c r="G139" s="138" t="str">
        <f>IFERROR(__xludf.DUMMYFUNCTION("""COMPUTED_VALUE"""),"08/09")</f>
        <v>08/09</v>
      </c>
      <c r="H139" s="138" t="str">
        <f>IFERROR(__xludf.DUMMYFUNCTION("""COMPUTED_VALUE"""),"09/09")</f>
        <v>09/09</v>
      </c>
      <c r="I139" s="138" t="str">
        <f>IFERROR(__xludf.DUMMYFUNCTION("""COMPUTED_VALUE"""),"15/10")</f>
        <v>15/10</v>
      </c>
      <c r="J139" s="138" t="str">
        <f>IFERROR(__xludf.DUMMYFUNCTION("""COMPUTED_VALUE"""),"12/12")</f>
        <v>12/12</v>
      </c>
      <c r="K139" s="138" t="str">
        <f>IFERROR(__xludf.DUMMYFUNCTION("""COMPUTED_VALUE"""),"16/12")</f>
        <v>16/12</v>
      </c>
      <c r="L139" s="138" t="str">
        <f>IFERROR(__xludf.DUMMYFUNCTION("""COMPUTED_VALUE"""),"16/12")</f>
        <v>16/12</v>
      </c>
      <c r="M139" s="138" t="str">
        <f>IFERROR(__xludf.DUMMYFUNCTION("""COMPUTED_VALUE"""),"16/12")</f>
        <v>16/12</v>
      </c>
      <c r="N139" s="138" t="str">
        <f>IFERROR(__xludf.DUMMYFUNCTION("""COMPUTED_VALUE"""),"16/12")</f>
        <v>16/12</v>
      </c>
      <c r="O139" s="138" t="str">
        <f>IFERROR(__xludf.DUMMYFUNCTION("""COMPUTED_VALUE"""),"16/12")</f>
        <v>16/12</v>
      </c>
      <c r="P139" s="138"/>
      <c r="Q139" s="138"/>
      <c r="R139" s="138"/>
      <c r="S139" s="138"/>
      <c r="T139" s="138"/>
      <c r="U139" s="138" t="str">
        <f>IFERROR(__xludf.DUMMYFUNCTION("""COMPUTED_VALUE"""),"Agd certificado corrigido da Vee One")</f>
        <v>Agd certificado corrigido da Vee One</v>
      </c>
      <c r="V139" s="138"/>
      <c r="W139" s="138"/>
      <c r="X139" s="138"/>
      <c r="Y139" s="138"/>
      <c r="Z139" s="138"/>
    </row>
    <row r="140" hidden="1">
      <c r="A140" s="138" t="str">
        <f>IFERROR(__xludf.DUMMYFUNCTION("""COMPUTED_VALUE"""),"VEE ONE")</f>
        <v>VEE ONE</v>
      </c>
      <c r="B140" s="138" t="str">
        <f>IFERROR(__xludf.DUMMYFUNCTION("""COMPUTED_VALUE"""),"BAMN")</f>
        <v>BAMN</v>
      </c>
      <c r="C140" s="138" t="str">
        <f>IFERROR(__xludf.DUMMYFUNCTION("""COMPUTED_VALUE"""),"76-207-12")</f>
        <v>76-207-12</v>
      </c>
      <c r="D140" s="138" t="str">
        <f>IFERROR(__xludf.DUMMYFUNCTION("""COMPUTED_VALUE"""),"SENSOR, FUEL LEVEL SHORT")</f>
        <v>SENSOR, FUEL LEVEL SHORT</v>
      </c>
      <c r="E140" s="138" t="str">
        <f>IFERROR(__xludf.DUMMYFUNCTION("""COMPUTED_VALUE"""),"VCF01030")</f>
        <v>VCF01030</v>
      </c>
      <c r="F140" s="138" t="str">
        <f>IFERROR(__xludf.DUMMYFUNCTION("""COMPUTED_VALUE"""),"026/2025")</f>
        <v>026/2025</v>
      </c>
      <c r="G140" s="138" t="str">
        <f>IFERROR(__xludf.DUMMYFUNCTION("""COMPUTED_VALUE"""),"25/09")</f>
        <v>25/09</v>
      </c>
      <c r="H140" s="138" t="str">
        <f>IFERROR(__xludf.DUMMYFUNCTION("""COMPUTED_VALUE"""),"13/10")</f>
        <v>13/10</v>
      </c>
      <c r="I140" s="138" t="str">
        <f>IFERROR(__xludf.DUMMYFUNCTION("""COMPUTED_VALUE"""),"Requisição")</f>
        <v>Requisição</v>
      </c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 hidden="1">
      <c r="A141" s="138" t="str">
        <f>IFERROR(__xludf.DUMMYFUNCTION("""COMPUTED_VALUE"""),"VEE ONE")</f>
        <v>VEE ONE</v>
      </c>
      <c r="B141" s="138" t="str">
        <f>IFERROR(__xludf.DUMMYFUNCTION("""COMPUTED_VALUE"""),"BABE")</f>
        <v>BABE</v>
      </c>
      <c r="C141" s="138" t="str">
        <f>IFERROR(__xludf.DUMMYFUNCTION("""COMPUTED_VALUE"""),"011-00878-10")</f>
        <v>011-00878-10</v>
      </c>
      <c r="D141" s="138" t="str">
        <f>IFERROR(__xludf.DUMMYFUNCTION("""COMPUTED_VALUE"""),"TORQUE SERVO GSA-81")</f>
        <v>TORQUE SERVO GSA-81</v>
      </c>
      <c r="E141" s="138" t="str">
        <f>IFERROR(__xludf.DUMMYFUNCTION("""COMPUTED_VALUE"""),"71306971")</f>
        <v>71306971</v>
      </c>
      <c r="F141" s="138" t="str">
        <f>IFERROR(__xludf.DUMMYFUNCTION("""COMPUTED_VALUE"""),"014/2025")</f>
        <v>014/2025</v>
      </c>
      <c r="G141" s="138" t="str">
        <f>IFERROR(__xludf.DUMMYFUNCTION("""COMPUTED_VALUE"""),"19/09")</f>
        <v>19/09</v>
      </c>
      <c r="H141" s="138" t="str">
        <f>IFERROR(__xludf.DUMMYFUNCTION("""COMPUTED_VALUE"""),"09/10")</f>
        <v>09/10</v>
      </c>
      <c r="I141" s="138" t="str">
        <f>IFERROR(__xludf.DUMMYFUNCTION("""COMPUTED_VALUE"""),"15/10, 09/12 e 26/03")</f>
        <v>15/10, 09/12 e 26/03</v>
      </c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 t="str">
        <f>IFERROR(__xludf.DUMMYFUNCTION("""COMPUTED_VALUE"""),"Item não cadastrado no SILOMS")</f>
        <v>Item não cadastrado no SILOMS</v>
      </c>
      <c r="V141" s="138"/>
      <c r="W141" s="138"/>
      <c r="X141" s="138"/>
      <c r="Y141" s="138"/>
      <c r="Z141" s="138"/>
    </row>
    <row r="142" hidden="1">
      <c r="A142" s="138" t="str">
        <f>IFERROR(__xludf.DUMMYFUNCTION("""COMPUTED_VALUE"""),"VEE ONE")</f>
        <v>VEE ONE</v>
      </c>
      <c r="B142" s="138" t="str">
        <f>IFERROR(__xludf.DUMMYFUNCTION("""COMPUTED_VALUE"""),"BAMN")</f>
        <v>BAMN</v>
      </c>
      <c r="C142" s="138" t="str">
        <f>IFERROR(__xludf.DUMMYFUNCTION("""COMPUTED_VALUE"""),"011-00883-20")</f>
        <v>011-00883-20</v>
      </c>
      <c r="D142" s="138" t="str">
        <f>IFERROR(__xludf.DUMMYFUNCTION("""COMPUTED_VALUE"""),"RADAR GWX 68 WEATHER")</f>
        <v>RADAR GWX 68 WEATHER</v>
      </c>
      <c r="E142" s="138" t="str">
        <f>IFERROR(__xludf.DUMMYFUNCTION("""COMPUTED_VALUE"""),"47203648")</f>
        <v>47203648</v>
      </c>
      <c r="F142" s="138" t="str">
        <f>IFERROR(__xludf.DUMMYFUNCTION("""COMPUTED_VALUE"""),"018/2025")</f>
        <v>018/2025</v>
      </c>
      <c r="G142" s="138" t="str">
        <f>IFERROR(__xludf.DUMMYFUNCTION("""COMPUTED_VALUE"""),"01/10")</f>
        <v>01/10</v>
      </c>
      <c r="H142" s="138" t="str">
        <f>IFERROR(__xludf.DUMMYFUNCTION("""COMPUTED_VALUE"""),"09/10")</f>
        <v>09/10</v>
      </c>
      <c r="I142" s="138" t="str">
        <f>IFERROR(__xludf.DUMMYFUNCTION("""COMPUTED_VALUE"""),"15/10, 09/12 e 26/03")</f>
        <v>15/10, 09/12 e 26/03</v>
      </c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 t="str">
        <f>IFERROR(__xludf.DUMMYFUNCTION("""COMPUTED_VALUE"""),"Agd termo corrigido da BAMN")</f>
        <v>Agd termo corrigido da BAMN</v>
      </c>
      <c r="V142" s="138"/>
      <c r="W142" s="138"/>
      <c r="X142" s="138"/>
      <c r="Y142" s="138"/>
      <c r="Z142" s="138"/>
    </row>
    <row r="143" hidden="1">
      <c r="A143" s="138" t="str">
        <f>IFERROR(__xludf.DUMMYFUNCTION("""COMPUTED_VALUE"""),"VEE ONE")</f>
        <v>VEE ONE</v>
      </c>
      <c r="B143" s="138" t="str">
        <f>IFERROR(__xludf.DUMMYFUNCTION("""COMPUTED_VALUE"""),"BAMN")</f>
        <v>BAMN</v>
      </c>
      <c r="C143" s="138" t="str">
        <f>IFERROR(__xludf.DUMMYFUNCTION("""COMPUTED_VALUE"""),"011-00883-20")</f>
        <v>011-00883-20</v>
      </c>
      <c r="D143" s="138" t="str">
        <f>IFERROR(__xludf.DUMMYFUNCTION("""COMPUTED_VALUE"""),"RADAR GWX 68 WEATHER")</f>
        <v>RADAR GWX 68 WEATHER</v>
      </c>
      <c r="E143" s="138" t="str">
        <f>IFERROR(__xludf.DUMMYFUNCTION("""COMPUTED_VALUE"""),"47202466")</f>
        <v>47202466</v>
      </c>
      <c r="F143" s="138" t="str">
        <f>IFERROR(__xludf.DUMMYFUNCTION("""COMPUTED_VALUE"""),"018/2025")</f>
        <v>018/2025</v>
      </c>
      <c r="G143" s="138" t="str">
        <f>IFERROR(__xludf.DUMMYFUNCTION("""COMPUTED_VALUE"""),"01/10")</f>
        <v>01/10</v>
      </c>
      <c r="H143" s="138" t="str">
        <f>IFERROR(__xludf.DUMMYFUNCTION("""COMPUTED_VALUE"""),"09/10")</f>
        <v>09/10</v>
      </c>
      <c r="I143" s="138" t="str">
        <f>IFERROR(__xludf.DUMMYFUNCTION("""COMPUTED_VALUE"""),"15/10, 09/12 e 26/03")</f>
        <v>15/10, 09/12 e 26/03</v>
      </c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 t="str">
        <f>IFERROR(__xludf.DUMMYFUNCTION("""COMPUTED_VALUE"""),"Agd termo corrigido da BAMN")</f>
        <v>Agd termo corrigido da BAMN</v>
      </c>
      <c r="V143" s="138"/>
      <c r="W143" s="138"/>
      <c r="X143" s="138"/>
      <c r="Y143" s="138"/>
      <c r="Z143" s="138"/>
    </row>
    <row r="144" hidden="1">
      <c r="A144" s="138" t="str">
        <f>IFERROR(__xludf.DUMMYFUNCTION("""COMPUTED_VALUE"""),"VEE ONE")</f>
        <v>VEE ONE</v>
      </c>
      <c r="B144" s="138" t="str">
        <f>IFERROR(__xludf.DUMMYFUNCTION("""COMPUTED_VALUE"""),"BAMN")</f>
        <v>BAMN</v>
      </c>
      <c r="C144" s="138" t="str">
        <f>IFERROR(__xludf.DUMMYFUNCTION("""COMPUTED_VALUE"""),"011-01105-01")</f>
        <v>011-01105-01</v>
      </c>
      <c r="D144" s="138" t="str">
        <f>IFERROR(__xludf.DUMMYFUNCTION("""COMPUTED_VALUE"""),"INTEGRATED AVIONICS  UNIT")</f>
        <v>INTEGRATED AVIONICS  UNIT</v>
      </c>
      <c r="E144" s="138" t="str">
        <f>IFERROR(__xludf.DUMMYFUNCTION("""COMPUTED_VALUE"""),"15W005529")</f>
        <v>15W005529</v>
      </c>
      <c r="F144" s="138" t="str">
        <f>IFERROR(__xludf.DUMMYFUNCTION("""COMPUTED_VALUE"""),"033/2025")</f>
        <v>033/2025</v>
      </c>
      <c r="G144" s="138" t="str">
        <f>IFERROR(__xludf.DUMMYFUNCTION("""COMPUTED_VALUE"""),"30/10")</f>
        <v>30/10</v>
      </c>
      <c r="H144" s="138" t="str">
        <f>IFERROR(__xludf.DUMMYFUNCTION("""COMPUTED_VALUE"""),"16/11")</f>
        <v>16/11</v>
      </c>
      <c r="I144" s="138" t="str">
        <f>IFERROR(__xludf.DUMMYFUNCTION("""COMPUTED_VALUE"""),"12/12 e 26/03")</f>
        <v>12/12 e 26/03</v>
      </c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 t="str">
        <f>IFERROR(__xludf.DUMMYFUNCTION("""COMPUTED_VALUE"""),"Exchange??? Foi proposto requisição pelo SO Rezende.")</f>
        <v>Exchange??? Foi proposto requisição pelo SO Rezende.</v>
      </c>
      <c r="V144" s="138"/>
      <c r="W144" s="138"/>
      <c r="X144" s="138"/>
      <c r="Y144" s="138"/>
      <c r="Z144" s="138"/>
    </row>
    <row r="145" hidden="1">
      <c r="A145" s="138" t="str">
        <f>IFERROR(__xludf.DUMMYFUNCTION("""COMPUTED_VALUE"""),"VEE ONE")</f>
        <v>VEE ONE</v>
      </c>
      <c r="B145" s="138" t="str">
        <f>IFERROR(__xludf.DUMMYFUNCTION("""COMPUTED_VALUE"""),"BABR")</f>
        <v>BABR</v>
      </c>
      <c r="C145" s="138" t="str">
        <f>IFERROR(__xludf.DUMMYFUNCTION("""COMPUTED_VALUE"""),"069-01033-0101")</f>
        <v>069-01033-0101</v>
      </c>
      <c r="D145" s="138" t="str">
        <f>IFERROR(__xludf.DUMMYFUNCTION("""COMPUTED_VALUE"""),"TRANSCEIVER")</f>
        <v>TRANSCEIVER</v>
      </c>
      <c r="E145" s="138" t="str">
        <f>IFERROR(__xludf.DUMMYFUNCTION("""COMPUTED_VALUE"""),"4288")</f>
        <v>4288</v>
      </c>
      <c r="F145" s="138" t="str">
        <f>IFERROR(__xludf.DUMMYFUNCTION("""COMPUTED_VALUE"""),"005/2025")</f>
        <v>005/2025</v>
      </c>
      <c r="G145" s="138" t="str">
        <f>IFERROR(__xludf.DUMMYFUNCTION("""COMPUTED_VALUE"""),"24/11")</f>
        <v>24/11</v>
      </c>
      <c r="H145" s="138" t="str">
        <f>IFERROR(__xludf.DUMMYFUNCTION("""COMPUTED_VALUE"""),"15/01")</f>
        <v>15/01</v>
      </c>
      <c r="I145" s="138" t="str">
        <f>IFERROR(__xludf.DUMMYFUNCTION("""COMPUTED_VALUE"""),"20/02 e 26/03")</f>
        <v>20/02 e 26/03</v>
      </c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 hidden="1">
      <c r="A146" s="138" t="str">
        <f>IFERROR(__xludf.DUMMYFUNCTION("""COMPUTED_VALUE"""),"VEE ONE")</f>
        <v>VEE ONE</v>
      </c>
      <c r="B146" s="138" t="str">
        <f>IFERROR(__xludf.DUMMYFUNCTION("""COMPUTED_VALUE"""),"BABR")</f>
        <v>BABR</v>
      </c>
      <c r="C146" s="138" t="str">
        <f>IFERROR(__xludf.DUMMYFUNCTION("""COMPUTED_VALUE"""),"C611008-0101")</f>
        <v>C611008-0101</v>
      </c>
      <c r="D146" s="138" t="str">
        <f>IFERROR(__xludf.DUMMYFUNCTION("""COMPUTED_VALUE"""),"ALTERNADOR CONTROL UNIT")</f>
        <v>ALTERNADOR CONTROL UNIT</v>
      </c>
      <c r="E146" s="138" t="str">
        <f>IFERROR(__xludf.DUMMYFUNCTION("""COMPUTED_VALUE"""),"LS0414")</f>
        <v>LS0414</v>
      </c>
      <c r="F146" s="138" t="str">
        <f>IFERROR(__xludf.DUMMYFUNCTION("""COMPUTED_VALUE"""),"006/2025")</f>
        <v>006/2025</v>
      </c>
      <c r="G146" s="138" t="str">
        <f>IFERROR(__xludf.DUMMYFUNCTION("""COMPUTED_VALUE"""),"28/11")</f>
        <v>28/11</v>
      </c>
      <c r="H146" s="138" t="str">
        <f>IFERROR(__xludf.DUMMYFUNCTION("""COMPUTED_VALUE"""),"15/01")</f>
        <v>15/01</v>
      </c>
      <c r="I146" s="138" t="str">
        <f>IFERROR(__xludf.DUMMYFUNCTION("""COMPUTED_VALUE"""),"20/02 e 26/03")</f>
        <v>20/02 e 26/03</v>
      </c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 hidden="1">
      <c r="A147" s="138" t="str">
        <f>IFERROR(__xludf.DUMMYFUNCTION("""COMPUTED_VALUE"""),"VEE ONE")</f>
        <v>VEE ONE</v>
      </c>
      <c r="B147" s="138" t="str">
        <f>IFERROR(__xludf.DUMMYFUNCTION("""COMPUTED_VALUE"""),"BABR")</f>
        <v>BABR</v>
      </c>
      <c r="C147" s="138" t="str">
        <f>IFERROR(__xludf.DUMMYFUNCTION("""COMPUTED_VALUE"""),"066-01141-5101")</f>
        <v>066-01141-5101</v>
      </c>
      <c r="D147" s="138" t="str">
        <f>IFERROR(__xludf.DUMMYFUNCTION("""COMPUTED_VALUE"""),"RECEIVER-TRANSMITTER,RADIO (KT71)")</f>
        <v>RECEIVER-TRANSMITTER,RADIO (KT71)</v>
      </c>
      <c r="E147" s="138" t="str">
        <f>IFERROR(__xludf.DUMMYFUNCTION("""COMPUTED_VALUE"""),"3861")</f>
        <v>3861</v>
      </c>
      <c r="F147" s="138" t="str">
        <f>IFERROR(__xludf.DUMMYFUNCTION("""COMPUTED_VALUE"""),"007/2025")</f>
        <v>007/2025</v>
      </c>
      <c r="G147" s="138" t="str">
        <f>IFERROR(__xludf.DUMMYFUNCTION("""COMPUTED_VALUE"""),"19/11")</f>
        <v>19/11</v>
      </c>
      <c r="H147" s="138" t="str">
        <f>IFERROR(__xludf.DUMMYFUNCTION("""COMPUTED_VALUE"""),"02/02")</f>
        <v>02/02</v>
      </c>
      <c r="I147" s="138" t="str">
        <f>IFERROR(__xludf.DUMMYFUNCTION("""COMPUTED_VALUE"""),"20/02 e 26/03")</f>
        <v>20/02 e 26/03</v>
      </c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>
      <c r="A148" s="138" t="str">
        <f>IFERROR(__xludf.DUMMYFUNCTION("""COMPUTED_VALUE"""),"VEE ONE")</f>
        <v>VEE ONE</v>
      </c>
      <c r="B148" s="138" t="str">
        <f>IFERROR(__xludf.DUMMYFUNCTION("""COMPUTED_VALUE"""),"BABE")</f>
        <v>BABE</v>
      </c>
      <c r="C148" s="138" t="str">
        <f>IFERROR(__xludf.DUMMYFUNCTION("""COMPUTED_VALUE"""),"453-5060")</f>
        <v>453-5060</v>
      </c>
      <c r="D148" s="138" t="str">
        <f>IFERROR(__xludf.DUMMYFUNCTION("""COMPUTED_VALUE"""),"TRANSMISSOR LOCALIZADOR DE EMERGÊNCIA")</f>
        <v>TRANSMISSOR LOCALIZADOR DE EMERGÊNCIA</v>
      </c>
      <c r="E148" s="138" t="str">
        <f>IFERROR(__xludf.DUMMYFUNCTION("""COMPUTED_VALUE"""),"06457")</f>
        <v>06457</v>
      </c>
      <c r="F148" s="138" t="str">
        <f>IFERROR(__xludf.DUMMYFUNCTION("""COMPUTED_VALUE"""),"006/2026")</f>
        <v>006/2026</v>
      </c>
      <c r="G148" s="138" t="str">
        <f>IFERROR(__xludf.DUMMYFUNCTION("""COMPUTED_VALUE"""),"04/03")</f>
        <v>04/03</v>
      </c>
      <c r="H148" s="138" t="str">
        <f>IFERROR(__xludf.DUMMYFUNCTION("""COMPUTED_VALUE"""),"04/03")</f>
        <v>04/03</v>
      </c>
      <c r="I148" s="138" t="str">
        <f>IFERROR(__xludf.DUMMYFUNCTION("""COMPUTED_VALUE"""),"05/03 e 26/03")</f>
        <v>05/03 e 26/03</v>
      </c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>
      <c r="A149" s="138" t="str">
        <f>IFERROR(__xludf.DUMMYFUNCTION("""COMPUTED_VALUE"""),"VEE ONE")</f>
        <v>VEE ONE</v>
      </c>
      <c r="B149" s="138" t="str">
        <f>IFERROR(__xludf.DUMMYFUNCTION("""COMPUTED_VALUE"""),"BABE")</f>
        <v>BABE</v>
      </c>
      <c r="C149" s="138" t="str">
        <f>IFERROR(__xludf.DUMMYFUNCTION("""COMPUTED_VALUE"""),"5934PAD-3")</f>
        <v>5934PAD-3</v>
      </c>
      <c r="D149" s="138" t="str">
        <f>IFERROR(__xludf.DUMMYFUNCTION("""COMPUTED_VALUE"""),"ALTIMETER")</f>
        <v>ALTIMETER</v>
      </c>
      <c r="E149" s="138" t="str">
        <f>IFERROR(__xludf.DUMMYFUNCTION("""COMPUTED_VALUE"""),"471591")</f>
        <v>471591</v>
      </c>
      <c r="F149" s="138" t="str">
        <f>IFERROR(__xludf.DUMMYFUNCTION("""COMPUTED_VALUE"""),"006/2026")</f>
        <v>006/2026</v>
      </c>
      <c r="G149" s="138" t="str">
        <f>IFERROR(__xludf.DUMMYFUNCTION("""COMPUTED_VALUE"""),"04/03")</f>
        <v>04/03</v>
      </c>
      <c r="H149" s="138" t="str">
        <f>IFERROR(__xludf.DUMMYFUNCTION("""COMPUTED_VALUE"""),"04/03")</f>
        <v>04/03</v>
      </c>
      <c r="I149" s="138" t="str">
        <f>IFERROR(__xludf.DUMMYFUNCTION("""COMPUTED_VALUE"""),"05/03 e 26/03")</f>
        <v>05/03 e 26/03</v>
      </c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 t="str">
        <f>IFERROR(__xludf.DUMMYFUNCTION("""COMPUTED_VALUE"""),"Segundo a empresa o PN correto é S3828-1.")</f>
        <v>Segundo a empresa o PN correto é S3828-1.</v>
      </c>
      <c r="V149" s="138"/>
      <c r="W149" s="138"/>
      <c r="X149" s="138"/>
      <c r="Y149" s="138"/>
      <c r="Z149" s="138"/>
    </row>
    <row r="150">
      <c r="A150" s="138" t="str">
        <f>IFERROR(__xludf.DUMMYFUNCTION("""COMPUTED_VALUE"""),"VEE ONE")</f>
        <v>VEE ONE</v>
      </c>
      <c r="B150" s="138" t="str">
        <f>IFERROR(__xludf.DUMMYFUNCTION("""COMPUTED_VALUE"""),"BAMN")</f>
        <v>BAMN</v>
      </c>
      <c r="C150" s="138" t="str">
        <f>IFERROR(__xludf.DUMMYFUNCTION("""COMPUTED_VALUE"""),"C163030-1001")</f>
        <v>C163030-1001</v>
      </c>
      <c r="D150" s="138" t="str">
        <f>IFERROR(__xludf.DUMMYFUNCTION("""COMPUTED_VALUE"""),"MAIN WHEEL BRAKE")</f>
        <v>MAIN WHEEL BRAKE</v>
      </c>
      <c r="E150" s="138" t="str">
        <f>IFERROR(__xludf.DUMMYFUNCTION("""COMPUTED_VALUE"""),"1882C")</f>
        <v>1882C</v>
      </c>
      <c r="F150" s="138" t="str">
        <f>IFERROR(__xludf.DUMMYFUNCTION("""COMPUTED_VALUE"""),"045/2026")</f>
        <v>045/2026</v>
      </c>
      <c r="G150" s="138" t="str">
        <f>IFERROR(__xludf.DUMMYFUNCTION("""COMPUTED_VALUE"""),"17/03")</f>
        <v>17/03</v>
      </c>
      <c r="H150" s="138" t="str">
        <f>IFERROR(__xludf.DUMMYFUNCTION("""COMPUTED_VALUE"""),"18/03")</f>
        <v>18/03</v>
      </c>
      <c r="I150" s="138" t="str">
        <f>IFERROR(__xludf.DUMMYFUNCTION("""COMPUTED_VALUE"""),"23/03")</f>
        <v>23/03</v>
      </c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>
      <c r="A151" s="138" t="str">
        <f>IFERROR(__xludf.DUMMYFUNCTION("""COMPUTED_VALUE"""),"VEE ONE")</f>
        <v>VEE ONE</v>
      </c>
      <c r="B151" s="138" t="str">
        <f>IFERROR(__xludf.DUMMYFUNCTION("""COMPUTED_VALUE"""),"BAMN")</f>
        <v>BAMN</v>
      </c>
      <c r="C151" s="138" t="str">
        <f>IFERROR(__xludf.DUMMYFUNCTION("""COMPUTED_VALUE"""),"030-18200")</f>
        <v>030-18200</v>
      </c>
      <c r="D151" s="138" t="str">
        <f>IFERROR(__xludf.DUMMYFUNCTION("""COMPUTED_VALUE"""),"CONJUNTO DE FREIO")</f>
        <v>CONJUNTO DE FREIO</v>
      </c>
      <c r="E151" s="138" t="str">
        <f>IFERROR(__xludf.DUMMYFUNCTION("""COMPUTED_VALUE"""),"016B")</f>
        <v>016B</v>
      </c>
      <c r="F151" s="138" t="str">
        <f>IFERROR(__xludf.DUMMYFUNCTION("""COMPUTED_VALUE"""),"045/2026")</f>
        <v>045/2026</v>
      </c>
      <c r="G151" s="138" t="str">
        <f>IFERROR(__xludf.DUMMYFUNCTION("""COMPUTED_VALUE"""),"17/03")</f>
        <v>17/03</v>
      </c>
      <c r="H151" s="138" t="str">
        <f>IFERROR(__xludf.DUMMYFUNCTION("""COMPUTED_VALUE"""),"18/03")</f>
        <v>18/03</v>
      </c>
      <c r="I151" s="138" t="str">
        <f>IFERROR(__xludf.DUMMYFUNCTION("""COMPUTED_VALUE"""),"23/03")</f>
        <v>23/03</v>
      </c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>
      <c r="A152" s="138" t="str">
        <f>IFERROR(__xludf.DUMMYFUNCTION("""COMPUTED_VALUE"""),"VEE ONE")</f>
        <v>VEE ONE</v>
      </c>
      <c r="B152" s="138" t="str">
        <f>IFERROR(__xludf.DUMMYFUNCTION("""COMPUTED_VALUE"""),"BABE")</f>
        <v>BABE</v>
      </c>
      <c r="C152" s="138" t="str">
        <f>IFERROR(__xludf.DUMMYFUNCTION("""COMPUTED_VALUE"""),"324843-W020")</f>
        <v>324843-W020</v>
      </c>
      <c r="D152" s="138" t="str">
        <f>IFERROR(__xludf.DUMMYFUNCTION("""COMPUTED_VALUE"""),"HEADSET-MICROPHONE")</f>
        <v>HEADSET-MICROPHONE</v>
      </c>
      <c r="E152" s="138" t="str">
        <f>IFERROR(__xludf.DUMMYFUNCTION("""COMPUTED_VALUE"""),"073200G90080045AE")</f>
        <v>073200G90080045AE</v>
      </c>
      <c r="F152" s="138" t="str">
        <f>IFERROR(__xludf.DUMMYFUNCTION("""COMPUTED_VALUE"""),"007/2026")</f>
        <v>007/2026</v>
      </c>
      <c r="G152" s="138" t="str">
        <f>IFERROR(__xludf.DUMMYFUNCTION("""COMPUTED_VALUE"""),"19/03")</f>
        <v>19/03</v>
      </c>
      <c r="H152" s="138" t="str">
        <f>IFERROR(__xludf.DUMMYFUNCTION("""COMPUTED_VALUE"""),"23/03")</f>
        <v>23/03</v>
      </c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>
      <c r="A153" s="138" t="str">
        <f>IFERROR(__xludf.DUMMYFUNCTION("""COMPUTED_VALUE"""),"VEE ONE")</f>
        <v>VEE ONE</v>
      </c>
      <c r="B153" s="138" t="str">
        <f>IFERROR(__xludf.DUMMYFUNCTION("""COMPUTED_VALUE"""),"BABE")</f>
        <v>BABE</v>
      </c>
      <c r="C153" s="138" t="str">
        <f>IFERROR(__xludf.DUMMYFUNCTION("""COMPUTED_VALUE"""),"324843-W020")</f>
        <v>324843-W020</v>
      </c>
      <c r="D153" s="138" t="str">
        <f>IFERROR(__xludf.DUMMYFUNCTION("""COMPUTED_VALUE"""),"HEADSET-MICROPHONE")</f>
        <v>HEADSET-MICROPHONE</v>
      </c>
      <c r="E153" s="138" t="str">
        <f>IFERROR(__xludf.DUMMYFUNCTION("""COMPUTED_VALUE"""),"073200G2170087AE")</f>
        <v>073200G2170087AE</v>
      </c>
      <c r="F153" s="138" t="str">
        <f>IFERROR(__xludf.DUMMYFUNCTION("""COMPUTED_VALUE"""),"007/2026")</f>
        <v>007/2026</v>
      </c>
      <c r="G153" s="138" t="str">
        <f>IFERROR(__xludf.DUMMYFUNCTION("""COMPUTED_VALUE"""),"19/03")</f>
        <v>19/03</v>
      </c>
      <c r="H153" s="138" t="str">
        <f>IFERROR(__xludf.DUMMYFUNCTION("""COMPUTED_VALUE"""),"23/03")</f>
        <v>23/03</v>
      </c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 t="str">
        <f>IFERROR(__xludf.DUMMYFUNCTION("""COMPUTED_VALUE"""),"SN correto 073200G02170087AE")</f>
        <v>SN correto 073200G02170087AE</v>
      </c>
      <c r="V153" s="138"/>
      <c r="W153" s="138"/>
      <c r="X153" s="138"/>
      <c r="Y153" s="138"/>
      <c r="Z153" s="138"/>
    </row>
    <row r="154">
      <c r="A154" s="138" t="str">
        <f>IFERROR(__xludf.DUMMYFUNCTION("""COMPUTED_VALUE"""),"VEE ONE")</f>
        <v>VEE ONE</v>
      </c>
      <c r="B154" s="138" t="str">
        <f>IFERROR(__xludf.DUMMYFUNCTION("""COMPUTED_VALUE"""),"BABE")</f>
        <v>BABE</v>
      </c>
      <c r="C154" s="138" t="str">
        <f>IFERROR(__xludf.DUMMYFUNCTION("""COMPUTED_VALUE"""),"324843-W020")</f>
        <v>324843-W020</v>
      </c>
      <c r="D154" s="138" t="str">
        <f>IFERROR(__xludf.DUMMYFUNCTION("""COMPUTED_VALUE"""),"HEADSET-MICROPHONE")</f>
        <v>HEADSET-MICROPHONE</v>
      </c>
      <c r="E154" s="138" t="str">
        <f>IFERROR(__xludf.DUMMYFUNCTION("""COMPUTED_VALUE"""),"073200G02170034AE")</f>
        <v>073200G02170034AE</v>
      </c>
      <c r="F154" s="138" t="str">
        <f>IFERROR(__xludf.DUMMYFUNCTION("""COMPUTED_VALUE"""),"007/2026")</f>
        <v>007/2026</v>
      </c>
      <c r="G154" s="138" t="str">
        <f>IFERROR(__xludf.DUMMYFUNCTION("""COMPUTED_VALUE"""),"19/03")</f>
        <v>19/03</v>
      </c>
      <c r="H154" s="138" t="str">
        <f>IFERROR(__xludf.DUMMYFUNCTION("""COMPUTED_VALUE"""),"23/03")</f>
        <v>23/03</v>
      </c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>
      <c r="A155" s="138" t="str">
        <f>IFERROR(__xludf.DUMMYFUNCTION("""COMPUTED_VALUE"""),"VEE ONE")</f>
        <v>VEE ONE</v>
      </c>
      <c r="B155" s="138" t="str">
        <f>IFERROR(__xludf.DUMMYFUNCTION("""COMPUTED_VALUE"""),"BAMN")</f>
        <v>BAMN</v>
      </c>
      <c r="C155" s="138" t="str">
        <f>IFERROR(__xludf.DUMMYFUNCTION("""COMPUTED_VALUE"""),"011-00916-10")</f>
        <v>011-00916-10</v>
      </c>
      <c r="D155" s="138" t="str">
        <f>IFERROR(__xludf.DUMMYFUNCTION("""COMPUTED_VALUE"""),"UNIDADE DE EXIBIÇÃO DE INFORMAÇÕES DE VOO")</f>
        <v>UNIDADE DE EXIBIÇÃO DE INFORMAÇÕES DE VOO</v>
      </c>
      <c r="E155" s="138" t="str">
        <f>IFERROR(__xludf.DUMMYFUNCTION("""COMPUTED_VALUE"""),"86818658")</f>
        <v>86818658</v>
      </c>
      <c r="F155" s="138" t="str">
        <f>IFERROR(__xludf.DUMMYFUNCTION("""COMPUTED_VALUE"""),"047/2026")</f>
        <v>047/2026</v>
      </c>
      <c r="G155" s="138" t="str">
        <f>IFERROR(__xludf.DUMMYFUNCTION("""COMPUTED_VALUE"""),"26/03")</f>
        <v>26/03</v>
      </c>
      <c r="H155" s="138" t="str">
        <f>IFERROR(__xludf.DUMMYFUNCTION("""COMPUTED_VALUE"""),"26/03")</f>
        <v>26/03</v>
      </c>
      <c r="I155" s="138" t="str">
        <f>IFERROR(__xludf.DUMMYFUNCTION("""COMPUTED_VALUE"""),"26/03")</f>
        <v>26/03</v>
      </c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>
      <c r="A156" s="138" t="str">
        <f>IFERROR(__xludf.DUMMYFUNCTION("""COMPUTED_VALUE"""),"VEE ONE")</f>
        <v>VEE ONE</v>
      </c>
      <c r="B156" s="138" t="str">
        <f>IFERROR(__xludf.DUMMYFUNCTION("""COMPUTED_VALUE"""),"BAMN")</f>
        <v>BAMN</v>
      </c>
      <c r="C156" s="138" t="str">
        <f>IFERROR(__xludf.DUMMYFUNCTION("""COMPUTED_VALUE"""),"011-00916-10")</f>
        <v>011-00916-10</v>
      </c>
      <c r="D156" s="138" t="str">
        <f>IFERROR(__xludf.DUMMYFUNCTION("""COMPUTED_VALUE"""),"UNIDADE DE EXIBIÇÃO DE INFORMAÇÕES DE VOO")</f>
        <v>UNIDADE DE EXIBIÇÃO DE INFORMAÇÕES DE VOO</v>
      </c>
      <c r="E156" s="138" t="str">
        <f>IFERROR(__xludf.DUMMYFUNCTION("""COMPUTED_VALUE"""),"86816488")</f>
        <v>86816488</v>
      </c>
      <c r="F156" s="138" t="str">
        <f>IFERROR(__xludf.DUMMYFUNCTION("""COMPUTED_VALUE"""),"047/2026")</f>
        <v>047/2026</v>
      </c>
      <c r="G156" s="138" t="str">
        <f>IFERROR(__xludf.DUMMYFUNCTION("""COMPUTED_VALUE"""),"26/03")</f>
        <v>26/03</v>
      </c>
      <c r="H156" s="138" t="str">
        <f>IFERROR(__xludf.DUMMYFUNCTION("""COMPUTED_VALUE"""),"26/03")</f>
        <v>26/03</v>
      </c>
      <c r="I156" s="138" t="str">
        <f>IFERROR(__xludf.DUMMYFUNCTION("""COMPUTED_VALUE"""),"26/03")</f>
        <v>26/03</v>
      </c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>
      <c r="A157" s="138" t="str">
        <f>IFERROR(__xludf.DUMMYFUNCTION("""COMPUTED_VALUE"""),"VEE ONE")</f>
        <v>VEE ONE</v>
      </c>
      <c r="B157" s="138" t="str">
        <f>IFERROR(__xludf.DUMMYFUNCTION("""COMPUTED_VALUE"""),"BABE")</f>
        <v>BABE</v>
      </c>
      <c r="C157" s="138" t="str">
        <f>IFERROR(__xludf.DUMMYFUNCTION("""COMPUTED_VALUE"""),"AD-4078-19")</f>
        <v>AD-4078-19</v>
      </c>
      <c r="D157" s="138" t="str">
        <f>IFERROR(__xludf.DUMMYFUNCTION("""COMPUTED_VALUE"""),"NICKEL CADMIUM BATTERY")</f>
        <v>NICKEL CADMIUM BATTERY</v>
      </c>
      <c r="E157" s="138" t="str">
        <f>IFERROR(__xludf.DUMMYFUNCTION("""COMPUTED_VALUE"""),"510087")</f>
        <v>510087</v>
      </c>
      <c r="F157" s="138" t="str">
        <f>IFERROR(__xludf.DUMMYFUNCTION("""COMPUTED_VALUE"""),"009/2026")</f>
        <v>009/2026</v>
      </c>
      <c r="G157" s="138" t="str">
        <f>IFERROR(__xludf.DUMMYFUNCTION("""COMPUTED_VALUE"""),"31/03")</f>
        <v>31/03</v>
      </c>
      <c r="H157" s="138" t="str">
        <f>IFERROR(__xludf.DUMMYFUNCTION("""COMPUTED_VALUE"""),"31/03")</f>
        <v>31/03</v>
      </c>
      <c r="I157" s="138" t="str">
        <f>IFERROR(__xludf.DUMMYFUNCTION("""COMPUTED_VALUE"""),"Requisição??")</f>
        <v>Requisição??</v>
      </c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>
      <c r="A158" s="138" t="str">
        <f>IFERROR(__xludf.DUMMYFUNCTION("""COMPUTED_VALUE"""),"VEE ONE")</f>
        <v>VEE ONE</v>
      </c>
      <c r="B158" s="138" t="str">
        <f>IFERROR(__xludf.DUMMYFUNCTION("""COMPUTED_VALUE"""),"BABE")</f>
        <v>BABE</v>
      </c>
      <c r="C158" s="138" t="str">
        <f>IFERROR(__xludf.DUMMYFUNCTION("""COMPUTED_VALUE"""),"011-01020-10")</f>
        <v>011-01020-10</v>
      </c>
      <c r="D158" s="138" t="str">
        <f>IFERROR(__xludf.DUMMYFUNCTION("""COMPUTED_VALUE"""),"AFCS MODE CONTROLLER GMC 710")</f>
        <v>AFCS MODE CONTROLLER GMC 710</v>
      </c>
      <c r="E158" s="138" t="str">
        <f>IFERROR(__xludf.DUMMYFUNCTION("""COMPUTED_VALUE"""),"22007425")</f>
        <v>22007425</v>
      </c>
      <c r="F158" s="138" t="str">
        <f>IFERROR(__xludf.DUMMYFUNCTION("""COMPUTED_VALUE"""),"010/2026")</f>
        <v>010/2026</v>
      </c>
      <c r="G158" s="138" t="str">
        <f>IFERROR(__xludf.DUMMYFUNCTION("""COMPUTED_VALUE"""),"06/04")</f>
        <v>06/04</v>
      </c>
      <c r="H158" s="138" t="str">
        <f>IFERROR(__xludf.DUMMYFUNCTION("""COMPUTED_VALUE"""),"06/04")</f>
        <v>06/04</v>
      </c>
      <c r="I158" s="138" t="str">
        <f>IFERROR(__xludf.DUMMYFUNCTION("""COMPUTED_VALUE"""),"06/04")</f>
        <v>06/04</v>
      </c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>
      <c r="A159" s="138" t="str">
        <f>IFERROR(__xludf.DUMMYFUNCTION("""COMPUTED_VALUE"""),"VEE ONE")</f>
        <v>VEE ONE</v>
      </c>
      <c r="B159" s="138" t="str">
        <f>IFERROR(__xludf.DUMMYFUNCTION("""COMPUTED_VALUE"""),"BABE")</f>
        <v>BABE</v>
      </c>
      <c r="C159" s="138" t="str">
        <f>IFERROR(__xludf.DUMMYFUNCTION("""COMPUTED_VALUE"""),"065-0042-03")</f>
        <v>065-0042-03</v>
      </c>
      <c r="D159" s="138" t="str">
        <f>IFERROR(__xludf.DUMMYFUNCTION("""COMPUTED_VALUE"""),"AUTOPILOT COMPUTER/FLIGHT DIRECTOT")</f>
        <v>AUTOPILOT COMPUTER/FLIGHT DIRECTOT</v>
      </c>
      <c r="E159" s="138" t="str">
        <f>IFERROR(__xludf.DUMMYFUNCTION("""COMPUTED_VALUE"""),"53450")</f>
        <v>53450</v>
      </c>
      <c r="F159" s="138" t="str">
        <f>IFERROR(__xludf.DUMMYFUNCTION("""COMPUTED_VALUE"""),"010/2026")</f>
        <v>010/2026</v>
      </c>
      <c r="G159" s="138" t="str">
        <f>IFERROR(__xludf.DUMMYFUNCTION("""COMPUTED_VALUE"""),"06/04")</f>
        <v>06/04</v>
      </c>
      <c r="H159" s="138" t="str">
        <f>IFERROR(__xludf.DUMMYFUNCTION("""COMPUTED_VALUE"""),"06/04")</f>
        <v>06/04</v>
      </c>
      <c r="I159" s="138" t="str">
        <f>IFERROR(__xludf.DUMMYFUNCTION("""COMPUTED_VALUE"""),"06/04")</f>
        <v>06/04</v>
      </c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>
      <c r="A160" s="138" t="str">
        <f>IFERROR(__xludf.DUMMYFUNCTION("""COMPUTED_VALUE"""),"VEE ONE")</f>
        <v>VEE ONE</v>
      </c>
      <c r="B160" s="138" t="str">
        <f>IFERROR(__xludf.DUMMYFUNCTION("""COMPUTED_VALUE"""),"BAMN")</f>
        <v>BAMN</v>
      </c>
      <c r="C160" s="138" t="str">
        <f>IFERROR(__xludf.DUMMYFUNCTION("""COMPUTED_VALUE"""),"161-12800")</f>
        <v>161-12800</v>
      </c>
      <c r="D160" s="138" t="str">
        <f>IFERROR(__xludf.DUMMYFUNCTION("""COMPUTED_VALUE"""),"WHEEL HALF ASSY")</f>
        <v>WHEEL HALF ASSY</v>
      </c>
      <c r="E160" s="138" t="str">
        <f>IFERROR(__xludf.DUMMYFUNCTION("""COMPUTED_VALUE"""),"4793")</f>
        <v>4793</v>
      </c>
      <c r="F160" s="138" t="str">
        <f>IFERROR(__xludf.DUMMYFUNCTION("""COMPUTED_VALUE"""),"061/2026")</f>
        <v>061/2026</v>
      </c>
      <c r="G160" s="138" t="str">
        <f>IFERROR(__xludf.DUMMYFUNCTION("""COMPUTED_VALUE"""),"07/05")</f>
        <v>07/05</v>
      </c>
      <c r="H160" s="138" t="str">
        <f>IFERROR(__xludf.DUMMYFUNCTION("""COMPUTED_VALUE"""),"08/05")</f>
        <v>08/05</v>
      </c>
      <c r="I160" s="138" t="str">
        <f>IFERROR(__xludf.DUMMYFUNCTION("""COMPUTED_VALUE"""),"SN diferente")</f>
        <v>SN diferente</v>
      </c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>
      <c r="A161" s="138" t="str">
        <f>IFERROR(__xludf.DUMMYFUNCTION("""COMPUTED_VALUE"""),"VEE ONE")</f>
        <v>VEE ONE</v>
      </c>
      <c r="B161" s="138" t="str">
        <f>IFERROR(__xludf.DUMMYFUNCTION("""COMPUTED_VALUE"""),"BAMN")</f>
        <v>BAMN</v>
      </c>
      <c r="C161" s="138" t="str">
        <f>IFERROR(__xludf.DUMMYFUNCTION("""COMPUTED_VALUE"""),"030-18200")</f>
        <v>030-18200</v>
      </c>
      <c r="D161" s="138" t="str">
        <f>IFERROR(__xludf.DUMMYFUNCTION("""COMPUTED_VALUE"""),"CONJUNTO DE FREIO")</f>
        <v>CONJUNTO DE FREIO</v>
      </c>
      <c r="E161" s="138" t="str">
        <f>IFERROR(__xludf.DUMMYFUNCTION("""COMPUTED_VALUE"""),"015A")</f>
        <v>015A</v>
      </c>
      <c r="F161" s="138" t="str">
        <f>IFERROR(__xludf.DUMMYFUNCTION("""COMPUTED_VALUE"""),"062/2026")</f>
        <v>062/2026</v>
      </c>
      <c r="G161" s="138" t="str">
        <f>IFERROR(__xludf.DUMMYFUNCTION("""COMPUTED_VALUE"""),"07/05")</f>
        <v>07/05</v>
      </c>
      <c r="H161" s="138" t="str">
        <f>IFERROR(__xludf.DUMMYFUNCTION("""COMPUTED_VALUE"""),"08/05")</f>
        <v>08/05</v>
      </c>
      <c r="I161" s="138" t="str">
        <f>IFERROR(__xludf.DUMMYFUNCTION("""COMPUTED_VALUE"""),"corrigir PN do certificado")</f>
        <v>corrigir PN do certificado</v>
      </c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>
      <c r="A162" s="138" t="str">
        <f>IFERROR(__xludf.DUMMYFUNCTION("""COMPUTED_VALUE"""),"VEE ONE")</f>
        <v>VEE ONE</v>
      </c>
      <c r="B162" s="138" t="str">
        <f>IFERROR(__xludf.DUMMYFUNCTION("""COMPUTED_VALUE"""),"BAMN")</f>
        <v>BAMN</v>
      </c>
      <c r="C162" s="138" t="str">
        <f>IFERROR(__xludf.DUMMYFUNCTION("""COMPUTED_VALUE"""),"030-18200")</f>
        <v>030-18200</v>
      </c>
      <c r="D162" s="138" t="str">
        <f>IFERROR(__xludf.DUMMYFUNCTION("""COMPUTED_VALUE"""),"CONJUNTO DE FREIO")</f>
        <v>CONJUNTO DE FREIO</v>
      </c>
      <c r="E162" s="138" t="str">
        <f>IFERROR(__xludf.DUMMYFUNCTION("""COMPUTED_VALUE"""),"327")</f>
        <v>327</v>
      </c>
      <c r="F162" s="138" t="str">
        <f>IFERROR(__xludf.DUMMYFUNCTION("""COMPUTED_VALUE"""),"062/2026")</f>
        <v>062/2026</v>
      </c>
      <c r="G162" s="138" t="str">
        <f>IFERROR(__xludf.DUMMYFUNCTION("""COMPUTED_VALUE"""),"07/05")</f>
        <v>07/05</v>
      </c>
      <c r="H162" s="138" t="str">
        <f>IFERROR(__xludf.DUMMYFUNCTION("""COMPUTED_VALUE"""),"08/05")</f>
        <v>08/05</v>
      </c>
      <c r="I162" s="138" t="str">
        <f>IFERROR(__xludf.DUMMYFUNCTION("""COMPUTED_VALUE"""),"corrigir PN do certificado")</f>
        <v>corrigir PN do certificado</v>
      </c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>
      <c r="A163" s="138" t="str">
        <f>IFERROR(__xludf.DUMMYFUNCTION("""COMPUTED_VALUE"""),"VEE ONE")</f>
        <v>VEE ONE</v>
      </c>
      <c r="B163" s="138" t="str">
        <f>IFERROR(__xludf.DUMMYFUNCTION("""COMPUTED_VALUE"""),"BAMN")</f>
        <v>BAMN</v>
      </c>
      <c r="C163" s="138" t="str">
        <f>IFERROR(__xludf.DUMMYFUNCTION("""COMPUTED_VALUE"""),"2682001-1")</f>
        <v>2682001-1</v>
      </c>
      <c r="D163" s="138" t="str">
        <f>IFERROR(__xludf.DUMMYFUNCTION("""COMPUTED_VALUE"""),"CILINDRO DE FREIO")</f>
        <v>CILINDRO DE FREIO</v>
      </c>
      <c r="E163" s="138" t="str">
        <f>IFERROR(__xludf.DUMMYFUNCTION("""COMPUTED_VALUE"""),"ATE3715")</f>
        <v>ATE3715</v>
      </c>
      <c r="F163" s="138" t="str">
        <f>IFERROR(__xludf.DUMMYFUNCTION("""COMPUTED_VALUE"""),"062/2026")</f>
        <v>062/2026</v>
      </c>
      <c r="G163" s="138" t="str">
        <f>IFERROR(__xludf.DUMMYFUNCTION("""COMPUTED_VALUE"""),"07/05")</f>
        <v>07/05</v>
      </c>
      <c r="H163" s="138" t="str">
        <f>IFERROR(__xludf.DUMMYFUNCTION("""COMPUTED_VALUE"""),"08/05")</f>
        <v>08/05</v>
      </c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>
      <c r="A164" s="138" t="str">
        <f>IFERROR(__xludf.DUMMYFUNCTION("""COMPUTED_VALUE"""),"VEE ONE")</f>
        <v>VEE ONE</v>
      </c>
      <c r="B164" s="138" t="str">
        <f>IFERROR(__xludf.DUMMYFUNCTION("""COMPUTED_VALUE"""),"BANT")</f>
        <v>BANT</v>
      </c>
      <c r="C164" s="138" t="str">
        <f>IFERROR(__xludf.DUMMYFUNCTION("""COMPUTED_VALUE"""),"066-3084-32")</f>
        <v>066-3084-32</v>
      </c>
      <c r="D164" s="138" t="str">
        <f>IFERROR(__xludf.DUMMYFUNCTION("""COMPUTED_VALUE"""),"IND RDR 200 IN")</f>
        <v>IND RDR 200 IN</v>
      </c>
      <c r="E164" s="138" t="str">
        <f>IFERROR(__xludf.DUMMYFUNCTION("""COMPUTED_VALUE"""),"20126")</f>
        <v>20126</v>
      </c>
      <c r="F164" s="138" t="str">
        <f>IFERROR(__xludf.DUMMYFUNCTION("""COMPUTED_VALUE"""),"020/2025")</f>
        <v>020/2025</v>
      </c>
      <c r="G164" s="138" t="str">
        <f>IFERROR(__xludf.DUMMYFUNCTION("""COMPUTED_VALUE"""),"06/08")</f>
        <v>06/08</v>
      </c>
      <c r="H164" s="138" t="str">
        <f>IFERROR(__xludf.DUMMYFUNCTION("""COMPUTED_VALUE"""),"30/01")</f>
        <v>30/01</v>
      </c>
      <c r="I164" s="138" t="str">
        <f>IFERROR(__xludf.DUMMYFUNCTION("""COMPUTED_VALUE"""),"CERTIFICADO")</f>
        <v>CERTIFICADO</v>
      </c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>
      <c r="A165" s="138" t="str">
        <f>IFERROR(__xludf.DUMMYFUNCTION("""COMPUTED_VALUE"""),"VEE ONE")</f>
        <v>VEE ONE</v>
      </c>
      <c r="B165" s="138" t="str">
        <f>IFERROR(__xludf.DUMMYFUNCTION("""COMPUTED_VALUE"""),"BANT")</f>
        <v>BANT</v>
      </c>
      <c r="C165" s="138" t="str">
        <f>IFERROR(__xludf.DUMMYFUNCTION("""COMPUTED_VALUE"""),"C661064-0237")</f>
        <v>C661064-0237</v>
      </c>
      <c r="D165" s="138" t="str">
        <f>IFERROR(__xludf.DUMMYFUNCTION("""COMPUTED_VALUE"""),"AIRSPEED INDICATOR")</f>
        <v>AIRSPEED INDICATOR</v>
      </c>
      <c r="E165" s="138" t="str">
        <f>IFERROR(__xludf.DUMMYFUNCTION("""COMPUTED_VALUE"""),"T23157")</f>
        <v>T23157</v>
      </c>
      <c r="F165" s="138" t="str">
        <f>IFERROR(__xludf.DUMMYFUNCTION("""COMPUTED_VALUE"""),"022/2025")</f>
        <v>022/2025</v>
      </c>
      <c r="G165" s="138" t="str">
        <f>IFERROR(__xludf.DUMMYFUNCTION("""COMPUTED_VALUE"""),"13/08")</f>
        <v>13/08</v>
      </c>
      <c r="H165" s="138" t="str">
        <f>IFERROR(__xludf.DUMMYFUNCTION("""COMPUTED_VALUE"""),"30/01")</f>
        <v>30/01</v>
      </c>
      <c r="I165" s="138" t="str">
        <f>IFERROR(__xludf.DUMMYFUNCTION("""COMPUTED_VALUE"""),"CERTIFICADO")</f>
        <v>CERTIFICADO</v>
      </c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>
      <c r="A166" s="138" t="str">
        <f>IFERROR(__xludf.DUMMYFUNCTION("""COMPUTED_VALUE"""),"VEE ONE")</f>
        <v>VEE ONE</v>
      </c>
      <c r="B166" s="138" t="str">
        <f>IFERROR(__xludf.DUMMYFUNCTION("""COMPUTED_VALUE"""),"BANT")</f>
        <v>BANT</v>
      </c>
      <c r="C166" s="138" t="str">
        <f>IFERROR(__xludf.DUMMYFUNCTION("""COMPUTED_VALUE"""),"2606013-1RX")</f>
        <v>2606013-1RX</v>
      </c>
      <c r="D166" s="138" t="str">
        <f>IFERROR(__xludf.DUMMYFUNCTION("""COMPUTED_VALUE"""),"INDICATOR-PERCENT RPM")</f>
        <v>INDICATOR-PERCENT RPM</v>
      </c>
      <c r="E166" s="138" t="str">
        <f>IFERROR(__xludf.DUMMYFUNCTION("""COMPUTED_VALUE"""),"203103")</f>
        <v>203103</v>
      </c>
      <c r="F166" s="138" t="str">
        <f>IFERROR(__xludf.DUMMYFUNCTION("""COMPUTED_VALUE"""),"026/2025")</f>
        <v>026/2025</v>
      </c>
      <c r="G166" s="138" t="str">
        <f>IFERROR(__xludf.DUMMYFUNCTION("""COMPUTED_VALUE"""),"02/08")</f>
        <v>02/08</v>
      </c>
      <c r="H166" s="138" t="str">
        <f>IFERROR(__xludf.DUMMYFUNCTION("""COMPUTED_VALUE"""),"30/01")</f>
        <v>30/01</v>
      </c>
      <c r="I166" s="138" t="str">
        <f>IFERROR(__xludf.DUMMYFUNCTION("""COMPUTED_VALUE"""),"CERTIFICADO e colocar SN no termo")</f>
        <v>CERTIFICADO e colocar SN no termo</v>
      </c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>
      <c r="A167" s="138" t="str">
        <f>IFERROR(__xludf.DUMMYFUNCTION("""COMPUTED_VALUE"""),"VEE ONE")</f>
        <v>VEE ONE</v>
      </c>
      <c r="B167" s="138" t="str">
        <f>IFERROR(__xludf.DUMMYFUNCTION("""COMPUTED_VALUE"""),"BANT")</f>
        <v>BANT</v>
      </c>
      <c r="C167" s="138" t="str">
        <f>IFERROR(__xludf.DUMMYFUNCTION("""COMPUTED_VALUE"""),"066-04035-1101")</f>
        <v>066-04035-1101</v>
      </c>
      <c r="D167" s="138" t="str">
        <f>IFERROR(__xludf.DUMMYFUNCTION("""COMPUTED_VALUE"""),"DISPLAY UNIT,RADAR")</f>
        <v>DISPLAY UNIT,RADAR</v>
      </c>
      <c r="E167" s="138" t="str">
        <f>IFERROR(__xludf.DUMMYFUNCTION("""COMPUTED_VALUE"""),"KMD540-10071")</f>
        <v>KMD540-10071</v>
      </c>
      <c r="F167" s="138" t="str">
        <f>IFERROR(__xludf.DUMMYFUNCTION("""COMPUTED_VALUE"""),"026/2025")</f>
        <v>026/2025</v>
      </c>
      <c r="G167" s="138" t="str">
        <f>IFERROR(__xludf.DUMMYFUNCTION("""COMPUTED_VALUE"""),"02/08")</f>
        <v>02/08</v>
      </c>
      <c r="H167" s="138" t="str">
        <f>IFERROR(__xludf.DUMMYFUNCTION("""COMPUTED_VALUE"""),"30/01")</f>
        <v>30/01</v>
      </c>
      <c r="I167" s="138" t="str">
        <f>IFERROR(__xludf.DUMMYFUNCTION("""COMPUTED_VALUE"""),"CERTIFICADO e colocar SN no termo")</f>
        <v>CERTIFICADO e colocar SN no termo</v>
      </c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>
      <c r="A168" s="138" t="str">
        <f>IFERROR(__xludf.DUMMYFUNCTION("""COMPUTED_VALUE"""),"VEE ONE")</f>
        <v>VEE ONE</v>
      </c>
      <c r="B168" s="138" t="str">
        <f>IFERROR(__xludf.DUMMYFUNCTION("""COMPUTED_VALUE"""),"BANT")</f>
        <v>BANT</v>
      </c>
      <c r="C168" s="138" t="str">
        <f>IFERROR(__xludf.DUMMYFUNCTION("""COMPUTED_VALUE"""),"540-1407-4")</f>
        <v>540-1407-4</v>
      </c>
      <c r="D168" s="138" t="str">
        <f>IFERROR(__xludf.DUMMYFUNCTION("""COMPUTED_VALUE""")," VALVE,BLEED,TURBINEENGINE")</f>
        <v> VALVE,BLEED,TURBINEENGINE</v>
      </c>
      <c r="E168" s="138" t="str">
        <f>IFERROR(__xludf.DUMMYFUNCTION("""COMPUTED_VALUE"""),"5385")</f>
        <v>5385</v>
      </c>
      <c r="F168" s="138" t="str">
        <f>IFERROR(__xludf.DUMMYFUNCTION("""COMPUTED_VALUE"""),"027/2025")</f>
        <v>027/2025</v>
      </c>
      <c r="G168" s="138" t="str">
        <f>IFERROR(__xludf.DUMMYFUNCTION("""COMPUTED_VALUE"""),"10/09")</f>
        <v>10/09</v>
      </c>
      <c r="H168" s="138" t="str">
        <f>IFERROR(__xludf.DUMMYFUNCTION("""COMPUTED_VALUE"""),"30/01")</f>
        <v>30/01</v>
      </c>
      <c r="I168" s="138" t="str">
        <f>IFERROR(__xludf.DUMMYFUNCTION("""COMPUTED_VALUE"""),"CERTIFICADO ok")</f>
        <v>CERTIFICADO ok</v>
      </c>
      <c r="J168" s="138" t="str">
        <f>IFERROR(__xludf.DUMMYFUNCTION("""COMPUTED_VALUE"""),"21/05")</f>
        <v>21/05</v>
      </c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>
      <c r="A169" s="138" t="str">
        <f>IFERROR(__xludf.DUMMYFUNCTION("""COMPUTED_VALUE"""),"VEE ONE")</f>
        <v>VEE ONE</v>
      </c>
      <c r="B169" s="138" t="str">
        <f>IFERROR(__xludf.DUMMYFUNCTION("""COMPUTED_VALUE"""),"BANT")</f>
        <v>BANT</v>
      </c>
      <c r="C169" s="138" t="str">
        <f>IFERROR(__xludf.DUMMYFUNCTION("""COMPUTED_VALUE"""),"EA-5175-52-CES")</f>
        <v>EA-5175-52-CES</v>
      </c>
      <c r="D169" s="138" t="str">
        <f>IFERROR(__xludf.DUMMYFUNCTION("""COMPUTED_VALUE"""),"AIRSPEED INDICATOR")</f>
        <v>AIRSPEED INDICATOR</v>
      </c>
      <c r="E169" s="138" t="str">
        <f>IFERROR(__xludf.DUMMYFUNCTION("""COMPUTED_VALUE"""),"T35197")</f>
        <v>T35197</v>
      </c>
      <c r="F169" s="138" t="str">
        <f>IFERROR(__xludf.DUMMYFUNCTION("""COMPUTED_VALUE"""),"033/2025")</f>
        <v>033/2025</v>
      </c>
      <c r="G169" s="138" t="str">
        <f>IFERROR(__xludf.DUMMYFUNCTION("""COMPUTED_VALUE"""),"14/10")</f>
        <v>14/10</v>
      </c>
      <c r="H169" s="138" t="str">
        <f>IFERROR(__xludf.DUMMYFUNCTION("""COMPUTED_VALUE"""),"30/01")</f>
        <v>30/01</v>
      </c>
      <c r="I169" s="138" t="str">
        <f>IFERROR(__xludf.DUMMYFUNCTION("""COMPUTED_VALUE"""),"CERTIFICADO")</f>
        <v>CERTIFICADO</v>
      </c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>
      <c r="A170" s="138" t="str">
        <f>IFERROR(__xludf.DUMMYFUNCTION("""COMPUTED_VALUE"""),"VEE ONE")</f>
        <v>VEE ONE</v>
      </c>
      <c r="B170" s="138" t="str">
        <f>IFERROR(__xludf.DUMMYFUNCTION("""COMPUTED_VALUE"""),"BANT")</f>
        <v>BANT</v>
      </c>
      <c r="C170" s="138" t="str">
        <f>IFERROR(__xludf.DUMMYFUNCTION("""COMPUTED_VALUE"""),"069-01034-0102")</f>
        <v>069-01034-0102</v>
      </c>
      <c r="D170" s="138" t="str">
        <f>IFERROR(__xludf.DUMMYFUNCTION("""COMPUTED_VALUE"""),"NAVIGATION SET,SATELLITE SIGNALS KLN-94")</f>
        <v>NAVIGATION SET,SATELLITE SIGNALS KLN-94</v>
      </c>
      <c r="E170" s="138" t="str">
        <f>IFERROR(__xludf.DUMMYFUNCTION("""COMPUTED_VALUE"""),"21107")</f>
        <v>21107</v>
      </c>
      <c r="F170" s="138" t="str">
        <f>IFERROR(__xludf.DUMMYFUNCTION("""COMPUTED_VALUE"""),"037/2025")</f>
        <v>037/2025</v>
      </c>
      <c r="G170" s="138" t="str">
        <f>IFERROR(__xludf.DUMMYFUNCTION("""COMPUTED_VALUE"""),"04/12")</f>
        <v>04/12</v>
      </c>
      <c r="H170" s="138" t="str">
        <f>IFERROR(__xludf.DUMMYFUNCTION("""COMPUTED_VALUE"""),"06/02")</f>
        <v>06/02</v>
      </c>
      <c r="I170" s="138" t="str">
        <f>IFERROR(__xludf.DUMMYFUNCTION("""COMPUTED_VALUE"""),"CERTIFICADO")</f>
        <v>CERTIFICADO</v>
      </c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>
      <c r="A171" s="138" t="str">
        <f>IFERROR(__xludf.DUMMYFUNCTION("""COMPUTED_VALUE"""),"VEE ONE")</f>
        <v>VEE ONE</v>
      </c>
      <c r="B171" s="138" t="str">
        <f>IFERROR(__xludf.DUMMYFUNCTION("""COMPUTED_VALUE"""),"BACG")</f>
        <v>BACG</v>
      </c>
      <c r="C171" s="138" t="str">
        <f>IFERROR(__xludf.DUMMYFUNCTION("""COMPUTED_VALUE"""),"2682001-1")</f>
        <v>2682001-1</v>
      </c>
      <c r="D171" s="138" t="str">
        <f>IFERROR(__xludf.DUMMYFUNCTION("""COMPUTED_VALUE"""),"CILINDRO DE FREIO")</f>
        <v>CILINDRO DE FREIO</v>
      </c>
      <c r="E171" s="138" t="str">
        <f>IFERROR(__xludf.DUMMYFUNCTION("""COMPUTED_VALUE"""),"*")</f>
        <v>*</v>
      </c>
      <c r="F171" s="138" t="str">
        <f>IFERROR(__xludf.DUMMYFUNCTION("""COMPUTED_VALUE"""),"005/2026")</f>
        <v>005/2026</v>
      </c>
      <c r="G171" s="138" t="str">
        <f>IFERROR(__xludf.DUMMYFUNCTION("""COMPUTED_VALUE"""),"27/05")</f>
        <v>27/05</v>
      </c>
      <c r="H171" s="138" t="str">
        <f>IFERROR(__xludf.DUMMYFUNCTION("""COMPUTED_VALUE"""),"03/06")</f>
        <v>03/06</v>
      </c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 t="str">
        <f>IFERROR(__xludf.DUMMYFUNCTION("""COMPUTED_VALUE"""),"Solicitado SN")</f>
        <v>Solicitado SN</v>
      </c>
      <c r="V171" s="138"/>
      <c r="W171" s="138"/>
      <c r="X171" s="138"/>
      <c r="Y171" s="138"/>
      <c r="Z171" s="138"/>
    </row>
    <row r="172">
      <c r="A172" s="138" t="str">
        <f>IFERROR(__xludf.DUMMYFUNCTION("""COMPUTED_VALUE"""),"VEE ONE")</f>
        <v>VEE ONE</v>
      </c>
      <c r="B172" s="138" t="str">
        <f>IFERROR(__xludf.DUMMYFUNCTION("""COMPUTED_VALUE"""),"BABR")</f>
        <v>BABR</v>
      </c>
      <c r="C172" s="138" t="str">
        <f>IFERROR(__xludf.DUMMYFUNCTION("""COMPUTED_VALUE"""),"2618510-10")</f>
        <v>2618510-10</v>
      </c>
      <c r="D172" s="138" t="str">
        <f>IFERROR(__xludf.DUMMYFUNCTION("""COMPUTED_VALUE"""),"ALTERNATOR CONTROL UNIT ASSY")</f>
        <v>ALTERNATOR CONTROL UNIT ASSY</v>
      </c>
      <c r="E172" s="138" t="str">
        <f>IFERROR(__xludf.DUMMYFUNCTION("""COMPUTED_VALUE"""),"3174")</f>
        <v>3174</v>
      </c>
      <c r="F172" s="138" t="str">
        <f>IFERROR(__xludf.DUMMYFUNCTION("""COMPUTED_VALUE"""),"021/2026")</f>
        <v>021/2026</v>
      </c>
      <c r="G172" s="138" t="str">
        <f>IFERROR(__xludf.DUMMYFUNCTION("""COMPUTED_VALUE"""),"27/05")</f>
        <v>27/05</v>
      </c>
      <c r="H172" s="138" t="str">
        <f>IFERROR(__xludf.DUMMYFUNCTION("""COMPUTED_VALUE"""),"08/06")</f>
        <v>08/06</v>
      </c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 t="str">
        <f>IFERROR(__xludf.DUMMYFUNCTION("""COMPUTED_VALUE"""),"AGD RESPOSTA DO E-MAIL ENVIADO P/ V1  NO DIA 16/06/2026 PELO TEN WALLACE ")</f>
        <v>AGD RESPOSTA DO E-MAIL ENVIADO P/ V1  NO DIA 16/06/2026 PELO TEN WALLACE </v>
      </c>
      <c r="V172" s="138"/>
      <c r="W172" s="138"/>
      <c r="X172" s="138"/>
      <c r="Y172" s="138"/>
      <c r="Z172" s="138"/>
    </row>
    <row r="173">
      <c r="A173" s="138" t="str">
        <f>IFERROR(__xludf.DUMMYFUNCTION("""COMPUTED_VALUE"""),"VEE ONE")</f>
        <v>VEE ONE</v>
      </c>
      <c r="B173" s="138" t="str">
        <f>IFERROR(__xludf.DUMMYFUNCTION("""COMPUTED_VALUE"""),"BAMN")</f>
        <v>BAMN</v>
      </c>
      <c r="C173" s="138" t="str">
        <f>IFERROR(__xludf.DUMMYFUNCTION("""COMPUTED_VALUE"""),"ASG12000-2")</f>
        <v>ASG12000-2</v>
      </c>
      <c r="D173" s="138" t="str">
        <f>IFERROR(__xludf.DUMMYFUNCTION("""COMPUTED_VALUE"""),"ALTERNADOR")</f>
        <v>ALTERNADOR</v>
      </c>
      <c r="E173" s="138" t="str">
        <f>IFERROR(__xludf.DUMMYFUNCTION("""COMPUTED_VALUE"""),"K010158A")</f>
        <v>K010158A</v>
      </c>
      <c r="F173" s="138" t="str">
        <f>IFERROR(__xludf.DUMMYFUNCTION("""COMPUTED_VALUE"""),"084/2026")</f>
        <v>084/2026</v>
      </c>
      <c r="G173" s="138" t="str">
        <f>IFERROR(__xludf.DUMMYFUNCTION("""COMPUTED_VALUE"""),"30/07")</f>
        <v>30/07</v>
      </c>
      <c r="H173" s="138" t="str">
        <f>IFERROR(__xludf.DUMMYFUNCTION("""COMPUTED_VALUE"""),"30/07")</f>
        <v>30/07</v>
      </c>
      <c r="I173" s="138" t="str">
        <f>IFERROR(__xludf.DUMMYFUNCTION("""COMPUTED_VALUE"""),"consultado exchange em 03/08")</f>
        <v>consultado exchange em 03/08</v>
      </c>
      <c r="J173" s="138" t="str">
        <f>IFERROR(__xludf.DUMMYFUNCTION("""COMPUTED_VALUE"""),"03/08")</f>
        <v>03/08</v>
      </c>
      <c r="K173" s="138" t="str">
        <f>IFERROR(__xludf.DUMMYFUNCTION("""COMPUTED_VALUE"""),"02/09")</f>
        <v>02/09</v>
      </c>
      <c r="L173" s="138" t="str">
        <f>IFERROR(__xludf.DUMMYFUNCTION("""COMPUTED_VALUE"""),"02/09")</f>
        <v>02/09</v>
      </c>
      <c r="M173" s="138" t="str">
        <f>IFERROR(__xludf.DUMMYFUNCTION("""COMPUTED_VALUE"""),"05/10")</f>
        <v>05/10</v>
      </c>
      <c r="N173" s="138" t="str">
        <f>IFERROR(__xludf.DUMMYFUNCTION("""COMPUTED_VALUE"""),"05/10")</f>
        <v>05/10</v>
      </c>
      <c r="O173" s="138" t="str">
        <f>IFERROR(__xludf.DUMMYFUNCTION("""COMPUTED_VALUE"""),"05/10")</f>
        <v>05/10</v>
      </c>
      <c r="P173" s="138" t="str">
        <f>IFERROR(__xludf.DUMMYFUNCTION("""COMPUTED_VALUE"""),"05/10")</f>
        <v>05/10</v>
      </c>
      <c r="Q173" s="138" t="str">
        <f>IFERROR(__xludf.DUMMYFUNCTION("""COMPUTED_VALUE"""),"05/10")</f>
        <v>05/10</v>
      </c>
      <c r="R173" s="138" t="str">
        <f>IFERROR(__xludf.DUMMYFUNCTION("""COMPUTED_VALUE"""),"05/10")</f>
        <v>05/10</v>
      </c>
      <c r="S173" s="138" t="str">
        <f>IFERROR(__xludf.DUMMYFUNCTION("""COMPUTED_VALUE"""),"05/10")</f>
        <v>05/10</v>
      </c>
      <c r="T173" s="138"/>
      <c r="U173" s="138"/>
      <c r="V173" s="138"/>
      <c r="W173" s="138"/>
      <c r="X173" s="138"/>
      <c r="Y173" s="138"/>
      <c r="Z173" s="138"/>
    </row>
    <row r="174">
      <c r="A174" s="138" t="str">
        <f>IFERROR(__xludf.DUMMYFUNCTION("""COMPUTED_VALUE"""),"VEE ONE")</f>
        <v>VEE ONE</v>
      </c>
      <c r="B174" s="138" t="str">
        <f>IFERROR(__xludf.DUMMYFUNCTION("""COMPUTED_VALUE"""),"BAMN")</f>
        <v>BAMN</v>
      </c>
      <c r="C174" s="138" t="str">
        <f>IFERROR(__xludf.DUMMYFUNCTION("""COMPUTED_VALUE"""),"011-00883-20")</f>
        <v>011-00883-20</v>
      </c>
      <c r="D174" s="138" t="str">
        <f>IFERROR(__xludf.DUMMYFUNCTION("""COMPUTED_VALUE"""),"RADAR GWX 68 WEATHER")</f>
        <v>RADAR GWX 68 WEATHER</v>
      </c>
      <c r="E174" s="138" t="str">
        <f>IFERROR(__xludf.DUMMYFUNCTION("""COMPUTED_VALUE"""),"47203246")</f>
        <v>47203246</v>
      </c>
      <c r="F174" s="138" t="str">
        <f>IFERROR(__xludf.DUMMYFUNCTION("""COMPUTED_VALUE"""),"082/2026")</f>
        <v>082/2026</v>
      </c>
      <c r="G174" s="138" t="str">
        <f>IFERROR(__xludf.DUMMYFUNCTION("""COMPUTED_VALUE"""),"14/07")</f>
        <v>14/07</v>
      </c>
      <c r="H174" s="138" t="str">
        <f>IFERROR(__xludf.DUMMYFUNCTION("""COMPUTED_VALUE"""),"29/07")</f>
        <v>29/07</v>
      </c>
      <c r="I174" s="138" t="str">
        <f>IFERROR(__xludf.DUMMYFUNCTION("""COMPUTED_VALUE"""),"consultado exchange em 03/08")</f>
        <v>consultado exchange em 03/08</v>
      </c>
      <c r="J174" s="138" t="str">
        <f>IFERROR(__xludf.DUMMYFUNCTION("""COMPUTED_VALUE"""),"03/08, 01/09")</f>
        <v>03/08, 01/09</v>
      </c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 t="str">
        <f>IFERROR(__xludf.DUMMYFUNCTION("""COMPUTED_VALUE"""),"exchange com SN 47202512")</f>
        <v>exchange com SN 47202512</v>
      </c>
      <c r="V174" s="138"/>
      <c r="W174" s="138"/>
      <c r="X174" s="138"/>
      <c r="Y174" s="138"/>
      <c r="Z174" s="138"/>
    </row>
    <row r="175">
      <c r="A175" s="138" t="str">
        <f>IFERROR(__xludf.DUMMYFUNCTION("""COMPUTED_VALUE"""),"VEE ONE")</f>
        <v>VEE ONE</v>
      </c>
      <c r="B175" s="138" t="str">
        <f>IFERROR(__xludf.DUMMYFUNCTION("""COMPUTED_VALUE"""),"BAMN")</f>
        <v>BAMN</v>
      </c>
      <c r="C175" s="138" t="str">
        <f>IFERROR(__xludf.DUMMYFUNCTION("""COMPUTED_VALUE"""),"011-01105-01")</f>
        <v>011-01105-01</v>
      </c>
      <c r="D175" s="138" t="str">
        <f>IFERROR(__xludf.DUMMYFUNCTION("""COMPUTED_VALUE"""),"INTEGRATED AVIONICS  UNIT")</f>
        <v>INTEGRATED AVIONICS  UNIT</v>
      </c>
      <c r="E175" s="138" t="str">
        <f>IFERROR(__xludf.DUMMYFUNCTION("""COMPUTED_VALUE"""),"15W011943")</f>
        <v>15W011943</v>
      </c>
      <c r="F175" s="138" t="str">
        <f>IFERROR(__xludf.DUMMYFUNCTION("""COMPUTED_VALUE"""),"081/2026")</f>
        <v>081/2026</v>
      </c>
      <c r="G175" s="138" t="str">
        <f>IFERROR(__xludf.DUMMYFUNCTION("""COMPUTED_VALUE"""),"14/07")</f>
        <v>14/07</v>
      </c>
      <c r="H175" s="138" t="str">
        <f>IFERROR(__xludf.DUMMYFUNCTION("""COMPUTED_VALUE"""),"29/07")</f>
        <v>29/07</v>
      </c>
      <c r="I175" s="138" t="str">
        <f>IFERROR(__xludf.DUMMYFUNCTION("""COMPUTED_VALUE"""),"consultado exchange em 03/08")</f>
        <v>consultado exchange em 03/08</v>
      </c>
      <c r="J175" s="138" t="str">
        <f>IFERROR(__xludf.DUMMYFUNCTION("""COMPUTED_VALUE"""),"03/08, 01/09")</f>
        <v>03/08, 01/09</v>
      </c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 t="str">
        <f>IFERROR(__xludf.DUMMYFUNCTION("""COMPUTED_VALUE"""),"exchange com SN 15W013724")</f>
        <v>exchange com SN 15W013724</v>
      </c>
      <c r="V175" s="138"/>
      <c r="W175" s="138"/>
      <c r="X175" s="138"/>
      <c r="Y175" s="138"/>
      <c r="Z175" s="138"/>
    </row>
    <row r="176">
      <c r="A176" s="138" t="str">
        <f>IFERROR(__xludf.DUMMYFUNCTION("""COMPUTED_VALUE"""),"VEE ONE")</f>
        <v>VEE ONE</v>
      </c>
      <c r="B176" s="138" t="str">
        <f>IFERROR(__xludf.DUMMYFUNCTION("""COMPUTED_VALUE"""),"BABR")</f>
        <v>BABR</v>
      </c>
      <c r="C176" s="138" t="str">
        <f>IFERROR(__xludf.DUMMYFUNCTION("""COMPUTED_VALUE"""),"9910592-2")</f>
        <v>9910592-2</v>
      </c>
      <c r="D176" s="138" t="str">
        <f>IFERROR(__xludf.DUMMYFUNCTION("""COMPUTED_VALUE"""),"ALTERNATOR ASSY")</f>
        <v>ALTERNATOR ASSY</v>
      </c>
      <c r="E176" s="138" t="str">
        <f>IFERROR(__xludf.DUMMYFUNCTION("""COMPUTED_VALUE"""),"A-180560")</f>
        <v>A-180560</v>
      </c>
      <c r="F176" s="138" t="str">
        <f>IFERROR(__xludf.DUMMYFUNCTION("""COMPUTED_VALUE"""),"029/2026")</f>
        <v>029/2026</v>
      </c>
      <c r="G176" s="138" t="str">
        <f>IFERROR(__xludf.DUMMYFUNCTION("""COMPUTED_VALUE"""),"23/06")</f>
        <v>23/06</v>
      </c>
      <c r="H176" s="138" t="str">
        <f>IFERROR(__xludf.DUMMYFUNCTION("""COMPUTED_VALUE"""),"05/08")</f>
        <v>05/08</v>
      </c>
      <c r="I176" s="138"/>
      <c r="J176" s="138" t="str">
        <f>IFERROR(__xludf.DUMMYFUNCTION("""COMPUTED_VALUE"""),"05/08")</f>
        <v>05/08</v>
      </c>
      <c r="K176" s="138" t="str">
        <f>IFERROR(__xludf.DUMMYFUNCTION("""COMPUTED_VALUE"""),"17/08")</f>
        <v>17/08</v>
      </c>
      <c r="L176" s="138" t="str">
        <f>IFERROR(__xludf.DUMMYFUNCTION("""COMPUTED_VALUE"""),"01/09")</f>
        <v>01/09</v>
      </c>
      <c r="M176" s="138" t="str">
        <f>IFERROR(__xludf.DUMMYFUNCTION("""COMPUTED_VALUE"""),"01/09")</f>
        <v>01/09</v>
      </c>
      <c r="N176" s="138" t="str">
        <f>IFERROR(__xludf.DUMMYFUNCTION("""COMPUTED_VALUE"""),"01/09")</f>
        <v>01/09</v>
      </c>
      <c r="O176" s="138" t="str">
        <f>IFERROR(__xludf.DUMMYFUNCTION("""COMPUTED_VALUE"""),"01/09")</f>
        <v>01/09</v>
      </c>
      <c r="P176" s="138" t="str">
        <f>IFERROR(__xludf.DUMMYFUNCTION("""COMPUTED_VALUE"""),"01/09")</f>
        <v>01/09</v>
      </c>
      <c r="Q176" s="138" t="str">
        <f>IFERROR(__xludf.DUMMYFUNCTION("""COMPUTED_VALUE"""),"01/09")</f>
        <v>01/09</v>
      </c>
      <c r="R176" s="138" t="str">
        <f>IFERROR(__xludf.DUMMYFUNCTION("""COMPUTED_VALUE"""),"01/09")</f>
        <v>01/09</v>
      </c>
      <c r="S176" s="138" t="str">
        <f>IFERROR(__xludf.DUMMYFUNCTION("""COMPUTED_VALUE"""),"01/09")</f>
        <v>01/09</v>
      </c>
      <c r="T176" s="138"/>
      <c r="U176" s="138" t="str">
        <f>IFERROR(__xludf.DUMMYFUNCTION("""COMPUTED_VALUE"""),"RECEBIMENTO PENDENTE - ENTRADA EM ABERTO - GODOY 05/10/2026")</f>
        <v>RECEBIMENTO PENDENTE - ENTRADA EM ABERTO - GODOY 05/10/2026</v>
      </c>
      <c r="V176" s="138"/>
      <c r="W176" s="138"/>
      <c r="X176" s="138"/>
      <c r="Y176" s="138"/>
      <c r="Z176" s="138"/>
    </row>
    <row r="177">
      <c r="A177" s="138" t="str">
        <f>IFERROR(__xludf.DUMMYFUNCTION("""COMPUTED_VALUE"""),"VEE ONE")</f>
        <v>VEE ONE</v>
      </c>
      <c r="B177" s="138" t="str">
        <f>IFERROR(__xludf.DUMMYFUNCTION("""COMPUTED_VALUE"""),"BABR")</f>
        <v>BABR</v>
      </c>
      <c r="C177" s="138" t="str">
        <f>IFERROR(__xludf.DUMMYFUNCTION("""COMPUTED_VALUE"""),"9910586-4")</f>
        <v>9910586-4</v>
      </c>
      <c r="D177" s="138" t="str">
        <f>IFERROR(__xludf.DUMMYFUNCTION("""COMPUTED_VALUE"""),"CONJUNTO DE MOTOR E ATUADOR DE FLAP")</f>
        <v>CONJUNTO DE MOTOR E ATUADOR DE FLAP</v>
      </c>
      <c r="E177" s="138" t="str">
        <f>IFERROR(__xludf.DUMMYFUNCTION("""COMPUTED_VALUE"""),"1270")</f>
        <v>1270</v>
      </c>
      <c r="F177" s="138" t="str">
        <f>IFERROR(__xludf.DUMMYFUNCTION("""COMPUTED_VALUE"""),"027/2026")</f>
        <v>027/2026</v>
      </c>
      <c r="G177" s="138" t="str">
        <f>IFERROR(__xludf.DUMMYFUNCTION("""COMPUTED_VALUE"""),"20/06")</f>
        <v>20/06</v>
      </c>
      <c r="H177" s="138" t="str">
        <f>IFERROR(__xludf.DUMMYFUNCTION("""COMPUTED_VALUE"""),"07/08")</f>
        <v>07/08</v>
      </c>
      <c r="I177" s="138"/>
      <c r="J177" s="138" t="str">
        <f>IFERROR(__xludf.DUMMYFUNCTION("""COMPUTED_VALUE"""),"07/08")</f>
        <v>07/08</v>
      </c>
      <c r="K177" s="138" t="str">
        <f>IFERROR(__xludf.DUMMYFUNCTION("""COMPUTED_VALUE"""),"12/08")</f>
        <v>12/08</v>
      </c>
      <c r="L177" s="138" t="str">
        <f>IFERROR(__xludf.DUMMYFUNCTION("""COMPUTED_VALUE"""),"12/08")</f>
        <v>12/08</v>
      </c>
      <c r="M177" s="138" t="str">
        <f>IFERROR(__xludf.DUMMYFUNCTION("""COMPUTED_VALUE"""),"12/08")</f>
        <v>12/08</v>
      </c>
      <c r="N177" s="138" t="str">
        <f>IFERROR(__xludf.DUMMYFUNCTION("""COMPUTED_VALUE"""),"12/08")</f>
        <v>12/08</v>
      </c>
      <c r="O177" s="138" t="str">
        <f>IFERROR(__xludf.DUMMYFUNCTION("""COMPUTED_VALUE"""),"12/08")</f>
        <v>12/08</v>
      </c>
      <c r="P177" s="138" t="str">
        <f>IFERROR(__xludf.DUMMYFUNCTION("""COMPUTED_VALUE"""),"12/08")</f>
        <v>12/08</v>
      </c>
      <c r="Q177" s="138" t="str">
        <f>IFERROR(__xludf.DUMMYFUNCTION("""COMPUTED_VALUE"""),"12/08")</f>
        <v>12/08</v>
      </c>
      <c r="R177" s="138" t="str">
        <f>IFERROR(__xludf.DUMMYFUNCTION("""COMPUTED_VALUE"""),"12/08")</f>
        <v>12/08</v>
      </c>
      <c r="S177" s="138" t="str">
        <f>IFERROR(__xludf.DUMMYFUNCTION("""COMPUTED_VALUE"""),"12/08, 01/09")</f>
        <v>12/08, 01/09</v>
      </c>
      <c r="T177" s="138"/>
      <c r="U177" s="138" t="str">
        <f>IFERROR(__xludf.DUMMYFUNCTION("""COMPUTED_VALUE"""),"RECEBIMENTO PENDENTE - ENTRADA EM ABERTO - GODOY 05/10/2026")</f>
        <v>RECEBIMENTO PENDENTE - ENTRADA EM ABERTO - GODOY 05/10/2026</v>
      </c>
      <c r="V177" s="138"/>
      <c r="W177" s="138"/>
      <c r="X177" s="138"/>
      <c r="Y177" s="138"/>
      <c r="Z177" s="138"/>
    </row>
    <row r="178">
      <c r="A178" s="138" t="str">
        <f>IFERROR(__xludf.DUMMYFUNCTION("""COMPUTED_VALUE"""),"VEE ONE")</f>
        <v>VEE ONE</v>
      </c>
      <c r="B178" s="138" t="str">
        <f>IFERROR(__xludf.DUMMYFUNCTION("""COMPUTED_VALUE"""),"BAMN")</f>
        <v>BAMN</v>
      </c>
      <c r="C178" s="138" t="str">
        <f>IFERROR(__xludf.DUMMYFUNCTION("""COMPUTED_VALUE"""),"324843-2020")</f>
        <v>324843-2020</v>
      </c>
      <c r="D178" s="138" t="str">
        <f>IFERROR(__xludf.DUMMYFUNCTION("""COMPUTED_VALUE"""),"HEADSET-MICROPHONE")</f>
        <v>HEADSET-MICROPHONE</v>
      </c>
      <c r="E178" s="138" t="str">
        <f>IFERROR(__xludf.DUMMYFUNCTION("""COMPUTED_VALUE"""),"070407910680166AE")</f>
        <v>070407910680166AE</v>
      </c>
      <c r="F178" s="138" t="str">
        <f>IFERROR(__xludf.DUMMYFUNCTION("""COMPUTED_VALUE"""),"093/2026")</f>
        <v>093/2026</v>
      </c>
      <c r="G178" s="138" t="str">
        <f>IFERROR(__xludf.DUMMYFUNCTION("""COMPUTED_VALUE"""),"18/08")</f>
        <v>18/08</v>
      </c>
      <c r="H178" s="138" t="str">
        <f>IFERROR(__xludf.DUMMYFUNCTION("""COMPUTED_VALUE"""),"19/08")</f>
        <v>19/08</v>
      </c>
      <c r="I178" s="138"/>
      <c r="J178" s="138" t="str">
        <f>IFERROR(__xludf.DUMMYFUNCTION("""COMPUTED_VALUE"""),"19/08")</f>
        <v>19/08</v>
      </c>
      <c r="K178" s="138" t="str">
        <f>IFERROR(__xludf.DUMMYFUNCTION("""COMPUTED_VALUE"""),"19/08")</f>
        <v>19/08</v>
      </c>
      <c r="L178" s="138" t="str">
        <f>IFERROR(__xludf.DUMMYFUNCTION("""COMPUTED_VALUE"""),"20/08")</f>
        <v>20/08</v>
      </c>
      <c r="M178" s="138" t="str">
        <f>IFERROR(__xludf.DUMMYFUNCTION("""COMPUTED_VALUE"""),"20/08")</f>
        <v>20/08</v>
      </c>
      <c r="N178" s="138" t="str">
        <f>IFERROR(__xludf.DUMMYFUNCTION("""COMPUTED_VALUE"""),"20/08, 01/09")</f>
        <v>20/08, 01/09</v>
      </c>
      <c r="O178" s="138" t="str">
        <f>IFERROR(__xludf.DUMMYFUNCTION("""COMPUTED_VALUE"""),"01/09")</f>
        <v>01/09</v>
      </c>
      <c r="P178" s="138" t="str">
        <f>IFERROR(__xludf.DUMMYFUNCTION("""COMPUTED_VALUE"""),"01/09")</f>
        <v>01/09</v>
      </c>
      <c r="Q178" s="138" t="str">
        <f>IFERROR(__xludf.DUMMYFUNCTION("""COMPUTED_VALUE"""),"01/09")</f>
        <v>01/09</v>
      </c>
      <c r="R178" s="138" t="str">
        <f>IFERROR(__xludf.DUMMYFUNCTION("""COMPUTED_VALUE"""),"01/09")</f>
        <v>01/09</v>
      </c>
      <c r="S178" s="138" t="str">
        <f>IFERROR(__xludf.DUMMYFUNCTION("""COMPUTED_VALUE"""),"01/09")</f>
        <v>01/09</v>
      </c>
      <c r="T178" s="138"/>
      <c r="U178" s="138" t="str">
        <f>IFERROR(__xludf.DUMMYFUNCTION("""COMPUTED_VALUE"""),"RECEBIMENTO PENDENTE - ENTRADA EM ABERTO - GODOY 05/10/2026")</f>
        <v>RECEBIMENTO PENDENTE - ENTRADA EM ABERTO - GODOY 05/10/2026</v>
      </c>
      <c r="V178" s="138"/>
      <c r="W178" s="138"/>
      <c r="X178" s="138"/>
      <c r="Y178" s="138"/>
      <c r="Z178" s="138"/>
    </row>
    <row r="179">
      <c r="A179" s="138" t="str">
        <f>IFERROR(__xludf.DUMMYFUNCTION("""COMPUTED_VALUE"""),"VEE ONE")</f>
        <v>VEE ONE</v>
      </c>
      <c r="B179" s="138" t="str">
        <f>IFERROR(__xludf.DUMMYFUNCTION("""COMPUTED_VALUE"""),"BAMN")</f>
        <v>BAMN</v>
      </c>
      <c r="C179" s="138" t="str">
        <f>IFERROR(__xludf.DUMMYFUNCTION("""COMPUTED_VALUE"""),"324843-2020")</f>
        <v>324843-2020</v>
      </c>
      <c r="D179" s="138" t="str">
        <f>IFERROR(__xludf.DUMMYFUNCTION("""COMPUTED_VALUE"""),"HEADSET-MICROPHONE")</f>
        <v>HEADSET-MICROPHONE</v>
      </c>
      <c r="E179" s="138" t="str">
        <f>IFERROR(__xludf.DUMMYFUNCTION("""COMPUTED_VALUE"""),"070407983320111AE")</f>
        <v>070407983320111AE</v>
      </c>
      <c r="F179" s="138" t="str">
        <f>IFERROR(__xludf.DUMMYFUNCTION("""COMPUTED_VALUE"""),"093/2026")</f>
        <v>093/2026</v>
      </c>
      <c r="G179" s="138" t="str">
        <f>IFERROR(__xludf.DUMMYFUNCTION("""COMPUTED_VALUE"""),"18/08")</f>
        <v>18/08</v>
      </c>
      <c r="H179" s="138" t="str">
        <f>IFERROR(__xludf.DUMMYFUNCTION("""COMPUTED_VALUE"""),"19/08")</f>
        <v>19/08</v>
      </c>
      <c r="I179" s="138"/>
      <c r="J179" s="138" t="str">
        <f>IFERROR(__xludf.DUMMYFUNCTION("""COMPUTED_VALUE"""),"19/08")</f>
        <v>19/08</v>
      </c>
      <c r="K179" s="138" t="str">
        <f>IFERROR(__xludf.DUMMYFUNCTION("""COMPUTED_VALUE"""),"19/08")</f>
        <v>19/08</v>
      </c>
      <c r="L179" s="138" t="str">
        <f>IFERROR(__xludf.DUMMYFUNCTION("""COMPUTED_VALUE"""),"20/08")</f>
        <v>20/08</v>
      </c>
      <c r="M179" s="138" t="str">
        <f>IFERROR(__xludf.DUMMYFUNCTION("""COMPUTED_VALUE"""),"20/08")</f>
        <v>20/08</v>
      </c>
      <c r="N179" s="138" t="str">
        <f>IFERROR(__xludf.DUMMYFUNCTION("""COMPUTED_VALUE"""),"20/08, 01/09")</f>
        <v>20/08, 01/09</v>
      </c>
      <c r="O179" s="138" t="str">
        <f>IFERROR(__xludf.DUMMYFUNCTION("""COMPUTED_VALUE"""),"01/09")</f>
        <v>01/09</v>
      </c>
      <c r="P179" s="138" t="str">
        <f>IFERROR(__xludf.DUMMYFUNCTION("""COMPUTED_VALUE"""),"01/09")</f>
        <v>01/09</v>
      </c>
      <c r="Q179" s="138" t="str">
        <f>IFERROR(__xludf.DUMMYFUNCTION("""COMPUTED_VALUE"""),"01/09")</f>
        <v>01/09</v>
      </c>
      <c r="R179" s="138" t="str">
        <f>IFERROR(__xludf.DUMMYFUNCTION("""COMPUTED_VALUE"""),"01/09")</f>
        <v>01/09</v>
      </c>
      <c r="S179" s="138" t="str">
        <f>IFERROR(__xludf.DUMMYFUNCTION("""COMPUTED_VALUE"""),"01/09")</f>
        <v>01/09</v>
      </c>
      <c r="T179" s="138"/>
      <c r="U179" s="138" t="str">
        <f>IFERROR(__xludf.DUMMYFUNCTION("""COMPUTED_VALUE"""),"RECEBIMENTO PENDENTE - ENTRADA EM ABERTO - GODOY 05/10/2026")</f>
        <v>RECEBIMENTO PENDENTE - ENTRADA EM ABERTO - GODOY 05/10/2026</v>
      </c>
      <c r="V179" s="138"/>
      <c r="W179" s="138"/>
      <c r="X179" s="138"/>
      <c r="Y179" s="138"/>
      <c r="Z179" s="138"/>
    </row>
    <row r="180">
      <c r="A180" s="138" t="str">
        <f>IFERROR(__xludf.DUMMYFUNCTION("""COMPUTED_VALUE"""),"VEE ONE")</f>
        <v>VEE ONE</v>
      </c>
      <c r="B180" s="138" t="str">
        <f>IFERROR(__xludf.DUMMYFUNCTION("""COMPUTED_VALUE"""),"BAMN")</f>
        <v>BAMN</v>
      </c>
      <c r="C180" s="138" t="str">
        <f>IFERROR(__xludf.DUMMYFUNCTION("""COMPUTED_VALUE"""),"324843-0020")</f>
        <v>324843-0020</v>
      </c>
      <c r="D180" s="138" t="str">
        <f>IFERROR(__xludf.DUMMYFUNCTION("""COMPUTED_VALUE"""),"HEADSET-MICROPHONE")</f>
        <v>HEADSET-MICROPHONE</v>
      </c>
      <c r="E180" s="138" t="str">
        <f>IFERROR(__xludf.DUMMYFUNCTION("""COMPUTED_VALUE"""),"053851C30040004AE")</f>
        <v>053851C30040004AE</v>
      </c>
      <c r="F180" s="138" t="str">
        <f>IFERROR(__xludf.DUMMYFUNCTION("""COMPUTED_VALUE"""),"093/2026")</f>
        <v>093/2026</v>
      </c>
      <c r="G180" s="138" t="str">
        <f>IFERROR(__xludf.DUMMYFUNCTION("""COMPUTED_VALUE"""),"18/08")</f>
        <v>18/08</v>
      </c>
      <c r="H180" s="138" t="str">
        <f>IFERROR(__xludf.DUMMYFUNCTION("""COMPUTED_VALUE"""),"19/08")</f>
        <v>19/08</v>
      </c>
      <c r="I180" s="138"/>
      <c r="J180" s="138" t="str">
        <f>IFERROR(__xludf.DUMMYFUNCTION("""COMPUTED_VALUE"""),"19/08")</f>
        <v>19/08</v>
      </c>
      <c r="K180" s="138" t="str">
        <f>IFERROR(__xludf.DUMMYFUNCTION("""COMPUTED_VALUE"""),"19/08")</f>
        <v>19/08</v>
      </c>
      <c r="L180" s="138" t="str">
        <f>IFERROR(__xludf.DUMMYFUNCTION("""COMPUTED_VALUE"""),"20/08")</f>
        <v>20/08</v>
      </c>
      <c r="M180" s="138" t="str">
        <f>IFERROR(__xludf.DUMMYFUNCTION("""COMPUTED_VALUE"""),"20/08")</f>
        <v>20/08</v>
      </c>
      <c r="N180" s="138" t="str">
        <f>IFERROR(__xludf.DUMMYFUNCTION("""COMPUTED_VALUE"""),"20/08, 01/09")</f>
        <v>20/08, 01/09</v>
      </c>
      <c r="O180" s="138" t="str">
        <f>IFERROR(__xludf.DUMMYFUNCTION("""COMPUTED_VALUE"""),"01/09")</f>
        <v>01/09</v>
      </c>
      <c r="P180" s="138" t="str">
        <f>IFERROR(__xludf.DUMMYFUNCTION("""COMPUTED_VALUE"""),"01/09")</f>
        <v>01/09</v>
      </c>
      <c r="Q180" s="138" t="str">
        <f>IFERROR(__xludf.DUMMYFUNCTION("""COMPUTED_VALUE"""),"01/09")</f>
        <v>01/09</v>
      </c>
      <c r="R180" s="138" t="str">
        <f>IFERROR(__xludf.DUMMYFUNCTION("""COMPUTED_VALUE"""),"01/09")</f>
        <v>01/09</v>
      </c>
      <c r="S180" s="138" t="str">
        <f>IFERROR(__xludf.DUMMYFUNCTION("""COMPUTED_VALUE"""),"01/09")</f>
        <v>01/09</v>
      </c>
      <c r="T180" s="138"/>
      <c r="U180" s="138" t="str">
        <f>IFERROR(__xludf.DUMMYFUNCTION("""COMPUTED_VALUE"""),"RECEBIMENTO PENDENTE - ENTRADA EM ABERTO - GODOY 05/10/2026")</f>
        <v>RECEBIMENTO PENDENTE - ENTRADA EM ABERTO - GODOY 05/10/2026</v>
      </c>
      <c r="V180" s="138"/>
      <c r="W180" s="138"/>
      <c r="X180" s="138"/>
      <c r="Y180" s="138"/>
      <c r="Z180" s="138"/>
    </row>
    <row r="181">
      <c r="A181" s="138" t="str">
        <f>IFERROR(__xludf.DUMMYFUNCTION("""COMPUTED_VALUE"""),"VEE ONE")</f>
        <v>VEE ONE</v>
      </c>
      <c r="B181" s="138" t="str">
        <f>IFERROR(__xludf.DUMMYFUNCTION("""COMPUTED_VALUE"""),"BABR")</f>
        <v>BABR</v>
      </c>
      <c r="C181" s="138" t="str">
        <f>IFERROR(__xludf.DUMMYFUNCTION("""COMPUTED_VALUE"""),"9910592-2")</f>
        <v>9910592-2</v>
      </c>
      <c r="D181" s="138" t="str">
        <f>IFERROR(__xludf.DUMMYFUNCTION("""COMPUTED_VALUE"""),"ALTERNATOR ASSY")</f>
        <v>ALTERNATOR ASSY</v>
      </c>
      <c r="E181" s="138" t="str">
        <f>IFERROR(__xludf.DUMMYFUNCTION("""COMPUTED_VALUE"""),"A-183643")</f>
        <v>A-183643</v>
      </c>
      <c r="F181" s="138" t="str">
        <f>IFERROR(__xludf.DUMMYFUNCTION("""COMPUTED_VALUE"""),"028/2026")</f>
        <v>028/2026</v>
      </c>
      <c r="G181" s="138" t="str">
        <f>IFERROR(__xludf.DUMMYFUNCTION("""COMPUTED_VALUE"""),"14/08")</f>
        <v>14/08</v>
      </c>
      <c r="H181" s="138" t="str">
        <f>IFERROR(__xludf.DUMMYFUNCTION("""COMPUTED_VALUE"""),"31/08")</f>
        <v>31/08</v>
      </c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 t="str">
        <f>IFERROR(__xludf.DUMMYFUNCTION("""COMPUTED_VALUE"""),"AGD RESPOSTA DO OPERADOR - E-MAIL ENVIADO NO DIA 01/09/206")</f>
        <v>AGD RESPOSTA DO OPERADOR - E-MAIL ENVIADO NO DIA 01/09/206</v>
      </c>
      <c r="V181" s="138"/>
      <c r="W181" s="138"/>
      <c r="X181" s="138"/>
      <c r="Y181" s="138"/>
      <c r="Z181" s="138"/>
    </row>
    <row r="182">
      <c r="A182" s="138" t="str">
        <f>IFERROR(__xludf.DUMMYFUNCTION("""COMPUTED_VALUE"""),"VEE ONE")</f>
        <v>VEE ONE</v>
      </c>
      <c r="B182" s="138" t="str">
        <f>IFERROR(__xludf.DUMMYFUNCTION("""COMPUTED_VALUE"""),"BANT")</f>
        <v>BANT</v>
      </c>
      <c r="C182" s="138" t="str">
        <f>IFERROR(__xludf.DUMMYFUNCTION("""COMPUTED_VALUE"""),"065-00183-0501")</f>
        <v>065-00183-0501</v>
      </c>
      <c r="D182" s="138" t="str">
        <f>IFERROR(__xludf.DUMMYFUNCTION("""COMPUTED_VALUE"""),"AUTOPILOT COMPUTER KFC225")</f>
        <v>AUTOPILOT COMPUTER KFC225</v>
      </c>
      <c r="E182" s="138" t="str">
        <f>IFERROR(__xludf.DUMMYFUNCTION("""COMPUTED_VALUE"""),"2953")</f>
        <v>2953</v>
      </c>
      <c r="F182" s="138" t="str">
        <f>IFERROR(__xludf.DUMMYFUNCTION("""COMPUTED_VALUE"""),"038/2025")</f>
        <v>038/2025</v>
      </c>
      <c r="G182" s="138" t="str">
        <f>IFERROR(__xludf.DUMMYFUNCTION("""COMPUTED_VALUE"""),"14/10/25")</f>
        <v>14/10/25</v>
      </c>
      <c r="H182" s="138" t="str">
        <f>IFERROR(__xludf.DUMMYFUNCTION("""COMPUTED_VALUE"""),"17/09")</f>
        <v>17/09</v>
      </c>
      <c r="I182" s="138"/>
      <c r="J182" s="138" t="str">
        <f>IFERROR(__xludf.DUMMYFUNCTION("""COMPUTED_VALUE"""),"28/09")</f>
        <v>28/09</v>
      </c>
      <c r="K182" s="138" t="str">
        <f>IFERROR(__xludf.DUMMYFUNCTION("""COMPUTED_VALUE"""),"28/09")</f>
        <v>28/09</v>
      </c>
      <c r="L182" s="138" t="str">
        <f>IFERROR(__xludf.DUMMYFUNCTION("""COMPUTED_VALUE"""),"28/09")</f>
        <v>28/09</v>
      </c>
      <c r="M182" s="138" t="str">
        <f>IFERROR(__xludf.DUMMYFUNCTION("""COMPUTED_VALUE"""),"28/09")</f>
        <v>28/09</v>
      </c>
      <c r="N182" s="138" t="str">
        <f>IFERROR(__xludf.DUMMYFUNCTION("""COMPUTED_VALUE"""),"28/09")</f>
        <v>28/09</v>
      </c>
      <c r="O182" s="138" t="str">
        <f>IFERROR(__xludf.DUMMYFUNCTION("""COMPUTED_VALUE"""),"28/09")</f>
        <v>28/09</v>
      </c>
      <c r="P182" s="138" t="str">
        <f>IFERROR(__xludf.DUMMYFUNCTION("""COMPUTED_VALUE"""),"28/09")</f>
        <v>28/09</v>
      </c>
      <c r="Q182" s="138" t="str">
        <f>IFERROR(__xludf.DUMMYFUNCTION("""COMPUTED_VALUE"""),"28/09")</f>
        <v>28/09</v>
      </c>
      <c r="R182" s="138" t="str">
        <f>IFERROR(__xludf.DUMMYFUNCTION("""COMPUTED_VALUE"""),"28/09")</f>
        <v>28/09</v>
      </c>
      <c r="S182" s="138" t="str">
        <f>IFERROR(__xludf.DUMMYFUNCTION("""COMPUTED_VALUE"""),"28/09")</f>
        <v>28/09</v>
      </c>
      <c r="T182" s="138"/>
      <c r="U182" s="138" t="str">
        <f>IFERROR(__xludf.DUMMYFUNCTION("""COMPUTED_VALUE"""),"RECEBIMENTO PENDENTE - ENTRADA EM ABERTO - GODOY 05/10/2026")</f>
        <v>RECEBIMENTO PENDENTE - ENTRADA EM ABERTO - GODOY 05/10/2026</v>
      </c>
      <c r="V182" s="138"/>
      <c r="W182" s="138"/>
      <c r="X182" s="138"/>
      <c r="Y182" s="138"/>
      <c r="Z182" s="138"/>
    </row>
    <row r="183">
      <c r="A183" s="138" t="str">
        <f>IFERROR(__xludf.DUMMYFUNCTION("""COMPUTED_VALUE"""),"VEE ONE")</f>
        <v>VEE ONE</v>
      </c>
      <c r="B183" s="138" t="str">
        <f>IFERROR(__xludf.DUMMYFUNCTION("""COMPUTED_VALUE"""),"BANT")</f>
        <v>BANT</v>
      </c>
      <c r="C183" s="138" t="str">
        <f>IFERROR(__xludf.DUMMYFUNCTION("""COMPUTED_VALUE"""),"065-00183-0501")</f>
        <v>065-00183-0501</v>
      </c>
      <c r="D183" s="138" t="str">
        <f>IFERROR(__xludf.DUMMYFUNCTION("""COMPUTED_VALUE"""),"AUTOPILOT COMPUTER KFC225")</f>
        <v>AUTOPILOT COMPUTER KFC225</v>
      </c>
      <c r="E183" s="138" t="str">
        <f>IFERROR(__xludf.DUMMYFUNCTION("""COMPUTED_VALUE"""),"2982")</f>
        <v>2982</v>
      </c>
      <c r="F183" s="138" t="str">
        <f>IFERROR(__xludf.DUMMYFUNCTION("""COMPUTED_VALUE"""),"038/2025")</f>
        <v>038/2025</v>
      </c>
      <c r="G183" s="138" t="str">
        <f>IFERROR(__xludf.DUMMYFUNCTION("""COMPUTED_VALUE"""),"14/10/25")</f>
        <v>14/10/25</v>
      </c>
      <c r="H183" s="138" t="str">
        <f>IFERROR(__xludf.DUMMYFUNCTION("""COMPUTED_VALUE"""),"17/09")</f>
        <v>17/09</v>
      </c>
      <c r="I183" s="138"/>
      <c r="J183" s="138" t="str">
        <f>IFERROR(__xludf.DUMMYFUNCTION("""COMPUTED_VALUE"""),"28/09")</f>
        <v>28/09</v>
      </c>
      <c r="K183" s="138" t="str">
        <f>IFERROR(__xludf.DUMMYFUNCTION("""COMPUTED_VALUE"""),"28/09")</f>
        <v>28/09</v>
      </c>
      <c r="L183" s="138" t="str">
        <f>IFERROR(__xludf.DUMMYFUNCTION("""COMPUTED_VALUE"""),"28/09")</f>
        <v>28/09</v>
      </c>
      <c r="M183" s="138" t="str">
        <f>IFERROR(__xludf.DUMMYFUNCTION("""COMPUTED_VALUE"""),"28/09")</f>
        <v>28/09</v>
      </c>
      <c r="N183" s="138" t="str">
        <f>IFERROR(__xludf.DUMMYFUNCTION("""COMPUTED_VALUE"""),"28/09")</f>
        <v>28/09</v>
      </c>
      <c r="O183" s="138" t="str">
        <f>IFERROR(__xludf.DUMMYFUNCTION("""COMPUTED_VALUE"""),"28/09")</f>
        <v>28/09</v>
      </c>
      <c r="P183" s="138" t="str">
        <f>IFERROR(__xludf.DUMMYFUNCTION("""COMPUTED_VALUE"""),"28/09")</f>
        <v>28/09</v>
      </c>
      <c r="Q183" s="138" t="str">
        <f>IFERROR(__xludf.DUMMYFUNCTION("""COMPUTED_VALUE"""),"28/09")</f>
        <v>28/09</v>
      </c>
      <c r="R183" s="138" t="str">
        <f>IFERROR(__xludf.DUMMYFUNCTION("""COMPUTED_VALUE"""),"28/09")</f>
        <v>28/09</v>
      </c>
      <c r="S183" s="138" t="str">
        <f>IFERROR(__xludf.DUMMYFUNCTION("""COMPUTED_VALUE"""),"28/09")</f>
        <v>28/09</v>
      </c>
      <c r="T183" s="138"/>
      <c r="U183" s="138" t="str">
        <f>IFERROR(__xludf.DUMMYFUNCTION("""COMPUTED_VALUE"""),"RECEBIMENTO PENDENTE - ENTRADA EM ABERTO - GODOY 05/10/2026")</f>
        <v>RECEBIMENTO PENDENTE - ENTRADA EM ABERTO - GODOY 05/10/2026</v>
      </c>
      <c r="V183" s="138"/>
      <c r="W183" s="138"/>
      <c r="X183" s="138"/>
      <c r="Y183" s="138"/>
      <c r="Z183" s="138"/>
    </row>
    <row r="184">
      <c r="A184" s="138" t="str">
        <f>IFERROR(__xludf.DUMMYFUNCTION("""COMPUTED_VALUE"""),"VEE ONE")</f>
        <v>VEE ONE</v>
      </c>
      <c r="B184" s="138" t="str">
        <f>IFERROR(__xludf.DUMMYFUNCTION("""COMPUTED_VALUE"""),"BANT")</f>
        <v>BANT</v>
      </c>
      <c r="C184" s="138" t="str">
        <f>IFERROR(__xludf.DUMMYFUNCTION("""COMPUTED_VALUE"""),"060-0017-00")</f>
        <v>060-0017-00</v>
      </c>
      <c r="D184" s="138" t="str">
        <f>IFERROR(__xludf.DUMMYFUNCTION("""COMPUTED_VALUE"""),"IND DE COMANDO DE VOO")</f>
        <v>IND DE COMANDO DE VOO</v>
      </c>
      <c r="E184" s="138" t="str">
        <f>IFERROR(__xludf.DUMMYFUNCTION("""COMPUTED_VALUE"""),"16784")</f>
        <v>16784</v>
      </c>
      <c r="F184" s="138" t="str">
        <f>IFERROR(__xludf.DUMMYFUNCTION("""COMPUTED_VALUE"""),"001/2026")</f>
        <v>001/2026</v>
      </c>
      <c r="G184" s="138" t="str">
        <f>IFERROR(__xludf.DUMMYFUNCTION("""COMPUTED_VALUE"""),"04/08")</f>
        <v>04/08</v>
      </c>
      <c r="H184" s="138" t="str">
        <f>IFERROR(__xludf.DUMMYFUNCTION("""COMPUTED_VALUE"""),"17/09")</f>
        <v>17/09</v>
      </c>
      <c r="I184" s="138"/>
      <c r="J184" s="138" t="str">
        <f>IFERROR(__xludf.DUMMYFUNCTION("""COMPUTED_VALUE"""),"28/09")</f>
        <v>28/09</v>
      </c>
      <c r="K184" s="138" t="str">
        <f>IFERROR(__xludf.DUMMYFUNCTION("""COMPUTED_VALUE"""),"28/09")</f>
        <v>28/09</v>
      </c>
      <c r="L184" s="138" t="str">
        <f>IFERROR(__xludf.DUMMYFUNCTION("""COMPUTED_VALUE"""),"28/09")</f>
        <v>28/09</v>
      </c>
      <c r="M184" s="138" t="str">
        <f>IFERROR(__xludf.DUMMYFUNCTION("""COMPUTED_VALUE"""),"28/09")</f>
        <v>28/09</v>
      </c>
      <c r="N184" s="138" t="str">
        <f>IFERROR(__xludf.DUMMYFUNCTION("""COMPUTED_VALUE"""),"28/09")</f>
        <v>28/09</v>
      </c>
      <c r="O184" s="138" t="str">
        <f>IFERROR(__xludf.DUMMYFUNCTION("""COMPUTED_VALUE"""),"28/09")</f>
        <v>28/09</v>
      </c>
      <c r="P184" s="138" t="str">
        <f>IFERROR(__xludf.DUMMYFUNCTION("""COMPUTED_VALUE"""),"28/09")</f>
        <v>28/09</v>
      </c>
      <c r="Q184" s="138" t="str">
        <f>IFERROR(__xludf.DUMMYFUNCTION("""COMPUTED_VALUE"""),"28/09")</f>
        <v>28/09</v>
      </c>
      <c r="R184" s="138" t="str">
        <f>IFERROR(__xludf.DUMMYFUNCTION("""COMPUTED_VALUE"""),"28/09")</f>
        <v>28/09</v>
      </c>
      <c r="S184" s="138" t="str">
        <f>IFERROR(__xludf.DUMMYFUNCTION("""COMPUTED_VALUE"""),"28/09")</f>
        <v>28/09</v>
      </c>
      <c r="T184" s="138"/>
      <c r="U184" s="138" t="str">
        <f>IFERROR(__xludf.DUMMYFUNCTION("""COMPUTED_VALUE"""),"RECEBIMENTO PENDENTE - ENTRADA EM ABERTO - GODOY 05/10/2026")</f>
        <v>RECEBIMENTO PENDENTE - ENTRADA EM ABERTO - GODOY 05/10/2026</v>
      </c>
      <c r="V184" s="138"/>
      <c r="W184" s="138"/>
      <c r="X184" s="138"/>
      <c r="Y184" s="138"/>
      <c r="Z184" s="138"/>
    </row>
    <row r="185">
      <c r="A185" s="138" t="str">
        <f>IFERROR(__xludf.DUMMYFUNCTION("""COMPUTED_VALUE"""),"VEE ONE")</f>
        <v>VEE ONE</v>
      </c>
      <c r="B185" s="138" t="str">
        <f>IFERROR(__xludf.DUMMYFUNCTION("""COMPUTED_VALUE"""),"CLA")</f>
        <v>CLA</v>
      </c>
      <c r="C185" s="138" t="str">
        <f>IFERROR(__xludf.DUMMYFUNCTION("""COMPUTED_VALUE"""),"162-11800")</f>
        <v>162-11800</v>
      </c>
      <c r="D185" s="138" t="str">
        <f>IFERROR(__xludf.DUMMYFUNCTION("""COMPUTED_VALUE"""),"WHEEL HALF ASSY")</f>
        <v>WHEEL HALF ASSY</v>
      </c>
      <c r="E185" s="138" t="str">
        <f>IFERROR(__xludf.DUMMYFUNCTION("""COMPUTED_VALUE"""),"688")</f>
        <v>688</v>
      </c>
      <c r="F185" s="138" t="str">
        <f>IFERROR(__xludf.DUMMYFUNCTION("""COMPUTED_VALUE"""),"023/2026")</f>
        <v>023/2026</v>
      </c>
      <c r="G185" s="138" t="str">
        <f>IFERROR(__xludf.DUMMYFUNCTION("""COMPUTED_VALUE"""),"31/08")</f>
        <v>31/08</v>
      </c>
      <c r="H185" s="138" t="str">
        <f>IFERROR(__xludf.DUMMYFUNCTION("""COMPUTED_VALUE"""),"18/08")</f>
        <v>18/08</v>
      </c>
      <c r="I185" s="138"/>
      <c r="J185" s="138" t="str">
        <f>IFERROR(__xludf.DUMMYFUNCTION("""COMPUTED_VALUE"""),"28/09")</f>
        <v>28/09</v>
      </c>
      <c r="K185" s="138" t="str">
        <f>IFERROR(__xludf.DUMMYFUNCTION("""COMPUTED_VALUE"""),"28/09")</f>
        <v>28/09</v>
      </c>
      <c r="L185" s="138" t="str">
        <f>IFERROR(__xludf.DUMMYFUNCTION("""COMPUTED_VALUE"""),"28/09")</f>
        <v>28/09</v>
      </c>
      <c r="M185" s="138" t="str">
        <f>IFERROR(__xludf.DUMMYFUNCTION("""COMPUTED_VALUE"""),"28/09")</f>
        <v>28/09</v>
      </c>
      <c r="N185" s="138" t="str">
        <f>IFERROR(__xludf.DUMMYFUNCTION("""COMPUTED_VALUE"""),"28/09")</f>
        <v>28/09</v>
      </c>
      <c r="O185" s="138" t="str">
        <f>IFERROR(__xludf.DUMMYFUNCTION("""COMPUTED_VALUE"""),"28/09")</f>
        <v>28/09</v>
      </c>
      <c r="P185" s="138" t="str">
        <f>IFERROR(__xludf.DUMMYFUNCTION("""COMPUTED_VALUE"""),"28/09")</f>
        <v>28/09</v>
      </c>
      <c r="Q185" s="138" t="str">
        <f>IFERROR(__xludf.DUMMYFUNCTION("""COMPUTED_VALUE"""),"28/09")</f>
        <v>28/09</v>
      </c>
      <c r="R185" s="138" t="str">
        <f>IFERROR(__xludf.DUMMYFUNCTION("""COMPUTED_VALUE"""),"29/09")</f>
        <v>29/09</v>
      </c>
      <c r="S185" s="138" t="str">
        <f>IFERROR(__xludf.DUMMYFUNCTION("""COMPUTED_VALUE"""),"29/09")</f>
        <v>29/09</v>
      </c>
      <c r="T185" s="138"/>
      <c r="U185" s="138" t="str">
        <f>IFERROR(__xludf.DUMMYFUNCTION("""COMPUTED_VALUE"""),"RECEBIMENTO PENDENTE - ENTRADA EM ABERTO - GODOY 05/10/2026")</f>
        <v>RECEBIMENTO PENDENTE - ENTRADA EM ABERTO - GODOY 05/10/2026</v>
      </c>
      <c r="V185" s="138"/>
      <c r="W185" s="138"/>
      <c r="X185" s="138"/>
      <c r="Y185" s="138"/>
      <c r="Z185" s="138"/>
    </row>
    <row r="186">
      <c r="A186" s="138" t="str">
        <f>IFERROR(__xludf.DUMMYFUNCTION("""COMPUTED_VALUE"""),"VEE ONE")</f>
        <v>VEE ONE</v>
      </c>
      <c r="B186" s="138" t="str">
        <f>IFERROR(__xludf.DUMMYFUNCTION("""COMPUTED_VALUE"""),"CLA")</f>
        <v>CLA</v>
      </c>
      <c r="C186" s="138" t="str">
        <f>IFERROR(__xludf.DUMMYFUNCTION("""COMPUTED_VALUE"""),"161-12800")</f>
        <v>161-12800</v>
      </c>
      <c r="D186" s="138" t="str">
        <f>IFERROR(__xludf.DUMMYFUNCTION("""COMPUTED_VALUE"""),"WHEEL HALF ASSY")</f>
        <v>WHEEL HALF ASSY</v>
      </c>
      <c r="E186" s="138" t="str">
        <f>IFERROR(__xludf.DUMMYFUNCTION("""COMPUTED_VALUE"""),"13")</f>
        <v>13</v>
      </c>
      <c r="F186" s="138" t="str">
        <f>IFERROR(__xludf.DUMMYFUNCTION("""COMPUTED_VALUE"""),"023/2026")</f>
        <v>023/2026</v>
      </c>
      <c r="G186" s="138" t="str">
        <f>IFERROR(__xludf.DUMMYFUNCTION("""COMPUTED_VALUE"""),"31/08")</f>
        <v>31/08</v>
      </c>
      <c r="H186" s="138" t="str">
        <f>IFERROR(__xludf.DUMMYFUNCTION("""COMPUTED_VALUE"""),"18/08")</f>
        <v>18/08</v>
      </c>
      <c r="I186" s="138"/>
      <c r="J186" s="138" t="str">
        <f>IFERROR(__xludf.DUMMYFUNCTION("""COMPUTED_VALUE"""),"12/12")</f>
        <v>12/12</v>
      </c>
      <c r="K186" s="138" t="str">
        <f>IFERROR(__xludf.DUMMYFUNCTION("""COMPUTED_VALUE"""),"16/12")</f>
        <v>16/12</v>
      </c>
      <c r="L186" s="138" t="str">
        <f>IFERROR(__xludf.DUMMYFUNCTION("""COMPUTED_VALUE"""),"16/12")</f>
        <v>16/12</v>
      </c>
      <c r="M186" s="138" t="str">
        <f>IFERROR(__xludf.DUMMYFUNCTION("""COMPUTED_VALUE"""),"16/12")</f>
        <v>16/12</v>
      </c>
      <c r="N186" s="138" t="str">
        <f>IFERROR(__xludf.DUMMYFUNCTION("""COMPUTED_VALUE"""),"16/12")</f>
        <v>16/12</v>
      </c>
      <c r="O186" s="138" t="str">
        <f>IFERROR(__xludf.DUMMYFUNCTION("""COMPUTED_VALUE"""),"16/12")</f>
        <v>16/12</v>
      </c>
      <c r="P186" s="138" t="str">
        <f>IFERROR(__xludf.DUMMYFUNCTION("""COMPUTED_VALUE"""),"29/09")</f>
        <v>29/09</v>
      </c>
      <c r="Q186" s="138" t="str">
        <f>IFERROR(__xludf.DUMMYFUNCTION("""COMPUTED_VALUE"""),"29/09")</f>
        <v>29/09</v>
      </c>
      <c r="R186" s="138" t="str">
        <f>IFERROR(__xludf.DUMMYFUNCTION("""COMPUTED_VALUE"""),"29/09")</f>
        <v>29/09</v>
      </c>
      <c r="S186" s="138" t="str">
        <f>IFERROR(__xludf.DUMMYFUNCTION("""COMPUTED_VALUE"""),"29/09")</f>
        <v>29/09</v>
      </c>
      <c r="T186" s="138"/>
      <c r="U186" s="138" t="str">
        <f>IFERROR(__xludf.DUMMYFUNCTION("""COMPUTED_VALUE"""),"RECEBIMENTO PENDENTE - ENTRADA EM ABERTO - GODOY 05/10/2026")</f>
        <v>RECEBIMENTO PENDENTE - ENTRADA EM ABERTO - GODOY 05/10/2026</v>
      </c>
      <c r="V186" s="138"/>
      <c r="W186" s="138"/>
      <c r="X186" s="138"/>
      <c r="Y186" s="138"/>
      <c r="Z186" s="138"/>
    </row>
    <row r="187">
      <c r="A187" s="138" t="str">
        <f>IFERROR(__xludf.DUMMYFUNCTION("""COMPUTED_VALUE"""),"VEE ONE")</f>
        <v>VEE ONE</v>
      </c>
      <c r="B187" s="138" t="str">
        <f>IFERROR(__xludf.DUMMYFUNCTION("""COMPUTED_VALUE"""),"BABR")</f>
        <v>BABR</v>
      </c>
      <c r="C187" s="138" t="str">
        <f>IFERROR(__xludf.DUMMYFUNCTION("""COMPUTED_VALUE"""),"C662041-0102")</f>
        <v>C662041-0102</v>
      </c>
      <c r="D187" s="138" t="str">
        <f>IFERROR(__xludf.DUMMYFUNCTION("""COMPUTED_VALUE"""),"INDICATOR FUEL")</f>
        <v>INDICATOR FUEL</v>
      </c>
      <c r="E187" s="138" t="str">
        <f>IFERROR(__xludf.DUMMYFUNCTION("""COMPUTED_VALUE"""),"384")</f>
        <v>384</v>
      </c>
      <c r="F187" s="138" t="str">
        <f>IFERROR(__xludf.DUMMYFUNCTION("""COMPUTED_VALUE"""),"033/2026")</f>
        <v>033/2026</v>
      </c>
      <c r="G187" s="138" t="str">
        <f>IFERROR(__xludf.DUMMYFUNCTION("""COMPUTED_VALUE"""),"21/09")</f>
        <v>21/09</v>
      </c>
      <c r="H187" s="138" t="str">
        <f>IFERROR(__xludf.DUMMYFUNCTION("""COMPUTED_VALUE"""),"28/09")</f>
        <v>28/09</v>
      </c>
      <c r="I187" s="138"/>
      <c r="J187" s="138" t="str">
        <f>IFERROR(__xludf.DUMMYFUNCTION("""COMPUTED_VALUE"""),"28/09")</f>
        <v>28/09</v>
      </c>
      <c r="K187" s="138" t="str">
        <f>IFERROR(__xludf.DUMMYFUNCTION("""COMPUTED_VALUE"""),"28/09")</f>
        <v>28/09</v>
      </c>
      <c r="L187" s="138" t="str">
        <f>IFERROR(__xludf.DUMMYFUNCTION("""COMPUTED_VALUE"""),"28/09")</f>
        <v>28/09</v>
      </c>
      <c r="M187" s="138" t="str">
        <f>IFERROR(__xludf.DUMMYFUNCTION("""COMPUTED_VALUE"""),"28/09")</f>
        <v>28/09</v>
      </c>
      <c r="N187" s="138" t="str">
        <f>IFERROR(__xludf.DUMMYFUNCTION("""COMPUTED_VALUE"""),"28/09")</f>
        <v>28/09</v>
      </c>
      <c r="O187" s="138" t="str">
        <f>IFERROR(__xludf.DUMMYFUNCTION("""COMPUTED_VALUE"""),"28/09")</f>
        <v>28/09</v>
      </c>
      <c r="P187" s="138" t="str">
        <f>IFERROR(__xludf.DUMMYFUNCTION("""COMPUTED_VALUE"""),"28/09")</f>
        <v>28/09</v>
      </c>
      <c r="Q187" s="138" t="str">
        <f>IFERROR(__xludf.DUMMYFUNCTION("""COMPUTED_VALUE"""),"28/09")</f>
        <v>28/09</v>
      </c>
      <c r="R187" s="138" t="str">
        <f>IFERROR(__xludf.DUMMYFUNCTION("""COMPUTED_VALUE"""),"28/09")</f>
        <v>28/09</v>
      </c>
      <c r="S187" s="138" t="str">
        <f>IFERROR(__xludf.DUMMYFUNCTION("""COMPUTED_VALUE"""),"28/09")</f>
        <v>28/09</v>
      </c>
      <c r="T187" s="138"/>
      <c r="U187" s="138" t="str">
        <f>IFERROR(__xludf.DUMMYFUNCTION("""COMPUTED_VALUE"""),"RECEBIMENTO PENDENTE - ENTRADA EM ABERTO - GODOY 05/10/2026")</f>
        <v>RECEBIMENTO PENDENTE - ENTRADA EM ABERTO - GODOY 05/10/2026</v>
      </c>
      <c r="V187" s="138"/>
      <c r="W187" s="138"/>
      <c r="X187" s="138"/>
      <c r="Y187" s="138"/>
      <c r="Z187" s="138"/>
    </row>
    <row r="188">
      <c r="A188" s="138" t="str">
        <f>IFERROR(__xludf.DUMMYFUNCTION("""COMPUTED_VALUE"""),"VEE ONE")</f>
        <v>VEE ONE</v>
      </c>
      <c r="B188" s="138" t="str">
        <f>IFERROR(__xludf.DUMMYFUNCTION("""COMPUTED_VALUE"""),"CLA")</f>
        <v>CLA</v>
      </c>
      <c r="C188" s="138" t="str">
        <f>IFERROR(__xludf.DUMMYFUNCTION("""COMPUTED_VALUE"""),"065-0042-03")</f>
        <v>065-0042-03</v>
      </c>
      <c r="D188" s="138" t="str">
        <f>IFERROR(__xludf.DUMMYFUNCTION("""COMPUTED_VALUE"""),"AUTOPILOT COMPUTER/FLIGHT DIRECTOT")</f>
        <v>AUTOPILOT COMPUTER/FLIGHT DIRECTOT</v>
      </c>
      <c r="E188" s="138" t="str">
        <f>IFERROR(__xludf.DUMMYFUNCTION("""COMPUTED_VALUE"""),"R50653")</f>
        <v>R50653</v>
      </c>
      <c r="F188" s="138" t="str">
        <f>IFERROR(__xludf.DUMMYFUNCTION("""COMPUTED_VALUE"""),"026/2026")</f>
        <v>026/2026</v>
      </c>
      <c r="G188" s="138" t="str">
        <f>IFERROR(__xludf.DUMMYFUNCTION("""COMPUTED_VALUE"""),"06/10")</f>
        <v>06/10</v>
      </c>
      <c r="H188" s="138" t="str">
        <f>IFERROR(__xludf.DUMMYFUNCTION("""COMPUTED_VALUE"""),"06/10")</f>
        <v>06/10</v>
      </c>
      <c r="I188" s="138"/>
      <c r="J188" s="138" t="str">
        <f>IFERROR(__xludf.DUMMYFUNCTION("""COMPUTED_VALUE"""),"06/10")</f>
        <v>06/10</v>
      </c>
      <c r="K188" s="138" t="str">
        <f>IFERROR(__xludf.DUMMYFUNCTION("""COMPUTED_VALUE"""),"07/10")</f>
        <v>07/10</v>
      </c>
      <c r="L188" s="138" t="str">
        <f>IFERROR(__xludf.DUMMYFUNCTION("""COMPUTED_VALUE"""),"07/10")</f>
        <v>07/10</v>
      </c>
      <c r="M188" s="138" t="str">
        <f>IFERROR(__xludf.DUMMYFUNCTION("""COMPUTED_VALUE"""),"07/10")</f>
        <v>07/10</v>
      </c>
      <c r="N188" s="138" t="str">
        <f>IFERROR(__xludf.DUMMYFUNCTION("""COMPUTED_VALUE"""),"07/10")</f>
        <v>07/10</v>
      </c>
      <c r="O188" s="138" t="str">
        <f>IFERROR(__xludf.DUMMYFUNCTION("""COMPUTED_VALUE"""),"07/10")</f>
        <v>07/10</v>
      </c>
      <c r="P188" s="138" t="str">
        <f>IFERROR(__xludf.DUMMYFUNCTION("""COMPUTED_VALUE"""),"08/10")</f>
        <v>08/10</v>
      </c>
      <c r="Q188" s="138" t="str">
        <f>IFERROR(__xludf.DUMMYFUNCTION("""COMPUTED_VALUE"""),"08/10")</f>
        <v>08/10</v>
      </c>
      <c r="R188" s="138" t="str">
        <f>IFERROR(__xludf.DUMMYFUNCTION("""COMPUTED_VALUE"""),"08/10")</f>
        <v>08/10</v>
      </c>
      <c r="S188" s="138" t="str">
        <f>IFERROR(__xludf.DUMMYFUNCTION("""COMPUTED_VALUE"""),"08/10")</f>
        <v>08/10</v>
      </c>
      <c r="T188" s="138"/>
      <c r="U188" s="138"/>
      <c r="V188" s="138"/>
      <c r="W188" s="138"/>
      <c r="X188" s="138"/>
      <c r="Y188" s="138"/>
      <c r="Z188" s="138"/>
    </row>
    <row r="189">
      <c r="A189" s="138" t="str">
        <f>IFERROR(__xludf.DUMMYFUNCTION("""COMPUTED_VALUE"""),"VEE ONE")</f>
        <v>VEE ONE</v>
      </c>
      <c r="B189" s="138" t="str">
        <f>IFERROR(__xludf.DUMMYFUNCTION("""COMPUTED_VALUE"""),"BABE")</f>
        <v>BABE</v>
      </c>
      <c r="C189" s="138" t="str">
        <f>IFERROR(__xludf.DUMMYFUNCTION("""COMPUTED_VALUE"""),"2643100-206")</f>
        <v>2643100-206</v>
      </c>
      <c r="D189" s="138" t="str">
        <f>IFERROR(__xludf.DUMMYFUNCTION("""COMPUTED_VALUE"""),"NOSE GEAR STRUT ASSY - TALL FORK")</f>
        <v>NOSE GEAR STRUT ASSY - TALL FORK</v>
      </c>
      <c r="E189" s="138" t="str">
        <f>IFERROR(__xludf.DUMMYFUNCTION("""COMPUTED_VALUE"""),"445")</f>
        <v>445</v>
      </c>
      <c r="F189" s="138" t="str">
        <f>IFERROR(__xludf.DUMMYFUNCTION("""COMPUTED_VALUE"""),"033/2026")</f>
        <v>033/2026</v>
      </c>
      <c r="G189" s="138" t="str">
        <f>IFERROR(__xludf.DUMMYFUNCTION("""COMPUTED_VALUE"""),"07/10")</f>
        <v>07/10</v>
      </c>
      <c r="H189" s="138" t="str">
        <f>IFERROR(__xludf.DUMMYFUNCTION("""COMPUTED_VALUE"""),"07/10")</f>
        <v>07/10</v>
      </c>
      <c r="I189" s="138"/>
      <c r="J189" s="138" t="str">
        <f>IFERROR(__xludf.DUMMYFUNCTION("""COMPUTED_VALUE"""),"08/10")</f>
        <v>08/10</v>
      </c>
      <c r="K189" s="138" t="str">
        <f>IFERROR(__xludf.DUMMYFUNCTION("""COMPUTED_VALUE"""),"08/10")</f>
        <v>08/10</v>
      </c>
      <c r="L189" s="138" t="str">
        <f>IFERROR(__xludf.DUMMYFUNCTION("""COMPUTED_VALUE"""),"08/10")</f>
        <v>08/10</v>
      </c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>
      <c r="A190" s="138" t="str">
        <f>IFERROR(__xludf.DUMMYFUNCTION("""COMPUTED_VALUE"""),"VEE ONE")</f>
        <v>VEE ONE</v>
      </c>
      <c r="B190" s="138" t="str">
        <f>IFERROR(__xludf.DUMMYFUNCTION("""COMPUTED_VALUE"""),"BABR")</f>
        <v>BABR</v>
      </c>
      <c r="C190" s="138" t="str">
        <f>IFERROR(__xludf.DUMMYFUNCTION("""COMPUTED_VALUE"""),"3122678-04")</f>
        <v>3122678-04</v>
      </c>
      <c r="D190" s="138" t="str">
        <f>IFERROR(__xludf.DUMMYFUNCTION("""COMPUTED_VALUE"""),"FUEL CONTROL UNIT")</f>
        <v>FUEL CONTROL UNIT</v>
      </c>
      <c r="E190" s="138" t="str">
        <f>IFERROR(__xludf.DUMMYFUNCTION("""COMPUTED_VALUE"""),"C66221")</f>
        <v>C66221</v>
      </c>
      <c r="F190" s="138" t="str">
        <f>IFERROR(__xludf.DUMMYFUNCTION("""COMPUTED_VALUE"""),"034/2026")</f>
        <v>034/2026</v>
      </c>
      <c r="G190" s="138" t="str">
        <f>IFERROR(__xludf.DUMMYFUNCTION("""COMPUTED_VALUE"""),"01/10")</f>
        <v>01/10</v>
      </c>
      <c r="H190" s="138" t="str">
        <f>IFERROR(__xludf.DUMMYFUNCTION("""COMPUTED_VALUE"""),"08/10")</f>
        <v>08/10</v>
      </c>
      <c r="I190" s="138"/>
      <c r="J190" s="138" t="str">
        <f>IFERROR(__xludf.DUMMYFUNCTION("""COMPUTED_VALUE"""),"08/10")</f>
        <v>08/10</v>
      </c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>
      <c r="A191" s="138" t="str">
        <f>IFERROR(__xludf.DUMMYFUNCTION("""COMPUTED_VALUE"""),"VEE ONE")</f>
        <v>VEE ONE</v>
      </c>
      <c r="B191" s="138" t="str">
        <f>IFERROR(__xludf.DUMMYFUNCTION("""COMPUTED_VALUE"""),"BAMN")</f>
        <v>BAMN</v>
      </c>
      <c r="C191" s="138" t="str">
        <f>IFERROR(__xludf.DUMMYFUNCTION("""COMPUTED_VALUE"""),"9910592-2")</f>
        <v>9910592-2</v>
      </c>
      <c r="D191" s="138" t="str">
        <f>IFERROR(__xludf.DUMMYFUNCTION("""COMPUTED_VALUE"""),"ALTERNATOR ASSY")</f>
        <v>ALTERNATOR ASSY</v>
      </c>
      <c r="E191" s="138" t="str">
        <f>IFERROR(__xludf.DUMMYFUNCTION("""COMPUTED_VALUE"""),"H-S111135")</f>
        <v>H-S111135</v>
      </c>
      <c r="F191" s="138" t="str">
        <f>IFERROR(__xludf.DUMMYFUNCTION("""COMPUTED_VALUE"""),"098/2026")</f>
        <v>098/2026</v>
      </c>
      <c r="G191" s="138" t="str">
        <f>IFERROR(__xludf.DUMMYFUNCTION("""COMPUTED_VALUE"""),"06/10")</f>
        <v>06/10</v>
      </c>
      <c r="H191" s="138" t="str">
        <f>IFERROR(__xludf.DUMMYFUNCTION("""COMPUTED_VALUE"""),"08/10")</f>
        <v>08/10</v>
      </c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>
      <c r="A192" s="138" t="str">
        <f>IFERROR(__xludf.DUMMYFUNCTION("""COMPUTED_VALUE"""),"VEE ONE")</f>
        <v>VEE ONE</v>
      </c>
      <c r="B192" s="138" t="str">
        <f>IFERROR(__xludf.DUMMYFUNCTION("""COMPUTED_VALUE"""),"BAMN")</f>
        <v>BAMN</v>
      </c>
      <c r="C192" s="138" t="str">
        <f>IFERROR(__xludf.DUMMYFUNCTION("""COMPUTED_VALUE"""),"C611008-0101")</f>
        <v>C611008-0101</v>
      </c>
      <c r="D192" s="138" t="str">
        <f>IFERROR(__xludf.DUMMYFUNCTION("""COMPUTED_VALUE"""),"ALTERNADOR CONTROL UNIT")</f>
        <v>ALTERNADOR CONTROL UNIT</v>
      </c>
      <c r="E192" s="138" t="str">
        <f>IFERROR(__xludf.DUMMYFUNCTION("""COMPUTED_VALUE"""),"D051688")</f>
        <v>D051688</v>
      </c>
      <c r="F192" s="138" t="str">
        <f>IFERROR(__xludf.DUMMYFUNCTION("""COMPUTED_VALUE"""),"098/2026")</f>
        <v>098/2026</v>
      </c>
      <c r="G192" s="138" t="str">
        <f>IFERROR(__xludf.DUMMYFUNCTION("""COMPUTED_VALUE"""),"06/10")</f>
        <v>06/10</v>
      </c>
      <c r="H192" s="138" t="str">
        <f>IFERROR(__xludf.DUMMYFUNCTION("""COMPUTED_VALUE"""),"08/10")</f>
        <v>08/10</v>
      </c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>
      <c r="A193" s="138"/>
      <c r="B193" s="138"/>
      <c r="C193" s="138"/>
      <c r="D193" s="138" t="str">
        <f>IFERROR(__xludf.DUMMYFUNCTION("""COMPUTED_VALUE"""),"")</f>
        <v/>
      </c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>
      <c r="A194" s="138"/>
      <c r="B194" s="138"/>
      <c r="C194" s="138"/>
      <c r="D194" s="138" t="str">
        <f>IFERROR(__xludf.DUMMYFUNCTION("""COMPUTED_VALUE"""),"")</f>
        <v/>
      </c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>
      <c r="A195" s="138"/>
      <c r="B195" s="138"/>
      <c r="C195" s="138"/>
      <c r="D195" s="138" t="str">
        <f>IFERROR(__xludf.DUMMYFUNCTION("""COMPUTED_VALUE"""),"")</f>
        <v/>
      </c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>
      <c r="A196" s="138"/>
      <c r="B196" s="138"/>
      <c r="C196" s="138"/>
      <c r="D196" s="138" t="str">
        <f>IFERROR(__xludf.DUMMYFUNCTION("""COMPUTED_VALUE"""),"")</f>
        <v/>
      </c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>
      <c r="A197" s="138"/>
      <c r="B197" s="138"/>
      <c r="C197" s="138"/>
      <c r="D197" s="138" t="str">
        <f>IFERROR(__xludf.DUMMYFUNCTION("""COMPUTED_VALUE"""),"")</f>
        <v/>
      </c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>
      <c r="A198" s="138"/>
      <c r="B198" s="138"/>
      <c r="C198" s="138"/>
      <c r="D198" s="138" t="str">
        <f>IFERROR(__xludf.DUMMYFUNCTION("""COMPUTED_VALUE"""),"")</f>
        <v/>
      </c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>
      <c r="A199" s="138"/>
      <c r="B199" s="138"/>
      <c r="C199" s="138"/>
      <c r="D199" s="138" t="str">
        <f>IFERROR(__xludf.DUMMYFUNCTION("""COMPUTED_VALUE"""),"")</f>
        <v/>
      </c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>
      <c r="A200" s="138"/>
      <c r="B200" s="138"/>
      <c r="C200" s="138"/>
      <c r="D200" s="138" t="str">
        <f>IFERROR(__xludf.DUMMYFUNCTION("""COMPUTED_VALUE"""),"")</f>
        <v/>
      </c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>
      <c r="A201" s="138"/>
      <c r="B201" s="138"/>
      <c r="C201" s="138"/>
      <c r="D201" s="138" t="str">
        <f>IFERROR(__xludf.DUMMYFUNCTION("""COMPUTED_VALUE"""),"")</f>
        <v/>
      </c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>
      <c r="A202" s="138"/>
      <c r="B202" s="138"/>
      <c r="C202" s="138"/>
      <c r="D202" s="138" t="str">
        <f>IFERROR(__xludf.DUMMYFUNCTION("""COMPUTED_VALUE"""),"")</f>
        <v/>
      </c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>
      <c r="A203" s="138"/>
      <c r="B203" s="138"/>
      <c r="C203" s="138"/>
      <c r="D203" s="138" t="str">
        <f>IFERROR(__xludf.DUMMYFUNCTION("""COMPUTED_VALUE"""),"")</f>
        <v/>
      </c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>
      <c r="A204" s="138"/>
      <c r="B204" s="138"/>
      <c r="C204" s="138"/>
      <c r="D204" s="138" t="str">
        <f>IFERROR(__xludf.DUMMYFUNCTION("""COMPUTED_VALUE"""),"")</f>
        <v/>
      </c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>
      <c r="A205" s="138"/>
      <c r="B205" s="138"/>
      <c r="C205" s="138"/>
      <c r="D205" s="138" t="str">
        <f>IFERROR(__xludf.DUMMYFUNCTION("""COMPUTED_VALUE"""),"")</f>
        <v/>
      </c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>
      <c r="A206" s="138"/>
      <c r="B206" s="138"/>
      <c r="C206" s="138"/>
      <c r="D206" s="138" t="str">
        <f>IFERROR(__xludf.DUMMYFUNCTION("""COMPUTED_VALUE"""),"")</f>
        <v/>
      </c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>
      <c r="A207" s="138"/>
      <c r="B207" s="138"/>
      <c r="C207" s="138"/>
      <c r="D207" s="138" t="str">
        <f>IFERROR(__xludf.DUMMYFUNCTION("""COMPUTED_VALUE"""),"")</f>
        <v/>
      </c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>
      <c r="A208" s="138"/>
      <c r="B208" s="138"/>
      <c r="C208" s="138"/>
      <c r="D208" s="138" t="str">
        <f>IFERROR(__xludf.DUMMYFUNCTION("""COMPUTED_VALUE"""),"")</f>
        <v/>
      </c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>
      <c r="A209" s="138"/>
      <c r="B209" s="138"/>
      <c r="C209" s="138"/>
      <c r="D209" s="138" t="str">
        <f>IFERROR(__xludf.DUMMYFUNCTION("""COMPUTED_VALUE"""),"")</f>
        <v/>
      </c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>
      <c r="A210" s="138"/>
      <c r="B210" s="138"/>
      <c r="C210" s="138"/>
      <c r="D210" s="138" t="str">
        <f>IFERROR(__xludf.DUMMYFUNCTION("""COMPUTED_VALUE"""),"")</f>
        <v/>
      </c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>
      <c r="A211" s="138"/>
      <c r="B211" s="138"/>
      <c r="C211" s="138"/>
      <c r="D211" s="138" t="str">
        <f>IFERROR(__xludf.DUMMYFUNCTION("""COMPUTED_VALUE"""),"")</f>
        <v/>
      </c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>
      <c r="A212" s="138"/>
      <c r="B212" s="138"/>
      <c r="C212" s="138"/>
      <c r="D212" s="138" t="str">
        <f>IFERROR(__xludf.DUMMYFUNCTION("""COMPUTED_VALUE"""),"")</f>
        <v/>
      </c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>
      <c r="A213" s="138"/>
      <c r="B213" s="138"/>
      <c r="C213" s="138"/>
      <c r="D213" s="138" t="str">
        <f>IFERROR(__xludf.DUMMYFUNCTION("""COMPUTED_VALUE"""),"")</f>
        <v/>
      </c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>
      <c r="A214" s="138"/>
      <c r="B214" s="138"/>
      <c r="C214" s="138"/>
      <c r="D214" s="138" t="str">
        <f>IFERROR(__xludf.DUMMYFUNCTION("""COMPUTED_VALUE"""),"")</f>
        <v/>
      </c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>
      <c r="A215" s="138"/>
      <c r="B215" s="138"/>
      <c r="C215" s="138"/>
      <c r="D215" s="138" t="str">
        <f>IFERROR(__xludf.DUMMYFUNCTION("""COMPUTED_VALUE"""),"")</f>
        <v/>
      </c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>
      <c r="A216" s="138"/>
      <c r="B216" s="138"/>
      <c r="C216" s="138"/>
      <c r="D216" s="138" t="str">
        <f>IFERROR(__xludf.DUMMYFUNCTION("""COMPUTED_VALUE"""),"")</f>
        <v/>
      </c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>
      <c r="A217" s="138"/>
      <c r="B217" s="138"/>
      <c r="C217" s="138"/>
      <c r="D217" s="138" t="str">
        <f>IFERROR(__xludf.DUMMYFUNCTION("""COMPUTED_VALUE"""),"")</f>
        <v/>
      </c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>
      <c r="A218" s="138"/>
      <c r="B218" s="138"/>
      <c r="C218" s="138"/>
      <c r="D218" s="138" t="str">
        <f>IFERROR(__xludf.DUMMYFUNCTION("""COMPUTED_VALUE"""),"")</f>
        <v/>
      </c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>
      <c r="A219" s="138"/>
      <c r="B219" s="138"/>
      <c r="C219" s="138"/>
      <c r="D219" s="138" t="str">
        <f>IFERROR(__xludf.DUMMYFUNCTION("""COMPUTED_VALUE"""),"")</f>
        <v/>
      </c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>
      <c r="A220" s="138"/>
      <c r="B220" s="138"/>
      <c r="C220" s="138"/>
      <c r="D220" s="138" t="str">
        <f>IFERROR(__xludf.DUMMYFUNCTION("""COMPUTED_VALUE"""),"")</f>
        <v/>
      </c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>
      <c r="A221" s="138"/>
      <c r="B221" s="138"/>
      <c r="C221" s="138"/>
      <c r="D221" s="138" t="str">
        <f>IFERROR(__xludf.DUMMYFUNCTION("""COMPUTED_VALUE"""),"")</f>
        <v/>
      </c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>
      <c r="A222" s="138"/>
      <c r="B222" s="138"/>
      <c r="C222" s="138"/>
      <c r="D222" s="138" t="str">
        <f>IFERROR(__xludf.DUMMYFUNCTION("""COMPUTED_VALUE"""),"")</f>
        <v/>
      </c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>
      <c r="A223" s="138"/>
      <c r="B223" s="138"/>
      <c r="C223" s="138"/>
      <c r="D223" s="138" t="str">
        <f>IFERROR(__xludf.DUMMYFUNCTION("""COMPUTED_VALUE"""),"")</f>
        <v/>
      </c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>
      <c r="A224" s="138"/>
      <c r="B224" s="138"/>
      <c r="C224" s="138"/>
      <c r="D224" s="138" t="str">
        <f>IFERROR(__xludf.DUMMYFUNCTION("""COMPUTED_VALUE"""),"")</f>
        <v/>
      </c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>
      <c r="A225" s="138"/>
      <c r="B225" s="138"/>
      <c r="C225" s="138"/>
      <c r="D225" s="138" t="str">
        <f>IFERROR(__xludf.DUMMYFUNCTION("""COMPUTED_VALUE"""),"")</f>
        <v/>
      </c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>
      <c r="A226" s="138"/>
      <c r="B226" s="138"/>
      <c r="C226" s="138"/>
      <c r="D226" s="138" t="str">
        <f>IFERROR(__xludf.DUMMYFUNCTION("""COMPUTED_VALUE"""),"")</f>
        <v/>
      </c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>
      <c r="A227" s="138"/>
      <c r="B227" s="138"/>
      <c r="C227" s="138"/>
      <c r="D227" s="138" t="str">
        <f>IFERROR(__xludf.DUMMYFUNCTION("""COMPUTED_VALUE"""),"")</f>
        <v/>
      </c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>
      <c r="A228" s="138"/>
      <c r="B228" s="138"/>
      <c r="C228" s="138"/>
      <c r="D228" s="138" t="str">
        <f>IFERROR(__xludf.DUMMYFUNCTION("""COMPUTED_VALUE"""),"")</f>
        <v/>
      </c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>
      <c r="A229" s="138"/>
      <c r="B229" s="138"/>
      <c r="C229" s="138"/>
      <c r="D229" s="138" t="str">
        <f>IFERROR(__xludf.DUMMYFUNCTION("""COMPUTED_VALUE"""),"")</f>
        <v/>
      </c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>
      <c r="A230" s="138"/>
      <c r="B230" s="138"/>
      <c r="C230" s="138"/>
      <c r="D230" s="138" t="str">
        <f>IFERROR(__xludf.DUMMYFUNCTION("""COMPUTED_VALUE"""),"")</f>
        <v/>
      </c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>
      <c r="A231" s="138"/>
      <c r="B231" s="138"/>
      <c r="C231" s="138"/>
      <c r="D231" s="138" t="str">
        <f>IFERROR(__xludf.DUMMYFUNCTION("""COMPUTED_VALUE"""),"")</f>
        <v/>
      </c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>
      <c r="A232" s="138"/>
      <c r="B232" s="138"/>
      <c r="C232" s="138"/>
      <c r="D232" s="138" t="str">
        <f>IFERROR(__xludf.DUMMYFUNCTION("""COMPUTED_VALUE"""),"")</f>
        <v/>
      </c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>
      <c r="A233" s="138"/>
      <c r="B233" s="138"/>
      <c r="C233" s="138"/>
      <c r="D233" s="138" t="str">
        <f>IFERROR(__xludf.DUMMYFUNCTION("""COMPUTED_VALUE"""),"")</f>
        <v/>
      </c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>
      <c r="A234" s="138"/>
      <c r="B234" s="138"/>
      <c r="C234" s="138"/>
      <c r="D234" s="138" t="str">
        <f>IFERROR(__xludf.DUMMYFUNCTION("""COMPUTED_VALUE"""),"")</f>
        <v/>
      </c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>
      <c r="A235" s="138"/>
      <c r="B235" s="138"/>
      <c r="C235" s="138"/>
      <c r="D235" s="138" t="str">
        <f>IFERROR(__xludf.DUMMYFUNCTION("""COMPUTED_VALUE"""),"")</f>
        <v/>
      </c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>
      <c r="A236" s="138"/>
      <c r="B236" s="138"/>
      <c r="C236" s="138"/>
      <c r="D236" s="138" t="str">
        <f>IFERROR(__xludf.DUMMYFUNCTION("""COMPUTED_VALUE"""),"")</f>
        <v/>
      </c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>
      <c r="A237" s="138"/>
      <c r="B237" s="138"/>
      <c r="C237" s="138"/>
      <c r="D237" s="138" t="str">
        <f>IFERROR(__xludf.DUMMYFUNCTION("""COMPUTED_VALUE"""),"")</f>
        <v/>
      </c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>
      <c r="A238" s="138"/>
      <c r="B238" s="138"/>
      <c r="C238" s="138"/>
      <c r="D238" s="138" t="str">
        <f>IFERROR(__xludf.DUMMYFUNCTION("""COMPUTED_VALUE"""),"")</f>
        <v/>
      </c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>
      <c r="A239" s="138"/>
      <c r="B239" s="138"/>
      <c r="C239" s="138"/>
      <c r="D239" s="138" t="str">
        <f>IFERROR(__xludf.DUMMYFUNCTION("""COMPUTED_VALUE"""),"")</f>
        <v/>
      </c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>
      <c r="A240" s="138"/>
      <c r="B240" s="138"/>
      <c r="C240" s="138"/>
      <c r="D240" s="138" t="str">
        <f>IFERROR(__xludf.DUMMYFUNCTION("""COMPUTED_VALUE"""),"")</f>
        <v/>
      </c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>
      <c r="A241" s="138"/>
      <c r="B241" s="138"/>
      <c r="C241" s="138"/>
      <c r="D241" s="138" t="str">
        <f>IFERROR(__xludf.DUMMYFUNCTION("""COMPUTED_VALUE"""),"")</f>
        <v/>
      </c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>
      <c r="A242" s="138"/>
      <c r="B242" s="138"/>
      <c r="C242" s="138"/>
      <c r="D242" s="138" t="str">
        <f>IFERROR(__xludf.DUMMYFUNCTION("""COMPUTED_VALUE"""),"")</f>
        <v/>
      </c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>
      <c r="A243" s="138"/>
      <c r="B243" s="138"/>
      <c r="C243" s="138"/>
      <c r="D243" s="138" t="str">
        <f>IFERROR(__xludf.DUMMYFUNCTION("""COMPUTED_VALUE"""),"")</f>
        <v/>
      </c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>
      <c r="A244" s="138"/>
      <c r="B244" s="138"/>
      <c r="C244" s="138"/>
      <c r="D244" s="138" t="str">
        <f>IFERROR(__xludf.DUMMYFUNCTION("""COMPUTED_VALUE"""),"")</f>
        <v/>
      </c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>
      <c r="A245" s="138"/>
      <c r="B245" s="138"/>
      <c r="C245" s="138"/>
      <c r="D245" s="138" t="str">
        <f>IFERROR(__xludf.DUMMYFUNCTION("""COMPUTED_VALUE"""),"")</f>
        <v/>
      </c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>
      <c r="A246" s="138"/>
      <c r="B246" s="138"/>
      <c r="C246" s="138"/>
      <c r="D246" s="138" t="str">
        <f>IFERROR(__xludf.DUMMYFUNCTION("""COMPUTED_VALUE"""),"")</f>
        <v/>
      </c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>
      <c r="A247" s="138"/>
      <c r="B247" s="138"/>
      <c r="C247" s="138"/>
      <c r="D247" s="138" t="str">
        <f>IFERROR(__xludf.DUMMYFUNCTION("""COMPUTED_VALUE"""),"")</f>
        <v/>
      </c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>
      <c r="A248" s="138"/>
      <c r="B248" s="138"/>
      <c r="C248" s="138"/>
      <c r="D248" s="138" t="str">
        <f>IFERROR(__xludf.DUMMYFUNCTION("""COMPUTED_VALUE"""),"")</f>
        <v/>
      </c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>
      <c r="A249" s="138"/>
      <c r="B249" s="138"/>
      <c r="C249" s="138"/>
      <c r="D249" s="138" t="str">
        <f>IFERROR(__xludf.DUMMYFUNCTION("""COMPUTED_VALUE"""),"")</f>
        <v/>
      </c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>
      <c r="A250" s="138"/>
      <c r="B250" s="138"/>
      <c r="C250" s="138"/>
      <c r="D250" s="138" t="str">
        <f>IFERROR(__xludf.DUMMYFUNCTION("""COMPUTED_VALUE"""),"")</f>
        <v/>
      </c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>
      <c r="A251" s="138"/>
      <c r="B251" s="138"/>
      <c r="C251" s="138"/>
      <c r="D251" s="138" t="str">
        <f>IFERROR(__xludf.DUMMYFUNCTION("""COMPUTED_VALUE"""),"")</f>
        <v/>
      </c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>
      <c r="A252" s="138"/>
      <c r="B252" s="138"/>
      <c r="C252" s="138"/>
      <c r="D252" s="138" t="str">
        <f>IFERROR(__xludf.DUMMYFUNCTION("""COMPUTED_VALUE"""),"")</f>
        <v/>
      </c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>
      <c r="A253" s="138"/>
      <c r="B253" s="138"/>
      <c r="C253" s="138"/>
      <c r="D253" s="138" t="str">
        <f>IFERROR(__xludf.DUMMYFUNCTION("""COMPUTED_VALUE"""),"")</f>
        <v/>
      </c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>
      <c r="A254" s="138"/>
      <c r="B254" s="138"/>
      <c r="C254" s="138"/>
      <c r="D254" s="138" t="str">
        <f>IFERROR(__xludf.DUMMYFUNCTION("""COMPUTED_VALUE"""),"")</f>
        <v/>
      </c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>
      <c r="A255" s="138"/>
      <c r="B255" s="138"/>
      <c r="C255" s="138"/>
      <c r="D255" s="138" t="str">
        <f>IFERROR(__xludf.DUMMYFUNCTION("""COMPUTED_VALUE"""),"")</f>
        <v/>
      </c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>
      <c r="A256" s="138"/>
      <c r="B256" s="138"/>
      <c r="C256" s="138"/>
      <c r="D256" s="138" t="str">
        <f>IFERROR(__xludf.DUMMYFUNCTION("""COMPUTED_VALUE"""),"")</f>
        <v/>
      </c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>
      <c r="A257" s="138"/>
      <c r="B257" s="138"/>
      <c r="C257" s="138"/>
      <c r="D257" s="138" t="str">
        <f>IFERROR(__xludf.DUMMYFUNCTION("""COMPUTED_VALUE"""),"")</f>
        <v/>
      </c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>
      <c r="A258" s="138"/>
      <c r="B258" s="138"/>
      <c r="C258" s="138"/>
      <c r="D258" s="138" t="str">
        <f>IFERROR(__xludf.DUMMYFUNCTION("""COMPUTED_VALUE"""),"")</f>
        <v/>
      </c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>
      <c r="A259" s="138"/>
      <c r="B259" s="138"/>
      <c r="C259" s="138"/>
      <c r="D259" s="138" t="str">
        <f>IFERROR(__xludf.DUMMYFUNCTION("""COMPUTED_VALUE"""),"")</f>
        <v/>
      </c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>
      <c r="A260" s="138"/>
      <c r="B260" s="138"/>
      <c r="C260" s="138"/>
      <c r="D260" s="138" t="str">
        <f>IFERROR(__xludf.DUMMYFUNCTION("""COMPUTED_VALUE"""),"")</f>
        <v/>
      </c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>
      <c r="A261" s="138"/>
      <c r="B261" s="138"/>
      <c r="C261" s="138"/>
      <c r="D261" s="138" t="str">
        <f>IFERROR(__xludf.DUMMYFUNCTION("""COMPUTED_VALUE"""),"")</f>
        <v/>
      </c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>
      <c r="A262" s="138"/>
      <c r="B262" s="138"/>
      <c r="C262" s="138"/>
      <c r="D262" s="138" t="str">
        <f>IFERROR(__xludf.DUMMYFUNCTION("""COMPUTED_VALUE"""),"")</f>
        <v/>
      </c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>
      <c r="A263" s="138"/>
      <c r="B263" s="138"/>
      <c r="C263" s="138"/>
      <c r="D263" s="138" t="str">
        <f>IFERROR(__xludf.DUMMYFUNCTION("""COMPUTED_VALUE"""),"")</f>
        <v/>
      </c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>
      <c r="A264" s="138"/>
      <c r="B264" s="138"/>
      <c r="C264" s="138"/>
      <c r="D264" s="138" t="str">
        <f>IFERROR(__xludf.DUMMYFUNCTION("""COMPUTED_VALUE"""),"")</f>
        <v/>
      </c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>
      <c r="A265" s="138"/>
      <c r="B265" s="138"/>
      <c r="C265" s="138"/>
      <c r="D265" s="138" t="str">
        <f>IFERROR(__xludf.DUMMYFUNCTION("""COMPUTED_VALUE"""),"")</f>
        <v/>
      </c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>
      <c r="A266" s="138"/>
      <c r="B266" s="138"/>
      <c r="C266" s="138"/>
      <c r="D266" s="138" t="str">
        <f>IFERROR(__xludf.DUMMYFUNCTION("""COMPUTED_VALUE"""),"")</f>
        <v/>
      </c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>
      <c r="A267" s="138"/>
      <c r="B267" s="138"/>
      <c r="C267" s="138"/>
      <c r="D267" s="138" t="str">
        <f>IFERROR(__xludf.DUMMYFUNCTION("""COMPUTED_VALUE"""),"")</f>
        <v/>
      </c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>
      <c r="A268" s="138"/>
      <c r="B268" s="138"/>
      <c r="C268" s="138"/>
      <c r="D268" s="138" t="str">
        <f>IFERROR(__xludf.DUMMYFUNCTION("""COMPUTED_VALUE"""),"")</f>
        <v/>
      </c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>
      <c r="A269" s="138"/>
      <c r="B269" s="138"/>
      <c r="C269" s="138"/>
      <c r="D269" s="138" t="str">
        <f>IFERROR(__xludf.DUMMYFUNCTION("""COMPUTED_VALUE"""),"")</f>
        <v/>
      </c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>
      <c r="A270" s="138"/>
      <c r="B270" s="138"/>
      <c r="C270" s="138"/>
      <c r="D270" s="138" t="str">
        <f>IFERROR(__xludf.DUMMYFUNCTION("""COMPUTED_VALUE"""),"")</f>
        <v/>
      </c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>
      <c r="A271" s="138"/>
      <c r="B271" s="138"/>
      <c r="C271" s="138"/>
      <c r="D271" s="138" t="str">
        <f>IFERROR(__xludf.DUMMYFUNCTION("""COMPUTED_VALUE"""),"")</f>
        <v/>
      </c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>
      <c r="A272" s="138"/>
      <c r="B272" s="138"/>
      <c r="C272" s="138"/>
      <c r="D272" s="138" t="str">
        <f>IFERROR(__xludf.DUMMYFUNCTION("""COMPUTED_VALUE"""),"")</f>
        <v/>
      </c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>
      <c r="A273" s="138"/>
      <c r="B273" s="138"/>
      <c r="C273" s="138"/>
      <c r="D273" s="138" t="str">
        <f>IFERROR(__xludf.DUMMYFUNCTION("""COMPUTED_VALUE"""),"")</f>
        <v/>
      </c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>
      <c r="A274" s="138"/>
      <c r="B274" s="138"/>
      <c r="C274" s="138"/>
      <c r="D274" s="138" t="str">
        <f>IFERROR(__xludf.DUMMYFUNCTION("""COMPUTED_VALUE"""),"")</f>
        <v/>
      </c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>
      <c r="A275" s="138"/>
      <c r="B275" s="138"/>
      <c r="C275" s="138"/>
      <c r="D275" s="138" t="str">
        <f>IFERROR(__xludf.DUMMYFUNCTION("""COMPUTED_VALUE"""),"")</f>
        <v/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>
      <c r="A276" s="138"/>
      <c r="B276" s="138"/>
      <c r="C276" s="138"/>
      <c r="D276" s="138" t="str">
        <f>IFERROR(__xludf.DUMMYFUNCTION("""COMPUTED_VALUE"""),"")</f>
        <v/>
      </c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>
      <c r="A277" s="138"/>
      <c r="B277" s="138"/>
      <c r="C277" s="138"/>
      <c r="D277" s="138" t="str">
        <f>IFERROR(__xludf.DUMMYFUNCTION("""COMPUTED_VALUE"""),"")</f>
        <v/>
      </c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>
      <c r="A278" s="138"/>
      <c r="B278" s="138"/>
      <c r="C278" s="138"/>
      <c r="D278" s="138" t="str">
        <f>IFERROR(__xludf.DUMMYFUNCTION("""COMPUTED_VALUE"""),"")</f>
        <v/>
      </c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>
      <c r="A279" s="138"/>
      <c r="B279" s="138"/>
      <c r="C279" s="138"/>
      <c r="D279" s="138" t="str">
        <f>IFERROR(__xludf.DUMMYFUNCTION("""COMPUTED_VALUE"""),"")</f>
        <v/>
      </c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>
      <c r="A280" s="138"/>
      <c r="B280" s="138"/>
      <c r="C280" s="138"/>
      <c r="D280" s="138" t="str">
        <f>IFERROR(__xludf.DUMMYFUNCTION("""COMPUTED_VALUE"""),"")</f>
        <v/>
      </c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>
      <c r="A281" s="138"/>
      <c r="B281" s="138"/>
      <c r="C281" s="138"/>
      <c r="D281" s="138" t="str">
        <f>IFERROR(__xludf.DUMMYFUNCTION("""COMPUTED_VALUE"""),"")</f>
        <v/>
      </c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>
      <c r="A282" s="138"/>
      <c r="B282" s="138"/>
      <c r="C282" s="138"/>
      <c r="D282" s="138" t="str">
        <f>IFERROR(__xludf.DUMMYFUNCTION("""COMPUTED_VALUE"""),"")</f>
        <v/>
      </c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>
      <c r="A283" s="138"/>
      <c r="B283" s="138"/>
      <c r="C283" s="138"/>
      <c r="D283" s="138" t="str">
        <f>IFERROR(__xludf.DUMMYFUNCTION("""COMPUTED_VALUE"""),"")</f>
        <v/>
      </c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>
      <c r="A284" s="138"/>
      <c r="B284" s="138"/>
      <c r="C284" s="138"/>
      <c r="D284" s="138" t="str">
        <f>IFERROR(__xludf.DUMMYFUNCTION("""COMPUTED_VALUE"""),"")</f>
        <v/>
      </c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>
      <c r="A285" s="138"/>
      <c r="B285" s="138"/>
      <c r="C285" s="138"/>
      <c r="D285" s="138" t="str">
        <f>IFERROR(__xludf.DUMMYFUNCTION("""COMPUTED_VALUE"""),"")</f>
        <v/>
      </c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>
      <c r="A286" s="138"/>
      <c r="B286" s="138"/>
      <c r="C286" s="138"/>
      <c r="D286" s="138" t="str">
        <f>IFERROR(__xludf.DUMMYFUNCTION("""COMPUTED_VALUE"""),"")</f>
        <v/>
      </c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>
      <c r="A287" s="138"/>
      <c r="B287" s="138"/>
      <c r="C287" s="138"/>
      <c r="D287" s="138" t="str">
        <f>IFERROR(__xludf.DUMMYFUNCTION("""COMPUTED_VALUE"""),"")</f>
        <v/>
      </c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>
      <c r="A288" s="138"/>
      <c r="B288" s="138"/>
      <c r="C288" s="138"/>
      <c r="D288" s="138" t="str">
        <f>IFERROR(__xludf.DUMMYFUNCTION("""COMPUTED_VALUE"""),"")</f>
        <v/>
      </c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>
      <c r="A289" s="138"/>
      <c r="B289" s="138"/>
      <c r="C289" s="138"/>
      <c r="D289" s="138" t="str">
        <f>IFERROR(__xludf.DUMMYFUNCTION("""COMPUTED_VALUE"""),"")</f>
        <v/>
      </c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>
      <c r="A290" s="138"/>
      <c r="B290" s="138"/>
      <c r="C290" s="138"/>
      <c r="D290" s="138" t="str">
        <f>IFERROR(__xludf.DUMMYFUNCTION("""COMPUTED_VALUE"""),"")</f>
        <v/>
      </c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>
      <c r="A291" s="138"/>
      <c r="B291" s="138"/>
      <c r="C291" s="138"/>
      <c r="D291" s="138" t="str">
        <f>IFERROR(__xludf.DUMMYFUNCTION("""COMPUTED_VALUE"""),"")</f>
        <v/>
      </c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>
      <c r="A292" s="138"/>
      <c r="B292" s="138"/>
      <c r="C292" s="138"/>
      <c r="D292" s="138" t="str">
        <f>IFERROR(__xludf.DUMMYFUNCTION("""COMPUTED_VALUE"""),"")</f>
        <v/>
      </c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>
      <c r="A293" s="138"/>
      <c r="B293" s="138"/>
      <c r="C293" s="138"/>
      <c r="D293" s="138" t="str">
        <f>IFERROR(__xludf.DUMMYFUNCTION("""COMPUTED_VALUE"""),"")</f>
        <v/>
      </c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>
      <c r="A294" s="138"/>
      <c r="B294" s="138"/>
      <c r="C294" s="138"/>
      <c r="D294" s="138" t="str">
        <f>IFERROR(__xludf.DUMMYFUNCTION("""COMPUTED_VALUE"""),"")</f>
        <v/>
      </c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>
      <c r="A295" s="138"/>
      <c r="B295" s="138"/>
      <c r="C295" s="138"/>
      <c r="D295" s="138" t="str">
        <f>IFERROR(__xludf.DUMMYFUNCTION("""COMPUTED_VALUE"""),"")</f>
        <v/>
      </c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>
      <c r="A296" s="138"/>
      <c r="B296" s="138"/>
      <c r="C296" s="138"/>
      <c r="D296" s="138" t="str">
        <f>IFERROR(__xludf.DUMMYFUNCTION("""COMPUTED_VALUE"""),"")</f>
        <v/>
      </c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>
      <c r="A297" s="138"/>
      <c r="B297" s="138"/>
      <c r="C297" s="138"/>
      <c r="D297" s="138" t="str">
        <f>IFERROR(__xludf.DUMMYFUNCTION("""COMPUTED_VALUE"""),"")</f>
        <v/>
      </c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>
      <c r="A298" s="138"/>
      <c r="B298" s="138"/>
      <c r="C298" s="138"/>
      <c r="D298" s="138" t="str">
        <f>IFERROR(__xludf.DUMMYFUNCTION("""COMPUTED_VALUE"""),"")</f>
        <v/>
      </c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>
      <c r="A299" s="138"/>
      <c r="B299" s="138"/>
      <c r="C299" s="138"/>
      <c r="D299" s="138" t="str">
        <f>IFERROR(__xludf.DUMMYFUNCTION("""COMPUTED_VALUE"""),"")</f>
        <v/>
      </c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>
      <c r="A300" s="138"/>
      <c r="B300" s="138"/>
      <c r="C300" s="138"/>
      <c r="D300" s="138" t="str">
        <f>IFERROR(__xludf.DUMMYFUNCTION("""COMPUTED_VALUE"""),"")</f>
        <v/>
      </c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>
      <c r="A301" s="138"/>
      <c r="B301" s="138"/>
      <c r="C301" s="138"/>
      <c r="D301" s="138" t="str">
        <f>IFERROR(__xludf.DUMMYFUNCTION("""COMPUTED_VALUE"""),"")</f>
        <v/>
      </c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>
      <c r="A302" s="138"/>
      <c r="B302" s="138"/>
      <c r="C302" s="138"/>
      <c r="D302" s="138" t="str">
        <f>IFERROR(__xludf.DUMMYFUNCTION("""COMPUTED_VALUE"""),"")</f>
        <v/>
      </c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>
      <c r="A303" s="138"/>
      <c r="B303" s="138"/>
      <c r="C303" s="138"/>
      <c r="D303" s="138" t="str">
        <f>IFERROR(__xludf.DUMMYFUNCTION("""COMPUTED_VALUE"""),"")</f>
        <v/>
      </c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>
      <c r="A304" s="138"/>
      <c r="B304" s="138"/>
      <c r="C304" s="138"/>
      <c r="D304" s="138" t="str">
        <f>IFERROR(__xludf.DUMMYFUNCTION("""COMPUTED_VALUE"""),"")</f>
        <v/>
      </c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>
      <c r="A305" s="138"/>
      <c r="B305" s="138"/>
      <c r="C305" s="138"/>
      <c r="D305" s="138" t="str">
        <f>IFERROR(__xludf.DUMMYFUNCTION("""COMPUTED_VALUE"""),"")</f>
        <v/>
      </c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>
      <c r="A306" s="138"/>
      <c r="B306" s="138"/>
      <c r="C306" s="138"/>
      <c r="D306" s="138" t="str">
        <f>IFERROR(__xludf.DUMMYFUNCTION("""COMPUTED_VALUE"""),"")</f>
        <v/>
      </c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>
      <c r="A307" s="138"/>
      <c r="B307" s="138"/>
      <c r="C307" s="138"/>
      <c r="D307" s="138" t="str">
        <f>IFERROR(__xludf.DUMMYFUNCTION("""COMPUTED_VALUE"""),"")</f>
        <v/>
      </c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>
      <c r="A308" s="138"/>
      <c r="B308" s="138"/>
      <c r="C308" s="138"/>
      <c r="D308" s="138" t="str">
        <f>IFERROR(__xludf.DUMMYFUNCTION("""COMPUTED_VALUE"""),"")</f>
        <v/>
      </c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>
      <c r="A309" s="138"/>
      <c r="B309" s="138"/>
      <c r="C309" s="138"/>
      <c r="D309" s="138" t="str">
        <f>IFERROR(__xludf.DUMMYFUNCTION("""COMPUTED_VALUE"""),"")</f>
        <v/>
      </c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>
      <c r="A310" s="138"/>
      <c r="B310" s="138"/>
      <c r="C310" s="138"/>
      <c r="D310" s="138" t="str">
        <f>IFERROR(__xludf.DUMMYFUNCTION("""COMPUTED_VALUE"""),"")</f>
        <v/>
      </c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>
      <c r="A311" s="138"/>
      <c r="B311" s="138"/>
      <c r="C311" s="138"/>
      <c r="D311" s="138" t="str">
        <f>IFERROR(__xludf.DUMMYFUNCTION("""COMPUTED_VALUE"""),"")</f>
        <v/>
      </c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>
      <c r="A312" s="138"/>
      <c r="B312" s="138"/>
      <c r="C312" s="138"/>
      <c r="D312" s="138" t="str">
        <f>IFERROR(__xludf.DUMMYFUNCTION("""COMPUTED_VALUE"""),"")</f>
        <v/>
      </c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>
      <c r="A313" s="138"/>
      <c r="B313" s="138"/>
      <c r="C313" s="138"/>
      <c r="D313" s="138" t="str">
        <f>IFERROR(__xludf.DUMMYFUNCTION("""COMPUTED_VALUE"""),"")</f>
        <v/>
      </c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>
      <c r="A314" s="138"/>
      <c r="B314" s="138"/>
      <c r="C314" s="138"/>
      <c r="D314" s="138" t="str">
        <f>IFERROR(__xludf.DUMMYFUNCTION("""COMPUTED_VALUE"""),"")</f>
        <v/>
      </c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>
      <c r="A315" s="138"/>
      <c r="B315" s="138"/>
      <c r="C315" s="138"/>
      <c r="D315" s="138" t="str">
        <f>IFERROR(__xludf.DUMMYFUNCTION("""COMPUTED_VALUE"""),"")</f>
        <v/>
      </c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>
      <c r="A316" s="138"/>
      <c r="B316" s="138"/>
      <c r="C316" s="138"/>
      <c r="D316" s="138" t="str">
        <f>IFERROR(__xludf.DUMMYFUNCTION("""COMPUTED_VALUE"""),"")</f>
        <v/>
      </c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>
      <c r="A317" s="138"/>
      <c r="B317" s="138"/>
      <c r="C317" s="138"/>
      <c r="D317" s="138" t="str">
        <f>IFERROR(__xludf.DUMMYFUNCTION("""COMPUTED_VALUE"""),"")</f>
        <v/>
      </c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>
      <c r="A318" s="138"/>
      <c r="B318" s="138"/>
      <c r="C318" s="138"/>
      <c r="D318" s="138" t="str">
        <f>IFERROR(__xludf.DUMMYFUNCTION("""COMPUTED_VALUE"""),"")</f>
        <v/>
      </c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>
      <c r="A319" s="138"/>
      <c r="B319" s="138"/>
      <c r="C319" s="138"/>
      <c r="D319" s="138" t="str">
        <f>IFERROR(__xludf.DUMMYFUNCTION("""COMPUTED_VALUE"""),"")</f>
        <v/>
      </c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>
      <c r="A320" s="138"/>
      <c r="B320" s="138"/>
      <c r="C320" s="138"/>
      <c r="D320" s="138" t="str">
        <f>IFERROR(__xludf.DUMMYFUNCTION("""COMPUTED_VALUE"""),"")</f>
        <v/>
      </c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>
      <c r="A321" s="138"/>
      <c r="B321" s="138"/>
      <c r="C321" s="138"/>
      <c r="D321" s="138" t="str">
        <f>IFERROR(__xludf.DUMMYFUNCTION("""COMPUTED_VALUE"""),"")</f>
        <v/>
      </c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>
      <c r="A322" s="138"/>
      <c r="B322" s="138"/>
      <c r="C322" s="138"/>
      <c r="D322" s="138" t="str">
        <f>IFERROR(__xludf.DUMMYFUNCTION("""COMPUTED_VALUE"""),"")</f>
        <v/>
      </c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>
      <c r="A323" s="138"/>
      <c r="B323" s="138"/>
      <c r="C323" s="138"/>
      <c r="D323" s="138" t="str">
        <f>IFERROR(__xludf.DUMMYFUNCTION("""COMPUTED_VALUE"""),"")</f>
        <v/>
      </c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>
      <c r="A324" s="138"/>
      <c r="B324" s="138"/>
      <c r="C324" s="138"/>
      <c r="D324" s="138" t="str">
        <f>IFERROR(__xludf.DUMMYFUNCTION("""COMPUTED_VALUE"""),"")</f>
        <v/>
      </c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>
      <c r="A325" s="138"/>
      <c r="B325" s="138"/>
      <c r="C325" s="138"/>
      <c r="D325" s="138" t="str">
        <f>IFERROR(__xludf.DUMMYFUNCTION("""COMPUTED_VALUE"""),"")</f>
        <v/>
      </c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>
      <c r="A326" s="138"/>
      <c r="B326" s="138"/>
      <c r="C326" s="138"/>
      <c r="D326" s="138" t="str">
        <f>IFERROR(__xludf.DUMMYFUNCTION("""COMPUTED_VALUE"""),"")</f>
        <v/>
      </c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>
      <c r="A327" s="138"/>
      <c r="B327" s="138"/>
      <c r="C327" s="138"/>
      <c r="D327" s="138" t="str">
        <f>IFERROR(__xludf.DUMMYFUNCTION("""COMPUTED_VALUE"""),"")</f>
        <v/>
      </c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>
      <c r="A328" s="138"/>
      <c r="B328" s="138"/>
      <c r="C328" s="138"/>
      <c r="D328" s="138" t="str">
        <f>IFERROR(__xludf.DUMMYFUNCTION("""COMPUTED_VALUE"""),"")</f>
        <v/>
      </c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>
      <c r="A329" s="138"/>
      <c r="B329" s="138"/>
      <c r="C329" s="138"/>
      <c r="D329" s="138" t="str">
        <f>IFERROR(__xludf.DUMMYFUNCTION("""COMPUTED_VALUE"""),"")</f>
        <v/>
      </c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>
      <c r="A330" s="138"/>
      <c r="B330" s="138"/>
      <c r="C330" s="138"/>
      <c r="D330" s="138" t="str">
        <f>IFERROR(__xludf.DUMMYFUNCTION("""COMPUTED_VALUE"""),"")</f>
        <v/>
      </c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>
      <c r="A331" s="138"/>
      <c r="B331" s="138"/>
      <c r="C331" s="138"/>
      <c r="D331" s="138" t="str">
        <f>IFERROR(__xludf.DUMMYFUNCTION("""COMPUTED_VALUE"""),"")</f>
        <v/>
      </c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>
      <c r="A332" s="138"/>
      <c r="B332" s="138"/>
      <c r="C332" s="138"/>
      <c r="D332" s="138" t="str">
        <f>IFERROR(__xludf.DUMMYFUNCTION("""COMPUTED_VALUE"""),"")</f>
        <v/>
      </c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>
      <c r="A333" s="138"/>
      <c r="B333" s="138"/>
      <c r="C333" s="138"/>
      <c r="D333" s="138" t="str">
        <f>IFERROR(__xludf.DUMMYFUNCTION("""COMPUTED_VALUE"""),"")</f>
        <v/>
      </c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>
      <c r="A334" s="138"/>
      <c r="B334" s="138"/>
      <c r="C334" s="138"/>
      <c r="D334" s="138" t="str">
        <f>IFERROR(__xludf.DUMMYFUNCTION("""COMPUTED_VALUE"""),"")</f>
        <v/>
      </c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>
      <c r="A335" s="138"/>
      <c r="B335" s="138"/>
      <c r="C335" s="138"/>
      <c r="D335" s="138" t="str">
        <f>IFERROR(__xludf.DUMMYFUNCTION("""COMPUTED_VALUE"""),"")</f>
        <v/>
      </c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>
      <c r="A336" s="138"/>
      <c r="B336" s="138"/>
      <c r="C336" s="138"/>
      <c r="D336" s="138" t="str">
        <f>IFERROR(__xludf.DUMMYFUNCTION("""COMPUTED_VALUE"""),"")</f>
        <v/>
      </c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>
      <c r="A337" s="138"/>
      <c r="B337" s="138"/>
      <c r="C337" s="138"/>
      <c r="D337" s="138" t="str">
        <f>IFERROR(__xludf.DUMMYFUNCTION("""COMPUTED_VALUE"""),"")</f>
        <v/>
      </c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>
      <c r="A338" s="138"/>
      <c r="B338" s="138"/>
      <c r="C338" s="138"/>
      <c r="D338" s="138" t="str">
        <f>IFERROR(__xludf.DUMMYFUNCTION("""COMPUTED_VALUE"""),"")</f>
        <v/>
      </c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>
      <c r="A339" s="138"/>
      <c r="B339" s="138"/>
      <c r="C339" s="138"/>
      <c r="D339" s="138" t="str">
        <f>IFERROR(__xludf.DUMMYFUNCTION("""COMPUTED_VALUE"""),"")</f>
        <v/>
      </c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>
      <c r="A340" s="138"/>
      <c r="B340" s="138"/>
      <c r="C340" s="138"/>
      <c r="D340" s="138" t="str">
        <f>IFERROR(__xludf.DUMMYFUNCTION("""COMPUTED_VALUE"""),"")</f>
        <v/>
      </c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>
      <c r="A341" s="138"/>
      <c r="B341" s="138"/>
      <c r="C341" s="138"/>
      <c r="D341" s="138" t="str">
        <f>IFERROR(__xludf.DUMMYFUNCTION("""COMPUTED_VALUE"""),"")</f>
        <v/>
      </c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>
      <c r="A342" s="138"/>
      <c r="B342" s="138"/>
      <c r="C342" s="138"/>
      <c r="D342" s="138" t="str">
        <f>IFERROR(__xludf.DUMMYFUNCTION("""COMPUTED_VALUE"""),"")</f>
        <v/>
      </c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>
      <c r="A343" s="138"/>
      <c r="B343" s="138"/>
      <c r="C343" s="138"/>
      <c r="D343" s="138" t="str">
        <f>IFERROR(__xludf.DUMMYFUNCTION("""COMPUTED_VALUE"""),"")</f>
        <v/>
      </c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>
      <c r="A344" s="138"/>
      <c r="B344" s="138"/>
      <c r="C344" s="138"/>
      <c r="D344" s="138" t="str">
        <f>IFERROR(__xludf.DUMMYFUNCTION("""COMPUTED_VALUE"""),"")</f>
        <v/>
      </c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>
      <c r="A345" s="138"/>
      <c r="B345" s="138"/>
      <c r="C345" s="138"/>
      <c r="D345" s="138" t="str">
        <f>IFERROR(__xludf.DUMMYFUNCTION("""COMPUTED_VALUE"""),"")</f>
        <v/>
      </c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>
      <c r="A346" s="138"/>
      <c r="B346" s="138"/>
      <c r="C346" s="138"/>
      <c r="D346" s="138" t="str">
        <f>IFERROR(__xludf.DUMMYFUNCTION("""COMPUTED_VALUE"""),"")</f>
        <v/>
      </c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>
      <c r="A347" s="138"/>
      <c r="B347" s="138"/>
      <c r="C347" s="138"/>
      <c r="D347" s="138" t="str">
        <f>IFERROR(__xludf.DUMMYFUNCTION("""COMPUTED_VALUE"""),"")</f>
        <v/>
      </c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>
      <c r="A348" s="138"/>
      <c r="B348" s="138"/>
      <c r="C348" s="138"/>
      <c r="D348" s="138" t="str">
        <f>IFERROR(__xludf.DUMMYFUNCTION("""COMPUTED_VALUE"""),"")</f>
        <v/>
      </c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>
      <c r="A349" s="138"/>
      <c r="B349" s="138"/>
      <c r="C349" s="138"/>
      <c r="D349" s="138" t="str">
        <f>IFERROR(__xludf.DUMMYFUNCTION("""COMPUTED_VALUE"""),"")</f>
        <v/>
      </c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>
      <c r="A350" s="138"/>
      <c r="B350" s="138"/>
      <c r="C350" s="138"/>
      <c r="D350" s="138" t="str">
        <f>IFERROR(__xludf.DUMMYFUNCTION("""COMPUTED_VALUE"""),"")</f>
        <v/>
      </c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>
      <c r="A351" s="138"/>
      <c r="B351" s="138"/>
      <c r="C351" s="138"/>
      <c r="D351" s="138" t="str">
        <f>IFERROR(__xludf.DUMMYFUNCTION("""COMPUTED_VALUE"""),"")</f>
        <v/>
      </c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>
      <c r="A352" s="138"/>
      <c r="B352" s="138"/>
      <c r="C352" s="138"/>
      <c r="D352" s="138" t="str">
        <f>IFERROR(__xludf.DUMMYFUNCTION("""COMPUTED_VALUE"""),"")</f>
        <v/>
      </c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>
      <c r="A353" s="138"/>
      <c r="B353" s="138"/>
      <c r="C353" s="138"/>
      <c r="D353" s="138" t="str">
        <f>IFERROR(__xludf.DUMMYFUNCTION("""COMPUTED_VALUE"""),"")</f>
        <v/>
      </c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>
      <c r="A354" s="138"/>
      <c r="B354" s="138"/>
      <c r="C354" s="138"/>
      <c r="D354" s="138" t="str">
        <f>IFERROR(__xludf.DUMMYFUNCTION("""COMPUTED_VALUE"""),"")</f>
        <v/>
      </c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>
      <c r="A355" s="138"/>
      <c r="B355" s="138"/>
      <c r="C355" s="138"/>
      <c r="D355" s="138" t="str">
        <f>IFERROR(__xludf.DUMMYFUNCTION("""COMPUTED_VALUE"""),"")</f>
        <v/>
      </c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>
      <c r="A356" s="138"/>
      <c r="B356" s="138"/>
      <c r="C356" s="138"/>
      <c r="D356" s="138" t="str">
        <f>IFERROR(__xludf.DUMMYFUNCTION("""COMPUTED_VALUE"""),"")</f>
        <v/>
      </c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>
      <c r="A357" s="138"/>
      <c r="B357" s="138"/>
      <c r="C357" s="138"/>
      <c r="D357" s="138" t="str">
        <f>IFERROR(__xludf.DUMMYFUNCTION("""COMPUTED_VALUE"""),"")</f>
        <v/>
      </c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>
      <c r="A358" s="138"/>
      <c r="B358" s="138"/>
      <c r="C358" s="138"/>
      <c r="D358" s="138" t="str">
        <f>IFERROR(__xludf.DUMMYFUNCTION("""COMPUTED_VALUE"""),"")</f>
        <v/>
      </c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>
      <c r="A359" s="138"/>
      <c r="B359" s="138"/>
      <c r="C359" s="138"/>
      <c r="D359" s="138" t="str">
        <f>IFERROR(__xludf.DUMMYFUNCTION("""COMPUTED_VALUE"""),"")</f>
        <v/>
      </c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>
      <c r="A360" s="138"/>
      <c r="B360" s="138"/>
      <c r="C360" s="138"/>
      <c r="D360" s="138" t="str">
        <f>IFERROR(__xludf.DUMMYFUNCTION("""COMPUTED_VALUE"""),"")</f>
        <v/>
      </c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>
      <c r="A361" s="138"/>
      <c r="B361" s="138"/>
      <c r="C361" s="138"/>
      <c r="D361" s="138" t="str">
        <f>IFERROR(__xludf.DUMMYFUNCTION("""COMPUTED_VALUE"""),"")</f>
        <v/>
      </c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>
      <c r="A362" s="138"/>
      <c r="B362" s="138"/>
      <c r="C362" s="138"/>
      <c r="D362" s="138" t="str">
        <f>IFERROR(__xludf.DUMMYFUNCTION("""COMPUTED_VALUE"""),"")</f>
        <v/>
      </c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>
      <c r="A363" s="138"/>
      <c r="B363" s="138"/>
      <c r="C363" s="138"/>
      <c r="D363" s="138" t="str">
        <f>IFERROR(__xludf.DUMMYFUNCTION("""COMPUTED_VALUE"""),"")</f>
        <v/>
      </c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>
      <c r="A364" s="138"/>
      <c r="B364" s="138"/>
      <c r="C364" s="138"/>
      <c r="D364" s="138" t="str">
        <f>IFERROR(__xludf.DUMMYFUNCTION("""COMPUTED_VALUE"""),"")</f>
        <v/>
      </c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>
      <c r="A365" s="138"/>
      <c r="B365" s="138"/>
      <c r="C365" s="138"/>
      <c r="D365" s="138" t="str">
        <f>IFERROR(__xludf.DUMMYFUNCTION("""COMPUTED_VALUE"""),"")</f>
        <v/>
      </c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>
      <c r="A366" s="138"/>
      <c r="B366" s="138"/>
      <c r="C366" s="138"/>
      <c r="D366" s="138" t="str">
        <f>IFERROR(__xludf.DUMMYFUNCTION("""COMPUTED_VALUE"""),"")</f>
        <v/>
      </c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>
      <c r="A367" s="138"/>
      <c r="B367" s="138"/>
      <c r="C367" s="138"/>
      <c r="D367" s="138" t="str">
        <f>IFERROR(__xludf.DUMMYFUNCTION("""COMPUTED_VALUE"""),"")</f>
        <v/>
      </c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>
      <c r="A368" s="138"/>
      <c r="B368" s="138"/>
      <c r="C368" s="138"/>
      <c r="D368" s="138" t="str">
        <f>IFERROR(__xludf.DUMMYFUNCTION("""COMPUTED_VALUE"""),"")</f>
        <v/>
      </c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>
      <c r="A369" s="138"/>
      <c r="B369" s="138"/>
      <c r="C369" s="138"/>
      <c r="D369" s="138" t="str">
        <f>IFERROR(__xludf.DUMMYFUNCTION("""COMPUTED_VALUE"""),"")</f>
        <v/>
      </c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>
      <c r="A370" s="138"/>
      <c r="B370" s="138"/>
      <c r="C370" s="138"/>
      <c r="D370" s="138" t="str">
        <f>IFERROR(__xludf.DUMMYFUNCTION("""COMPUTED_VALUE"""),"")</f>
        <v/>
      </c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>
      <c r="A371" s="138"/>
      <c r="B371" s="138"/>
      <c r="C371" s="138"/>
      <c r="D371" s="138" t="str">
        <f>IFERROR(__xludf.DUMMYFUNCTION("""COMPUTED_VALUE"""),"")</f>
        <v/>
      </c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>
      <c r="A372" s="138"/>
      <c r="B372" s="138"/>
      <c r="C372" s="138"/>
      <c r="D372" s="138" t="str">
        <f>IFERROR(__xludf.DUMMYFUNCTION("""COMPUTED_VALUE"""),"")</f>
        <v/>
      </c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>
      <c r="A373" s="138"/>
      <c r="B373" s="138"/>
      <c r="C373" s="138"/>
      <c r="D373" s="138" t="str">
        <f>IFERROR(__xludf.DUMMYFUNCTION("""COMPUTED_VALUE"""),"")</f>
        <v/>
      </c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>
      <c r="A374" s="138"/>
      <c r="B374" s="138"/>
      <c r="C374" s="138"/>
      <c r="D374" s="138" t="str">
        <f>IFERROR(__xludf.DUMMYFUNCTION("""COMPUTED_VALUE"""),"")</f>
        <v/>
      </c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>
      <c r="A375" s="138"/>
      <c r="B375" s="138"/>
      <c r="C375" s="138"/>
      <c r="D375" s="138" t="str">
        <f>IFERROR(__xludf.DUMMYFUNCTION("""COMPUTED_VALUE"""),"")</f>
        <v/>
      </c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>
      <c r="A376" s="138"/>
      <c r="B376" s="138"/>
      <c r="C376" s="138"/>
      <c r="D376" s="138" t="str">
        <f>IFERROR(__xludf.DUMMYFUNCTION("""COMPUTED_VALUE"""),"")</f>
        <v/>
      </c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>
      <c r="A377" s="138"/>
      <c r="B377" s="138"/>
      <c r="C377" s="138"/>
      <c r="D377" s="138" t="str">
        <f>IFERROR(__xludf.DUMMYFUNCTION("""COMPUTED_VALUE"""),"")</f>
        <v/>
      </c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>
      <c r="A378" s="138"/>
      <c r="B378" s="138"/>
      <c r="C378" s="138"/>
      <c r="D378" s="138" t="str">
        <f>IFERROR(__xludf.DUMMYFUNCTION("""COMPUTED_VALUE"""),"")</f>
        <v/>
      </c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>
      <c r="A379" s="138"/>
      <c r="B379" s="138"/>
      <c r="C379" s="138"/>
      <c r="D379" s="138" t="str">
        <f>IFERROR(__xludf.DUMMYFUNCTION("""COMPUTED_VALUE"""),"")</f>
        <v/>
      </c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>
      <c r="A380" s="138"/>
      <c r="B380" s="138"/>
      <c r="C380" s="138"/>
      <c r="D380" s="138" t="str">
        <f>IFERROR(__xludf.DUMMYFUNCTION("""COMPUTED_VALUE"""),"")</f>
        <v/>
      </c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>
      <c r="A381" s="138"/>
      <c r="B381" s="138"/>
      <c r="C381" s="138"/>
      <c r="D381" s="138" t="str">
        <f>IFERROR(__xludf.DUMMYFUNCTION("""COMPUTED_VALUE"""),"")</f>
        <v/>
      </c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>
      <c r="A382" s="138"/>
      <c r="B382" s="138"/>
      <c r="C382" s="138"/>
      <c r="D382" s="138" t="str">
        <f>IFERROR(__xludf.DUMMYFUNCTION("""COMPUTED_VALUE"""),"")</f>
        <v/>
      </c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>
      <c r="A383" s="138"/>
      <c r="B383" s="138"/>
      <c r="C383" s="138"/>
      <c r="D383" s="138" t="str">
        <f>IFERROR(__xludf.DUMMYFUNCTION("""COMPUTED_VALUE"""),"")</f>
        <v/>
      </c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>
      <c r="A384" s="138"/>
      <c r="B384" s="138"/>
      <c r="C384" s="138"/>
      <c r="D384" s="138" t="str">
        <f>IFERROR(__xludf.DUMMYFUNCTION("""COMPUTED_VALUE"""),"")</f>
        <v/>
      </c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>
      <c r="A385" s="138"/>
      <c r="B385" s="138"/>
      <c r="C385" s="138"/>
      <c r="D385" s="138" t="str">
        <f>IFERROR(__xludf.DUMMYFUNCTION("""COMPUTED_VALUE"""),"")</f>
        <v/>
      </c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>
      <c r="A386" s="138"/>
      <c r="B386" s="138"/>
      <c r="C386" s="138"/>
      <c r="D386" s="138" t="str">
        <f>IFERROR(__xludf.DUMMYFUNCTION("""COMPUTED_VALUE"""),"")</f>
        <v/>
      </c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>
      <c r="A387" s="138"/>
      <c r="B387" s="138"/>
      <c r="C387" s="138"/>
      <c r="D387" s="138" t="str">
        <f>IFERROR(__xludf.DUMMYFUNCTION("""COMPUTED_VALUE"""),"")</f>
        <v/>
      </c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>
      <c r="A388" s="138"/>
      <c r="B388" s="138"/>
      <c r="C388" s="138"/>
      <c r="D388" s="138" t="str">
        <f>IFERROR(__xludf.DUMMYFUNCTION("""COMPUTED_VALUE"""),"")</f>
        <v/>
      </c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>
      <c r="A389" s="138"/>
      <c r="B389" s="138"/>
      <c r="C389" s="138"/>
      <c r="D389" s="138" t="str">
        <f>IFERROR(__xludf.DUMMYFUNCTION("""COMPUTED_VALUE"""),"")</f>
        <v/>
      </c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>
      <c r="A390" s="138"/>
      <c r="B390" s="138"/>
      <c r="C390" s="138"/>
      <c r="D390" s="138" t="str">
        <f>IFERROR(__xludf.DUMMYFUNCTION("""COMPUTED_VALUE"""),"")</f>
        <v/>
      </c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>
      <c r="A391" s="138"/>
      <c r="B391" s="138"/>
      <c r="C391" s="138"/>
      <c r="D391" s="138" t="str">
        <f>IFERROR(__xludf.DUMMYFUNCTION("""COMPUTED_VALUE"""),"")</f>
        <v/>
      </c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>
      <c r="A392" s="138"/>
      <c r="B392" s="138"/>
      <c r="C392" s="138"/>
      <c r="D392" s="138" t="str">
        <f>IFERROR(__xludf.DUMMYFUNCTION("""COMPUTED_VALUE"""),"")</f>
        <v/>
      </c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>
      <c r="A393" s="138"/>
      <c r="B393" s="138"/>
      <c r="C393" s="138"/>
      <c r="D393" s="138" t="str">
        <f>IFERROR(__xludf.DUMMYFUNCTION("""COMPUTED_VALUE"""),"")</f>
        <v/>
      </c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>
      <c r="A394" s="138"/>
      <c r="B394" s="138"/>
      <c r="C394" s="138"/>
      <c r="D394" s="138" t="str">
        <f>IFERROR(__xludf.DUMMYFUNCTION("""COMPUTED_VALUE"""),"")</f>
        <v/>
      </c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>
      <c r="A395" s="138"/>
      <c r="B395" s="138"/>
      <c r="C395" s="138"/>
      <c r="D395" s="138" t="str">
        <f>IFERROR(__xludf.DUMMYFUNCTION("""COMPUTED_VALUE"""),"")</f>
        <v/>
      </c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>
      <c r="A396" s="138"/>
      <c r="B396" s="138"/>
      <c r="C396" s="138"/>
      <c r="D396" s="138" t="str">
        <f>IFERROR(__xludf.DUMMYFUNCTION("""COMPUTED_VALUE"""),"")</f>
        <v/>
      </c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>
      <c r="A397" s="138"/>
      <c r="B397" s="138"/>
      <c r="C397" s="138"/>
      <c r="D397" s="138" t="str">
        <f>IFERROR(__xludf.DUMMYFUNCTION("""COMPUTED_VALUE"""),"")</f>
        <v/>
      </c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>
      <c r="A398" s="138"/>
      <c r="B398" s="138"/>
      <c r="C398" s="138"/>
      <c r="D398" s="138" t="str">
        <f>IFERROR(__xludf.DUMMYFUNCTION("""COMPUTED_VALUE"""),"")</f>
        <v/>
      </c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>
      <c r="A399" s="138"/>
      <c r="B399" s="138"/>
      <c r="C399" s="138"/>
      <c r="D399" s="138" t="str">
        <f>IFERROR(__xludf.DUMMYFUNCTION("""COMPUTED_VALUE"""),"")</f>
        <v/>
      </c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>
      <c r="A400" s="138"/>
      <c r="B400" s="138"/>
      <c r="C400" s="138"/>
      <c r="D400" s="138" t="str">
        <f>IFERROR(__xludf.DUMMYFUNCTION("""COMPUTED_VALUE"""),"")</f>
        <v/>
      </c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>
      <c r="A401" s="138"/>
      <c r="B401" s="138"/>
      <c r="C401" s="138"/>
      <c r="D401" s="138" t="str">
        <f>IFERROR(__xludf.DUMMYFUNCTION("""COMPUTED_VALUE"""),"")</f>
        <v/>
      </c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>
      <c r="A402" s="138"/>
      <c r="B402" s="138"/>
      <c r="C402" s="138"/>
      <c r="D402" s="138" t="str">
        <f>IFERROR(__xludf.DUMMYFUNCTION("""COMPUTED_VALUE"""),"")</f>
        <v/>
      </c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>
      <c r="A403" s="138"/>
      <c r="B403" s="138"/>
      <c r="C403" s="138"/>
      <c r="D403" s="138" t="str">
        <f>IFERROR(__xludf.DUMMYFUNCTION("""COMPUTED_VALUE"""),"")</f>
        <v/>
      </c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>
      <c r="A404" s="138"/>
      <c r="B404" s="138"/>
      <c r="C404" s="138"/>
      <c r="D404" s="138" t="str">
        <f>IFERROR(__xludf.DUMMYFUNCTION("""COMPUTED_VALUE"""),"")</f>
        <v/>
      </c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>
      <c r="A405" s="138"/>
      <c r="B405" s="138"/>
      <c r="C405" s="138"/>
      <c r="D405" s="138" t="str">
        <f>IFERROR(__xludf.DUMMYFUNCTION("""COMPUTED_VALUE"""),"")</f>
        <v/>
      </c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>
      <c r="A406" s="138"/>
      <c r="B406" s="138"/>
      <c r="C406" s="138"/>
      <c r="D406" s="138" t="str">
        <f>IFERROR(__xludf.DUMMYFUNCTION("""COMPUTED_VALUE"""),"")</f>
        <v/>
      </c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>
      <c r="A407" s="138"/>
      <c r="B407" s="138"/>
      <c r="C407" s="138"/>
      <c r="D407" s="138" t="str">
        <f>IFERROR(__xludf.DUMMYFUNCTION("""COMPUTED_VALUE"""),"")</f>
        <v/>
      </c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>
      <c r="A408" s="138"/>
      <c r="B408" s="138"/>
      <c r="C408" s="138"/>
      <c r="D408" s="138" t="str">
        <f>IFERROR(__xludf.DUMMYFUNCTION("""COMPUTED_VALUE"""),"")</f>
        <v/>
      </c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>
      <c r="A409" s="138"/>
      <c r="B409" s="138"/>
      <c r="C409" s="138"/>
      <c r="D409" s="138" t="str">
        <f>IFERROR(__xludf.DUMMYFUNCTION("""COMPUTED_VALUE"""),"")</f>
        <v/>
      </c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>
      <c r="A410" s="138"/>
      <c r="B410" s="138"/>
      <c r="C410" s="138"/>
      <c r="D410" s="138" t="str">
        <f>IFERROR(__xludf.DUMMYFUNCTION("""COMPUTED_VALUE"""),"")</f>
        <v/>
      </c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>
      <c r="A411" s="138"/>
      <c r="B411" s="138"/>
      <c r="C411" s="138"/>
      <c r="D411" s="138" t="str">
        <f>IFERROR(__xludf.DUMMYFUNCTION("""COMPUTED_VALUE"""),"")</f>
        <v/>
      </c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>
      <c r="A412" s="138"/>
      <c r="B412" s="138"/>
      <c r="C412" s="138"/>
      <c r="D412" s="138" t="str">
        <f>IFERROR(__xludf.DUMMYFUNCTION("""COMPUTED_VALUE"""),"")</f>
        <v/>
      </c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>
      <c r="A413" s="138"/>
      <c r="B413" s="138"/>
      <c r="C413" s="138"/>
      <c r="D413" s="138" t="str">
        <f>IFERROR(__xludf.DUMMYFUNCTION("""COMPUTED_VALUE"""),"")</f>
        <v/>
      </c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>
      <c r="A414" s="138"/>
      <c r="B414" s="138"/>
      <c r="C414" s="138"/>
      <c r="D414" s="138" t="str">
        <f>IFERROR(__xludf.DUMMYFUNCTION("""COMPUTED_VALUE"""),"")</f>
        <v/>
      </c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>
      <c r="A415" s="138"/>
      <c r="B415" s="138"/>
      <c r="C415" s="138"/>
      <c r="D415" s="138" t="str">
        <f>IFERROR(__xludf.DUMMYFUNCTION("""COMPUTED_VALUE"""),"")</f>
        <v/>
      </c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>
      <c r="A416" s="138"/>
      <c r="B416" s="138"/>
      <c r="C416" s="138"/>
      <c r="D416" s="138" t="str">
        <f>IFERROR(__xludf.DUMMYFUNCTION("""COMPUTED_VALUE"""),"")</f>
        <v/>
      </c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>
      <c r="A417" s="138"/>
      <c r="B417" s="138"/>
      <c r="C417" s="138"/>
      <c r="D417" s="138" t="str">
        <f>IFERROR(__xludf.DUMMYFUNCTION("""COMPUTED_VALUE"""),"")</f>
        <v/>
      </c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>
      <c r="A418" s="138"/>
      <c r="B418" s="138"/>
      <c r="C418" s="138"/>
      <c r="D418" s="138" t="str">
        <f>IFERROR(__xludf.DUMMYFUNCTION("""COMPUTED_VALUE"""),"")</f>
        <v/>
      </c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>
      <c r="A419" s="138"/>
      <c r="B419" s="138"/>
      <c r="C419" s="138"/>
      <c r="D419" s="138" t="str">
        <f>IFERROR(__xludf.DUMMYFUNCTION("""COMPUTED_VALUE"""),"")</f>
        <v/>
      </c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>
      <c r="A420" s="138"/>
      <c r="B420" s="138"/>
      <c r="C420" s="138"/>
      <c r="D420" s="138" t="str">
        <f>IFERROR(__xludf.DUMMYFUNCTION("""COMPUTED_VALUE"""),"")</f>
        <v/>
      </c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>
      <c r="A421" s="138"/>
      <c r="B421" s="138"/>
      <c r="C421" s="138"/>
      <c r="D421" s="138" t="str">
        <f>IFERROR(__xludf.DUMMYFUNCTION("""COMPUTED_VALUE"""),"")</f>
        <v/>
      </c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>
      <c r="A422" s="138"/>
      <c r="B422" s="138"/>
      <c r="C422" s="138"/>
      <c r="D422" s="138" t="str">
        <f>IFERROR(__xludf.DUMMYFUNCTION("""COMPUTED_VALUE"""),"")</f>
        <v/>
      </c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>
      <c r="A423" s="138"/>
      <c r="B423" s="138"/>
      <c r="C423" s="138"/>
      <c r="D423" s="138" t="str">
        <f>IFERROR(__xludf.DUMMYFUNCTION("""COMPUTED_VALUE"""),"")</f>
        <v/>
      </c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>
      <c r="A424" s="138"/>
      <c r="B424" s="138"/>
      <c r="C424" s="138"/>
      <c r="D424" s="138" t="str">
        <f>IFERROR(__xludf.DUMMYFUNCTION("""COMPUTED_VALUE"""),"")</f>
        <v/>
      </c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>
      <c r="A425" s="138"/>
      <c r="B425" s="138"/>
      <c r="C425" s="138"/>
      <c r="D425" s="138" t="str">
        <f>IFERROR(__xludf.DUMMYFUNCTION("""COMPUTED_VALUE"""),"")</f>
        <v/>
      </c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>
      <c r="A426" s="138"/>
      <c r="B426" s="138"/>
      <c r="C426" s="138"/>
      <c r="D426" s="138" t="str">
        <f>IFERROR(__xludf.DUMMYFUNCTION("""COMPUTED_VALUE"""),"")</f>
        <v/>
      </c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>
      <c r="A427" s="138"/>
      <c r="B427" s="138"/>
      <c r="C427" s="138"/>
      <c r="D427" s="138" t="str">
        <f>IFERROR(__xludf.DUMMYFUNCTION("""COMPUTED_VALUE"""),"")</f>
        <v/>
      </c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>
      <c r="A428" s="138"/>
      <c r="B428" s="138"/>
      <c r="C428" s="138"/>
      <c r="D428" s="138" t="str">
        <f>IFERROR(__xludf.DUMMYFUNCTION("""COMPUTED_VALUE"""),"")</f>
        <v/>
      </c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>
      <c r="A429" s="138"/>
      <c r="B429" s="138"/>
      <c r="C429" s="138"/>
      <c r="D429" s="138" t="str">
        <f>IFERROR(__xludf.DUMMYFUNCTION("""COMPUTED_VALUE"""),"")</f>
        <v/>
      </c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>
      <c r="A430" s="138"/>
      <c r="B430" s="138"/>
      <c r="C430" s="138"/>
      <c r="D430" s="138" t="str">
        <f>IFERROR(__xludf.DUMMYFUNCTION("""COMPUTED_VALUE"""),"")</f>
        <v/>
      </c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>
      <c r="A431" s="138"/>
      <c r="B431" s="138"/>
      <c r="C431" s="138"/>
      <c r="D431" s="138" t="str">
        <f>IFERROR(__xludf.DUMMYFUNCTION("""COMPUTED_VALUE"""),"")</f>
        <v/>
      </c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>
      <c r="A432" s="138"/>
      <c r="B432" s="138"/>
      <c r="C432" s="138"/>
      <c r="D432" s="138" t="str">
        <f>IFERROR(__xludf.DUMMYFUNCTION("""COMPUTED_VALUE"""),"")</f>
        <v/>
      </c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>
      <c r="A433" s="138"/>
      <c r="B433" s="138"/>
      <c r="C433" s="138"/>
      <c r="D433" s="138" t="str">
        <f>IFERROR(__xludf.DUMMYFUNCTION("""COMPUTED_VALUE"""),"")</f>
        <v/>
      </c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>
      <c r="A434" s="138"/>
      <c r="B434" s="138"/>
      <c r="C434" s="138"/>
      <c r="D434" s="138" t="str">
        <f>IFERROR(__xludf.DUMMYFUNCTION("""COMPUTED_VALUE"""),"")</f>
        <v/>
      </c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>
      <c r="A435" s="138"/>
      <c r="B435" s="138"/>
      <c r="C435" s="138"/>
      <c r="D435" s="138" t="str">
        <f>IFERROR(__xludf.DUMMYFUNCTION("""COMPUTED_VALUE"""),"")</f>
        <v/>
      </c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>
      <c r="A436" s="138"/>
      <c r="B436" s="138"/>
      <c r="C436" s="138"/>
      <c r="D436" s="138" t="str">
        <f>IFERROR(__xludf.DUMMYFUNCTION("""COMPUTED_VALUE"""),"")</f>
        <v/>
      </c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>
      <c r="A437" s="138"/>
      <c r="B437" s="138"/>
      <c r="C437" s="138"/>
      <c r="D437" s="138" t="str">
        <f>IFERROR(__xludf.DUMMYFUNCTION("""COMPUTED_VALUE"""),"")</f>
        <v/>
      </c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>
      <c r="A438" s="138"/>
      <c r="B438" s="138"/>
      <c r="C438" s="138"/>
      <c r="D438" s="138" t="str">
        <f>IFERROR(__xludf.DUMMYFUNCTION("""COMPUTED_VALUE"""),"")</f>
        <v/>
      </c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>
      <c r="A439" s="138"/>
      <c r="B439" s="138"/>
      <c r="C439" s="138"/>
      <c r="D439" s="138" t="str">
        <f>IFERROR(__xludf.DUMMYFUNCTION("""COMPUTED_VALUE"""),"")</f>
        <v/>
      </c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>
      <c r="A440" s="138"/>
      <c r="B440" s="138"/>
      <c r="C440" s="138"/>
      <c r="D440" s="138" t="str">
        <f>IFERROR(__xludf.DUMMYFUNCTION("""COMPUTED_VALUE"""),"")</f>
        <v/>
      </c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>
      <c r="A441" s="138"/>
      <c r="B441" s="138"/>
      <c r="C441" s="138"/>
      <c r="D441" s="138" t="str">
        <f>IFERROR(__xludf.DUMMYFUNCTION("""COMPUTED_VALUE"""),"")</f>
        <v/>
      </c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>
      <c r="A442" s="138"/>
      <c r="B442" s="138"/>
      <c r="C442" s="138"/>
      <c r="D442" s="138" t="str">
        <f>IFERROR(__xludf.DUMMYFUNCTION("""COMPUTED_VALUE"""),"")</f>
        <v/>
      </c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>
      <c r="A443" s="138"/>
      <c r="B443" s="138"/>
      <c r="C443" s="138"/>
      <c r="D443" s="138" t="str">
        <f>IFERROR(__xludf.DUMMYFUNCTION("""COMPUTED_VALUE"""),"")</f>
        <v/>
      </c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>
      <c r="A444" s="138"/>
      <c r="B444" s="138"/>
      <c r="C444" s="138"/>
      <c r="D444" s="138" t="str">
        <f>IFERROR(__xludf.DUMMYFUNCTION("""COMPUTED_VALUE"""),"")</f>
        <v/>
      </c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>
      <c r="A445" s="138"/>
      <c r="B445" s="138"/>
      <c r="C445" s="138"/>
      <c r="D445" s="138" t="str">
        <f>IFERROR(__xludf.DUMMYFUNCTION("""COMPUTED_VALUE"""),"")</f>
        <v/>
      </c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>
      <c r="A446" s="138"/>
      <c r="B446" s="138"/>
      <c r="C446" s="138"/>
      <c r="D446" s="138" t="str">
        <f>IFERROR(__xludf.DUMMYFUNCTION("""COMPUTED_VALUE"""),"")</f>
        <v/>
      </c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>
      <c r="A447" s="138"/>
      <c r="B447" s="138"/>
      <c r="C447" s="138"/>
      <c r="D447" s="138" t="str">
        <f>IFERROR(__xludf.DUMMYFUNCTION("""COMPUTED_VALUE"""),"")</f>
        <v/>
      </c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>
      <c r="A448" s="138"/>
      <c r="B448" s="138"/>
      <c r="C448" s="138"/>
      <c r="D448" s="138" t="str">
        <f>IFERROR(__xludf.DUMMYFUNCTION("""COMPUTED_VALUE"""),"")</f>
        <v/>
      </c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>
      <c r="A449" s="138"/>
      <c r="B449" s="138"/>
      <c r="C449" s="138"/>
      <c r="D449" s="138" t="str">
        <f>IFERROR(__xludf.DUMMYFUNCTION("""COMPUTED_VALUE"""),"")</f>
        <v/>
      </c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>
      <c r="A450" s="138"/>
      <c r="B450" s="138"/>
      <c r="C450" s="138"/>
      <c r="D450" s="138" t="str">
        <f>IFERROR(__xludf.DUMMYFUNCTION("""COMPUTED_VALUE"""),"")</f>
        <v/>
      </c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>
      <c r="A451" s="138"/>
      <c r="B451" s="138"/>
      <c r="C451" s="138"/>
      <c r="D451" s="138" t="str">
        <f>IFERROR(__xludf.DUMMYFUNCTION("""COMPUTED_VALUE"""),"")</f>
        <v/>
      </c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>
      <c r="A452" s="138"/>
      <c r="B452" s="138"/>
      <c r="C452" s="138"/>
      <c r="D452" s="138" t="str">
        <f>IFERROR(__xludf.DUMMYFUNCTION("""COMPUTED_VALUE"""),"")</f>
        <v/>
      </c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>
      <c r="A453" s="138"/>
      <c r="B453" s="138"/>
      <c r="C453" s="138"/>
      <c r="D453" s="138" t="str">
        <f>IFERROR(__xludf.DUMMYFUNCTION("""COMPUTED_VALUE"""),"")</f>
        <v/>
      </c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>
      <c r="A454" s="138"/>
      <c r="B454" s="138"/>
      <c r="C454" s="138"/>
      <c r="D454" s="138" t="str">
        <f>IFERROR(__xludf.DUMMYFUNCTION("""COMPUTED_VALUE"""),"")</f>
        <v/>
      </c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>
      <c r="A455" s="138"/>
      <c r="B455" s="138"/>
      <c r="C455" s="138"/>
      <c r="D455" s="138" t="str">
        <f>IFERROR(__xludf.DUMMYFUNCTION("""COMPUTED_VALUE"""),"")</f>
        <v/>
      </c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>
      <c r="A456" s="138"/>
      <c r="B456" s="138"/>
      <c r="C456" s="138"/>
      <c r="D456" s="138" t="str">
        <f>IFERROR(__xludf.DUMMYFUNCTION("""COMPUTED_VALUE"""),"")</f>
        <v/>
      </c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>
      <c r="A457" s="138"/>
      <c r="B457" s="138"/>
      <c r="C457" s="138"/>
      <c r="D457" s="138" t="str">
        <f>IFERROR(__xludf.DUMMYFUNCTION("""COMPUTED_VALUE"""),"")</f>
        <v/>
      </c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>
      <c r="A458" s="138"/>
      <c r="B458" s="138"/>
      <c r="C458" s="138"/>
      <c r="D458" s="138" t="str">
        <f>IFERROR(__xludf.DUMMYFUNCTION("""COMPUTED_VALUE"""),"")</f>
        <v/>
      </c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>
      <c r="A459" s="138"/>
      <c r="B459" s="138"/>
      <c r="C459" s="138"/>
      <c r="D459" s="138" t="str">
        <f>IFERROR(__xludf.DUMMYFUNCTION("""COMPUTED_VALUE"""),"")</f>
        <v/>
      </c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>
      <c r="A460" s="138"/>
      <c r="B460" s="138"/>
      <c r="C460" s="138"/>
      <c r="D460" s="138" t="str">
        <f>IFERROR(__xludf.DUMMYFUNCTION("""COMPUTED_VALUE"""),"")</f>
        <v/>
      </c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>
      <c r="A461" s="138"/>
      <c r="B461" s="138"/>
      <c r="C461" s="138"/>
      <c r="D461" s="138" t="str">
        <f>IFERROR(__xludf.DUMMYFUNCTION("""COMPUTED_VALUE"""),"")</f>
        <v/>
      </c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>
      <c r="A462" s="138"/>
      <c r="B462" s="138"/>
      <c r="C462" s="138"/>
      <c r="D462" s="138" t="str">
        <f>IFERROR(__xludf.DUMMYFUNCTION("""COMPUTED_VALUE"""),"")</f>
        <v/>
      </c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>
      <c r="A463" s="138"/>
      <c r="B463" s="138"/>
      <c r="C463" s="138"/>
      <c r="D463" s="138" t="str">
        <f>IFERROR(__xludf.DUMMYFUNCTION("""COMPUTED_VALUE"""),"")</f>
        <v/>
      </c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>
      <c r="A464" s="138"/>
      <c r="B464" s="138"/>
      <c r="C464" s="138"/>
      <c r="D464" s="138" t="str">
        <f>IFERROR(__xludf.DUMMYFUNCTION("""COMPUTED_VALUE"""),"")</f>
        <v/>
      </c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>
      <c r="A465" s="138"/>
      <c r="B465" s="138"/>
      <c r="C465" s="138"/>
      <c r="D465" s="138" t="str">
        <f>IFERROR(__xludf.DUMMYFUNCTION("""COMPUTED_VALUE"""),"")</f>
        <v/>
      </c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>
      <c r="A466" s="138"/>
      <c r="B466" s="138"/>
      <c r="C466" s="138"/>
      <c r="D466" s="138" t="str">
        <f>IFERROR(__xludf.DUMMYFUNCTION("""COMPUTED_VALUE"""),"")</f>
        <v/>
      </c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>
      <c r="A467" s="138"/>
      <c r="B467" s="138"/>
      <c r="C467" s="138"/>
      <c r="D467" s="138" t="str">
        <f>IFERROR(__xludf.DUMMYFUNCTION("""COMPUTED_VALUE"""),"")</f>
        <v/>
      </c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>
      <c r="A468" s="138"/>
      <c r="B468" s="138"/>
      <c r="C468" s="138"/>
      <c r="D468" s="138" t="str">
        <f>IFERROR(__xludf.DUMMYFUNCTION("""COMPUTED_VALUE"""),"")</f>
        <v/>
      </c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>
      <c r="A469" s="138"/>
      <c r="B469" s="138"/>
      <c r="C469" s="138"/>
      <c r="D469" s="138" t="str">
        <f>IFERROR(__xludf.DUMMYFUNCTION("""COMPUTED_VALUE"""),"")</f>
        <v/>
      </c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>
      <c r="A470" s="138"/>
      <c r="B470" s="138"/>
      <c r="C470" s="138"/>
      <c r="D470" s="138" t="str">
        <f>IFERROR(__xludf.DUMMYFUNCTION("""COMPUTED_VALUE"""),"")</f>
        <v/>
      </c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>
      <c r="A471" s="138"/>
      <c r="B471" s="138"/>
      <c r="C471" s="138"/>
      <c r="D471" s="138" t="str">
        <f>IFERROR(__xludf.DUMMYFUNCTION("""COMPUTED_VALUE"""),"")</f>
        <v/>
      </c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>
      <c r="A472" s="138"/>
      <c r="B472" s="138"/>
      <c r="C472" s="138"/>
      <c r="D472" s="138" t="str">
        <f>IFERROR(__xludf.DUMMYFUNCTION("""COMPUTED_VALUE"""),"")</f>
        <v/>
      </c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>
      <c r="A473" s="138"/>
      <c r="B473" s="138"/>
      <c r="C473" s="138"/>
      <c r="D473" s="138" t="str">
        <f>IFERROR(__xludf.DUMMYFUNCTION("""COMPUTED_VALUE"""),"")</f>
        <v/>
      </c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>
      <c r="A474" s="138"/>
      <c r="B474" s="138"/>
      <c r="C474" s="138"/>
      <c r="D474" s="138" t="str">
        <f>IFERROR(__xludf.DUMMYFUNCTION("""COMPUTED_VALUE"""),"")</f>
        <v/>
      </c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>
      <c r="A475" s="138"/>
      <c r="B475" s="138"/>
      <c r="C475" s="138"/>
      <c r="D475" s="138" t="str">
        <f>IFERROR(__xludf.DUMMYFUNCTION("""COMPUTED_VALUE"""),"")</f>
        <v/>
      </c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>
      <c r="A476" s="138"/>
      <c r="B476" s="138"/>
      <c r="C476" s="138"/>
      <c r="D476" s="138" t="str">
        <f>IFERROR(__xludf.DUMMYFUNCTION("""COMPUTED_VALUE"""),"")</f>
        <v/>
      </c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>
      <c r="A477" s="138"/>
      <c r="B477" s="138"/>
      <c r="C477" s="138"/>
      <c r="D477" s="138" t="str">
        <f>IFERROR(__xludf.DUMMYFUNCTION("""COMPUTED_VALUE"""),"")</f>
        <v/>
      </c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>
      <c r="A478" s="138"/>
      <c r="B478" s="138"/>
      <c r="C478" s="138"/>
      <c r="D478" s="138" t="str">
        <f>IFERROR(__xludf.DUMMYFUNCTION("""COMPUTED_VALUE"""),"")</f>
        <v/>
      </c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>
      <c r="A479" s="138"/>
      <c r="B479" s="138"/>
      <c r="C479" s="138"/>
      <c r="D479" s="138" t="str">
        <f>IFERROR(__xludf.DUMMYFUNCTION("""COMPUTED_VALUE"""),"")</f>
        <v/>
      </c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>
      <c r="A480" s="138"/>
      <c r="B480" s="138"/>
      <c r="C480" s="138"/>
      <c r="D480" s="138" t="str">
        <f>IFERROR(__xludf.DUMMYFUNCTION("""COMPUTED_VALUE"""),"")</f>
        <v/>
      </c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>
      <c r="A481" s="138"/>
      <c r="B481" s="138"/>
      <c r="C481" s="138"/>
      <c r="D481" s="138" t="str">
        <f>IFERROR(__xludf.DUMMYFUNCTION("""COMPUTED_VALUE"""),"")</f>
        <v/>
      </c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>
      <c r="A482" s="138"/>
      <c r="B482" s="138"/>
      <c r="C482" s="138"/>
      <c r="D482" s="138" t="str">
        <f>IFERROR(__xludf.DUMMYFUNCTION("""COMPUTED_VALUE"""),"")</f>
        <v/>
      </c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>
      <c r="A483" s="138"/>
      <c r="B483" s="138"/>
      <c r="C483" s="138"/>
      <c r="D483" s="138" t="str">
        <f>IFERROR(__xludf.DUMMYFUNCTION("""COMPUTED_VALUE"""),"")</f>
        <v/>
      </c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>
      <c r="A484" s="138"/>
      <c r="B484" s="138"/>
      <c r="C484" s="138"/>
      <c r="D484" s="138" t="str">
        <f>IFERROR(__xludf.DUMMYFUNCTION("""COMPUTED_VALUE"""),"")</f>
        <v/>
      </c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>
      <c r="A485" s="138"/>
      <c r="B485" s="138"/>
      <c r="C485" s="138"/>
      <c r="D485" s="138" t="str">
        <f>IFERROR(__xludf.DUMMYFUNCTION("""COMPUTED_VALUE"""),"")</f>
        <v/>
      </c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>
      <c r="A486" s="138"/>
      <c r="B486" s="138"/>
      <c r="C486" s="138"/>
      <c r="D486" s="138" t="str">
        <f>IFERROR(__xludf.DUMMYFUNCTION("""COMPUTED_VALUE"""),"")</f>
        <v/>
      </c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>
      <c r="A487" s="138"/>
      <c r="B487" s="138"/>
      <c r="C487" s="138"/>
      <c r="D487" s="138" t="str">
        <f>IFERROR(__xludf.DUMMYFUNCTION("""COMPUTED_VALUE"""),"")</f>
        <v/>
      </c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>
      <c r="A488" s="138"/>
      <c r="B488" s="138"/>
      <c r="C488" s="138"/>
      <c r="D488" s="138" t="str">
        <f>IFERROR(__xludf.DUMMYFUNCTION("""COMPUTED_VALUE"""),"")</f>
        <v/>
      </c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>
      <c r="A489" s="138"/>
      <c r="B489" s="138"/>
      <c r="C489" s="138"/>
      <c r="D489" s="138" t="str">
        <f>IFERROR(__xludf.DUMMYFUNCTION("""COMPUTED_VALUE"""),"")</f>
        <v/>
      </c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>
      <c r="A490" s="138"/>
      <c r="B490" s="138"/>
      <c r="C490" s="138"/>
      <c r="D490" s="138" t="str">
        <f>IFERROR(__xludf.DUMMYFUNCTION("""COMPUTED_VALUE"""),"")</f>
        <v/>
      </c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>
      <c r="A491" s="138"/>
      <c r="B491" s="138"/>
      <c r="C491" s="138"/>
      <c r="D491" s="138" t="str">
        <f>IFERROR(__xludf.DUMMYFUNCTION("""COMPUTED_VALUE"""),"")</f>
        <v/>
      </c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>
      <c r="A492" s="138"/>
      <c r="B492" s="138"/>
      <c r="C492" s="138"/>
      <c r="D492" s="138" t="str">
        <f>IFERROR(__xludf.DUMMYFUNCTION("""COMPUTED_VALUE"""),"")</f>
        <v/>
      </c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>
      <c r="A493" s="138"/>
      <c r="B493" s="138"/>
      <c r="C493" s="138"/>
      <c r="D493" s="138" t="str">
        <f>IFERROR(__xludf.DUMMYFUNCTION("""COMPUTED_VALUE"""),"")</f>
        <v/>
      </c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>
      <c r="A494" s="138"/>
      <c r="B494" s="138"/>
      <c r="C494" s="138"/>
      <c r="D494" s="138" t="str">
        <f>IFERROR(__xludf.DUMMYFUNCTION("""COMPUTED_VALUE"""),"")</f>
        <v/>
      </c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>
      <c r="A495" s="138"/>
      <c r="B495" s="138"/>
      <c r="C495" s="138"/>
      <c r="D495" s="138" t="str">
        <f>IFERROR(__xludf.DUMMYFUNCTION("""COMPUTED_VALUE"""),"")</f>
        <v/>
      </c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>
      <c r="A496" s="138"/>
      <c r="B496" s="138"/>
      <c r="C496" s="138"/>
      <c r="D496" s="138" t="str">
        <f>IFERROR(__xludf.DUMMYFUNCTION("""COMPUTED_VALUE"""),"")</f>
        <v/>
      </c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>
      <c r="A497" s="138"/>
      <c r="B497" s="138"/>
      <c r="C497" s="138"/>
      <c r="D497" s="138" t="str">
        <f>IFERROR(__xludf.DUMMYFUNCTION("""COMPUTED_VALUE"""),"")</f>
        <v/>
      </c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>
      <c r="A498" s="138"/>
      <c r="B498" s="138"/>
      <c r="C498" s="138"/>
      <c r="D498" s="138" t="str">
        <f>IFERROR(__xludf.DUMMYFUNCTION("""COMPUTED_VALUE"""),"")</f>
        <v/>
      </c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>
      <c r="A499" s="138"/>
      <c r="B499" s="138"/>
      <c r="C499" s="138"/>
      <c r="D499" s="138" t="str">
        <f>IFERROR(__xludf.DUMMYFUNCTION("""COMPUTED_VALUE"""),"")</f>
        <v/>
      </c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>
      <c r="A500" s="138"/>
      <c r="B500" s="138"/>
      <c r="C500" s="138"/>
      <c r="D500" s="138" t="str">
        <f>IFERROR(__xludf.DUMMYFUNCTION("""COMPUTED_VALUE"""),"")</f>
        <v/>
      </c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</sheetData>
  <autoFilter ref="$A$4:$Z$147">
    <filterColumn colId="1">
      <filters>
        <filter val="BANT"/>
      </filters>
    </filterColumn>
  </autoFilter>
  <drawing r:id="rId1"/>
</worksheet>
</file>
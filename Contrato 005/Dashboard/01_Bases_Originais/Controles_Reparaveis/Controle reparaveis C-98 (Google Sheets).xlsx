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<sst xmlns="http://schemas.openxmlformats.org/spreadsheetml/2006/main" count="21700" uniqueCount="2961">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</sst>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  <numFmt numFmtId="177" formatCode="dmmmyy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177" xfId="0" applyFont="1" applyNumberFormat="1"/>
    <xf borderId="0" fillId="0" fontId="7" numFmtId="0" xfId="0" applyFont="1"/>
    <xf borderId="0" fillId="0" fontId="7" numFmtId="49" xfId="0" applyFont="1" applyNumberForma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46323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46296.0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625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609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609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609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587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587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587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587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587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587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587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587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587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587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587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587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587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587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587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587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587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587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554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554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554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>026/2026</v>
      </c>
      <c r="U49" s="51" t="str">
        <f t="array" ref="U49">IFERROR(_xlfn.XLOOKUP($F49,'Acerto virtual'!$E:$E,'Acerto virtual'!G:G),"")</f>
        <v>06/10</v>
      </c>
      <c r="V49" s="51" t="str">
        <f t="array" ref="V49">IFERROR(_xlfn.XLOOKUP($F49,'Acerto virtual'!$E:$E,'Acerto virtual'!H:H),"")</f>
        <v>06/10</v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>06/10</v>
      </c>
      <c r="Y49" s="51" t="str">
        <f t="array" ref="Y49">IFERROR(_xlfn.XLOOKUP($F49,'Acerto virtual'!$E:$E,'Acerto virtual'!K:K),"")</f>
        <v>07/10</v>
      </c>
      <c r="Z49" s="51" t="str">
        <f t="array" ref="Z49">IFERROR(_xlfn.XLOOKUP($F49,'Acerto virtual'!$E:$E,'Acerto virtual'!L:L),"")</f>
        <v>07/10</v>
      </c>
      <c r="AA49" s="51" t="str">
        <f t="array" ref="AA49">IFERROR(_xlfn.XLOOKUP($F49,'Acerto virtual'!$E:$E,'Acerto virtual'!M:M),"")</f>
        <v>07/10</v>
      </c>
      <c r="AB49" s="51" t="str">
        <f t="array" ref="AB49">IFERROR(_xlfn.XLOOKUP($F49,'Acerto virtual'!$E:$E,'Acerto virtual'!N:N),"")</f>
        <v>07/10</v>
      </c>
      <c r="AC49" s="51" t="str">
        <f t="array" ref="AC49">IFERROR(_xlfn.XLOOKUP($F49,'Acerto virtual'!$E:$E,'Acerto virtual'!O:O),"")</f>
        <v>07/10</v>
      </c>
      <c r="AD49" s="51" t="str">
        <f t="array" ref="AD49">IFERROR(_xlfn.XLOOKUP($F49,'Acerto virtual'!$E:$E,'Acerto virtual'!P:P),"")</f>
        <v>08/10</v>
      </c>
      <c r="AE49" s="51" t="str">
        <f t="array" ref="AE49">IFERROR(_xlfn.XLOOKUP($F49,'Acerto virtual'!$E:$E,'Acerto virtual'!Q:Q),"")</f>
        <v>08/10</v>
      </c>
      <c r="AF49" s="51" t="str">
        <f t="array" ref="AF49">IFERROR(_xlfn.XLOOKUP($F49,'Acerto virtual'!$E:$E,'Acerto virtual'!R:R),"")</f>
        <v>08/10</v>
      </c>
      <c r="AG49" s="51" t="str">
        <f t="array" ref="AG49">IFERROR(_xlfn.XLOOKUP($F49,'Acerto virtual'!$E:$E,'Acerto virtual'!S:S),"")</f>
        <v>08/10</v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554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554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554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554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554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554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524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524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520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520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520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520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510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510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510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510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510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492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492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492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483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483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483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483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483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483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483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483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483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483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483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483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474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474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470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468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454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454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454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454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441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432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432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432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432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432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429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429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425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425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>RECEBIMENTO PENDENTE - ENTRADA EM ABERTO - GODOY 05/10/2026</v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>RECEBIMENTO PENDENTE - ENTRADA EM ABERTO - GODOY 05/10/2026</v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413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406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>29/09</v>
      </c>
      <c r="AI174" s="51" t="str">
        <f t="array" ref="AI174">IFERROR(_xlfn.XLOOKUP($F174,'Acerto virtual'!$E:$E,'Acerto virtual'!U:U),"")</f>
        <v>RECEBIDO POR 2S BRUNO</v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406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406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406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386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386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386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384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384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384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384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377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358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358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356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355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355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344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337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337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337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337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337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337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323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323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316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316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316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313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313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>01/09</v>
      </c>
      <c r="AH222" s="51" t="str">
        <f t="array" ref="AH222">IFERROR(_xlfn.XLOOKUP($F222,'Acerto virtual'!$E:$E,'Acerto virtual'!T:T),"")</f>
        <v>20/10</v>
      </c>
      <c r="AI222" s="51" t="str">
        <f t="array" ref="AI222">IFERROR(_xlfn.XLOOKUP($F222,'Acerto virtual'!$E:$E,'Acerto virtual'!U:U),"")</f>
        <v>RECEBIDO POR 3S KESIA</v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313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295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295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295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295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295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>20/10</v>
      </c>
      <c r="AI240" s="51" t="str">
        <f t="array" ref="AI240">IFERROR(_xlfn.XLOOKUP($F240,'Acerto virtual'!$E:$E,'Acerto virtual'!U:U),"")</f>
        <v>RECEBIDO POR 3S KESIA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287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287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275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275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273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>04/09</v>
      </c>
      <c r="AI253" s="51" t="str">
        <f t="array" ref="AI253">IFERROR(_xlfn.XLOOKUP($F253,'Acerto virtual'!$E:$E,'Acerto virtual'!U:U),"")</f>
        <v>RECEBIDO POR 2S CIPRIANO</v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260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260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260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260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>01/09</v>
      </c>
      <c r="AH265" s="51" t="str">
        <f t="array" ref="AH265">IFERROR(_xlfn.XLOOKUP($F265,'Acerto virtual'!$E:$E,'Acerto virtual'!T:T),"")</f>
        <v>09/09</v>
      </c>
      <c r="AI265" s="51" t="str">
        <f t="array" ref="AI265">IFERROR(_xlfn.XLOOKUP($F265,'Acerto virtual'!$E:$E,'Acerto virtual'!U:U),"")</f>
        <v>RECEBIDO POR 3S KESIA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260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260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260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260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260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260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260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260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246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246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238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238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233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216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211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198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198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198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198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198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198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198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198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>09/09</v>
      </c>
      <c r="AI310" s="51" t="str">
        <f t="array" ref="AI310">IFERROR(_xlfn.XLOOKUP($F310,'Acerto virtual'!$E:$E,'Acerto virtual'!U:U),"")</f>
        <v>RECEBIDO POR 3S KESIA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198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198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>RECEBIMENTO PENDENTE - ENTRADA EM ABERTO - GODOY 05/10/2026</v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198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198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198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198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198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198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198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198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198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198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198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198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181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181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181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181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>RECEBIMENTO PENDENTE - ENTRADA EM ABERTO - GODOY 05/10/2026</v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181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181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181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181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181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181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181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181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181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181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181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181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181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181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181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175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175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175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175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>01/09</v>
      </c>
      <c r="AH375" s="51" t="str">
        <f t="array" ref="AH375">IFERROR(_xlfn.XLOOKUP($F375,'Acerto virtual'!$E:$E,'Acerto virtual'!T:T),"")</f>
        <v>09/09</v>
      </c>
      <c r="AI375" s="51" t="str">
        <f t="array" ref="AI375">IFERROR(_xlfn.XLOOKUP($F375,'Acerto virtual'!$E:$E,'Acerto virtual'!U:U),"")</f>
        <v>RECEBIDO POR 3S KESIA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174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174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169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169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>09/09</v>
      </c>
      <c r="AI380" s="51" t="str">
        <f t="array" ref="AI380">IFERROR(_xlfn.XLOOKUP($F380,'Acerto virtual'!$E:$E,'Acerto virtual'!U:U),"")</f>
        <v>RECEBIDO POR 3S KESIA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169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169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169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169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169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169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159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152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152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152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152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>01/09</v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>RECEBIMENTO PENDENTE - ENTRADA EM ABERTO - GODOY 05/10/2026</v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>01/09</v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>RECEBIMENTO PENDENTE - ENTRADA EM ABERTO - GODOY 05/10/2026</v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152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152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152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152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>09/09</v>
      </c>
      <c r="AI408" s="51" t="str">
        <f t="array" ref="AI408">IFERROR(_xlfn.XLOOKUP($F408,'Acerto virtual'!$E:$E,'Acerto virtual'!U:U),"")</f>
        <v>RECEBIDO POR 3S KESIA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140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140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140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140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140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135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135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135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135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135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135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135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135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135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135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135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135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135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135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135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135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135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135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135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135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135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135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127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127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120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118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112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112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97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97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97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93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93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93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93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93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92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90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90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90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90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89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93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93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93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93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93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93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93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93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93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92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92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92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92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92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92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92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92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92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92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92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92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92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92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92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92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92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92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92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92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92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92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92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92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92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92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92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92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92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92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91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91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91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86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86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86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83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83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79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79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71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71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71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69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69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69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69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69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58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58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58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58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54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49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49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49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49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49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49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49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49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49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49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49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49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49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49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49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49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49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42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42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42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42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42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42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42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42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42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42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42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35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35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RBS28/10/26.")</f>
        <v>Acerto virtual de item atendido pela empresa Vee One através do contrato 005/CELOG-PAMALS/2025; RBS28/10/26.</v>
      </c>
      <c r="B1" s="139"/>
      <c r="C1" s="139"/>
      <c r="D1" s="139"/>
      <c r="E1" s="139"/>
      <c r="F1" s="139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>
      <c r="A2" s="140" t="str">
        <f>IFERROR(__xludf.DUMMYFUNCTION("""COMPUTED_VALUE"""),"Acerto virtual de item atendido pela empresa Vee One através do contrato 005/CELOG-PAMALS/2025; NGS28/10/26.")</f>
        <v>Acerto virtual de item atendido pela empresa Vee One através do contrato 005/CELOG-PAMALS/2025; NGS28/10/26.</v>
      </c>
      <c r="B2" s="139"/>
      <c r="C2" s="139"/>
      <c r="D2" s="139"/>
      <c r="E2" s="139"/>
      <c r="F2" s="139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</row>
    <row r="3">
      <c r="A3" s="140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</row>
    <row r="4">
      <c r="A4" s="140" t="str">
        <f>IFERROR(__xludf.DUMMYFUNCTION("""COMPUTED_VALUE"""),"ORIG")</f>
        <v>ORIG</v>
      </c>
      <c r="B4" s="140" t="str">
        <f>IFERROR(__xludf.DUMMYFUNCTION("""COMPUTED_VALUE"""),"DEST")</f>
        <v>DEST</v>
      </c>
      <c r="C4" s="140" t="str">
        <f>IFERROR(__xludf.DUMMYFUNCTION("""COMPUTED_VALUE"""),"PN")</f>
        <v>PN</v>
      </c>
      <c r="D4" s="140" t="str">
        <f>IFERROR(__xludf.DUMMYFUNCTION("""COMPUTED_VALUE"""),"NOMENCLATURA")</f>
        <v>NOMENCLATURA</v>
      </c>
      <c r="E4" s="140" t="str">
        <f>IFERROR(__xludf.DUMMYFUNCTION("""COMPUTED_VALUE"""),"SN")</f>
        <v>SN</v>
      </c>
      <c r="F4" s="140" t="str">
        <f>IFERROR(__xludf.DUMMYFUNCTION("""COMPUTED_VALUE"""),"TERMO DE RECEBIMENTO")</f>
        <v>TERMO DE RECEBIMENTO</v>
      </c>
      <c r="G4" s="140" t="str">
        <f>IFERROR(__xludf.DUMMYFUNCTION("""COMPUTED_VALUE"""),"DATA DO TERMO")</f>
        <v>DATA DO TERMO</v>
      </c>
      <c r="H4" s="140" t="str">
        <f>IFERROR(__xludf.DUMMYFUNCTION("""COMPUTED_VALUE"""),"RECEBIMENTO DO TERMO")</f>
        <v>RECEBIMENTO DO TERMO</v>
      </c>
      <c r="I4" s="140" t="str">
        <f>IFERROR(__xludf.DUMMYFUNCTION("""COMPUTED_VALUE"""),"SOLICITAR INFO à Vee One")</f>
        <v>SOLICITAR INFO à Vee One</v>
      </c>
      <c r="J4" s="140" t="str">
        <f>IFERROR(__xludf.DUMMYFUNCTION("""COMPUTED_VALUE"""),"SOLICITAR CONCLUSÃO OS")</f>
        <v>SOLICITAR CONCLUSÃO OS</v>
      </c>
      <c r="K4" s="140" t="str">
        <f>IFERROR(__xludf.DUMMYFUNCTION("""COMPUTED_VALUE"""),"OS CONCLUÍDA")</f>
        <v>OS CONCLUÍDA</v>
      </c>
      <c r="L4" s="140" t="str">
        <f>IFERROR(__xludf.DUMMYFUNCTION("""COMPUTED_VALUE"""),"SOLICITAR RECEBIMENTO")</f>
        <v>SOLICITAR RECEBIMENTO</v>
      </c>
      <c r="M4" s="140" t="str">
        <f>IFERROR(__xludf.DUMMYFUNCTION("""COMPUTED_VALUE"""),"ITEM RECEBIDO")</f>
        <v>ITEM RECEBIDO</v>
      </c>
      <c r="N4" s="140" t="str">
        <f>IFERROR(__xludf.DUMMYFUNCTION("""COMPUTED_VALUE"""),"SOLICITAR ARMAZENAGEM")</f>
        <v>SOLICITAR ARMAZENAGEM</v>
      </c>
      <c r="O4" s="140" t="str">
        <f>IFERROR(__xludf.DUMMYFUNCTION("""COMPUTED_VALUE"""),"ITEM ARMAZENADO")</f>
        <v>ITEM ARMAZENADO</v>
      </c>
      <c r="P4" s="140" t="str">
        <f>IFERROR(__xludf.DUMMYFUNCTION("""COMPUTED_VALUE"""),"TRANSFERIR E SOLICITAR ATENDIMENTO TSAU")</f>
        <v>TRANSFERIR E SOLICITAR ATENDIMENTO TSAU</v>
      </c>
      <c r="Q4" s="140" t="str">
        <f>IFERROR(__xludf.DUMMYFUNCTION("""COMPUTED_VALUE"""),"SOLICITAR TRANSFERÊNCIA TSAE")</f>
        <v>SOLICITAR TRANSFERÊNCIA TSAE</v>
      </c>
      <c r="R4" s="140" t="str">
        <f>IFERROR(__xludf.DUMMYFUNCTION("""COMPUTED_VALUE"""),"ENVIO")</f>
        <v>ENVIO</v>
      </c>
      <c r="S4" s="140" t="str">
        <f>IFERROR(__xludf.DUMMYFUNCTION("""COMPUTED_VALUE"""),"SOL REC OPERADOR")</f>
        <v>SOL REC OPERADOR</v>
      </c>
      <c r="T4" s="140" t="str">
        <f>IFERROR(__xludf.DUMMYFUNCTION("""COMPUTED_VALUE"""),"REC OPERADOR")</f>
        <v>REC OPERADOR</v>
      </c>
      <c r="U4" s="140" t="str">
        <f>IFERROR(__xludf.DUMMYFUNCTION("""COMPUTED_VALUE"""),"OBS")</f>
        <v>OBS</v>
      </c>
      <c r="V4" s="140"/>
      <c r="W4" s="140"/>
      <c r="X4" s="140"/>
      <c r="Y4" s="140"/>
      <c r="Z4" s="140"/>
    </row>
    <row r="5" hidden="1">
      <c r="A5" s="140" t="str">
        <f>IFERROR(__xludf.DUMMYFUNCTION("""COMPUTED_VALUE"""),"VEE ONE")</f>
        <v>VEE ONE</v>
      </c>
      <c r="B5" s="140" t="str">
        <f>IFERROR(__xludf.DUMMYFUNCTION("""COMPUTED_VALUE"""),"BASM")</f>
        <v>BASM</v>
      </c>
      <c r="C5" s="140" t="str">
        <f>IFERROR(__xludf.DUMMYFUNCTION("""COMPUTED_VALUE"""),"030-18200")</f>
        <v>030-18200</v>
      </c>
      <c r="D5" s="140" t="str">
        <f>IFERROR(__xludf.DUMMYFUNCTION("""COMPUTED_VALUE"""),"CONJUNTO DE FREIO")</f>
        <v>CONJUNTO DE FREIO</v>
      </c>
      <c r="E5" s="140" t="str">
        <f>IFERROR(__xludf.DUMMYFUNCTION("""COMPUTED_VALUE"""),"0723")</f>
        <v>0723</v>
      </c>
      <c r="F5" s="140" t="str">
        <f>IFERROR(__xludf.DUMMYFUNCTION("""COMPUTED_VALUE"""),"004/2025")</f>
        <v>004/2025</v>
      </c>
      <c r="G5" s="140" t="str">
        <f>IFERROR(__xludf.DUMMYFUNCTION("""COMPUTED_VALUE"""),"04/07")</f>
        <v>04/07</v>
      </c>
      <c r="H5" s="140" t="str">
        <f>IFERROR(__xludf.DUMMYFUNCTION("""COMPUTED_VALUE"""),"04/07")</f>
        <v>04/07</v>
      </c>
      <c r="I5" s="140" t="str">
        <f>IFERROR(__xludf.DUMMYFUNCTION("""COMPUTED_VALUE"""),"24/07, 30/07, 01/08, 13/08, 19/08 e 26/08")</f>
        <v>24/07, 30/07, 01/08, 13/08, 19/08 e 26/08</v>
      </c>
      <c r="J5" s="140" t="str">
        <f>IFERROR(__xludf.DUMMYFUNCTION("""COMPUTED_VALUE"""),"26/08")</f>
        <v>26/08</v>
      </c>
      <c r="K5" s="140" t="str">
        <f>IFERROR(__xludf.DUMMYFUNCTION("""COMPUTED_VALUE"""),"01/09")</f>
        <v>01/09</v>
      </c>
      <c r="L5" s="140" t="str">
        <f>IFERROR(__xludf.DUMMYFUNCTION("""COMPUTED_VALUE"""),"01/09")</f>
        <v>01/09</v>
      </c>
      <c r="M5" s="140" t="str">
        <f>IFERROR(__xludf.DUMMYFUNCTION("""COMPUTED_VALUE"""),"02/09")</f>
        <v>02/09</v>
      </c>
      <c r="N5" s="140" t="str">
        <f>IFERROR(__xludf.DUMMYFUNCTION("""COMPUTED_VALUE"""),"02/09")</f>
        <v>02/09</v>
      </c>
      <c r="O5" s="140" t="str">
        <f>IFERROR(__xludf.DUMMYFUNCTION("""COMPUTED_VALUE"""),"03/09")</f>
        <v>03/09</v>
      </c>
      <c r="P5" s="140" t="str">
        <f>IFERROR(__xludf.DUMMYFUNCTION("""COMPUTED_VALUE"""),"17/10")</f>
        <v>17/10</v>
      </c>
      <c r="Q5" s="140" t="str">
        <f>IFERROR(__xludf.DUMMYFUNCTION("""COMPUTED_VALUE"""),"17/10 e 13/11")</f>
        <v>17/10 e 13/11</v>
      </c>
      <c r="R5" s="140" t="str">
        <f>IFERROR(__xludf.DUMMYFUNCTION("""COMPUTED_VALUE"""),"17/10")</f>
        <v>17/10</v>
      </c>
      <c r="S5" s="140" t="str">
        <f>IFERROR(__xludf.DUMMYFUNCTION("""COMPUTED_VALUE"""),"17/11")</f>
        <v>17/11</v>
      </c>
      <c r="T5" s="140" t="str">
        <f>IFERROR(__xludf.DUMMYFUNCTION("""COMPUTED_VALUE"""),"18/11")</f>
        <v>18/11</v>
      </c>
      <c r="U5" s="140"/>
      <c r="V5" s="140"/>
      <c r="W5" s="140"/>
      <c r="X5" s="140"/>
      <c r="Y5" s="140"/>
      <c r="Z5" s="140"/>
    </row>
    <row r="6" hidden="1">
      <c r="A6" s="140" t="str">
        <f>IFERROR(__xludf.DUMMYFUNCTION("""COMPUTED_VALUE"""),"VEE ONE")</f>
        <v>VEE ONE</v>
      </c>
      <c r="B6" s="140" t="str">
        <f>IFERROR(__xludf.DUMMYFUNCTION("""COMPUTED_VALUE"""),"BASM")</f>
        <v>BASM</v>
      </c>
      <c r="C6" s="140" t="str">
        <f>IFERROR(__xludf.DUMMYFUNCTION("""COMPUTED_VALUE"""),"030-18200")</f>
        <v>030-18200</v>
      </c>
      <c r="D6" s="140" t="str">
        <f>IFERROR(__xludf.DUMMYFUNCTION("""COMPUTED_VALUE"""),"CONJUNTO DE FREIO")</f>
        <v>CONJUNTO DE FREIO</v>
      </c>
      <c r="E6" s="140" t="str">
        <f>IFERROR(__xludf.DUMMYFUNCTION("""COMPUTED_VALUE"""),"2L343")</f>
        <v>2L343</v>
      </c>
      <c r="F6" s="140" t="str">
        <f>IFERROR(__xludf.DUMMYFUNCTION("""COMPUTED_VALUE"""),"004/2025")</f>
        <v>004/2025</v>
      </c>
      <c r="G6" s="140" t="str">
        <f>IFERROR(__xludf.DUMMYFUNCTION("""COMPUTED_VALUE"""),"04/07")</f>
        <v>04/07</v>
      </c>
      <c r="H6" s="140" t="str">
        <f>IFERROR(__xludf.DUMMYFUNCTION("""COMPUTED_VALUE"""),"04/07")</f>
        <v>04/07</v>
      </c>
      <c r="I6" s="140" t="str">
        <f>IFERROR(__xludf.DUMMYFUNCTION("""COMPUTED_VALUE"""),"24/07, 30/07, 01/08, 13/08, 19/08 e 26/08")</f>
        <v>24/07, 30/07, 01/08, 13/08, 19/08 e 26/08</v>
      </c>
      <c r="J6" s="140" t="str">
        <f>IFERROR(__xludf.DUMMYFUNCTION("""COMPUTED_VALUE"""),"26/08")</f>
        <v>26/08</v>
      </c>
      <c r="K6" s="140" t="str">
        <f>IFERROR(__xludf.DUMMYFUNCTION("""COMPUTED_VALUE"""),"01/09")</f>
        <v>01/09</v>
      </c>
      <c r="L6" s="140" t="str">
        <f>IFERROR(__xludf.DUMMYFUNCTION("""COMPUTED_VALUE"""),"01/09")</f>
        <v>01/09</v>
      </c>
      <c r="M6" s="140" t="str">
        <f>IFERROR(__xludf.DUMMYFUNCTION("""COMPUTED_VALUE"""),"02/09")</f>
        <v>02/09</v>
      </c>
      <c r="N6" s="140" t="str">
        <f>IFERROR(__xludf.DUMMYFUNCTION("""COMPUTED_VALUE"""),"02/09")</f>
        <v>02/09</v>
      </c>
      <c r="O6" s="140" t="str">
        <f>IFERROR(__xludf.DUMMYFUNCTION("""COMPUTED_VALUE"""),"03/09")</f>
        <v>03/09</v>
      </c>
      <c r="P6" s="140" t="str">
        <f>IFERROR(__xludf.DUMMYFUNCTION("""COMPUTED_VALUE"""),"17/10")</f>
        <v>17/10</v>
      </c>
      <c r="Q6" s="140" t="str">
        <f>IFERROR(__xludf.DUMMYFUNCTION("""COMPUTED_VALUE"""),"17/10 e 13/11")</f>
        <v>17/10 e 13/11</v>
      </c>
      <c r="R6" s="140" t="str">
        <f>IFERROR(__xludf.DUMMYFUNCTION("""COMPUTED_VALUE"""),"17/10")</f>
        <v>17/10</v>
      </c>
      <c r="S6" s="140" t="str">
        <f>IFERROR(__xludf.DUMMYFUNCTION("""COMPUTED_VALUE"""),"17/11")</f>
        <v>17/11</v>
      </c>
      <c r="T6" s="140" t="str">
        <f>IFERROR(__xludf.DUMMYFUNCTION("""COMPUTED_VALUE"""),"18/11")</f>
        <v>18/11</v>
      </c>
      <c r="U6" s="140"/>
      <c r="V6" s="140"/>
      <c r="W6" s="140"/>
      <c r="X6" s="140"/>
      <c r="Y6" s="140"/>
      <c r="Z6" s="140"/>
    </row>
    <row r="7" hidden="1">
      <c r="A7" s="140" t="str">
        <f>IFERROR(__xludf.DUMMYFUNCTION("""COMPUTED_VALUE"""),"VEE ONE")</f>
        <v>VEE ONE</v>
      </c>
      <c r="B7" s="140" t="str">
        <f>IFERROR(__xludf.DUMMYFUNCTION("""COMPUTED_VALUE"""),"BAPV")</f>
        <v>BAPV</v>
      </c>
      <c r="C7" s="140" t="str">
        <f>IFERROR(__xludf.DUMMYFUNCTION("""COMPUTED_VALUE"""),"30-182A")</f>
        <v>30-182A</v>
      </c>
      <c r="D7" s="140" t="str">
        <f>IFERROR(__xludf.DUMMYFUNCTION("""COMPUTED_VALUE"""),"BRAKE ASSEMBLY")</f>
        <v>BRAKE ASSEMBLY</v>
      </c>
      <c r="E7" s="140" t="str">
        <f>IFERROR(__xludf.DUMMYFUNCTION("""COMPUTED_VALUE"""),"LS04")</f>
        <v>LS04</v>
      </c>
      <c r="F7" s="140" t="str">
        <f>IFERROR(__xludf.DUMMYFUNCTION("""COMPUTED_VALUE"""),"005/2025")</f>
        <v>005/2025</v>
      </c>
      <c r="G7" s="140" t="str">
        <f>IFERROR(__xludf.DUMMYFUNCTION("""COMPUTED_VALUE"""),"22/07")</f>
        <v>22/07</v>
      </c>
      <c r="H7" s="140" t="str">
        <f>IFERROR(__xludf.DUMMYFUNCTION("""COMPUTED_VALUE"""),"23/07")</f>
        <v>23/07</v>
      </c>
      <c r="I7" s="140" t="str">
        <f>IFERROR(__xludf.DUMMYFUNCTION("""COMPUTED_VALUE"""),"24/07, 30/07, 01/08 e 13/08")</f>
        <v>24/07, 30/07, 01/08 e 13/08</v>
      </c>
      <c r="J7" s="140" t="str">
        <f>IFERROR(__xludf.DUMMYFUNCTION("""COMPUTED_VALUE"""),"13/08")</f>
        <v>13/08</v>
      </c>
      <c r="K7" s="140" t="str">
        <f>IFERROR(__xludf.DUMMYFUNCTION("""COMPUTED_VALUE"""),"14/08")</f>
        <v>14/08</v>
      </c>
      <c r="L7" s="140" t="str">
        <f>IFERROR(__xludf.DUMMYFUNCTION("""COMPUTED_VALUE"""),"18/08")</f>
        <v>18/08</v>
      </c>
      <c r="M7" s="140" t="str">
        <f>IFERROR(__xludf.DUMMYFUNCTION("""COMPUTED_VALUE"""),"02/09")</f>
        <v>02/09</v>
      </c>
      <c r="N7" s="140" t="str">
        <f>IFERROR(__xludf.DUMMYFUNCTION("""COMPUTED_VALUE"""),"02/09")</f>
        <v>02/09</v>
      </c>
      <c r="O7" s="140" t="str">
        <f>IFERROR(__xludf.DUMMYFUNCTION("""COMPUTED_VALUE"""),"03/09")</f>
        <v>03/09</v>
      </c>
      <c r="P7" s="140" t="str">
        <f>IFERROR(__xludf.DUMMYFUNCTION("""COMPUTED_VALUE"""),"17/10")</f>
        <v>17/10</v>
      </c>
      <c r="Q7" s="140" t="str">
        <f>IFERROR(__xludf.DUMMYFUNCTION("""COMPUTED_VALUE"""),"17/10 e 13/11")</f>
        <v>17/10 e 13/11</v>
      </c>
      <c r="R7" s="140" t="str">
        <f>IFERROR(__xludf.DUMMYFUNCTION("""COMPUTED_VALUE"""),"17/10")</f>
        <v>17/10</v>
      </c>
      <c r="S7" s="140" t="str">
        <f>IFERROR(__xludf.DUMMYFUNCTION("""COMPUTED_VALUE"""),"17/11")</f>
        <v>17/11</v>
      </c>
      <c r="T7" s="140" t="str">
        <f>IFERROR(__xludf.DUMMYFUNCTION("""COMPUTED_VALUE"""),"17/11")</f>
        <v>17/11</v>
      </c>
      <c r="U7" s="140" t="str">
        <f>IFERROR(__xludf.DUMMYFUNCTION("""COMPUTED_VALUE"""),"Documentação com o PN 30-182, PN entregue é o 30-182A")</f>
        <v>Documentação com o PN 30-182, PN entregue é o 30-182A</v>
      </c>
      <c r="V7" s="140"/>
      <c r="W7" s="140"/>
      <c r="X7" s="140"/>
      <c r="Y7" s="140"/>
      <c r="Z7" s="140"/>
    </row>
    <row r="8" hidden="1">
      <c r="A8" s="140" t="str">
        <f>IFERROR(__xludf.DUMMYFUNCTION("""COMPUTED_VALUE"""),"VEE ONE")</f>
        <v>VEE ONE</v>
      </c>
      <c r="B8" s="140" t="str">
        <f>IFERROR(__xludf.DUMMYFUNCTION("""COMPUTED_VALUE"""),"BAPV")</f>
        <v>BAPV</v>
      </c>
      <c r="C8" s="140" t="str">
        <f>IFERROR(__xludf.DUMMYFUNCTION("""COMPUTED_VALUE"""),"2641011-5")</f>
        <v>2641011-5</v>
      </c>
      <c r="D8" s="140" t="str">
        <f>IFERROR(__xludf.DUMMYFUNCTION("""COMPUTED_VALUE"""),"AXLE-MAIN GEAR")</f>
        <v>AXLE-MAIN GEAR</v>
      </c>
      <c r="E8" s="140" t="str">
        <f>IFERROR(__xludf.DUMMYFUNCTION("""COMPUTED_VALUE"""),"2305-5")</f>
        <v>2305-5</v>
      </c>
      <c r="F8" s="140" t="str">
        <f>IFERROR(__xludf.DUMMYFUNCTION("""COMPUTED_VALUE"""),"004/2025")</f>
        <v>004/2025</v>
      </c>
      <c r="G8" s="140" t="str">
        <f>IFERROR(__xludf.DUMMYFUNCTION("""COMPUTED_VALUE"""),"22/07")</f>
        <v>22/07</v>
      </c>
      <c r="H8" s="140" t="str">
        <f>IFERROR(__xludf.DUMMYFUNCTION("""COMPUTED_VALUE"""),"23/07")</f>
        <v>23/07</v>
      </c>
      <c r="I8" s="140" t="str">
        <f>IFERROR(__xludf.DUMMYFUNCTION("""COMPUTED_VALUE"""),"24/07")</f>
        <v>24/07</v>
      </c>
      <c r="J8" s="140" t="str">
        <f>IFERROR(__xludf.DUMMYFUNCTION("""COMPUTED_VALUE"""),"25/07 e 30/07")</f>
        <v>25/07 e 30/07</v>
      </c>
      <c r="K8" s="140" t="str">
        <f>IFERROR(__xludf.DUMMYFUNCTION("""COMPUTED_VALUE"""),"28/07")</f>
        <v>28/07</v>
      </c>
      <c r="L8" s="140" t="str">
        <f>IFERROR(__xludf.DUMMYFUNCTION("""COMPUTED_VALUE"""),"31/07")</f>
        <v>31/07</v>
      </c>
      <c r="M8" s="140" t="str">
        <f>IFERROR(__xludf.DUMMYFUNCTION("""COMPUTED_VALUE"""),"31/07")</f>
        <v>31/07</v>
      </c>
      <c r="N8" s="140" t="str">
        <f>IFERROR(__xludf.DUMMYFUNCTION("""COMPUTED_VALUE"""),"01/08")</f>
        <v>01/08</v>
      </c>
      <c r="O8" s="140" t="str">
        <f>IFERROR(__xludf.DUMMYFUNCTION("""COMPUTED_VALUE"""),"01/08")</f>
        <v>01/08</v>
      </c>
      <c r="P8" s="140" t="str">
        <f>IFERROR(__xludf.DUMMYFUNCTION("""COMPUTED_VALUE"""),"01/08")</f>
        <v>01/08</v>
      </c>
      <c r="Q8" s="140" t="str">
        <f>IFERROR(__xludf.DUMMYFUNCTION("""COMPUTED_VALUE"""),"01/08")</f>
        <v>01/08</v>
      </c>
      <c r="R8" s="140" t="str">
        <f>IFERROR(__xludf.DUMMYFUNCTION("""COMPUTED_VALUE"""),"07/08")</f>
        <v>07/08</v>
      </c>
      <c r="S8" s="140" t="str">
        <f>IFERROR(__xludf.DUMMYFUNCTION("""COMPUTED_VALUE"""),"07/08")</f>
        <v>07/08</v>
      </c>
      <c r="T8" s="140" t="str">
        <f>IFERROR(__xludf.DUMMYFUNCTION("""COMPUTED_VALUE"""),"08/08")</f>
        <v>08/08</v>
      </c>
      <c r="U8" s="140"/>
      <c r="V8" s="140"/>
      <c r="W8" s="140"/>
      <c r="X8" s="140"/>
      <c r="Y8" s="140"/>
      <c r="Z8" s="140"/>
    </row>
    <row r="9" hidden="1">
      <c r="A9" s="140" t="str">
        <f>IFERROR(__xludf.DUMMYFUNCTION("""COMPUTED_VALUE"""),"VEE ONE")</f>
        <v>VEE ONE</v>
      </c>
      <c r="B9" s="140" t="str">
        <f>IFERROR(__xludf.DUMMYFUNCTION("""COMPUTED_VALUE"""),"BAPV")</f>
        <v>BAPV</v>
      </c>
      <c r="C9" s="140" t="str">
        <f>IFERROR(__xludf.DUMMYFUNCTION("""COMPUTED_VALUE"""),"2641011-5")</f>
        <v>2641011-5</v>
      </c>
      <c r="D9" s="140" t="str">
        <f>IFERROR(__xludf.DUMMYFUNCTION("""COMPUTED_VALUE"""),"AXLE-MAIN GEAR")</f>
        <v>AXLE-MAIN GEAR</v>
      </c>
      <c r="E9" s="140" t="str">
        <f>IFERROR(__xludf.DUMMYFUNCTION("""COMPUTED_VALUE"""),"822-5")</f>
        <v>822-5</v>
      </c>
      <c r="F9" s="140" t="str">
        <f>IFERROR(__xludf.DUMMYFUNCTION("""COMPUTED_VALUE"""),"004/2025")</f>
        <v>004/2025</v>
      </c>
      <c r="G9" s="140" t="str">
        <f>IFERROR(__xludf.DUMMYFUNCTION("""COMPUTED_VALUE"""),"22/07")</f>
        <v>22/07</v>
      </c>
      <c r="H9" s="140" t="str">
        <f>IFERROR(__xludf.DUMMYFUNCTION("""COMPUTED_VALUE"""),"23/07")</f>
        <v>23/07</v>
      </c>
      <c r="I9" s="140" t="str">
        <f>IFERROR(__xludf.DUMMYFUNCTION("""COMPUTED_VALUE"""),"24/07")</f>
        <v>24/07</v>
      </c>
      <c r="J9" s="140" t="str">
        <f>IFERROR(__xludf.DUMMYFUNCTION("""COMPUTED_VALUE"""),"25/07 e 30/07")</f>
        <v>25/07 e 30/07</v>
      </c>
      <c r="K9" s="140" t="str">
        <f>IFERROR(__xludf.DUMMYFUNCTION("""COMPUTED_VALUE"""),"28/07")</f>
        <v>28/07</v>
      </c>
      <c r="L9" s="140" t="str">
        <f>IFERROR(__xludf.DUMMYFUNCTION("""COMPUTED_VALUE"""),"31/07")</f>
        <v>31/07</v>
      </c>
      <c r="M9" s="140" t="str">
        <f>IFERROR(__xludf.DUMMYFUNCTION("""COMPUTED_VALUE"""),"31/07")</f>
        <v>31/07</v>
      </c>
      <c r="N9" s="140" t="str">
        <f>IFERROR(__xludf.DUMMYFUNCTION("""COMPUTED_VALUE"""),"31/07")</f>
        <v>31/07</v>
      </c>
      <c r="O9" s="140" t="str">
        <f>IFERROR(__xludf.DUMMYFUNCTION("""COMPUTED_VALUE"""),"01/08")</f>
        <v>01/08</v>
      </c>
      <c r="P9" s="140" t="str">
        <f>IFERROR(__xludf.DUMMYFUNCTION("""COMPUTED_VALUE"""),"01/08")</f>
        <v>01/08</v>
      </c>
      <c r="Q9" s="140" t="str">
        <f>IFERROR(__xludf.DUMMYFUNCTION("""COMPUTED_VALUE"""),"01/08")</f>
        <v>01/08</v>
      </c>
      <c r="R9" s="140" t="str">
        <f>IFERROR(__xludf.DUMMYFUNCTION("""COMPUTED_VALUE"""),"07/08")</f>
        <v>07/08</v>
      </c>
      <c r="S9" s="140" t="str">
        <f>IFERROR(__xludf.DUMMYFUNCTION("""COMPUTED_VALUE"""),"07/08")</f>
        <v>07/08</v>
      </c>
      <c r="T9" s="140" t="str">
        <f>IFERROR(__xludf.DUMMYFUNCTION("""COMPUTED_VALUE"""),"08/08")</f>
        <v>08/08</v>
      </c>
      <c r="U9" s="140"/>
      <c r="V9" s="140"/>
      <c r="W9" s="140"/>
      <c r="X9" s="140"/>
      <c r="Y9" s="140"/>
      <c r="Z9" s="140"/>
    </row>
    <row r="10" hidden="1">
      <c r="A10" s="140" t="str">
        <f>IFERROR(__xludf.DUMMYFUNCTION("""COMPUTED_VALUE"""),"VEE ONE")</f>
        <v>VEE ONE</v>
      </c>
      <c r="B10" s="140" t="str">
        <f>IFERROR(__xludf.DUMMYFUNCTION("""COMPUTED_VALUE"""),"BABE")</f>
        <v>BABE</v>
      </c>
      <c r="C10" s="140" t="str">
        <f>IFERROR(__xludf.DUMMYFUNCTION("""COMPUTED_VALUE"""),"030-18200")</f>
        <v>030-18200</v>
      </c>
      <c r="D10" s="140" t="str">
        <f>IFERROR(__xludf.DUMMYFUNCTION("""COMPUTED_VALUE"""),"CONJUNTO DE FREIO")</f>
        <v>CONJUNTO DE FREIO</v>
      </c>
      <c r="E10" s="140" t="str">
        <f>IFERROR(__xludf.DUMMYFUNCTION("""COMPUTED_VALUE"""),"572")</f>
        <v>572</v>
      </c>
      <c r="F10" s="140" t="str">
        <f>IFERROR(__xludf.DUMMYFUNCTION("""COMPUTED_VALUE"""),"004/2025")</f>
        <v>004/2025</v>
      </c>
      <c r="G10" s="140" t="str">
        <f>IFERROR(__xludf.DUMMYFUNCTION("""COMPUTED_VALUE"""),"11/07")</f>
        <v>11/07</v>
      </c>
      <c r="H10" s="140" t="str">
        <f>IFERROR(__xludf.DUMMYFUNCTION("""COMPUTED_VALUE"""),"21/07")</f>
        <v>21/07</v>
      </c>
      <c r="I10" s="140" t="str">
        <f>IFERROR(__xludf.DUMMYFUNCTION("""COMPUTED_VALUE"""),"25/07")</f>
        <v>25/07</v>
      </c>
      <c r="J10" s="140" t="str">
        <f>IFERROR(__xludf.DUMMYFUNCTION("""COMPUTED_VALUE"""),"25/07")</f>
        <v>25/07</v>
      </c>
      <c r="K10" s="140" t="str">
        <f>IFERROR(__xludf.DUMMYFUNCTION("""COMPUTED_VALUE"""),"29/07")</f>
        <v>29/07</v>
      </c>
      <c r="L10" s="140" t="str">
        <f>IFERROR(__xludf.DUMMYFUNCTION("""COMPUTED_VALUE"""),"29/07")</f>
        <v>29/07</v>
      </c>
      <c r="M10" s="140" t="str">
        <f>IFERROR(__xludf.DUMMYFUNCTION("""COMPUTED_VALUE"""),"29/07")</f>
        <v>29/07</v>
      </c>
      <c r="N10" s="140" t="str">
        <f>IFERROR(__xludf.DUMMYFUNCTION("""COMPUTED_VALUE"""),"30/07")</f>
        <v>30/07</v>
      </c>
      <c r="O10" s="140" t="str">
        <f>IFERROR(__xludf.DUMMYFUNCTION("""COMPUTED_VALUE"""),"30/07")</f>
        <v>30/07</v>
      </c>
      <c r="P10" s="140" t="str">
        <f>IFERROR(__xludf.DUMMYFUNCTION("""COMPUTED_VALUE"""),"30/07")</f>
        <v>30/07</v>
      </c>
      <c r="Q10" s="140" t="str">
        <f>IFERROR(__xludf.DUMMYFUNCTION("""COMPUTED_VALUE"""),"30/07")</f>
        <v>30/07</v>
      </c>
      <c r="R10" s="140" t="str">
        <f>IFERROR(__xludf.DUMMYFUNCTION("""COMPUTED_VALUE"""),"31/07")</f>
        <v>31/07</v>
      </c>
      <c r="S10" s="140" t="str">
        <f>IFERROR(__xludf.DUMMYFUNCTION("""COMPUTED_VALUE"""),"31/07")</f>
        <v>31/07</v>
      </c>
      <c r="T10" s="140" t="str">
        <f>IFERROR(__xludf.DUMMYFUNCTION("""COMPUTED_VALUE"""),"25/08")</f>
        <v>25/08</v>
      </c>
      <c r="U10" s="140"/>
      <c r="V10" s="140"/>
      <c r="W10" s="140"/>
      <c r="X10" s="140"/>
      <c r="Y10" s="140"/>
      <c r="Z10" s="140"/>
    </row>
    <row r="11" hidden="1">
      <c r="A11" s="140" t="str">
        <f>IFERROR(__xludf.DUMMYFUNCTION("""COMPUTED_VALUE"""),"VEE ONE")</f>
        <v>VEE ONE</v>
      </c>
      <c r="B11" s="140" t="str">
        <f>IFERROR(__xludf.DUMMYFUNCTION("""COMPUTED_VALUE"""),"BACG")</f>
        <v>BACG</v>
      </c>
      <c r="C11" s="140" t="str">
        <f>IFERROR(__xludf.DUMMYFUNCTION("""COMPUTED_VALUE"""),"030-18200")</f>
        <v>030-18200</v>
      </c>
      <c r="D11" s="140" t="str">
        <f>IFERROR(__xludf.DUMMYFUNCTION("""COMPUTED_VALUE"""),"CONJUNTO DE FREIO")</f>
        <v>CONJUNTO DE FREIO</v>
      </c>
      <c r="E11" s="140" t="str">
        <f>IFERROR(__xludf.DUMMYFUNCTION("""COMPUTED_VALUE"""),"J716")</f>
        <v>J716</v>
      </c>
      <c r="F11" s="140" t="str">
        <f>IFERROR(__xludf.DUMMYFUNCTION("""COMPUTED_VALUE"""),"002/2025")</f>
        <v>002/2025</v>
      </c>
      <c r="G11" s="140" t="str">
        <f>IFERROR(__xludf.DUMMYFUNCTION("""COMPUTED_VALUE"""),"19/05")</f>
        <v>19/05</v>
      </c>
      <c r="H11" s="140" t="str">
        <f>IFERROR(__xludf.DUMMYFUNCTION("""COMPUTED_VALUE"""),"28/05")</f>
        <v>28/05</v>
      </c>
      <c r="I11" s="140" t="str">
        <f>IFERROR(__xludf.DUMMYFUNCTION("""COMPUTED_VALUE"""),"25/07")</f>
        <v>25/07</v>
      </c>
      <c r="J11" s="140" t="str">
        <f>IFERROR(__xludf.DUMMYFUNCTION("""COMPUTED_VALUE"""),"25/07")</f>
        <v>25/07</v>
      </c>
      <c r="K11" s="140" t="str">
        <f>IFERROR(__xludf.DUMMYFUNCTION("""COMPUTED_VALUE"""),"29/07")</f>
        <v>29/07</v>
      </c>
      <c r="L11" s="140" t="str">
        <f>IFERROR(__xludf.DUMMYFUNCTION("""COMPUTED_VALUE"""),"29/07")</f>
        <v>29/07</v>
      </c>
      <c r="M11" s="140" t="str">
        <f>IFERROR(__xludf.DUMMYFUNCTION("""COMPUTED_VALUE"""),"29/07")</f>
        <v>29/07</v>
      </c>
      <c r="N11" s="140" t="str">
        <f>IFERROR(__xludf.DUMMYFUNCTION("""COMPUTED_VALUE"""),"30/07")</f>
        <v>30/07</v>
      </c>
      <c r="O11" s="140" t="str">
        <f>IFERROR(__xludf.DUMMYFUNCTION("""COMPUTED_VALUE"""),"30/07")</f>
        <v>30/07</v>
      </c>
      <c r="P11" s="140" t="str">
        <f>IFERROR(__xludf.DUMMYFUNCTION("""COMPUTED_VALUE"""),"30/07")</f>
        <v>30/07</v>
      </c>
      <c r="Q11" s="140" t="str">
        <f>IFERROR(__xludf.DUMMYFUNCTION("""COMPUTED_VALUE"""),"30/07")</f>
        <v>30/07</v>
      </c>
      <c r="R11" s="140" t="str">
        <f>IFERROR(__xludf.DUMMYFUNCTION("""COMPUTED_VALUE"""),"31/07")</f>
        <v>31/07</v>
      </c>
      <c r="S11" s="140" t="str">
        <f>IFERROR(__xludf.DUMMYFUNCTION("""COMPUTED_VALUE"""),"31/07")</f>
        <v>31/07</v>
      </c>
      <c r="T11" s="140" t="str">
        <f>IFERROR(__xludf.DUMMYFUNCTION("""COMPUTED_VALUE"""),"02/09")</f>
        <v>02/09</v>
      </c>
      <c r="U11" s="140"/>
      <c r="V11" s="140"/>
      <c r="W11" s="140"/>
      <c r="X11" s="140"/>
      <c r="Y11" s="140"/>
      <c r="Z11" s="140"/>
    </row>
    <row r="12" hidden="1">
      <c r="A12" s="140" t="str">
        <f>IFERROR(__xludf.DUMMYFUNCTION("""COMPUTED_VALUE"""),"VEE ONE")</f>
        <v>VEE ONE</v>
      </c>
      <c r="B12" s="140" t="str">
        <f>IFERROR(__xludf.DUMMYFUNCTION("""COMPUTED_VALUE"""),"BABE")</f>
        <v>BABE</v>
      </c>
      <c r="C12" s="140" t="str">
        <f>IFERROR(__xludf.DUMMYFUNCTION("""COMPUTED_VALUE"""),"011-00916-00")</f>
        <v>011-00916-00</v>
      </c>
      <c r="D12" s="140" t="str">
        <f>IFERROR(__xludf.DUMMYFUNCTION("""COMPUTED_VALUE"""),"DISPLAY UNIT GDU")</f>
        <v>DISPLAY UNIT GDU</v>
      </c>
      <c r="E12" s="140" t="str">
        <f>IFERROR(__xludf.DUMMYFUNCTION("""COMPUTED_VALUE"""),"86800921")</f>
        <v>86800921</v>
      </c>
      <c r="F12" s="140" t="str">
        <f>IFERROR(__xludf.DUMMYFUNCTION("""COMPUTED_VALUE"""),"005/2025")</f>
        <v>005/2025</v>
      </c>
      <c r="G12" s="140" t="str">
        <f>IFERROR(__xludf.DUMMYFUNCTION("""COMPUTED_VALUE"""),"13/08")</f>
        <v>13/08</v>
      </c>
      <c r="H12" s="140" t="str">
        <f>IFERROR(__xludf.DUMMYFUNCTION("""COMPUTED_VALUE"""),"22/08")</f>
        <v>22/08</v>
      </c>
      <c r="I12" s="140" t="str">
        <f>IFERROR(__xludf.DUMMYFUNCTION("""COMPUTED_VALUE"""),"26/08")</f>
        <v>26/08</v>
      </c>
      <c r="J12" s="140" t="str">
        <f>IFERROR(__xludf.DUMMYFUNCTION("""COMPUTED_VALUE"""),"26/08")</f>
        <v>26/08</v>
      </c>
      <c r="K12" s="140" t="str">
        <f>IFERROR(__xludf.DUMMYFUNCTION("""COMPUTED_VALUE"""),"03/09")</f>
        <v>03/09</v>
      </c>
      <c r="L12" s="140" t="str">
        <f>IFERROR(__xludf.DUMMYFUNCTION("""COMPUTED_VALUE"""),"03/09")</f>
        <v>03/09</v>
      </c>
      <c r="M12" s="140" t="str">
        <f>IFERROR(__xludf.DUMMYFUNCTION("""COMPUTED_VALUE"""),"03/09")</f>
        <v>03/09</v>
      </c>
      <c r="N12" s="140" t="str">
        <f>IFERROR(__xludf.DUMMYFUNCTION("""COMPUTED_VALUE"""),"03/09")</f>
        <v>03/09</v>
      </c>
      <c r="O12" s="140" t="str">
        <f>IFERROR(__xludf.DUMMYFUNCTION("""COMPUTED_VALUE"""),"04/09")</f>
        <v>04/09</v>
      </c>
      <c r="P12" s="140" t="str">
        <f>IFERROR(__xludf.DUMMYFUNCTION("""COMPUTED_VALUE"""),"17/10")</f>
        <v>17/10</v>
      </c>
      <c r="Q12" s="140" t="str">
        <f>IFERROR(__xludf.DUMMYFUNCTION("""COMPUTED_VALUE"""),"17/10 e 13/11")</f>
        <v>17/10 e 13/11</v>
      </c>
      <c r="R12" s="140" t="str">
        <f>IFERROR(__xludf.DUMMYFUNCTION("""COMPUTED_VALUE"""),"17/10")</f>
        <v>17/10</v>
      </c>
      <c r="S12" s="140" t="str">
        <f>IFERROR(__xludf.DUMMYFUNCTION("""COMPUTED_VALUE"""),"17/11")</f>
        <v>17/11</v>
      </c>
      <c r="T12" s="140" t="str">
        <f>IFERROR(__xludf.DUMMYFUNCTION("""COMPUTED_VALUE"""),"23/12")</f>
        <v>23/12</v>
      </c>
      <c r="U12" s="140" t="str">
        <f>IFERROR(__xludf.DUMMYFUNCTION("""COMPUTED_VALUE"""),"Exchange com PN 011-00916-00 SN 86801594")</f>
        <v>Exchange com PN 011-00916-00 SN 86801594</v>
      </c>
      <c r="V12" s="140"/>
      <c r="W12" s="140"/>
      <c r="X12" s="140"/>
      <c r="Y12" s="140"/>
      <c r="Z12" s="140"/>
    </row>
    <row r="13" hidden="1">
      <c r="A13" s="140" t="str">
        <f>IFERROR(__xludf.DUMMYFUNCTION("""COMPUTED_VALUE"""),"VEE ONE")</f>
        <v>VEE ONE</v>
      </c>
      <c r="B13" s="140" t="str">
        <f>IFERROR(__xludf.DUMMYFUNCTION("""COMPUTED_VALUE"""),"BABE")</f>
        <v>BABE</v>
      </c>
      <c r="C13" s="140" t="str">
        <f>IFERROR(__xludf.DUMMYFUNCTION("""COMPUTED_VALUE"""),"011-00916-00")</f>
        <v>011-00916-00</v>
      </c>
      <c r="D13" s="140" t="str">
        <f>IFERROR(__xludf.DUMMYFUNCTION("""COMPUTED_VALUE"""),"DISPLAY UNIT GDU")</f>
        <v>DISPLAY UNIT GDU</v>
      </c>
      <c r="E13" s="140" t="str">
        <f>IFERROR(__xludf.DUMMYFUNCTION("""COMPUTED_VALUE"""),"86801618 ")</f>
        <v>86801618 </v>
      </c>
      <c r="F13" s="140" t="str">
        <f>IFERROR(__xludf.DUMMYFUNCTION("""COMPUTED_VALUE"""),"005/2025")</f>
        <v>005/2025</v>
      </c>
      <c r="G13" s="140" t="str">
        <f>IFERROR(__xludf.DUMMYFUNCTION("""COMPUTED_VALUE"""),"13/08")</f>
        <v>13/08</v>
      </c>
      <c r="H13" s="140" t="str">
        <f>IFERROR(__xludf.DUMMYFUNCTION("""COMPUTED_VALUE"""),"22/08")</f>
        <v>22/08</v>
      </c>
      <c r="I13" s="140" t="str">
        <f>IFERROR(__xludf.DUMMYFUNCTION("""COMPUTED_VALUE"""),"26/08")</f>
        <v>26/08</v>
      </c>
      <c r="J13" s="140" t="str">
        <f>IFERROR(__xludf.DUMMYFUNCTION("""COMPUTED_VALUE"""),"26/08")</f>
        <v>26/08</v>
      </c>
      <c r="K13" s="140" t="str">
        <f>IFERROR(__xludf.DUMMYFUNCTION("""COMPUTED_VALUE"""),"03/09")</f>
        <v>03/09</v>
      </c>
      <c r="L13" s="140" t="str">
        <f>IFERROR(__xludf.DUMMYFUNCTION("""COMPUTED_VALUE"""),"03/09")</f>
        <v>03/09</v>
      </c>
      <c r="M13" s="140" t="str">
        <f>IFERROR(__xludf.DUMMYFUNCTION("""COMPUTED_VALUE"""),"03/09")</f>
        <v>03/09</v>
      </c>
      <c r="N13" s="140" t="str">
        <f>IFERROR(__xludf.DUMMYFUNCTION("""COMPUTED_VALUE"""),"03/09")</f>
        <v>03/09</v>
      </c>
      <c r="O13" s="140" t="str">
        <f>IFERROR(__xludf.DUMMYFUNCTION("""COMPUTED_VALUE"""),"04/09")</f>
        <v>04/09</v>
      </c>
      <c r="P13" s="140" t="str">
        <f>IFERROR(__xludf.DUMMYFUNCTION("""COMPUTED_VALUE"""),"17/10")</f>
        <v>17/10</v>
      </c>
      <c r="Q13" s="140" t="str">
        <f>IFERROR(__xludf.DUMMYFUNCTION("""COMPUTED_VALUE"""),"17/10 e 13/11")</f>
        <v>17/10 e 13/11</v>
      </c>
      <c r="R13" s="140" t="str">
        <f>IFERROR(__xludf.DUMMYFUNCTION("""COMPUTED_VALUE"""),"17/10")</f>
        <v>17/10</v>
      </c>
      <c r="S13" s="140" t="str">
        <f>IFERROR(__xludf.DUMMYFUNCTION("""COMPUTED_VALUE"""),"17/11")</f>
        <v>17/11</v>
      </c>
      <c r="T13" s="140" t="str">
        <f>IFERROR(__xludf.DUMMYFUNCTION("""COMPUTED_VALUE"""),"23/12")</f>
        <v>23/12</v>
      </c>
      <c r="U13" s="140" t="str">
        <f>IFERROR(__xludf.DUMMYFUNCTION("""COMPUTED_VALUE"""),"Exchange com PN 011-00916-10 SN 86815647")</f>
        <v>Exchange com PN 011-00916-10 SN 86815647</v>
      </c>
      <c r="V13" s="140"/>
      <c r="W13" s="140"/>
      <c r="X13" s="140"/>
      <c r="Y13" s="140"/>
      <c r="Z13" s="140"/>
    </row>
    <row r="14" hidden="1">
      <c r="A14" s="140" t="str">
        <f>IFERROR(__xludf.DUMMYFUNCTION("""COMPUTED_VALUE"""),"VEE ONE")</f>
        <v>VEE ONE</v>
      </c>
      <c r="B14" s="140" t="str">
        <f>IFERROR(__xludf.DUMMYFUNCTION("""COMPUTED_VALUE"""),"BABE")</f>
        <v>BABE</v>
      </c>
      <c r="C14" s="140" t="str">
        <f>IFERROR(__xludf.DUMMYFUNCTION("""COMPUTED_VALUE"""),"2C6-8")</f>
        <v>2C6-8</v>
      </c>
      <c r="D14" s="140" t="str">
        <f>IFERROR(__xludf.DUMMYFUNCTION("""COMPUTED_VALUE"""),"FUEL BOOST PUMP")</f>
        <v>FUEL BOOST PUMP</v>
      </c>
      <c r="E14" s="140" t="str">
        <f>IFERROR(__xludf.DUMMYFUNCTION("""COMPUTED_VALUE"""),"K295-4")</f>
        <v>K295-4</v>
      </c>
      <c r="F14" s="140" t="str">
        <f>IFERROR(__xludf.DUMMYFUNCTION("""COMPUTED_VALUE"""),"005/2025")</f>
        <v>005/2025</v>
      </c>
      <c r="G14" s="140" t="str">
        <f>IFERROR(__xludf.DUMMYFUNCTION("""COMPUTED_VALUE"""),"13/08")</f>
        <v>13/08</v>
      </c>
      <c r="H14" s="140" t="str">
        <f>IFERROR(__xludf.DUMMYFUNCTION("""COMPUTED_VALUE"""),"22/08")</f>
        <v>22/08</v>
      </c>
      <c r="I14" s="140" t="str">
        <f>IFERROR(__xludf.DUMMYFUNCTION("""COMPUTED_VALUE"""),"26/08")</f>
        <v>26/08</v>
      </c>
      <c r="J14" s="140" t="str">
        <f>IFERROR(__xludf.DUMMYFUNCTION("""COMPUTED_VALUE"""),"26/08")</f>
        <v>26/08</v>
      </c>
      <c r="K14" s="140" t="str">
        <f>IFERROR(__xludf.DUMMYFUNCTION("""COMPUTED_VALUE"""),"03/09")</f>
        <v>03/09</v>
      </c>
      <c r="L14" s="140" t="str">
        <f>IFERROR(__xludf.DUMMYFUNCTION("""COMPUTED_VALUE"""),"03/09")</f>
        <v>03/09</v>
      </c>
      <c r="M14" s="140" t="str">
        <f>IFERROR(__xludf.DUMMYFUNCTION("""COMPUTED_VALUE"""),"03/09")</f>
        <v>03/09</v>
      </c>
      <c r="N14" s="140" t="str">
        <f>IFERROR(__xludf.DUMMYFUNCTION("""COMPUTED_VALUE"""),"03/09")</f>
        <v>03/09</v>
      </c>
      <c r="O14" s="140" t="str">
        <f>IFERROR(__xludf.DUMMYFUNCTION("""COMPUTED_VALUE"""),"04/09")</f>
        <v>04/09</v>
      </c>
      <c r="P14" s="140" t="str">
        <f>IFERROR(__xludf.DUMMYFUNCTION("""COMPUTED_VALUE"""),"17/10")</f>
        <v>17/10</v>
      </c>
      <c r="Q14" s="140" t="str">
        <f>IFERROR(__xludf.DUMMYFUNCTION("""COMPUTED_VALUE"""),"17/10 e 13/11")</f>
        <v>17/10 e 13/11</v>
      </c>
      <c r="R14" s="140" t="str">
        <f>IFERROR(__xludf.DUMMYFUNCTION("""COMPUTED_VALUE"""),"17/10")</f>
        <v>17/10</v>
      </c>
      <c r="S14" s="140" t="str">
        <f>IFERROR(__xludf.DUMMYFUNCTION("""COMPUTED_VALUE"""),"17/11")</f>
        <v>17/11</v>
      </c>
      <c r="T14" s="140" t="str">
        <f>IFERROR(__xludf.DUMMYFUNCTION("""COMPUTED_VALUE"""),"23/12")</f>
        <v>23/12</v>
      </c>
      <c r="U14" s="140"/>
      <c r="V14" s="140"/>
      <c r="W14" s="140"/>
      <c r="X14" s="140"/>
      <c r="Y14" s="140"/>
      <c r="Z14" s="140"/>
    </row>
    <row r="15" hidden="1">
      <c r="A15" s="140" t="str">
        <f>IFERROR(__xludf.DUMMYFUNCTION("""COMPUTED_VALUE"""),"VEE ONE")</f>
        <v>VEE ONE</v>
      </c>
      <c r="B15" s="140" t="str">
        <f>IFERROR(__xludf.DUMMYFUNCTION("""COMPUTED_VALUE"""),"BABE")</f>
        <v>BABE</v>
      </c>
      <c r="C15" s="140" t="str">
        <f>IFERROR(__xludf.DUMMYFUNCTION("""COMPUTED_VALUE"""),"ASG12000-2")</f>
        <v>ASG12000-2</v>
      </c>
      <c r="D15" s="140" t="str">
        <f>IFERROR(__xludf.DUMMYFUNCTION("""COMPUTED_VALUE"""),"ALTERNADOR")</f>
        <v>ALTERNADOR</v>
      </c>
      <c r="E15" s="140" t="str">
        <f>IFERROR(__xludf.DUMMYFUNCTION("""COMPUTED_VALUE"""),"K060493")</f>
        <v>K060493</v>
      </c>
      <c r="F15" s="140" t="str">
        <f>IFERROR(__xludf.DUMMYFUNCTION("""COMPUTED_VALUE"""),"013/2025")</f>
        <v>013/2025</v>
      </c>
      <c r="G15" s="140" t="str">
        <f>IFERROR(__xludf.DUMMYFUNCTION("""COMPUTED_VALUE"""),"03/09")</f>
        <v>03/09</v>
      </c>
      <c r="H15" s="140" t="str">
        <f>IFERROR(__xludf.DUMMYFUNCTION("""COMPUTED_VALUE"""),"04/09")</f>
        <v>04/09</v>
      </c>
      <c r="I15" s="140" t="str">
        <f>IFERROR(__xludf.DUMMYFUNCTION("""COMPUTED_VALUE"""),"04/09")</f>
        <v>04/09</v>
      </c>
      <c r="J15" s="140" t="str">
        <f>IFERROR(__xludf.DUMMYFUNCTION("""COMPUTED_VALUE"""),"04/09")</f>
        <v>04/09</v>
      </c>
      <c r="K15" s="140" t="str">
        <f>IFERROR(__xludf.DUMMYFUNCTION("""COMPUTED_VALUE"""),"05/09")</f>
        <v>05/09</v>
      </c>
      <c r="L15" s="140" t="str">
        <f>IFERROR(__xludf.DUMMYFUNCTION("""COMPUTED_VALUE"""),"05/09")</f>
        <v>05/09</v>
      </c>
      <c r="M15" s="140" t="str">
        <f>IFERROR(__xludf.DUMMYFUNCTION("""COMPUTED_VALUE"""),"08/09")</f>
        <v>08/09</v>
      </c>
      <c r="N15" s="140" t="str">
        <f>IFERROR(__xludf.DUMMYFUNCTION("""COMPUTED_VALUE"""),"08/09")</f>
        <v>08/09</v>
      </c>
      <c r="O15" s="140" t="str">
        <f>IFERROR(__xludf.DUMMYFUNCTION("""COMPUTED_VALUE"""),"08/09")</f>
        <v>08/09</v>
      </c>
      <c r="P15" s="140" t="str">
        <f>IFERROR(__xludf.DUMMYFUNCTION("""COMPUTED_VALUE"""),"08/09")</f>
        <v>08/09</v>
      </c>
      <c r="Q15" s="140" t="str">
        <f>IFERROR(__xludf.DUMMYFUNCTION("""COMPUTED_VALUE"""),"08/09")</f>
        <v>08/09</v>
      </c>
      <c r="R15" s="140" t="str">
        <f>IFERROR(__xludf.DUMMYFUNCTION("""COMPUTED_VALUE"""),"08/09")</f>
        <v>08/09</v>
      </c>
      <c r="S15" s="140" t="str">
        <f>IFERROR(__xludf.DUMMYFUNCTION("""COMPUTED_VALUE"""),"26/09")</f>
        <v>26/09</v>
      </c>
      <c r="T15" s="140" t="str">
        <f>IFERROR(__xludf.DUMMYFUNCTION("""COMPUTED_VALUE"""),"01/10")</f>
        <v>01/10</v>
      </c>
      <c r="U15" s="140"/>
      <c r="V15" s="140"/>
      <c r="W15" s="140"/>
      <c r="X15" s="140"/>
      <c r="Y15" s="140"/>
      <c r="Z15" s="140"/>
    </row>
    <row r="16" hidden="1">
      <c r="A16" s="140" t="str">
        <f>IFERROR(__xludf.DUMMYFUNCTION("""COMPUTED_VALUE"""),"VEE ONE")</f>
        <v>VEE ONE</v>
      </c>
      <c r="B16" s="140" t="str">
        <f>IFERROR(__xludf.DUMMYFUNCTION("""COMPUTED_VALUE"""),"BABE")</f>
        <v>BABE</v>
      </c>
      <c r="C16" s="140" t="str">
        <f>IFERROR(__xludf.DUMMYFUNCTION("""COMPUTED_VALUE"""),"3121248-03")</f>
        <v>3121248-03</v>
      </c>
      <c r="D16" s="140" t="str">
        <f>IFERROR(__xludf.DUMMYFUNCTION("""COMPUTED_VALUE"""),"VALVE ASSEMBLY,COMPRESSOR BLEED")</f>
        <v>VALVE ASSEMBLY,COMPRESSOR BLEED</v>
      </c>
      <c r="E16" s="140" t="str">
        <f>IFERROR(__xludf.DUMMYFUNCTION("""COMPUTED_VALUE"""),"3H399")</f>
        <v>3H399</v>
      </c>
      <c r="F16" s="140" t="str">
        <f>IFERROR(__xludf.DUMMYFUNCTION("""COMPUTED_VALUE"""),"015/2025")</f>
        <v>015/2025</v>
      </c>
      <c r="G16" s="140" t="str">
        <f>IFERROR(__xludf.DUMMYFUNCTION("""COMPUTED_VALUE"""),"15/10")</f>
        <v>15/10</v>
      </c>
      <c r="H16" s="140" t="str">
        <f>IFERROR(__xludf.DUMMYFUNCTION("""COMPUTED_VALUE"""),"15/10")</f>
        <v>15/10</v>
      </c>
      <c r="I16" s="140" t="str">
        <f>IFERROR(__xludf.DUMMYFUNCTION("""COMPUTED_VALUE"""),"15/10")</f>
        <v>15/10</v>
      </c>
      <c r="J16" s="140" t="str">
        <f>IFERROR(__xludf.DUMMYFUNCTION("""COMPUTED_VALUE"""),"16/10")</f>
        <v>16/10</v>
      </c>
      <c r="K16" s="140" t="str">
        <f>IFERROR(__xludf.DUMMYFUNCTION("""COMPUTED_VALUE"""),"16/10")</f>
        <v>16/10</v>
      </c>
      <c r="L16" s="140" t="str">
        <f>IFERROR(__xludf.DUMMYFUNCTION("""COMPUTED_VALUE"""),"16/10")</f>
        <v>16/10</v>
      </c>
      <c r="M16" s="140" t="str">
        <f>IFERROR(__xludf.DUMMYFUNCTION("""COMPUTED_VALUE"""),"17/10")</f>
        <v>17/10</v>
      </c>
      <c r="N16" s="140" t="str">
        <f>IFERROR(__xludf.DUMMYFUNCTION("""COMPUTED_VALUE"""),"17/10")</f>
        <v>17/10</v>
      </c>
      <c r="O16" s="140" t="str">
        <f>IFERROR(__xludf.DUMMYFUNCTION("""COMPUTED_VALUE"""),"17/10")</f>
        <v>17/10</v>
      </c>
      <c r="P16" s="140" t="str">
        <f>IFERROR(__xludf.DUMMYFUNCTION("""COMPUTED_VALUE"""),"17/10")</f>
        <v>17/10</v>
      </c>
      <c r="Q16" s="140" t="str">
        <f>IFERROR(__xludf.DUMMYFUNCTION("""COMPUTED_VALUE"""),"17/10 e 13/11")</f>
        <v>17/10 e 13/11</v>
      </c>
      <c r="R16" s="140" t="str">
        <f>IFERROR(__xludf.DUMMYFUNCTION("""COMPUTED_VALUE"""),"17/10")</f>
        <v>17/10</v>
      </c>
      <c r="S16" s="140" t="str">
        <f>IFERROR(__xludf.DUMMYFUNCTION("""COMPUTED_VALUE"""),"17/11")</f>
        <v>17/11</v>
      </c>
      <c r="T16" s="140" t="str">
        <f>IFERROR(__xludf.DUMMYFUNCTION("""COMPUTED_VALUE"""),"23/12")</f>
        <v>23/12</v>
      </c>
      <c r="U16" s="140"/>
      <c r="V16" s="140"/>
      <c r="W16" s="140"/>
      <c r="X16" s="140"/>
      <c r="Y16" s="140"/>
      <c r="Z16" s="140"/>
    </row>
    <row r="17" hidden="1">
      <c r="A17" s="140" t="str">
        <f>IFERROR(__xludf.DUMMYFUNCTION("""COMPUTED_VALUE"""),"VEE ONE")</f>
        <v>VEE ONE</v>
      </c>
      <c r="B17" s="140" t="str">
        <f>IFERROR(__xludf.DUMMYFUNCTION("""COMPUTED_VALUE"""),"BACG")</f>
        <v>BACG</v>
      </c>
      <c r="C17" s="140" t="str">
        <f>IFERROR(__xludf.DUMMYFUNCTION("""COMPUTED_VALUE"""),"3122678-04")</f>
        <v>3122678-04</v>
      </c>
      <c r="D17" s="140" t="str">
        <f>IFERROR(__xludf.DUMMYFUNCTION("""COMPUTED_VALUE"""),"FUEL CONTROL UNIT")</f>
        <v>FUEL CONTROL UNIT</v>
      </c>
      <c r="E17" s="140" t="str">
        <f>IFERROR(__xludf.DUMMYFUNCTION("""COMPUTED_VALUE"""),"C66689")</f>
        <v>C66689</v>
      </c>
      <c r="F17" s="140" t="str">
        <f>IFERROR(__xludf.DUMMYFUNCTION("""COMPUTED_VALUE"""),"002/2025")</f>
        <v>002/2025</v>
      </c>
      <c r="G17" s="140" t="str">
        <f>IFERROR(__xludf.DUMMYFUNCTION("""COMPUTED_VALUE"""),"19/05")</f>
        <v>19/05</v>
      </c>
      <c r="H17" s="140" t="str">
        <f>IFERROR(__xludf.DUMMYFUNCTION("""COMPUTED_VALUE"""),"28/05")</f>
        <v>28/05</v>
      </c>
      <c r="I17" s="140" t="str">
        <f>IFERROR(__xludf.DUMMYFUNCTION("""COMPUTED_VALUE"""),"25/07")</f>
        <v>25/07</v>
      </c>
      <c r="J17" s="140" t="str">
        <f>IFERROR(__xludf.DUMMYFUNCTION("""COMPUTED_VALUE"""),"25/07")</f>
        <v>25/07</v>
      </c>
      <c r="K17" s="140" t="str">
        <f>IFERROR(__xludf.DUMMYFUNCTION("""COMPUTED_VALUE"""),"29/07")</f>
        <v>29/07</v>
      </c>
      <c r="L17" s="140" t="str">
        <f>IFERROR(__xludf.DUMMYFUNCTION("""COMPUTED_VALUE"""),"29/07")</f>
        <v>29/07</v>
      </c>
      <c r="M17" s="140" t="str">
        <f>IFERROR(__xludf.DUMMYFUNCTION("""COMPUTED_VALUE"""),"29/07")</f>
        <v>29/07</v>
      </c>
      <c r="N17" s="140" t="str">
        <f>IFERROR(__xludf.DUMMYFUNCTION("""COMPUTED_VALUE"""),"30/07")</f>
        <v>30/07</v>
      </c>
      <c r="O17" s="140" t="str">
        <f>IFERROR(__xludf.DUMMYFUNCTION("""COMPUTED_VALUE"""),"30/07")</f>
        <v>30/07</v>
      </c>
      <c r="P17" s="140" t="str">
        <f>IFERROR(__xludf.DUMMYFUNCTION("""COMPUTED_VALUE"""),"30/07")</f>
        <v>30/07</v>
      </c>
      <c r="Q17" s="140" t="str">
        <f>IFERROR(__xludf.DUMMYFUNCTION("""COMPUTED_VALUE"""),"30/07")</f>
        <v>30/07</v>
      </c>
      <c r="R17" s="140" t="str">
        <f>IFERROR(__xludf.DUMMYFUNCTION("""COMPUTED_VALUE"""),"31/07")</f>
        <v>31/07</v>
      </c>
      <c r="S17" s="140" t="str">
        <f>IFERROR(__xludf.DUMMYFUNCTION("""COMPUTED_VALUE"""),"31/07")</f>
        <v>31/07</v>
      </c>
      <c r="T17" s="140" t="str">
        <f>IFERROR(__xludf.DUMMYFUNCTION("""COMPUTED_VALUE"""),"02/09")</f>
        <v>02/09</v>
      </c>
      <c r="U17" s="140"/>
      <c r="V17" s="140"/>
      <c r="W17" s="140"/>
      <c r="X17" s="140"/>
      <c r="Y17" s="140"/>
      <c r="Z17" s="140"/>
    </row>
    <row r="18" hidden="1">
      <c r="A18" s="140" t="str">
        <f>IFERROR(__xludf.DUMMYFUNCTION("""COMPUTED_VALUE"""),"VEE ONE")</f>
        <v>VEE ONE</v>
      </c>
      <c r="B18" s="140" t="str">
        <f>IFERROR(__xludf.DUMMYFUNCTION("""COMPUTED_VALUE"""),"BACG")</f>
        <v>BACG</v>
      </c>
      <c r="C18" s="140" t="str">
        <f>IFERROR(__xludf.DUMMYFUNCTION("""COMPUTED_VALUE"""),"C661064-0237")</f>
        <v>C661064-0237</v>
      </c>
      <c r="D18" s="140" t="str">
        <f>IFERROR(__xludf.DUMMYFUNCTION("""COMPUTED_VALUE"""),"AIRSPEED INDICATOR")</f>
        <v>AIRSPEED INDICATOR</v>
      </c>
      <c r="E18" s="140" t="str">
        <f>IFERROR(__xludf.DUMMYFUNCTION("""COMPUTED_VALUE"""),"T23149")</f>
        <v>T23149</v>
      </c>
      <c r="F18" s="140" t="str">
        <f>IFERROR(__xludf.DUMMYFUNCTION("""COMPUTED_VALUE"""),"005/2025")</f>
        <v>005/2025</v>
      </c>
      <c r="G18" s="140" t="str">
        <f>IFERROR(__xludf.DUMMYFUNCTION("""COMPUTED_VALUE"""),"04/08")</f>
        <v>04/08</v>
      </c>
      <c r="H18" s="140" t="str">
        <f>IFERROR(__xludf.DUMMYFUNCTION("""COMPUTED_VALUE"""),"04/08")</f>
        <v>04/08</v>
      </c>
      <c r="I18" s="140" t="str">
        <f>IFERROR(__xludf.DUMMYFUNCTION("""COMPUTED_VALUE"""),"04/08")</f>
        <v>04/08</v>
      </c>
      <c r="J18" s="140" t="str">
        <f>IFERROR(__xludf.DUMMYFUNCTION("""COMPUTED_VALUE"""),"05/08")</f>
        <v>05/08</v>
      </c>
      <c r="K18" s="140" t="str">
        <f>IFERROR(__xludf.DUMMYFUNCTION("""COMPUTED_VALUE"""),"06/08")</f>
        <v>06/08</v>
      </c>
      <c r="L18" s="140" t="str">
        <f>IFERROR(__xludf.DUMMYFUNCTION("""COMPUTED_VALUE"""),"06/08")</f>
        <v>06/08</v>
      </c>
      <c r="M18" s="140" t="str">
        <f>IFERROR(__xludf.DUMMYFUNCTION("""COMPUTED_VALUE"""),"06/08")</f>
        <v>06/08</v>
      </c>
      <c r="N18" s="140" t="str">
        <f>IFERROR(__xludf.DUMMYFUNCTION("""COMPUTED_VALUE"""),"06/08")</f>
        <v>06/08</v>
      </c>
      <c r="O18" s="140" t="str">
        <f>IFERROR(__xludf.DUMMYFUNCTION("""COMPUTED_VALUE"""),"06/08")</f>
        <v>06/08</v>
      </c>
      <c r="P18" s="140" t="str">
        <f>IFERROR(__xludf.DUMMYFUNCTION("""COMPUTED_VALUE"""),"06/08")</f>
        <v>06/08</v>
      </c>
      <c r="Q18" s="140" t="str">
        <f>IFERROR(__xludf.DUMMYFUNCTION("""COMPUTED_VALUE"""),"06/08")</f>
        <v>06/08</v>
      </c>
      <c r="R18" s="140" t="str">
        <f>IFERROR(__xludf.DUMMYFUNCTION("""COMPUTED_VALUE"""),"06/08")</f>
        <v>06/08</v>
      </c>
      <c r="S18" s="140" t="str">
        <f>IFERROR(__xludf.DUMMYFUNCTION("""COMPUTED_VALUE"""),"06/08")</f>
        <v>06/08</v>
      </c>
      <c r="T18" s="140" t="str">
        <f>IFERROR(__xludf.DUMMYFUNCTION("""COMPUTED_VALUE"""),"07/08")</f>
        <v>07/08</v>
      </c>
      <c r="U18" s="140"/>
      <c r="V18" s="140"/>
      <c r="W18" s="140"/>
      <c r="X18" s="140"/>
      <c r="Y18" s="140"/>
      <c r="Z18" s="140"/>
    </row>
    <row r="19" hidden="1">
      <c r="A19" s="140" t="str">
        <f>IFERROR(__xludf.DUMMYFUNCTION("""COMPUTED_VALUE"""),"VEE ONE")</f>
        <v>VEE ONE</v>
      </c>
      <c r="B19" s="140" t="str">
        <f>IFERROR(__xludf.DUMMYFUNCTION("""COMPUTED_VALUE"""),"BAPV")</f>
        <v>BAPV</v>
      </c>
      <c r="C19" s="140" t="str">
        <f>IFERROR(__xludf.DUMMYFUNCTION("""COMPUTED_VALUE"""),"011-00916-00")</f>
        <v>011-00916-00</v>
      </c>
      <c r="D19" s="140" t="str">
        <f>IFERROR(__xludf.DUMMYFUNCTION("""COMPUTED_VALUE"""),"DISPLAY UNIT GDU")</f>
        <v>DISPLAY UNIT GDU</v>
      </c>
      <c r="E19" s="140" t="str">
        <f>IFERROR(__xludf.DUMMYFUNCTION("""COMPUTED_VALUE"""),"86800662")</f>
        <v>86800662</v>
      </c>
      <c r="F19" s="140" t="str">
        <f>IFERROR(__xludf.DUMMYFUNCTION("""COMPUTED_VALUE"""),"006/2025")</f>
        <v>006/2025</v>
      </c>
      <c r="G19" s="140" t="str">
        <f>IFERROR(__xludf.DUMMYFUNCTION("""COMPUTED_VALUE"""),"08/08")</f>
        <v>08/08</v>
      </c>
      <c r="H19" s="140" t="str">
        <f>IFERROR(__xludf.DUMMYFUNCTION("""COMPUTED_VALUE"""),"08/08")</f>
        <v>08/08</v>
      </c>
      <c r="I19" s="140" t="str">
        <f>IFERROR(__xludf.DUMMYFUNCTION("""COMPUTED_VALUE"""),"13/08")</f>
        <v>13/08</v>
      </c>
      <c r="J19" s="140" t="str">
        <f>IFERROR(__xludf.DUMMYFUNCTION("""COMPUTED_VALUE"""),"13/08")</f>
        <v>13/08</v>
      </c>
      <c r="K19" s="140" t="str">
        <f>IFERROR(__xludf.DUMMYFUNCTION("""COMPUTED_VALUE"""),"14/08")</f>
        <v>14/08</v>
      </c>
      <c r="L19" s="140" t="str">
        <f>IFERROR(__xludf.DUMMYFUNCTION("""COMPUTED_VALUE"""),"25/08")</f>
        <v>25/08</v>
      </c>
      <c r="M19" s="140" t="str">
        <f>IFERROR(__xludf.DUMMYFUNCTION("""COMPUTED_VALUE"""),"25/08")</f>
        <v>25/08</v>
      </c>
      <c r="N19" s="140" t="str">
        <f>IFERROR(__xludf.DUMMYFUNCTION("""COMPUTED_VALUE"""),"25/08")</f>
        <v>25/08</v>
      </c>
      <c r="O19" s="140" t="str">
        <f>IFERROR(__xludf.DUMMYFUNCTION("""COMPUTED_VALUE"""),"25/08")</f>
        <v>25/08</v>
      </c>
      <c r="P19" s="140" t="str">
        <f>IFERROR(__xludf.DUMMYFUNCTION("""COMPUTED_VALUE"""),"26/08")</f>
        <v>26/08</v>
      </c>
      <c r="Q19" s="140" t="str">
        <f>IFERROR(__xludf.DUMMYFUNCTION("""COMPUTED_VALUE"""),"26/08")</f>
        <v>26/08</v>
      </c>
      <c r="R19" s="140" t="str">
        <f>IFERROR(__xludf.DUMMYFUNCTION("""COMPUTED_VALUE"""),"27/08")</f>
        <v>27/08</v>
      </c>
      <c r="S19" s="140" t="str">
        <f>IFERROR(__xludf.DUMMYFUNCTION("""COMPUTED_VALUE"""),"27/08")</f>
        <v>27/08</v>
      </c>
      <c r="T19" s="140" t="str">
        <f>IFERROR(__xludf.DUMMYFUNCTION("""COMPUTED_VALUE"""),"27/08")</f>
        <v>27/08</v>
      </c>
      <c r="U19" s="140" t="str">
        <f>IFERROR(__xludf.DUMMYFUNCTION("""COMPUTED_VALUE"""),"Exchange com PN 011-00916-00 SN 86801069")</f>
        <v>Exchange com PN 011-00916-00 SN 86801069</v>
      </c>
      <c r="V19" s="140"/>
      <c r="W19" s="140"/>
      <c r="X19" s="140"/>
      <c r="Y19" s="140"/>
      <c r="Z19" s="140"/>
    </row>
    <row r="20" hidden="1">
      <c r="A20" s="140" t="str">
        <f>IFERROR(__xludf.DUMMYFUNCTION("""COMPUTED_VALUE"""),"VEE ONE")</f>
        <v>VEE ONE</v>
      </c>
      <c r="B20" s="140" t="str">
        <f>IFERROR(__xludf.DUMMYFUNCTION("""COMPUTED_VALUE"""),"BAMN")</f>
        <v>BAMN</v>
      </c>
      <c r="C20" s="140" t="str">
        <f>IFERROR(__xludf.DUMMYFUNCTION("""COMPUTED_VALUE"""),"3244897-4")</f>
        <v>3244897-4</v>
      </c>
      <c r="D20" s="140" t="str">
        <f>IFERROR(__xludf.DUMMYFUNCTION("""COMPUTED_VALUE"""),"FUEL CONTROL UNIT")</f>
        <v>FUEL CONTROL UNIT</v>
      </c>
      <c r="E20" s="140" t="str">
        <f>IFERROR(__xludf.DUMMYFUNCTION("""COMPUTED_VALUE"""),"B1025")</f>
        <v>B1025</v>
      </c>
      <c r="F20" s="140" t="str">
        <f>IFERROR(__xludf.DUMMYFUNCTION("""COMPUTED_VALUE"""),"029/2025")</f>
        <v>029/2025</v>
      </c>
      <c r="G20" s="140" t="str">
        <f>IFERROR(__xludf.DUMMYFUNCTION("""COMPUTED_VALUE"""),"14/10")</f>
        <v>14/10</v>
      </c>
      <c r="H20" s="140" t="str">
        <f>IFERROR(__xludf.DUMMYFUNCTION("""COMPUTED_VALUE"""),"17/10")</f>
        <v>17/10</v>
      </c>
      <c r="I20" s="140" t="str">
        <f>IFERROR(__xludf.DUMMYFUNCTION("""COMPUTED_VALUE"""),"21/10")</f>
        <v>21/10</v>
      </c>
      <c r="J20" s="140" t="str">
        <f>IFERROR(__xludf.DUMMYFUNCTION("""COMPUTED_VALUE"""),"21/10")</f>
        <v>21/10</v>
      </c>
      <c r="K20" s="140" t="str">
        <f>IFERROR(__xludf.DUMMYFUNCTION("""COMPUTED_VALUE"""),"27/10")</f>
        <v>27/10</v>
      </c>
      <c r="L20" s="140" t="str">
        <f>IFERROR(__xludf.DUMMYFUNCTION("""COMPUTED_VALUE"""),"28/10")</f>
        <v>28/10</v>
      </c>
      <c r="M20" s="140" t="str">
        <f>IFERROR(__xludf.DUMMYFUNCTION("""COMPUTED_VALUE"""),"28/10")</f>
        <v>28/10</v>
      </c>
      <c r="N20" s="140" t="str">
        <f>IFERROR(__xludf.DUMMYFUNCTION("""COMPUTED_VALUE"""),"28/10")</f>
        <v>28/10</v>
      </c>
      <c r="O20" s="140" t="str">
        <f>IFERROR(__xludf.DUMMYFUNCTION("""COMPUTED_VALUE"""),"28/10")</f>
        <v>28/10</v>
      </c>
      <c r="P20" s="140" t="str">
        <f>IFERROR(__xludf.DUMMYFUNCTION("""COMPUTED_VALUE"""),"28/10")</f>
        <v>28/10</v>
      </c>
      <c r="Q20" s="140" t="str">
        <f>IFERROR(__xludf.DUMMYFUNCTION("""COMPUTED_VALUE"""),"28/10")</f>
        <v>28/10</v>
      </c>
      <c r="R20" s="140" t="str">
        <f>IFERROR(__xludf.DUMMYFUNCTION("""COMPUTED_VALUE"""),"28/10")</f>
        <v>28/10</v>
      </c>
      <c r="S20" s="140" t="str">
        <f>IFERROR(__xludf.DUMMYFUNCTION("""COMPUTED_VALUE"""),"28/10")</f>
        <v>28/10</v>
      </c>
      <c r="T20" s="140" t="str">
        <f>IFERROR(__xludf.DUMMYFUNCTION("""COMPUTED_VALUE"""),"02/12")</f>
        <v>02/12</v>
      </c>
      <c r="U20" s="140"/>
      <c r="V20" s="140"/>
      <c r="W20" s="140"/>
      <c r="X20" s="140"/>
      <c r="Y20" s="140"/>
      <c r="Z20" s="140"/>
    </row>
    <row r="21" hidden="1">
      <c r="A21" s="140" t="str">
        <f>IFERROR(__xludf.DUMMYFUNCTION("""COMPUTED_VALUE"""),"VEE ONE")</f>
        <v>VEE ONE</v>
      </c>
      <c r="B21" s="140" t="str">
        <f>IFERROR(__xludf.DUMMYFUNCTION("""COMPUTED_VALUE"""),"BAPV")</f>
        <v>BAPV</v>
      </c>
      <c r="C21" s="140" t="str">
        <f>IFERROR(__xludf.DUMMYFUNCTION("""COMPUTED_VALUE"""),"3244897-4")</f>
        <v>3244897-4</v>
      </c>
      <c r="D21" s="140" t="str">
        <f>IFERROR(__xludf.DUMMYFUNCTION("""COMPUTED_VALUE"""),"FUEL CONTROL UNIT")</f>
        <v>FUEL CONTROL UNIT</v>
      </c>
      <c r="E21" s="140" t="str">
        <f>IFERROR(__xludf.DUMMYFUNCTION("""COMPUTED_VALUE"""),"F66912")</f>
        <v>F66912</v>
      </c>
      <c r="F21" s="140" t="str">
        <f>IFERROR(__xludf.DUMMYFUNCTION("""COMPUTED_VALUE"""),"007/2025")</f>
        <v>007/2025</v>
      </c>
      <c r="G21" s="140" t="str">
        <f>IFERROR(__xludf.DUMMYFUNCTION("""COMPUTED_VALUE"""),"08/09")</f>
        <v>08/09</v>
      </c>
      <c r="H21" s="140" t="str">
        <f>IFERROR(__xludf.DUMMYFUNCTION("""COMPUTED_VALUE"""),"09/09")</f>
        <v>09/09</v>
      </c>
      <c r="I21" s="140" t="str">
        <f>IFERROR(__xludf.DUMMYFUNCTION("""COMPUTED_VALUE"""),"15/10")</f>
        <v>15/10</v>
      </c>
      <c r="J21" s="140" t="str">
        <f>IFERROR(__xludf.DUMMYFUNCTION("""COMPUTED_VALUE"""),"12/12")</f>
        <v>12/12</v>
      </c>
      <c r="K21" s="140" t="str">
        <f>IFERROR(__xludf.DUMMYFUNCTION("""COMPUTED_VALUE"""),"16/12")</f>
        <v>16/12</v>
      </c>
      <c r="L21" s="140" t="str">
        <f>IFERROR(__xludf.DUMMYFUNCTION("""COMPUTED_VALUE"""),"16/12")</f>
        <v>16/12</v>
      </c>
      <c r="M21" s="140" t="str">
        <f>IFERROR(__xludf.DUMMYFUNCTION("""COMPUTED_VALUE"""),"16/12")</f>
        <v>16/12</v>
      </c>
      <c r="N21" s="140" t="str">
        <f>IFERROR(__xludf.DUMMYFUNCTION("""COMPUTED_VALUE"""),"16/12")</f>
        <v>16/12</v>
      </c>
      <c r="O21" s="140" t="str">
        <f>IFERROR(__xludf.DUMMYFUNCTION("""COMPUTED_VALUE"""),"16/12")</f>
        <v>16/12</v>
      </c>
      <c r="P21" s="140" t="str">
        <f>IFERROR(__xludf.DUMMYFUNCTION("""COMPUTED_VALUE"""),"27/01")</f>
        <v>27/01</v>
      </c>
      <c r="Q21" s="140" t="str">
        <f>IFERROR(__xludf.DUMMYFUNCTION("""COMPUTED_VALUE"""),"27/01")</f>
        <v>27/01</v>
      </c>
      <c r="R21" s="140" t="str">
        <f>IFERROR(__xludf.DUMMYFUNCTION("""COMPUTED_VALUE"""),"29/01")</f>
        <v>29/01</v>
      </c>
      <c r="S21" s="140" t="str">
        <f>IFERROR(__xludf.DUMMYFUNCTION("""COMPUTED_VALUE"""),"29/01")</f>
        <v>29/01</v>
      </c>
      <c r="T21" s="140" t="str">
        <f>IFERROR(__xludf.DUMMYFUNCTION("""COMPUTED_VALUE"""),"02/02")</f>
        <v>02/02</v>
      </c>
      <c r="U21" s="140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40"/>
      <c r="W21" s="140"/>
      <c r="X21" s="140"/>
      <c r="Y21" s="140"/>
      <c r="Z21" s="140"/>
    </row>
    <row r="22" hidden="1">
      <c r="A22" s="140" t="str">
        <f>IFERROR(__xludf.DUMMYFUNCTION("""COMPUTED_VALUE"""),"VEE ONE")</f>
        <v>VEE ONE</v>
      </c>
      <c r="B22" s="140" t="str">
        <f>IFERROR(__xludf.DUMMYFUNCTION("""COMPUTED_VALUE"""),"BABR")</f>
        <v>BABR</v>
      </c>
      <c r="C22" s="140" t="str">
        <f>IFERROR(__xludf.DUMMYFUNCTION("""COMPUTED_VALUE"""),"064-1054-30")</f>
        <v>064-1054-30</v>
      </c>
      <c r="D22" s="140" t="str">
        <f>IFERROR(__xludf.DUMMYFUNCTION("""COMPUTED_VALUE"""),"RECEPTOR DE VHF")</f>
        <v>RECEPTOR DE VHF</v>
      </c>
      <c r="E22" s="140" t="str">
        <f>IFERROR(__xludf.DUMMYFUNCTION("""COMPUTED_VALUE"""),"24310")</f>
        <v>24310</v>
      </c>
      <c r="F22" s="140" t="str">
        <f>IFERROR(__xludf.DUMMYFUNCTION("""COMPUTED_VALUE"""),"003/2025")</f>
        <v>003/2025</v>
      </c>
      <c r="G22" s="140" t="str">
        <f>IFERROR(__xludf.DUMMYFUNCTION("""COMPUTED_VALUE"""),"12/11")</f>
        <v>12/11</v>
      </c>
      <c r="H22" s="140" t="str">
        <f>IFERROR(__xludf.DUMMYFUNCTION("""COMPUTED_VALUE"""),"13/11")</f>
        <v>13/11</v>
      </c>
      <c r="I22" s="140" t="str">
        <f>IFERROR(__xludf.DUMMYFUNCTION("""COMPUTED_VALUE"""),"14/11")</f>
        <v>14/11</v>
      </c>
      <c r="J22" s="140" t="str">
        <f>IFERROR(__xludf.DUMMYFUNCTION("""COMPUTED_VALUE"""),"17/11")</f>
        <v>17/11</v>
      </c>
      <c r="K22" s="140" t="str">
        <f>IFERROR(__xludf.DUMMYFUNCTION("""COMPUTED_VALUE"""),"17/11")</f>
        <v>17/11</v>
      </c>
      <c r="L22" s="140" t="str">
        <f>IFERROR(__xludf.DUMMYFUNCTION("""COMPUTED_VALUE"""),"17/11")</f>
        <v>17/11</v>
      </c>
      <c r="M22" s="140" t="str">
        <f>IFERROR(__xludf.DUMMYFUNCTION("""COMPUTED_VALUE"""),"17/11")</f>
        <v>17/11</v>
      </c>
      <c r="N22" s="140" t="str">
        <f>IFERROR(__xludf.DUMMYFUNCTION("""COMPUTED_VALUE"""),"17/11")</f>
        <v>17/11</v>
      </c>
      <c r="O22" s="140" t="str">
        <f>IFERROR(__xludf.DUMMYFUNCTION("""COMPUTED_VALUE"""),"17/11")</f>
        <v>17/11</v>
      </c>
      <c r="P22" s="140" t="str">
        <f>IFERROR(__xludf.DUMMYFUNCTION("""COMPUTED_VALUE"""),"*")</f>
        <v>*</v>
      </c>
      <c r="Q22" s="140" t="str">
        <f>IFERROR(__xludf.DUMMYFUNCTION("""COMPUTED_VALUE"""),"*")</f>
        <v>*</v>
      </c>
      <c r="R22" s="140" t="str">
        <f>IFERROR(__xludf.DUMMYFUNCTION("""COMPUTED_VALUE"""),"27/01")</f>
        <v>27/01</v>
      </c>
      <c r="S22" s="140" t="str">
        <f>IFERROR(__xludf.DUMMYFUNCTION("""COMPUTED_VALUE"""),"27/01")</f>
        <v>27/01</v>
      </c>
      <c r="T22" s="140" t="str">
        <f>IFERROR(__xludf.DUMMYFUNCTION("""COMPUTED_VALUE"""),"27/01")</f>
        <v>27/01</v>
      </c>
      <c r="U22" s="140"/>
      <c r="V22" s="140"/>
      <c r="W22" s="140"/>
      <c r="X22" s="140"/>
      <c r="Y22" s="140"/>
      <c r="Z22" s="140"/>
    </row>
    <row r="23" hidden="1">
      <c r="A23" s="140" t="str">
        <f>IFERROR(__xludf.DUMMYFUNCTION("""COMPUTED_VALUE"""),"VEE ONE")</f>
        <v>VEE ONE</v>
      </c>
      <c r="B23" s="140" t="str">
        <f>IFERROR(__xludf.DUMMYFUNCTION("""COMPUTED_VALUE"""),"BABR")</f>
        <v>BABR</v>
      </c>
      <c r="C23" s="140" t="str">
        <f>IFERROR(__xludf.DUMMYFUNCTION("""COMPUTED_VALUE"""),"3244897-4")</f>
        <v>3244897-4</v>
      </c>
      <c r="D23" s="140" t="str">
        <f>IFERROR(__xludf.DUMMYFUNCTION("""COMPUTED_VALUE"""),"FUEL CONTROL UNIT")</f>
        <v>FUEL CONTROL UNIT</v>
      </c>
      <c r="E23" s="140" t="str">
        <f>IFERROR(__xludf.DUMMYFUNCTION("""COMPUTED_VALUE"""),"C65376")</f>
        <v>C65376</v>
      </c>
      <c r="F23" s="140" t="str">
        <f>IFERROR(__xludf.DUMMYFUNCTION("""COMPUTED_VALUE"""),"009/2026")</f>
        <v>009/2026</v>
      </c>
      <c r="G23" s="140" t="str">
        <f>IFERROR(__xludf.DUMMYFUNCTION("""COMPUTED_VALUE"""),"27/01")</f>
        <v>27/01</v>
      </c>
      <c r="H23" s="140" t="str">
        <f>IFERROR(__xludf.DUMMYFUNCTION("""COMPUTED_VALUE"""),"02/02")</f>
        <v>02/02</v>
      </c>
      <c r="I23" s="140" t="str">
        <f>IFERROR(__xludf.DUMMYFUNCTION("""COMPUTED_VALUE"""),"02/02")</f>
        <v>02/02</v>
      </c>
      <c r="J23" s="140" t="str">
        <f>IFERROR(__xludf.DUMMYFUNCTION("""COMPUTED_VALUE"""),"02/02")</f>
        <v>02/02</v>
      </c>
      <c r="K23" s="140" t="str">
        <f>IFERROR(__xludf.DUMMYFUNCTION("""COMPUTED_VALUE"""),"03/02")</f>
        <v>03/02</v>
      </c>
      <c r="L23" s="140" t="str">
        <f>IFERROR(__xludf.DUMMYFUNCTION("""COMPUTED_VALUE"""),"03/02")</f>
        <v>03/02</v>
      </c>
      <c r="M23" s="140" t="str">
        <f>IFERROR(__xludf.DUMMYFUNCTION("""COMPUTED_VALUE"""),"03/02")</f>
        <v>03/02</v>
      </c>
      <c r="N23" s="140" t="str">
        <f>IFERROR(__xludf.DUMMYFUNCTION("""COMPUTED_VALUE"""),"03/02")</f>
        <v>03/02</v>
      </c>
      <c r="O23" s="140" t="str">
        <f>IFERROR(__xludf.DUMMYFUNCTION("""COMPUTED_VALUE"""),"03/02")</f>
        <v>03/02</v>
      </c>
      <c r="P23" s="140" t="str">
        <f>IFERROR(__xludf.DUMMYFUNCTION("""COMPUTED_VALUE"""),"04/02")</f>
        <v>04/02</v>
      </c>
      <c r="Q23" s="140" t="str">
        <f>IFERROR(__xludf.DUMMYFUNCTION("""COMPUTED_VALUE"""),"04/02")</f>
        <v>04/02</v>
      </c>
      <c r="R23" s="140" t="str">
        <f>IFERROR(__xludf.DUMMYFUNCTION("""COMPUTED_VALUE"""),"04/02")</f>
        <v>04/02</v>
      </c>
      <c r="S23" s="140" t="str">
        <f>IFERROR(__xludf.DUMMYFUNCTION("""COMPUTED_VALUE"""),"04/02")</f>
        <v>04/02</v>
      </c>
      <c r="T23" s="140" t="str">
        <f>IFERROR(__xludf.DUMMYFUNCTION("""COMPUTED_VALUE"""),"04/02")</f>
        <v>04/02</v>
      </c>
      <c r="U23" s="140"/>
      <c r="V23" s="140"/>
      <c r="W23" s="140"/>
      <c r="X23" s="140"/>
      <c r="Y23" s="140"/>
      <c r="Z23" s="140"/>
    </row>
    <row r="24" hidden="1">
      <c r="A24" s="140" t="str">
        <f>IFERROR(__xludf.DUMMYFUNCTION("""COMPUTED_VALUE"""),"VEE ONE")</f>
        <v>VEE ONE</v>
      </c>
      <c r="B24" s="140" t="str">
        <f>IFERROR(__xludf.DUMMYFUNCTION("""COMPUTED_VALUE"""),"BACG")</f>
        <v>BACG</v>
      </c>
      <c r="C24" s="140" t="str">
        <f>IFERROR(__xludf.DUMMYFUNCTION("""COMPUTED_VALUE"""),"069-1025-25")</f>
        <v>069-1025-25</v>
      </c>
      <c r="D24" s="140" t="str">
        <f>IFERROR(__xludf.DUMMYFUNCTION("""COMPUTED_VALUE"""),"RECEIVER TRANSMITTER")</f>
        <v>RECEIVER TRANSMITTER</v>
      </c>
      <c r="E24" s="140" t="str">
        <f>IFERROR(__xludf.DUMMYFUNCTION("""COMPUTED_VALUE"""),"62600")</f>
        <v>62600</v>
      </c>
      <c r="F24" s="140" t="str">
        <f>IFERROR(__xludf.DUMMYFUNCTION("""COMPUTED_VALUE"""),"004/2025")</f>
        <v>004/2025</v>
      </c>
      <c r="G24" s="140" t="str">
        <f>IFERROR(__xludf.DUMMYFUNCTION("""COMPUTED_VALUE"""),"04/08")</f>
        <v>04/08</v>
      </c>
      <c r="H24" s="140" t="str">
        <f>IFERROR(__xludf.DUMMYFUNCTION("""COMPUTED_VALUE"""),"04/08")</f>
        <v>04/08</v>
      </c>
      <c r="I24" s="140" t="str">
        <f>IFERROR(__xludf.DUMMYFUNCTION("""COMPUTED_VALUE"""),"04/08 e 16/10")</f>
        <v>04/08 e 16/10</v>
      </c>
      <c r="J24" s="140" t="str">
        <f>IFERROR(__xludf.DUMMYFUNCTION("""COMPUTED_VALUE"""),"05/08 e 12/11")</f>
        <v>05/08 e 12/11</v>
      </c>
      <c r="K24" s="140" t="str">
        <f>IFERROR(__xludf.DUMMYFUNCTION("""COMPUTED_VALUE"""),"28/11")</f>
        <v>28/11</v>
      </c>
      <c r="L24" s="140" t="str">
        <f>IFERROR(__xludf.DUMMYFUNCTION("""COMPUTED_VALUE"""),"27/01")</f>
        <v>27/01</v>
      </c>
      <c r="M24" s="140" t="str">
        <f>IFERROR(__xludf.DUMMYFUNCTION("""COMPUTED_VALUE"""),"27/01")</f>
        <v>27/01</v>
      </c>
      <c r="N24" s="140" t="str">
        <f>IFERROR(__xludf.DUMMYFUNCTION("""COMPUTED_VALUE"""),"27/01")</f>
        <v>27/01</v>
      </c>
      <c r="O24" s="140" t="str">
        <f>IFERROR(__xludf.DUMMYFUNCTION("""COMPUTED_VALUE"""),"27/01")</f>
        <v>27/01</v>
      </c>
      <c r="P24" s="140" t="str">
        <f>IFERROR(__xludf.DUMMYFUNCTION("""COMPUTED_VALUE"""),"27/01")</f>
        <v>27/01</v>
      </c>
      <c r="Q24" s="140" t="str">
        <f>IFERROR(__xludf.DUMMYFUNCTION("""COMPUTED_VALUE"""),"27/01")</f>
        <v>27/01</v>
      </c>
      <c r="R24" s="140" t="str">
        <f>IFERROR(__xludf.DUMMYFUNCTION("""COMPUTED_VALUE"""),"29/01")</f>
        <v>29/01</v>
      </c>
      <c r="S24" s="140" t="str">
        <f>IFERROR(__xludf.DUMMYFUNCTION("""COMPUTED_VALUE"""),"29/01")</f>
        <v>29/01</v>
      </c>
      <c r="T24" s="140" t="str">
        <f>IFERROR(__xludf.DUMMYFUNCTION("""COMPUTED_VALUE"""),"04/02")</f>
        <v>04/02</v>
      </c>
      <c r="U24" s="140"/>
      <c r="V24" s="140"/>
      <c r="W24" s="140"/>
      <c r="X24" s="140"/>
      <c r="Y24" s="140"/>
      <c r="Z24" s="140"/>
    </row>
    <row r="25" hidden="1">
      <c r="A25" s="140" t="str">
        <f>IFERROR(__xludf.DUMMYFUNCTION("""COMPUTED_VALUE"""),"VEE ONE")</f>
        <v>VEE ONE</v>
      </c>
      <c r="B25" s="140" t="str">
        <f>IFERROR(__xludf.DUMMYFUNCTION("""COMPUTED_VALUE"""),"BACG")</f>
        <v>BACG</v>
      </c>
      <c r="C25" s="140" t="str">
        <f>IFERROR(__xludf.DUMMYFUNCTION("""COMPUTED_VALUE"""),"066-1069-00")</f>
        <v>066-1069-00</v>
      </c>
      <c r="D25" s="140" t="str">
        <f>IFERROR(__xludf.DUMMYFUNCTION("""COMPUTED_VALUE"""),"INDICATOR, BEARING-DISTANCE-HEADING")</f>
        <v>INDICATOR, BEARING-DISTANCE-HEADING</v>
      </c>
      <c r="E25" s="140" t="str">
        <f>IFERROR(__xludf.DUMMYFUNCTION("""COMPUTED_VALUE"""),"32402")</f>
        <v>32402</v>
      </c>
      <c r="F25" s="140" t="str">
        <f>IFERROR(__xludf.DUMMYFUNCTION("""COMPUTED_VALUE"""),"011/2025")</f>
        <v>011/2025</v>
      </c>
      <c r="G25" s="140" t="str">
        <f>IFERROR(__xludf.DUMMYFUNCTION("""COMPUTED_VALUE"""),"07/11")</f>
        <v>07/11</v>
      </c>
      <c r="H25" s="140" t="str">
        <f>IFERROR(__xludf.DUMMYFUNCTION("""COMPUTED_VALUE"""),"11/11")</f>
        <v>11/11</v>
      </c>
      <c r="I25" s="140" t="str">
        <f>IFERROR(__xludf.DUMMYFUNCTION("""COMPUTED_VALUE"""),"11/11")</f>
        <v>11/11</v>
      </c>
      <c r="J25" s="140" t="str">
        <f>IFERROR(__xludf.DUMMYFUNCTION("""COMPUTED_VALUE"""),"13/11")</f>
        <v>13/11</v>
      </c>
      <c r="K25" s="140" t="str">
        <f>IFERROR(__xludf.DUMMYFUNCTION("""COMPUTED_VALUE"""),"17/11")</f>
        <v>17/11</v>
      </c>
      <c r="L25" s="140" t="str">
        <f>IFERROR(__xludf.DUMMYFUNCTION("""COMPUTED_VALUE"""),"17/11 e 27/01")</f>
        <v>17/11 e 27/01</v>
      </c>
      <c r="M25" s="140" t="str">
        <f>IFERROR(__xludf.DUMMYFUNCTION("""COMPUTED_VALUE"""),"27/01")</f>
        <v>27/01</v>
      </c>
      <c r="N25" s="140" t="str">
        <f>IFERROR(__xludf.DUMMYFUNCTION("""COMPUTED_VALUE"""),"27/01")</f>
        <v>27/01</v>
      </c>
      <c r="O25" s="140" t="str">
        <f>IFERROR(__xludf.DUMMYFUNCTION("""COMPUTED_VALUE"""),"27/01")</f>
        <v>27/01</v>
      </c>
      <c r="P25" s="140" t="str">
        <f>IFERROR(__xludf.DUMMYFUNCTION("""COMPUTED_VALUE"""),"27/01")</f>
        <v>27/01</v>
      </c>
      <c r="Q25" s="140" t="str">
        <f>IFERROR(__xludf.DUMMYFUNCTION("""COMPUTED_VALUE"""),"27/01")</f>
        <v>27/01</v>
      </c>
      <c r="R25" s="140" t="str">
        <f>IFERROR(__xludf.DUMMYFUNCTION("""COMPUTED_VALUE"""),"29/01")</f>
        <v>29/01</v>
      </c>
      <c r="S25" s="140" t="str">
        <f>IFERROR(__xludf.DUMMYFUNCTION("""COMPUTED_VALUE"""),"29/01")</f>
        <v>29/01</v>
      </c>
      <c r="T25" s="140" t="str">
        <f>IFERROR(__xludf.DUMMYFUNCTION("""COMPUTED_VALUE"""),"04/02")</f>
        <v>04/02</v>
      </c>
      <c r="U25" s="140"/>
      <c r="V25" s="140"/>
      <c r="W25" s="140"/>
      <c r="X25" s="140"/>
      <c r="Y25" s="140"/>
      <c r="Z25" s="140"/>
    </row>
    <row r="26" hidden="1">
      <c r="A26" s="140" t="str">
        <f>IFERROR(__xludf.DUMMYFUNCTION("""COMPUTED_VALUE"""),"VEE ONE")</f>
        <v>VEE ONE</v>
      </c>
      <c r="B26" s="140" t="str">
        <f>IFERROR(__xludf.DUMMYFUNCTION("""COMPUTED_VALUE"""),"BAMN")</f>
        <v>BAMN</v>
      </c>
      <c r="C26" s="140" t="str">
        <f>IFERROR(__xludf.DUMMYFUNCTION("""COMPUTED_VALUE"""),"3122678-04")</f>
        <v>3122678-04</v>
      </c>
      <c r="D26" s="140" t="str">
        <f>IFERROR(__xludf.DUMMYFUNCTION("""COMPUTED_VALUE"""),"FUEL CONTROL UNIT")</f>
        <v>FUEL CONTROL UNIT</v>
      </c>
      <c r="E26" s="140" t="str">
        <f>IFERROR(__xludf.DUMMYFUNCTION("""COMPUTED_VALUE"""),"C66369")</f>
        <v>C66369</v>
      </c>
      <c r="F26" s="140" t="str">
        <f>IFERROR(__xludf.DUMMYFUNCTION("""COMPUTED_VALUE"""),"040/2026")</f>
        <v>040/2026</v>
      </c>
      <c r="G26" s="140" t="str">
        <f>IFERROR(__xludf.DUMMYFUNCTION("""COMPUTED_VALUE"""),"07/01")</f>
        <v>07/01</v>
      </c>
      <c r="H26" s="140" t="str">
        <f>IFERROR(__xludf.DUMMYFUNCTION("""COMPUTED_VALUE"""),"29/01")</f>
        <v>29/01</v>
      </c>
      <c r="I26" s="140" t="str">
        <f>IFERROR(__xludf.DUMMYFUNCTION("""COMPUTED_VALUE"""),"*")</f>
        <v>*</v>
      </c>
      <c r="J26" s="140" t="str">
        <f>IFERROR(__xludf.DUMMYFUNCTION("""COMPUTED_VALUE"""),"03/02")</f>
        <v>03/02</v>
      </c>
      <c r="K26" s="140" t="str">
        <f>IFERROR(__xludf.DUMMYFUNCTION("""COMPUTED_VALUE"""),"09/02")</f>
        <v>09/02</v>
      </c>
      <c r="L26" s="140" t="str">
        <f>IFERROR(__xludf.DUMMYFUNCTION("""COMPUTED_VALUE"""),"09/02")</f>
        <v>09/02</v>
      </c>
      <c r="M26" s="140" t="str">
        <f>IFERROR(__xludf.DUMMYFUNCTION("""COMPUTED_VALUE"""),"09/02")</f>
        <v>09/02</v>
      </c>
      <c r="N26" s="140" t="str">
        <f>IFERROR(__xludf.DUMMYFUNCTION("""COMPUTED_VALUE"""),"09/02")</f>
        <v>09/02</v>
      </c>
      <c r="O26" s="140" t="str">
        <f>IFERROR(__xludf.DUMMYFUNCTION("""COMPUTED_VALUE"""),"09/02")</f>
        <v>09/02</v>
      </c>
      <c r="P26" s="140" t="str">
        <f>IFERROR(__xludf.DUMMYFUNCTION("""COMPUTED_VALUE"""),"09/02")</f>
        <v>09/02</v>
      </c>
      <c r="Q26" s="140" t="str">
        <f>IFERROR(__xludf.DUMMYFUNCTION("""COMPUTED_VALUE"""),"09/02")</f>
        <v>09/02</v>
      </c>
      <c r="R26" s="140" t="str">
        <f>IFERROR(__xludf.DUMMYFUNCTION("""COMPUTED_VALUE"""),"09/02")</f>
        <v>09/02</v>
      </c>
      <c r="S26" s="140" t="str">
        <f>IFERROR(__xludf.DUMMYFUNCTION("""COMPUTED_VALUE"""),"09/02")</f>
        <v>09/02</v>
      </c>
      <c r="T26" s="140" t="str">
        <f>IFERROR(__xludf.DUMMYFUNCTION("""COMPUTED_VALUE"""),"10/02")</f>
        <v>10/02</v>
      </c>
      <c r="U26" s="140"/>
      <c r="V26" s="140"/>
      <c r="W26" s="140"/>
      <c r="X26" s="140"/>
      <c r="Y26" s="140"/>
      <c r="Z26" s="140"/>
    </row>
    <row r="27" hidden="1">
      <c r="A27" s="140" t="str">
        <f>IFERROR(__xludf.DUMMYFUNCTION("""COMPUTED_VALUE"""),"VEE ONE")</f>
        <v>VEE ONE</v>
      </c>
      <c r="B27" s="140" t="str">
        <f>IFERROR(__xludf.DUMMYFUNCTION("""COMPUTED_VALUE"""),"BAMN")</f>
        <v>BAMN</v>
      </c>
      <c r="C27" s="140" t="str">
        <f>IFERROR(__xludf.DUMMYFUNCTION("""COMPUTED_VALUE"""),"9910592-2")</f>
        <v>9910592-2</v>
      </c>
      <c r="D27" s="140" t="str">
        <f>IFERROR(__xludf.DUMMYFUNCTION("""COMPUTED_VALUE"""),"ALTERNATOR ASSY")</f>
        <v>ALTERNATOR ASSY</v>
      </c>
      <c r="E27" s="140" t="str">
        <f>IFERROR(__xludf.DUMMYFUNCTION("""COMPUTED_VALUE"""),"A-181157")</f>
        <v>A-181157</v>
      </c>
      <c r="F27" s="140" t="str">
        <f>IFERROR(__xludf.DUMMYFUNCTION("""COMPUTED_VALUE"""),"043/2026")</f>
        <v>043/2026</v>
      </c>
      <c r="G27" s="140" t="str">
        <f>IFERROR(__xludf.DUMMYFUNCTION("""COMPUTED_VALUE"""),"22/01")</f>
        <v>22/01</v>
      </c>
      <c r="H27" s="140" t="str">
        <f>IFERROR(__xludf.DUMMYFUNCTION("""COMPUTED_VALUE"""),"29/01")</f>
        <v>29/01</v>
      </c>
      <c r="I27" s="140" t="str">
        <f>IFERROR(__xludf.DUMMYFUNCTION("""COMPUTED_VALUE"""),"*")</f>
        <v>*</v>
      </c>
      <c r="J27" s="140" t="str">
        <f>IFERROR(__xludf.DUMMYFUNCTION("""COMPUTED_VALUE"""),"03/02")</f>
        <v>03/02</v>
      </c>
      <c r="K27" s="140" t="str">
        <f>IFERROR(__xludf.DUMMYFUNCTION("""COMPUTED_VALUE"""),"03/02")</f>
        <v>03/02</v>
      </c>
      <c r="L27" s="140" t="str">
        <f>IFERROR(__xludf.DUMMYFUNCTION("""COMPUTED_VALUE"""),"09/02")</f>
        <v>09/02</v>
      </c>
      <c r="M27" s="140" t="str">
        <f>IFERROR(__xludf.DUMMYFUNCTION("""COMPUTED_VALUE"""),"09/02")</f>
        <v>09/02</v>
      </c>
      <c r="N27" s="140" t="str">
        <f>IFERROR(__xludf.DUMMYFUNCTION("""COMPUTED_VALUE"""),"09/02")</f>
        <v>09/02</v>
      </c>
      <c r="O27" s="140" t="str">
        <f>IFERROR(__xludf.DUMMYFUNCTION("""COMPUTED_VALUE"""),"09/02")</f>
        <v>09/02</v>
      </c>
      <c r="P27" s="140" t="str">
        <f>IFERROR(__xludf.DUMMYFUNCTION("""COMPUTED_VALUE"""),"09/02")</f>
        <v>09/02</v>
      </c>
      <c r="Q27" s="140" t="str">
        <f>IFERROR(__xludf.DUMMYFUNCTION("""COMPUTED_VALUE"""),"09/02")</f>
        <v>09/02</v>
      </c>
      <c r="R27" s="140" t="str">
        <f>IFERROR(__xludf.DUMMYFUNCTION("""COMPUTED_VALUE"""),"09/02")</f>
        <v>09/02</v>
      </c>
      <c r="S27" s="140" t="str">
        <f>IFERROR(__xludf.DUMMYFUNCTION("""COMPUTED_VALUE"""),"09/02")</f>
        <v>09/02</v>
      </c>
      <c r="T27" s="140" t="str">
        <f>IFERROR(__xludf.DUMMYFUNCTION("""COMPUTED_VALUE"""),"10/02")</f>
        <v>10/02</v>
      </c>
      <c r="U27" s="140"/>
      <c r="V27" s="140"/>
      <c r="W27" s="140"/>
      <c r="X27" s="140"/>
      <c r="Y27" s="140"/>
      <c r="Z27" s="140"/>
    </row>
    <row r="28" hidden="1">
      <c r="A28" s="140" t="str">
        <f>IFERROR(__xludf.DUMMYFUNCTION("""COMPUTED_VALUE"""),"VEE ONE")</f>
        <v>VEE ONE</v>
      </c>
      <c r="B28" s="140" t="str">
        <f>IFERROR(__xludf.DUMMYFUNCTION("""COMPUTED_VALUE"""),"BAMN")</f>
        <v>BAMN</v>
      </c>
      <c r="C28" s="140" t="str">
        <f>IFERROR(__xludf.DUMMYFUNCTION("""COMPUTED_VALUE"""),"030-18200")</f>
        <v>030-18200</v>
      </c>
      <c r="D28" s="140" t="str">
        <f>IFERROR(__xludf.DUMMYFUNCTION("""COMPUTED_VALUE"""),"CONJUNTO DE FREIO")</f>
        <v>CONJUNTO DE FREIO</v>
      </c>
      <c r="E28" s="140" t="str">
        <f>IFERROR(__xludf.DUMMYFUNCTION("""COMPUTED_VALUE"""),"L4H162")</f>
        <v>L4H162</v>
      </c>
      <c r="F28" s="140" t="str">
        <f>IFERROR(__xludf.DUMMYFUNCTION("""COMPUTED_VALUE"""),"009/2025")</f>
        <v>009/2025</v>
      </c>
      <c r="G28" s="140" t="str">
        <f>IFERROR(__xludf.DUMMYFUNCTION("""COMPUTED_VALUE"""),"23/07")</f>
        <v>23/07</v>
      </c>
      <c r="H28" s="140" t="str">
        <f>IFERROR(__xludf.DUMMYFUNCTION("""COMPUTED_VALUE"""),"22/08")</f>
        <v>22/08</v>
      </c>
      <c r="I28" s="140" t="str">
        <f>IFERROR(__xludf.DUMMYFUNCTION("""COMPUTED_VALUE"""),"sol correção 28/08")</f>
        <v>sol correção 28/08</v>
      </c>
      <c r="J28" s="140" t="str">
        <f>IFERROR(__xludf.DUMMYFUNCTION("""COMPUTED_VALUE"""),"*")</f>
        <v>*</v>
      </c>
      <c r="K28" s="140" t="str">
        <f>IFERROR(__xludf.DUMMYFUNCTION("""COMPUTED_VALUE"""),"*")</f>
        <v>*</v>
      </c>
      <c r="L28" s="140" t="str">
        <f>IFERROR(__xludf.DUMMYFUNCTION("""COMPUTED_VALUE"""),"*")</f>
        <v>*</v>
      </c>
      <c r="M28" s="140" t="str">
        <f>IFERROR(__xludf.DUMMYFUNCTION("""COMPUTED_VALUE"""),"*")</f>
        <v>*</v>
      </c>
      <c r="N28" s="140" t="str">
        <f>IFERROR(__xludf.DUMMYFUNCTION("""COMPUTED_VALUE"""),"*")</f>
        <v>*</v>
      </c>
      <c r="O28" s="140" t="str">
        <f>IFERROR(__xludf.DUMMYFUNCTION("""COMPUTED_VALUE"""),"*")</f>
        <v>*</v>
      </c>
      <c r="P28" s="140" t="str">
        <f>IFERROR(__xludf.DUMMYFUNCTION("""COMPUTED_VALUE"""),"09/02")</f>
        <v>09/02</v>
      </c>
      <c r="Q28" s="140" t="str">
        <f>IFERROR(__xludf.DUMMYFUNCTION("""COMPUTED_VALUE"""),"09/02")</f>
        <v>09/02</v>
      </c>
      <c r="R28" s="140" t="str">
        <f>IFERROR(__xludf.DUMMYFUNCTION("""COMPUTED_VALUE"""),"09/02")</f>
        <v>09/02</v>
      </c>
      <c r="S28" s="140" t="str">
        <f>IFERROR(__xludf.DUMMYFUNCTION("""COMPUTED_VALUE"""),"09/02")</f>
        <v>09/02</v>
      </c>
      <c r="T28" s="140" t="str">
        <f>IFERROR(__xludf.DUMMYFUNCTION("""COMPUTED_VALUE"""),"11/02")</f>
        <v>11/02</v>
      </c>
      <c r="U28" s="14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40"/>
      <c r="W28" s="140"/>
      <c r="X28" s="140"/>
      <c r="Y28" s="140"/>
      <c r="Z28" s="140"/>
    </row>
    <row r="29" hidden="1">
      <c r="A29" s="140" t="str">
        <f>IFERROR(__xludf.DUMMYFUNCTION("""COMPUTED_VALUE"""),"VEE ONE")</f>
        <v>VEE ONE</v>
      </c>
      <c r="B29" s="140" t="str">
        <f>IFERROR(__xludf.DUMMYFUNCTION("""COMPUTED_VALUE"""),"BAMN")</f>
        <v>BAMN</v>
      </c>
      <c r="C29" s="140" t="str">
        <f>IFERROR(__xludf.DUMMYFUNCTION("""COMPUTED_VALUE"""),"3049038-03")</f>
        <v>3049038-03</v>
      </c>
      <c r="D29" s="140" t="str">
        <f>IFERROR(__xludf.DUMMYFUNCTION("""COMPUTED_VALUE"""),"VALVE,COMPRESSOR BLEED")</f>
        <v>VALVE,COMPRESSOR BLEED</v>
      </c>
      <c r="E29" s="140" t="str">
        <f>IFERROR(__xludf.DUMMYFUNCTION("""COMPUTED_VALUE"""),"6454")</f>
        <v>6454</v>
      </c>
      <c r="F29" s="140" t="str">
        <f>IFERROR(__xludf.DUMMYFUNCTION("""COMPUTED_VALUE"""),"012/2025")</f>
        <v>012/2025</v>
      </c>
      <c r="G29" s="140" t="str">
        <f>IFERROR(__xludf.DUMMYFUNCTION("""COMPUTED_VALUE"""),"06/08")</f>
        <v>06/08</v>
      </c>
      <c r="H29" s="140" t="str">
        <f>IFERROR(__xludf.DUMMYFUNCTION("""COMPUTED_VALUE"""),"22/08")</f>
        <v>22/08</v>
      </c>
      <c r="I29" s="140" t="str">
        <f>IFERROR(__xludf.DUMMYFUNCTION("""COMPUTED_VALUE"""),"sol correção 28/08")</f>
        <v>sol correção 28/08</v>
      </c>
      <c r="J29" s="140" t="str">
        <f>IFERROR(__xludf.DUMMYFUNCTION("""COMPUTED_VALUE"""),"*")</f>
        <v>*</v>
      </c>
      <c r="K29" s="140" t="str">
        <f>IFERROR(__xludf.DUMMYFUNCTION("""COMPUTED_VALUE"""),"*")</f>
        <v>*</v>
      </c>
      <c r="L29" s="140" t="str">
        <f>IFERROR(__xludf.DUMMYFUNCTION("""COMPUTED_VALUE"""),"*")</f>
        <v>*</v>
      </c>
      <c r="M29" s="140" t="str">
        <f>IFERROR(__xludf.DUMMYFUNCTION("""COMPUTED_VALUE"""),"*")</f>
        <v>*</v>
      </c>
      <c r="N29" s="140" t="str">
        <f>IFERROR(__xludf.DUMMYFUNCTION("""COMPUTED_VALUE"""),"*")</f>
        <v>*</v>
      </c>
      <c r="O29" s="140" t="str">
        <f>IFERROR(__xludf.DUMMYFUNCTION("""COMPUTED_VALUE"""),"*")</f>
        <v>*</v>
      </c>
      <c r="P29" s="140" t="str">
        <f>IFERROR(__xludf.DUMMYFUNCTION("""COMPUTED_VALUE"""),"09/02")</f>
        <v>09/02</v>
      </c>
      <c r="Q29" s="140" t="str">
        <f>IFERROR(__xludf.DUMMYFUNCTION("""COMPUTED_VALUE"""),"09/02")</f>
        <v>09/02</v>
      </c>
      <c r="R29" s="140" t="str">
        <f>IFERROR(__xludf.DUMMYFUNCTION("""COMPUTED_VALUE"""),"09/02")</f>
        <v>09/02</v>
      </c>
      <c r="S29" s="140" t="str">
        <f>IFERROR(__xludf.DUMMYFUNCTION("""COMPUTED_VALUE"""),"09/02")</f>
        <v>09/02</v>
      </c>
      <c r="T29" s="140" t="str">
        <f>IFERROR(__xludf.DUMMYFUNCTION("""COMPUTED_VALUE"""),"11/02")</f>
        <v>11/02</v>
      </c>
      <c r="U29" s="140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40"/>
      <c r="W29" s="140"/>
      <c r="X29" s="140"/>
      <c r="Y29" s="140"/>
      <c r="Z29" s="140"/>
    </row>
    <row r="30" hidden="1">
      <c r="A30" s="140" t="str">
        <f>IFERROR(__xludf.DUMMYFUNCTION("""COMPUTED_VALUE"""),"VEE ONE")</f>
        <v>VEE ONE</v>
      </c>
      <c r="B30" s="140" t="str">
        <f>IFERROR(__xludf.DUMMYFUNCTION("""COMPUTED_VALUE"""),"BAMN")</f>
        <v>BAMN</v>
      </c>
      <c r="C30" s="140" t="str">
        <f>IFERROR(__xludf.DUMMYFUNCTION("""COMPUTED_VALUE"""),"030-18200")</f>
        <v>030-18200</v>
      </c>
      <c r="D30" s="140" t="str">
        <f>IFERROR(__xludf.DUMMYFUNCTION("""COMPUTED_VALUE"""),"CONJUNTO DE FREIO")</f>
        <v>CONJUNTO DE FREIO</v>
      </c>
      <c r="E30" s="140" t="str">
        <f>IFERROR(__xludf.DUMMYFUNCTION("""COMPUTED_VALUE"""),"52")</f>
        <v>52</v>
      </c>
      <c r="F30" s="140" t="str">
        <f>IFERROR(__xludf.DUMMYFUNCTION("""COMPUTED_VALUE"""),"016/2025")</f>
        <v>016/2025</v>
      </c>
      <c r="G30" s="140" t="str">
        <f>IFERROR(__xludf.DUMMYFUNCTION("""COMPUTED_VALUE"""),"07/08")</f>
        <v>07/08</v>
      </c>
      <c r="H30" s="140" t="str">
        <f>IFERROR(__xludf.DUMMYFUNCTION("""COMPUTED_VALUE"""),"22/08")</f>
        <v>22/08</v>
      </c>
      <c r="I30" s="140" t="str">
        <f>IFERROR(__xludf.DUMMYFUNCTION("""COMPUTED_VALUE"""),"sol correção 28/08")</f>
        <v>sol correção 28/08</v>
      </c>
      <c r="J30" s="140" t="str">
        <f>IFERROR(__xludf.DUMMYFUNCTION("""COMPUTED_VALUE"""),"*")</f>
        <v>*</v>
      </c>
      <c r="K30" s="140" t="str">
        <f>IFERROR(__xludf.DUMMYFUNCTION("""COMPUTED_VALUE"""),"*")</f>
        <v>*</v>
      </c>
      <c r="L30" s="140" t="str">
        <f>IFERROR(__xludf.DUMMYFUNCTION("""COMPUTED_VALUE"""),"*")</f>
        <v>*</v>
      </c>
      <c r="M30" s="140" t="str">
        <f>IFERROR(__xludf.DUMMYFUNCTION("""COMPUTED_VALUE"""),"*")</f>
        <v>*</v>
      </c>
      <c r="N30" s="140" t="str">
        <f>IFERROR(__xludf.DUMMYFUNCTION("""COMPUTED_VALUE"""),"*")</f>
        <v>*</v>
      </c>
      <c r="O30" s="140" t="str">
        <f>IFERROR(__xludf.DUMMYFUNCTION("""COMPUTED_VALUE"""),"*")</f>
        <v>*</v>
      </c>
      <c r="P30" s="140" t="str">
        <f>IFERROR(__xludf.DUMMYFUNCTION("""COMPUTED_VALUE"""),"09/02")</f>
        <v>09/02</v>
      </c>
      <c r="Q30" s="140" t="str">
        <f>IFERROR(__xludf.DUMMYFUNCTION("""COMPUTED_VALUE"""),"09/02")</f>
        <v>09/02</v>
      </c>
      <c r="R30" s="140" t="str">
        <f>IFERROR(__xludf.DUMMYFUNCTION("""COMPUTED_VALUE"""),"09/02")</f>
        <v>09/02</v>
      </c>
      <c r="S30" s="140" t="str">
        <f>IFERROR(__xludf.DUMMYFUNCTION("""COMPUTED_VALUE"""),"09/02")</f>
        <v>09/02</v>
      </c>
      <c r="T30" s="140" t="str">
        <f>IFERROR(__xludf.DUMMYFUNCTION("""COMPUTED_VALUE"""),"11/02")</f>
        <v>11/02</v>
      </c>
      <c r="U30" s="14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40"/>
      <c r="W30" s="140"/>
      <c r="X30" s="140"/>
      <c r="Y30" s="140"/>
      <c r="Z30" s="140"/>
    </row>
    <row r="31" hidden="1">
      <c r="A31" s="140" t="str">
        <f>IFERROR(__xludf.DUMMYFUNCTION("""COMPUTED_VALUE"""),"VEE ONE")</f>
        <v>VEE ONE</v>
      </c>
      <c r="B31" s="140" t="str">
        <f>IFERROR(__xludf.DUMMYFUNCTION("""COMPUTED_VALUE"""),"BAMN")</f>
        <v>BAMN</v>
      </c>
      <c r="C31" s="140" t="str">
        <f>IFERROR(__xludf.DUMMYFUNCTION("""COMPUTED_VALUE"""),"011-00916-00")</f>
        <v>011-00916-00</v>
      </c>
      <c r="D31" s="140" t="str">
        <f>IFERROR(__xludf.DUMMYFUNCTION("""COMPUTED_VALUE"""),"DISPLAY UNIT GDU")</f>
        <v>DISPLAY UNIT GDU</v>
      </c>
      <c r="E31" s="140" t="str">
        <f>IFERROR(__xludf.DUMMYFUNCTION("""COMPUTED_VALUE"""),"86805766")</f>
        <v>86805766</v>
      </c>
      <c r="F31" s="140" t="str">
        <f>IFERROR(__xludf.DUMMYFUNCTION("""COMPUTED_VALUE"""),"017/2025")</f>
        <v>017/2025</v>
      </c>
      <c r="G31" s="140" t="str">
        <f>IFERROR(__xludf.DUMMYFUNCTION("""COMPUTED_VALUE"""),"01/10")</f>
        <v>01/10</v>
      </c>
      <c r="H31" s="140" t="str">
        <f>IFERROR(__xludf.DUMMYFUNCTION("""COMPUTED_VALUE"""),"01/10")</f>
        <v>01/10</v>
      </c>
      <c r="I31" s="140" t="str">
        <f>IFERROR(__xludf.DUMMYFUNCTION("""COMPUTED_VALUE"""),"15/10")</f>
        <v>15/10</v>
      </c>
      <c r="J31" s="140" t="str">
        <f>IFERROR(__xludf.DUMMYFUNCTION("""COMPUTED_VALUE"""),"12/12")</f>
        <v>12/12</v>
      </c>
      <c r="K31" s="140" t="str">
        <f>IFERROR(__xludf.DUMMYFUNCTION("""COMPUTED_VALUE"""),"12/12")</f>
        <v>12/12</v>
      </c>
      <c r="L31" s="140" t="str">
        <f>IFERROR(__xludf.DUMMYFUNCTION("""COMPUTED_VALUE"""),"27/01")</f>
        <v>27/01</v>
      </c>
      <c r="M31" s="140" t="str">
        <f>IFERROR(__xludf.DUMMYFUNCTION("""COMPUTED_VALUE"""),"27/01")</f>
        <v>27/01</v>
      </c>
      <c r="N31" s="140" t="str">
        <f>IFERROR(__xludf.DUMMYFUNCTION("""COMPUTED_VALUE"""),"27/01")</f>
        <v>27/01</v>
      </c>
      <c r="O31" s="140" t="str">
        <f>IFERROR(__xludf.DUMMYFUNCTION("""COMPUTED_VALUE"""),"27/01")</f>
        <v>27/01</v>
      </c>
      <c r="P31" s="140" t="str">
        <f>IFERROR(__xludf.DUMMYFUNCTION("""COMPUTED_VALUE"""),"27/01")</f>
        <v>27/01</v>
      </c>
      <c r="Q31" s="140" t="str">
        <f>IFERROR(__xludf.DUMMYFUNCTION("""COMPUTED_VALUE"""),"27/01")</f>
        <v>27/01</v>
      </c>
      <c r="R31" s="140" t="str">
        <f>IFERROR(__xludf.DUMMYFUNCTION("""COMPUTED_VALUE"""),"29/01")</f>
        <v>29/01</v>
      </c>
      <c r="S31" s="140" t="str">
        <f>IFERROR(__xludf.DUMMYFUNCTION("""COMPUTED_VALUE"""),"29/01")</f>
        <v>29/01</v>
      </c>
      <c r="T31" s="140" t="str">
        <f>IFERROR(__xludf.DUMMYFUNCTION("""COMPUTED_VALUE"""),"11/02")</f>
        <v>11/02</v>
      </c>
      <c r="U31" s="140"/>
      <c r="V31" s="140"/>
      <c r="W31" s="140"/>
      <c r="X31" s="140"/>
      <c r="Y31" s="140"/>
      <c r="Z31" s="140"/>
    </row>
    <row r="32" hidden="1">
      <c r="A32" s="140" t="str">
        <f>IFERROR(__xludf.DUMMYFUNCTION("""COMPUTED_VALUE"""),"VEE ONE")</f>
        <v>VEE ONE</v>
      </c>
      <c r="B32" s="140" t="str">
        <f>IFERROR(__xludf.DUMMYFUNCTION("""COMPUTED_VALUE"""),"BAMN")</f>
        <v>BAMN</v>
      </c>
      <c r="C32" s="140" t="str">
        <f>IFERROR(__xludf.DUMMYFUNCTION("""COMPUTED_VALUE"""),"066-1072-04")</f>
        <v>066-1072-04</v>
      </c>
      <c r="D32" s="140" t="str">
        <f>IFERROR(__xludf.DUMMYFUNCTION("""COMPUTED_VALUE"""),"RECEIVER RADIO")</f>
        <v>RECEIVER RADIO</v>
      </c>
      <c r="E32" s="140" t="str">
        <f>IFERROR(__xludf.DUMMYFUNCTION("""COMPUTED_VALUE"""),"84196")</f>
        <v>84196</v>
      </c>
      <c r="F32" s="140" t="str">
        <f>IFERROR(__xludf.DUMMYFUNCTION("""COMPUTED_VALUE"""),"027/2025")</f>
        <v>027/2025</v>
      </c>
      <c r="G32" s="140" t="str">
        <f>IFERROR(__xludf.DUMMYFUNCTION("""COMPUTED_VALUE"""),"26/09")</f>
        <v>26/09</v>
      </c>
      <c r="H32" s="140" t="str">
        <f>IFERROR(__xludf.DUMMYFUNCTION("""COMPUTED_VALUE"""),"13/10")</f>
        <v>13/10</v>
      </c>
      <c r="I32" s="140" t="str">
        <f>IFERROR(__xludf.DUMMYFUNCTION("""COMPUTED_VALUE"""),"13/10")</f>
        <v>13/10</v>
      </c>
      <c r="J32" s="140" t="str">
        <f>IFERROR(__xludf.DUMMYFUNCTION("""COMPUTED_VALUE"""),"14/10 e 12/11")</f>
        <v>14/10 e 12/11</v>
      </c>
      <c r="K32" s="140" t="str">
        <f>IFERROR(__xludf.DUMMYFUNCTION("""COMPUTED_VALUE"""),"14/10")</f>
        <v>14/10</v>
      </c>
      <c r="L32" s="140" t="str">
        <f>IFERROR(__xludf.DUMMYFUNCTION("""COMPUTED_VALUE"""),"13/11")</f>
        <v>13/11</v>
      </c>
      <c r="M32" s="140" t="str">
        <f>IFERROR(__xludf.DUMMYFUNCTION("""COMPUTED_VALUE"""),"14/11")</f>
        <v>14/11</v>
      </c>
      <c r="N32" s="140" t="str">
        <f>IFERROR(__xludf.DUMMYFUNCTION("""COMPUTED_VALUE"""),"14/11")</f>
        <v>14/11</v>
      </c>
      <c r="O32" s="140" t="str">
        <f>IFERROR(__xludf.DUMMYFUNCTION("""COMPUTED_VALUE"""),"14/11")</f>
        <v>14/11</v>
      </c>
      <c r="P32" s="140" t="str">
        <f>IFERROR(__xludf.DUMMYFUNCTION("""COMPUTED_VALUE"""),"27/01")</f>
        <v>27/01</v>
      </c>
      <c r="Q32" s="140" t="str">
        <f>IFERROR(__xludf.DUMMYFUNCTION("""COMPUTED_VALUE"""),"27/01")</f>
        <v>27/01</v>
      </c>
      <c r="R32" s="140" t="str">
        <f>IFERROR(__xludf.DUMMYFUNCTION("""COMPUTED_VALUE"""),"29/01")</f>
        <v>29/01</v>
      </c>
      <c r="S32" s="140" t="str">
        <f>IFERROR(__xludf.DUMMYFUNCTION("""COMPUTED_VALUE"""),"29/01")</f>
        <v>29/01</v>
      </c>
      <c r="T32" s="140" t="str">
        <f>IFERROR(__xludf.DUMMYFUNCTION("""COMPUTED_VALUE"""),"12/02")</f>
        <v>12/02</v>
      </c>
      <c r="U32" s="140"/>
      <c r="V32" s="140"/>
      <c r="W32" s="140"/>
      <c r="X32" s="140"/>
      <c r="Y32" s="140"/>
      <c r="Z32" s="140"/>
    </row>
    <row r="33" hidden="1">
      <c r="A33" s="140" t="str">
        <f>IFERROR(__xludf.DUMMYFUNCTION("""COMPUTED_VALUE"""),"VEE ONE")</f>
        <v>VEE ONE</v>
      </c>
      <c r="B33" s="140" t="str">
        <f>IFERROR(__xludf.DUMMYFUNCTION("""COMPUTED_VALUE"""),"BAMN")</f>
        <v>BAMN</v>
      </c>
      <c r="C33" s="140" t="str">
        <f>IFERROR(__xludf.DUMMYFUNCTION("""COMPUTED_VALUE"""),"066-1072-00")</f>
        <v>066-1072-00</v>
      </c>
      <c r="D33" s="140" t="str">
        <f>IFERROR(__xludf.DUMMYFUNCTION("""COMPUTED_VALUE"""),"RECEIVER ADF")</f>
        <v>RECEIVER ADF</v>
      </c>
      <c r="E33" s="140" t="str">
        <f>IFERROR(__xludf.DUMMYFUNCTION("""COMPUTED_VALUE"""),"37955")</f>
        <v>37955</v>
      </c>
      <c r="F33" s="140" t="str">
        <f>IFERROR(__xludf.DUMMYFUNCTION("""COMPUTED_VALUE"""),"022/2025")</f>
        <v>022/2025</v>
      </c>
      <c r="G33" s="140" t="str">
        <f>IFERROR(__xludf.DUMMYFUNCTION("""COMPUTED_VALUE"""),"01/10")</f>
        <v>01/10</v>
      </c>
      <c r="H33" s="140" t="str">
        <f>IFERROR(__xludf.DUMMYFUNCTION("""COMPUTED_VALUE"""),"09/10")</f>
        <v>09/10</v>
      </c>
      <c r="I33" s="140" t="str">
        <f>IFERROR(__xludf.DUMMYFUNCTION("""COMPUTED_VALUE"""),"15/10")</f>
        <v>15/10</v>
      </c>
      <c r="J33" s="140" t="str">
        <f>IFERROR(__xludf.DUMMYFUNCTION("""COMPUTED_VALUE"""),"*")</f>
        <v>*</v>
      </c>
      <c r="K33" s="140" t="str">
        <f>IFERROR(__xludf.DUMMYFUNCTION("""COMPUTED_VALUE"""),"03/10")</f>
        <v>03/10</v>
      </c>
      <c r="L33" s="140" t="str">
        <f>IFERROR(__xludf.DUMMYFUNCTION("""COMPUTED_VALUE"""),"12/11")</f>
        <v>12/11</v>
      </c>
      <c r="M33" s="140" t="str">
        <f>IFERROR(__xludf.DUMMYFUNCTION("""COMPUTED_VALUE"""),"12/11")</f>
        <v>12/11</v>
      </c>
      <c r="N33" s="140" t="str">
        <f>IFERROR(__xludf.DUMMYFUNCTION("""COMPUTED_VALUE"""),"12/11")</f>
        <v>12/11</v>
      </c>
      <c r="O33" s="140" t="str">
        <f>IFERROR(__xludf.DUMMYFUNCTION("""COMPUTED_VALUE"""),"12/11")</f>
        <v>12/11</v>
      </c>
      <c r="P33" s="140" t="str">
        <f>IFERROR(__xludf.DUMMYFUNCTION("""COMPUTED_VALUE"""),"12/11")</f>
        <v>12/11</v>
      </c>
      <c r="Q33" s="140" t="str">
        <f>IFERROR(__xludf.DUMMYFUNCTION("""COMPUTED_VALUE"""),"12/11")</f>
        <v>12/11</v>
      </c>
      <c r="R33" s="140" t="str">
        <f>IFERROR(__xludf.DUMMYFUNCTION("""COMPUTED_VALUE"""),"12/11")</f>
        <v>12/11</v>
      </c>
      <c r="S33" s="140" t="str">
        <f>IFERROR(__xludf.DUMMYFUNCTION("""COMPUTED_VALUE"""),"12/11")</f>
        <v>12/11</v>
      </c>
      <c r="T33" s="140" t="str">
        <f>IFERROR(__xludf.DUMMYFUNCTION("""COMPUTED_VALUE"""),"12/02")</f>
        <v>12/02</v>
      </c>
      <c r="U33" s="140"/>
      <c r="V33" s="140"/>
      <c r="W33" s="140"/>
      <c r="X33" s="140"/>
      <c r="Y33" s="140"/>
      <c r="Z33" s="140"/>
    </row>
    <row r="34" hidden="1">
      <c r="A34" s="140" t="str">
        <f>IFERROR(__xludf.DUMMYFUNCTION("""COMPUTED_VALUE"""),"VEE ONE")</f>
        <v>VEE ONE</v>
      </c>
      <c r="B34" s="140" t="str">
        <f>IFERROR(__xludf.DUMMYFUNCTION("""COMPUTED_VALUE"""),"BAMN")</f>
        <v>BAMN</v>
      </c>
      <c r="C34" s="140" t="str">
        <f>IFERROR(__xludf.DUMMYFUNCTION("""COMPUTED_VALUE"""),"030-18200")</f>
        <v>030-18200</v>
      </c>
      <c r="D34" s="140" t="str">
        <f>IFERROR(__xludf.DUMMYFUNCTION("""COMPUTED_VALUE"""),"CONJUNTO DE FREIO")</f>
        <v>CONJUNTO DE FREIO</v>
      </c>
      <c r="E34" s="140" t="str">
        <f>IFERROR(__xludf.DUMMYFUNCTION("""COMPUTED_VALUE"""),"0976")</f>
        <v>0976</v>
      </c>
      <c r="F34" s="140" t="str">
        <f>IFERROR(__xludf.DUMMYFUNCTION("""COMPUTED_VALUE"""),"022/2025")</f>
        <v>022/2025</v>
      </c>
      <c r="G34" s="140" t="str">
        <f>IFERROR(__xludf.DUMMYFUNCTION("""COMPUTED_VALUE"""),"01/10")</f>
        <v>01/10</v>
      </c>
      <c r="H34" s="140" t="str">
        <f>IFERROR(__xludf.DUMMYFUNCTION("""COMPUTED_VALUE"""),"09/10")</f>
        <v>09/10</v>
      </c>
      <c r="I34" s="140" t="str">
        <f>IFERROR(__xludf.DUMMYFUNCTION("""COMPUTED_VALUE"""),"15/10")</f>
        <v>15/10</v>
      </c>
      <c r="J34" s="140" t="str">
        <f>IFERROR(__xludf.DUMMYFUNCTION("""COMPUTED_VALUE"""),"*")</f>
        <v>*</v>
      </c>
      <c r="K34" s="140" t="str">
        <f>IFERROR(__xludf.DUMMYFUNCTION("""COMPUTED_VALUE"""),"03/10")</f>
        <v>03/10</v>
      </c>
      <c r="L34" s="140" t="str">
        <f>IFERROR(__xludf.DUMMYFUNCTION("""COMPUTED_VALUE"""),"12/11")</f>
        <v>12/11</v>
      </c>
      <c r="M34" s="140" t="str">
        <f>IFERROR(__xludf.DUMMYFUNCTION("""COMPUTED_VALUE"""),"12/11")</f>
        <v>12/11</v>
      </c>
      <c r="N34" s="140" t="str">
        <f>IFERROR(__xludf.DUMMYFUNCTION("""COMPUTED_VALUE"""),"12/11")</f>
        <v>12/11</v>
      </c>
      <c r="O34" s="140" t="str">
        <f>IFERROR(__xludf.DUMMYFUNCTION("""COMPUTED_VALUE"""),"12/11")</f>
        <v>12/11</v>
      </c>
      <c r="P34" s="140" t="str">
        <f>IFERROR(__xludf.DUMMYFUNCTION("""COMPUTED_VALUE"""),"12/11")</f>
        <v>12/11</v>
      </c>
      <c r="Q34" s="140" t="str">
        <f>IFERROR(__xludf.DUMMYFUNCTION("""COMPUTED_VALUE"""),"12/11")</f>
        <v>12/11</v>
      </c>
      <c r="R34" s="140" t="str">
        <f>IFERROR(__xludf.DUMMYFUNCTION("""COMPUTED_VALUE"""),"12/11")</f>
        <v>12/11</v>
      </c>
      <c r="S34" s="140" t="str">
        <f>IFERROR(__xludf.DUMMYFUNCTION("""COMPUTED_VALUE"""),"12/11")</f>
        <v>12/11</v>
      </c>
      <c r="T34" s="140" t="str">
        <f>IFERROR(__xludf.DUMMYFUNCTION("""COMPUTED_VALUE"""),"12/02")</f>
        <v>12/02</v>
      </c>
      <c r="U34" s="140"/>
      <c r="V34" s="140"/>
      <c r="W34" s="140"/>
      <c r="X34" s="140"/>
      <c r="Y34" s="140"/>
      <c r="Z34" s="140"/>
    </row>
    <row r="35" hidden="1">
      <c r="A35" s="140" t="str">
        <f>IFERROR(__xludf.DUMMYFUNCTION("""COMPUTED_VALUE"""),"VEE ONE")</f>
        <v>VEE ONE</v>
      </c>
      <c r="B35" s="140" t="str">
        <f>IFERROR(__xludf.DUMMYFUNCTION("""COMPUTED_VALUE"""),"BABE")</f>
        <v>BABE</v>
      </c>
      <c r="C35" s="140" t="str">
        <f>IFERROR(__xludf.DUMMYFUNCTION("""COMPUTED_VALUE"""),"3244809-4")</f>
        <v>3244809-4</v>
      </c>
      <c r="D35" s="140" t="str">
        <f>IFERROR(__xludf.DUMMYFUNCTION("""COMPUTED_VALUE"""),"FUEL CONTROL UNIT")</f>
        <v>FUEL CONTROL UNIT</v>
      </c>
      <c r="E35" s="140" t="str">
        <f>IFERROR(__xludf.DUMMYFUNCTION("""COMPUTED_VALUE"""),"A87528")</f>
        <v>A87528</v>
      </c>
      <c r="F35" s="140" t="str">
        <f>IFERROR(__xludf.DUMMYFUNCTION("""COMPUTED_VALUE"""),"002/2026")</f>
        <v>002/2026</v>
      </c>
      <c r="G35" s="140" t="str">
        <f>IFERROR(__xludf.DUMMYFUNCTION("""COMPUTED_VALUE"""),"23/01")</f>
        <v>23/01</v>
      </c>
      <c r="H35" s="140" t="str">
        <f>IFERROR(__xludf.DUMMYFUNCTION("""COMPUTED_VALUE"""),"02/02")</f>
        <v>02/02</v>
      </c>
      <c r="I35" s="140" t="str">
        <f>IFERROR(__xludf.DUMMYFUNCTION("""COMPUTED_VALUE"""),"*")</f>
        <v>*</v>
      </c>
      <c r="J35" s="140" t="str">
        <f>IFERROR(__xludf.DUMMYFUNCTION("""COMPUTED_VALUE"""),"*")</f>
        <v>*</v>
      </c>
      <c r="K35" s="140" t="str">
        <f>IFERROR(__xludf.DUMMYFUNCTION("""COMPUTED_VALUE"""),"*")</f>
        <v>*</v>
      </c>
      <c r="L35" s="140" t="str">
        <f>IFERROR(__xludf.DUMMYFUNCTION("""COMPUTED_VALUE"""),"*")</f>
        <v>*</v>
      </c>
      <c r="M35" s="140" t="str">
        <f>IFERROR(__xludf.DUMMYFUNCTION("""COMPUTED_VALUE"""),"*")</f>
        <v>*</v>
      </c>
      <c r="N35" s="140" t="str">
        <f>IFERROR(__xludf.DUMMYFUNCTION("""COMPUTED_VALUE"""),"*")</f>
        <v>*</v>
      </c>
      <c r="O35" s="140" t="str">
        <f>IFERROR(__xludf.DUMMYFUNCTION("""COMPUTED_VALUE"""),"*")</f>
        <v>*</v>
      </c>
      <c r="P35" s="140" t="str">
        <f>IFERROR(__xludf.DUMMYFUNCTION("""COMPUTED_VALUE"""),"*")</f>
        <v>*</v>
      </c>
      <c r="Q35" s="140" t="str">
        <f>IFERROR(__xludf.DUMMYFUNCTION("""COMPUTED_VALUE"""),"*")</f>
        <v>*</v>
      </c>
      <c r="R35" s="140" t="str">
        <f>IFERROR(__xludf.DUMMYFUNCTION("""COMPUTED_VALUE"""),"*")</f>
        <v>*</v>
      </c>
      <c r="S35" s="140" t="str">
        <f>IFERROR(__xludf.DUMMYFUNCTION("""COMPUTED_VALUE"""),"*")</f>
        <v>*</v>
      </c>
      <c r="T35" s="140" t="str">
        <f>IFERROR(__xludf.DUMMYFUNCTION("""COMPUTED_VALUE"""),"*")</f>
        <v>*</v>
      </c>
      <c r="U35" s="140" t="str">
        <f>IFERROR(__xludf.DUMMYFUNCTION("""COMPUTED_VALUE"""),"Não foi encontrado OS do item")</f>
        <v>Não foi encontrado OS do item</v>
      </c>
      <c r="V35" s="140"/>
      <c r="W35" s="140"/>
      <c r="X35" s="140"/>
      <c r="Y35" s="140"/>
      <c r="Z35" s="140"/>
    </row>
    <row r="36" hidden="1">
      <c r="A36" s="140" t="str">
        <f>IFERROR(__xludf.DUMMYFUNCTION("""COMPUTED_VALUE"""),"VEE ONE")</f>
        <v>VEE ONE</v>
      </c>
      <c r="B36" s="140" t="str">
        <f>IFERROR(__xludf.DUMMYFUNCTION("""COMPUTED_VALUE"""),"BAMN")</f>
        <v>BAMN</v>
      </c>
      <c r="C36" s="140" t="str">
        <f>IFERROR(__xludf.DUMMYFUNCTION("""COMPUTED_VALUE"""),"30-182")</f>
        <v>30-182</v>
      </c>
      <c r="D36" s="140" t="str">
        <f>IFERROR(__xludf.DUMMYFUNCTION("""COMPUTED_VALUE"""),"MAIN WHEEL BRAKE")</f>
        <v>MAIN WHEEL BRAKE</v>
      </c>
      <c r="E36" s="140" t="str">
        <f>IFERROR(__xludf.DUMMYFUNCTION("""COMPUTED_VALUE"""),"327")</f>
        <v>327</v>
      </c>
      <c r="F36" s="140" t="str">
        <f>IFERROR(__xludf.DUMMYFUNCTION("""COMPUTED_VALUE"""),"035/2025")</f>
        <v>035/2025</v>
      </c>
      <c r="G36" s="140" t="str">
        <f>IFERROR(__xludf.DUMMYFUNCTION("""COMPUTED_VALUE"""),"04/11")</f>
        <v>04/11</v>
      </c>
      <c r="H36" s="140" t="str">
        <f>IFERROR(__xludf.DUMMYFUNCTION("""COMPUTED_VALUE"""),"26/11")</f>
        <v>26/11</v>
      </c>
      <c r="I36" s="140" t="str">
        <f>IFERROR(__xludf.DUMMYFUNCTION("""COMPUTED_VALUE"""),"12/12")</f>
        <v>12/12</v>
      </c>
      <c r="J36" s="140" t="str">
        <f>IFERROR(__xludf.DUMMYFUNCTION("""COMPUTED_VALUE"""),"29/01")</f>
        <v>29/01</v>
      </c>
      <c r="K36" s="140" t="str">
        <f>IFERROR(__xludf.DUMMYFUNCTION("""COMPUTED_VALUE"""),"11/02")</f>
        <v>11/02</v>
      </c>
      <c r="L36" s="140" t="str">
        <f>IFERROR(__xludf.DUMMYFUNCTION("""COMPUTED_VALUE"""),"11/02")</f>
        <v>11/02</v>
      </c>
      <c r="M36" s="140" t="str">
        <f>IFERROR(__xludf.DUMMYFUNCTION("""COMPUTED_VALUE"""),"12/02")</f>
        <v>12/02</v>
      </c>
      <c r="N36" s="140" t="str">
        <f>IFERROR(__xludf.DUMMYFUNCTION("""COMPUTED_VALUE"""),"12/02")</f>
        <v>12/02</v>
      </c>
      <c r="O36" s="140" t="str">
        <f>IFERROR(__xludf.DUMMYFUNCTION("""COMPUTED_VALUE"""),"12/02")</f>
        <v>12/02</v>
      </c>
      <c r="P36" s="140" t="str">
        <f>IFERROR(__xludf.DUMMYFUNCTION("""COMPUTED_VALUE"""),"12/02")</f>
        <v>12/02</v>
      </c>
      <c r="Q36" s="140" t="str">
        <f>IFERROR(__xludf.DUMMYFUNCTION("""COMPUTED_VALUE"""),"12/02")</f>
        <v>12/02</v>
      </c>
      <c r="R36" s="140" t="str">
        <f>IFERROR(__xludf.DUMMYFUNCTION("""COMPUTED_VALUE"""),"12/02")</f>
        <v>12/02</v>
      </c>
      <c r="S36" s="140" t="str">
        <f>IFERROR(__xludf.DUMMYFUNCTION("""COMPUTED_VALUE"""),"12/02")</f>
        <v>12/02</v>
      </c>
      <c r="T36" s="140" t="str">
        <f>IFERROR(__xludf.DUMMYFUNCTION("""COMPUTED_VALUE"""),"13/02")</f>
        <v>13/02</v>
      </c>
      <c r="U36" s="140"/>
      <c r="V36" s="140"/>
      <c r="W36" s="140"/>
      <c r="X36" s="140"/>
      <c r="Y36" s="140"/>
      <c r="Z36" s="140"/>
    </row>
    <row r="37" hidden="1">
      <c r="A37" s="140" t="str">
        <f>IFERROR(__xludf.DUMMYFUNCTION("""COMPUTED_VALUE"""),"VEE ONE")</f>
        <v>VEE ONE</v>
      </c>
      <c r="B37" s="140" t="str">
        <f>IFERROR(__xludf.DUMMYFUNCTION("""COMPUTED_VALUE"""),"BAMN")</f>
        <v>BAMN</v>
      </c>
      <c r="C37" s="140" t="str">
        <f>IFERROR(__xludf.DUMMYFUNCTION("""COMPUTED_VALUE"""),"3074154-01")</f>
        <v>3074154-01</v>
      </c>
      <c r="D37" s="140" t="str">
        <f>IFERROR(__xludf.DUMMYFUNCTION("""COMPUTED_VALUE"""),"GOVERNOR PROPELLER")</f>
        <v>GOVERNOR PROPELLER</v>
      </c>
      <c r="E37" s="140" t="str">
        <f>IFERROR(__xludf.DUMMYFUNCTION("""COMPUTED_VALUE"""),"18392762")</f>
        <v>18392762</v>
      </c>
      <c r="F37" s="140" t="str">
        <f>IFERROR(__xludf.DUMMYFUNCTION("""COMPUTED_VALUE"""),"040/2026")</f>
        <v>040/2026</v>
      </c>
      <c r="G37" s="140" t="str">
        <f>IFERROR(__xludf.DUMMYFUNCTION("""COMPUTED_VALUE"""),"07/01")</f>
        <v>07/01</v>
      </c>
      <c r="H37" s="140" t="str">
        <f>IFERROR(__xludf.DUMMYFUNCTION("""COMPUTED_VALUE"""),"29/01")</f>
        <v>29/01</v>
      </c>
      <c r="I37" s="140" t="str">
        <f>IFERROR(__xludf.DUMMYFUNCTION("""COMPUTED_VALUE"""),"09/02")</f>
        <v>09/02</v>
      </c>
      <c r="J37" s="140" t="str">
        <f>IFERROR(__xludf.DUMMYFUNCTION("""COMPUTED_VALUE"""),"09/02")</f>
        <v>09/02</v>
      </c>
      <c r="K37" s="140" t="str">
        <f>IFERROR(__xludf.DUMMYFUNCTION("""COMPUTED_VALUE"""),"10/02")</f>
        <v>10/02</v>
      </c>
      <c r="L37" s="140" t="str">
        <f>IFERROR(__xludf.DUMMYFUNCTION("""COMPUTED_VALUE"""),"10/02")</f>
        <v>10/02</v>
      </c>
      <c r="M37" s="140" t="str">
        <f>IFERROR(__xludf.DUMMYFUNCTION("""COMPUTED_VALUE"""),"10/02")</f>
        <v>10/02</v>
      </c>
      <c r="N37" s="140" t="str">
        <f>IFERROR(__xludf.DUMMYFUNCTION("""COMPUTED_VALUE"""),"10/02")</f>
        <v>10/02</v>
      </c>
      <c r="O37" s="140" t="str">
        <f>IFERROR(__xludf.DUMMYFUNCTION("""COMPUTED_VALUE"""),"10/02")</f>
        <v>10/02</v>
      </c>
      <c r="P37" s="140" t="str">
        <f>IFERROR(__xludf.DUMMYFUNCTION("""COMPUTED_VALUE"""),"10/02")</f>
        <v>10/02</v>
      </c>
      <c r="Q37" s="140" t="str">
        <f>IFERROR(__xludf.DUMMYFUNCTION("""COMPUTED_VALUE"""),"10/02")</f>
        <v>10/02</v>
      </c>
      <c r="R37" s="140" t="str">
        <f>IFERROR(__xludf.DUMMYFUNCTION("""COMPUTED_VALUE"""),"11/02")</f>
        <v>11/02</v>
      </c>
      <c r="S37" s="140" t="str">
        <f>IFERROR(__xludf.DUMMYFUNCTION("""COMPUTED_VALUE"""),"11/02")</f>
        <v>11/02</v>
      </c>
      <c r="T37" s="140" t="str">
        <f>IFERROR(__xludf.DUMMYFUNCTION("""COMPUTED_VALUE"""),"11/02")</f>
        <v>11/02</v>
      </c>
      <c r="U37" s="140"/>
      <c r="V37" s="140"/>
      <c r="W37" s="140"/>
      <c r="X37" s="140"/>
      <c r="Y37" s="140"/>
      <c r="Z37" s="140"/>
    </row>
    <row r="38" hidden="1">
      <c r="A38" s="140" t="str">
        <f>IFERROR(__xludf.DUMMYFUNCTION("""COMPUTED_VALUE"""),"VEE ONE")</f>
        <v>VEE ONE</v>
      </c>
      <c r="B38" s="140" t="str">
        <f>IFERROR(__xludf.DUMMYFUNCTION("""COMPUTED_VALUE"""),"CLA")</f>
        <v>CLA</v>
      </c>
      <c r="C38" s="140" t="str">
        <f>IFERROR(__xludf.DUMMYFUNCTION("""COMPUTED_VALUE"""),"162-11800")</f>
        <v>162-11800</v>
      </c>
      <c r="D38" s="140" t="str">
        <f>IFERROR(__xludf.DUMMYFUNCTION("""COMPUTED_VALUE"""),"WHEEL HALF ASSY")</f>
        <v>WHEEL HALF ASSY</v>
      </c>
      <c r="E38" s="140" t="str">
        <f>IFERROR(__xludf.DUMMYFUNCTION("""COMPUTED_VALUE"""),"92E")</f>
        <v>92E</v>
      </c>
      <c r="F38" s="140" t="str">
        <f>IFERROR(__xludf.DUMMYFUNCTION("""COMPUTED_VALUE"""),"005/2025")</f>
        <v>005/2025</v>
      </c>
      <c r="G38" s="140" t="str">
        <f>IFERROR(__xludf.DUMMYFUNCTION("""COMPUTED_VALUE"""),"05/09")</f>
        <v>05/09</v>
      </c>
      <c r="H38" s="140" t="str">
        <f>IFERROR(__xludf.DUMMYFUNCTION("""COMPUTED_VALUE"""),"30/09")</f>
        <v>30/09</v>
      </c>
      <c r="I38" s="140" t="str">
        <f>IFERROR(__xludf.DUMMYFUNCTION("""COMPUTED_VALUE"""),"15/10")</f>
        <v>15/10</v>
      </c>
      <c r="J38" s="140" t="str">
        <f>IFERROR(__xludf.DUMMYFUNCTION("""COMPUTED_VALUE"""),"16/10 e 12/11")</f>
        <v>16/10 e 12/11</v>
      </c>
      <c r="K38" s="140" t="str">
        <f>IFERROR(__xludf.DUMMYFUNCTION("""COMPUTED_VALUE"""),"04/11")</f>
        <v>04/11</v>
      </c>
      <c r="L38" s="140" t="str">
        <f>IFERROR(__xludf.DUMMYFUNCTION("""COMPUTED_VALUE"""),"13/11")</f>
        <v>13/11</v>
      </c>
      <c r="M38" s="140" t="str">
        <f>IFERROR(__xludf.DUMMYFUNCTION("""COMPUTED_VALUE"""),"14/11")</f>
        <v>14/11</v>
      </c>
      <c r="N38" s="140" t="str">
        <f>IFERROR(__xludf.DUMMYFUNCTION("""COMPUTED_VALUE"""),"14/11")</f>
        <v>14/11</v>
      </c>
      <c r="O38" s="140" t="str">
        <f>IFERROR(__xludf.DUMMYFUNCTION("""COMPUTED_VALUE"""),"14/11")</f>
        <v>14/11</v>
      </c>
      <c r="P38" s="140" t="str">
        <f>IFERROR(__xludf.DUMMYFUNCTION("""COMPUTED_VALUE"""),"27/01")</f>
        <v>27/01</v>
      </c>
      <c r="Q38" s="140" t="str">
        <f>IFERROR(__xludf.DUMMYFUNCTION("""COMPUTED_VALUE"""),"27/01")</f>
        <v>27/01</v>
      </c>
      <c r="R38" s="140" t="str">
        <f>IFERROR(__xludf.DUMMYFUNCTION("""COMPUTED_VALUE"""),"29/01")</f>
        <v>29/01</v>
      </c>
      <c r="S38" s="140" t="str">
        <f>IFERROR(__xludf.DUMMYFUNCTION("""COMPUTED_VALUE"""),"29/01")</f>
        <v>29/01</v>
      </c>
      <c r="T38" s="140" t="str">
        <f>IFERROR(__xludf.DUMMYFUNCTION("""COMPUTED_VALUE"""),"23/02")</f>
        <v>23/02</v>
      </c>
      <c r="U38" s="140"/>
      <c r="V38" s="140"/>
      <c r="W38" s="140"/>
      <c r="X38" s="140"/>
      <c r="Y38" s="140"/>
      <c r="Z38" s="140"/>
    </row>
    <row r="39" hidden="1">
      <c r="A39" s="140" t="str">
        <f>IFERROR(__xludf.DUMMYFUNCTION("""COMPUTED_VALUE"""),"VEE ONE")</f>
        <v>VEE ONE</v>
      </c>
      <c r="B39" s="140" t="str">
        <f>IFERROR(__xludf.DUMMYFUNCTION("""COMPUTED_VALUE"""),"CLA")</f>
        <v>CLA</v>
      </c>
      <c r="C39" s="140" t="str">
        <f>IFERROR(__xludf.DUMMYFUNCTION("""COMPUTED_VALUE"""),"540-1407-4")</f>
        <v>540-1407-4</v>
      </c>
      <c r="D39" s="140" t="str">
        <f>IFERROR(__xludf.DUMMYFUNCTION("""COMPUTED_VALUE""")," VALVE,BLEED,TURBINEENGINE")</f>
        <v> VALVE,BLEED,TURBINEENGINE</v>
      </c>
      <c r="E39" s="140" t="str">
        <f>IFERROR(__xludf.DUMMYFUNCTION("""COMPUTED_VALUE"""),"GA1536")</f>
        <v>GA1536</v>
      </c>
      <c r="F39" s="140" t="str">
        <f>IFERROR(__xludf.DUMMYFUNCTION("""COMPUTED_VALUE"""),"006/2025")</f>
        <v>006/2025</v>
      </c>
      <c r="G39" s="140" t="str">
        <f>IFERROR(__xludf.DUMMYFUNCTION("""COMPUTED_VALUE"""),"23/09")</f>
        <v>23/09</v>
      </c>
      <c r="H39" s="140" t="str">
        <f>IFERROR(__xludf.DUMMYFUNCTION("""COMPUTED_VALUE"""),"30/09")</f>
        <v>30/09</v>
      </c>
      <c r="I39" s="140" t="str">
        <f>IFERROR(__xludf.DUMMYFUNCTION("""COMPUTED_VALUE"""),"15/10")</f>
        <v>15/10</v>
      </c>
      <c r="J39" s="140" t="str">
        <f>IFERROR(__xludf.DUMMYFUNCTION("""COMPUTED_VALUE"""),"16/10 e 12/11")</f>
        <v>16/10 e 12/11</v>
      </c>
      <c r="K39" s="140" t="str">
        <f>IFERROR(__xludf.DUMMYFUNCTION("""COMPUTED_VALUE"""),"04/11")</f>
        <v>04/11</v>
      </c>
      <c r="L39" s="140" t="str">
        <f>IFERROR(__xludf.DUMMYFUNCTION("""COMPUTED_VALUE"""),"13/11")</f>
        <v>13/11</v>
      </c>
      <c r="M39" s="140" t="str">
        <f>IFERROR(__xludf.DUMMYFUNCTION("""COMPUTED_VALUE"""),"14/11")</f>
        <v>14/11</v>
      </c>
      <c r="N39" s="140" t="str">
        <f>IFERROR(__xludf.DUMMYFUNCTION("""COMPUTED_VALUE"""),"14/11")</f>
        <v>14/11</v>
      </c>
      <c r="O39" s="140" t="str">
        <f>IFERROR(__xludf.DUMMYFUNCTION("""COMPUTED_VALUE"""),"14/11")</f>
        <v>14/11</v>
      </c>
      <c r="P39" s="140" t="str">
        <f>IFERROR(__xludf.DUMMYFUNCTION("""COMPUTED_VALUE"""),"27/01")</f>
        <v>27/01</v>
      </c>
      <c r="Q39" s="140" t="str">
        <f>IFERROR(__xludf.DUMMYFUNCTION("""COMPUTED_VALUE"""),"27/01")</f>
        <v>27/01</v>
      </c>
      <c r="R39" s="140" t="str">
        <f>IFERROR(__xludf.DUMMYFUNCTION("""COMPUTED_VALUE"""),"29/01")</f>
        <v>29/01</v>
      </c>
      <c r="S39" s="140" t="str">
        <f>IFERROR(__xludf.DUMMYFUNCTION("""COMPUTED_VALUE"""),"29/01")</f>
        <v>29/01</v>
      </c>
      <c r="T39" s="140" t="str">
        <f>IFERROR(__xludf.DUMMYFUNCTION("""COMPUTED_VALUE"""),"23/02")</f>
        <v>23/02</v>
      </c>
      <c r="U39" s="140"/>
      <c r="V39" s="140"/>
      <c r="W39" s="140"/>
      <c r="X39" s="140"/>
      <c r="Y39" s="140"/>
      <c r="Z39" s="140"/>
    </row>
    <row r="40" hidden="1">
      <c r="A40" s="140" t="str">
        <f>IFERROR(__xludf.DUMMYFUNCTION("""COMPUTED_VALUE"""),"VEE ONE")</f>
        <v>VEE ONE</v>
      </c>
      <c r="B40" s="140" t="str">
        <f>IFERROR(__xludf.DUMMYFUNCTION("""COMPUTED_VALUE"""),"CLA")</f>
        <v>CLA</v>
      </c>
      <c r="C40" s="140" t="str">
        <f>IFERROR(__xludf.DUMMYFUNCTION("""COMPUTED_VALUE"""),"2606013-1")</f>
        <v>2606013-1</v>
      </c>
      <c r="D40" s="140" t="str">
        <f>IFERROR(__xludf.DUMMYFUNCTION("""COMPUTED_VALUE"""),"INDICATOR-PERCENT RPM")</f>
        <v>INDICATOR-PERCENT RPM</v>
      </c>
      <c r="E40" s="140" t="str">
        <f>IFERROR(__xludf.DUMMYFUNCTION("""COMPUTED_VALUE"""),"890880")</f>
        <v>890880</v>
      </c>
      <c r="F40" s="140" t="str">
        <f>IFERROR(__xludf.DUMMYFUNCTION("""COMPUTED_VALUE"""),"003/2025")</f>
        <v>003/2025</v>
      </c>
      <c r="G40" s="140" t="str">
        <f>IFERROR(__xludf.DUMMYFUNCTION("""COMPUTED_VALUE"""),"04/07")</f>
        <v>04/07</v>
      </c>
      <c r="H40" s="140" t="str">
        <f>IFERROR(__xludf.DUMMYFUNCTION("""COMPUTED_VALUE"""),"16/10")</f>
        <v>16/10</v>
      </c>
      <c r="I40" s="140" t="str">
        <f>IFERROR(__xludf.DUMMYFUNCTION("""COMPUTED_VALUE"""),"16/10")</f>
        <v>16/10</v>
      </c>
      <c r="J40" s="140" t="str">
        <f>IFERROR(__xludf.DUMMYFUNCTION("""COMPUTED_VALUE"""),"18/11")</f>
        <v>18/11</v>
      </c>
      <c r="K40" s="140" t="str">
        <f>IFERROR(__xludf.DUMMYFUNCTION("""COMPUTED_VALUE"""),"18/11")</f>
        <v>18/11</v>
      </c>
      <c r="L40" s="140" t="str">
        <f>IFERROR(__xludf.DUMMYFUNCTION("""COMPUTED_VALUE"""),"18/11 e 02/02")</f>
        <v>18/11 e 02/02</v>
      </c>
      <c r="M40" s="140" t="str">
        <f>IFERROR(__xludf.DUMMYFUNCTION("""COMPUTED_VALUE"""),"03/02")</f>
        <v>03/02</v>
      </c>
      <c r="N40" s="140" t="str">
        <f>IFERROR(__xludf.DUMMYFUNCTION("""COMPUTED_VALUE"""),"03/02")</f>
        <v>03/02</v>
      </c>
      <c r="O40" s="140" t="str">
        <f>IFERROR(__xludf.DUMMYFUNCTION("""COMPUTED_VALUE"""),"03/02")</f>
        <v>03/02</v>
      </c>
      <c r="P40" s="140" t="str">
        <f>IFERROR(__xludf.DUMMYFUNCTION("""COMPUTED_VALUE"""),"04/02")</f>
        <v>04/02</v>
      </c>
      <c r="Q40" s="140" t="str">
        <f>IFERROR(__xludf.DUMMYFUNCTION("""COMPUTED_VALUE"""),"04/02")</f>
        <v>04/02</v>
      </c>
      <c r="R40" s="140" t="str">
        <f>IFERROR(__xludf.DUMMYFUNCTION("""COMPUTED_VALUE"""),"04/02")</f>
        <v>04/02</v>
      </c>
      <c r="S40" s="140" t="str">
        <f>IFERROR(__xludf.DUMMYFUNCTION("""COMPUTED_VALUE"""),"04/02")</f>
        <v>04/02</v>
      </c>
      <c r="T40" s="140" t="str">
        <f>IFERROR(__xludf.DUMMYFUNCTION("""COMPUTED_VALUE"""),"23/02")</f>
        <v>23/02</v>
      </c>
      <c r="U40" s="140" t="str">
        <f>IFERROR(__xludf.DUMMYFUNCTION("""COMPUTED_VALUE"""),"Chegou no operador sem SEG VOO")</f>
        <v>Chegou no operador sem SEG VOO</v>
      </c>
      <c r="V40" s="140"/>
      <c r="W40" s="140"/>
      <c r="X40" s="140"/>
      <c r="Y40" s="140"/>
      <c r="Z40" s="140"/>
    </row>
    <row r="41" hidden="1">
      <c r="A41" s="140" t="str">
        <f>IFERROR(__xludf.DUMMYFUNCTION("""COMPUTED_VALUE"""),"VEE ONE")</f>
        <v>VEE ONE</v>
      </c>
      <c r="B41" s="140" t="str">
        <f>IFERROR(__xludf.DUMMYFUNCTION("""COMPUTED_VALUE"""),"CLA")</f>
        <v>CLA</v>
      </c>
      <c r="C41" s="140" t="str">
        <f>IFERROR(__xludf.DUMMYFUNCTION("""COMPUTED_VALUE"""),"C661065-0237")</f>
        <v>C661065-0237</v>
      </c>
      <c r="D41" s="140" t="str">
        <f>IFERROR(__xludf.DUMMYFUNCTION("""COMPUTED_VALUE"""),"INDICATOR TRUE")</f>
        <v>INDICATOR TRUE</v>
      </c>
      <c r="E41" s="140" t="str">
        <f>IFERROR(__xludf.DUMMYFUNCTION("""COMPUTED_VALUE"""),"T39023")</f>
        <v>T39023</v>
      </c>
      <c r="F41" s="140" t="str">
        <f>IFERROR(__xludf.DUMMYFUNCTION("""COMPUTED_VALUE"""),"009/2025")</f>
        <v>009/2025</v>
      </c>
      <c r="G41" s="140" t="str">
        <f>IFERROR(__xludf.DUMMYFUNCTION("""COMPUTED_VALUE"""),"20/10")</f>
        <v>20/10</v>
      </c>
      <c r="H41" s="140" t="str">
        <f>IFERROR(__xludf.DUMMYFUNCTION("""COMPUTED_VALUE"""),"26/11")</f>
        <v>26/11</v>
      </c>
      <c r="I41" s="140" t="str">
        <f>IFERROR(__xludf.DUMMYFUNCTION("""COMPUTED_VALUE"""),"12/12")</f>
        <v>12/12</v>
      </c>
      <c r="J41" s="140" t="str">
        <f>IFERROR(__xludf.DUMMYFUNCTION("""COMPUTED_VALUE"""),"12/12")</f>
        <v>12/12</v>
      </c>
      <c r="K41" s="140" t="str">
        <f>IFERROR(__xludf.DUMMYFUNCTION("""COMPUTED_VALUE"""),"12/12")</f>
        <v>12/12</v>
      </c>
      <c r="L41" s="140" t="str">
        <f>IFERROR(__xludf.DUMMYFUNCTION("""COMPUTED_VALUE"""),"12/12")</f>
        <v>12/12</v>
      </c>
      <c r="M41" s="140" t="str">
        <f>IFERROR(__xludf.DUMMYFUNCTION("""COMPUTED_VALUE"""),"12/12")</f>
        <v>12/12</v>
      </c>
      <c r="N41" s="140" t="str">
        <f>IFERROR(__xludf.DUMMYFUNCTION("""COMPUTED_VALUE"""),"12/12")</f>
        <v>12/12</v>
      </c>
      <c r="O41" s="140" t="str">
        <f>IFERROR(__xludf.DUMMYFUNCTION("""COMPUTED_VALUE"""),"12/12")</f>
        <v>12/12</v>
      </c>
      <c r="P41" s="140" t="str">
        <f>IFERROR(__xludf.DUMMYFUNCTION("""COMPUTED_VALUE"""),"02/02")</f>
        <v>02/02</v>
      </c>
      <c r="Q41" s="140" t="str">
        <f>IFERROR(__xludf.DUMMYFUNCTION("""COMPUTED_VALUE"""),"02/02")</f>
        <v>02/02</v>
      </c>
      <c r="R41" s="140" t="str">
        <f>IFERROR(__xludf.DUMMYFUNCTION("""COMPUTED_VALUE"""),"03/02")</f>
        <v>03/02</v>
      </c>
      <c r="S41" s="140" t="str">
        <f>IFERROR(__xludf.DUMMYFUNCTION("""COMPUTED_VALUE"""),"03/02")</f>
        <v>03/02</v>
      </c>
      <c r="T41" s="140" t="str">
        <f>IFERROR(__xludf.DUMMYFUNCTION("""COMPUTED_VALUE"""),"23/02")</f>
        <v>23/02</v>
      </c>
      <c r="U41" s="140"/>
      <c r="V41" s="140"/>
      <c r="W41" s="140"/>
      <c r="X41" s="140"/>
      <c r="Y41" s="140"/>
      <c r="Z41" s="140"/>
    </row>
    <row r="42" hidden="1">
      <c r="A42" s="140" t="str">
        <f>IFERROR(__xludf.DUMMYFUNCTION("""COMPUTED_VALUE"""),"VEE ONE")</f>
        <v>VEE ONE</v>
      </c>
      <c r="B42" s="140" t="str">
        <f>IFERROR(__xludf.DUMMYFUNCTION("""COMPUTED_VALUE"""),"CLA")</f>
        <v>CLA</v>
      </c>
      <c r="C42" s="140" t="str">
        <f>IFERROR(__xludf.DUMMYFUNCTION("""COMPUTED_VALUE"""),"161-12800")</f>
        <v>161-12800</v>
      </c>
      <c r="D42" s="140" t="str">
        <f>IFERROR(__xludf.DUMMYFUNCTION("""COMPUTED_VALUE"""),"WHEEL HALF ASSY")</f>
        <v>WHEEL HALF ASSY</v>
      </c>
      <c r="E42" s="140" t="str">
        <f>IFERROR(__xludf.DUMMYFUNCTION("""COMPUTED_VALUE"""),"29")</f>
        <v>29</v>
      </c>
      <c r="F42" s="140" t="str">
        <f>IFERROR(__xludf.DUMMYFUNCTION("""COMPUTED_VALUE"""),"010/2025")</f>
        <v>010/2025</v>
      </c>
      <c r="G42" s="140" t="str">
        <f>IFERROR(__xludf.DUMMYFUNCTION("""COMPUTED_VALUE"""),"16/10")</f>
        <v>16/10</v>
      </c>
      <c r="H42" s="140" t="str">
        <f>IFERROR(__xludf.DUMMYFUNCTION("""COMPUTED_VALUE"""),"26/11")</f>
        <v>26/11</v>
      </c>
      <c r="I42" s="140" t="str">
        <f>IFERROR(__xludf.DUMMYFUNCTION("""COMPUTED_VALUE"""),"12/12")</f>
        <v>12/12</v>
      </c>
      <c r="J42" s="140" t="str">
        <f>IFERROR(__xludf.DUMMYFUNCTION("""COMPUTED_VALUE"""),"12/12")</f>
        <v>12/12</v>
      </c>
      <c r="K42" s="140" t="str">
        <f>IFERROR(__xludf.DUMMYFUNCTION("""COMPUTED_VALUE"""),"12/12")</f>
        <v>12/12</v>
      </c>
      <c r="L42" s="140" t="str">
        <f>IFERROR(__xludf.DUMMYFUNCTION("""COMPUTED_VALUE"""),"12/12")</f>
        <v>12/12</v>
      </c>
      <c r="M42" s="140" t="str">
        <f>IFERROR(__xludf.DUMMYFUNCTION("""COMPUTED_VALUE"""),"12/12")</f>
        <v>12/12</v>
      </c>
      <c r="N42" s="140" t="str">
        <f>IFERROR(__xludf.DUMMYFUNCTION("""COMPUTED_VALUE"""),"12/12")</f>
        <v>12/12</v>
      </c>
      <c r="O42" s="140" t="str">
        <f>IFERROR(__xludf.DUMMYFUNCTION("""COMPUTED_VALUE"""),"12/12")</f>
        <v>12/12</v>
      </c>
      <c r="P42" s="140" t="str">
        <f>IFERROR(__xludf.DUMMYFUNCTION("""COMPUTED_VALUE"""),"02/02")</f>
        <v>02/02</v>
      </c>
      <c r="Q42" s="140" t="str">
        <f>IFERROR(__xludf.DUMMYFUNCTION("""COMPUTED_VALUE"""),"02/02")</f>
        <v>02/02</v>
      </c>
      <c r="R42" s="140" t="str">
        <f>IFERROR(__xludf.DUMMYFUNCTION("""COMPUTED_VALUE"""),"03/02")</f>
        <v>03/02</v>
      </c>
      <c r="S42" s="140" t="str">
        <f>IFERROR(__xludf.DUMMYFUNCTION("""COMPUTED_VALUE"""),"03/02")</f>
        <v>03/02</v>
      </c>
      <c r="T42" s="140" t="str">
        <f>IFERROR(__xludf.DUMMYFUNCTION("""COMPUTED_VALUE"""),"23/02")</f>
        <v>23/02</v>
      </c>
      <c r="U42" s="140"/>
      <c r="V42" s="140"/>
      <c r="W42" s="140"/>
      <c r="X42" s="140"/>
      <c r="Y42" s="140"/>
      <c r="Z42" s="140"/>
    </row>
    <row r="43" hidden="1">
      <c r="A43" s="140" t="str">
        <f>IFERROR(__xludf.DUMMYFUNCTION("""COMPUTED_VALUE"""),"VEE ONE")</f>
        <v>VEE ONE</v>
      </c>
      <c r="B43" s="140" t="str">
        <f>IFERROR(__xludf.DUMMYFUNCTION("""COMPUTED_VALUE"""),"BABE")</f>
        <v>BABE</v>
      </c>
      <c r="C43" s="140" t="str">
        <f>IFERROR(__xludf.DUMMYFUNCTION("""COMPUTED_VALUE"""),"011-00877-00")</f>
        <v>011-00877-00</v>
      </c>
      <c r="D43" s="140" t="str">
        <f>IFERROR(__xludf.DUMMYFUNCTION("""COMPUTED_VALUE"""),"GSA 80 TORQUE SERVO")</f>
        <v>GSA 80 TORQUE SERVO</v>
      </c>
      <c r="E43" s="140" t="str">
        <f>IFERROR(__xludf.DUMMYFUNCTION("""COMPUTED_VALUE"""),"66305960")</f>
        <v>66305960</v>
      </c>
      <c r="F43" s="140" t="str">
        <f>IFERROR(__xludf.DUMMYFUNCTION("""COMPUTED_VALUE"""),"018/2025")</f>
        <v>018/2025</v>
      </c>
      <c r="G43" s="140" t="str">
        <f>IFERROR(__xludf.DUMMYFUNCTION("""COMPUTED_VALUE"""),"04/12")</f>
        <v>04/12</v>
      </c>
      <c r="H43" s="140" t="str">
        <f>IFERROR(__xludf.DUMMYFUNCTION("""COMPUTED_VALUE"""),"05/12")</f>
        <v>05/12</v>
      </c>
      <c r="I43" s="140" t="str">
        <f>IFERROR(__xludf.DUMMYFUNCTION("""COMPUTED_VALUE"""),"12/12")</f>
        <v>12/12</v>
      </c>
      <c r="J43" s="140" t="str">
        <f>IFERROR(__xludf.DUMMYFUNCTION("""COMPUTED_VALUE"""),"16/12")</f>
        <v>16/12</v>
      </c>
      <c r="K43" s="140" t="str">
        <f>IFERROR(__xludf.DUMMYFUNCTION("""COMPUTED_VALUE"""),"29/12")</f>
        <v>29/12</v>
      </c>
      <c r="L43" s="140" t="str">
        <f>IFERROR(__xludf.DUMMYFUNCTION("""COMPUTED_VALUE"""),"02/02")</f>
        <v>02/02</v>
      </c>
      <c r="M43" s="140" t="str">
        <f>IFERROR(__xludf.DUMMYFUNCTION("""COMPUTED_VALUE"""),"03/02")</f>
        <v>03/02</v>
      </c>
      <c r="N43" s="140" t="str">
        <f>IFERROR(__xludf.DUMMYFUNCTION("""COMPUTED_VALUE"""),"03/02")</f>
        <v>03/02</v>
      </c>
      <c r="O43" s="140" t="str">
        <f>IFERROR(__xludf.DUMMYFUNCTION("""COMPUTED_VALUE"""),"03/02")</f>
        <v>03/02</v>
      </c>
      <c r="P43" s="140" t="str">
        <f>IFERROR(__xludf.DUMMYFUNCTION("""COMPUTED_VALUE"""),"04/02")</f>
        <v>04/02</v>
      </c>
      <c r="Q43" s="140" t="str">
        <f>IFERROR(__xludf.DUMMYFUNCTION("""COMPUTED_VALUE"""),"04/02")</f>
        <v>04/02</v>
      </c>
      <c r="R43" s="140" t="str">
        <f>IFERROR(__xludf.DUMMYFUNCTION("""COMPUTED_VALUE"""),"04/02")</f>
        <v>04/02</v>
      </c>
      <c r="S43" s="140" t="str">
        <f>IFERROR(__xludf.DUMMYFUNCTION("""COMPUTED_VALUE"""),"04/02")</f>
        <v>04/02</v>
      </c>
      <c r="T43" s="140" t="str">
        <f>IFERROR(__xludf.DUMMYFUNCTION("""COMPUTED_VALUE"""),"23/02")</f>
        <v>23/02</v>
      </c>
      <c r="U43" s="140" t="str">
        <f>IFERROR(__xludf.DUMMYFUNCTION("""COMPUTED_VALUE"""),"Exchange com SN 66306629")</f>
        <v>Exchange com SN 66306629</v>
      </c>
      <c r="V43" s="140"/>
      <c r="W43" s="140"/>
      <c r="X43" s="140"/>
      <c r="Y43" s="140"/>
      <c r="Z43" s="140"/>
    </row>
    <row r="44" hidden="1">
      <c r="A44" s="140" t="str">
        <f>IFERROR(__xludf.DUMMYFUNCTION("""COMPUTED_VALUE"""),"VEE ONE")</f>
        <v>VEE ONE</v>
      </c>
      <c r="B44" s="140" t="str">
        <f>IFERROR(__xludf.DUMMYFUNCTION("""COMPUTED_VALUE"""),"BABR")</f>
        <v>BABR</v>
      </c>
      <c r="C44" s="140" t="str">
        <f>IFERROR(__xludf.DUMMYFUNCTION("""COMPUTED_VALUE"""),"064-1054-30")</f>
        <v>064-1054-30</v>
      </c>
      <c r="D44" s="140" t="str">
        <f>IFERROR(__xludf.DUMMYFUNCTION("""COMPUTED_VALUE"""),"RECEPTOR DE VHF")</f>
        <v>RECEPTOR DE VHF</v>
      </c>
      <c r="E44" s="140" t="str">
        <f>IFERROR(__xludf.DUMMYFUNCTION("""COMPUTED_VALUE"""),"9816")</f>
        <v>9816</v>
      </c>
      <c r="F44" s="140" t="str">
        <f>IFERROR(__xludf.DUMMYFUNCTION("""COMPUTED_VALUE"""),"010/2026")</f>
        <v>010/2026</v>
      </c>
      <c r="G44" s="140" t="str">
        <f>IFERROR(__xludf.DUMMYFUNCTION("""COMPUTED_VALUE"""),"03/02")</f>
        <v>03/02</v>
      </c>
      <c r="H44" s="140" t="str">
        <f>IFERROR(__xludf.DUMMYFUNCTION("""COMPUTED_VALUE"""),"04/02")</f>
        <v>04/02</v>
      </c>
      <c r="I44" s="140" t="str">
        <f>IFERROR(__xludf.DUMMYFUNCTION("""COMPUTED_VALUE"""),"09/02")</f>
        <v>09/02</v>
      </c>
      <c r="J44" s="140" t="str">
        <f>IFERROR(__xludf.DUMMYFUNCTION("""COMPUTED_VALUE"""),"*")</f>
        <v>*</v>
      </c>
      <c r="K44" s="140" t="str">
        <f>IFERROR(__xludf.DUMMYFUNCTION("""COMPUTED_VALUE"""),"12/02")</f>
        <v>12/02</v>
      </c>
      <c r="L44" s="140" t="str">
        <f>IFERROR(__xludf.DUMMYFUNCTION("""COMPUTED_VALUE"""),"12/02")</f>
        <v>12/02</v>
      </c>
      <c r="M44" s="140" t="str">
        <f>IFERROR(__xludf.DUMMYFUNCTION("""COMPUTED_VALUE"""),"12/02")</f>
        <v>12/02</v>
      </c>
      <c r="N44" s="140" t="str">
        <f>IFERROR(__xludf.DUMMYFUNCTION("""COMPUTED_VALUE"""),"12/02")</f>
        <v>12/02</v>
      </c>
      <c r="O44" s="140" t="str">
        <f>IFERROR(__xludf.DUMMYFUNCTION("""COMPUTED_VALUE"""),"12/02")</f>
        <v>12/02</v>
      </c>
      <c r="P44" s="140" t="str">
        <f>IFERROR(__xludf.DUMMYFUNCTION("""COMPUTED_VALUE"""),"13/02")</f>
        <v>13/02</v>
      </c>
      <c r="Q44" s="140" t="str">
        <f>IFERROR(__xludf.DUMMYFUNCTION("""COMPUTED_VALUE"""),"13/02")</f>
        <v>13/02</v>
      </c>
      <c r="R44" s="140" t="str">
        <f>IFERROR(__xludf.DUMMYFUNCTION("""COMPUTED_VALUE"""),"13/02")</f>
        <v>13/02</v>
      </c>
      <c r="S44" s="140" t="str">
        <f>IFERROR(__xludf.DUMMYFUNCTION("""COMPUTED_VALUE"""),"13/02")</f>
        <v>13/02</v>
      </c>
      <c r="T44" s="140" t="str">
        <f>IFERROR(__xludf.DUMMYFUNCTION("""COMPUTED_VALUE"""),"23/02")</f>
        <v>23/02</v>
      </c>
      <c r="U44" s="140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40"/>
      <c r="W44" s="140"/>
      <c r="X44" s="140"/>
      <c r="Y44" s="140"/>
      <c r="Z44" s="140"/>
    </row>
    <row r="45" hidden="1">
      <c r="A45" s="140" t="str">
        <f>IFERROR(__xludf.DUMMYFUNCTION("""COMPUTED_VALUE"""),"VEE ONE")</f>
        <v>VEE ONE</v>
      </c>
      <c r="B45" s="140" t="str">
        <f>IFERROR(__xludf.DUMMYFUNCTION("""COMPUTED_VALUE"""),"BABR")</f>
        <v>BABR</v>
      </c>
      <c r="C45" s="140" t="str">
        <f>IFERROR(__xludf.DUMMYFUNCTION("""COMPUTED_VALUE"""),"3122678-04")</f>
        <v>3122678-04</v>
      </c>
      <c r="D45" s="140" t="str">
        <f>IFERROR(__xludf.DUMMYFUNCTION("""COMPUTED_VALUE"""),"FUEL CONTROL UNIT")</f>
        <v>FUEL CONTROL UNIT</v>
      </c>
      <c r="E45" s="140" t="str">
        <f>IFERROR(__xludf.DUMMYFUNCTION("""COMPUTED_VALUE"""),"C66221")</f>
        <v>C66221</v>
      </c>
      <c r="F45" s="140" t="str">
        <f>IFERROR(__xludf.DUMMYFUNCTION("""COMPUTED_VALUE"""),"012/2026")</f>
        <v>012/2026</v>
      </c>
      <c r="G45" s="140" t="str">
        <f>IFERROR(__xludf.DUMMYFUNCTION("""COMPUTED_VALUE"""),"23/02")</f>
        <v>23/02</v>
      </c>
      <c r="H45" s="140" t="str">
        <f>IFERROR(__xludf.DUMMYFUNCTION("""COMPUTED_VALUE"""),"23/02")</f>
        <v>23/02</v>
      </c>
      <c r="I45" s="140" t="str">
        <f>IFERROR(__xludf.DUMMYFUNCTION("""COMPUTED_VALUE"""),"23/02")</f>
        <v>23/02</v>
      </c>
      <c r="J45" s="140" t="str">
        <f>IFERROR(__xludf.DUMMYFUNCTION("""COMPUTED_VALUE"""),"24/02")</f>
        <v>24/02</v>
      </c>
      <c r="K45" s="140" t="str">
        <f>IFERROR(__xludf.DUMMYFUNCTION("""COMPUTED_VALUE"""),"24/02")</f>
        <v>24/02</v>
      </c>
      <c r="L45" s="140" t="str">
        <f>IFERROR(__xludf.DUMMYFUNCTION("""COMPUTED_VALUE"""),"24/02")</f>
        <v>24/02</v>
      </c>
      <c r="M45" s="140" t="str">
        <f>IFERROR(__xludf.DUMMYFUNCTION("""COMPUTED_VALUE"""),"24/02")</f>
        <v>24/02</v>
      </c>
      <c r="N45" s="140" t="str">
        <f>IFERROR(__xludf.DUMMYFUNCTION("""COMPUTED_VALUE"""),"24/02")</f>
        <v>24/02</v>
      </c>
      <c r="O45" s="140" t="str">
        <f>IFERROR(__xludf.DUMMYFUNCTION("""COMPUTED_VALUE"""),"25/02")</f>
        <v>25/02</v>
      </c>
      <c r="P45" s="140" t="str">
        <f>IFERROR(__xludf.DUMMYFUNCTION("""COMPUTED_VALUE"""),"25/02")</f>
        <v>25/02</v>
      </c>
      <c r="Q45" s="140" t="str">
        <f>IFERROR(__xludf.DUMMYFUNCTION("""COMPUTED_VALUE"""),"25/02")</f>
        <v>25/02</v>
      </c>
      <c r="R45" s="140" t="str">
        <f>IFERROR(__xludf.DUMMYFUNCTION("""COMPUTED_VALUE"""),"26/02")</f>
        <v>26/02</v>
      </c>
      <c r="S45" s="140" t="str">
        <f>IFERROR(__xludf.DUMMYFUNCTION("""COMPUTED_VALUE"""),"26/02")</f>
        <v>26/02</v>
      </c>
      <c r="T45" s="140" t="str">
        <f>IFERROR(__xludf.DUMMYFUNCTION("""COMPUTED_VALUE"""),"26/02")</f>
        <v>26/02</v>
      </c>
      <c r="U45" s="140"/>
      <c r="V45" s="140"/>
      <c r="W45" s="140"/>
      <c r="X45" s="140"/>
      <c r="Y45" s="140"/>
      <c r="Z45" s="140"/>
    </row>
    <row r="46" hidden="1">
      <c r="A46" s="140" t="str">
        <f>IFERROR(__xludf.DUMMYFUNCTION("""COMPUTED_VALUE"""),"VEE ONE")</f>
        <v>VEE ONE</v>
      </c>
      <c r="B46" s="140" t="str">
        <f>IFERROR(__xludf.DUMMYFUNCTION("""COMPUTED_VALUE"""),"BABE")</f>
        <v>BABE</v>
      </c>
      <c r="C46" s="140" t="str">
        <f>IFERROR(__xludf.DUMMYFUNCTION("""COMPUTED_VALUE"""),"324843-W020")</f>
        <v>324843-W020</v>
      </c>
      <c r="D46" s="140" t="str">
        <f>IFERROR(__xludf.DUMMYFUNCTION("""COMPUTED_VALUE"""),"HEADSET-MICROPHONE")</f>
        <v>HEADSET-MICROPHONE</v>
      </c>
      <c r="E46" s="140" t="str">
        <f>IFERROR(__xludf.DUMMYFUNCTION("""COMPUTED_VALUE"""),"073200G90080033AE")</f>
        <v>073200G90080033AE</v>
      </c>
      <c r="F46" s="140" t="str">
        <f>IFERROR(__xludf.DUMMYFUNCTION("""COMPUTED_VALUE"""),"001/2026")</f>
        <v>001/2026</v>
      </c>
      <c r="G46" s="140" t="str">
        <f>IFERROR(__xludf.DUMMYFUNCTION("""COMPUTED_VALUE"""),"14/01")</f>
        <v>14/01</v>
      </c>
      <c r="H46" s="140" t="str">
        <f>IFERROR(__xludf.DUMMYFUNCTION("""COMPUTED_VALUE"""),"09/02")</f>
        <v>09/02</v>
      </c>
      <c r="I46" s="140" t="str">
        <f>IFERROR(__xludf.DUMMYFUNCTION("""COMPUTED_VALUE"""),"12/02")</f>
        <v>12/02</v>
      </c>
      <c r="J46" s="140" t="str">
        <f>IFERROR(__xludf.DUMMYFUNCTION("""COMPUTED_VALUE"""),"13/02")</f>
        <v>13/02</v>
      </c>
      <c r="K46" s="140" t="str">
        <f>IFERROR(__xludf.DUMMYFUNCTION("""COMPUTED_VALUE"""),"13/02")</f>
        <v>13/02</v>
      </c>
      <c r="L46" s="140" t="str">
        <f>IFERROR(__xludf.DUMMYFUNCTION("""COMPUTED_VALUE"""),"13/02")</f>
        <v>13/02</v>
      </c>
      <c r="M46" s="140" t="str">
        <f>IFERROR(__xludf.DUMMYFUNCTION("""COMPUTED_VALUE"""),"13/02")</f>
        <v>13/02</v>
      </c>
      <c r="N46" s="140" t="str">
        <f>IFERROR(__xludf.DUMMYFUNCTION("""COMPUTED_VALUE"""),"13/02")</f>
        <v>13/02</v>
      </c>
      <c r="O46" s="140" t="str">
        <f>IFERROR(__xludf.DUMMYFUNCTION("""COMPUTED_VALUE"""),"13/02")</f>
        <v>13/02</v>
      </c>
      <c r="P46" s="140" t="str">
        <f>IFERROR(__xludf.DUMMYFUNCTION("""COMPUTED_VALUE"""),"13/02")</f>
        <v>13/02</v>
      </c>
      <c r="Q46" s="140" t="str">
        <f>IFERROR(__xludf.DUMMYFUNCTION("""COMPUTED_VALUE"""),"13/02 e 09/03")</f>
        <v>13/02 e 09/03</v>
      </c>
      <c r="R46" s="140" t="str">
        <f>IFERROR(__xludf.DUMMYFUNCTION("""COMPUTED_VALUE"""),"09/03")</f>
        <v>09/03</v>
      </c>
      <c r="S46" s="140" t="str">
        <f>IFERROR(__xludf.DUMMYFUNCTION("""COMPUTED_VALUE"""),"09/03")</f>
        <v>09/03</v>
      </c>
      <c r="T46" s="140" t="str">
        <f>IFERROR(__xludf.DUMMYFUNCTION("""COMPUTED_VALUE"""),"10/03")</f>
        <v>10/03</v>
      </c>
      <c r="U46" s="140"/>
      <c r="V46" s="140"/>
      <c r="W46" s="140"/>
      <c r="X46" s="140"/>
      <c r="Y46" s="140"/>
      <c r="Z46" s="140"/>
    </row>
    <row r="47" hidden="1">
      <c r="A47" s="140" t="str">
        <f>IFERROR(__xludf.DUMMYFUNCTION("""COMPUTED_VALUE"""),"VEE ONE")</f>
        <v>VEE ONE</v>
      </c>
      <c r="B47" s="140" t="str">
        <f>IFERROR(__xludf.DUMMYFUNCTION("""COMPUTED_VALUE"""),"BABE")</f>
        <v>BABE</v>
      </c>
      <c r="C47" s="140" t="str">
        <f>IFERROR(__xludf.DUMMYFUNCTION("""COMPUTED_VALUE"""),"324843-W020")</f>
        <v>324843-W020</v>
      </c>
      <c r="D47" s="140" t="str">
        <f>IFERROR(__xludf.DUMMYFUNCTION("""COMPUTED_VALUE"""),"HEADSET-MICROPHONE")</f>
        <v>HEADSET-MICROPHONE</v>
      </c>
      <c r="E47" s="140" t="str">
        <f>IFERROR(__xludf.DUMMYFUNCTION("""COMPUTED_VALUE"""),"073200G71030087AE")</f>
        <v>073200G71030087AE</v>
      </c>
      <c r="F47" s="140" t="str">
        <f>IFERROR(__xludf.DUMMYFUNCTION("""COMPUTED_VALUE"""),"001/2026")</f>
        <v>001/2026</v>
      </c>
      <c r="G47" s="140" t="str">
        <f>IFERROR(__xludf.DUMMYFUNCTION("""COMPUTED_VALUE"""),"14/01")</f>
        <v>14/01</v>
      </c>
      <c r="H47" s="140" t="str">
        <f>IFERROR(__xludf.DUMMYFUNCTION("""COMPUTED_VALUE"""),"09/02")</f>
        <v>09/02</v>
      </c>
      <c r="I47" s="140" t="str">
        <f>IFERROR(__xludf.DUMMYFUNCTION("""COMPUTED_VALUE"""),"12/02")</f>
        <v>12/02</v>
      </c>
      <c r="J47" s="140" t="str">
        <f>IFERROR(__xludf.DUMMYFUNCTION("""COMPUTED_VALUE"""),"13/02")</f>
        <v>13/02</v>
      </c>
      <c r="K47" s="140" t="str">
        <f>IFERROR(__xludf.DUMMYFUNCTION("""COMPUTED_VALUE"""),"13/02")</f>
        <v>13/02</v>
      </c>
      <c r="L47" s="140" t="str">
        <f>IFERROR(__xludf.DUMMYFUNCTION("""COMPUTED_VALUE"""),"13/02")</f>
        <v>13/02</v>
      </c>
      <c r="M47" s="140" t="str">
        <f>IFERROR(__xludf.DUMMYFUNCTION("""COMPUTED_VALUE"""),"13/02")</f>
        <v>13/02</v>
      </c>
      <c r="N47" s="140" t="str">
        <f>IFERROR(__xludf.DUMMYFUNCTION("""COMPUTED_VALUE"""),"13/02")</f>
        <v>13/02</v>
      </c>
      <c r="O47" s="140" t="str">
        <f>IFERROR(__xludf.DUMMYFUNCTION("""COMPUTED_VALUE"""),"13/02")</f>
        <v>13/02</v>
      </c>
      <c r="P47" s="140" t="str">
        <f>IFERROR(__xludf.DUMMYFUNCTION("""COMPUTED_VALUE"""),"13/02")</f>
        <v>13/02</v>
      </c>
      <c r="Q47" s="140" t="str">
        <f>IFERROR(__xludf.DUMMYFUNCTION("""COMPUTED_VALUE"""),"13/02 e 09/03")</f>
        <v>13/02 e 09/03</v>
      </c>
      <c r="R47" s="140" t="str">
        <f>IFERROR(__xludf.DUMMYFUNCTION("""COMPUTED_VALUE"""),"09/03")</f>
        <v>09/03</v>
      </c>
      <c r="S47" s="140" t="str">
        <f>IFERROR(__xludf.DUMMYFUNCTION("""COMPUTED_VALUE"""),"09/03")</f>
        <v>09/03</v>
      </c>
      <c r="T47" s="140" t="str">
        <f>IFERROR(__xludf.DUMMYFUNCTION("""COMPUTED_VALUE"""),"10/03")</f>
        <v>10/03</v>
      </c>
      <c r="U47" s="140"/>
      <c r="V47" s="140"/>
      <c r="W47" s="140"/>
      <c r="X47" s="140"/>
      <c r="Y47" s="140"/>
      <c r="Z47" s="140"/>
    </row>
    <row r="48" hidden="1">
      <c r="A48" s="140" t="str">
        <f>IFERROR(__xludf.DUMMYFUNCTION("""COMPUTED_VALUE"""),"VEE ONE")</f>
        <v>VEE ONE</v>
      </c>
      <c r="B48" s="140" t="str">
        <f>IFERROR(__xludf.DUMMYFUNCTION("""COMPUTED_VALUE"""),"BABE")</f>
        <v>BABE</v>
      </c>
      <c r="C48" s="140" t="str">
        <f>IFERROR(__xludf.DUMMYFUNCTION("""COMPUTED_VALUE"""),"324843-W020")</f>
        <v>324843-W020</v>
      </c>
      <c r="D48" s="140" t="str">
        <f>IFERROR(__xludf.DUMMYFUNCTION("""COMPUTED_VALUE"""),"HEADSET-MICROPHONE")</f>
        <v>HEADSET-MICROPHONE</v>
      </c>
      <c r="E48" s="140" t="str">
        <f>IFERROR(__xludf.DUMMYFUNCTION("""COMPUTED_VALUE"""),"073200G71030096AE")</f>
        <v>073200G71030096AE</v>
      </c>
      <c r="F48" s="140" t="str">
        <f>IFERROR(__xludf.DUMMYFUNCTION("""COMPUTED_VALUE"""),"001/2026")</f>
        <v>001/2026</v>
      </c>
      <c r="G48" s="140" t="str">
        <f>IFERROR(__xludf.DUMMYFUNCTION("""COMPUTED_VALUE"""),"14/01")</f>
        <v>14/01</v>
      </c>
      <c r="H48" s="140" t="str">
        <f>IFERROR(__xludf.DUMMYFUNCTION("""COMPUTED_VALUE"""),"09/02")</f>
        <v>09/02</v>
      </c>
      <c r="I48" s="140" t="str">
        <f>IFERROR(__xludf.DUMMYFUNCTION("""COMPUTED_VALUE"""),"12/02")</f>
        <v>12/02</v>
      </c>
      <c r="J48" s="140" t="str">
        <f>IFERROR(__xludf.DUMMYFUNCTION("""COMPUTED_VALUE"""),"13/02")</f>
        <v>13/02</v>
      </c>
      <c r="K48" s="140" t="str">
        <f>IFERROR(__xludf.DUMMYFUNCTION("""COMPUTED_VALUE"""),"13/02")</f>
        <v>13/02</v>
      </c>
      <c r="L48" s="140" t="str">
        <f>IFERROR(__xludf.DUMMYFUNCTION("""COMPUTED_VALUE"""),"13/02")</f>
        <v>13/02</v>
      </c>
      <c r="M48" s="140" t="str">
        <f>IFERROR(__xludf.DUMMYFUNCTION("""COMPUTED_VALUE"""),"13/02")</f>
        <v>13/02</v>
      </c>
      <c r="N48" s="140" t="str">
        <f>IFERROR(__xludf.DUMMYFUNCTION("""COMPUTED_VALUE"""),"13/02")</f>
        <v>13/02</v>
      </c>
      <c r="O48" s="140" t="str">
        <f>IFERROR(__xludf.DUMMYFUNCTION("""COMPUTED_VALUE"""),"13/02")</f>
        <v>13/02</v>
      </c>
      <c r="P48" s="140" t="str">
        <f>IFERROR(__xludf.DUMMYFUNCTION("""COMPUTED_VALUE"""),"13/02")</f>
        <v>13/02</v>
      </c>
      <c r="Q48" s="140" t="str">
        <f>IFERROR(__xludf.DUMMYFUNCTION("""COMPUTED_VALUE"""),"13/02 e 09/03")</f>
        <v>13/02 e 09/03</v>
      </c>
      <c r="R48" s="140" t="str">
        <f>IFERROR(__xludf.DUMMYFUNCTION("""COMPUTED_VALUE"""),"09/03")</f>
        <v>09/03</v>
      </c>
      <c r="S48" s="140" t="str">
        <f>IFERROR(__xludf.DUMMYFUNCTION("""COMPUTED_VALUE"""),"09/03")</f>
        <v>09/03</v>
      </c>
      <c r="T48" s="140" t="str">
        <f>IFERROR(__xludf.DUMMYFUNCTION("""COMPUTED_VALUE"""),"10/03")</f>
        <v>10/03</v>
      </c>
      <c r="U48" s="140"/>
      <c r="V48" s="140"/>
      <c r="W48" s="140"/>
      <c r="X48" s="140"/>
      <c r="Y48" s="140"/>
      <c r="Z48" s="140"/>
    </row>
    <row r="49" hidden="1">
      <c r="A49" s="140" t="str">
        <f>IFERROR(__xludf.DUMMYFUNCTION("""COMPUTED_VALUE"""),"VEE ONE")</f>
        <v>VEE ONE</v>
      </c>
      <c r="B49" s="140" t="str">
        <f>IFERROR(__xludf.DUMMYFUNCTION("""COMPUTED_VALUE"""),"BABR")</f>
        <v>BABR</v>
      </c>
      <c r="C49" s="140" t="str">
        <f>IFERROR(__xludf.DUMMYFUNCTION("""COMPUTED_VALUE"""),"5934PAD-3")</f>
        <v>5934PAD-3</v>
      </c>
      <c r="D49" s="140" t="str">
        <f>IFERROR(__xludf.DUMMYFUNCTION("""COMPUTED_VALUE"""),"ALTIMETER")</f>
        <v>ALTIMETER</v>
      </c>
      <c r="E49" s="140" t="str">
        <f>IFERROR(__xludf.DUMMYFUNCTION("""COMPUTED_VALUE"""),"409496")</f>
        <v>409496</v>
      </c>
      <c r="F49" s="140" t="str">
        <f>IFERROR(__xludf.DUMMYFUNCTION("""COMPUTED_VALUE"""),"004/2025")</f>
        <v>004/2025</v>
      </c>
      <c r="G49" s="140" t="str">
        <f>IFERROR(__xludf.DUMMYFUNCTION("""COMPUTED_VALUE"""),"19/11")</f>
        <v>19/11</v>
      </c>
      <c r="H49" s="140" t="str">
        <f>IFERROR(__xludf.DUMMYFUNCTION("""COMPUTED_VALUE"""),"09/03/2026")</f>
        <v>09/03/2026</v>
      </c>
      <c r="I49" s="140" t="str">
        <f>IFERROR(__xludf.DUMMYFUNCTION("""COMPUTED_VALUE"""),"09/03")</f>
        <v>09/03</v>
      </c>
      <c r="J49" s="140" t="str">
        <f>IFERROR(__xludf.DUMMYFUNCTION("""COMPUTED_VALUE"""),"10/03")</f>
        <v>10/03</v>
      </c>
      <c r="K49" s="140" t="str">
        <f>IFERROR(__xludf.DUMMYFUNCTION("""COMPUTED_VALUE"""),"10/03")</f>
        <v>10/03</v>
      </c>
      <c r="L49" s="140" t="str">
        <f>IFERROR(__xludf.DUMMYFUNCTION("""COMPUTED_VALUE"""),"10/03")</f>
        <v>10/03</v>
      </c>
      <c r="M49" s="140" t="str">
        <f>IFERROR(__xludf.DUMMYFUNCTION("""COMPUTED_VALUE"""),"11/03")</f>
        <v>11/03</v>
      </c>
      <c r="N49" s="140" t="str">
        <f>IFERROR(__xludf.DUMMYFUNCTION("""COMPUTED_VALUE"""),"11/03")</f>
        <v>11/03</v>
      </c>
      <c r="O49" s="140" t="str">
        <f>IFERROR(__xludf.DUMMYFUNCTION("""COMPUTED_VALUE"""),"11/03")</f>
        <v>11/03</v>
      </c>
      <c r="P49" s="140" t="str">
        <f>IFERROR(__xludf.DUMMYFUNCTION("""COMPUTED_VALUE"""),"11/03")</f>
        <v>11/03</v>
      </c>
      <c r="Q49" s="140" t="str">
        <f>IFERROR(__xludf.DUMMYFUNCTION("""COMPUTED_VALUE"""),"11/03")</f>
        <v>11/03</v>
      </c>
      <c r="R49" s="140" t="str">
        <f>IFERROR(__xludf.DUMMYFUNCTION("""COMPUTED_VALUE"""),"12/03")</f>
        <v>12/03</v>
      </c>
      <c r="S49" s="140" t="str">
        <f>IFERROR(__xludf.DUMMYFUNCTION("""COMPUTED_VALUE"""),"12/03")</f>
        <v>12/03</v>
      </c>
      <c r="T49" s="140" t="str">
        <f>IFERROR(__xludf.DUMMYFUNCTION("""COMPUTED_VALUE"""),"12/03")</f>
        <v>12/03</v>
      </c>
      <c r="U49" s="140"/>
      <c r="V49" s="140"/>
      <c r="W49" s="140"/>
      <c r="X49" s="140"/>
      <c r="Y49" s="140"/>
      <c r="Z49" s="140"/>
    </row>
    <row r="50" hidden="1">
      <c r="A50" s="140" t="str">
        <f>IFERROR(__xludf.DUMMYFUNCTION("""COMPUTED_VALUE"""),"VEE ONE")</f>
        <v>VEE ONE</v>
      </c>
      <c r="B50" s="140" t="str">
        <f>IFERROR(__xludf.DUMMYFUNCTION("""COMPUTED_VALUE"""),"EEAR")</f>
        <v>EEAR</v>
      </c>
      <c r="C50" s="140" t="str">
        <f>IFERROR(__xludf.DUMMYFUNCTION("""COMPUTED_VALUE"""),"3034792")</f>
        <v>3034792</v>
      </c>
      <c r="D50" s="140" t="str">
        <f>IFERROR(__xludf.DUMMYFUNCTION("""COMPUTED_VALUE"""),"BOMBA DE COMBUSTÍVEL")</f>
        <v>BOMBA DE COMBUSTÍVEL</v>
      </c>
      <c r="E50" s="140" t="str">
        <f>IFERROR(__xludf.DUMMYFUNCTION("""COMPUTED_VALUE"""),"004201")</f>
        <v>004201</v>
      </c>
      <c r="F50" s="140" t="str">
        <f>IFERROR(__xludf.DUMMYFUNCTION("""COMPUTED_VALUE"""),"*")</f>
        <v>*</v>
      </c>
      <c r="G50" s="140" t="str">
        <f>IFERROR(__xludf.DUMMYFUNCTION("""COMPUTED_VALUE"""),"12/03/2026")</f>
        <v>12/03/2026</v>
      </c>
      <c r="H50" s="140" t="str">
        <f>IFERROR(__xludf.DUMMYFUNCTION("""COMPUTED_VALUE"""),"17/03")</f>
        <v>17/03</v>
      </c>
      <c r="I50" s="140" t="str">
        <f>IFERROR(__xludf.DUMMYFUNCTION("""COMPUTED_VALUE"""),"*")</f>
        <v>*</v>
      </c>
      <c r="J50" s="140" t="str">
        <f>IFERROR(__xludf.DUMMYFUNCTION("""COMPUTED_VALUE"""),"17/03")</f>
        <v>17/03</v>
      </c>
      <c r="K50" s="140" t="str">
        <f>IFERROR(__xludf.DUMMYFUNCTION("""COMPUTED_VALUE"""),"17/03")</f>
        <v>17/03</v>
      </c>
      <c r="L50" s="140" t="str">
        <f>IFERROR(__xludf.DUMMYFUNCTION("""COMPUTED_VALUE"""),"17/03")</f>
        <v>17/03</v>
      </c>
      <c r="M50" s="140" t="str">
        <f>IFERROR(__xludf.DUMMYFUNCTION("""COMPUTED_VALUE"""),"17/03")</f>
        <v>17/03</v>
      </c>
      <c r="N50" s="140" t="str">
        <f>IFERROR(__xludf.DUMMYFUNCTION("""COMPUTED_VALUE"""),"17/03")</f>
        <v>17/03</v>
      </c>
      <c r="O50" s="140" t="str">
        <f>IFERROR(__xludf.DUMMYFUNCTION("""COMPUTED_VALUE"""),"17/03")</f>
        <v>17/03</v>
      </c>
      <c r="P50" s="140" t="str">
        <f>IFERROR(__xludf.DUMMYFUNCTION("""COMPUTED_VALUE"""),"24/03")</f>
        <v>24/03</v>
      </c>
      <c r="Q50" s="140" t="str">
        <f>IFERROR(__xludf.DUMMYFUNCTION("""COMPUTED_VALUE"""),"24/03")</f>
        <v>24/03</v>
      </c>
      <c r="R50" s="140" t="str">
        <f>IFERROR(__xludf.DUMMYFUNCTION("""COMPUTED_VALUE"""),"24/03")</f>
        <v>24/03</v>
      </c>
      <c r="S50" s="140" t="str">
        <f>IFERROR(__xludf.DUMMYFUNCTION("""COMPUTED_VALUE"""),"24/03")</f>
        <v>24/03</v>
      </c>
      <c r="T50" s="140" t="str">
        <f>IFERROR(__xludf.DUMMYFUNCTION("""COMPUTED_VALUE"""),"24/03")</f>
        <v>24/03</v>
      </c>
      <c r="U50" s="140"/>
      <c r="V50" s="140"/>
      <c r="W50" s="140"/>
      <c r="X50" s="140"/>
      <c r="Y50" s="140"/>
      <c r="Z50" s="140"/>
    </row>
    <row r="51" hidden="1">
      <c r="A51" s="140" t="str">
        <f>IFERROR(__xludf.DUMMYFUNCTION("""COMPUTED_VALUE"""),"VEE ONE")</f>
        <v>VEE ONE</v>
      </c>
      <c r="B51" s="140" t="str">
        <f>IFERROR(__xludf.DUMMYFUNCTION("""COMPUTED_VALUE"""),"BABR")</f>
        <v>BABR</v>
      </c>
      <c r="C51" s="140" t="str">
        <f>IFERROR(__xludf.DUMMYFUNCTION("""COMPUTED_VALUE"""),"2606013-1RX")</f>
        <v>2606013-1RX</v>
      </c>
      <c r="D51" s="140" t="str">
        <f>IFERROR(__xludf.DUMMYFUNCTION("""COMPUTED_VALUE"""),"INDICATOR-PERCENT RPM")</f>
        <v>INDICATOR-PERCENT RPM</v>
      </c>
      <c r="E51" s="140" t="str">
        <f>IFERROR(__xludf.DUMMYFUNCTION("""COMPUTED_VALUE"""),"857939")</f>
        <v>857939</v>
      </c>
      <c r="F51" s="140" t="str">
        <f>IFERROR(__xludf.DUMMYFUNCTION("""COMPUTED_VALUE"""),"011/2026")</f>
        <v>011/2026</v>
      </c>
      <c r="G51" s="140" t="str">
        <f>IFERROR(__xludf.DUMMYFUNCTION("""COMPUTED_VALUE"""),"19/02")</f>
        <v>19/02</v>
      </c>
      <c r="H51" s="140" t="str">
        <f>IFERROR(__xludf.DUMMYFUNCTION("""COMPUTED_VALUE"""),"19/02")</f>
        <v>19/02</v>
      </c>
      <c r="I51" s="140" t="str">
        <f>IFERROR(__xludf.DUMMYFUNCTION("""COMPUTED_VALUE"""),"20/02")</f>
        <v>20/02</v>
      </c>
      <c r="J51" s="140" t="str">
        <f>IFERROR(__xludf.DUMMYFUNCTION("""COMPUTED_VALUE"""),"26/02")</f>
        <v>26/02</v>
      </c>
      <c r="K51" s="140" t="str">
        <f>IFERROR(__xludf.DUMMYFUNCTION("""COMPUTED_VALUE"""),"27/02")</f>
        <v>27/02</v>
      </c>
      <c r="L51" s="140" t="str">
        <f>IFERROR(__xludf.DUMMYFUNCTION("""COMPUTED_VALUE"""),"02/03 e 26/03")</f>
        <v>02/03 e 26/03</v>
      </c>
      <c r="M51" s="140" t="str">
        <f>IFERROR(__xludf.DUMMYFUNCTION("""COMPUTED_VALUE"""),"26/03")</f>
        <v>26/03</v>
      </c>
      <c r="N51" s="140" t="str">
        <f>IFERROR(__xludf.DUMMYFUNCTION("""COMPUTED_VALUE"""),"26/03")</f>
        <v>26/03</v>
      </c>
      <c r="O51" s="140" t="str">
        <f>IFERROR(__xludf.DUMMYFUNCTION("""COMPUTED_VALUE"""),"26/03")</f>
        <v>26/03</v>
      </c>
      <c r="P51" s="140" t="str">
        <f>IFERROR(__xludf.DUMMYFUNCTION("""COMPUTED_VALUE"""),"26/03")</f>
        <v>26/03</v>
      </c>
      <c r="Q51" s="140" t="str">
        <f>IFERROR(__xludf.DUMMYFUNCTION("""COMPUTED_VALUE"""),"26/03")</f>
        <v>26/03</v>
      </c>
      <c r="R51" s="140" t="str">
        <f>IFERROR(__xludf.DUMMYFUNCTION("""COMPUTED_VALUE"""),"26/03")</f>
        <v>26/03</v>
      </c>
      <c r="S51" s="140" t="str">
        <f>IFERROR(__xludf.DUMMYFUNCTION("""COMPUTED_VALUE"""),"26/03")</f>
        <v>26/03</v>
      </c>
      <c r="T51" s="140" t="str">
        <f>IFERROR(__xludf.DUMMYFUNCTION("""COMPUTED_VALUE"""),"30/03")</f>
        <v>30/03</v>
      </c>
      <c r="U51" s="140"/>
      <c r="V51" s="140"/>
      <c r="W51" s="140"/>
      <c r="X51" s="140"/>
      <c r="Y51" s="140"/>
      <c r="Z51" s="140"/>
    </row>
    <row r="52" hidden="1">
      <c r="A52" s="140" t="str">
        <f>IFERROR(__xludf.DUMMYFUNCTION("""COMPUTED_VALUE"""),"VEE ONE")</f>
        <v>VEE ONE</v>
      </c>
      <c r="B52" s="140" t="str">
        <f>IFERROR(__xludf.DUMMYFUNCTION("""COMPUTED_VALUE"""),"BABR")</f>
        <v>BABR</v>
      </c>
      <c r="C52" s="140" t="str">
        <f>IFERROR(__xludf.DUMMYFUNCTION("""COMPUTED_VALUE"""),"3034792")</f>
        <v>3034792</v>
      </c>
      <c r="D52" s="140" t="str">
        <f>IFERROR(__xludf.DUMMYFUNCTION("""COMPUTED_VALUE"""),"BOMBA DE COMBUSTÍVEL")</f>
        <v>BOMBA DE COMBUSTÍVEL</v>
      </c>
      <c r="E52" s="140" t="str">
        <f>IFERROR(__xludf.DUMMYFUNCTION("""COMPUTED_VALUE"""),"004207")</f>
        <v>004207</v>
      </c>
      <c r="F52" s="140" t="str">
        <f>IFERROR(__xludf.DUMMYFUNCTION("""COMPUTED_VALUE"""),"013/2026")</f>
        <v>013/2026</v>
      </c>
      <c r="G52" s="140" t="str">
        <f>IFERROR(__xludf.DUMMYFUNCTION("""COMPUTED_VALUE"""),"20/03")</f>
        <v>20/03</v>
      </c>
      <c r="H52" s="140" t="str">
        <f>IFERROR(__xludf.DUMMYFUNCTION("""COMPUTED_VALUE"""),"24/03")</f>
        <v>24/03</v>
      </c>
      <c r="I52" s="140" t="str">
        <f>IFERROR(__xludf.DUMMYFUNCTION("""COMPUTED_VALUE"""),"24/03")</f>
        <v>24/03</v>
      </c>
      <c r="J52" s="140" t="str">
        <f>IFERROR(__xludf.DUMMYFUNCTION("""COMPUTED_VALUE"""),"24/03")</f>
        <v>24/03</v>
      </c>
      <c r="K52" s="140" t="str">
        <f>IFERROR(__xludf.DUMMYFUNCTION("""COMPUTED_VALUE"""),"24/03")</f>
        <v>24/03</v>
      </c>
      <c r="L52" s="140" t="str">
        <f>IFERROR(__xludf.DUMMYFUNCTION("""COMPUTED_VALUE"""),"24/03")</f>
        <v>24/03</v>
      </c>
      <c r="M52" s="140" t="str">
        <f>IFERROR(__xludf.DUMMYFUNCTION("""COMPUTED_VALUE"""),"24/03")</f>
        <v>24/03</v>
      </c>
      <c r="N52" s="140" t="str">
        <f>IFERROR(__xludf.DUMMYFUNCTION("""COMPUTED_VALUE"""),"24/03")</f>
        <v>24/03</v>
      </c>
      <c r="O52" s="140" t="str">
        <f>IFERROR(__xludf.DUMMYFUNCTION("""COMPUTED_VALUE"""),"24/03")</f>
        <v>24/03</v>
      </c>
      <c r="P52" s="140" t="str">
        <f>IFERROR(__xludf.DUMMYFUNCTION("""COMPUTED_VALUE"""),"26/03")</f>
        <v>26/03</v>
      </c>
      <c r="Q52" s="140" t="str">
        <f>IFERROR(__xludf.DUMMYFUNCTION("""COMPUTED_VALUE"""),"26/03")</f>
        <v>26/03</v>
      </c>
      <c r="R52" s="140" t="str">
        <f>IFERROR(__xludf.DUMMYFUNCTION("""COMPUTED_VALUE"""),"26/03")</f>
        <v>26/03</v>
      </c>
      <c r="S52" s="140" t="str">
        <f>IFERROR(__xludf.DUMMYFUNCTION("""COMPUTED_VALUE"""),"26/03")</f>
        <v>26/03</v>
      </c>
      <c r="T52" s="140" t="str">
        <f>IFERROR(__xludf.DUMMYFUNCTION("""COMPUTED_VALUE"""),"30/03")</f>
        <v>30/03</v>
      </c>
      <c r="U52" s="140"/>
      <c r="V52" s="140"/>
      <c r="W52" s="140"/>
      <c r="X52" s="140"/>
      <c r="Y52" s="140"/>
      <c r="Z52" s="140"/>
    </row>
    <row r="53" hidden="1">
      <c r="A53" s="140" t="str">
        <f>IFERROR(__xludf.DUMMYFUNCTION("""COMPUTED_VALUE"""),"VEE ONE")</f>
        <v>VEE ONE</v>
      </c>
      <c r="B53" s="140" t="str">
        <f>IFERROR(__xludf.DUMMYFUNCTION("""COMPUTED_VALUE"""),"BACG")</f>
        <v>BACG</v>
      </c>
      <c r="C53" s="140" t="str">
        <f>IFERROR(__xludf.DUMMYFUNCTION("""COMPUTED_VALUE"""),"162-10700")</f>
        <v>162-10700</v>
      </c>
      <c r="D53" s="140" t="str">
        <f>IFERROR(__xludf.DUMMYFUNCTION("""COMPUTED_VALUE"""),"WHEEL HALF ASSY")</f>
        <v>WHEEL HALF ASSY</v>
      </c>
      <c r="E53" s="140" t="str">
        <f>IFERROR(__xludf.DUMMYFUNCTION("""COMPUTED_VALUE"""),"15")</f>
        <v>15</v>
      </c>
      <c r="F53" s="140" t="str">
        <f>IFERROR(__xludf.DUMMYFUNCTION("""COMPUTED_VALUE"""),"009/2025")</f>
        <v>009/2025</v>
      </c>
      <c r="G53" s="140" t="str">
        <f>IFERROR(__xludf.DUMMYFUNCTION("""COMPUTED_VALUE"""),"22/10")</f>
        <v>22/10</v>
      </c>
      <c r="H53" s="140" t="str">
        <f>IFERROR(__xludf.DUMMYFUNCTION("""COMPUTED_VALUE"""),"24/10")</f>
        <v>24/10</v>
      </c>
      <c r="I53" s="140" t="str">
        <f>IFERROR(__xludf.DUMMYFUNCTION("""COMPUTED_VALUE"""),"29/10")</f>
        <v>29/10</v>
      </c>
      <c r="J53" s="140" t="str">
        <f>IFERROR(__xludf.DUMMYFUNCTION("""COMPUTED_VALUE"""),"26/02")</f>
        <v>26/02</v>
      </c>
      <c r="K53" s="140" t="str">
        <f>IFERROR(__xludf.DUMMYFUNCTION("""COMPUTED_VALUE"""),"02/03")</f>
        <v>02/03</v>
      </c>
      <c r="L53" s="140" t="str">
        <f>IFERROR(__xludf.DUMMYFUNCTION("""COMPUTED_VALUE"""),"02/03 e 26/03")</f>
        <v>02/03 e 26/03</v>
      </c>
      <c r="M53" s="140" t="str">
        <f>IFERROR(__xludf.DUMMYFUNCTION("""COMPUTED_VALUE"""),"26/03")</f>
        <v>26/03</v>
      </c>
      <c r="N53" s="140" t="str">
        <f>IFERROR(__xludf.DUMMYFUNCTION("""COMPUTED_VALUE"""),"26/03")</f>
        <v>26/03</v>
      </c>
      <c r="O53" s="140" t="str">
        <f>IFERROR(__xludf.DUMMYFUNCTION("""COMPUTED_VALUE"""),"26/03")</f>
        <v>26/03</v>
      </c>
      <c r="P53" s="140" t="str">
        <f>IFERROR(__xludf.DUMMYFUNCTION("""COMPUTED_VALUE"""),"26/03")</f>
        <v>26/03</v>
      </c>
      <c r="Q53" s="140" t="str">
        <f>IFERROR(__xludf.DUMMYFUNCTION("""COMPUTED_VALUE"""),"26/03")</f>
        <v>26/03</v>
      </c>
      <c r="R53" s="140" t="str">
        <f>IFERROR(__xludf.DUMMYFUNCTION("""COMPUTED_VALUE"""),"26/03")</f>
        <v>26/03</v>
      </c>
      <c r="S53" s="140" t="str">
        <f>IFERROR(__xludf.DUMMYFUNCTION("""COMPUTED_VALUE"""),"26/03 e 07/04")</f>
        <v>26/03 e 07/04</v>
      </c>
      <c r="T53" s="140" t="str">
        <f>IFERROR(__xludf.DUMMYFUNCTION("""COMPUTED_VALUE"""),"08/04")</f>
        <v>08/04</v>
      </c>
      <c r="U53" s="140" t="str">
        <f>IFERROR(__xludf.DUMMYFUNCTION("""COMPUTED_VALUE"""),"Agd certificado corrigido da Vee One")</f>
        <v>Agd certificado corrigido da Vee One</v>
      </c>
      <c r="V53" s="140"/>
      <c r="W53" s="140"/>
      <c r="X53" s="140"/>
      <c r="Y53" s="140"/>
      <c r="Z53" s="140"/>
    </row>
    <row r="54" hidden="1">
      <c r="A54" s="140" t="str">
        <f>IFERROR(__xludf.DUMMYFUNCTION("""COMPUTED_VALUE"""),"VEE ONE")</f>
        <v>VEE ONE</v>
      </c>
      <c r="B54" s="140" t="str">
        <f>IFERROR(__xludf.DUMMYFUNCTION("""COMPUTED_VALUE"""),"BACG")</f>
        <v>BACG</v>
      </c>
      <c r="C54" s="140" t="str">
        <f>IFERROR(__xludf.DUMMYFUNCTION("""COMPUTED_VALUE"""),"161-11700")</f>
        <v>161-11700</v>
      </c>
      <c r="D54" s="140" t="str">
        <f>IFERROR(__xludf.DUMMYFUNCTION("""COMPUTED_VALUE"""),"WHEEL HALF ASSY")</f>
        <v>WHEEL HALF ASSY</v>
      </c>
      <c r="E54" s="140" t="str">
        <f>IFERROR(__xludf.DUMMYFUNCTION("""COMPUTED_VALUE"""),"783")</f>
        <v>783</v>
      </c>
      <c r="F54" s="140" t="str">
        <f>IFERROR(__xludf.DUMMYFUNCTION("""COMPUTED_VALUE"""),"009/2025")</f>
        <v>009/2025</v>
      </c>
      <c r="G54" s="140" t="str">
        <f>IFERROR(__xludf.DUMMYFUNCTION("""COMPUTED_VALUE"""),"22/10")</f>
        <v>22/10</v>
      </c>
      <c r="H54" s="140" t="str">
        <f>IFERROR(__xludf.DUMMYFUNCTION("""COMPUTED_VALUE"""),"24/10")</f>
        <v>24/10</v>
      </c>
      <c r="I54" s="140" t="str">
        <f>IFERROR(__xludf.DUMMYFUNCTION("""COMPUTED_VALUE"""),"29/10")</f>
        <v>29/10</v>
      </c>
      <c r="J54" s="140" t="str">
        <f>IFERROR(__xludf.DUMMYFUNCTION("""COMPUTED_VALUE"""),"26/02")</f>
        <v>26/02</v>
      </c>
      <c r="K54" s="140" t="str">
        <f>IFERROR(__xludf.DUMMYFUNCTION("""COMPUTED_VALUE"""),"27/02")</f>
        <v>27/02</v>
      </c>
      <c r="L54" s="140" t="str">
        <f>IFERROR(__xludf.DUMMYFUNCTION("""COMPUTED_VALUE"""),"26/03")</f>
        <v>26/03</v>
      </c>
      <c r="M54" s="140" t="str">
        <f>IFERROR(__xludf.DUMMYFUNCTION("""COMPUTED_VALUE"""),"26/03")</f>
        <v>26/03</v>
      </c>
      <c r="N54" s="140" t="str">
        <f>IFERROR(__xludf.DUMMYFUNCTION("""COMPUTED_VALUE"""),"26/03")</f>
        <v>26/03</v>
      </c>
      <c r="O54" s="140" t="str">
        <f>IFERROR(__xludf.DUMMYFUNCTION("""COMPUTED_VALUE"""),"26/03")</f>
        <v>26/03</v>
      </c>
      <c r="P54" s="140" t="str">
        <f>IFERROR(__xludf.DUMMYFUNCTION("""COMPUTED_VALUE"""),"26/03")</f>
        <v>26/03</v>
      </c>
      <c r="Q54" s="140" t="str">
        <f>IFERROR(__xludf.DUMMYFUNCTION("""COMPUTED_VALUE"""),"26/03")</f>
        <v>26/03</v>
      </c>
      <c r="R54" s="140" t="str">
        <f>IFERROR(__xludf.DUMMYFUNCTION("""COMPUTED_VALUE"""),"26/03")</f>
        <v>26/03</v>
      </c>
      <c r="S54" s="140" t="str">
        <f>IFERROR(__xludf.DUMMYFUNCTION("""COMPUTED_VALUE"""),"26/03 e 07/04")</f>
        <v>26/03 e 07/04</v>
      </c>
      <c r="T54" s="140" t="str">
        <f>IFERROR(__xludf.DUMMYFUNCTION("""COMPUTED_VALUE"""),"08/04")</f>
        <v>08/04</v>
      </c>
      <c r="U54" s="140"/>
      <c r="V54" s="140"/>
      <c r="W54" s="140"/>
      <c r="X54" s="140"/>
      <c r="Y54" s="140"/>
      <c r="Z54" s="140"/>
    </row>
    <row r="55" hidden="1">
      <c r="A55" s="140" t="str">
        <f>IFERROR(__xludf.DUMMYFUNCTION("""COMPUTED_VALUE"""),"VEE ONE")</f>
        <v>VEE ONE</v>
      </c>
      <c r="B55" s="140" t="str">
        <f>IFERROR(__xludf.DUMMYFUNCTION("""COMPUTED_VALUE"""),"BACG")</f>
        <v>BACG</v>
      </c>
      <c r="C55" s="140" t="str">
        <f>IFERROR(__xludf.DUMMYFUNCTION("""COMPUTED_VALUE"""),"066-1070-01")</f>
        <v>066-1070-01</v>
      </c>
      <c r="D55" s="140" t="str">
        <f>IFERROR(__xludf.DUMMYFUNCTION("""COMPUTED_VALUE"""),"TRANSCEIVER DME (KN63)")</f>
        <v>TRANSCEIVER DME (KN63)</v>
      </c>
      <c r="E55" s="140" t="str">
        <f>IFERROR(__xludf.DUMMYFUNCTION("""COMPUTED_VALUE"""),"15285")</f>
        <v>15285</v>
      </c>
      <c r="F55" s="140" t="str">
        <f>IFERROR(__xludf.DUMMYFUNCTION("""COMPUTED_VALUE"""),"011/2025")</f>
        <v>011/2025</v>
      </c>
      <c r="G55" s="140" t="str">
        <f>IFERROR(__xludf.DUMMYFUNCTION("""COMPUTED_VALUE"""),"07/11")</f>
        <v>07/11</v>
      </c>
      <c r="H55" s="140" t="str">
        <f>IFERROR(__xludf.DUMMYFUNCTION("""COMPUTED_VALUE"""),"11/11")</f>
        <v>11/11</v>
      </c>
      <c r="I55" s="140" t="str">
        <f>IFERROR(__xludf.DUMMYFUNCTION("""COMPUTED_VALUE"""),"11/11")</f>
        <v>11/11</v>
      </c>
      <c r="J55" s="140" t="str">
        <f>IFERROR(__xludf.DUMMYFUNCTION("""COMPUTED_VALUE"""),"13/11")</f>
        <v>13/11</v>
      </c>
      <c r="K55" s="140" t="str">
        <f>IFERROR(__xludf.DUMMYFUNCTION("""COMPUTED_VALUE"""),"17/11")</f>
        <v>17/11</v>
      </c>
      <c r="L55" s="140" t="str">
        <f>IFERROR(__xludf.DUMMYFUNCTION("""COMPUTED_VALUE"""),"17/11 e 27/01")</f>
        <v>17/11 e 27/01</v>
      </c>
      <c r="M55" s="140" t="str">
        <f>IFERROR(__xludf.DUMMYFUNCTION("""COMPUTED_VALUE"""),"27/01")</f>
        <v>27/01</v>
      </c>
      <c r="N55" s="140" t="str">
        <f>IFERROR(__xludf.DUMMYFUNCTION("""COMPUTED_VALUE"""),"27/01")</f>
        <v>27/01</v>
      </c>
      <c r="O55" s="140" t="str">
        <f>IFERROR(__xludf.DUMMYFUNCTION("""COMPUTED_VALUE"""),"27/01")</f>
        <v>27/01</v>
      </c>
      <c r="P55" s="140" t="str">
        <f>IFERROR(__xludf.DUMMYFUNCTION("""COMPUTED_VALUE"""),"27/01")</f>
        <v>27/01</v>
      </c>
      <c r="Q55" s="140" t="str">
        <f>IFERROR(__xludf.DUMMYFUNCTION("""COMPUTED_VALUE"""),"27/01")</f>
        <v>27/01</v>
      </c>
      <c r="R55" s="140" t="str">
        <f>IFERROR(__xludf.DUMMYFUNCTION("""COMPUTED_VALUE"""),"29/01")</f>
        <v>29/01</v>
      </c>
      <c r="S55" s="140" t="str">
        <f>IFERROR(__xludf.DUMMYFUNCTION("""COMPUTED_VALUE"""),"29/01 e 07/04")</f>
        <v>29/01 e 07/04</v>
      </c>
      <c r="T55" s="140" t="str">
        <f>IFERROR(__xludf.DUMMYFUNCTION("""COMPUTED_VALUE"""),"10/04")</f>
        <v>10/04</v>
      </c>
      <c r="U55" s="140" t="str">
        <f>IFERROR(__xludf.DUMMYFUNCTION("""COMPUTED_VALUE"""),"FH não é mais necessária")</f>
        <v>FH não é mais necessária</v>
      </c>
      <c r="V55" s="140"/>
      <c r="W55" s="140"/>
      <c r="X55" s="140"/>
      <c r="Y55" s="140"/>
      <c r="Z55" s="140"/>
    </row>
    <row r="56">
      <c r="A56" s="140" t="str">
        <f>IFERROR(__xludf.DUMMYFUNCTION("""COMPUTED_VALUE"""),"VEE ONE")</f>
        <v>VEE ONE</v>
      </c>
      <c r="B56" s="140" t="str">
        <f>IFERROR(__xludf.DUMMYFUNCTION("""COMPUTED_VALUE"""),"BANT")</f>
        <v>BANT</v>
      </c>
      <c r="C56" s="140" t="str">
        <f>IFERROR(__xludf.DUMMYFUNCTION("""COMPUTED_VALUE"""),"30994-001")</f>
        <v>30994-001</v>
      </c>
      <c r="D56" s="140" t="str">
        <f>IFERROR(__xludf.DUMMYFUNCTION("""COMPUTED_VALUE""")," BATTERY-MARATHON TSP410 NICAD")</f>
        <v> BATTERY-MARATHON TSP410 NICAD</v>
      </c>
      <c r="E56" s="140" t="str">
        <f>IFERROR(__xludf.DUMMYFUNCTION("""COMPUTED_VALUE"""),"9902509")</f>
        <v>9902509</v>
      </c>
      <c r="F56" s="140" t="str">
        <f>IFERROR(__xludf.DUMMYFUNCTION("""COMPUTED_VALUE"""),"032/2025")</f>
        <v>032/2025</v>
      </c>
      <c r="G56" s="140" t="str">
        <f>IFERROR(__xludf.DUMMYFUNCTION("""COMPUTED_VALUE"""),"24/10")</f>
        <v>24/10</v>
      </c>
      <c r="H56" s="140" t="str">
        <f>IFERROR(__xludf.DUMMYFUNCTION("""COMPUTED_VALUE"""),"30/01/2026")</f>
        <v>30/01/2026</v>
      </c>
      <c r="I56" s="140" t="str">
        <f>IFERROR(__xludf.DUMMYFUNCTION("""COMPUTED_VALUE"""),"24/03")</f>
        <v>24/03</v>
      </c>
      <c r="J56" s="140" t="str">
        <f>IFERROR(__xludf.DUMMYFUNCTION("""COMPUTED_VALUE"""),"24/03")</f>
        <v>24/03</v>
      </c>
      <c r="K56" s="140" t="str">
        <f>IFERROR(__xludf.DUMMYFUNCTION("""COMPUTED_VALUE"""),"24/03")</f>
        <v>24/03</v>
      </c>
      <c r="L56" s="140" t="str">
        <f>IFERROR(__xludf.DUMMYFUNCTION("""COMPUTED_VALUE"""),"24/03")</f>
        <v>24/03</v>
      </c>
      <c r="M56" s="140" t="str">
        <f>IFERROR(__xludf.DUMMYFUNCTION("""COMPUTED_VALUE"""),"24/03")</f>
        <v>24/03</v>
      </c>
      <c r="N56" s="140" t="str">
        <f>IFERROR(__xludf.DUMMYFUNCTION("""COMPUTED_VALUE"""),"24/03")</f>
        <v>24/03</v>
      </c>
      <c r="O56" s="140" t="str">
        <f>IFERROR(__xludf.DUMMYFUNCTION("""COMPUTED_VALUE"""),"24/03")</f>
        <v>24/03</v>
      </c>
      <c r="P56" s="140" t="str">
        <f>IFERROR(__xludf.DUMMYFUNCTION("""COMPUTED_VALUE"""),"26/03")</f>
        <v>26/03</v>
      </c>
      <c r="Q56" s="140" t="str">
        <f>IFERROR(__xludf.DUMMYFUNCTION("""COMPUTED_VALUE"""),"26/03")</f>
        <v>26/03</v>
      </c>
      <c r="R56" s="140" t="str">
        <f>IFERROR(__xludf.DUMMYFUNCTION("""COMPUTED_VALUE"""),"26/03")</f>
        <v>26/03</v>
      </c>
      <c r="S56" s="140" t="str">
        <f>IFERROR(__xludf.DUMMYFUNCTION("""COMPUTED_VALUE"""),"26/03")</f>
        <v>26/03</v>
      </c>
      <c r="T56" s="140" t="str">
        <f>IFERROR(__xludf.DUMMYFUNCTION("""COMPUTED_VALUE"""),"22/04")</f>
        <v>22/04</v>
      </c>
      <c r="U56" s="140"/>
      <c r="V56" s="140"/>
      <c r="W56" s="140"/>
      <c r="X56" s="140"/>
      <c r="Y56" s="140"/>
      <c r="Z56" s="140"/>
    </row>
    <row r="57">
      <c r="A57" s="140" t="str">
        <f>IFERROR(__xludf.DUMMYFUNCTION("""COMPUTED_VALUE"""),"VEE ONE")</f>
        <v>VEE ONE</v>
      </c>
      <c r="B57" s="140" t="str">
        <f>IFERROR(__xludf.DUMMYFUNCTION("""COMPUTED_VALUE"""),"BANT")</f>
        <v>BANT</v>
      </c>
      <c r="C57" s="140" t="str">
        <f>IFERROR(__xludf.DUMMYFUNCTION("""COMPUTED_VALUE"""),"161-12800")</f>
        <v>161-12800</v>
      </c>
      <c r="D57" s="140" t="str">
        <f>IFERROR(__xludf.DUMMYFUNCTION("""COMPUTED_VALUE"""),"WHEEL HALF ASSY")</f>
        <v>WHEEL HALF ASSY</v>
      </c>
      <c r="E57" s="140" t="str">
        <f>IFERROR(__xludf.DUMMYFUNCTION("""COMPUTED_VALUE"""),"291")</f>
        <v>291</v>
      </c>
      <c r="F57" s="140" t="str">
        <f>IFERROR(__xludf.DUMMYFUNCTION("""COMPUTED_VALUE"""),"036/2025")</f>
        <v>036/2025</v>
      </c>
      <c r="G57" s="140" t="str">
        <f>IFERROR(__xludf.DUMMYFUNCTION("""COMPUTED_VALUE"""),"04/12")</f>
        <v>04/12</v>
      </c>
      <c r="H57" s="140" t="str">
        <f>IFERROR(__xludf.DUMMYFUNCTION("""COMPUTED_VALUE"""),"02/02/2026")</f>
        <v>02/02/2026</v>
      </c>
      <c r="I57" s="140" t="str">
        <f>IFERROR(__xludf.DUMMYFUNCTION("""COMPUTED_VALUE"""),"24/03")</f>
        <v>24/03</v>
      </c>
      <c r="J57" s="140" t="str">
        <f>IFERROR(__xludf.DUMMYFUNCTION("""COMPUTED_VALUE"""),"24/03")</f>
        <v>24/03</v>
      </c>
      <c r="K57" s="140" t="str">
        <f>IFERROR(__xludf.DUMMYFUNCTION("""COMPUTED_VALUE"""),"24/03")</f>
        <v>24/03</v>
      </c>
      <c r="L57" s="140" t="str">
        <f>IFERROR(__xludf.DUMMYFUNCTION("""COMPUTED_VALUE"""),"24/03")</f>
        <v>24/03</v>
      </c>
      <c r="M57" s="140" t="str">
        <f>IFERROR(__xludf.DUMMYFUNCTION("""COMPUTED_VALUE"""),"24/03")</f>
        <v>24/03</v>
      </c>
      <c r="N57" s="140" t="str">
        <f>IFERROR(__xludf.DUMMYFUNCTION("""COMPUTED_VALUE"""),"24/03")</f>
        <v>24/03</v>
      </c>
      <c r="O57" s="140" t="str">
        <f>IFERROR(__xludf.DUMMYFUNCTION("""COMPUTED_VALUE"""),"24/03")</f>
        <v>24/03</v>
      </c>
      <c r="P57" s="140" t="str">
        <f>IFERROR(__xludf.DUMMYFUNCTION("""COMPUTED_VALUE"""),"26/03")</f>
        <v>26/03</v>
      </c>
      <c r="Q57" s="140" t="str">
        <f>IFERROR(__xludf.DUMMYFUNCTION("""COMPUTED_VALUE"""),"26/03")</f>
        <v>26/03</v>
      </c>
      <c r="R57" s="140" t="str">
        <f>IFERROR(__xludf.DUMMYFUNCTION("""COMPUTED_VALUE"""),"26/03")</f>
        <v>26/03</v>
      </c>
      <c r="S57" s="140" t="str">
        <f>IFERROR(__xludf.DUMMYFUNCTION("""COMPUTED_VALUE"""),"26/03")</f>
        <v>26/03</v>
      </c>
      <c r="T57" s="140" t="str">
        <f>IFERROR(__xludf.DUMMYFUNCTION("""COMPUTED_VALUE"""),"14/04")</f>
        <v>14/04</v>
      </c>
      <c r="U57" s="140"/>
      <c r="V57" s="140"/>
      <c r="W57" s="140"/>
      <c r="X57" s="140"/>
      <c r="Y57" s="140"/>
      <c r="Z57" s="140"/>
    </row>
    <row r="58">
      <c r="A58" s="140" t="str">
        <f>IFERROR(__xludf.DUMMYFUNCTION("""COMPUTED_VALUE"""),"VEE ONE")</f>
        <v>VEE ONE</v>
      </c>
      <c r="B58" s="140" t="str">
        <f>IFERROR(__xludf.DUMMYFUNCTION("""COMPUTED_VALUE"""),"BANT")</f>
        <v>BANT</v>
      </c>
      <c r="C58" s="140" t="str">
        <f>IFERROR(__xludf.DUMMYFUNCTION("""COMPUTED_VALUE"""),"030-18200")</f>
        <v>030-18200</v>
      </c>
      <c r="D58" s="140" t="str">
        <f>IFERROR(__xludf.DUMMYFUNCTION("""COMPUTED_VALUE"""),"CONJUNTO DE FREIO")</f>
        <v>CONJUNTO DE FREIO</v>
      </c>
      <c r="E58" s="140" t="str">
        <f>IFERROR(__xludf.DUMMYFUNCTION("""COMPUTED_VALUE"""),"122")</f>
        <v>122</v>
      </c>
      <c r="F58" s="140" t="str">
        <f>IFERROR(__xludf.DUMMYFUNCTION("""COMPUTED_VALUE"""),"005/2025")</f>
        <v>005/2025</v>
      </c>
      <c r="G58" s="140" t="str">
        <f>IFERROR(__xludf.DUMMYFUNCTION("""COMPUTED_VALUE"""),"28/05/2025")</f>
        <v>28/05/2025</v>
      </c>
      <c r="H58" s="140" t="str">
        <f>IFERROR(__xludf.DUMMYFUNCTION("""COMPUTED_VALUE"""),"30/01/2026")</f>
        <v>30/01/2026</v>
      </c>
      <c r="I58" s="140" t="str">
        <f>IFERROR(__xludf.DUMMYFUNCTION("""COMPUTED_VALUE"""),"30/01")</f>
        <v>30/01</v>
      </c>
      <c r="J58" s="140" t="str">
        <f>IFERROR(__xludf.DUMMYFUNCTION("""COMPUTED_VALUE"""),"31/03")</f>
        <v>31/03</v>
      </c>
      <c r="K58" s="140" t="str">
        <f>IFERROR(__xludf.DUMMYFUNCTION("""COMPUTED_VALUE"""),"31/03")</f>
        <v>31/03</v>
      </c>
      <c r="L58" s="140" t="str">
        <f>IFERROR(__xludf.DUMMYFUNCTION("""COMPUTED_VALUE"""),"31/03")</f>
        <v>31/03</v>
      </c>
      <c r="M58" s="140" t="str">
        <f>IFERROR(__xludf.DUMMYFUNCTION("""COMPUTED_VALUE"""),"31/03")</f>
        <v>31/03</v>
      </c>
      <c r="N58" s="140" t="str">
        <f>IFERROR(__xludf.DUMMYFUNCTION("""COMPUTED_VALUE"""),"31/03")</f>
        <v>31/03</v>
      </c>
      <c r="O58" s="140" t="str">
        <f>IFERROR(__xludf.DUMMYFUNCTION("""COMPUTED_VALUE"""),"31/03")</f>
        <v>31/03</v>
      </c>
      <c r="P58" s="140" t="str">
        <f>IFERROR(__xludf.DUMMYFUNCTION("""COMPUTED_VALUE"""),"31/03")</f>
        <v>31/03</v>
      </c>
      <c r="Q58" s="140" t="str">
        <f>IFERROR(__xludf.DUMMYFUNCTION("""COMPUTED_VALUE"""),"31/03")</f>
        <v>31/03</v>
      </c>
      <c r="R58" s="140" t="str">
        <f>IFERROR(__xludf.DUMMYFUNCTION("""COMPUTED_VALUE"""),"31/03")</f>
        <v>31/03</v>
      </c>
      <c r="S58" s="140" t="str">
        <f>IFERROR(__xludf.DUMMYFUNCTION("""COMPUTED_VALUE"""),"31/03")</f>
        <v>31/03</v>
      </c>
      <c r="T58" s="140" t="str">
        <f>IFERROR(__xludf.DUMMYFUNCTION("""COMPUTED_VALUE"""),"22/04")</f>
        <v>22/04</v>
      </c>
      <c r="U58" s="140"/>
      <c r="V58" s="140"/>
      <c r="W58" s="140"/>
      <c r="X58" s="140"/>
      <c r="Y58" s="140"/>
      <c r="Z58" s="140"/>
    </row>
    <row r="59">
      <c r="A59" s="140" t="str">
        <f>IFERROR(__xludf.DUMMYFUNCTION("""COMPUTED_VALUE"""),"VEE ONE")</f>
        <v>VEE ONE</v>
      </c>
      <c r="B59" s="140" t="str">
        <f>IFERROR(__xludf.DUMMYFUNCTION("""COMPUTED_VALUE"""),"BANT")</f>
        <v>BANT</v>
      </c>
      <c r="C59" s="140" t="str">
        <f>IFERROR(__xludf.DUMMYFUNCTION("""COMPUTED_VALUE"""),"030-18200")</f>
        <v>030-18200</v>
      </c>
      <c r="D59" s="140" t="str">
        <f>IFERROR(__xludf.DUMMYFUNCTION("""COMPUTED_VALUE"""),"CONJUNTO DE FREIO")</f>
        <v>CONJUNTO DE FREIO</v>
      </c>
      <c r="E59" s="140" t="str">
        <f>IFERROR(__xludf.DUMMYFUNCTION("""COMPUTED_VALUE"""),"7951")</f>
        <v>7951</v>
      </c>
      <c r="F59" s="140" t="str">
        <f>IFERROR(__xludf.DUMMYFUNCTION("""COMPUTED_VALUE"""),"005/2025")</f>
        <v>005/2025</v>
      </c>
      <c r="G59" s="140" t="str">
        <f>IFERROR(__xludf.DUMMYFUNCTION("""COMPUTED_VALUE"""),"28/05/2025")</f>
        <v>28/05/2025</v>
      </c>
      <c r="H59" s="140" t="str">
        <f>IFERROR(__xludf.DUMMYFUNCTION("""COMPUTED_VALUE"""),"30/01/2026")</f>
        <v>30/01/2026</v>
      </c>
      <c r="I59" s="140" t="str">
        <f>IFERROR(__xludf.DUMMYFUNCTION("""COMPUTED_VALUE"""),"30/01")</f>
        <v>30/01</v>
      </c>
      <c r="J59" s="140" t="str">
        <f>IFERROR(__xludf.DUMMYFUNCTION("""COMPUTED_VALUE"""),"31/03")</f>
        <v>31/03</v>
      </c>
      <c r="K59" s="140" t="str">
        <f>IFERROR(__xludf.DUMMYFUNCTION("""COMPUTED_VALUE"""),"31/03")</f>
        <v>31/03</v>
      </c>
      <c r="L59" s="140" t="str">
        <f>IFERROR(__xludf.DUMMYFUNCTION("""COMPUTED_VALUE"""),"31/03")</f>
        <v>31/03</v>
      </c>
      <c r="M59" s="140" t="str">
        <f>IFERROR(__xludf.DUMMYFUNCTION("""COMPUTED_VALUE"""),"31/03")</f>
        <v>31/03</v>
      </c>
      <c r="N59" s="140" t="str">
        <f>IFERROR(__xludf.DUMMYFUNCTION("""COMPUTED_VALUE"""),"31/03")</f>
        <v>31/03</v>
      </c>
      <c r="O59" s="140" t="str">
        <f>IFERROR(__xludf.DUMMYFUNCTION("""COMPUTED_VALUE"""),"31/03")</f>
        <v>31/03</v>
      </c>
      <c r="P59" s="140" t="str">
        <f>IFERROR(__xludf.DUMMYFUNCTION("""COMPUTED_VALUE"""),"31/03")</f>
        <v>31/03</v>
      </c>
      <c r="Q59" s="140" t="str">
        <f>IFERROR(__xludf.DUMMYFUNCTION("""COMPUTED_VALUE"""),"31/03")</f>
        <v>31/03</v>
      </c>
      <c r="R59" s="140" t="str">
        <f>IFERROR(__xludf.DUMMYFUNCTION("""COMPUTED_VALUE"""),"31/03")</f>
        <v>31/03</v>
      </c>
      <c r="S59" s="140" t="str">
        <f>IFERROR(__xludf.DUMMYFUNCTION("""COMPUTED_VALUE"""),"31/03")</f>
        <v>31/03</v>
      </c>
      <c r="T59" s="140" t="str">
        <f>IFERROR(__xludf.DUMMYFUNCTION("""COMPUTED_VALUE"""),"22/04")</f>
        <v>22/04</v>
      </c>
      <c r="U59" s="140"/>
      <c r="V59" s="140"/>
      <c r="W59" s="140"/>
      <c r="X59" s="140"/>
      <c r="Y59" s="140"/>
      <c r="Z59" s="140"/>
    </row>
    <row r="60" hidden="1">
      <c r="A60" s="140" t="str">
        <f>IFERROR(__xludf.DUMMYFUNCTION("""COMPUTED_VALUE"""),"VEE ONE")</f>
        <v>VEE ONE</v>
      </c>
      <c r="B60" s="140" t="str">
        <f>IFERROR(__xludf.DUMMYFUNCTION("""COMPUTED_VALUE"""),"BABE")</f>
        <v>BABE</v>
      </c>
      <c r="C60" s="140" t="str">
        <f>IFERROR(__xludf.DUMMYFUNCTION("""COMPUTED_VALUE"""),"2641011-5")</f>
        <v>2641011-5</v>
      </c>
      <c r="D60" s="140" t="str">
        <f>IFERROR(__xludf.DUMMYFUNCTION("""COMPUTED_VALUE"""),"AXLE-MAIN GEAR")</f>
        <v>AXLE-MAIN GEAR</v>
      </c>
      <c r="E60" s="140" t="str">
        <f>IFERROR(__xludf.DUMMYFUNCTION("""COMPUTED_VALUE"""),"3155-5")</f>
        <v>3155-5</v>
      </c>
      <c r="F60" s="140" t="str">
        <f>IFERROR(__xludf.DUMMYFUNCTION("""COMPUTED_VALUE"""),"009/2026")</f>
        <v>009/2026</v>
      </c>
      <c r="G60" s="140" t="str">
        <f>IFERROR(__xludf.DUMMYFUNCTION("""COMPUTED_VALUE"""),"31/03")</f>
        <v>31/03</v>
      </c>
      <c r="H60" s="140" t="str">
        <f>IFERROR(__xludf.DUMMYFUNCTION("""COMPUTED_VALUE"""),"31/03")</f>
        <v>31/03</v>
      </c>
      <c r="I60" s="140" t="str">
        <f>IFERROR(__xludf.DUMMYFUNCTION("""COMPUTED_VALUE"""),"31/03 e 29/04")</f>
        <v>31/03 e 29/04</v>
      </c>
      <c r="J60" s="140" t="str">
        <f>IFERROR(__xludf.DUMMYFUNCTION("""COMPUTED_VALUE"""),"29/04")</f>
        <v>29/04</v>
      </c>
      <c r="K60" s="140" t="str">
        <f>IFERROR(__xludf.DUMMYFUNCTION("""COMPUTED_VALUE"""),"29/04")</f>
        <v>29/04</v>
      </c>
      <c r="L60" s="140" t="str">
        <f>IFERROR(__xludf.DUMMYFUNCTION("""COMPUTED_VALUE"""),"29/04")</f>
        <v>29/04</v>
      </c>
      <c r="M60" s="140" t="str">
        <f>IFERROR(__xludf.DUMMYFUNCTION("""COMPUTED_VALUE"""),"30/04")</f>
        <v>30/04</v>
      </c>
      <c r="N60" s="140" t="str">
        <f>IFERROR(__xludf.DUMMYFUNCTION("""COMPUTED_VALUE"""),"30/04")</f>
        <v>30/04</v>
      </c>
      <c r="O60" s="140" t="str">
        <f>IFERROR(__xludf.DUMMYFUNCTION("""COMPUTED_VALUE"""),"30/04")</f>
        <v>30/04</v>
      </c>
      <c r="P60" s="140" t="str">
        <f>IFERROR(__xludf.DUMMYFUNCTION("""COMPUTED_VALUE"""),"30/04")</f>
        <v>30/04</v>
      </c>
      <c r="Q60" s="140" t="str">
        <f>IFERROR(__xludf.DUMMYFUNCTION("""COMPUTED_VALUE"""),"30/04")</f>
        <v>30/04</v>
      </c>
      <c r="R60" s="140" t="str">
        <f>IFERROR(__xludf.DUMMYFUNCTION("""COMPUTED_VALUE"""),"30/04")</f>
        <v>30/04</v>
      </c>
      <c r="S60" s="140" t="str">
        <f>IFERROR(__xludf.DUMMYFUNCTION("""COMPUTED_VALUE"""),"30/04")</f>
        <v>30/04</v>
      </c>
      <c r="T60" s="140" t="str">
        <f>IFERROR(__xludf.DUMMYFUNCTION("""COMPUTED_VALUE"""),"05/05")</f>
        <v>05/05</v>
      </c>
      <c r="U60" s="140"/>
      <c r="V60" s="140"/>
      <c r="W60" s="140"/>
      <c r="X60" s="140"/>
      <c r="Y60" s="140"/>
      <c r="Z60" s="140"/>
    </row>
    <row r="61" hidden="1">
      <c r="A61" s="140" t="str">
        <f>IFERROR(__xludf.DUMMYFUNCTION("""COMPUTED_VALUE"""),"VEE ONE")</f>
        <v>VEE ONE</v>
      </c>
      <c r="B61" s="140" t="str">
        <f>IFERROR(__xludf.DUMMYFUNCTION("""COMPUTED_VALUE"""),"CLA / BABE")</f>
        <v>CLA / BABE</v>
      </c>
      <c r="C61" s="140" t="str">
        <f>IFERROR(__xludf.DUMMYFUNCTION("""COMPUTED_VALUE"""),"3244809-8")</f>
        <v>3244809-8</v>
      </c>
      <c r="D61" s="140" t="str">
        <f>IFERROR(__xludf.DUMMYFUNCTION("""COMPUTED_VALUE"""),"FUEL CONTROL UNIT")</f>
        <v>FUEL CONTROL UNIT</v>
      </c>
      <c r="E61" s="140" t="str">
        <f>IFERROR(__xludf.DUMMYFUNCTION("""COMPUTED_VALUE"""),"B10133")</f>
        <v>B10133</v>
      </c>
      <c r="F61" s="140" t="str">
        <f>IFERROR(__xludf.DUMMYFUNCTION("""COMPUTED_VALUE"""),"004/2026")</f>
        <v>004/2026</v>
      </c>
      <c r="G61" s="140" t="str">
        <f>IFERROR(__xludf.DUMMYFUNCTION("""COMPUTED_VALUE"""),"12/02")</f>
        <v>12/02</v>
      </c>
      <c r="H61" s="140" t="str">
        <f>IFERROR(__xludf.DUMMYFUNCTION("""COMPUTED_VALUE"""),"27/04")</f>
        <v>27/04</v>
      </c>
      <c r="I61" s="140" t="str">
        <f>IFERROR(__xludf.DUMMYFUNCTION("""COMPUTED_VALUE"""),"27/04")</f>
        <v>27/04</v>
      </c>
      <c r="J61" s="140" t="str">
        <f>IFERROR(__xludf.DUMMYFUNCTION("""COMPUTED_VALUE"""),"29/04")</f>
        <v>29/04</v>
      </c>
      <c r="K61" s="140" t="str">
        <f>IFERROR(__xludf.DUMMYFUNCTION("""COMPUTED_VALUE"""),"29/04")</f>
        <v>29/04</v>
      </c>
      <c r="L61" s="140" t="str">
        <f>IFERROR(__xludf.DUMMYFUNCTION("""COMPUTED_VALUE"""),"29/04")</f>
        <v>29/04</v>
      </c>
      <c r="M61" s="140" t="str">
        <f>IFERROR(__xludf.DUMMYFUNCTION("""COMPUTED_VALUE"""),"30/04")</f>
        <v>30/04</v>
      </c>
      <c r="N61" s="140" t="str">
        <f>IFERROR(__xludf.DUMMYFUNCTION("""COMPUTED_VALUE"""),"30/04")</f>
        <v>30/04</v>
      </c>
      <c r="O61" s="140" t="str">
        <f>IFERROR(__xludf.DUMMYFUNCTION("""COMPUTED_VALUE"""),"30/04")</f>
        <v>30/04</v>
      </c>
      <c r="P61" s="140" t="str">
        <f>IFERROR(__xludf.DUMMYFUNCTION("""COMPUTED_VALUE"""),"30/04")</f>
        <v>30/04</v>
      </c>
      <c r="Q61" s="140" t="str">
        <f>IFERROR(__xludf.DUMMYFUNCTION("""COMPUTED_VALUE"""),"30/04")</f>
        <v>30/04</v>
      </c>
      <c r="R61" s="140" t="str">
        <f>IFERROR(__xludf.DUMMYFUNCTION("""COMPUTED_VALUE"""),"30/04")</f>
        <v>30/04</v>
      </c>
      <c r="S61" s="140" t="str">
        <f>IFERROR(__xludf.DUMMYFUNCTION("""COMPUTED_VALUE"""),"30/04")</f>
        <v>30/04</v>
      </c>
      <c r="T61" s="140" t="str">
        <f>IFERROR(__xludf.DUMMYFUNCTION("""COMPUTED_VALUE"""),"05/05")</f>
        <v>05/05</v>
      </c>
      <c r="U61" s="140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40"/>
      <c r="W61" s="140"/>
      <c r="X61" s="140"/>
      <c r="Y61" s="140"/>
      <c r="Z61" s="140"/>
    </row>
    <row r="62" hidden="1">
      <c r="A62" s="140" t="str">
        <f>IFERROR(__xludf.DUMMYFUNCTION("""COMPUTED_VALUE"""),"VEE ONE")</f>
        <v>VEE ONE</v>
      </c>
      <c r="B62" s="140" t="str">
        <f>IFERROR(__xludf.DUMMYFUNCTION("""COMPUTED_VALUE"""),"BAMN")</f>
        <v>BAMN</v>
      </c>
      <c r="C62" s="140" t="str">
        <f>IFERROR(__xludf.DUMMYFUNCTION("""COMPUTED_VALUE"""),"066-1072-04")</f>
        <v>066-1072-04</v>
      </c>
      <c r="D62" s="140" t="str">
        <f>IFERROR(__xludf.DUMMYFUNCTION("""COMPUTED_VALUE"""),"RECEIVER RADIO")</f>
        <v>RECEIVER RADIO</v>
      </c>
      <c r="E62" s="140" t="str">
        <f>IFERROR(__xludf.DUMMYFUNCTION("""COMPUTED_VALUE"""),"84163")</f>
        <v>84163</v>
      </c>
      <c r="F62" s="140" t="str">
        <f>IFERROR(__xludf.DUMMYFUNCTION("""COMPUTED_VALUE"""),"021/2025")</f>
        <v>021/2025</v>
      </c>
      <c r="G62" s="140" t="str">
        <f>IFERROR(__xludf.DUMMYFUNCTION("""COMPUTED_VALUE"""),"28/10")</f>
        <v>28/10</v>
      </c>
      <c r="H62" s="140" t="str">
        <f>IFERROR(__xludf.DUMMYFUNCTION("""COMPUTED_VALUE"""),"12/11")</f>
        <v>12/11</v>
      </c>
      <c r="I62" s="140" t="str">
        <f>IFERROR(__xludf.DUMMYFUNCTION("""COMPUTED_VALUE"""),"12/11")</f>
        <v>12/11</v>
      </c>
      <c r="J62" s="140" t="str">
        <f>IFERROR(__xludf.DUMMYFUNCTION("""COMPUTED_VALUE"""),"*")</f>
        <v>*</v>
      </c>
      <c r="K62" s="140" t="str">
        <f>IFERROR(__xludf.DUMMYFUNCTION("""COMPUTED_VALUE"""),"*")</f>
        <v>*</v>
      </c>
      <c r="L62" s="140" t="str">
        <f>IFERROR(__xludf.DUMMYFUNCTION("""COMPUTED_VALUE"""),"30/04")</f>
        <v>30/04</v>
      </c>
      <c r="M62" s="140" t="str">
        <f>IFERROR(__xludf.DUMMYFUNCTION("""COMPUTED_VALUE"""),"30/04")</f>
        <v>30/04</v>
      </c>
      <c r="N62" s="140" t="str">
        <f>IFERROR(__xludf.DUMMYFUNCTION("""COMPUTED_VALUE"""),"30/04")</f>
        <v>30/04</v>
      </c>
      <c r="O62" s="140" t="str">
        <f>IFERROR(__xludf.DUMMYFUNCTION("""COMPUTED_VALUE"""),"30/04")</f>
        <v>30/04</v>
      </c>
      <c r="P62" s="140" t="str">
        <f>IFERROR(__xludf.DUMMYFUNCTION("""COMPUTED_VALUE"""),"30/04")</f>
        <v>30/04</v>
      </c>
      <c r="Q62" s="140" t="str">
        <f>IFERROR(__xludf.DUMMYFUNCTION("""COMPUTED_VALUE"""),"30/04")</f>
        <v>30/04</v>
      </c>
      <c r="R62" s="140" t="str">
        <f>IFERROR(__xludf.DUMMYFUNCTION("""COMPUTED_VALUE"""),"30/04")</f>
        <v>30/04</v>
      </c>
      <c r="S62" s="140" t="str">
        <f>IFERROR(__xludf.DUMMYFUNCTION("""COMPUTED_VALUE"""),"30/04")</f>
        <v>30/04</v>
      </c>
      <c r="T62" s="140" t="str">
        <f>IFERROR(__xludf.DUMMYFUNCTION("""COMPUTED_VALUE"""),"05/05")</f>
        <v>05/05</v>
      </c>
      <c r="U62" s="140"/>
      <c r="V62" s="140"/>
      <c r="W62" s="140"/>
      <c r="X62" s="140"/>
      <c r="Y62" s="140"/>
      <c r="Z62" s="140"/>
    </row>
    <row r="63">
      <c r="A63" s="140" t="str">
        <f>IFERROR(__xludf.DUMMYFUNCTION("""COMPUTED_VALUE"""),"VEE ONE")</f>
        <v>VEE ONE</v>
      </c>
      <c r="B63" s="140" t="str">
        <f>IFERROR(__xludf.DUMMYFUNCTION("""COMPUTED_VALUE"""),"BANT")</f>
        <v>BANT</v>
      </c>
      <c r="C63" s="140" t="str">
        <f>IFERROR(__xludf.DUMMYFUNCTION("""COMPUTED_VALUE"""),"071-01519-0101")</f>
        <v>071-01519-0101</v>
      </c>
      <c r="D63" s="140" t="str">
        <f>IFERROR(__xludf.DUMMYFUNCTION("""COMPUTED_VALUE"""),"RECEPTOR DE RADAR")</f>
        <v>RECEPTOR DE RADAR</v>
      </c>
      <c r="E63" s="140" t="str">
        <f>IFERROR(__xludf.DUMMYFUNCTION("""COMPUTED_VALUE"""),"ART2000-13237")</f>
        <v>ART2000-13237</v>
      </c>
      <c r="F63" s="140" t="str">
        <f>IFERROR(__xludf.DUMMYFUNCTION("""COMPUTED_VALUE"""),"029/2025")</f>
        <v>029/2025</v>
      </c>
      <c r="G63" s="140" t="str">
        <f>IFERROR(__xludf.DUMMYFUNCTION("""COMPUTED_VALUE"""),"16/09/2025")</f>
        <v>16/09/2025</v>
      </c>
      <c r="H63" s="140" t="str">
        <f>IFERROR(__xludf.DUMMYFUNCTION("""COMPUTED_VALUE"""),"30/01/2026")</f>
        <v>30/01/2026</v>
      </c>
      <c r="I63" s="140" t="str">
        <f>IFERROR(__xludf.DUMMYFUNCTION("""COMPUTED_VALUE"""),"30/01")</f>
        <v>30/01</v>
      </c>
      <c r="J63" s="140" t="str">
        <f>IFERROR(__xludf.DUMMYFUNCTION("""COMPUTED_VALUE"""),"26/03")</f>
        <v>26/03</v>
      </c>
      <c r="K63" s="140" t="str">
        <f>IFERROR(__xludf.DUMMYFUNCTION("""COMPUTED_VALUE"""),"27/03")</f>
        <v>27/03</v>
      </c>
      <c r="L63" s="140" t="str">
        <f>IFERROR(__xludf.DUMMYFUNCTION("""COMPUTED_VALUE"""),"31/03")</f>
        <v>31/03</v>
      </c>
      <c r="M63" s="140" t="str">
        <f>IFERROR(__xludf.DUMMYFUNCTION("""COMPUTED_VALUE"""),"31/03")</f>
        <v>31/03</v>
      </c>
      <c r="N63" s="140" t="str">
        <f>IFERROR(__xludf.DUMMYFUNCTION("""COMPUTED_VALUE"""),"31/03")</f>
        <v>31/03</v>
      </c>
      <c r="O63" s="140" t="str">
        <f>IFERROR(__xludf.DUMMYFUNCTION("""COMPUTED_VALUE"""),"31/03")</f>
        <v>31/03</v>
      </c>
      <c r="P63" s="140" t="str">
        <f>IFERROR(__xludf.DUMMYFUNCTION("""COMPUTED_VALUE"""),"31/03")</f>
        <v>31/03</v>
      </c>
      <c r="Q63" s="140" t="str">
        <f>IFERROR(__xludf.DUMMYFUNCTION("""COMPUTED_VALUE"""),"31/03")</f>
        <v>31/03</v>
      </c>
      <c r="R63" s="140" t="str">
        <f>IFERROR(__xludf.DUMMYFUNCTION("""COMPUTED_VALUE"""),"31/03")</f>
        <v>31/03</v>
      </c>
      <c r="S63" s="140" t="str">
        <f>IFERROR(__xludf.DUMMYFUNCTION("""COMPUTED_VALUE"""),"31/03")</f>
        <v>31/03</v>
      </c>
      <c r="T63" s="140" t="str">
        <f>IFERROR(__xludf.DUMMYFUNCTION("""COMPUTED_VALUE"""),"05/05")</f>
        <v>05/05</v>
      </c>
      <c r="U63" s="140"/>
      <c r="V63" s="140"/>
      <c r="W63" s="140"/>
      <c r="X63" s="140"/>
      <c r="Y63" s="140"/>
      <c r="Z63" s="140"/>
    </row>
    <row r="64">
      <c r="A64" s="140" t="str">
        <f>IFERROR(__xludf.DUMMYFUNCTION("""COMPUTED_VALUE"""),"VEE ONE")</f>
        <v>VEE ONE</v>
      </c>
      <c r="B64" s="140" t="str">
        <f>IFERROR(__xludf.DUMMYFUNCTION("""COMPUTED_VALUE"""),"BANT")</f>
        <v>BANT</v>
      </c>
      <c r="C64" s="140" t="str">
        <f>IFERROR(__xludf.DUMMYFUNCTION("""COMPUTED_VALUE"""),"C661064-0237")</f>
        <v>C661064-0237</v>
      </c>
      <c r="D64" s="140" t="str">
        <f>IFERROR(__xludf.DUMMYFUNCTION("""COMPUTED_VALUE"""),"AIRSPEED INDICATOR")</f>
        <v>AIRSPEED INDICATOR</v>
      </c>
      <c r="E64" s="140" t="str">
        <f>IFERROR(__xludf.DUMMYFUNCTION("""COMPUTED_VALUE"""),"T25426")</f>
        <v>T25426</v>
      </c>
      <c r="F64" s="140" t="str">
        <f>IFERROR(__xludf.DUMMYFUNCTION("""COMPUTED_VALUE"""),"028/2025")</f>
        <v>028/2025</v>
      </c>
      <c r="G64" s="140" t="str">
        <f>IFERROR(__xludf.DUMMYFUNCTION("""COMPUTED_VALUE"""),"09/09/2025")</f>
        <v>09/09/2025</v>
      </c>
      <c r="H64" s="140" t="str">
        <f>IFERROR(__xludf.DUMMYFUNCTION("""COMPUTED_VALUE"""),"30/01/2026")</f>
        <v>30/01/2026</v>
      </c>
      <c r="I64" s="140" t="str">
        <f>IFERROR(__xludf.DUMMYFUNCTION("""COMPUTED_VALUE"""),"30/01")</f>
        <v>30/01</v>
      </c>
      <c r="J64" s="140" t="str">
        <f>IFERROR(__xludf.DUMMYFUNCTION("""COMPUTED_VALUE"""),"26/03")</f>
        <v>26/03</v>
      </c>
      <c r="K64" s="140" t="str">
        <f>IFERROR(__xludf.DUMMYFUNCTION("""COMPUTED_VALUE"""),"27/03")</f>
        <v>27/03</v>
      </c>
      <c r="L64" s="140" t="str">
        <f>IFERROR(__xludf.DUMMYFUNCTION("""COMPUTED_VALUE"""),"31/03")</f>
        <v>31/03</v>
      </c>
      <c r="M64" s="140" t="str">
        <f>IFERROR(__xludf.DUMMYFUNCTION("""COMPUTED_VALUE"""),"31/03")</f>
        <v>31/03</v>
      </c>
      <c r="N64" s="140" t="str">
        <f>IFERROR(__xludf.DUMMYFUNCTION("""COMPUTED_VALUE"""),"31/03")</f>
        <v>31/03</v>
      </c>
      <c r="O64" s="140" t="str">
        <f>IFERROR(__xludf.DUMMYFUNCTION("""COMPUTED_VALUE"""),"31/03")</f>
        <v>31/03</v>
      </c>
      <c r="P64" s="140" t="str">
        <f>IFERROR(__xludf.DUMMYFUNCTION("""COMPUTED_VALUE"""),"31/03")</f>
        <v>31/03</v>
      </c>
      <c r="Q64" s="140" t="str">
        <f>IFERROR(__xludf.DUMMYFUNCTION("""COMPUTED_VALUE"""),"31/03")</f>
        <v>31/03</v>
      </c>
      <c r="R64" s="140" t="str">
        <f>IFERROR(__xludf.DUMMYFUNCTION("""COMPUTED_VALUE"""),"31/03")</f>
        <v>31/03</v>
      </c>
      <c r="S64" s="140" t="str">
        <f>IFERROR(__xludf.DUMMYFUNCTION("""COMPUTED_VALUE"""),"31/03")</f>
        <v>31/03</v>
      </c>
      <c r="T64" s="140" t="str">
        <f>IFERROR(__xludf.DUMMYFUNCTION("""COMPUTED_VALUE"""),"05/05")</f>
        <v>05/05</v>
      </c>
      <c r="U64" s="140"/>
      <c r="V64" s="140"/>
      <c r="W64" s="140"/>
      <c r="X64" s="140"/>
      <c r="Y64" s="140"/>
      <c r="Z64" s="140"/>
    </row>
    <row r="65">
      <c r="A65" s="140" t="str">
        <f>IFERROR(__xludf.DUMMYFUNCTION("""COMPUTED_VALUE"""),"VEE ONE")</f>
        <v>VEE ONE</v>
      </c>
      <c r="B65" s="140" t="str">
        <f>IFERROR(__xludf.DUMMYFUNCTION("""COMPUTED_VALUE"""),"BANT")</f>
        <v>BANT</v>
      </c>
      <c r="C65" s="140" t="str">
        <f>IFERROR(__xludf.DUMMYFUNCTION("""COMPUTED_VALUE"""),"066-1072-04")</f>
        <v>066-1072-04</v>
      </c>
      <c r="D65" s="140" t="str">
        <f>IFERROR(__xludf.DUMMYFUNCTION("""COMPUTED_VALUE"""),"RECEIVER RADIO")</f>
        <v>RECEIVER RADIO</v>
      </c>
      <c r="E65" s="140" t="str">
        <f>IFERROR(__xludf.DUMMYFUNCTION("""COMPUTED_VALUE"""),"84459")</f>
        <v>84459</v>
      </c>
      <c r="F65" s="140" t="str">
        <f>IFERROR(__xludf.DUMMYFUNCTION("""COMPUTED_VALUE"""),"014/2025")</f>
        <v>014/2025</v>
      </c>
      <c r="G65" s="140" t="str">
        <f>IFERROR(__xludf.DUMMYFUNCTION("""COMPUTED_VALUE"""),"28/07/2025")</f>
        <v>28/07/2025</v>
      </c>
      <c r="H65" s="140" t="str">
        <f>IFERROR(__xludf.DUMMYFUNCTION("""COMPUTED_VALUE"""),"30/01/2026")</f>
        <v>30/01/2026</v>
      </c>
      <c r="I65" s="140" t="str">
        <f>IFERROR(__xludf.DUMMYFUNCTION("""COMPUTED_VALUE"""),"30/01")</f>
        <v>30/01</v>
      </c>
      <c r="J65" s="140" t="str">
        <f>IFERROR(__xludf.DUMMYFUNCTION("""COMPUTED_VALUE"""),"26/03")</f>
        <v>26/03</v>
      </c>
      <c r="K65" s="140" t="str">
        <f>IFERROR(__xludf.DUMMYFUNCTION("""COMPUTED_VALUE"""),"27/03")</f>
        <v>27/03</v>
      </c>
      <c r="L65" s="140" t="str">
        <f>IFERROR(__xludf.DUMMYFUNCTION("""COMPUTED_VALUE"""),"31/03")</f>
        <v>31/03</v>
      </c>
      <c r="M65" s="140" t="str">
        <f>IFERROR(__xludf.DUMMYFUNCTION("""COMPUTED_VALUE"""),"31/03")</f>
        <v>31/03</v>
      </c>
      <c r="N65" s="140" t="str">
        <f>IFERROR(__xludf.DUMMYFUNCTION("""COMPUTED_VALUE"""),"31/03")</f>
        <v>31/03</v>
      </c>
      <c r="O65" s="140" t="str">
        <f>IFERROR(__xludf.DUMMYFUNCTION("""COMPUTED_VALUE"""),"31/03")</f>
        <v>31/03</v>
      </c>
      <c r="P65" s="140" t="str">
        <f>IFERROR(__xludf.DUMMYFUNCTION("""COMPUTED_VALUE"""),"31/03")</f>
        <v>31/03</v>
      </c>
      <c r="Q65" s="140" t="str">
        <f>IFERROR(__xludf.DUMMYFUNCTION("""COMPUTED_VALUE"""),"31/03")</f>
        <v>31/03</v>
      </c>
      <c r="R65" s="140" t="str">
        <f>IFERROR(__xludf.DUMMYFUNCTION("""COMPUTED_VALUE"""),"31/03")</f>
        <v>31/03</v>
      </c>
      <c r="S65" s="140" t="str">
        <f>IFERROR(__xludf.DUMMYFUNCTION("""COMPUTED_VALUE"""),"31/03")</f>
        <v>31/03</v>
      </c>
      <c r="T65" s="140" t="str">
        <f>IFERROR(__xludf.DUMMYFUNCTION("""COMPUTED_VALUE"""),"05/05")</f>
        <v>05/05</v>
      </c>
      <c r="U65" s="140"/>
      <c r="V65" s="140"/>
      <c r="W65" s="140"/>
      <c r="X65" s="140"/>
      <c r="Y65" s="140"/>
      <c r="Z65" s="140"/>
    </row>
    <row r="66">
      <c r="A66" s="140" t="str">
        <f>IFERROR(__xludf.DUMMYFUNCTION("""COMPUTED_VALUE"""),"VEE ONE")</f>
        <v>VEE ONE</v>
      </c>
      <c r="B66" s="140" t="str">
        <f>IFERROR(__xludf.DUMMYFUNCTION("""COMPUTED_VALUE"""),"BANT")</f>
        <v>BANT</v>
      </c>
      <c r="C66" s="140" t="str">
        <f>IFERROR(__xludf.DUMMYFUNCTION("""COMPUTED_VALUE"""),"066-03064-0005")</f>
        <v>066-03064-0005</v>
      </c>
      <c r="D66" s="140" t="str">
        <f>IFERROR(__xludf.DUMMYFUNCTION("""COMPUTED_VALUE"""),"ENCODING ALTIMETER")</f>
        <v>ENCODING ALTIMETER</v>
      </c>
      <c r="E66" s="140" t="str">
        <f>IFERROR(__xludf.DUMMYFUNCTION("""COMPUTED_VALUE"""),"35378")</f>
        <v>35378</v>
      </c>
      <c r="F66" s="140" t="str">
        <f>IFERROR(__xludf.DUMMYFUNCTION("""COMPUTED_VALUE"""),"009/2025")</f>
        <v>009/2025</v>
      </c>
      <c r="G66" s="140" t="str">
        <f>IFERROR(__xludf.DUMMYFUNCTION("""COMPUTED_VALUE"""),"17/06/2025")</f>
        <v>17/06/2025</v>
      </c>
      <c r="H66" s="140" t="str">
        <f>IFERROR(__xludf.DUMMYFUNCTION("""COMPUTED_VALUE"""),"30/01/2026")</f>
        <v>30/01/2026</v>
      </c>
      <c r="I66" s="140" t="str">
        <f>IFERROR(__xludf.DUMMYFUNCTION("""COMPUTED_VALUE"""),"30/01")</f>
        <v>30/01</v>
      </c>
      <c r="J66" s="140" t="str">
        <f>IFERROR(__xludf.DUMMYFUNCTION("""COMPUTED_VALUE"""),"26/03")</f>
        <v>26/03</v>
      </c>
      <c r="K66" s="140" t="str">
        <f>IFERROR(__xludf.DUMMYFUNCTION("""COMPUTED_VALUE"""),"27/03")</f>
        <v>27/03</v>
      </c>
      <c r="L66" s="140" t="str">
        <f>IFERROR(__xludf.DUMMYFUNCTION("""COMPUTED_VALUE"""),"31/03")</f>
        <v>31/03</v>
      </c>
      <c r="M66" s="140" t="str">
        <f>IFERROR(__xludf.DUMMYFUNCTION("""COMPUTED_VALUE"""),"31/03")</f>
        <v>31/03</v>
      </c>
      <c r="N66" s="140" t="str">
        <f>IFERROR(__xludf.DUMMYFUNCTION("""COMPUTED_VALUE"""),"31/03")</f>
        <v>31/03</v>
      </c>
      <c r="O66" s="140" t="str">
        <f>IFERROR(__xludf.DUMMYFUNCTION("""COMPUTED_VALUE"""),"31/03")</f>
        <v>31/03</v>
      </c>
      <c r="P66" s="140" t="str">
        <f>IFERROR(__xludf.DUMMYFUNCTION("""COMPUTED_VALUE"""),"31/03")</f>
        <v>31/03</v>
      </c>
      <c r="Q66" s="140" t="str">
        <f>IFERROR(__xludf.DUMMYFUNCTION("""COMPUTED_VALUE"""),"31/03")</f>
        <v>31/03</v>
      </c>
      <c r="R66" s="140" t="str">
        <f>IFERROR(__xludf.DUMMYFUNCTION("""COMPUTED_VALUE"""),"31/03")</f>
        <v>31/03</v>
      </c>
      <c r="S66" s="140" t="str">
        <f>IFERROR(__xludf.DUMMYFUNCTION("""COMPUTED_VALUE"""),"31/03")</f>
        <v>31/03</v>
      </c>
      <c r="T66" s="140" t="str">
        <f>IFERROR(__xludf.DUMMYFUNCTION("""COMPUTED_VALUE"""),"05/05")</f>
        <v>05/05</v>
      </c>
      <c r="U66" s="140"/>
      <c r="V66" s="140"/>
      <c r="W66" s="140"/>
      <c r="X66" s="140"/>
      <c r="Y66" s="140"/>
      <c r="Z66" s="140"/>
    </row>
    <row r="67">
      <c r="A67" s="140" t="str">
        <f>IFERROR(__xludf.DUMMYFUNCTION("""COMPUTED_VALUE"""),"VEE ONE")</f>
        <v>VEE ONE</v>
      </c>
      <c r="B67" s="140" t="str">
        <f>IFERROR(__xludf.DUMMYFUNCTION("""COMPUTED_VALUE"""),"BANT")</f>
        <v>BANT</v>
      </c>
      <c r="C67" s="140" t="str">
        <f>IFERROR(__xludf.DUMMYFUNCTION("""COMPUTED_VALUE"""),"066-03064-0005")</f>
        <v>066-03064-0005</v>
      </c>
      <c r="D67" s="140" t="str">
        <f>IFERROR(__xludf.DUMMYFUNCTION("""COMPUTED_VALUE"""),"ENCODING ALTIMETER")</f>
        <v>ENCODING ALTIMETER</v>
      </c>
      <c r="E67" s="140" t="str">
        <f>IFERROR(__xludf.DUMMYFUNCTION("""COMPUTED_VALUE"""),"36025")</f>
        <v>36025</v>
      </c>
      <c r="F67" s="140" t="str">
        <f>IFERROR(__xludf.DUMMYFUNCTION("""COMPUTED_VALUE"""),"007/2025")</f>
        <v>007/2025</v>
      </c>
      <c r="G67" s="140" t="str">
        <f>IFERROR(__xludf.DUMMYFUNCTION("""COMPUTED_VALUE"""),"17/06/2025")</f>
        <v>17/06/2025</v>
      </c>
      <c r="H67" s="140" t="str">
        <f>IFERROR(__xludf.DUMMYFUNCTION("""COMPUTED_VALUE"""),"30/01/2026")</f>
        <v>30/01/2026</v>
      </c>
      <c r="I67" s="140" t="str">
        <f>IFERROR(__xludf.DUMMYFUNCTION("""COMPUTED_VALUE"""),"30/01")</f>
        <v>30/01</v>
      </c>
      <c r="J67" s="140" t="str">
        <f>IFERROR(__xludf.DUMMYFUNCTION("""COMPUTED_VALUE"""),"26/03")</f>
        <v>26/03</v>
      </c>
      <c r="K67" s="140" t="str">
        <f>IFERROR(__xludf.DUMMYFUNCTION("""COMPUTED_VALUE"""),"27/03")</f>
        <v>27/03</v>
      </c>
      <c r="L67" s="140" t="str">
        <f>IFERROR(__xludf.DUMMYFUNCTION("""COMPUTED_VALUE"""),"31/03")</f>
        <v>31/03</v>
      </c>
      <c r="M67" s="140" t="str">
        <f>IFERROR(__xludf.DUMMYFUNCTION("""COMPUTED_VALUE"""),"31/03")</f>
        <v>31/03</v>
      </c>
      <c r="N67" s="140" t="str">
        <f>IFERROR(__xludf.DUMMYFUNCTION("""COMPUTED_VALUE"""),"31/03")</f>
        <v>31/03</v>
      </c>
      <c r="O67" s="140" t="str">
        <f>IFERROR(__xludf.DUMMYFUNCTION("""COMPUTED_VALUE"""),"31/03")</f>
        <v>31/03</v>
      </c>
      <c r="P67" s="140" t="str">
        <f>IFERROR(__xludf.DUMMYFUNCTION("""COMPUTED_VALUE"""),"31/03")</f>
        <v>31/03</v>
      </c>
      <c r="Q67" s="140" t="str">
        <f>IFERROR(__xludf.DUMMYFUNCTION("""COMPUTED_VALUE"""),"31/03")</f>
        <v>31/03</v>
      </c>
      <c r="R67" s="140" t="str">
        <f>IFERROR(__xludf.DUMMYFUNCTION("""COMPUTED_VALUE"""),"31/03")</f>
        <v>31/03</v>
      </c>
      <c r="S67" s="140" t="str">
        <f>IFERROR(__xludf.DUMMYFUNCTION("""COMPUTED_VALUE"""),"31/03")</f>
        <v>31/03</v>
      </c>
      <c r="T67" s="140" t="str">
        <f>IFERROR(__xludf.DUMMYFUNCTION("""COMPUTED_VALUE"""),"05/05")</f>
        <v>05/05</v>
      </c>
      <c r="U67" s="140"/>
      <c r="V67" s="140"/>
      <c r="W67" s="140"/>
      <c r="X67" s="140"/>
      <c r="Y67" s="140"/>
      <c r="Z67" s="140"/>
    </row>
    <row r="68">
      <c r="A68" s="140" t="str">
        <f>IFERROR(__xludf.DUMMYFUNCTION("""COMPUTED_VALUE"""),"VEE ONE")</f>
        <v>VEE ONE</v>
      </c>
      <c r="B68" s="140" t="str">
        <f>IFERROR(__xludf.DUMMYFUNCTION("""COMPUTED_VALUE"""),"BANT")</f>
        <v>BANT</v>
      </c>
      <c r="C68" s="140" t="str">
        <f>IFERROR(__xludf.DUMMYFUNCTION("""COMPUTED_VALUE"""),"9910338-6")</f>
        <v>9910338-6</v>
      </c>
      <c r="D68" s="140" t="str">
        <f>IFERROR(__xludf.DUMMYFUNCTION("""COMPUTED_VALUE"""),"TRANSMITTER")</f>
        <v>TRANSMITTER</v>
      </c>
      <c r="E68" s="140" t="str">
        <f>IFERROR(__xludf.DUMMYFUNCTION("""COMPUTED_VALUE"""),"AAE3882")</f>
        <v>AAE3882</v>
      </c>
      <c r="F68" s="140" t="str">
        <f>IFERROR(__xludf.DUMMYFUNCTION("""COMPUTED_VALUE"""),"007/2025")</f>
        <v>007/2025</v>
      </c>
      <c r="G68" s="140" t="str">
        <f>IFERROR(__xludf.DUMMYFUNCTION("""COMPUTED_VALUE"""),"17/06/2025")</f>
        <v>17/06/2025</v>
      </c>
      <c r="H68" s="140" t="str">
        <f>IFERROR(__xludf.DUMMYFUNCTION("""COMPUTED_VALUE"""),"30/01/2026")</f>
        <v>30/01/2026</v>
      </c>
      <c r="I68" s="140" t="str">
        <f>IFERROR(__xludf.DUMMYFUNCTION("""COMPUTED_VALUE"""),"30/01")</f>
        <v>30/01</v>
      </c>
      <c r="J68" s="140" t="str">
        <f>IFERROR(__xludf.DUMMYFUNCTION("""COMPUTED_VALUE"""),"26/03")</f>
        <v>26/03</v>
      </c>
      <c r="K68" s="140" t="str">
        <f>IFERROR(__xludf.DUMMYFUNCTION("""COMPUTED_VALUE"""),"27/03")</f>
        <v>27/03</v>
      </c>
      <c r="L68" s="140" t="str">
        <f>IFERROR(__xludf.DUMMYFUNCTION("""COMPUTED_VALUE"""),"31/03")</f>
        <v>31/03</v>
      </c>
      <c r="M68" s="140" t="str">
        <f>IFERROR(__xludf.DUMMYFUNCTION("""COMPUTED_VALUE"""),"31/03")</f>
        <v>31/03</v>
      </c>
      <c r="N68" s="140" t="str">
        <f>IFERROR(__xludf.DUMMYFUNCTION("""COMPUTED_VALUE"""),"31/03")</f>
        <v>31/03</v>
      </c>
      <c r="O68" s="140" t="str">
        <f>IFERROR(__xludf.DUMMYFUNCTION("""COMPUTED_VALUE"""),"31/03")</f>
        <v>31/03</v>
      </c>
      <c r="P68" s="140" t="str">
        <f>IFERROR(__xludf.DUMMYFUNCTION("""COMPUTED_VALUE"""),"31/03")</f>
        <v>31/03</v>
      </c>
      <c r="Q68" s="140" t="str">
        <f>IFERROR(__xludf.DUMMYFUNCTION("""COMPUTED_VALUE"""),"31/03")</f>
        <v>31/03</v>
      </c>
      <c r="R68" s="140" t="str">
        <f>IFERROR(__xludf.DUMMYFUNCTION("""COMPUTED_VALUE"""),"31/03")</f>
        <v>31/03</v>
      </c>
      <c r="S68" s="140" t="str">
        <f>IFERROR(__xludf.DUMMYFUNCTION("""COMPUTED_VALUE"""),"31/03")</f>
        <v>31/03</v>
      </c>
      <c r="T68" s="140" t="str">
        <f>IFERROR(__xludf.DUMMYFUNCTION("""COMPUTED_VALUE"""),"05/05")</f>
        <v>05/05</v>
      </c>
      <c r="U68" s="140"/>
      <c r="V68" s="140"/>
      <c r="W68" s="140"/>
      <c r="X68" s="140"/>
      <c r="Y68" s="140"/>
      <c r="Z68" s="140"/>
    </row>
    <row r="69">
      <c r="A69" s="140" t="str">
        <f>IFERROR(__xludf.DUMMYFUNCTION("""COMPUTED_VALUE"""),"VEE ONE")</f>
        <v>VEE ONE</v>
      </c>
      <c r="B69" s="140" t="str">
        <f>IFERROR(__xludf.DUMMYFUNCTION("""COMPUTED_VALUE"""),"BANT")</f>
        <v>BANT</v>
      </c>
      <c r="C69" s="140" t="str">
        <f>IFERROR(__xludf.DUMMYFUNCTION("""COMPUTED_VALUE"""),"066-1072-04")</f>
        <v>066-1072-04</v>
      </c>
      <c r="D69" s="140" t="str">
        <f>IFERROR(__xludf.DUMMYFUNCTION("""COMPUTED_VALUE"""),"RECEIVER RADIO")</f>
        <v>RECEIVER RADIO</v>
      </c>
      <c r="E69" s="140" t="str">
        <f>IFERROR(__xludf.DUMMYFUNCTION("""COMPUTED_VALUE"""),"85131")</f>
        <v>85131</v>
      </c>
      <c r="F69" s="140" t="str">
        <f>IFERROR(__xludf.DUMMYFUNCTION("""COMPUTED_VALUE"""),"007/2025")</f>
        <v>007/2025</v>
      </c>
      <c r="G69" s="140" t="str">
        <f>IFERROR(__xludf.DUMMYFUNCTION("""COMPUTED_VALUE"""),"17/06/2025")</f>
        <v>17/06/2025</v>
      </c>
      <c r="H69" s="140" t="str">
        <f>IFERROR(__xludf.DUMMYFUNCTION("""COMPUTED_VALUE"""),"30/01/2026")</f>
        <v>30/01/2026</v>
      </c>
      <c r="I69" s="140" t="str">
        <f>IFERROR(__xludf.DUMMYFUNCTION("""COMPUTED_VALUE"""),"30/01")</f>
        <v>30/01</v>
      </c>
      <c r="J69" s="140" t="str">
        <f>IFERROR(__xludf.DUMMYFUNCTION("""COMPUTED_VALUE"""),"26/03")</f>
        <v>26/03</v>
      </c>
      <c r="K69" s="140" t="str">
        <f>IFERROR(__xludf.DUMMYFUNCTION("""COMPUTED_VALUE"""),"27/03")</f>
        <v>27/03</v>
      </c>
      <c r="L69" s="140" t="str">
        <f>IFERROR(__xludf.DUMMYFUNCTION("""COMPUTED_VALUE"""),"31/03")</f>
        <v>31/03</v>
      </c>
      <c r="M69" s="140" t="str">
        <f>IFERROR(__xludf.DUMMYFUNCTION("""COMPUTED_VALUE"""),"31/03")</f>
        <v>31/03</v>
      </c>
      <c r="N69" s="140" t="str">
        <f>IFERROR(__xludf.DUMMYFUNCTION("""COMPUTED_VALUE"""),"31/03")</f>
        <v>31/03</v>
      </c>
      <c r="O69" s="140" t="str">
        <f>IFERROR(__xludf.DUMMYFUNCTION("""COMPUTED_VALUE"""),"31/03")</f>
        <v>31/03</v>
      </c>
      <c r="P69" s="140" t="str">
        <f>IFERROR(__xludf.DUMMYFUNCTION("""COMPUTED_VALUE"""),"31/03")</f>
        <v>31/03</v>
      </c>
      <c r="Q69" s="140" t="str">
        <f>IFERROR(__xludf.DUMMYFUNCTION("""COMPUTED_VALUE"""),"31/03")</f>
        <v>31/03</v>
      </c>
      <c r="R69" s="140" t="str">
        <f>IFERROR(__xludf.DUMMYFUNCTION("""COMPUTED_VALUE"""),"31/03")</f>
        <v>31/03</v>
      </c>
      <c r="S69" s="140" t="str">
        <f>IFERROR(__xludf.DUMMYFUNCTION("""COMPUTED_VALUE"""),"31/03")</f>
        <v>31/03</v>
      </c>
      <c r="T69" s="140" t="str">
        <f>IFERROR(__xludf.DUMMYFUNCTION("""COMPUTED_VALUE"""),"05/05")</f>
        <v>05/05</v>
      </c>
      <c r="U69" s="140"/>
      <c r="V69" s="140"/>
      <c r="W69" s="140"/>
      <c r="X69" s="140"/>
      <c r="Y69" s="140"/>
      <c r="Z69" s="140"/>
    </row>
    <row r="70">
      <c r="A70" s="140" t="str">
        <f>IFERROR(__xludf.DUMMYFUNCTION("""COMPUTED_VALUE"""),"VEE ONE")</f>
        <v>VEE ONE</v>
      </c>
      <c r="B70" s="140" t="str">
        <f>IFERROR(__xludf.DUMMYFUNCTION("""COMPUTED_VALUE"""),"BANT")</f>
        <v>BANT</v>
      </c>
      <c r="C70" s="140" t="str">
        <f>IFERROR(__xludf.DUMMYFUNCTION("""COMPUTED_VALUE"""),"C662041-0102")</f>
        <v>C662041-0102</v>
      </c>
      <c r="D70" s="140" t="str">
        <f>IFERROR(__xludf.DUMMYFUNCTION("""COMPUTED_VALUE"""),"INDICATOR FUEL")</f>
        <v>INDICATOR FUEL</v>
      </c>
      <c r="E70" s="140" t="str">
        <f>IFERROR(__xludf.DUMMYFUNCTION("""COMPUTED_VALUE"""),"3890")</f>
        <v>3890</v>
      </c>
      <c r="F70" s="140" t="str">
        <f>IFERROR(__xludf.DUMMYFUNCTION("""COMPUTED_VALUE"""),"014/2025")</f>
        <v>014/2025</v>
      </c>
      <c r="G70" s="140" t="str">
        <f>IFERROR(__xludf.DUMMYFUNCTION("""COMPUTED_VALUE"""),"28/07/2025")</f>
        <v>28/07/2025</v>
      </c>
      <c r="H70" s="140" t="str">
        <f>IFERROR(__xludf.DUMMYFUNCTION("""COMPUTED_VALUE"""),"30/01/2026")</f>
        <v>30/01/2026</v>
      </c>
      <c r="I70" s="140" t="str">
        <f>IFERROR(__xludf.DUMMYFUNCTION("""COMPUTED_VALUE"""),"30/01")</f>
        <v>30/01</v>
      </c>
      <c r="J70" s="140" t="str">
        <f>IFERROR(__xludf.DUMMYFUNCTION("""COMPUTED_VALUE"""),"26/03")</f>
        <v>26/03</v>
      </c>
      <c r="K70" s="140" t="str">
        <f>IFERROR(__xludf.DUMMYFUNCTION("""COMPUTED_VALUE"""),"27/03")</f>
        <v>27/03</v>
      </c>
      <c r="L70" s="140" t="str">
        <f>IFERROR(__xludf.DUMMYFUNCTION("""COMPUTED_VALUE"""),"31/03")</f>
        <v>31/03</v>
      </c>
      <c r="M70" s="140" t="str">
        <f>IFERROR(__xludf.DUMMYFUNCTION("""COMPUTED_VALUE"""),"31/03")</f>
        <v>31/03</v>
      </c>
      <c r="N70" s="140" t="str">
        <f>IFERROR(__xludf.DUMMYFUNCTION("""COMPUTED_VALUE"""),"31/03")</f>
        <v>31/03</v>
      </c>
      <c r="O70" s="140" t="str">
        <f>IFERROR(__xludf.DUMMYFUNCTION("""COMPUTED_VALUE"""),"31/03")</f>
        <v>31/03</v>
      </c>
      <c r="P70" s="140" t="str">
        <f>IFERROR(__xludf.DUMMYFUNCTION("""COMPUTED_VALUE"""),"31/03")</f>
        <v>31/03</v>
      </c>
      <c r="Q70" s="140" t="str">
        <f>IFERROR(__xludf.DUMMYFUNCTION("""COMPUTED_VALUE"""),"31/03")</f>
        <v>31/03</v>
      </c>
      <c r="R70" s="140" t="str">
        <f>IFERROR(__xludf.DUMMYFUNCTION("""COMPUTED_VALUE"""),"31/03")</f>
        <v>31/03</v>
      </c>
      <c r="S70" s="140" t="str">
        <f>IFERROR(__xludf.DUMMYFUNCTION("""COMPUTED_VALUE"""),"31/03")</f>
        <v>31/03</v>
      </c>
      <c r="T70" s="140" t="str">
        <f>IFERROR(__xludf.DUMMYFUNCTION("""COMPUTED_VALUE"""),"05/05")</f>
        <v>05/05</v>
      </c>
      <c r="U70" s="140"/>
      <c r="V70" s="140"/>
      <c r="W70" s="140"/>
      <c r="X70" s="140"/>
      <c r="Y70" s="140"/>
      <c r="Z70" s="140"/>
    </row>
    <row r="71" hidden="1">
      <c r="A71" s="140" t="str">
        <f>IFERROR(__xludf.DUMMYFUNCTION("""COMPUTED_VALUE"""),"VEE ONE")</f>
        <v>VEE ONE</v>
      </c>
      <c r="B71" s="140" t="str">
        <f>IFERROR(__xludf.DUMMYFUNCTION("""COMPUTED_VALUE"""),"BABR")</f>
        <v>BABR</v>
      </c>
      <c r="C71" s="140" t="str">
        <f>IFERROR(__xludf.DUMMYFUNCTION("""COMPUTED_VALUE"""),"3244897-4")</f>
        <v>3244897-4</v>
      </c>
      <c r="D71" s="140" t="str">
        <f>IFERROR(__xludf.DUMMYFUNCTION("""COMPUTED_VALUE"""),"FUEL CONTROL UNIT")</f>
        <v>FUEL CONTROL UNIT</v>
      </c>
      <c r="E71" s="140" t="str">
        <f>IFERROR(__xludf.DUMMYFUNCTION("""COMPUTED_VALUE"""),"C66477")</f>
        <v>C66477</v>
      </c>
      <c r="F71" s="140" t="str">
        <f>IFERROR(__xludf.DUMMYFUNCTION("""COMPUTED_VALUE"""),"014/2026")</f>
        <v>014/2026</v>
      </c>
      <c r="G71" s="140" t="str">
        <f>IFERROR(__xludf.DUMMYFUNCTION("""COMPUTED_VALUE"""),"22/04")</f>
        <v>22/04</v>
      </c>
      <c r="H71" s="140" t="str">
        <f>IFERROR(__xludf.DUMMYFUNCTION("""COMPUTED_VALUE"""),"27/04")</f>
        <v>27/04</v>
      </c>
      <c r="I71" s="140" t="str">
        <f>IFERROR(__xludf.DUMMYFUNCTION("""COMPUTED_VALUE"""),"27/04")</f>
        <v>27/04</v>
      </c>
      <c r="J71" s="140" t="str">
        <f>IFERROR(__xludf.DUMMYFUNCTION("""COMPUTED_VALUE"""),"05/05")</f>
        <v>05/05</v>
      </c>
      <c r="K71" s="140" t="str">
        <f>IFERROR(__xludf.DUMMYFUNCTION("""COMPUTED_VALUE"""),"08/05")</f>
        <v>08/05</v>
      </c>
      <c r="L71" s="140" t="str">
        <f>IFERROR(__xludf.DUMMYFUNCTION("""COMPUTED_VALUE"""),"08/05")</f>
        <v>08/05</v>
      </c>
      <c r="M71" s="140" t="str">
        <f>IFERROR(__xludf.DUMMYFUNCTION("""COMPUTED_VALUE"""),"08/05")</f>
        <v>08/05</v>
      </c>
      <c r="N71" s="140" t="str">
        <f>IFERROR(__xludf.DUMMYFUNCTION("""COMPUTED_VALUE"""),"08/05")</f>
        <v>08/05</v>
      </c>
      <c r="O71" s="140" t="str">
        <f>IFERROR(__xludf.DUMMYFUNCTION("""COMPUTED_VALUE"""),"08/05")</f>
        <v>08/05</v>
      </c>
      <c r="P71" s="140" t="str">
        <f>IFERROR(__xludf.DUMMYFUNCTION("""COMPUTED_VALUE"""),"13/05")</f>
        <v>13/05</v>
      </c>
      <c r="Q71" s="140" t="str">
        <f>IFERROR(__xludf.DUMMYFUNCTION("""COMPUTED_VALUE"""),"13/05")</f>
        <v>13/05</v>
      </c>
      <c r="R71" s="140" t="str">
        <f>IFERROR(__xludf.DUMMYFUNCTION("""COMPUTED_VALUE"""),"13/05")</f>
        <v>13/05</v>
      </c>
      <c r="S71" s="140" t="str">
        <f>IFERROR(__xludf.DUMMYFUNCTION("""COMPUTED_VALUE"""),"13/05")</f>
        <v>13/05</v>
      </c>
      <c r="T71" s="140" t="str">
        <f>IFERROR(__xludf.DUMMYFUNCTION("""COMPUTED_VALUE"""),"13/05")</f>
        <v>13/05</v>
      </c>
      <c r="U71" s="140" t="str">
        <f>IFERROR(__xludf.DUMMYFUNCTION("""COMPUTED_VALUE"""),"Dtata constante no termo é 22/05/2026, o correto é 22/04/2026.")</f>
        <v>Dtata constante no termo é 22/05/2026, o correto é 22/04/2026.</v>
      </c>
      <c r="V71" s="140"/>
      <c r="W71" s="140"/>
      <c r="X71" s="140"/>
      <c r="Y71" s="140"/>
      <c r="Z71" s="140"/>
    </row>
    <row r="72" hidden="1">
      <c r="A72" s="140" t="str">
        <f>IFERROR(__xludf.DUMMYFUNCTION("""COMPUTED_VALUE"""),"VEE ONE")</f>
        <v>VEE ONE</v>
      </c>
      <c r="B72" s="140" t="str">
        <f>IFERROR(__xludf.DUMMYFUNCTION("""COMPUTED_VALUE"""),"BABE")</f>
        <v>BABE</v>
      </c>
      <c r="C72" s="140" t="str">
        <f>IFERROR(__xludf.DUMMYFUNCTION("""COMPUTED_VALUE"""),"066-1055-00")</f>
        <v>066-1055-00</v>
      </c>
      <c r="D72" s="140" t="str">
        <f>IFERROR(__xludf.DUMMYFUNCTION("""COMPUTED_VALUE"""),"AUDIO CONTROL PANEL")</f>
        <v>AUDIO CONTROL PANEL</v>
      </c>
      <c r="E72" s="140" t="str">
        <f>IFERROR(__xludf.DUMMYFUNCTION("""COMPUTED_VALUE"""),"108773")</f>
        <v>108773</v>
      </c>
      <c r="F72" s="140" t="str">
        <f>IFERROR(__xludf.DUMMYFUNCTION("""COMPUTED_VALUE"""),"011/2026")</f>
        <v>011/2026</v>
      </c>
      <c r="G72" s="140" t="str">
        <f>IFERROR(__xludf.DUMMYFUNCTION("""COMPUTED_VALUE"""),"05/05")</f>
        <v>05/05</v>
      </c>
      <c r="H72" s="140" t="str">
        <f>IFERROR(__xludf.DUMMYFUNCTION("""COMPUTED_VALUE"""),"07/05")</f>
        <v>07/05</v>
      </c>
      <c r="I72" s="140" t="str">
        <f>IFERROR(__xludf.DUMMYFUNCTION("""COMPUTED_VALUE"""),"*")</f>
        <v>*</v>
      </c>
      <c r="J72" s="140" t="str">
        <f>IFERROR(__xludf.DUMMYFUNCTION("""COMPUTED_VALUE"""),"07/05")</f>
        <v>07/05</v>
      </c>
      <c r="K72" s="140" t="str">
        <f>IFERROR(__xludf.DUMMYFUNCTION("""COMPUTED_VALUE"""),"11/05")</f>
        <v>11/05</v>
      </c>
      <c r="L72" s="140" t="str">
        <f>IFERROR(__xludf.DUMMYFUNCTION("""COMPUTED_VALUE"""),"11/05")</f>
        <v>11/05</v>
      </c>
      <c r="M72" s="140" t="str">
        <f>IFERROR(__xludf.DUMMYFUNCTION("""COMPUTED_VALUE"""),"11/05")</f>
        <v>11/05</v>
      </c>
      <c r="N72" s="140" t="str">
        <f>IFERROR(__xludf.DUMMYFUNCTION("""COMPUTED_VALUE"""),"11/05")</f>
        <v>11/05</v>
      </c>
      <c r="O72" s="140" t="str">
        <f>IFERROR(__xludf.DUMMYFUNCTION("""COMPUTED_VALUE"""),"11/05")</f>
        <v>11/05</v>
      </c>
      <c r="P72" s="140" t="str">
        <f>IFERROR(__xludf.DUMMYFUNCTION("""COMPUTED_VALUE"""),"13/05")</f>
        <v>13/05</v>
      </c>
      <c r="Q72" s="140" t="str">
        <f>IFERROR(__xludf.DUMMYFUNCTION("""COMPUTED_VALUE"""),"13/05")</f>
        <v>13/05</v>
      </c>
      <c r="R72" s="140" t="str">
        <f>IFERROR(__xludf.DUMMYFUNCTION("""COMPUTED_VALUE"""),"13/05")</f>
        <v>13/05</v>
      </c>
      <c r="S72" s="140" t="str">
        <f>IFERROR(__xludf.DUMMYFUNCTION("""COMPUTED_VALUE"""),"13/05")</f>
        <v>13/05</v>
      </c>
      <c r="T72" s="140" t="str">
        <f>IFERROR(__xludf.DUMMYFUNCTION("""COMPUTED_VALUE"""),"14/05")</f>
        <v>14/05</v>
      </c>
      <c r="U72" s="140"/>
      <c r="V72" s="140"/>
      <c r="W72" s="140"/>
      <c r="X72" s="140"/>
      <c r="Y72" s="140"/>
      <c r="Z72" s="140"/>
    </row>
    <row r="73" hidden="1">
      <c r="A73" s="140" t="str">
        <f>IFERROR(__xludf.DUMMYFUNCTION("""COMPUTED_VALUE"""),"VEE ONE")</f>
        <v>VEE ONE</v>
      </c>
      <c r="B73" s="140" t="str">
        <f>IFERROR(__xludf.DUMMYFUNCTION("""COMPUTED_VALUE"""),"BAMN")</f>
        <v>BAMN</v>
      </c>
      <c r="C73" s="140" t="str">
        <f>IFERROR(__xludf.DUMMYFUNCTION("""COMPUTED_VALUE"""),"2682001-1")</f>
        <v>2682001-1</v>
      </c>
      <c r="D73" s="140" t="str">
        <f>IFERROR(__xludf.DUMMYFUNCTION("""COMPUTED_VALUE"""),"CILINDRO DE FREIO")</f>
        <v>CILINDRO DE FREIO</v>
      </c>
      <c r="E73" s="140" t="str">
        <f>IFERROR(__xludf.DUMMYFUNCTION("""COMPUTED_VALUE"""),"S4H004")</f>
        <v>S4H004</v>
      </c>
      <c r="F73" s="140" t="str">
        <f>IFERROR(__xludf.DUMMYFUNCTION("""COMPUTED_VALUE"""),"059/2026")</f>
        <v>059/2026</v>
      </c>
      <c r="G73" s="140" t="str">
        <f>IFERROR(__xludf.DUMMYFUNCTION("""COMPUTED_VALUE"""),"05/05")</f>
        <v>05/05</v>
      </c>
      <c r="H73" s="140" t="str">
        <f>IFERROR(__xludf.DUMMYFUNCTION("""COMPUTED_VALUE"""),"08/05")</f>
        <v>08/05</v>
      </c>
      <c r="I73" s="140" t="str">
        <f>IFERROR(__xludf.DUMMYFUNCTION("""COMPUTED_VALUE"""),"*")</f>
        <v>*</v>
      </c>
      <c r="J73" s="140" t="str">
        <f>IFERROR(__xludf.DUMMYFUNCTION("""COMPUTED_VALUE"""),"08/05")</f>
        <v>08/05</v>
      </c>
      <c r="K73" s="140" t="str">
        <f>IFERROR(__xludf.DUMMYFUNCTION("""COMPUTED_VALUE"""),"08/05")</f>
        <v>08/05</v>
      </c>
      <c r="L73" s="140" t="str">
        <f>IFERROR(__xludf.DUMMYFUNCTION("""COMPUTED_VALUE"""),"08/05")</f>
        <v>08/05</v>
      </c>
      <c r="M73" s="140" t="str">
        <f>IFERROR(__xludf.DUMMYFUNCTION("""COMPUTED_VALUE"""),"08/05")</f>
        <v>08/05</v>
      </c>
      <c r="N73" s="140" t="str">
        <f>IFERROR(__xludf.DUMMYFUNCTION("""COMPUTED_VALUE"""),"08/05")</f>
        <v>08/05</v>
      </c>
      <c r="O73" s="140" t="str">
        <f>IFERROR(__xludf.DUMMYFUNCTION("""COMPUTED_VALUE"""),"08/05")</f>
        <v>08/05</v>
      </c>
      <c r="P73" s="140" t="str">
        <f>IFERROR(__xludf.DUMMYFUNCTION("""COMPUTED_VALUE"""),"13/05")</f>
        <v>13/05</v>
      </c>
      <c r="Q73" s="140" t="str">
        <f>IFERROR(__xludf.DUMMYFUNCTION("""COMPUTED_VALUE"""),"13/05")</f>
        <v>13/05</v>
      </c>
      <c r="R73" s="140" t="str">
        <f>IFERROR(__xludf.DUMMYFUNCTION("""COMPUTED_VALUE"""),"13/05")</f>
        <v>13/05</v>
      </c>
      <c r="S73" s="140" t="str">
        <f>IFERROR(__xludf.DUMMYFUNCTION("""COMPUTED_VALUE"""),"13/05")</f>
        <v>13/05</v>
      </c>
      <c r="T73" s="140" t="str">
        <f>IFERROR(__xludf.DUMMYFUNCTION("""COMPUTED_VALUE"""),"13/05")</f>
        <v>13/05</v>
      </c>
      <c r="U73" s="140"/>
      <c r="V73" s="140"/>
      <c r="W73" s="140"/>
      <c r="X73" s="140"/>
      <c r="Y73" s="140"/>
      <c r="Z73" s="140"/>
    </row>
    <row r="74">
      <c r="A74" s="140" t="str">
        <f>IFERROR(__xludf.DUMMYFUNCTION("""COMPUTED_VALUE"""),"VEE ONE")</f>
        <v>VEE ONE</v>
      </c>
      <c r="B74" s="140" t="str">
        <f>IFERROR(__xludf.DUMMYFUNCTION("""COMPUTED_VALUE"""),"CLA")</f>
        <v>CLA</v>
      </c>
      <c r="C74" s="140" t="str">
        <f>IFERROR(__xludf.DUMMYFUNCTION("""COMPUTED_VALUE"""),"2641011-5")</f>
        <v>2641011-5</v>
      </c>
      <c r="D74" s="140" t="str">
        <f>IFERROR(__xludf.DUMMYFUNCTION("""COMPUTED_VALUE"""),"AXLE-MAIN GEAR")</f>
        <v>AXLE-MAIN GEAR</v>
      </c>
      <c r="E74" s="140" t="str">
        <f>IFERROR(__xludf.DUMMYFUNCTION("""COMPUTED_VALUE"""),"3124-5")</f>
        <v>3124-5</v>
      </c>
      <c r="F74" s="140" t="str">
        <f>IFERROR(__xludf.DUMMYFUNCTION("""COMPUTED_VALUE"""),"005/2026")</f>
        <v>005/2026</v>
      </c>
      <c r="G74" s="140" t="str">
        <f>IFERROR(__xludf.DUMMYFUNCTION("""COMPUTED_VALUE"""),"13/02")</f>
        <v>13/02</v>
      </c>
      <c r="H74" s="140" t="str">
        <f>IFERROR(__xludf.DUMMYFUNCTION("""COMPUTED_VALUE"""),"06/05")</f>
        <v>06/05</v>
      </c>
      <c r="I74" s="140" t="str">
        <f>IFERROR(__xludf.DUMMYFUNCTION("""COMPUTED_VALUE"""),"*")</f>
        <v>*</v>
      </c>
      <c r="J74" s="140" t="str">
        <f>IFERROR(__xludf.DUMMYFUNCTION("""COMPUTED_VALUE"""),"06/05")</f>
        <v>06/05</v>
      </c>
      <c r="K74" s="140" t="str">
        <f>IFERROR(__xludf.DUMMYFUNCTION("""COMPUTED_VALUE"""),"07/05")</f>
        <v>07/05</v>
      </c>
      <c r="L74" s="140" t="str">
        <f>IFERROR(__xludf.DUMMYFUNCTION("""COMPUTED_VALUE"""),"07/05")</f>
        <v>07/05</v>
      </c>
      <c r="M74" s="140" t="str">
        <f>IFERROR(__xludf.DUMMYFUNCTION("""COMPUTED_VALUE"""),"08/05")</f>
        <v>08/05</v>
      </c>
      <c r="N74" s="140" t="str">
        <f>IFERROR(__xludf.DUMMYFUNCTION("""COMPUTED_VALUE"""),"08/05")</f>
        <v>08/05</v>
      </c>
      <c r="O74" s="140" t="str">
        <f>IFERROR(__xludf.DUMMYFUNCTION("""COMPUTED_VALUE"""),"08/05")</f>
        <v>08/05</v>
      </c>
      <c r="P74" s="140" t="str">
        <f>IFERROR(__xludf.DUMMYFUNCTION("""COMPUTED_VALUE"""),"13/05")</f>
        <v>13/05</v>
      </c>
      <c r="Q74" s="140" t="str">
        <f>IFERROR(__xludf.DUMMYFUNCTION("""COMPUTED_VALUE"""),"13/05")</f>
        <v>13/05</v>
      </c>
      <c r="R74" s="140" t="str">
        <f>IFERROR(__xludf.DUMMYFUNCTION("""COMPUTED_VALUE"""),"13/05")</f>
        <v>13/05</v>
      </c>
      <c r="S74" s="140" t="str">
        <f>IFERROR(__xludf.DUMMYFUNCTION("""COMPUTED_VALUE"""),"13/05")</f>
        <v>13/05</v>
      </c>
      <c r="T74" s="140" t="str">
        <f>IFERROR(__xludf.DUMMYFUNCTION("""COMPUTED_VALUE"""),"25/05")</f>
        <v>25/05</v>
      </c>
      <c r="U74" s="140"/>
      <c r="V74" s="140"/>
      <c r="W74" s="140"/>
      <c r="X74" s="140"/>
      <c r="Y74" s="140"/>
      <c r="Z74" s="140"/>
    </row>
    <row r="75" hidden="1">
      <c r="A75" s="140" t="str">
        <f>IFERROR(__xludf.DUMMYFUNCTION("""COMPUTED_VALUE"""),"VEE ONE")</f>
        <v>VEE ONE</v>
      </c>
      <c r="B75" s="140" t="str">
        <f>IFERROR(__xludf.DUMMYFUNCTION("""COMPUTED_VALUE"""),"CLA")</f>
        <v>CLA</v>
      </c>
      <c r="C75" s="140" t="str">
        <f>IFERROR(__xludf.DUMMYFUNCTION("""COMPUTED_VALUE"""),"324843-W020")</f>
        <v>324843-W020</v>
      </c>
      <c r="D75" s="140" t="str">
        <f>IFERROR(__xludf.DUMMYFUNCTION("""COMPUTED_VALUE"""),"HEADSET-MICROPHONE")</f>
        <v>HEADSET-MICROPHONE</v>
      </c>
      <c r="E75" s="140" t="str">
        <f>IFERROR(__xludf.DUMMYFUNCTION("""COMPUTED_VALUE"""),"073200G71030137AE")</f>
        <v>073200G71030137AE</v>
      </c>
      <c r="F75" s="140" t="str">
        <f>IFERROR(__xludf.DUMMYFUNCTION("""COMPUTED_VALUE"""),"002/2026")</f>
        <v>002/2026</v>
      </c>
      <c r="G75" s="140" t="str">
        <f>IFERROR(__xludf.DUMMYFUNCTION("""COMPUTED_VALUE"""),"03/02")</f>
        <v>03/02</v>
      </c>
      <c r="H75" s="140" t="str">
        <f>IFERROR(__xludf.DUMMYFUNCTION("""COMPUTED_VALUE"""),"08/05")</f>
        <v>08/05</v>
      </c>
      <c r="I75" s="140" t="str">
        <f>IFERROR(__xludf.DUMMYFUNCTION("""COMPUTED_VALUE"""),"*")</f>
        <v>*</v>
      </c>
      <c r="J75" s="140" t="str">
        <f>IFERROR(__xludf.DUMMYFUNCTION("""COMPUTED_VALUE"""),"08/05")</f>
        <v>08/05</v>
      </c>
      <c r="K75" s="140" t="str">
        <f>IFERROR(__xludf.DUMMYFUNCTION("""COMPUTED_VALUE"""),"11/05")</f>
        <v>11/05</v>
      </c>
      <c r="L75" s="140" t="str">
        <f>IFERROR(__xludf.DUMMYFUNCTION("""COMPUTED_VALUE"""),"11/05")</f>
        <v>11/05</v>
      </c>
      <c r="M75" s="140" t="str">
        <f>IFERROR(__xludf.DUMMYFUNCTION("""COMPUTED_VALUE"""),"11/05")</f>
        <v>11/05</v>
      </c>
      <c r="N75" s="140" t="str">
        <f>IFERROR(__xludf.DUMMYFUNCTION("""COMPUTED_VALUE"""),"11/05")</f>
        <v>11/05</v>
      </c>
      <c r="O75" s="140" t="str">
        <f>IFERROR(__xludf.DUMMYFUNCTION("""COMPUTED_VALUE"""),"13/05")</f>
        <v>13/05</v>
      </c>
      <c r="P75" s="140" t="str">
        <f>IFERROR(__xludf.DUMMYFUNCTION("""COMPUTED_VALUE"""),"14/05")</f>
        <v>14/05</v>
      </c>
      <c r="Q75" s="140" t="str">
        <f>IFERROR(__xludf.DUMMYFUNCTION("""COMPUTED_VALUE"""),"14/05")</f>
        <v>14/05</v>
      </c>
      <c r="R75" s="140" t="str">
        <f>IFERROR(__xludf.DUMMYFUNCTION("""COMPUTED_VALUE"""),"14/05")</f>
        <v>14/05</v>
      </c>
      <c r="S75" s="140" t="str">
        <f>IFERROR(__xludf.DUMMYFUNCTION("""COMPUTED_VALUE"""),"14/05")</f>
        <v>14/05</v>
      </c>
      <c r="T75" s="140" t="str">
        <f>IFERROR(__xludf.DUMMYFUNCTION("""COMPUTED_VALUE"""),"25/05")</f>
        <v>25/05</v>
      </c>
      <c r="U75" s="140" t="str">
        <f>IFERROR(__xludf.DUMMYFUNCTION("""COMPUTED_VALUE"""),"SN não encontrado no sistema e sem certificado")</f>
        <v>SN não encontrado no sistema e sem certificado</v>
      </c>
      <c r="V75" s="140"/>
      <c r="W75" s="140"/>
      <c r="X75" s="140"/>
      <c r="Y75" s="140"/>
      <c r="Z75" s="140"/>
    </row>
    <row r="76" hidden="1">
      <c r="A76" s="140" t="str">
        <f>IFERROR(__xludf.DUMMYFUNCTION("""COMPUTED_VALUE"""),"VEE ONE")</f>
        <v>VEE ONE</v>
      </c>
      <c r="B76" s="140" t="str">
        <f>IFERROR(__xludf.DUMMYFUNCTION("""COMPUTED_VALUE"""),"BABE")</f>
        <v>BABE</v>
      </c>
      <c r="C76" s="140" t="str">
        <f>IFERROR(__xludf.DUMMYFUNCTION("""COMPUTED_VALUE"""),"011-01020-10")</f>
        <v>011-01020-10</v>
      </c>
      <c r="D76" s="140" t="str">
        <f>IFERROR(__xludf.DUMMYFUNCTION("""COMPUTED_VALUE"""),"AFCS MODE CONTROLLER GMC 710")</f>
        <v>AFCS MODE CONTROLLER GMC 710</v>
      </c>
      <c r="E76" s="140" t="str">
        <f>IFERROR(__xludf.DUMMYFUNCTION("""COMPUTED_VALUE"""),"22010827")</f>
        <v>22010827</v>
      </c>
      <c r="F76" s="140" t="str">
        <f>IFERROR(__xludf.DUMMYFUNCTION("""COMPUTED_VALUE"""),"007/2026")</f>
        <v>007/2026</v>
      </c>
      <c r="G76" s="140" t="str">
        <f>IFERROR(__xludf.DUMMYFUNCTION("""COMPUTED_VALUE"""),"19/03")</f>
        <v>19/03</v>
      </c>
      <c r="H76" s="140" t="str">
        <f>IFERROR(__xludf.DUMMYFUNCTION("""COMPUTED_VALUE"""),"23/03")</f>
        <v>23/03</v>
      </c>
      <c r="I76" s="140"/>
      <c r="J76" s="140" t="str">
        <f>IFERROR(__xludf.DUMMYFUNCTION("""COMPUTED_VALUE"""),"20/05")</f>
        <v>20/05</v>
      </c>
      <c r="K76" s="140" t="str">
        <f>IFERROR(__xludf.DUMMYFUNCTION("""COMPUTED_VALUE"""),"21/05")</f>
        <v>21/05</v>
      </c>
      <c r="L76" s="140" t="str">
        <f>IFERROR(__xludf.DUMMYFUNCTION("""COMPUTED_VALUE"""),"21/05")</f>
        <v>21/05</v>
      </c>
      <c r="M76" s="140" t="str">
        <f>IFERROR(__xludf.DUMMYFUNCTION("""COMPUTED_VALUE"""),"22/05")</f>
        <v>22/05</v>
      </c>
      <c r="N76" s="140" t="str">
        <f>IFERROR(__xludf.DUMMYFUNCTION("""COMPUTED_VALUE"""),"22/05")</f>
        <v>22/05</v>
      </c>
      <c r="O76" s="140" t="str">
        <f>IFERROR(__xludf.DUMMYFUNCTION("""COMPUTED_VALUE"""),"22/05")</f>
        <v>22/05</v>
      </c>
      <c r="P76" s="140" t="str">
        <f>IFERROR(__xludf.DUMMYFUNCTION("""COMPUTED_VALUE"""),"22/05")</f>
        <v>22/05</v>
      </c>
      <c r="Q76" s="140" t="str">
        <f>IFERROR(__xludf.DUMMYFUNCTION("""COMPUTED_VALUE"""),"22/05")</f>
        <v>22/05</v>
      </c>
      <c r="R76" s="140" t="str">
        <f>IFERROR(__xludf.DUMMYFUNCTION("""COMPUTED_VALUE"""),"22/05")</f>
        <v>22/05</v>
      </c>
      <c r="S76" s="140" t="str">
        <f>IFERROR(__xludf.DUMMYFUNCTION("""COMPUTED_VALUE"""),"22/05")</f>
        <v>22/05</v>
      </c>
      <c r="T76" s="140" t="str">
        <f>IFERROR(__xludf.DUMMYFUNCTION("""COMPUTED_VALUE"""),"27/05")</f>
        <v>27/05</v>
      </c>
      <c r="U76" s="140" t="str">
        <f>IFERROR(__xludf.DUMMYFUNCTION("""COMPUTED_VALUE"""),"Exchange com SN 22005920")</f>
        <v>Exchange com SN 22005920</v>
      </c>
      <c r="V76" s="140"/>
      <c r="W76" s="140"/>
      <c r="X76" s="140"/>
      <c r="Y76" s="140"/>
      <c r="Z76" s="140"/>
    </row>
    <row r="77" hidden="1">
      <c r="A77" s="140" t="str">
        <f>IFERROR(__xludf.DUMMYFUNCTION("""COMPUTED_VALUE"""),"VEE ONE")</f>
        <v>VEE ONE</v>
      </c>
      <c r="B77" s="140" t="str">
        <f>IFERROR(__xludf.DUMMYFUNCTION("""COMPUTED_VALUE"""),"BAMN")</f>
        <v>BAMN</v>
      </c>
      <c r="C77" s="140" t="str">
        <f>IFERROR(__xludf.DUMMYFUNCTION("""COMPUTED_VALUE"""),"D210507")</f>
        <v>D210507</v>
      </c>
      <c r="D77" s="140" t="str">
        <f>IFERROR(__xludf.DUMMYFUNCTION("""COMPUTED_VALUE"""),"GOVERNOR,OVERSPEED")</f>
        <v>GOVERNOR,OVERSPEED</v>
      </c>
      <c r="E77" s="140" t="str">
        <f>IFERROR(__xludf.DUMMYFUNCTION("""COMPUTED_VALUE"""),"12245097V")</f>
        <v>12245097V</v>
      </c>
      <c r="F77" s="140" t="str">
        <f>IFERROR(__xludf.DUMMYFUNCTION("""COMPUTED_VALUE"""),"060/2026")</f>
        <v>060/2026</v>
      </c>
      <c r="G77" s="140" t="str">
        <f>IFERROR(__xludf.DUMMYFUNCTION("""COMPUTED_VALUE"""),"07/05")</f>
        <v>07/05</v>
      </c>
      <c r="H77" s="140" t="str">
        <f>IFERROR(__xludf.DUMMYFUNCTION("""COMPUTED_VALUE"""),"08/05")</f>
        <v>08/05</v>
      </c>
      <c r="I77" s="140"/>
      <c r="J77" s="140" t="str">
        <f>IFERROR(__xludf.DUMMYFUNCTION("""COMPUTED_VALUE"""),"19/05")</f>
        <v>19/05</v>
      </c>
      <c r="K77" s="140" t="str">
        <f>IFERROR(__xludf.DUMMYFUNCTION("""COMPUTED_VALUE"""),"19/05")</f>
        <v>19/05</v>
      </c>
      <c r="L77" s="140" t="str">
        <f>IFERROR(__xludf.DUMMYFUNCTION("""COMPUTED_VALUE"""),"19/05")</f>
        <v>19/05</v>
      </c>
      <c r="M77" s="140" t="str">
        <f>IFERROR(__xludf.DUMMYFUNCTION("""COMPUTED_VALUE"""),"19/05")</f>
        <v>19/05</v>
      </c>
      <c r="N77" s="140" t="str">
        <f>IFERROR(__xludf.DUMMYFUNCTION("""COMPUTED_VALUE"""),"21/05")</f>
        <v>21/05</v>
      </c>
      <c r="O77" s="140" t="str">
        <f>IFERROR(__xludf.DUMMYFUNCTION("""COMPUTED_VALUE"""),"22/05")</f>
        <v>22/05</v>
      </c>
      <c r="P77" s="140" t="str">
        <f>IFERROR(__xludf.DUMMYFUNCTION("""COMPUTED_VALUE"""),"22/05")</f>
        <v>22/05</v>
      </c>
      <c r="Q77" s="140" t="str">
        <f>IFERROR(__xludf.DUMMYFUNCTION("""COMPUTED_VALUE"""),"22/05")</f>
        <v>22/05</v>
      </c>
      <c r="R77" s="140" t="str">
        <f>IFERROR(__xludf.DUMMYFUNCTION("""COMPUTED_VALUE"""),"22/05")</f>
        <v>22/05</v>
      </c>
      <c r="S77" s="140" t="str">
        <f>IFERROR(__xludf.DUMMYFUNCTION("""COMPUTED_VALUE"""),"22/05")</f>
        <v>22/05</v>
      </c>
      <c r="T77" s="140" t="str">
        <f>IFERROR(__xludf.DUMMYFUNCTION("""COMPUTED_VALUE"""),"25/05")</f>
        <v>25/05</v>
      </c>
      <c r="U77" s="140"/>
      <c r="V77" s="140"/>
      <c r="W77" s="140"/>
      <c r="X77" s="140"/>
      <c r="Y77" s="140"/>
      <c r="Z77" s="140"/>
    </row>
    <row r="78" hidden="1">
      <c r="A78" s="140" t="str">
        <f>IFERROR(__xludf.DUMMYFUNCTION("""COMPUTED_VALUE"""),"VEE ONE")</f>
        <v>VEE ONE</v>
      </c>
      <c r="B78" s="140" t="str">
        <f>IFERROR(__xludf.DUMMYFUNCTION("""COMPUTED_VALUE"""),"BAMN")</f>
        <v>BAMN</v>
      </c>
      <c r="C78" s="140" t="str">
        <f>IFERROR(__xludf.DUMMYFUNCTION("""COMPUTED_VALUE"""),"162-11800")</f>
        <v>162-11800</v>
      </c>
      <c r="D78" s="140" t="str">
        <f>IFERROR(__xludf.DUMMYFUNCTION("""COMPUTED_VALUE"""),"WHEEL HALF ASSY")</f>
        <v>WHEEL HALF ASSY</v>
      </c>
      <c r="E78" s="140" t="str">
        <f>IFERROR(__xludf.DUMMYFUNCTION("""COMPUTED_VALUE"""),"935")</f>
        <v>935</v>
      </c>
      <c r="F78" s="140" t="str">
        <f>IFERROR(__xludf.DUMMYFUNCTION("""COMPUTED_VALUE"""),"061/2026")</f>
        <v>061/2026</v>
      </c>
      <c r="G78" s="140" t="str">
        <f>IFERROR(__xludf.DUMMYFUNCTION("""COMPUTED_VALUE"""),"07/05")</f>
        <v>07/05</v>
      </c>
      <c r="H78" s="140" t="str">
        <f>IFERROR(__xludf.DUMMYFUNCTION("""COMPUTED_VALUE"""),"08/05")</f>
        <v>08/05</v>
      </c>
      <c r="I78" s="140"/>
      <c r="J78" s="140" t="str">
        <f>IFERROR(__xludf.DUMMYFUNCTION("""COMPUTED_VALUE"""),"19/05")</f>
        <v>19/05</v>
      </c>
      <c r="K78" s="140" t="str">
        <f>IFERROR(__xludf.DUMMYFUNCTION("""COMPUTED_VALUE"""),"19/05")</f>
        <v>19/05</v>
      </c>
      <c r="L78" s="140" t="str">
        <f>IFERROR(__xludf.DUMMYFUNCTION("""COMPUTED_VALUE"""),"19/05")</f>
        <v>19/05</v>
      </c>
      <c r="M78" s="140" t="str">
        <f>IFERROR(__xludf.DUMMYFUNCTION("""COMPUTED_VALUE"""),"19/05")</f>
        <v>19/05</v>
      </c>
      <c r="N78" s="140" t="str">
        <f>IFERROR(__xludf.DUMMYFUNCTION("""COMPUTED_VALUE"""),"21/05")</f>
        <v>21/05</v>
      </c>
      <c r="O78" s="140" t="str">
        <f>IFERROR(__xludf.DUMMYFUNCTION("""COMPUTED_VALUE"""),"22/05")</f>
        <v>22/05</v>
      </c>
      <c r="P78" s="140" t="str">
        <f>IFERROR(__xludf.DUMMYFUNCTION("""COMPUTED_VALUE"""),"22/05")</f>
        <v>22/05</v>
      </c>
      <c r="Q78" s="140" t="str">
        <f>IFERROR(__xludf.DUMMYFUNCTION("""COMPUTED_VALUE"""),"22/05")</f>
        <v>22/05</v>
      </c>
      <c r="R78" s="140" t="str">
        <f>IFERROR(__xludf.DUMMYFUNCTION("""COMPUTED_VALUE"""),"22/05")</f>
        <v>22/05</v>
      </c>
      <c r="S78" s="140" t="str">
        <f>IFERROR(__xludf.DUMMYFUNCTION("""COMPUTED_VALUE"""),"22/05")</f>
        <v>22/05</v>
      </c>
      <c r="T78" s="140" t="str">
        <f>IFERROR(__xludf.DUMMYFUNCTION("""COMPUTED_VALUE"""),"25/05")</f>
        <v>25/05</v>
      </c>
      <c r="U78" s="140"/>
      <c r="V78" s="140"/>
      <c r="W78" s="140"/>
      <c r="X78" s="140"/>
      <c r="Y78" s="140"/>
      <c r="Z78" s="140"/>
    </row>
    <row r="79" hidden="1">
      <c r="A79" s="140" t="str">
        <f>IFERROR(__xludf.DUMMYFUNCTION("""COMPUTED_VALUE"""),"VEE ONE")</f>
        <v>VEE ONE</v>
      </c>
      <c r="B79" s="140" t="str">
        <f>IFERROR(__xludf.DUMMYFUNCTION("""COMPUTED_VALUE"""),"BAMN")</f>
        <v>BAMN</v>
      </c>
      <c r="C79" s="140" t="str">
        <f>IFERROR(__xludf.DUMMYFUNCTION("""COMPUTED_VALUE"""),"161-12800")</f>
        <v>161-12800</v>
      </c>
      <c r="D79" s="140" t="str">
        <f>IFERROR(__xludf.DUMMYFUNCTION("""COMPUTED_VALUE"""),"WHEEL HALF ASSY")</f>
        <v>WHEEL HALF ASSY</v>
      </c>
      <c r="E79" s="140" t="str">
        <f>IFERROR(__xludf.DUMMYFUNCTION("""COMPUTED_VALUE"""),"108")</f>
        <v>108</v>
      </c>
      <c r="F79" s="140" t="str">
        <f>IFERROR(__xludf.DUMMYFUNCTION("""COMPUTED_VALUE"""),"061/2026")</f>
        <v>061/2026</v>
      </c>
      <c r="G79" s="140" t="str">
        <f>IFERROR(__xludf.DUMMYFUNCTION("""COMPUTED_VALUE"""),"07/05")</f>
        <v>07/05</v>
      </c>
      <c r="H79" s="140" t="str">
        <f>IFERROR(__xludf.DUMMYFUNCTION("""COMPUTED_VALUE"""),"08/05")</f>
        <v>08/05</v>
      </c>
      <c r="I79" s="140"/>
      <c r="J79" s="140" t="str">
        <f>IFERROR(__xludf.DUMMYFUNCTION("""COMPUTED_VALUE"""),"19/05")</f>
        <v>19/05</v>
      </c>
      <c r="K79" s="140" t="str">
        <f>IFERROR(__xludf.DUMMYFUNCTION("""COMPUTED_VALUE"""),"19/05")</f>
        <v>19/05</v>
      </c>
      <c r="L79" s="140" t="str">
        <f>IFERROR(__xludf.DUMMYFUNCTION("""COMPUTED_VALUE"""),"19/05")</f>
        <v>19/05</v>
      </c>
      <c r="M79" s="140" t="str">
        <f>IFERROR(__xludf.DUMMYFUNCTION("""COMPUTED_VALUE"""),"19/05")</f>
        <v>19/05</v>
      </c>
      <c r="N79" s="140" t="str">
        <f>IFERROR(__xludf.DUMMYFUNCTION("""COMPUTED_VALUE"""),"21/05")</f>
        <v>21/05</v>
      </c>
      <c r="O79" s="140" t="str">
        <f>IFERROR(__xludf.DUMMYFUNCTION("""COMPUTED_VALUE"""),"22/05")</f>
        <v>22/05</v>
      </c>
      <c r="P79" s="140" t="str">
        <f>IFERROR(__xludf.DUMMYFUNCTION("""COMPUTED_VALUE"""),"22/05")</f>
        <v>22/05</v>
      </c>
      <c r="Q79" s="140" t="str">
        <f>IFERROR(__xludf.DUMMYFUNCTION("""COMPUTED_VALUE"""),"22/05")</f>
        <v>22/05</v>
      </c>
      <c r="R79" s="140" t="str">
        <f>IFERROR(__xludf.DUMMYFUNCTION("""COMPUTED_VALUE"""),"22/05")</f>
        <v>22/05</v>
      </c>
      <c r="S79" s="140" t="str">
        <f>IFERROR(__xludf.DUMMYFUNCTION("""COMPUTED_VALUE"""),"22/05")</f>
        <v>22/05</v>
      </c>
      <c r="T79" s="140" t="str">
        <f>IFERROR(__xludf.DUMMYFUNCTION("""COMPUTED_VALUE"""),"25/05")</f>
        <v>25/05</v>
      </c>
      <c r="U79" s="140"/>
      <c r="V79" s="140"/>
      <c r="W79" s="140"/>
      <c r="X79" s="140"/>
      <c r="Y79" s="140"/>
      <c r="Z79" s="140"/>
    </row>
    <row r="80" hidden="1">
      <c r="A80" s="140" t="str">
        <f>IFERROR(__xludf.DUMMYFUNCTION("""COMPUTED_VALUE"""),"VEE ONE")</f>
        <v>VEE ONE</v>
      </c>
      <c r="B80" s="140" t="str">
        <f>IFERROR(__xludf.DUMMYFUNCTION("""COMPUTED_VALUE"""),"BAMN")</f>
        <v>BAMN</v>
      </c>
      <c r="C80" s="140" t="str">
        <f>IFERROR(__xludf.DUMMYFUNCTION("""COMPUTED_VALUE"""),"162-11800")</f>
        <v>162-11800</v>
      </c>
      <c r="D80" s="140" t="str">
        <f>IFERROR(__xludf.DUMMYFUNCTION("""COMPUTED_VALUE"""),"WHEEL HALF ASSY")</f>
        <v>WHEEL HALF ASSY</v>
      </c>
      <c r="E80" s="140" t="str">
        <f>IFERROR(__xludf.DUMMYFUNCTION("""COMPUTED_VALUE"""),"289")</f>
        <v>289</v>
      </c>
      <c r="F80" s="140" t="str">
        <f>IFERROR(__xludf.DUMMYFUNCTION("""COMPUTED_VALUE"""),"061/2026")</f>
        <v>061/2026</v>
      </c>
      <c r="G80" s="140" t="str">
        <f>IFERROR(__xludf.DUMMYFUNCTION("""COMPUTED_VALUE"""),"07/05")</f>
        <v>07/05</v>
      </c>
      <c r="H80" s="140" t="str">
        <f>IFERROR(__xludf.DUMMYFUNCTION("""COMPUTED_VALUE"""),"08/05")</f>
        <v>08/05</v>
      </c>
      <c r="I80" s="140"/>
      <c r="J80" s="140" t="str">
        <f>IFERROR(__xludf.DUMMYFUNCTION("""COMPUTED_VALUE"""),"19/05")</f>
        <v>19/05</v>
      </c>
      <c r="K80" s="140" t="str">
        <f>IFERROR(__xludf.DUMMYFUNCTION("""COMPUTED_VALUE"""),"19/05")</f>
        <v>19/05</v>
      </c>
      <c r="L80" s="140" t="str">
        <f>IFERROR(__xludf.DUMMYFUNCTION("""COMPUTED_VALUE"""),"19/05")</f>
        <v>19/05</v>
      </c>
      <c r="M80" s="140" t="str">
        <f>IFERROR(__xludf.DUMMYFUNCTION("""COMPUTED_VALUE"""),"19/05")</f>
        <v>19/05</v>
      </c>
      <c r="N80" s="140" t="str">
        <f>IFERROR(__xludf.DUMMYFUNCTION("""COMPUTED_VALUE"""),"21/05")</f>
        <v>21/05</v>
      </c>
      <c r="O80" s="140" t="str">
        <f>IFERROR(__xludf.DUMMYFUNCTION("""COMPUTED_VALUE"""),"22/05")</f>
        <v>22/05</v>
      </c>
      <c r="P80" s="140" t="str">
        <f>IFERROR(__xludf.DUMMYFUNCTION("""COMPUTED_VALUE"""),"22/05")</f>
        <v>22/05</v>
      </c>
      <c r="Q80" s="140" t="str">
        <f>IFERROR(__xludf.DUMMYFUNCTION("""COMPUTED_VALUE"""),"22/05")</f>
        <v>22/05</v>
      </c>
      <c r="R80" s="140" t="str">
        <f>IFERROR(__xludf.DUMMYFUNCTION("""COMPUTED_VALUE"""),"22/05")</f>
        <v>22/05</v>
      </c>
      <c r="S80" s="140" t="str">
        <f>IFERROR(__xludf.DUMMYFUNCTION("""COMPUTED_VALUE"""),"22/05")</f>
        <v>22/05</v>
      </c>
      <c r="T80" s="140" t="str">
        <f>IFERROR(__xludf.DUMMYFUNCTION("""COMPUTED_VALUE"""),"25/05")</f>
        <v>25/05</v>
      </c>
      <c r="U80" s="140"/>
      <c r="V80" s="140"/>
      <c r="W80" s="140"/>
      <c r="X80" s="140"/>
      <c r="Y80" s="140"/>
      <c r="Z80" s="140"/>
    </row>
    <row r="81" hidden="1">
      <c r="A81" s="140" t="str">
        <f>IFERROR(__xludf.DUMMYFUNCTION("""COMPUTED_VALUE"""),"VEE ONE")</f>
        <v>VEE ONE</v>
      </c>
      <c r="B81" s="140" t="str">
        <f>IFERROR(__xludf.DUMMYFUNCTION("""COMPUTED_VALUE"""),"BAMN")</f>
        <v>BAMN</v>
      </c>
      <c r="C81" s="140" t="str">
        <f>IFERROR(__xludf.DUMMYFUNCTION("""COMPUTED_VALUE"""),"453-5060")</f>
        <v>453-5060</v>
      </c>
      <c r="D81" s="140" t="str">
        <f>IFERROR(__xludf.DUMMYFUNCTION("""COMPUTED_VALUE"""),"TRANSMISSOR LOCALIZADOR DE EMERGÊNCIA")</f>
        <v>TRANSMISSOR LOCALIZADOR DE EMERGÊNCIA</v>
      </c>
      <c r="E81" s="140" t="str">
        <f>IFERROR(__xludf.DUMMYFUNCTION("""COMPUTED_VALUE"""),"06291")</f>
        <v>06291</v>
      </c>
      <c r="F81" s="140" t="str">
        <f>IFERROR(__xludf.DUMMYFUNCTION("""COMPUTED_VALUE"""),"063/2026")</f>
        <v>063/2026</v>
      </c>
      <c r="G81" s="140" t="str">
        <f>IFERROR(__xludf.DUMMYFUNCTION("""COMPUTED_VALUE"""),"07/05")</f>
        <v>07/05</v>
      </c>
      <c r="H81" s="140" t="str">
        <f>IFERROR(__xludf.DUMMYFUNCTION("""COMPUTED_VALUE"""),"08/05")</f>
        <v>08/05</v>
      </c>
      <c r="I81" s="140"/>
      <c r="J81" s="140" t="str">
        <f>IFERROR(__xludf.DUMMYFUNCTION("""COMPUTED_VALUE"""),"19/05")</f>
        <v>19/05</v>
      </c>
      <c r="K81" s="140" t="str">
        <f>IFERROR(__xludf.DUMMYFUNCTION("""COMPUTED_VALUE"""),"19/05")</f>
        <v>19/05</v>
      </c>
      <c r="L81" s="140" t="str">
        <f>IFERROR(__xludf.DUMMYFUNCTION("""COMPUTED_VALUE"""),"19/05")</f>
        <v>19/05</v>
      </c>
      <c r="M81" s="140" t="str">
        <f>IFERROR(__xludf.DUMMYFUNCTION("""COMPUTED_VALUE"""),"19/05")</f>
        <v>19/05</v>
      </c>
      <c r="N81" s="140" t="str">
        <f>IFERROR(__xludf.DUMMYFUNCTION("""COMPUTED_VALUE"""),"21/05")</f>
        <v>21/05</v>
      </c>
      <c r="O81" s="140" t="str">
        <f>IFERROR(__xludf.DUMMYFUNCTION("""COMPUTED_VALUE"""),"22/05")</f>
        <v>22/05</v>
      </c>
      <c r="P81" s="140" t="str">
        <f>IFERROR(__xludf.DUMMYFUNCTION("""COMPUTED_VALUE"""),"22/05")</f>
        <v>22/05</v>
      </c>
      <c r="Q81" s="140" t="str">
        <f>IFERROR(__xludf.DUMMYFUNCTION("""COMPUTED_VALUE"""),"22/05")</f>
        <v>22/05</v>
      </c>
      <c r="R81" s="140" t="str">
        <f>IFERROR(__xludf.DUMMYFUNCTION("""COMPUTED_VALUE"""),"22/05")</f>
        <v>22/05</v>
      </c>
      <c r="S81" s="140" t="str">
        <f>IFERROR(__xludf.DUMMYFUNCTION("""COMPUTED_VALUE"""),"22/05")</f>
        <v>22/05</v>
      </c>
      <c r="T81" s="140" t="str">
        <f>IFERROR(__xludf.DUMMYFUNCTION("""COMPUTED_VALUE"""),"25/05")</f>
        <v>25/05</v>
      </c>
      <c r="U81" s="140"/>
      <c r="V81" s="140"/>
      <c r="W81" s="140"/>
      <c r="X81" s="140"/>
      <c r="Y81" s="140"/>
      <c r="Z81" s="140"/>
    </row>
    <row r="82" hidden="1">
      <c r="A82" s="140" t="str">
        <f>IFERROR(__xludf.DUMMYFUNCTION("""COMPUTED_VALUE"""),"VEE ONE")</f>
        <v>VEE ONE</v>
      </c>
      <c r="B82" s="140" t="str">
        <f>IFERROR(__xludf.DUMMYFUNCTION("""COMPUTED_VALUE"""),"BACG")</f>
        <v>BACG</v>
      </c>
      <c r="C82" s="140" t="str">
        <f>IFERROR(__xludf.DUMMYFUNCTION("""COMPUTED_VALUE"""),"9910338-6")</f>
        <v>9910338-6</v>
      </c>
      <c r="D82" s="140" t="str">
        <f>IFERROR(__xludf.DUMMYFUNCTION("""COMPUTED_VALUE"""),"TRANSMITTER")</f>
        <v>TRANSMITTER</v>
      </c>
      <c r="E82" s="140" t="str">
        <f>IFERROR(__xludf.DUMMYFUNCTION("""COMPUTED_VALUE"""),"AAT5599")</f>
        <v>AAT5599</v>
      </c>
      <c r="F82" s="140" t="str">
        <f>IFERROR(__xludf.DUMMYFUNCTION("""COMPUTED_VALUE"""),"004/2026")</f>
        <v>004/2026</v>
      </c>
      <c r="G82" s="140" t="str">
        <f>IFERROR(__xludf.DUMMYFUNCTION("""COMPUTED_VALUE"""),"26/03")</f>
        <v>26/03</v>
      </c>
      <c r="H82" s="140" t="str">
        <f>IFERROR(__xludf.DUMMYFUNCTION("""COMPUTED_VALUE"""),"30/03")</f>
        <v>30/03</v>
      </c>
      <c r="I82" s="140" t="str">
        <f>IFERROR(__xludf.DUMMYFUNCTION("""COMPUTED_VALUE"""),"30/03")</f>
        <v>30/03</v>
      </c>
      <c r="J82" s="140" t="str">
        <f>IFERROR(__xludf.DUMMYFUNCTION("""COMPUTED_VALUE"""),"30/03")</f>
        <v>30/03</v>
      </c>
      <c r="K82" s="140" t="str">
        <f>IFERROR(__xludf.DUMMYFUNCTION("""COMPUTED_VALUE"""),"30/03")</f>
        <v>30/03</v>
      </c>
      <c r="L82" s="140" t="str">
        <f>IFERROR(__xludf.DUMMYFUNCTION("""COMPUTED_VALUE"""),"30/03")</f>
        <v>30/03</v>
      </c>
      <c r="M82" s="140" t="str">
        <f>IFERROR(__xludf.DUMMYFUNCTION("""COMPUTED_VALUE"""),"31/03")</f>
        <v>31/03</v>
      </c>
      <c r="N82" s="140" t="str">
        <f>IFERROR(__xludf.DUMMYFUNCTION("""COMPUTED_VALUE"""),"31/03")</f>
        <v>31/03</v>
      </c>
      <c r="O82" s="140" t="str">
        <f>IFERROR(__xludf.DUMMYFUNCTION("""COMPUTED_VALUE"""),"31/03")</f>
        <v>31/03</v>
      </c>
      <c r="P82" s="140" t="str">
        <f>IFERROR(__xludf.DUMMYFUNCTION("""COMPUTED_VALUE"""),"31/03")</f>
        <v>31/03</v>
      </c>
      <c r="Q82" s="140" t="str">
        <f>IFERROR(__xludf.DUMMYFUNCTION("""COMPUTED_VALUE"""),"31/03")</f>
        <v>31/03</v>
      </c>
      <c r="R82" s="140" t="str">
        <f>IFERROR(__xludf.DUMMYFUNCTION("""COMPUTED_VALUE"""),"31/03")</f>
        <v>31/03</v>
      </c>
      <c r="S82" s="140" t="str">
        <f>IFERROR(__xludf.DUMMYFUNCTION("""COMPUTED_VALUE"""),"31/03, 05/05 e 02/06")</f>
        <v>31/03, 05/05 e 02/06</v>
      </c>
      <c r="T82" s="140" t="str">
        <f>IFERROR(__xludf.DUMMYFUNCTION("""COMPUTED_VALUE"""),"02/06")</f>
        <v>02/06</v>
      </c>
      <c r="U82" s="140"/>
      <c r="V82" s="140"/>
      <c r="W82" s="140"/>
      <c r="X82" s="140"/>
      <c r="Y82" s="140"/>
      <c r="Z82" s="140"/>
    </row>
    <row r="83" hidden="1">
      <c r="A83" s="140" t="str">
        <f>IFERROR(__xludf.DUMMYFUNCTION("""COMPUTED_VALUE"""),"VEE ONE")</f>
        <v>VEE ONE</v>
      </c>
      <c r="B83" s="140" t="str">
        <f>IFERROR(__xludf.DUMMYFUNCTION("""COMPUTED_VALUE"""),"BACO")</f>
        <v>BACO</v>
      </c>
      <c r="C83" s="140" t="str">
        <f>IFERROR(__xludf.DUMMYFUNCTION("""COMPUTED_VALUE"""),"200SGL119Q-2")</f>
        <v>200SGL119Q-2</v>
      </c>
      <c r="D83" s="140" t="str">
        <f>IFERROR(__xludf.DUMMYFUNCTION("""COMPUTED_VALUE"""),"STARTER GENERATOR")</f>
        <v>STARTER GENERATOR</v>
      </c>
      <c r="E83" s="140" t="str">
        <f>IFERROR(__xludf.DUMMYFUNCTION("""COMPUTED_VALUE"""),"S00062XL")</f>
        <v>S00062XL</v>
      </c>
      <c r="F83" s="140" t="str">
        <f>IFERROR(__xludf.DUMMYFUNCTION("""COMPUTED_VALUE"""),"735/2026")</f>
        <v>735/2026</v>
      </c>
      <c r="G83" s="140" t="str">
        <f>IFERROR(__xludf.DUMMYFUNCTION("""COMPUTED_VALUE"""),"15/05")</f>
        <v>15/05</v>
      </c>
      <c r="H83" s="140" t="str">
        <f>IFERROR(__xludf.DUMMYFUNCTION("""COMPUTED_VALUE"""),"25/05")</f>
        <v>25/05</v>
      </c>
      <c r="I83" s="140"/>
      <c r="J83" s="140" t="str">
        <f>IFERROR(__xludf.DUMMYFUNCTION("""COMPUTED_VALUE"""),"26/05")</f>
        <v>26/05</v>
      </c>
      <c r="K83" s="140" t="str">
        <f>IFERROR(__xludf.DUMMYFUNCTION("""COMPUTED_VALUE"""),"27/05")</f>
        <v>27/05</v>
      </c>
      <c r="L83" s="140" t="str">
        <f>IFERROR(__xludf.DUMMYFUNCTION("""COMPUTED_VALUE"""),"27/05")</f>
        <v>27/05</v>
      </c>
      <c r="M83" s="140" t="str">
        <f>IFERROR(__xludf.DUMMYFUNCTION("""COMPUTED_VALUE"""),"27/05")</f>
        <v>27/05</v>
      </c>
      <c r="N83" s="140" t="str">
        <f>IFERROR(__xludf.DUMMYFUNCTION("""COMPUTED_VALUE"""),"27/05")</f>
        <v>27/05</v>
      </c>
      <c r="O83" s="140" t="str">
        <f>IFERROR(__xludf.DUMMYFUNCTION("""COMPUTED_VALUE"""),"27/05")</f>
        <v>27/05</v>
      </c>
      <c r="P83" s="140" t="str">
        <f>IFERROR(__xludf.DUMMYFUNCTION("""COMPUTED_VALUE"""),"27/05")</f>
        <v>27/05</v>
      </c>
      <c r="Q83" s="140" t="str">
        <f>IFERROR(__xludf.DUMMYFUNCTION("""COMPUTED_VALUE"""),"27/05")</f>
        <v>27/05</v>
      </c>
      <c r="R83" s="140" t="str">
        <f>IFERROR(__xludf.DUMMYFUNCTION("""COMPUTED_VALUE"""),"27/05")</f>
        <v>27/05</v>
      </c>
      <c r="S83" s="140" t="str">
        <f>IFERROR(__xludf.DUMMYFUNCTION("""COMPUTED_VALUE"""),"27/05 e 02/06")</f>
        <v>27/05 e 02/06</v>
      </c>
      <c r="T83" s="140" t="str">
        <f>IFERROR(__xludf.DUMMYFUNCTION("""COMPUTED_VALUE"""),"28/05")</f>
        <v>28/05</v>
      </c>
      <c r="U83" s="140"/>
      <c r="V83" s="140"/>
      <c r="W83" s="140"/>
      <c r="X83" s="140"/>
      <c r="Y83" s="140"/>
      <c r="Z83" s="140"/>
    </row>
    <row r="84" hidden="1">
      <c r="A84" s="140" t="str">
        <f>IFERROR(__xludf.DUMMYFUNCTION("""COMPUTED_VALUE"""),"VEE ONE")</f>
        <v>VEE ONE</v>
      </c>
      <c r="B84" s="140" t="str">
        <f>IFERROR(__xludf.DUMMYFUNCTION("""COMPUTED_VALUE"""),"BABE")</f>
        <v>BABE</v>
      </c>
      <c r="C84" s="140" t="str">
        <f>IFERROR(__xludf.DUMMYFUNCTION("""COMPUTED_VALUE"""),"161-12800")</f>
        <v>161-12800</v>
      </c>
      <c r="D84" s="140" t="str">
        <f>IFERROR(__xludf.DUMMYFUNCTION("""COMPUTED_VALUE"""),"WHEEL HALF ASSY")</f>
        <v>WHEEL HALF ASSY</v>
      </c>
      <c r="E84" s="140" t="str">
        <f>IFERROR(__xludf.DUMMYFUNCTION("""COMPUTED_VALUE"""),"31")</f>
        <v>31</v>
      </c>
      <c r="F84" s="140" t="str">
        <f>IFERROR(__xludf.DUMMYFUNCTION("""COMPUTED_VALUE"""),"016/2026")</f>
        <v>016/2026</v>
      </c>
      <c r="G84" s="140" t="str">
        <f>IFERROR(__xludf.DUMMYFUNCTION("""COMPUTED_VALUE"""),"16/06")</f>
        <v>16/06</v>
      </c>
      <c r="H84" s="140" t="str">
        <f>IFERROR(__xludf.DUMMYFUNCTION("""COMPUTED_VALUE"""),"19/06")</f>
        <v>19/06</v>
      </c>
      <c r="I84" s="140"/>
      <c r="J84" s="140" t="str">
        <f>IFERROR(__xludf.DUMMYFUNCTION("""COMPUTED_VALUE"""),"22/06")</f>
        <v>22/06</v>
      </c>
      <c r="K84" s="140" t="str">
        <f>IFERROR(__xludf.DUMMYFUNCTION("""COMPUTED_VALUE"""),"22/06")</f>
        <v>22/06</v>
      </c>
      <c r="L84" s="140" t="str">
        <f>IFERROR(__xludf.DUMMYFUNCTION("""COMPUTED_VALUE"""),"22/06")</f>
        <v>22/06</v>
      </c>
      <c r="M84" s="140" t="str">
        <f>IFERROR(__xludf.DUMMYFUNCTION("""COMPUTED_VALUE"""),"23/06")</f>
        <v>23/06</v>
      </c>
      <c r="N84" s="140" t="str">
        <f>IFERROR(__xludf.DUMMYFUNCTION("""COMPUTED_VALUE"""),"23/06")</f>
        <v>23/06</v>
      </c>
      <c r="O84" s="140" t="str">
        <f>IFERROR(__xludf.DUMMYFUNCTION("""COMPUTED_VALUE"""),"23/06")</f>
        <v>23/06</v>
      </c>
      <c r="P84" s="140" t="str">
        <f>IFERROR(__xludf.DUMMYFUNCTION("""COMPUTED_VALUE"""),"24/06")</f>
        <v>24/06</v>
      </c>
      <c r="Q84" s="140" t="str">
        <f>IFERROR(__xludf.DUMMYFUNCTION("""COMPUTED_VALUE"""),"24/06")</f>
        <v>24/06</v>
      </c>
      <c r="R84" s="140" t="str">
        <f>IFERROR(__xludf.DUMMYFUNCTION("""COMPUTED_VALUE"""),"24/06")</f>
        <v>24/06</v>
      </c>
      <c r="S84" s="140" t="str">
        <f>IFERROR(__xludf.DUMMYFUNCTION("""COMPUTED_VALUE"""),"24/06")</f>
        <v>24/06</v>
      </c>
      <c r="T84" s="140" t="str">
        <f>IFERROR(__xludf.DUMMYFUNCTION("""COMPUTED_VALUE"""),"26/06")</f>
        <v>26/06</v>
      </c>
      <c r="U84" s="140"/>
      <c r="V84" s="140"/>
      <c r="W84" s="140"/>
      <c r="X84" s="140"/>
      <c r="Y84" s="140"/>
      <c r="Z84" s="140"/>
    </row>
    <row r="85" hidden="1">
      <c r="A85" s="140" t="str">
        <f>IFERROR(__xludf.DUMMYFUNCTION("""COMPUTED_VALUE"""),"VEE ONE")</f>
        <v>VEE ONE</v>
      </c>
      <c r="B85" s="140" t="str">
        <f>IFERROR(__xludf.DUMMYFUNCTION("""COMPUTED_VALUE"""),"BABE")</f>
        <v>BABE</v>
      </c>
      <c r="C85" s="140" t="str">
        <f>IFERROR(__xludf.DUMMYFUNCTION("""COMPUTED_VALUE"""),"161-12800")</f>
        <v>161-12800</v>
      </c>
      <c r="D85" s="140" t="str">
        <f>IFERROR(__xludf.DUMMYFUNCTION("""COMPUTED_VALUE"""),"WHEEL HALF ASSY")</f>
        <v>WHEEL HALF ASSY</v>
      </c>
      <c r="E85" s="140" t="str">
        <f>IFERROR(__xludf.DUMMYFUNCTION("""COMPUTED_VALUE"""),"822")</f>
        <v>822</v>
      </c>
      <c r="F85" s="140" t="str">
        <f>IFERROR(__xludf.DUMMYFUNCTION("""COMPUTED_VALUE"""),"016/2026")</f>
        <v>016/2026</v>
      </c>
      <c r="G85" s="140" t="str">
        <f>IFERROR(__xludf.DUMMYFUNCTION("""COMPUTED_VALUE"""),"16/06")</f>
        <v>16/06</v>
      </c>
      <c r="H85" s="140" t="str">
        <f>IFERROR(__xludf.DUMMYFUNCTION("""COMPUTED_VALUE"""),"19/06")</f>
        <v>19/06</v>
      </c>
      <c r="I85" s="140"/>
      <c r="J85" s="140" t="str">
        <f>IFERROR(__xludf.DUMMYFUNCTION("""COMPUTED_VALUE"""),"22/06")</f>
        <v>22/06</v>
      </c>
      <c r="K85" s="140" t="str">
        <f>IFERROR(__xludf.DUMMYFUNCTION("""COMPUTED_VALUE"""),"22/06")</f>
        <v>22/06</v>
      </c>
      <c r="L85" s="140" t="str">
        <f>IFERROR(__xludf.DUMMYFUNCTION("""COMPUTED_VALUE"""),"22/06")</f>
        <v>22/06</v>
      </c>
      <c r="M85" s="140" t="str">
        <f>IFERROR(__xludf.DUMMYFUNCTION("""COMPUTED_VALUE"""),"23/06")</f>
        <v>23/06</v>
      </c>
      <c r="N85" s="140" t="str">
        <f>IFERROR(__xludf.DUMMYFUNCTION("""COMPUTED_VALUE"""),"23/06")</f>
        <v>23/06</v>
      </c>
      <c r="O85" s="140" t="str">
        <f>IFERROR(__xludf.DUMMYFUNCTION("""COMPUTED_VALUE"""),"23/06")</f>
        <v>23/06</v>
      </c>
      <c r="P85" s="140" t="str">
        <f>IFERROR(__xludf.DUMMYFUNCTION("""COMPUTED_VALUE"""),"24/06")</f>
        <v>24/06</v>
      </c>
      <c r="Q85" s="140" t="str">
        <f>IFERROR(__xludf.DUMMYFUNCTION("""COMPUTED_VALUE"""),"24/06")</f>
        <v>24/06</v>
      </c>
      <c r="R85" s="140" t="str">
        <f>IFERROR(__xludf.DUMMYFUNCTION("""COMPUTED_VALUE"""),"24/06")</f>
        <v>24/06</v>
      </c>
      <c r="S85" s="140" t="str">
        <f>IFERROR(__xludf.DUMMYFUNCTION("""COMPUTED_VALUE"""),"24/06")</f>
        <v>24/06</v>
      </c>
      <c r="T85" s="140" t="str">
        <f>IFERROR(__xludf.DUMMYFUNCTION("""COMPUTED_VALUE"""),"26/06")</f>
        <v>26/06</v>
      </c>
      <c r="U85" s="140"/>
      <c r="V85" s="140"/>
      <c r="W85" s="140"/>
      <c r="X85" s="140"/>
      <c r="Y85" s="140"/>
      <c r="Z85" s="140"/>
    </row>
    <row r="86" hidden="1">
      <c r="A86" s="140" t="str">
        <f>IFERROR(__xludf.DUMMYFUNCTION("""COMPUTED_VALUE"""),"VEE ONE")</f>
        <v>VEE ONE</v>
      </c>
      <c r="B86" s="140" t="str">
        <f>IFERROR(__xludf.DUMMYFUNCTION("""COMPUTED_VALUE"""),"CLA")</f>
        <v>CLA</v>
      </c>
      <c r="C86" s="140" t="str">
        <f>IFERROR(__xludf.DUMMYFUNCTION("""COMPUTED_VALUE"""),"066-3046-07")</f>
        <v>066-3046-07</v>
      </c>
      <c r="D86" s="140" t="str">
        <f>IFERROR(__xludf.DUMMYFUNCTION("""COMPUTED_VALUE"""),"CONTROL INDICATOR")</f>
        <v>CONTROL INDICATOR</v>
      </c>
      <c r="E86" s="140" t="str">
        <f>IFERROR(__xludf.DUMMYFUNCTION("""COMPUTED_VALUE"""),"96782")</f>
        <v>96782</v>
      </c>
      <c r="F86" s="140" t="str">
        <f>IFERROR(__xludf.DUMMYFUNCTION("""COMPUTED_VALUE"""),"006/2026")</f>
        <v>006/2026</v>
      </c>
      <c r="G86" s="140" t="str">
        <f>IFERROR(__xludf.DUMMYFUNCTION("""COMPUTED_VALUE"""),"15/02")</f>
        <v>15/02</v>
      </c>
      <c r="H86" s="140" t="str">
        <f>IFERROR(__xludf.DUMMYFUNCTION("""COMPUTED_VALUE"""),"16/04")</f>
        <v>16/04</v>
      </c>
      <c r="I86" s="140" t="str">
        <f>IFERROR(__xludf.DUMMYFUNCTION("""COMPUTED_VALUE"""),"*")</f>
        <v>*</v>
      </c>
      <c r="J86" s="140" t="str">
        <f>IFERROR(__xludf.DUMMYFUNCTION("""COMPUTED_VALUE"""),"06/05")</f>
        <v>06/05</v>
      </c>
      <c r="K86" s="140" t="str">
        <f>IFERROR(__xludf.DUMMYFUNCTION("""COMPUTED_VALUE"""),"07/05")</f>
        <v>07/05</v>
      </c>
      <c r="L86" s="140" t="str">
        <f>IFERROR(__xludf.DUMMYFUNCTION("""COMPUTED_VALUE"""),"07/05")</f>
        <v>07/05</v>
      </c>
      <c r="M86" s="140" t="str">
        <f>IFERROR(__xludf.DUMMYFUNCTION("""COMPUTED_VALUE"""),"08/05")</f>
        <v>08/05</v>
      </c>
      <c r="N86" s="140" t="str">
        <f>IFERROR(__xludf.DUMMYFUNCTION("""COMPUTED_VALUE"""),"08/05")</f>
        <v>08/05</v>
      </c>
      <c r="O86" s="140" t="str">
        <f>IFERROR(__xludf.DUMMYFUNCTION("""COMPUTED_VALUE"""),"08/05")</f>
        <v>08/05</v>
      </c>
      <c r="P86" s="140" t="str">
        <f>IFERROR(__xludf.DUMMYFUNCTION("""COMPUTED_VALUE"""),"13/05")</f>
        <v>13/05</v>
      </c>
      <c r="Q86" s="140" t="str">
        <f>IFERROR(__xludf.DUMMYFUNCTION("""COMPUTED_VALUE"""),"13/05")</f>
        <v>13/05</v>
      </c>
      <c r="R86" s="140" t="str">
        <f>IFERROR(__xludf.DUMMYFUNCTION("""COMPUTED_VALUE"""),"13/05")</f>
        <v>13/05</v>
      </c>
      <c r="S86" s="140" t="str">
        <f>IFERROR(__xludf.DUMMYFUNCTION("""COMPUTED_VALUE"""),"13/05 e 02/06")</f>
        <v>13/05 e 02/06</v>
      </c>
      <c r="T86" s="140" t="str">
        <f>IFERROR(__xludf.DUMMYFUNCTION("""COMPUTED_VALUE"""),"27/06")</f>
        <v>27/06</v>
      </c>
      <c r="U86" s="140" t="str">
        <f>IFERROR(__xludf.DUMMYFUNCTION("""COMPUTED_VALUE"""),"Sem certificado")</f>
        <v>Sem certificado</v>
      </c>
      <c r="V86" s="140"/>
      <c r="W86" s="140"/>
      <c r="X86" s="140"/>
      <c r="Y86" s="140"/>
      <c r="Z86" s="140"/>
    </row>
    <row r="87" hidden="1">
      <c r="A87" s="140" t="str">
        <f>IFERROR(__xludf.DUMMYFUNCTION("""COMPUTED_VALUE"""),"VEE ONE")</f>
        <v>VEE ONE</v>
      </c>
      <c r="B87" s="140" t="str">
        <f>IFERROR(__xludf.DUMMYFUNCTION("""COMPUTED_VALUE"""),"CLA")</f>
        <v>CLA</v>
      </c>
      <c r="C87" s="140" t="str">
        <f>IFERROR(__xludf.DUMMYFUNCTION("""COMPUTED_VALUE"""),"066-1055-00")</f>
        <v>066-1055-00</v>
      </c>
      <c r="D87" s="140" t="str">
        <f>IFERROR(__xludf.DUMMYFUNCTION("""COMPUTED_VALUE"""),"AUDIO CONTROL PANEL")</f>
        <v>AUDIO CONTROL PANEL</v>
      </c>
      <c r="E87" s="140" t="str">
        <f>IFERROR(__xludf.DUMMYFUNCTION("""COMPUTED_VALUE"""),"35971")</f>
        <v>35971</v>
      </c>
      <c r="F87" s="140" t="str">
        <f>IFERROR(__xludf.DUMMYFUNCTION("""COMPUTED_VALUE"""),"012/2026")</f>
        <v>012/2026</v>
      </c>
      <c r="G87" s="140" t="str">
        <f>IFERROR(__xludf.DUMMYFUNCTION("""COMPUTED_VALUE"""),"23/04")</f>
        <v>23/04</v>
      </c>
      <c r="H87" s="140" t="str">
        <f>IFERROR(__xludf.DUMMYFUNCTION("""COMPUTED_VALUE"""),"04/05")</f>
        <v>04/05</v>
      </c>
      <c r="I87" s="140" t="str">
        <f>IFERROR(__xludf.DUMMYFUNCTION("""COMPUTED_VALUE"""),"*")</f>
        <v>*</v>
      </c>
      <c r="J87" s="140" t="str">
        <f>IFERROR(__xludf.DUMMYFUNCTION("""COMPUTED_VALUE"""),"04/05")</f>
        <v>04/05</v>
      </c>
      <c r="K87" s="140" t="str">
        <f>IFERROR(__xludf.DUMMYFUNCTION("""COMPUTED_VALUE"""),"05/05")</f>
        <v>05/05</v>
      </c>
      <c r="L87" s="140" t="str">
        <f>IFERROR(__xludf.DUMMYFUNCTION("""COMPUTED_VALUE"""),"05/05")</f>
        <v>05/05</v>
      </c>
      <c r="M87" s="140" t="str">
        <f>IFERROR(__xludf.DUMMYFUNCTION("""COMPUTED_VALUE"""),"05/05")</f>
        <v>05/05</v>
      </c>
      <c r="N87" s="140" t="str">
        <f>IFERROR(__xludf.DUMMYFUNCTION("""COMPUTED_VALUE"""),"05/05")</f>
        <v>05/05</v>
      </c>
      <c r="O87" s="140" t="str">
        <f>IFERROR(__xludf.DUMMYFUNCTION("""COMPUTED_VALUE"""),"05/05")</f>
        <v>05/05</v>
      </c>
      <c r="P87" s="140" t="str">
        <f>IFERROR(__xludf.DUMMYFUNCTION("""COMPUTED_VALUE"""),"06/05")</f>
        <v>06/05</v>
      </c>
      <c r="Q87" s="140" t="str">
        <f>IFERROR(__xludf.DUMMYFUNCTION("""COMPUTED_VALUE"""),"06/05")</f>
        <v>06/05</v>
      </c>
      <c r="R87" s="140" t="str">
        <f>IFERROR(__xludf.DUMMYFUNCTION("""COMPUTED_VALUE"""),"06/05")</f>
        <v>06/05</v>
      </c>
      <c r="S87" s="140" t="str">
        <f>IFERROR(__xludf.DUMMYFUNCTION("""COMPUTED_VALUE"""),"06/05 e 02/06")</f>
        <v>06/05 e 02/06</v>
      </c>
      <c r="T87" s="140" t="str">
        <f>IFERROR(__xludf.DUMMYFUNCTION("""COMPUTED_VALUE"""),"30/06")</f>
        <v>30/06</v>
      </c>
      <c r="U87" s="140"/>
      <c r="V87" s="140"/>
      <c r="W87" s="140"/>
      <c r="X87" s="140"/>
      <c r="Y87" s="140"/>
      <c r="Z87" s="140"/>
    </row>
    <row r="88" hidden="1">
      <c r="A88" s="140" t="str">
        <f>IFERROR(__xludf.DUMMYFUNCTION("""COMPUTED_VALUE"""),"VEE ONE")</f>
        <v>VEE ONE</v>
      </c>
      <c r="B88" s="140" t="str">
        <f>IFERROR(__xludf.DUMMYFUNCTION("""COMPUTED_VALUE"""),"BABE")</f>
        <v>BABE</v>
      </c>
      <c r="C88" s="140" t="str">
        <f>IFERROR(__xludf.DUMMYFUNCTION("""COMPUTED_VALUE"""),"324843-W020")</f>
        <v>324843-W020</v>
      </c>
      <c r="D88" s="140" t="str">
        <f>IFERROR(__xludf.DUMMYFUNCTION("""COMPUTED_VALUE"""),"HEADSET-MICROPHONE")</f>
        <v>HEADSET-MICROPHONE</v>
      </c>
      <c r="E88" s="140" t="str">
        <f>IFERROR(__xludf.DUMMYFUNCTION("""COMPUTED_VALUE"""),"073200G91260061AE")</f>
        <v>073200G91260061AE</v>
      </c>
      <c r="F88" s="140" t="str">
        <f>IFERROR(__xludf.DUMMYFUNCTION("""COMPUTED_VALUE"""),"015/2026")</f>
        <v>015/2026</v>
      </c>
      <c r="G88" s="140" t="str">
        <f>IFERROR(__xludf.DUMMYFUNCTION("""COMPUTED_VALUE"""),"09/06")</f>
        <v>09/06</v>
      </c>
      <c r="H88" s="140" t="str">
        <f>IFERROR(__xludf.DUMMYFUNCTION("""COMPUTED_VALUE"""),"09/06")</f>
        <v>09/06</v>
      </c>
      <c r="I88" s="140"/>
      <c r="J88" s="140" t="str">
        <f>IFERROR(__xludf.DUMMYFUNCTION("""COMPUTED_VALUE"""),"10/06")</f>
        <v>10/06</v>
      </c>
      <c r="K88" s="140" t="str">
        <f>IFERROR(__xludf.DUMMYFUNCTION("""COMPUTED_VALUE"""),"10/06")</f>
        <v>10/06</v>
      </c>
      <c r="L88" s="140" t="str">
        <f>IFERROR(__xludf.DUMMYFUNCTION("""COMPUTED_VALUE"""),"10/06")</f>
        <v>10/06</v>
      </c>
      <c r="M88" s="140" t="str">
        <f>IFERROR(__xludf.DUMMYFUNCTION("""COMPUTED_VALUE"""),"11/06")</f>
        <v>11/06</v>
      </c>
      <c r="N88" s="140" t="str">
        <f>IFERROR(__xludf.DUMMYFUNCTION("""COMPUTED_VALUE"""),"11/06")</f>
        <v>11/06</v>
      </c>
      <c r="O88" s="140" t="str">
        <f>IFERROR(__xludf.DUMMYFUNCTION("""COMPUTED_VALUE"""),"11/06")</f>
        <v>11/06</v>
      </c>
      <c r="P88" s="140" t="str">
        <f>IFERROR(__xludf.DUMMYFUNCTION("""COMPUTED_VALUE"""),"11/06")</f>
        <v>11/06</v>
      </c>
      <c r="Q88" s="140" t="str">
        <f>IFERROR(__xludf.DUMMYFUNCTION("""COMPUTED_VALUE"""),"12/06")</f>
        <v>12/06</v>
      </c>
      <c r="R88" s="140" t="str">
        <f>IFERROR(__xludf.DUMMYFUNCTION("""COMPUTED_VALUE"""),"12/06")</f>
        <v>12/06</v>
      </c>
      <c r="S88" s="140" t="str">
        <f>IFERROR(__xludf.DUMMYFUNCTION("""COMPUTED_VALUE"""),"12/06")</f>
        <v>12/06</v>
      </c>
      <c r="T88" s="140" t="str">
        <f>IFERROR(__xludf.DUMMYFUNCTION("""COMPUTED_VALUE"""),"10/07")</f>
        <v>10/07</v>
      </c>
      <c r="U88" s="140"/>
      <c r="V88" s="140"/>
      <c r="W88" s="140"/>
      <c r="X88" s="140"/>
      <c r="Y88" s="140"/>
      <c r="Z88" s="140"/>
    </row>
    <row r="89" hidden="1">
      <c r="A89" s="140" t="str">
        <f>IFERROR(__xludf.DUMMYFUNCTION("""COMPUTED_VALUE"""),"VEE ONE")</f>
        <v>VEE ONE</v>
      </c>
      <c r="B89" s="140" t="str">
        <f>IFERROR(__xludf.DUMMYFUNCTION("""COMPUTED_VALUE"""),"BABE")</f>
        <v>BABE</v>
      </c>
      <c r="C89" s="140" t="str">
        <f>IFERROR(__xludf.DUMMYFUNCTION("""COMPUTED_VALUE"""),"324843-W020")</f>
        <v>324843-W020</v>
      </c>
      <c r="D89" s="140" t="str">
        <f>IFERROR(__xludf.DUMMYFUNCTION("""COMPUTED_VALUE"""),"HEADSET-MICROPHONE")</f>
        <v>HEADSET-MICROPHONE</v>
      </c>
      <c r="E89" s="140" t="str">
        <f>IFERROR(__xludf.DUMMYFUNCTION("""COMPUTED_VALUE"""),"073200G02170082AE")</f>
        <v>073200G02170082AE</v>
      </c>
      <c r="F89" s="140" t="str">
        <f>IFERROR(__xludf.DUMMYFUNCTION("""COMPUTED_VALUE"""),"015/2026")</f>
        <v>015/2026</v>
      </c>
      <c r="G89" s="140" t="str">
        <f>IFERROR(__xludf.DUMMYFUNCTION("""COMPUTED_VALUE"""),"09/06")</f>
        <v>09/06</v>
      </c>
      <c r="H89" s="140" t="str">
        <f>IFERROR(__xludf.DUMMYFUNCTION("""COMPUTED_VALUE"""),"09/06")</f>
        <v>09/06</v>
      </c>
      <c r="I89" s="140"/>
      <c r="J89" s="140" t="str">
        <f>IFERROR(__xludf.DUMMYFUNCTION("""COMPUTED_VALUE"""),"10/06")</f>
        <v>10/06</v>
      </c>
      <c r="K89" s="140" t="str">
        <f>IFERROR(__xludf.DUMMYFUNCTION("""COMPUTED_VALUE"""),"10/06")</f>
        <v>10/06</v>
      </c>
      <c r="L89" s="140" t="str">
        <f>IFERROR(__xludf.DUMMYFUNCTION("""COMPUTED_VALUE"""),"10/06")</f>
        <v>10/06</v>
      </c>
      <c r="M89" s="140" t="str">
        <f>IFERROR(__xludf.DUMMYFUNCTION("""COMPUTED_VALUE"""),"11/06")</f>
        <v>11/06</v>
      </c>
      <c r="N89" s="140" t="str">
        <f>IFERROR(__xludf.DUMMYFUNCTION("""COMPUTED_VALUE"""),"11/06")</f>
        <v>11/06</v>
      </c>
      <c r="O89" s="140" t="str">
        <f>IFERROR(__xludf.DUMMYFUNCTION("""COMPUTED_VALUE"""),"11/06")</f>
        <v>11/06</v>
      </c>
      <c r="P89" s="140" t="str">
        <f>IFERROR(__xludf.DUMMYFUNCTION("""COMPUTED_VALUE"""),"11/06")</f>
        <v>11/06</v>
      </c>
      <c r="Q89" s="140" t="str">
        <f>IFERROR(__xludf.DUMMYFUNCTION("""COMPUTED_VALUE"""),"12/06")</f>
        <v>12/06</v>
      </c>
      <c r="R89" s="140" t="str">
        <f>IFERROR(__xludf.DUMMYFUNCTION("""COMPUTED_VALUE"""),"12/06")</f>
        <v>12/06</v>
      </c>
      <c r="S89" s="140" t="str">
        <f>IFERROR(__xludf.DUMMYFUNCTION("""COMPUTED_VALUE"""),"12/06")</f>
        <v>12/06</v>
      </c>
      <c r="T89" s="140" t="str">
        <f>IFERROR(__xludf.DUMMYFUNCTION("""COMPUTED_VALUE"""),"10/07")</f>
        <v>10/07</v>
      </c>
      <c r="U89" s="140"/>
      <c r="V89" s="140"/>
      <c r="W89" s="140"/>
      <c r="X89" s="140"/>
      <c r="Y89" s="140"/>
      <c r="Z89" s="140"/>
    </row>
    <row r="90" hidden="1">
      <c r="A90" s="140" t="str">
        <f>IFERROR(__xludf.DUMMYFUNCTION("""COMPUTED_VALUE"""),"VEE ONE")</f>
        <v>VEE ONE</v>
      </c>
      <c r="B90" s="140" t="str">
        <f>IFERROR(__xludf.DUMMYFUNCTION("""COMPUTED_VALUE"""),"BABR")</f>
        <v>BABR</v>
      </c>
      <c r="C90" s="140" t="str">
        <f>IFERROR(__xludf.DUMMYFUNCTION("""COMPUTED_VALUE"""),"3244809-8")</f>
        <v>3244809-8</v>
      </c>
      <c r="D90" s="140" t="str">
        <f>IFERROR(__xludf.DUMMYFUNCTION("""COMPUTED_VALUE"""),"FUEL CONTROL UNIT")</f>
        <v>FUEL CONTROL UNIT</v>
      </c>
      <c r="E90" s="140" t="str">
        <f>IFERROR(__xludf.DUMMYFUNCTION("""COMPUTED_VALUE"""),"B10133")</f>
        <v>B10133</v>
      </c>
      <c r="F90" s="140" t="str">
        <f>IFERROR(__xludf.DUMMYFUNCTION("""COMPUTED_VALUE"""),"023/2026")</f>
        <v>023/2026</v>
      </c>
      <c r="G90" s="140" t="str">
        <f>IFERROR(__xludf.DUMMYFUNCTION("""COMPUTED_VALUE"""),"22/06")</f>
        <v>22/06</v>
      </c>
      <c r="H90" s="140" t="str">
        <f>IFERROR(__xludf.DUMMYFUNCTION("""COMPUTED_VALUE"""),"23/06")</f>
        <v>23/06</v>
      </c>
      <c r="I90" s="140"/>
      <c r="J90" s="140" t="str">
        <f>IFERROR(__xludf.DUMMYFUNCTION("""COMPUTED_VALUE"""),"23/06")</f>
        <v>23/06</v>
      </c>
      <c r="K90" s="140" t="str">
        <f>IFERROR(__xludf.DUMMYFUNCTION("""COMPUTED_VALUE"""),"24/06")</f>
        <v>24/06</v>
      </c>
      <c r="L90" s="140" t="str">
        <f>IFERROR(__xludf.DUMMYFUNCTION("""COMPUTED_VALUE"""),"24/06")</f>
        <v>24/06</v>
      </c>
      <c r="M90" s="140" t="str">
        <f>IFERROR(__xludf.DUMMYFUNCTION("""COMPUTED_VALUE"""),"24/06")</f>
        <v>24/06</v>
      </c>
      <c r="N90" s="140" t="str">
        <f>IFERROR(__xludf.DUMMYFUNCTION("""COMPUTED_VALUE"""),"24/06")</f>
        <v>24/06</v>
      </c>
      <c r="O90" s="140" t="str">
        <f>IFERROR(__xludf.DUMMYFUNCTION("""COMPUTED_VALUE"""),"24/06")</f>
        <v>24/06</v>
      </c>
      <c r="P90" s="140" t="str">
        <f>IFERROR(__xludf.DUMMYFUNCTION("""COMPUTED_VALUE"""),"25/06")</f>
        <v>25/06</v>
      </c>
      <c r="Q90" s="140" t="str">
        <f>IFERROR(__xludf.DUMMYFUNCTION("""COMPUTED_VALUE"""),"25/06")</f>
        <v>25/06</v>
      </c>
      <c r="R90" s="140" t="str">
        <f>IFERROR(__xludf.DUMMYFUNCTION("""COMPUTED_VALUE"""),"25/06")</f>
        <v>25/06</v>
      </c>
      <c r="S90" s="140" t="str">
        <f>IFERROR(__xludf.DUMMYFUNCTION("""COMPUTED_VALUE"""),"25/06")</f>
        <v>25/06</v>
      </c>
      <c r="T90" s="140" t="str">
        <f>IFERROR(__xludf.DUMMYFUNCTION("""COMPUTED_VALUE"""),"25/06")</f>
        <v>25/06</v>
      </c>
      <c r="U90" s="140"/>
      <c r="V90" s="140"/>
      <c r="W90" s="140"/>
      <c r="X90" s="140"/>
      <c r="Y90" s="140"/>
      <c r="Z90" s="140"/>
    </row>
    <row r="91" hidden="1">
      <c r="A91" s="140" t="str">
        <f>IFERROR(__xludf.DUMMYFUNCTION("""COMPUTED_VALUE"""),"VEE ONE")</f>
        <v>VEE ONE</v>
      </c>
      <c r="B91" s="140" t="str">
        <f>IFERROR(__xludf.DUMMYFUNCTION("""COMPUTED_VALUE"""),"BABE")</f>
        <v>BABE</v>
      </c>
      <c r="C91" s="140" t="str">
        <f>IFERROR(__xludf.DUMMYFUNCTION("""COMPUTED_VALUE"""),"3244809-4")</f>
        <v>3244809-4</v>
      </c>
      <c r="D91" s="140" t="str">
        <f>IFERROR(__xludf.DUMMYFUNCTION("""COMPUTED_VALUE"""),"FUEL CONTROL UNIT")</f>
        <v>FUEL CONTROL UNIT</v>
      </c>
      <c r="E91" s="140" t="str">
        <f>IFERROR(__xludf.DUMMYFUNCTION("""COMPUTED_VALUE"""),"C25208")</f>
        <v>C25208</v>
      </c>
      <c r="F91" s="140" t="str">
        <f>IFERROR(__xludf.DUMMYFUNCTION("""COMPUTED_VALUE"""),"020/2026")</f>
        <v>020/2026</v>
      </c>
      <c r="G91" s="140" t="str">
        <f>IFERROR(__xludf.DUMMYFUNCTION("""COMPUTED_VALUE"""),"26/06")</f>
        <v>26/06</v>
      </c>
      <c r="H91" s="140" t="str">
        <f>IFERROR(__xludf.DUMMYFUNCTION("""COMPUTED_VALUE"""),"26/06")</f>
        <v>26/06</v>
      </c>
      <c r="I91" s="140"/>
      <c r="J91" s="140" t="str">
        <f>IFERROR(__xludf.DUMMYFUNCTION("""COMPUTED_VALUE"""),"30/06")</f>
        <v>30/06</v>
      </c>
      <c r="K91" s="140" t="str">
        <f>IFERROR(__xludf.DUMMYFUNCTION("""COMPUTED_VALUE"""),"30/06")</f>
        <v>30/06</v>
      </c>
      <c r="L91" s="140" t="str">
        <f>IFERROR(__xludf.DUMMYFUNCTION("""COMPUTED_VALUE"""),"30/06")</f>
        <v>30/06</v>
      </c>
      <c r="M91" s="140" t="str">
        <f>IFERROR(__xludf.DUMMYFUNCTION("""COMPUTED_VALUE"""),"30/06")</f>
        <v>30/06</v>
      </c>
      <c r="N91" s="140" t="str">
        <f>IFERROR(__xludf.DUMMYFUNCTION("""COMPUTED_VALUE"""),"30/06")</f>
        <v>30/06</v>
      </c>
      <c r="O91" s="140" t="str">
        <f>IFERROR(__xludf.DUMMYFUNCTION("""COMPUTED_VALUE"""),"30/06")</f>
        <v>30/06</v>
      </c>
      <c r="P91" s="140" t="str">
        <f>IFERROR(__xludf.DUMMYFUNCTION("""COMPUTED_VALUE"""),"30/06")</f>
        <v>30/06</v>
      </c>
      <c r="Q91" s="140" t="str">
        <f>IFERROR(__xludf.DUMMYFUNCTION("""COMPUTED_VALUE"""),"30/06")</f>
        <v>30/06</v>
      </c>
      <c r="R91" s="140" t="str">
        <f>IFERROR(__xludf.DUMMYFUNCTION("""COMPUTED_VALUE"""),"30/06")</f>
        <v>30/06</v>
      </c>
      <c r="S91" s="140" t="str">
        <f>IFERROR(__xludf.DUMMYFUNCTION("""COMPUTED_VALUE"""),"30/06")</f>
        <v>30/06</v>
      </c>
      <c r="T91" s="140" t="str">
        <f>IFERROR(__xludf.DUMMYFUNCTION("""COMPUTED_VALUE"""),"01/07")</f>
        <v>01/07</v>
      </c>
      <c r="U91" s="140"/>
      <c r="V91" s="140"/>
      <c r="W91" s="140"/>
      <c r="X91" s="140"/>
      <c r="Y91" s="140"/>
      <c r="Z91" s="140"/>
    </row>
    <row r="92" hidden="1">
      <c r="A92" s="140" t="str">
        <f>IFERROR(__xludf.DUMMYFUNCTION("""COMPUTED_VALUE"""),"VEE ONE")</f>
        <v>VEE ONE</v>
      </c>
      <c r="B92" s="140" t="str">
        <f>IFERROR(__xludf.DUMMYFUNCTION("""COMPUTED_VALUE"""),"BABE")</f>
        <v>BABE</v>
      </c>
      <c r="C92" s="140" t="str">
        <f>IFERROR(__xludf.DUMMYFUNCTION("""COMPUTED_VALUE"""),"011-00916-10")</f>
        <v>011-00916-10</v>
      </c>
      <c r="D92" s="140" t="str">
        <f>IFERROR(__xludf.DUMMYFUNCTION("""COMPUTED_VALUE"""),"UNIDADE DE EXIBIÇÃO DE INFORMAÇÕES DE VOO")</f>
        <v>UNIDADE DE EXIBIÇÃO DE INFORMAÇÕES DE VOO</v>
      </c>
      <c r="E92" s="140" t="str">
        <f>IFERROR(__xludf.DUMMYFUNCTION("""COMPUTED_VALUE"""),"86815635")</f>
        <v>86815635</v>
      </c>
      <c r="F92" s="140" t="str">
        <f>IFERROR(__xludf.DUMMYFUNCTION("""COMPUTED_VALUE"""),"004/2026")</f>
        <v>004/2026</v>
      </c>
      <c r="G92" s="140" t="str">
        <f>IFERROR(__xludf.DUMMYFUNCTION("""COMPUTED_VALUE"""),"24/02")</f>
        <v>24/02</v>
      </c>
      <c r="H92" s="140" t="str">
        <f>IFERROR(__xludf.DUMMYFUNCTION("""COMPUTED_VALUE"""),"24/02")</f>
        <v>24/02</v>
      </c>
      <c r="I92" s="140" t="str">
        <f>IFERROR(__xludf.DUMMYFUNCTION("""COMPUTED_VALUE"""),"26/02, 26/03 e 30/04")</f>
        <v>26/02, 26/03 e 30/04</v>
      </c>
      <c r="J92" s="140" t="str">
        <f>IFERROR(__xludf.DUMMYFUNCTION("""COMPUTED_VALUE"""),"19/05")</f>
        <v>19/05</v>
      </c>
      <c r="K92" s="140" t="str">
        <f>IFERROR(__xludf.DUMMYFUNCTION("""COMPUTED_VALUE"""),"19/05")</f>
        <v>19/05</v>
      </c>
      <c r="L92" s="140" t="str">
        <f>IFERROR(__xludf.DUMMYFUNCTION("""COMPUTED_VALUE"""),"19/05")</f>
        <v>19/05</v>
      </c>
      <c r="M92" s="140" t="str">
        <f>IFERROR(__xludf.DUMMYFUNCTION("""COMPUTED_VALUE"""),"19/05")</f>
        <v>19/05</v>
      </c>
      <c r="N92" s="140" t="str">
        <f>IFERROR(__xludf.DUMMYFUNCTION("""COMPUTED_VALUE"""),"19/05")</f>
        <v>19/05</v>
      </c>
      <c r="O92" s="140" t="str">
        <f>IFERROR(__xludf.DUMMYFUNCTION("""COMPUTED_VALUE"""),"19/05")</f>
        <v>19/05</v>
      </c>
      <c r="P92" s="140" t="str">
        <f>IFERROR(__xludf.DUMMYFUNCTION("""COMPUTED_VALUE"""),"21/05")</f>
        <v>21/05</v>
      </c>
      <c r="Q92" s="140" t="str">
        <f>IFERROR(__xludf.DUMMYFUNCTION("""COMPUTED_VALUE"""),"21/05")</f>
        <v>21/05</v>
      </c>
      <c r="R92" s="140" t="str">
        <f>IFERROR(__xludf.DUMMYFUNCTION("""COMPUTED_VALUE"""),"22/05")</f>
        <v>22/05</v>
      </c>
      <c r="S92" s="140" t="str">
        <f>IFERROR(__xludf.DUMMYFUNCTION("""COMPUTED_VALUE"""),"22/05")</f>
        <v>22/05</v>
      </c>
      <c r="T92" s="140" t="str">
        <f>IFERROR(__xludf.DUMMYFUNCTION("""COMPUTED_VALUE"""),"27/05")</f>
        <v>27/05</v>
      </c>
      <c r="U92" s="140" t="str">
        <f>IFERROR(__xludf.DUMMYFUNCTION("""COMPUTED_VALUE"""),"Exchnage com SN 86819178")</f>
        <v>Exchnage com SN 86819178</v>
      </c>
      <c r="V92" s="140"/>
      <c r="W92" s="140"/>
      <c r="X92" s="140"/>
      <c r="Y92" s="140"/>
      <c r="Z92" s="140"/>
    </row>
    <row r="93" hidden="1">
      <c r="A93" s="140" t="str">
        <f>IFERROR(__xludf.DUMMYFUNCTION("""COMPUTED_VALUE"""),"VEE ONE")</f>
        <v>VEE ONE</v>
      </c>
      <c r="B93" s="140" t="str">
        <f>IFERROR(__xludf.DUMMYFUNCTION("""COMPUTED_VALUE"""),"CLA")</f>
        <v>CLA</v>
      </c>
      <c r="C93" s="140" t="str">
        <f>IFERROR(__xludf.DUMMYFUNCTION("""COMPUTED_VALUE"""),"324843-W020")</f>
        <v>324843-W020</v>
      </c>
      <c r="D93" s="140" t="str">
        <f>IFERROR(__xludf.DUMMYFUNCTION("""COMPUTED_VALUE"""),"HEADSET-MICROPHONE")</f>
        <v>HEADSET-MICROPHONE</v>
      </c>
      <c r="E93" s="140" t="str">
        <f>IFERROR(__xludf.DUMMYFUNCTION("""COMPUTED_VALUE"""),"073200G63200008AE")</f>
        <v>073200G63200008AE</v>
      </c>
      <c r="F93" s="140" t="str">
        <f>IFERROR(__xludf.DUMMYFUNCTION("""COMPUTED_VALUE"""),"008/2026")</f>
        <v>008/2026</v>
      </c>
      <c r="G93" s="140" t="str">
        <f>IFERROR(__xludf.DUMMYFUNCTION("""COMPUTED_VALUE"""),"20/02")</f>
        <v>20/02</v>
      </c>
      <c r="H93" s="140" t="str">
        <f>IFERROR(__xludf.DUMMYFUNCTION("""COMPUTED_VALUE"""),"16/04")</f>
        <v>16/04</v>
      </c>
      <c r="I93" s="140" t="str">
        <f>IFERROR(__xludf.DUMMYFUNCTION("""COMPUTED_VALUE"""),"*")</f>
        <v>*</v>
      </c>
      <c r="J93" s="140" t="str">
        <f>IFERROR(__xludf.DUMMYFUNCTION("""COMPUTED_VALUE"""),"30/04")</f>
        <v>30/04</v>
      </c>
      <c r="K93" s="140" t="str">
        <f>IFERROR(__xludf.DUMMYFUNCTION("""COMPUTED_VALUE"""),"04/05")</f>
        <v>04/05</v>
      </c>
      <c r="L93" s="140" t="str">
        <f>IFERROR(__xludf.DUMMYFUNCTION("""COMPUTED_VALUE"""),"04/05")</f>
        <v>04/05</v>
      </c>
      <c r="M93" s="140" t="str">
        <f>IFERROR(__xludf.DUMMYFUNCTION("""COMPUTED_VALUE"""),"04/05")</f>
        <v>04/05</v>
      </c>
      <c r="N93" s="140" t="str">
        <f>IFERROR(__xludf.DUMMYFUNCTION("""COMPUTED_VALUE"""),"04/05")</f>
        <v>04/05</v>
      </c>
      <c r="O93" s="140" t="str">
        <f>IFERROR(__xludf.DUMMYFUNCTION("""COMPUTED_VALUE"""),"04/05")</f>
        <v>04/05</v>
      </c>
      <c r="P93" s="140" t="str">
        <f>IFERROR(__xludf.DUMMYFUNCTION("""COMPUTED_VALUE"""),"04/05")</f>
        <v>04/05</v>
      </c>
      <c r="Q93" s="140" t="str">
        <f>IFERROR(__xludf.DUMMYFUNCTION("""COMPUTED_VALUE"""),"04/05")</f>
        <v>04/05</v>
      </c>
      <c r="R93" s="140" t="str">
        <f>IFERROR(__xludf.DUMMYFUNCTION("""COMPUTED_VALUE"""),"14/05")</f>
        <v>14/05</v>
      </c>
      <c r="S93" s="140" t="str">
        <f>IFERROR(__xludf.DUMMYFUNCTION("""COMPUTED_VALUE"""),"14/05 e 02/06")</f>
        <v>14/05 e 02/06</v>
      </c>
      <c r="T93" s="140" t="str">
        <f>IFERROR(__xludf.DUMMYFUNCTION("""COMPUTED_VALUE"""),"30/06")</f>
        <v>30/06</v>
      </c>
      <c r="U93" s="140" t="str">
        <f>IFERROR(__xludf.DUMMYFUNCTION("""COMPUTED_VALUE"""),"Sem SN e certificado")</f>
        <v>Sem SN e certificado</v>
      </c>
      <c r="V93" s="140"/>
      <c r="W93" s="140"/>
      <c r="X93" s="140"/>
      <c r="Y93" s="140"/>
      <c r="Z93" s="140"/>
    </row>
    <row r="94" hidden="1">
      <c r="A94" s="140" t="str">
        <f>IFERROR(__xludf.DUMMYFUNCTION("""COMPUTED_VALUE"""),"VEE ONE")</f>
        <v>VEE ONE</v>
      </c>
      <c r="B94" s="140" t="str">
        <f>IFERROR(__xludf.DUMMYFUNCTION("""COMPUTED_VALUE"""),"CLA")</f>
        <v>CLA</v>
      </c>
      <c r="C94" s="140" t="str">
        <f>IFERROR(__xludf.DUMMYFUNCTION("""COMPUTED_VALUE"""),"324843-W020")</f>
        <v>324843-W020</v>
      </c>
      <c r="D94" s="140" t="str">
        <f>IFERROR(__xludf.DUMMYFUNCTION("""COMPUTED_VALUE"""),"HEADSET-MICROPHONE")</f>
        <v>HEADSET-MICROPHONE</v>
      </c>
      <c r="E94" s="140" t="str">
        <f>IFERROR(__xludf.DUMMYFUNCTION("""COMPUTED_VALUE"""),"073200G02170089AE")</f>
        <v>073200G02170089AE</v>
      </c>
      <c r="F94" s="140" t="str">
        <f>IFERROR(__xludf.DUMMYFUNCTION("""COMPUTED_VALUE"""),"008/2026")</f>
        <v>008/2026</v>
      </c>
      <c r="G94" s="140" t="str">
        <f>IFERROR(__xludf.DUMMYFUNCTION("""COMPUTED_VALUE"""),"20/02")</f>
        <v>20/02</v>
      </c>
      <c r="H94" s="140" t="str">
        <f>IFERROR(__xludf.DUMMYFUNCTION("""COMPUTED_VALUE"""),"16/04")</f>
        <v>16/04</v>
      </c>
      <c r="I94" s="140" t="str">
        <f>IFERROR(__xludf.DUMMYFUNCTION("""COMPUTED_VALUE"""),"*")</f>
        <v>*</v>
      </c>
      <c r="J94" s="140" t="str">
        <f>IFERROR(__xludf.DUMMYFUNCTION("""COMPUTED_VALUE"""),"30/04")</f>
        <v>30/04</v>
      </c>
      <c r="K94" s="140" t="str">
        <f>IFERROR(__xludf.DUMMYFUNCTION("""COMPUTED_VALUE"""),"04/05")</f>
        <v>04/05</v>
      </c>
      <c r="L94" s="140" t="str">
        <f>IFERROR(__xludf.DUMMYFUNCTION("""COMPUTED_VALUE"""),"04/05")</f>
        <v>04/05</v>
      </c>
      <c r="M94" s="140" t="str">
        <f>IFERROR(__xludf.DUMMYFUNCTION("""COMPUTED_VALUE"""),"04/05")</f>
        <v>04/05</v>
      </c>
      <c r="N94" s="140" t="str">
        <f>IFERROR(__xludf.DUMMYFUNCTION("""COMPUTED_VALUE"""),"04/05")</f>
        <v>04/05</v>
      </c>
      <c r="O94" s="140" t="str">
        <f>IFERROR(__xludf.DUMMYFUNCTION("""COMPUTED_VALUE"""),"04/05")</f>
        <v>04/05</v>
      </c>
      <c r="P94" s="140" t="str">
        <f>IFERROR(__xludf.DUMMYFUNCTION("""COMPUTED_VALUE"""),"04/05")</f>
        <v>04/05</v>
      </c>
      <c r="Q94" s="140" t="str">
        <f>IFERROR(__xludf.DUMMYFUNCTION("""COMPUTED_VALUE"""),"04/05")</f>
        <v>04/05</v>
      </c>
      <c r="R94" s="140" t="str">
        <f>IFERROR(__xludf.DUMMYFUNCTION("""COMPUTED_VALUE"""),"14/05")</f>
        <v>14/05</v>
      </c>
      <c r="S94" s="140" t="str">
        <f>IFERROR(__xludf.DUMMYFUNCTION("""COMPUTED_VALUE"""),"14/05 e 02/06")</f>
        <v>14/05 e 02/06</v>
      </c>
      <c r="T94" s="140" t="str">
        <f>IFERROR(__xludf.DUMMYFUNCTION("""COMPUTED_VALUE"""),"30/06")</f>
        <v>30/06</v>
      </c>
      <c r="U94" s="140" t="str">
        <f>IFERROR(__xludf.DUMMYFUNCTION("""COMPUTED_VALUE"""),"Sem SN e certificado")</f>
        <v>Sem SN e certificado</v>
      </c>
      <c r="V94" s="140"/>
      <c r="W94" s="140"/>
      <c r="X94" s="140"/>
      <c r="Y94" s="140"/>
      <c r="Z94" s="140"/>
    </row>
    <row r="95" hidden="1">
      <c r="A95" s="140" t="str">
        <f>IFERROR(__xludf.DUMMYFUNCTION("""COMPUTED_VALUE"""),"VEE ONE")</f>
        <v>VEE ONE</v>
      </c>
      <c r="B95" s="140" t="str">
        <f>IFERROR(__xludf.DUMMYFUNCTION("""COMPUTED_VALUE"""),"BABE")</f>
        <v>BABE</v>
      </c>
      <c r="C95" s="140" t="str">
        <f>IFERROR(__xludf.DUMMYFUNCTION("""COMPUTED_VALUE"""),"3244809-7")</f>
        <v>3244809-7</v>
      </c>
      <c r="D95" s="140" t="str">
        <f>IFERROR(__xludf.DUMMYFUNCTION("""COMPUTED_VALUE"""),"FUEL CONTROL,MAIN,TURBINE ENGINE")</f>
        <v>FUEL CONTROL,MAIN,TURBINE ENGINE</v>
      </c>
      <c r="E95" s="140" t="str">
        <f>IFERROR(__xludf.DUMMYFUNCTION("""COMPUTED_VALUE"""),"A76103")</f>
        <v>A76103</v>
      </c>
      <c r="F95" s="140" t="str">
        <f>IFERROR(__xludf.DUMMYFUNCTION("""COMPUTED_VALUE"""),"013/2026")</f>
        <v>013/2026</v>
      </c>
      <c r="G95" s="140" t="str">
        <f>IFERROR(__xludf.DUMMYFUNCTION("""COMPUTED_VALUE"""),"18/05")</f>
        <v>18/05</v>
      </c>
      <c r="H95" s="140" t="str">
        <f>IFERROR(__xludf.DUMMYFUNCTION("""COMPUTED_VALUE"""),"18/05")</f>
        <v>18/05</v>
      </c>
      <c r="I95" s="140"/>
      <c r="J95" s="140" t="str">
        <f>IFERROR(__xludf.DUMMYFUNCTION("""COMPUTED_VALUE"""),"18/05")</f>
        <v>18/05</v>
      </c>
      <c r="K95" s="140" t="str">
        <f>IFERROR(__xludf.DUMMYFUNCTION("""COMPUTED_VALUE"""),"19/05")</f>
        <v>19/05</v>
      </c>
      <c r="L95" s="140" t="str">
        <f>IFERROR(__xludf.DUMMYFUNCTION("""COMPUTED_VALUE"""),"19/05")</f>
        <v>19/05</v>
      </c>
      <c r="M95" s="140" t="str">
        <f>IFERROR(__xludf.DUMMYFUNCTION("""COMPUTED_VALUE"""),"19/05")</f>
        <v>19/05</v>
      </c>
      <c r="N95" s="140" t="str">
        <f>IFERROR(__xludf.DUMMYFUNCTION("""COMPUTED_VALUE"""),"19/05")</f>
        <v>19/05</v>
      </c>
      <c r="O95" s="140" t="str">
        <f>IFERROR(__xludf.DUMMYFUNCTION("""COMPUTED_VALUE"""),"19/05")</f>
        <v>19/05</v>
      </c>
      <c r="P95" s="140" t="str">
        <f>IFERROR(__xludf.DUMMYFUNCTION("""COMPUTED_VALUE"""),"21/05")</f>
        <v>21/05</v>
      </c>
      <c r="Q95" s="140" t="str">
        <f>IFERROR(__xludf.DUMMYFUNCTION("""COMPUTED_VALUE"""),"21/05")</f>
        <v>21/05</v>
      </c>
      <c r="R95" s="140" t="str">
        <f>IFERROR(__xludf.DUMMYFUNCTION("""COMPUTED_VALUE"""),"15/06")</f>
        <v>15/06</v>
      </c>
      <c r="S95" s="140" t="str">
        <f>IFERROR(__xludf.DUMMYFUNCTION("""COMPUTED_VALUE"""),"15/06")</f>
        <v>15/06</v>
      </c>
      <c r="T95" s="140" t="str">
        <f>IFERROR(__xludf.DUMMYFUNCTION("""COMPUTED_VALUE"""),"27/05")</f>
        <v>27/05</v>
      </c>
      <c r="U95" s="140"/>
      <c r="V95" s="140"/>
      <c r="W95" s="140"/>
      <c r="X95" s="140"/>
      <c r="Y95" s="140"/>
      <c r="Z95" s="140"/>
    </row>
    <row r="96" hidden="1">
      <c r="A96" s="140" t="str">
        <f>IFERROR(__xludf.DUMMYFUNCTION("""COMPUTED_VALUE"""),"VEE ONE")</f>
        <v>VEE ONE</v>
      </c>
      <c r="B96" s="140" t="str">
        <f>IFERROR(__xludf.DUMMYFUNCTION("""COMPUTED_VALUE"""),"BABE")</f>
        <v>BABE</v>
      </c>
      <c r="C96" s="140" t="str">
        <f>IFERROR(__xludf.DUMMYFUNCTION("""COMPUTED_VALUE"""),"324843-W020")</f>
        <v>324843-W020</v>
      </c>
      <c r="D96" s="140" t="str">
        <f>IFERROR(__xludf.DUMMYFUNCTION("""COMPUTED_VALUE"""),"HEADSET-MICROPHONE")</f>
        <v>HEADSET-MICROPHONE</v>
      </c>
      <c r="E96" s="140" t="str">
        <f>IFERROR(__xludf.DUMMYFUNCTION("""COMPUTED_VALUE"""),"073200G71360003AE")</f>
        <v>073200G71360003AE</v>
      </c>
      <c r="F96" s="140" t="str">
        <f>IFERROR(__xludf.DUMMYFUNCTION("""COMPUTED_VALUE"""),"013/2026")</f>
        <v>013/2026</v>
      </c>
      <c r="G96" s="140" t="str">
        <f>IFERROR(__xludf.DUMMYFUNCTION("""COMPUTED_VALUE"""),"18/05")</f>
        <v>18/05</v>
      </c>
      <c r="H96" s="140" t="str">
        <f>IFERROR(__xludf.DUMMYFUNCTION("""COMPUTED_VALUE"""),"18/05")</f>
        <v>18/05</v>
      </c>
      <c r="I96" s="140"/>
      <c r="J96" s="140" t="str">
        <f>IFERROR(__xludf.DUMMYFUNCTION("""COMPUTED_VALUE"""),"18/05")</f>
        <v>18/05</v>
      </c>
      <c r="K96" s="140" t="str">
        <f>IFERROR(__xludf.DUMMYFUNCTION("""COMPUTED_VALUE"""),"19/05")</f>
        <v>19/05</v>
      </c>
      <c r="L96" s="140" t="str">
        <f>IFERROR(__xludf.DUMMYFUNCTION("""COMPUTED_VALUE"""),"19/05")</f>
        <v>19/05</v>
      </c>
      <c r="M96" s="140" t="str">
        <f>IFERROR(__xludf.DUMMYFUNCTION("""COMPUTED_VALUE"""),"19/05")</f>
        <v>19/05</v>
      </c>
      <c r="N96" s="140" t="str">
        <f>IFERROR(__xludf.DUMMYFUNCTION("""COMPUTED_VALUE"""),"19/05")</f>
        <v>19/05</v>
      </c>
      <c r="O96" s="140" t="str">
        <f>IFERROR(__xludf.DUMMYFUNCTION("""COMPUTED_VALUE"""),"19/05")</f>
        <v>19/05</v>
      </c>
      <c r="P96" s="140" t="str">
        <f>IFERROR(__xludf.DUMMYFUNCTION("""COMPUTED_VALUE"""),"21/05")</f>
        <v>21/05</v>
      </c>
      <c r="Q96" s="140" t="str">
        <f>IFERROR(__xludf.DUMMYFUNCTION("""COMPUTED_VALUE"""),"21/05")</f>
        <v>21/05</v>
      </c>
      <c r="R96" s="140" t="str">
        <f>IFERROR(__xludf.DUMMYFUNCTION("""COMPUTED_VALUE"""),"22/05")</f>
        <v>22/05</v>
      </c>
      <c r="S96" s="140" t="str">
        <f>IFERROR(__xludf.DUMMYFUNCTION("""COMPUTED_VALUE"""),"22/05")</f>
        <v>22/05</v>
      </c>
      <c r="T96" s="140" t="str">
        <f>IFERROR(__xludf.DUMMYFUNCTION("""COMPUTED_VALUE"""),"27/05")</f>
        <v>27/05</v>
      </c>
      <c r="U96" s="140"/>
      <c r="V96" s="140"/>
      <c r="W96" s="140"/>
      <c r="X96" s="140"/>
      <c r="Y96" s="140"/>
      <c r="Z96" s="140"/>
    </row>
    <row r="97" hidden="1">
      <c r="A97" s="140" t="str">
        <f>IFERROR(__xludf.DUMMYFUNCTION("""COMPUTED_VALUE"""),"VEE ONE")</f>
        <v>VEE ONE</v>
      </c>
      <c r="B97" s="140" t="str">
        <f>IFERROR(__xludf.DUMMYFUNCTION("""COMPUTED_VALUE"""),"BABE")</f>
        <v>BABE</v>
      </c>
      <c r="C97" s="140" t="str">
        <f>IFERROR(__xludf.DUMMYFUNCTION("""COMPUTED_VALUE"""),"200SGL119Q-2")</f>
        <v>200SGL119Q-2</v>
      </c>
      <c r="D97" s="140" t="str">
        <f>IFERROR(__xludf.DUMMYFUNCTION("""COMPUTED_VALUE"""),"STARTER GENERATOR")</f>
        <v>STARTER GENERATOR</v>
      </c>
      <c r="E97" s="140" t="str">
        <f>IFERROR(__xludf.DUMMYFUNCTION("""COMPUTED_VALUE"""),"8459XL2")</f>
        <v>8459XL2</v>
      </c>
      <c r="F97" s="140" t="str">
        <f>IFERROR(__xludf.DUMMYFUNCTION("""COMPUTED_VALUE"""),"013/2026")</f>
        <v>013/2026</v>
      </c>
      <c r="G97" s="140" t="str">
        <f>IFERROR(__xludf.DUMMYFUNCTION("""COMPUTED_VALUE"""),"18/05")</f>
        <v>18/05</v>
      </c>
      <c r="H97" s="140" t="str">
        <f>IFERROR(__xludf.DUMMYFUNCTION("""COMPUTED_VALUE"""),"18/05")</f>
        <v>18/05</v>
      </c>
      <c r="I97" s="140"/>
      <c r="J97" s="140" t="str">
        <f>IFERROR(__xludf.DUMMYFUNCTION("""COMPUTED_VALUE"""),"18/05")</f>
        <v>18/05</v>
      </c>
      <c r="K97" s="140" t="str">
        <f>IFERROR(__xludf.DUMMYFUNCTION("""COMPUTED_VALUE"""),"19/05")</f>
        <v>19/05</v>
      </c>
      <c r="L97" s="140" t="str">
        <f>IFERROR(__xludf.DUMMYFUNCTION("""COMPUTED_VALUE"""),"19/05")</f>
        <v>19/05</v>
      </c>
      <c r="M97" s="140" t="str">
        <f>IFERROR(__xludf.DUMMYFUNCTION("""COMPUTED_VALUE"""),"19/05")</f>
        <v>19/05</v>
      </c>
      <c r="N97" s="140" t="str">
        <f>IFERROR(__xludf.DUMMYFUNCTION("""COMPUTED_VALUE"""),"19/05")</f>
        <v>19/05</v>
      </c>
      <c r="O97" s="140" t="str">
        <f>IFERROR(__xludf.DUMMYFUNCTION("""COMPUTED_VALUE"""),"19/05")</f>
        <v>19/05</v>
      </c>
      <c r="P97" s="140" t="str">
        <f>IFERROR(__xludf.DUMMYFUNCTION("""COMPUTED_VALUE"""),"21/05")</f>
        <v>21/05</v>
      </c>
      <c r="Q97" s="140" t="str">
        <f>IFERROR(__xludf.DUMMYFUNCTION("""COMPUTED_VALUE"""),"21/05")</f>
        <v>21/05</v>
      </c>
      <c r="R97" s="140" t="str">
        <f>IFERROR(__xludf.DUMMYFUNCTION("""COMPUTED_VALUE"""),"22/05")</f>
        <v>22/05</v>
      </c>
      <c r="S97" s="140" t="str">
        <f>IFERROR(__xludf.DUMMYFUNCTION("""COMPUTED_VALUE"""),"22/05")</f>
        <v>22/05</v>
      </c>
      <c r="T97" s="140" t="str">
        <f>IFERROR(__xludf.DUMMYFUNCTION("""COMPUTED_VALUE"""),"27/05")</f>
        <v>27/05</v>
      </c>
      <c r="U97" s="140"/>
      <c r="V97" s="140"/>
      <c r="W97" s="140"/>
      <c r="X97" s="140"/>
      <c r="Y97" s="140"/>
      <c r="Z97" s="140"/>
    </row>
    <row r="98" hidden="1">
      <c r="A98" s="140" t="str">
        <f>IFERROR(__xludf.DUMMYFUNCTION("""COMPUTED_VALUE"""),"VEE ONE")</f>
        <v>VEE ONE</v>
      </c>
      <c r="B98" s="140" t="str">
        <f>IFERROR(__xludf.DUMMYFUNCTION("""COMPUTED_VALUE"""),"BABE")</f>
        <v>BABE</v>
      </c>
      <c r="C98" s="140" t="str">
        <f>IFERROR(__xludf.DUMMYFUNCTION("""COMPUTED_VALUE"""),"C611008-0101")</f>
        <v>C611008-0101</v>
      </c>
      <c r="D98" s="140" t="str">
        <f>IFERROR(__xludf.DUMMYFUNCTION("""COMPUTED_VALUE"""),"ALTERNADOR CONTROL UNIT")</f>
        <v>ALTERNADOR CONTROL UNIT</v>
      </c>
      <c r="E98" s="140" t="str">
        <f>IFERROR(__xludf.DUMMYFUNCTION("""COMPUTED_VALUE"""),"7081234")</f>
        <v>7081234</v>
      </c>
      <c r="F98" s="140" t="str">
        <f>IFERROR(__xludf.DUMMYFUNCTION("""COMPUTED_VALUE"""),"013/2026")</f>
        <v>013/2026</v>
      </c>
      <c r="G98" s="140" t="str">
        <f>IFERROR(__xludf.DUMMYFUNCTION("""COMPUTED_VALUE"""),"18/05")</f>
        <v>18/05</v>
      </c>
      <c r="H98" s="140" t="str">
        <f>IFERROR(__xludf.DUMMYFUNCTION("""COMPUTED_VALUE"""),"18/05")</f>
        <v>18/05</v>
      </c>
      <c r="I98" s="140"/>
      <c r="J98" s="140" t="str">
        <f>IFERROR(__xludf.DUMMYFUNCTION("""COMPUTED_VALUE"""),"18/05")</f>
        <v>18/05</v>
      </c>
      <c r="K98" s="140" t="str">
        <f>IFERROR(__xludf.DUMMYFUNCTION("""COMPUTED_VALUE"""),"19/05")</f>
        <v>19/05</v>
      </c>
      <c r="L98" s="140" t="str">
        <f>IFERROR(__xludf.DUMMYFUNCTION("""COMPUTED_VALUE"""),"19/05")</f>
        <v>19/05</v>
      </c>
      <c r="M98" s="140" t="str">
        <f>IFERROR(__xludf.DUMMYFUNCTION("""COMPUTED_VALUE"""),"19/05")</f>
        <v>19/05</v>
      </c>
      <c r="N98" s="140" t="str">
        <f>IFERROR(__xludf.DUMMYFUNCTION("""COMPUTED_VALUE"""),"19/05")</f>
        <v>19/05</v>
      </c>
      <c r="O98" s="140" t="str">
        <f>IFERROR(__xludf.DUMMYFUNCTION("""COMPUTED_VALUE"""),"19/05")</f>
        <v>19/05</v>
      </c>
      <c r="P98" s="140" t="str">
        <f>IFERROR(__xludf.DUMMYFUNCTION("""COMPUTED_VALUE"""),"21/05")</f>
        <v>21/05</v>
      </c>
      <c r="Q98" s="140" t="str">
        <f>IFERROR(__xludf.DUMMYFUNCTION("""COMPUTED_VALUE"""),"21/05")</f>
        <v>21/05</v>
      </c>
      <c r="R98" s="140" t="str">
        <f>IFERROR(__xludf.DUMMYFUNCTION("""COMPUTED_VALUE"""),"22/05")</f>
        <v>22/05</v>
      </c>
      <c r="S98" s="140" t="str">
        <f>IFERROR(__xludf.DUMMYFUNCTION("""COMPUTED_VALUE"""),"22/05")</f>
        <v>22/05</v>
      </c>
      <c r="T98" s="140" t="str">
        <f>IFERROR(__xludf.DUMMYFUNCTION("""COMPUTED_VALUE"""),"27/05")</f>
        <v>27/05</v>
      </c>
      <c r="U98" s="140"/>
      <c r="V98" s="140"/>
      <c r="W98" s="140"/>
      <c r="X98" s="140"/>
      <c r="Y98" s="140"/>
      <c r="Z98" s="140"/>
    </row>
    <row r="99" hidden="1">
      <c r="A99" s="140" t="str">
        <f>IFERROR(__xludf.DUMMYFUNCTION("""COMPUTED_VALUE"""),"VEE ONE")</f>
        <v>VEE ONE</v>
      </c>
      <c r="B99" s="140" t="str">
        <f>IFERROR(__xludf.DUMMYFUNCTION("""COMPUTED_VALUE"""),"CLA")</f>
        <v>CLA</v>
      </c>
      <c r="C99" s="140" t="str">
        <f>IFERROR(__xludf.DUMMYFUNCTION("""COMPUTED_VALUE"""),"3244897-4")</f>
        <v>3244897-4</v>
      </c>
      <c r="D99" s="140" t="str">
        <f>IFERROR(__xludf.DUMMYFUNCTION("""COMPUTED_VALUE"""),"FUEL CONTROL UNIT")</f>
        <v>FUEL CONTROL UNIT</v>
      </c>
      <c r="E99" s="140" t="str">
        <f>IFERROR(__xludf.DUMMYFUNCTION("""COMPUTED_VALUE"""),"C66691")</f>
        <v>C66691</v>
      </c>
      <c r="F99" s="140" t="str">
        <f>IFERROR(__xludf.DUMMYFUNCTION("""COMPUTED_VALUE"""),"015/2026")</f>
        <v>015/2026</v>
      </c>
      <c r="G99" s="140" t="str">
        <f>IFERROR(__xludf.DUMMYFUNCTION("""COMPUTED_VALUE"""),"08/07")</f>
        <v>08/07</v>
      </c>
      <c r="H99" s="140" t="str">
        <f>IFERROR(__xludf.DUMMYFUNCTION("""COMPUTED_VALUE"""),"08/07")</f>
        <v>08/07</v>
      </c>
      <c r="I99" s="140"/>
      <c r="J99" s="140" t="str">
        <f>IFERROR(__xludf.DUMMYFUNCTION("""COMPUTED_VALUE"""),"09/07")</f>
        <v>09/07</v>
      </c>
      <c r="K99" s="140" t="str">
        <f>IFERROR(__xludf.DUMMYFUNCTION("""COMPUTED_VALUE"""),"09/07")</f>
        <v>09/07</v>
      </c>
      <c r="L99" s="140" t="str">
        <f>IFERROR(__xludf.DUMMYFUNCTION("""COMPUTED_VALUE"""),"09/07")</f>
        <v>09/07</v>
      </c>
      <c r="M99" s="140" t="str">
        <f>IFERROR(__xludf.DUMMYFUNCTION("""COMPUTED_VALUE"""),"09/07")</f>
        <v>09/07</v>
      </c>
      <c r="N99" s="140" t="str">
        <f>IFERROR(__xludf.DUMMYFUNCTION("""COMPUTED_VALUE"""),"09/07")</f>
        <v>09/07</v>
      </c>
      <c r="O99" s="140" t="str">
        <f>IFERROR(__xludf.DUMMYFUNCTION("""COMPUTED_VALUE"""),"09/07")</f>
        <v>09/07</v>
      </c>
      <c r="P99" s="140" t="str">
        <f>IFERROR(__xludf.DUMMYFUNCTION("""COMPUTED_VALUE"""),"09/07")</f>
        <v>09/07</v>
      </c>
      <c r="Q99" s="140" t="str">
        <f>IFERROR(__xludf.DUMMYFUNCTION("""COMPUTED_VALUE"""),"09/07")</f>
        <v>09/07</v>
      </c>
      <c r="R99" s="140" t="str">
        <f>IFERROR(__xludf.DUMMYFUNCTION("""COMPUTED_VALUE"""),"09/07")</f>
        <v>09/07</v>
      </c>
      <c r="S99" s="140" t="str">
        <f>IFERROR(__xludf.DUMMYFUNCTION("""COMPUTED_VALUE"""),"09/07")</f>
        <v>09/07</v>
      </c>
      <c r="T99" s="140" t="str">
        <f>IFERROR(__xludf.DUMMYFUNCTION("""COMPUTED_VALUE"""),"09/07")</f>
        <v>09/07</v>
      </c>
      <c r="U99" s="140"/>
      <c r="V99" s="140"/>
      <c r="W99" s="140"/>
      <c r="X99" s="140"/>
      <c r="Y99" s="140"/>
      <c r="Z99" s="140"/>
    </row>
    <row r="100" hidden="1">
      <c r="A100" s="140" t="str">
        <f>IFERROR(__xludf.DUMMYFUNCTION("""COMPUTED_VALUE"""),"VEE ONE")</f>
        <v>VEE ONE</v>
      </c>
      <c r="B100" s="140" t="str">
        <f>IFERROR(__xludf.DUMMYFUNCTION("""COMPUTED_VALUE"""),"BAMN")</f>
        <v>BAMN</v>
      </c>
      <c r="C100" s="140" t="str">
        <f>IFERROR(__xludf.DUMMYFUNCTION("""COMPUTED_VALUE"""),"011-00916-10")</f>
        <v>011-00916-10</v>
      </c>
      <c r="D100" s="140" t="str">
        <f>IFERROR(__xludf.DUMMYFUNCTION("""COMPUTED_VALUE"""),"UNIDADE DE EXIBIÇÃO DE INFORMAÇÕES DE VOO")</f>
        <v>UNIDADE DE EXIBIÇÃO DE INFORMAÇÕES DE VOO</v>
      </c>
      <c r="E100" s="140" t="str">
        <f>IFERROR(__xludf.DUMMYFUNCTION("""COMPUTED_VALUE"""),"86815646")</f>
        <v>86815646</v>
      </c>
      <c r="F100" s="140" t="str">
        <f>IFERROR(__xludf.DUMMYFUNCTION("""COMPUTED_VALUE"""),"078/2026")</f>
        <v>078/2026</v>
      </c>
      <c r="G100" s="140" t="str">
        <f>IFERROR(__xludf.DUMMYFUNCTION("""COMPUTED_VALUE"""),"07/07")</f>
        <v>07/07</v>
      </c>
      <c r="H100" s="140" t="str">
        <f>IFERROR(__xludf.DUMMYFUNCTION("""COMPUTED_VALUE"""),"14/07")</f>
        <v>14/07</v>
      </c>
      <c r="I100" s="140"/>
      <c r="J100" s="140" t="str">
        <f>IFERROR(__xludf.DUMMYFUNCTION("""COMPUTED_VALUE"""),"15/07")</f>
        <v>15/07</v>
      </c>
      <c r="K100" s="140" t="str">
        <f>IFERROR(__xludf.DUMMYFUNCTION("""COMPUTED_VALUE"""),"15/07")</f>
        <v>15/07</v>
      </c>
      <c r="L100" s="140" t="str">
        <f>IFERROR(__xludf.DUMMYFUNCTION("""COMPUTED_VALUE"""),"15/07")</f>
        <v>15/07</v>
      </c>
      <c r="M100" s="140" t="str">
        <f>IFERROR(__xludf.DUMMYFUNCTION("""COMPUTED_VALUE"""),"15/07")</f>
        <v>15/07</v>
      </c>
      <c r="N100" s="140" t="str">
        <f>IFERROR(__xludf.DUMMYFUNCTION("""COMPUTED_VALUE"""),"15/07")</f>
        <v>15/07</v>
      </c>
      <c r="O100" s="140" t="str">
        <f>IFERROR(__xludf.DUMMYFUNCTION("""COMPUTED_VALUE"""),"15/07")</f>
        <v>15/07</v>
      </c>
      <c r="P100" s="140" t="str">
        <f>IFERROR(__xludf.DUMMYFUNCTION("""COMPUTED_VALUE"""),"16/07")</f>
        <v>16/07</v>
      </c>
      <c r="Q100" s="140" t="str">
        <f>IFERROR(__xludf.DUMMYFUNCTION("""COMPUTED_VALUE"""),"16/07")</f>
        <v>16/07</v>
      </c>
      <c r="R100" s="140" t="str">
        <f>IFERROR(__xludf.DUMMYFUNCTION("""COMPUTED_VALUE"""),"16/07")</f>
        <v>16/07</v>
      </c>
      <c r="S100" s="140" t="str">
        <f>IFERROR(__xludf.DUMMYFUNCTION("""COMPUTED_VALUE"""),"16/07")</f>
        <v>16/07</v>
      </c>
      <c r="T100" s="140" t="str">
        <f>IFERROR(__xludf.DUMMYFUNCTION("""COMPUTED_VALUE"""),"21/07")</f>
        <v>21/07</v>
      </c>
      <c r="U100" s="140"/>
      <c r="V100" s="140"/>
      <c r="W100" s="140"/>
      <c r="X100" s="140"/>
      <c r="Y100" s="140"/>
      <c r="Z100" s="140"/>
    </row>
    <row r="101" hidden="1">
      <c r="A101" s="140" t="str">
        <f>IFERROR(__xludf.DUMMYFUNCTION("""COMPUTED_VALUE"""),"VEE ONE")</f>
        <v>VEE ONE</v>
      </c>
      <c r="B101" s="140" t="str">
        <f>IFERROR(__xludf.DUMMYFUNCTION("""COMPUTED_VALUE"""),"BAMN")</f>
        <v>BAMN</v>
      </c>
      <c r="C101" s="140" t="str">
        <f>IFERROR(__xludf.DUMMYFUNCTION("""COMPUTED_VALUE"""),"C163030-1001")</f>
        <v>C163030-1001</v>
      </c>
      <c r="D101" s="140" t="str">
        <f>IFERROR(__xludf.DUMMYFUNCTION("""COMPUTED_VALUE"""),"MAIN WHEEL BRAKE")</f>
        <v>MAIN WHEEL BRAKE</v>
      </c>
      <c r="E101" s="140" t="str">
        <f>IFERROR(__xludf.DUMMYFUNCTION("""COMPUTED_VALUE"""),"02LS")</f>
        <v>02LS</v>
      </c>
      <c r="F101" s="140" t="str">
        <f>IFERROR(__xludf.DUMMYFUNCTION("""COMPUTED_VALUE"""),"080/2026")</f>
        <v>080/2026</v>
      </c>
      <c r="G101" s="140" t="str">
        <f>IFERROR(__xludf.DUMMYFUNCTION("""COMPUTED_VALUE"""),"07/07")</f>
        <v>07/07</v>
      </c>
      <c r="H101" s="140" t="str">
        <f>IFERROR(__xludf.DUMMYFUNCTION("""COMPUTED_VALUE"""),"14/07")</f>
        <v>14/07</v>
      </c>
      <c r="I101" s="140"/>
      <c r="J101" s="140" t="str">
        <f>IFERROR(__xludf.DUMMYFUNCTION("""COMPUTED_VALUE"""),"15/07")</f>
        <v>15/07</v>
      </c>
      <c r="K101" s="140" t="str">
        <f>IFERROR(__xludf.DUMMYFUNCTION("""COMPUTED_VALUE"""),"15/07")</f>
        <v>15/07</v>
      </c>
      <c r="L101" s="140" t="str">
        <f>IFERROR(__xludf.DUMMYFUNCTION("""COMPUTED_VALUE"""),"15/07")</f>
        <v>15/07</v>
      </c>
      <c r="M101" s="140" t="str">
        <f>IFERROR(__xludf.DUMMYFUNCTION("""COMPUTED_VALUE"""),"15/07")</f>
        <v>15/07</v>
      </c>
      <c r="N101" s="140" t="str">
        <f>IFERROR(__xludf.DUMMYFUNCTION("""COMPUTED_VALUE"""),"15/07")</f>
        <v>15/07</v>
      </c>
      <c r="O101" s="140" t="str">
        <f>IFERROR(__xludf.DUMMYFUNCTION("""COMPUTED_VALUE"""),"15/07")</f>
        <v>15/07</v>
      </c>
      <c r="P101" s="140" t="str">
        <f>IFERROR(__xludf.DUMMYFUNCTION("""COMPUTED_VALUE"""),"16/07")</f>
        <v>16/07</v>
      </c>
      <c r="Q101" s="140" t="str">
        <f>IFERROR(__xludf.DUMMYFUNCTION("""COMPUTED_VALUE"""),"16/07")</f>
        <v>16/07</v>
      </c>
      <c r="R101" s="140" t="str">
        <f>IFERROR(__xludf.DUMMYFUNCTION("""COMPUTED_VALUE"""),"16/07")</f>
        <v>16/07</v>
      </c>
      <c r="S101" s="140" t="str">
        <f>IFERROR(__xludf.DUMMYFUNCTION("""COMPUTED_VALUE"""),"16/07")</f>
        <v>16/07</v>
      </c>
      <c r="T101" s="140" t="str">
        <f>IFERROR(__xludf.DUMMYFUNCTION("""COMPUTED_VALUE"""),"21/07")</f>
        <v>21/07</v>
      </c>
      <c r="U101" s="140"/>
      <c r="V101" s="140"/>
      <c r="W101" s="140"/>
      <c r="X101" s="140"/>
      <c r="Y101" s="140"/>
      <c r="Z101" s="140"/>
    </row>
    <row r="102" hidden="1">
      <c r="A102" s="140" t="str">
        <f>IFERROR(__xludf.DUMMYFUNCTION("""COMPUTED_VALUE"""),"VEE ONE")</f>
        <v>VEE ONE</v>
      </c>
      <c r="B102" s="140" t="str">
        <f>IFERROR(__xludf.DUMMYFUNCTION("""COMPUTED_VALUE"""),"BABR")</f>
        <v>BABR</v>
      </c>
      <c r="C102" s="140" t="str">
        <f>IFERROR(__xludf.DUMMYFUNCTION("""COMPUTED_VALUE"""),"066-3046-07")</f>
        <v>066-3046-07</v>
      </c>
      <c r="D102" s="140" t="str">
        <f>IFERROR(__xludf.DUMMYFUNCTION("""COMPUTED_VALUE"""),"CONTROL INDICATOR")</f>
        <v>CONTROL INDICATOR</v>
      </c>
      <c r="E102" s="140" t="str">
        <f>IFERROR(__xludf.DUMMYFUNCTION("""COMPUTED_VALUE"""),"89292")</f>
        <v>89292</v>
      </c>
      <c r="F102" s="140" t="str">
        <f>IFERROR(__xludf.DUMMYFUNCTION("""COMPUTED_VALUE"""),"019/2026")</f>
        <v>019/2026</v>
      </c>
      <c r="G102" s="140" t="str">
        <f>IFERROR(__xludf.DUMMYFUNCTION("""COMPUTED_VALUE"""),"11/05")</f>
        <v>11/05</v>
      </c>
      <c r="H102" s="140" t="str">
        <f>IFERROR(__xludf.DUMMYFUNCTION("""COMPUTED_VALUE"""),"13/05")</f>
        <v>13/05</v>
      </c>
      <c r="I102" s="140"/>
      <c r="J102" s="140" t="str">
        <f>IFERROR(__xludf.DUMMYFUNCTION("""COMPUTED_VALUE"""),"13/05")</f>
        <v>13/05</v>
      </c>
      <c r="K102" s="140" t="str">
        <f>IFERROR(__xludf.DUMMYFUNCTION("""COMPUTED_VALUE"""),"13/05")</f>
        <v>13/05</v>
      </c>
      <c r="L102" s="140" t="str">
        <f>IFERROR(__xludf.DUMMYFUNCTION("""COMPUTED_VALUE"""),"13/05")</f>
        <v>13/05</v>
      </c>
      <c r="M102" s="140" t="str">
        <f>IFERROR(__xludf.DUMMYFUNCTION("""COMPUTED_VALUE"""),"13/05")</f>
        <v>13/05</v>
      </c>
      <c r="N102" s="140" t="str">
        <f>IFERROR(__xludf.DUMMYFUNCTION("""COMPUTED_VALUE"""),"13/05")</f>
        <v>13/05</v>
      </c>
      <c r="O102" s="140" t="str">
        <f>IFERROR(__xludf.DUMMYFUNCTION("""COMPUTED_VALUE"""),"13/05")</f>
        <v>13/05</v>
      </c>
      <c r="P102" s="140" t="str">
        <f>IFERROR(__xludf.DUMMYFUNCTION("""COMPUTED_VALUE"""),"14/05")</f>
        <v>14/05</v>
      </c>
      <c r="Q102" s="140" t="str">
        <f>IFERROR(__xludf.DUMMYFUNCTION("""COMPUTED_VALUE"""),"14/05")</f>
        <v>14/05</v>
      </c>
      <c r="R102" s="140" t="str">
        <f>IFERROR(__xludf.DUMMYFUNCTION("""COMPUTED_VALUE"""),"14/05")</f>
        <v>14/05</v>
      </c>
      <c r="S102" s="140" t="str">
        <f>IFERROR(__xludf.DUMMYFUNCTION("""COMPUTED_VALUE"""),"14/05 e 02/06")</f>
        <v>14/05 e 02/06</v>
      </c>
      <c r="T102" s="140" t="str">
        <f>IFERROR(__xludf.DUMMYFUNCTION("""COMPUTED_VALUE"""),"23/07")</f>
        <v>23/07</v>
      </c>
      <c r="U102" s="140"/>
      <c r="V102" s="140"/>
      <c r="W102" s="140"/>
      <c r="X102" s="140"/>
      <c r="Y102" s="140"/>
      <c r="Z102" s="140"/>
    </row>
    <row r="103" hidden="1">
      <c r="A103" s="140" t="str">
        <f>IFERROR(__xludf.DUMMYFUNCTION("""COMPUTED_VALUE"""),"VEE ONE")</f>
        <v>VEE ONE</v>
      </c>
      <c r="B103" s="140" t="str">
        <f>IFERROR(__xludf.DUMMYFUNCTION("""COMPUTED_VALUE"""),"BAMN")</f>
        <v>BAMN</v>
      </c>
      <c r="C103" s="140" t="str">
        <f>IFERROR(__xludf.DUMMYFUNCTION("""COMPUTED_VALUE"""),"324843-2020")</f>
        <v>324843-2020</v>
      </c>
      <c r="D103" s="140" t="str">
        <f>IFERROR(__xludf.DUMMYFUNCTION("""COMPUTED_VALUE"""),"HEADSET-MICROPHONE")</f>
        <v>HEADSET-MICROPHONE</v>
      </c>
      <c r="E103" s="140" t="str">
        <f>IFERROR(__xludf.DUMMYFUNCTION("""COMPUTED_VALUE"""),"070407983320094AE")</f>
        <v>070407983320094AE</v>
      </c>
      <c r="F103" s="140" t="str">
        <f>IFERROR(__xludf.DUMMYFUNCTION("""COMPUTED_VALUE"""),"088/2026")</f>
        <v>088/2026</v>
      </c>
      <c r="G103" s="140" t="str">
        <f>IFERROR(__xludf.DUMMYFUNCTION("""COMPUTED_VALUE"""),"04/08")</f>
        <v>04/08</v>
      </c>
      <c r="H103" s="140" t="str">
        <f>IFERROR(__xludf.DUMMYFUNCTION("""COMPUTED_VALUE"""),"04/08")</f>
        <v>04/08</v>
      </c>
      <c r="I103" s="140"/>
      <c r="J103" s="140" t="str">
        <f>IFERROR(__xludf.DUMMYFUNCTION("""COMPUTED_VALUE"""),"05/08")</f>
        <v>05/08</v>
      </c>
      <c r="K103" s="140" t="str">
        <f>IFERROR(__xludf.DUMMYFUNCTION("""COMPUTED_VALUE"""),"05/08")</f>
        <v>05/08</v>
      </c>
      <c r="L103" s="140" t="str">
        <f>IFERROR(__xludf.DUMMYFUNCTION("""COMPUTED_VALUE"""),"05/08")</f>
        <v>05/08</v>
      </c>
      <c r="M103" s="140" t="str">
        <f>IFERROR(__xludf.DUMMYFUNCTION("""COMPUTED_VALUE"""),"05/08")</f>
        <v>05/08</v>
      </c>
      <c r="N103" s="140" t="str">
        <f>IFERROR(__xludf.DUMMYFUNCTION("""COMPUTED_VALUE"""),"05/08")</f>
        <v>05/08</v>
      </c>
      <c r="O103" s="140" t="str">
        <f>IFERROR(__xludf.DUMMYFUNCTION("""COMPUTED_VALUE"""),"05/08")</f>
        <v>05/08</v>
      </c>
      <c r="P103" s="140" t="str">
        <f>IFERROR(__xludf.DUMMYFUNCTION("""COMPUTED_VALUE"""),"05/08")</f>
        <v>05/08</v>
      </c>
      <c r="Q103" s="140" t="str">
        <f>IFERROR(__xludf.DUMMYFUNCTION("""COMPUTED_VALUE"""),"05/08")</f>
        <v>05/08</v>
      </c>
      <c r="R103" s="140" t="str">
        <f>IFERROR(__xludf.DUMMYFUNCTION("""COMPUTED_VALUE"""),"05/08")</f>
        <v>05/08</v>
      </c>
      <c r="S103" s="140" t="str">
        <f>IFERROR(__xludf.DUMMYFUNCTION("""COMPUTED_VALUE"""),"05/08")</f>
        <v>05/08</v>
      </c>
      <c r="T103" s="140" t="str">
        <f>IFERROR(__xludf.DUMMYFUNCTION("""COMPUTED_VALUE"""),"06/08")</f>
        <v>06/08</v>
      </c>
      <c r="U103" s="140"/>
      <c r="V103" s="140"/>
      <c r="W103" s="140"/>
      <c r="X103" s="140"/>
      <c r="Y103" s="140"/>
      <c r="Z103" s="140"/>
    </row>
    <row r="104" hidden="1">
      <c r="A104" s="140" t="str">
        <f>IFERROR(__xludf.DUMMYFUNCTION("""COMPUTED_VALUE"""),"VEE ONE")</f>
        <v>VEE ONE</v>
      </c>
      <c r="B104" s="140" t="str">
        <f>IFERROR(__xludf.DUMMYFUNCTION("""COMPUTED_VALUE"""),"BAMN")</f>
        <v>BAMN</v>
      </c>
      <c r="C104" s="140" t="str">
        <f>IFERROR(__xludf.DUMMYFUNCTION("""COMPUTED_VALUE"""),"324843-2020")</f>
        <v>324843-2020</v>
      </c>
      <c r="D104" s="140" t="str">
        <f>IFERROR(__xludf.DUMMYFUNCTION("""COMPUTED_VALUE"""),"HEADSET-MICROPHONE")</f>
        <v>HEADSET-MICROPHONE</v>
      </c>
      <c r="E104" s="140" t="str">
        <f>IFERROR(__xludf.DUMMYFUNCTION("""COMPUTED_VALUE"""),"070407983320130AE")</f>
        <v>070407983320130AE</v>
      </c>
      <c r="F104" s="140" t="str">
        <f>IFERROR(__xludf.DUMMYFUNCTION("""COMPUTED_VALUE"""),"088/2026")</f>
        <v>088/2026</v>
      </c>
      <c r="G104" s="140" t="str">
        <f>IFERROR(__xludf.DUMMYFUNCTION("""COMPUTED_VALUE"""),"04/08")</f>
        <v>04/08</v>
      </c>
      <c r="H104" s="140" t="str">
        <f>IFERROR(__xludf.DUMMYFUNCTION("""COMPUTED_VALUE"""),"04/08")</f>
        <v>04/08</v>
      </c>
      <c r="I104" s="140"/>
      <c r="J104" s="140" t="str">
        <f>IFERROR(__xludf.DUMMYFUNCTION("""COMPUTED_VALUE"""),"05/08")</f>
        <v>05/08</v>
      </c>
      <c r="K104" s="140" t="str">
        <f>IFERROR(__xludf.DUMMYFUNCTION("""COMPUTED_VALUE"""),"05/08")</f>
        <v>05/08</v>
      </c>
      <c r="L104" s="140" t="str">
        <f>IFERROR(__xludf.DUMMYFUNCTION("""COMPUTED_VALUE"""),"05/08")</f>
        <v>05/08</v>
      </c>
      <c r="M104" s="140" t="str">
        <f>IFERROR(__xludf.DUMMYFUNCTION("""COMPUTED_VALUE"""),"05/08")</f>
        <v>05/08</v>
      </c>
      <c r="N104" s="140" t="str">
        <f>IFERROR(__xludf.DUMMYFUNCTION("""COMPUTED_VALUE"""),"05/08")</f>
        <v>05/08</v>
      </c>
      <c r="O104" s="140" t="str">
        <f>IFERROR(__xludf.DUMMYFUNCTION("""COMPUTED_VALUE"""),"05/08")</f>
        <v>05/08</v>
      </c>
      <c r="P104" s="140" t="str">
        <f>IFERROR(__xludf.DUMMYFUNCTION("""COMPUTED_VALUE"""),"05/08")</f>
        <v>05/08</v>
      </c>
      <c r="Q104" s="140" t="str">
        <f>IFERROR(__xludf.DUMMYFUNCTION("""COMPUTED_VALUE"""),"05/08")</f>
        <v>05/08</v>
      </c>
      <c r="R104" s="140" t="str">
        <f>IFERROR(__xludf.DUMMYFUNCTION("""COMPUTED_VALUE"""),"05/08")</f>
        <v>05/08</v>
      </c>
      <c r="S104" s="140" t="str">
        <f>IFERROR(__xludf.DUMMYFUNCTION("""COMPUTED_VALUE"""),"05/08")</f>
        <v>05/08</v>
      </c>
      <c r="T104" s="140" t="str">
        <f>IFERROR(__xludf.DUMMYFUNCTION("""COMPUTED_VALUE"""),"06/08")</f>
        <v>06/08</v>
      </c>
      <c r="U104" s="140"/>
      <c r="V104" s="140"/>
      <c r="W104" s="140"/>
      <c r="X104" s="140"/>
      <c r="Y104" s="140"/>
      <c r="Z104" s="140"/>
    </row>
    <row r="105" hidden="1">
      <c r="A105" s="140" t="str">
        <f>IFERROR(__xludf.DUMMYFUNCTION("""COMPUTED_VALUE"""),"VEE ONE")</f>
        <v>VEE ONE</v>
      </c>
      <c r="B105" s="140" t="str">
        <f>IFERROR(__xludf.DUMMYFUNCTION("""COMPUTED_VALUE"""),"BABR")</f>
        <v>BABR</v>
      </c>
      <c r="C105" s="140" t="str">
        <f>IFERROR(__xludf.DUMMYFUNCTION("""COMPUTED_VALUE"""),"51539-012N")</f>
        <v>51539-012N</v>
      </c>
      <c r="D105" s="140" t="str">
        <f>IFERROR(__xludf.DUMMYFUNCTION("""COMPUTED_VALUE"""),"CONTROL UNIT ASSY-GENERATOR")</f>
        <v>CONTROL UNIT ASSY-GENERATOR</v>
      </c>
      <c r="E105" s="140" t="str">
        <f>IFERROR(__xludf.DUMMYFUNCTION("""COMPUTED_VALUE"""),"P2033")</f>
        <v>P2033</v>
      </c>
      <c r="F105" s="140" t="str">
        <f>IFERROR(__xludf.DUMMYFUNCTION("""COMPUTED_VALUE"""),"016/2026")</f>
        <v>016/2026</v>
      </c>
      <c r="G105" s="140" t="str">
        <f>IFERROR(__xludf.DUMMYFUNCTION("""COMPUTED_VALUE"""),"04/05")</f>
        <v>04/05</v>
      </c>
      <c r="H105" s="140" t="str">
        <f>IFERROR(__xludf.DUMMYFUNCTION("""COMPUTED_VALUE"""),"04/05")</f>
        <v>04/05</v>
      </c>
      <c r="I105" s="140" t="str">
        <f>IFERROR(__xludf.DUMMYFUNCTION("""COMPUTED_VALUE"""),"*")</f>
        <v>*</v>
      </c>
      <c r="J105" s="140" t="str">
        <f>IFERROR(__xludf.DUMMYFUNCTION("""COMPUTED_VALUE"""),"05/05")</f>
        <v>05/05</v>
      </c>
      <c r="K105" s="140" t="str">
        <f>IFERROR(__xludf.DUMMYFUNCTION("""COMPUTED_VALUE"""),"22/05")</f>
        <v>22/05</v>
      </c>
      <c r="L105" s="140" t="str">
        <f>IFERROR(__xludf.DUMMYFUNCTION("""COMPUTED_VALUE"""),"22/05")</f>
        <v>22/05</v>
      </c>
      <c r="M105" s="140" t="str">
        <f>IFERROR(__xludf.DUMMYFUNCTION("""COMPUTED_VALUE"""),"25/05")</f>
        <v>25/05</v>
      </c>
      <c r="N105" s="140" t="str">
        <f>IFERROR(__xludf.DUMMYFUNCTION("""COMPUTED_VALUE"""),"25/05")</f>
        <v>25/05</v>
      </c>
      <c r="O105" s="140" t="str">
        <f>IFERROR(__xludf.DUMMYFUNCTION("""COMPUTED_VALUE"""),"25/05")</f>
        <v>25/05</v>
      </c>
      <c r="P105" s="140" t="str">
        <f>IFERROR(__xludf.DUMMYFUNCTION("""COMPUTED_VALUE"""),"25/05")</f>
        <v>25/05</v>
      </c>
      <c r="Q105" s="140" t="str">
        <f>IFERROR(__xludf.DUMMYFUNCTION("""COMPUTED_VALUE"""),"25/05")</f>
        <v>25/05</v>
      </c>
      <c r="R105" s="140" t="str">
        <f>IFERROR(__xludf.DUMMYFUNCTION("""COMPUTED_VALUE"""),"25/05")</f>
        <v>25/05</v>
      </c>
      <c r="S105" s="140" t="str">
        <f>IFERROR(__xludf.DUMMYFUNCTION("""COMPUTED_VALUE"""),"28/07")</f>
        <v>28/07</v>
      </c>
      <c r="T105" s="140" t="str">
        <f>IFERROR(__xludf.DUMMYFUNCTION("""COMPUTED_VALUE"""),"30/07")</f>
        <v>30/07</v>
      </c>
      <c r="U105" s="140" t="str">
        <f>IFERROR(__xludf.DUMMYFUNCTION("""COMPUTED_VALUE"""),"RECEBIDO POR 3S KESIA")</f>
        <v>RECEBIDO POR 3S KESIA</v>
      </c>
      <c r="V105" s="140"/>
      <c r="W105" s="140"/>
      <c r="X105" s="140"/>
      <c r="Y105" s="140"/>
      <c r="Z105" s="140"/>
    </row>
    <row r="106" hidden="1">
      <c r="A106" s="140" t="str">
        <f>IFERROR(__xludf.DUMMYFUNCTION("""COMPUTED_VALUE"""),"VEE ONE")</f>
        <v>VEE ONE</v>
      </c>
      <c r="B106" s="140" t="str">
        <f>IFERROR(__xludf.DUMMYFUNCTION("""COMPUTED_VALUE"""),"BABR")</f>
        <v>BABR</v>
      </c>
      <c r="C106" s="140" t="str">
        <f>IFERROR(__xludf.DUMMYFUNCTION("""COMPUTED_VALUE"""),"060-0017-00")</f>
        <v>060-0017-00</v>
      </c>
      <c r="D106" s="140" t="str">
        <f>IFERROR(__xludf.DUMMYFUNCTION("""COMPUTED_VALUE"""),"IND DE COMANDO DE VOO")</f>
        <v>IND DE COMANDO DE VOO</v>
      </c>
      <c r="E106" s="140" t="str">
        <f>IFERROR(__xludf.DUMMYFUNCTION("""COMPUTED_VALUE"""),"KI256-25707")</f>
        <v>KI256-25707</v>
      </c>
      <c r="F106" s="140" t="str">
        <f>IFERROR(__xludf.DUMMYFUNCTION("""COMPUTED_VALUE"""),"018/2026")</f>
        <v>018/2026</v>
      </c>
      <c r="G106" s="140" t="str">
        <f>IFERROR(__xludf.DUMMYFUNCTION("""COMPUTED_VALUE"""),"04/05")</f>
        <v>04/05</v>
      </c>
      <c r="H106" s="140" t="str">
        <f>IFERROR(__xludf.DUMMYFUNCTION("""COMPUTED_VALUE"""),"04/05")</f>
        <v>04/05</v>
      </c>
      <c r="I106" s="140" t="str">
        <f>IFERROR(__xludf.DUMMYFUNCTION("""COMPUTED_VALUE"""),"*")</f>
        <v>*</v>
      </c>
      <c r="J106" s="140" t="str">
        <f>IFERROR(__xludf.DUMMYFUNCTION("""COMPUTED_VALUE"""),"05/05")</f>
        <v>05/05</v>
      </c>
      <c r="K106" s="140" t="str">
        <f>IFERROR(__xludf.DUMMYFUNCTION("""COMPUTED_VALUE"""),"22/05")</f>
        <v>22/05</v>
      </c>
      <c r="L106" s="140" t="str">
        <f>IFERROR(__xludf.DUMMYFUNCTION("""COMPUTED_VALUE"""),"22/05")</f>
        <v>22/05</v>
      </c>
      <c r="M106" s="140" t="str">
        <f>IFERROR(__xludf.DUMMYFUNCTION("""COMPUTED_VALUE"""),"25/05")</f>
        <v>25/05</v>
      </c>
      <c r="N106" s="140" t="str">
        <f>IFERROR(__xludf.DUMMYFUNCTION("""COMPUTED_VALUE"""),"25/05")</f>
        <v>25/05</v>
      </c>
      <c r="O106" s="140" t="str">
        <f>IFERROR(__xludf.DUMMYFUNCTION("""COMPUTED_VALUE"""),"25/05")</f>
        <v>25/05</v>
      </c>
      <c r="P106" s="140" t="str">
        <f>IFERROR(__xludf.DUMMYFUNCTION("""COMPUTED_VALUE"""),"25/05")</f>
        <v>25/05</v>
      </c>
      <c r="Q106" s="140" t="str">
        <f>IFERROR(__xludf.DUMMYFUNCTION("""COMPUTED_VALUE"""),"25/05")</f>
        <v>25/05</v>
      </c>
      <c r="R106" s="140" t="str">
        <f>IFERROR(__xludf.DUMMYFUNCTION("""COMPUTED_VALUE"""),"25/05")</f>
        <v>25/05</v>
      </c>
      <c r="S106" s="140" t="str">
        <f>IFERROR(__xludf.DUMMYFUNCTION("""COMPUTED_VALUE"""),"28/07")</f>
        <v>28/07</v>
      </c>
      <c r="T106" s="140" t="str">
        <f>IFERROR(__xludf.DUMMYFUNCTION("""COMPUTED_VALUE"""),"30/07")</f>
        <v>30/07</v>
      </c>
      <c r="U106" s="140" t="str">
        <f>IFERROR(__xludf.DUMMYFUNCTION("""COMPUTED_VALUE"""),"RECEBIDO POR 3S KESIA")</f>
        <v>RECEBIDO POR 3S KESIA</v>
      </c>
      <c r="V106" s="140"/>
      <c r="W106" s="140"/>
      <c r="X106" s="140"/>
      <c r="Y106" s="140"/>
      <c r="Z106" s="140"/>
    </row>
    <row r="107" hidden="1">
      <c r="A107" s="140" t="str">
        <f>IFERROR(__xludf.DUMMYFUNCTION("""COMPUTED_VALUE"""),"VEE ONE")</f>
        <v>VEE ONE</v>
      </c>
      <c r="B107" s="140" t="str">
        <f>IFERROR(__xludf.DUMMYFUNCTION("""COMPUTED_VALUE"""),"BABR")</f>
        <v>BABR</v>
      </c>
      <c r="C107" s="140" t="str">
        <f>IFERROR(__xludf.DUMMYFUNCTION("""COMPUTED_VALUE"""),"2641011-5")</f>
        <v>2641011-5</v>
      </c>
      <c r="D107" s="140" t="str">
        <f>IFERROR(__xludf.DUMMYFUNCTION("""COMPUTED_VALUE"""),"AXLE-MAIN GEAR")</f>
        <v>AXLE-MAIN GEAR</v>
      </c>
      <c r="E107" s="140" t="str">
        <f>IFERROR(__xludf.DUMMYFUNCTION("""COMPUTED_VALUE"""),"3275-5")</f>
        <v>3275-5</v>
      </c>
      <c r="F107" s="140" t="str">
        <f>IFERROR(__xludf.DUMMYFUNCTION("""COMPUTED_VALUE"""),"020/2026")</f>
        <v>020/2026</v>
      </c>
      <c r="G107" s="140" t="str">
        <f>IFERROR(__xludf.DUMMYFUNCTION("""COMPUTED_VALUE"""),"11/05")</f>
        <v>11/05</v>
      </c>
      <c r="H107" s="140" t="str">
        <f>IFERROR(__xludf.DUMMYFUNCTION("""COMPUTED_VALUE"""),"18/05")</f>
        <v>18/05</v>
      </c>
      <c r="I107" s="140" t="str">
        <f>IFERROR(__xludf.DUMMYFUNCTION("""COMPUTED_VALUE"""),"*")</f>
        <v>*</v>
      </c>
      <c r="J107" s="140" t="str">
        <f>IFERROR(__xludf.DUMMYFUNCTION("""COMPUTED_VALUE"""),"18/05")</f>
        <v>18/05</v>
      </c>
      <c r="K107" s="140" t="str">
        <f>IFERROR(__xludf.DUMMYFUNCTION("""COMPUTED_VALUE"""),"19/05")</f>
        <v>19/05</v>
      </c>
      <c r="L107" s="140" t="str">
        <f>IFERROR(__xludf.DUMMYFUNCTION("""COMPUTED_VALUE"""),"19/05")</f>
        <v>19/05</v>
      </c>
      <c r="M107" s="140" t="str">
        <f>IFERROR(__xludf.DUMMYFUNCTION("""COMPUTED_VALUE"""),"19/05")</f>
        <v>19/05</v>
      </c>
      <c r="N107" s="140" t="str">
        <f>IFERROR(__xludf.DUMMYFUNCTION("""COMPUTED_VALUE"""),"19/05")</f>
        <v>19/05</v>
      </c>
      <c r="O107" s="140" t="str">
        <f>IFERROR(__xludf.DUMMYFUNCTION("""COMPUTED_VALUE"""),"19/05")</f>
        <v>19/05</v>
      </c>
      <c r="P107" s="140" t="str">
        <f>IFERROR(__xludf.DUMMYFUNCTION("""COMPUTED_VALUE"""),"21/05")</f>
        <v>21/05</v>
      </c>
      <c r="Q107" s="140" t="str">
        <f>IFERROR(__xludf.DUMMYFUNCTION("""COMPUTED_VALUE"""),"21/05 e 28/07")</f>
        <v>21/05 e 28/07</v>
      </c>
      <c r="R107" s="140" t="str">
        <f>IFERROR(__xludf.DUMMYFUNCTION("""COMPUTED_VALUE"""),"22/05")</f>
        <v>22/05</v>
      </c>
      <c r="S107" s="140" t="str">
        <f>IFERROR(__xludf.DUMMYFUNCTION("""COMPUTED_VALUE"""),"28/07")</f>
        <v>28/07</v>
      </c>
      <c r="T107" s="140" t="str">
        <f>IFERROR(__xludf.DUMMYFUNCTION("""COMPUTED_VALUE"""),"04/08")</f>
        <v>04/08</v>
      </c>
      <c r="U107" s="140" t="str">
        <f>IFERROR(__xludf.DUMMYFUNCTION("""COMPUTED_VALUE"""),"RECEBIDO POR 3S KESIA")</f>
        <v>RECEBIDO POR 3S KESIA</v>
      </c>
      <c r="V107" s="140"/>
      <c r="W107" s="140"/>
      <c r="X107" s="140"/>
      <c r="Y107" s="140"/>
      <c r="Z107" s="140"/>
    </row>
    <row r="108" hidden="1">
      <c r="A108" s="140" t="str">
        <f>IFERROR(__xludf.DUMMYFUNCTION("""COMPUTED_VALUE"""),"VEE ONE")</f>
        <v>VEE ONE</v>
      </c>
      <c r="B108" s="140" t="str">
        <f>IFERROR(__xludf.DUMMYFUNCTION("""COMPUTED_VALUE"""),"BABR")</f>
        <v>BABR</v>
      </c>
      <c r="C108" s="140" t="str">
        <f>IFERROR(__xludf.DUMMYFUNCTION("""COMPUTED_VALUE"""),"2641011-5")</f>
        <v>2641011-5</v>
      </c>
      <c r="D108" s="140" t="str">
        <f>IFERROR(__xludf.DUMMYFUNCTION("""COMPUTED_VALUE"""),"AXLE-MAIN GEAR")</f>
        <v>AXLE-MAIN GEAR</v>
      </c>
      <c r="E108" s="140" t="str">
        <f>IFERROR(__xludf.DUMMYFUNCTION("""COMPUTED_VALUE"""),"2668-5")</f>
        <v>2668-5</v>
      </c>
      <c r="F108" s="140" t="str">
        <f>IFERROR(__xludf.DUMMYFUNCTION("""COMPUTED_VALUE"""),"020/2026")</f>
        <v>020/2026</v>
      </c>
      <c r="G108" s="140" t="str">
        <f>IFERROR(__xludf.DUMMYFUNCTION("""COMPUTED_VALUE"""),"11/05")</f>
        <v>11/05</v>
      </c>
      <c r="H108" s="140" t="str">
        <f>IFERROR(__xludf.DUMMYFUNCTION("""COMPUTED_VALUE"""),"18/05")</f>
        <v>18/05</v>
      </c>
      <c r="I108" s="140" t="str">
        <f>IFERROR(__xludf.DUMMYFUNCTION("""COMPUTED_VALUE"""),"*")</f>
        <v>*</v>
      </c>
      <c r="J108" s="140" t="str">
        <f>IFERROR(__xludf.DUMMYFUNCTION("""COMPUTED_VALUE"""),"18/05")</f>
        <v>18/05</v>
      </c>
      <c r="K108" s="140" t="str">
        <f>IFERROR(__xludf.DUMMYFUNCTION("""COMPUTED_VALUE"""),"19/05")</f>
        <v>19/05</v>
      </c>
      <c r="L108" s="140" t="str">
        <f>IFERROR(__xludf.DUMMYFUNCTION("""COMPUTED_VALUE"""),"19/05")</f>
        <v>19/05</v>
      </c>
      <c r="M108" s="140" t="str">
        <f>IFERROR(__xludf.DUMMYFUNCTION("""COMPUTED_VALUE"""),"19/05")</f>
        <v>19/05</v>
      </c>
      <c r="N108" s="140" t="str">
        <f>IFERROR(__xludf.DUMMYFUNCTION("""COMPUTED_VALUE"""),"19/05")</f>
        <v>19/05</v>
      </c>
      <c r="O108" s="140" t="str">
        <f>IFERROR(__xludf.DUMMYFUNCTION("""COMPUTED_VALUE"""),"19/05")</f>
        <v>19/05</v>
      </c>
      <c r="P108" s="140" t="str">
        <f>IFERROR(__xludf.DUMMYFUNCTION("""COMPUTED_VALUE"""),"21/05")</f>
        <v>21/05</v>
      </c>
      <c r="Q108" s="140" t="str">
        <f>IFERROR(__xludf.DUMMYFUNCTION("""COMPUTED_VALUE"""),"21/05 e 28/07")</f>
        <v>21/05 e 28/07</v>
      </c>
      <c r="R108" s="140" t="str">
        <f>IFERROR(__xludf.DUMMYFUNCTION("""COMPUTED_VALUE"""),"22/05")</f>
        <v>22/05</v>
      </c>
      <c r="S108" s="140" t="str">
        <f>IFERROR(__xludf.DUMMYFUNCTION("""COMPUTED_VALUE"""),"28/07")</f>
        <v>28/07</v>
      </c>
      <c r="T108" s="140" t="str">
        <f>IFERROR(__xludf.DUMMYFUNCTION("""COMPUTED_VALUE"""),"04/08")</f>
        <v>04/08</v>
      </c>
      <c r="U108" s="140" t="str">
        <f>IFERROR(__xludf.DUMMYFUNCTION("""COMPUTED_VALUE"""),"RECEBIDO POR 3S KESIA")</f>
        <v>RECEBIDO POR 3S KESIA</v>
      </c>
      <c r="V108" s="140"/>
      <c r="W108" s="140"/>
      <c r="X108" s="140"/>
      <c r="Y108" s="140"/>
      <c r="Z108" s="140"/>
    </row>
    <row r="109" hidden="1">
      <c r="A109" s="140" t="str">
        <f>IFERROR(__xludf.DUMMYFUNCTION("""COMPUTED_VALUE"""),"VEE ONE")</f>
        <v>VEE ONE</v>
      </c>
      <c r="B109" s="140" t="str">
        <f>IFERROR(__xludf.DUMMYFUNCTION("""COMPUTED_VALUE"""),"CLA")</f>
        <v>CLA</v>
      </c>
      <c r="C109" s="140" t="str">
        <f>IFERROR(__xludf.DUMMYFUNCTION("""COMPUTED_VALUE"""),"3122678-04")</f>
        <v>3122678-04</v>
      </c>
      <c r="D109" s="140" t="str">
        <f>IFERROR(__xludf.DUMMYFUNCTION("""COMPUTED_VALUE"""),"FUEL CONTROL UNIT")</f>
        <v>FUEL CONTROL UNIT</v>
      </c>
      <c r="E109" s="140" t="str">
        <f>IFERROR(__xludf.DUMMYFUNCTION("""COMPUTED_VALUE"""),"F66943")</f>
        <v>F66943</v>
      </c>
      <c r="F109" s="140" t="str">
        <f>IFERROR(__xludf.DUMMYFUNCTION("""COMPUTED_VALUE"""),"016/2026")</f>
        <v>016/2026</v>
      </c>
      <c r="G109" s="140" t="str">
        <f>IFERROR(__xludf.DUMMYFUNCTION("""COMPUTED_VALUE"""),"23/07")</f>
        <v>23/07</v>
      </c>
      <c r="H109" s="140" t="str">
        <f>IFERROR(__xludf.DUMMYFUNCTION("""COMPUTED_VALUE"""),"28/07")</f>
        <v>28/07</v>
      </c>
      <c r="I109" s="140"/>
      <c r="J109" s="140" t="str">
        <f>IFERROR(__xludf.DUMMYFUNCTION("""COMPUTED_VALUE"""),"28/07")</f>
        <v>28/07</v>
      </c>
      <c r="K109" s="140" t="str">
        <f>IFERROR(__xludf.DUMMYFUNCTION("""COMPUTED_VALUE"""),"29/07")</f>
        <v>29/07</v>
      </c>
      <c r="L109" s="140" t="str">
        <f>IFERROR(__xludf.DUMMYFUNCTION("""COMPUTED_VALUE"""),"29/07")</f>
        <v>29/07</v>
      </c>
      <c r="M109" s="140" t="str">
        <f>IFERROR(__xludf.DUMMYFUNCTION("""COMPUTED_VALUE"""),"29/07")</f>
        <v>29/07</v>
      </c>
      <c r="N109" s="140" t="str">
        <f>IFERROR(__xludf.DUMMYFUNCTION("""COMPUTED_VALUE"""),"29/07")</f>
        <v>29/07</v>
      </c>
      <c r="O109" s="140" t="str">
        <f>IFERROR(__xludf.DUMMYFUNCTION("""COMPUTED_VALUE"""),"29/07")</f>
        <v>29/07</v>
      </c>
      <c r="P109" s="140" t="str">
        <f>IFERROR(__xludf.DUMMYFUNCTION("""COMPUTED_VALUE"""),"29/07")</f>
        <v>29/07</v>
      </c>
      <c r="Q109" s="140" t="str">
        <f>IFERROR(__xludf.DUMMYFUNCTION("""COMPUTED_VALUE"""),"29/07")</f>
        <v>29/07</v>
      </c>
      <c r="R109" s="140" t="str">
        <f>IFERROR(__xludf.DUMMYFUNCTION("""COMPUTED_VALUE"""),"30/07")</f>
        <v>30/07</v>
      </c>
      <c r="S109" s="140" t="str">
        <f>IFERROR(__xludf.DUMMYFUNCTION("""COMPUTED_VALUE"""),"30/07")</f>
        <v>30/07</v>
      </c>
      <c r="T109" s="140" t="str">
        <f>IFERROR(__xludf.DUMMYFUNCTION("""COMPUTED_VALUE"""),"07/08")</f>
        <v>07/08</v>
      </c>
      <c r="U109" s="140" t="str">
        <f>IFERROR(__xludf.DUMMYFUNCTION("""COMPUTED_VALUE"""),"RECEBIDO POR 3S PORTELA")</f>
        <v>RECEBIDO POR 3S PORTELA</v>
      </c>
      <c r="V109" s="140"/>
      <c r="W109" s="140"/>
      <c r="X109" s="140"/>
      <c r="Y109" s="140"/>
      <c r="Z109" s="140"/>
    </row>
    <row r="110" hidden="1">
      <c r="A110" s="140" t="str">
        <f>IFERROR(__xludf.DUMMYFUNCTION("""COMPUTED_VALUE"""),"VEE ONE")</f>
        <v>VEE ONE</v>
      </c>
      <c r="B110" s="140" t="str">
        <f>IFERROR(__xludf.DUMMYFUNCTION("""COMPUTED_VALUE"""),"BABE")</f>
        <v>BABE</v>
      </c>
      <c r="C110" s="140" t="str">
        <f>IFERROR(__xludf.DUMMYFUNCTION("""COMPUTED_VALUE"""),"3244809-7")</f>
        <v>3244809-7</v>
      </c>
      <c r="D110" s="140" t="str">
        <f>IFERROR(__xludf.DUMMYFUNCTION("""COMPUTED_VALUE"""),"FUEL CONTROL,MAIN,TURBINE ENGINE")</f>
        <v>FUEL CONTROL,MAIN,TURBINE ENGINE</v>
      </c>
      <c r="E110" s="140" t="str">
        <f>IFERROR(__xludf.DUMMYFUNCTION("""COMPUTED_VALUE"""),"A76103")</f>
        <v>A76103</v>
      </c>
      <c r="F110" s="140" t="str">
        <f>IFERROR(__xludf.DUMMYFUNCTION("""COMPUTED_VALUE"""),"023/2026")</f>
        <v>023/2026</v>
      </c>
      <c r="G110" s="140" t="str">
        <f>IFERROR(__xludf.DUMMYFUNCTION("""COMPUTED_VALUE"""),"31/07")</f>
        <v>31/07</v>
      </c>
      <c r="H110" s="140" t="str">
        <f>IFERROR(__xludf.DUMMYFUNCTION("""COMPUTED_VALUE"""),"31/07")</f>
        <v>31/07</v>
      </c>
      <c r="I110" s="140"/>
      <c r="J110" s="140" t="str">
        <f>IFERROR(__xludf.DUMMYFUNCTION("""COMPUTED_VALUE"""),"03/08")</f>
        <v>03/08</v>
      </c>
      <c r="K110" s="140" t="str">
        <f>IFERROR(__xludf.DUMMYFUNCTION("""COMPUTED_VALUE"""),"04/08")</f>
        <v>04/08</v>
      </c>
      <c r="L110" s="140" t="str">
        <f>IFERROR(__xludf.DUMMYFUNCTION("""COMPUTED_VALUE"""),"04/08")</f>
        <v>04/08</v>
      </c>
      <c r="M110" s="140" t="str">
        <f>IFERROR(__xludf.DUMMYFUNCTION("""COMPUTED_VALUE"""),"04/08")</f>
        <v>04/08</v>
      </c>
      <c r="N110" s="140" t="str">
        <f>IFERROR(__xludf.DUMMYFUNCTION("""COMPUTED_VALUE"""),"05/08")</f>
        <v>05/08</v>
      </c>
      <c r="O110" s="140" t="str">
        <f>IFERROR(__xludf.DUMMYFUNCTION("""COMPUTED_VALUE"""),"05/08")</f>
        <v>05/08</v>
      </c>
      <c r="P110" s="140" t="str">
        <f>IFERROR(__xludf.DUMMYFUNCTION("""COMPUTED_VALUE"""),"05/08")</f>
        <v>05/08</v>
      </c>
      <c r="Q110" s="140" t="str">
        <f>IFERROR(__xludf.DUMMYFUNCTION("""COMPUTED_VALUE"""),"05/08")</f>
        <v>05/08</v>
      </c>
      <c r="R110" s="140" t="str">
        <f>IFERROR(__xludf.DUMMYFUNCTION("""COMPUTED_VALUE"""),"05/08")</f>
        <v>05/08</v>
      </c>
      <c r="S110" s="140" t="str">
        <f>IFERROR(__xludf.DUMMYFUNCTION("""COMPUTED_VALUE"""),"05/08")</f>
        <v>05/08</v>
      </c>
      <c r="T110" s="140" t="str">
        <f>IFERROR(__xludf.DUMMYFUNCTION("""COMPUTED_VALUE"""),"06/08")</f>
        <v>06/08</v>
      </c>
      <c r="U110" s="140" t="str">
        <f>IFERROR(__xludf.DUMMYFUNCTION("""COMPUTED_VALUE"""),"RECEBIDO POR 1S JOAO MARCOS")</f>
        <v>RECEBIDO POR 1S JOAO MARCOS</v>
      </c>
      <c r="V110" s="140"/>
      <c r="W110" s="140"/>
      <c r="X110" s="140"/>
      <c r="Y110" s="140"/>
      <c r="Z110" s="140"/>
    </row>
    <row r="111" hidden="1">
      <c r="A111" s="140" t="str">
        <f>IFERROR(__xludf.DUMMYFUNCTION("""COMPUTED_VALUE"""),"VEE ONE")</f>
        <v>VEE ONE</v>
      </c>
      <c r="B111" s="140" t="str">
        <f>IFERROR(__xludf.DUMMYFUNCTION("""COMPUTED_VALUE"""),"CLA")</f>
        <v>CLA</v>
      </c>
      <c r="C111" s="140" t="str">
        <f>IFERROR(__xludf.DUMMYFUNCTION("""COMPUTED_VALUE"""),"200SGL119Q-2")</f>
        <v>200SGL119Q-2</v>
      </c>
      <c r="D111" s="140" t="str">
        <f>IFERROR(__xludf.DUMMYFUNCTION("""COMPUTED_VALUE"""),"STARTER GENERATOR")</f>
        <v>STARTER GENERATOR</v>
      </c>
      <c r="E111" s="140" t="str">
        <f>IFERROR(__xludf.DUMMYFUNCTION("""COMPUTED_VALUE"""),"S00007XL")</f>
        <v>S00007XL</v>
      </c>
      <c r="F111" s="140" t="str">
        <f>IFERROR(__xludf.DUMMYFUNCTION("""COMPUTED_VALUE"""),"018/2026")</f>
        <v>018/2026</v>
      </c>
      <c r="G111" s="140" t="str">
        <f>IFERROR(__xludf.DUMMYFUNCTION("""COMPUTED_VALUE"""),"22/06")</f>
        <v>22/06</v>
      </c>
      <c r="H111" s="140" t="str">
        <f>IFERROR(__xludf.DUMMYFUNCTION("""COMPUTED_VALUE"""),"07/08")</f>
        <v>07/08</v>
      </c>
      <c r="I111" s="140"/>
      <c r="J111" s="140" t="str">
        <f>IFERROR(__xludf.DUMMYFUNCTION("""COMPUTED_VALUE"""),"10/08")</f>
        <v>10/08</v>
      </c>
      <c r="K111" s="140" t="str">
        <f>IFERROR(__xludf.DUMMYFUNCTION("""COMPUTED_VALUE"""),"10/08")</f>
        <v>10/08</v>
      </c>
      <c r="L111" s="140" t="str">
        <f>IFERROR(__xludf.DUMMYFUNCTION("""COMPUTED_VALUE"""),"10/08")</f>
        <v>10/08</v>
      </c>
      <c r="M111" s="140" t="str">
        <f>IFERROR(__xludf.DUMMYFUNCTION("""COMPUTED_VALUE"""),"10/08")</f>
        <v>10/08</v>
      </c>
      <c r="N111" s="140" t="str">
        <f>IFERROR(__xludf.DUMMYFUNCTION("""COMPUTED_VALUE"""),"10/08")</f>
        <v>10/08</v>
      </c>
      <c r="O111" s="140" t="str">
        <f>IFERROR(__xludf.DUMMYFUNCTION("""COMPUTED_VALUE"""),"10/08")</f>
        <v>10/08</v>
      </c>
      <c r="P111" s="140" t="str">
        <f>IFERROR(__xludf.DUMMYFUNCTION("""COMPUTED_VALUE"""),"10/08")</f>
        <v>10/08</v>
      </c>
      <c r="Q111" s="140" t="str">
        <f>IFERROR(__xludf.DUMMYFUNCTION("""COMPUTED_VALUE"""),"10/08")</f>
        <v>10/08</v>
      </c>
      <c r="R111" s="140" t="str">
        <f>IFERROR(__xludf.DUMMYFUNCTION("""COMPUTED_VALUE"""),"10/08")</f>
        <v>10/08</v>
      </c>
      <c r="S111" s="140" t="str">
        <f>IFERROR(__xludf.DUMMYFUNCTION("""COMPUTED_VALUE"""),"10/08")</f>
        <v>10/08</v>
      </c>
      <c r="T111" s="140" t="str">
        <f>IFERROR(__xludf.DUMMYFUNCTION("""COMPUTED_VALUE"""),"11/08")</f>
        <v>11/08</v>
      </c>
      <c r="U111" s="140" t="str">
        <f>IFERROR(__xludf.DUMMYFUNCTION("""COMPUTED_VALUE"""),"RECEBIDO POR 2S CIPRIANO")</f>
        <v>RECEBIDO POR 2S CIPRIANO</v>
      </c>
      <c r="V111" s="140"/>
      <c r="W111" s="140"/>
      <c r="X111" s="140"/>
      <c r="Y111" s="140"/>
      <c r="Z111" s="140"/>
    </row>
    <row r="112" hidden="1">
      <c r="A112" s="140" t="str">
        <f>IFERROR(__xludf.DUMMYFUNCTION("""COMPUTED_VALUE"""),"VEE ONE")</f>
        <v>VEE ONE</v>
      </c>
      <c r="B112" s="140" t="str">
        <f>IFERROR(__xludf.DUMMYFUNCTION("""COMPUTED_VALUE"""),"CLA")</f>
        <v>CLA</v>
      </c>
      <c r="C112" s="140" t="str">
        <f>IFERROR(__xludf.DUMMYFUNCTION("""COMPUTED_VALUE"""),"066-3046-07")</f>
        <v>066-3046-07</v>
      </c>
      <c r="D112" s="140" t="str">
        <f>IFERROR(__xludf.DUMMYFUNCTION("""COMPUTED_VALUE"""),"CONTROL INDICATOR")</f>
        <v>CONTROL INDICATOR</v>
      </c>
      <c r="E112" s="140" t="str">
        <f>IFERROR(__xludf.DUMMYFUNCTION("""COMPUTED_VALUE"""),"25304")</f>
        <v>25304</v>
      </c>
      <c r="F112" s="140" t="str">
        <f>IFERROR(__xludf.DUMMYFUNCTION("""COMPUTED_VALUE"""),"020/2026")</f>
        <v>020/2026</v>
      </c>
      <c r="G112" s="140" t="str">
        <f>IFERROR(__xludf.DUMMYFUNCTION("""COMPUTED_VALUE"""),"16/07")</f>
        <v>16/07</v>
      </c>
      <c r="H112" s="140" t="str">
        <f>IFERROR(__xludf.DUMMYFUNCTION("""COMPUTED_VALUE"""),"07/08")</f>
        <v>07/08</v>
      </c>
      <c r="I112" s="140"/>
      <c r="J112" s="140" t="str">
        <f>IFERROR(__xludf.DUMMYFUNCTION("""COMPUTED_VALUE"""),"10/08")</f>
        <v>10/08</v>
      </c>
      <c r="K112" s="140" t="str">
        <f>IFERROR(__xludf.DUMMYFUNCTION("""COMPUTED_VALUE"""),"10/08")</f>
        <v>10/08</v>
      </c>
      <c r="L112" s="140" t="str">
        <f>IFERROR(__xludf.DUMMYFUNCTION("""COMPUTED_VALUE"""),"10/08")</f>
        <v>10/08</v>
      </c>
      <c r="M112" s="140" t="str">
        <f>IFERROR(__xludf.DUMMYFUNCTION("""COMPUTED_VALUE"""),"10/08")</f>
        <v>10/08</v>
      </c>
      <c r="N112" s="140" t="str">
        <f>IFERROR(__xludf.DUMMYFUNCTION("""COMPUTED_VALUE"""),"10/08")</f>
        <v>10/08</v>
      </c>
      <c r="O112" s="140" t="str">
        <f>IFERROR(__xludf.DUMMYFUNCTION("""COMPUTED_VALUE"""),"10/08")</f>
        <v>10/08</v>
      </c>
      <c r="P112" s="140" t="str">
        <f>IFERROR(__xludf.DUMMYFUNCTION("""COMPUTED_VALUE"""),"10/08")</f>
        <v>10/08</v>
      </c>
      <c r="Q112" s="140" t="str">
        <f>IFERROR(__xludf.DUMMYFUNCTION("""COMPUTED_VALUE"""),"10/08")</f>
        <v>10/08</v>
      </c>
      <c r="R112" s="140" t="str">
        <f>IFERROR(__xludf.DUMMYFUNCTION("""COMPUTED_VALUE"""),"11/08")</f>
        <v>11/08</v>
      </c>
      <c r="S112" s="140" t="str">
        <f>IFERROR(__xludf.DUMMYFUNCTION("""COMPUTED_VALUE"""),"11/08")</f>
        <v>11/08</v>
      </c>
      <c r="T112" s="140" t="str">
        <f>IFERROR(__xludf.DUMMYFUNCTION("""COMPUTED_VALUE"""),"11/08")</f>
        <v>11/08</v>
      </c>
      <c r="U112" s="140" t="str">
        <f>IFERROR(__xludf.DUMMYFUNCTION("""COMPUTED_VALUE"""),"RECEBIDO POR 2S CIPRIANO")</f>
        <v>RECEBIDO POR 2S CIPRIANO</v>
      </c>
      <c r="V112" s="140"/>
      <c r="W112" s="140"/>
      <c r="X112" s="140"/>
      <c r="Y112" s="140"/>
      <c r="Z112" s="140"/>
    </row>
    <row r="113" hidden="1">
      <c r="A113" s="140" t="str">
        <f>IFERROR(__xludf.DUMMYFUNCTION("""COMPUTED_VALUE"""),"VEE ONE")</f>
        <v>VEE ONE</v>
      </c>
      <c r="B113" s="140" t="str">
        <f>IFERROR(__xludf.DUMMYFUNCTION("""COMPUTED_VALUE"""),"BAMN")</f>
        <v>BAMN</v>
      </c>
      <c r="C113" s="140" t="str">
        <f>IFERROR(__xludf.DUMMYFUNCTION("""COMPUTED_VALUE"""),"011-00883-20")</f>
        <v>011-00883-20</v>
      </c>
      <c r="D113" s="140" t="str">
        <f>IFERROR(__xludf.DUMMYFUNCTION("""COMPUTED_VALUE"""),"RADAR GWX 68 WEATHER")</f>
        <v>RADAR GWX 68 WEATHER</v>
      </c>
      <c r="E113" s="140" t="str">
        <f>IFERROR(__xludf.DUMMYFUNCTION("""COMPUTED_VALUE"""),"47202113")</f>
        <v>47202113</v>
      </c>
      <c r="F113" s="140" t="str">
        <f>IFERROR(__xludf.DUMMYFUNCTION("""COMPUTED_VALUE"""),"075/2026")</f>
        <v>075/2026</v>
      </c>
      <c r="G113" s="140" t="str">
        <f>IFERROR(__xludf.DUMMYFUNCTION("""COMPUTED_VALUE"""),"02/07")</f>
        <v>02/07</v>
      </c>
      <c r="H113" s="140" t="str">
        <f>IFERROR(__xludf.DUMMYFUNCTION("""COMPUTED_VALUE"""),"02/07")</f>
        <v>02/07</v>
      </c>
      <c r="I113" s="140" t="str">
        <f>IFERROR(__xludf.DUMMYFUNCTION("""COMPUTED_VALUE"""),"07/07")</f>
        <v>07/07</v>
      </c>
      <c r="J113" s="140" t="str">
        <f>IFERROR(__xludf.DUMMYFUNCTION("""COMPUTED_VALUE"""),"08/07")</f>
        <v>08/07</v>
      </c>
      <c r="K113" s="140" t="str">
        <f>IFERROR(__xludf.DUMMYFUNCTION("""COMPUTED_VALUE"""),"08/07")</f>
        <v>08/07</v>
      </c>
      <c r="L113" s="140" t="str">
        <f>IFERROR(__xludf.DUMMYFUNCTION("""COMPUTED_VALUE"""),"08/07")</f>
        <v>08/07</v>
      </c>
      <c r="M113" s="140" t="str">
        <f>IFERROR(__xludf.DUMMYFUNCTION("""COMPUTED_VALUE"""),"08/07")</f>
        <v>08/07</v>
      </c>
      <c r="N113" s="140" t="str">
        <f>IFERROR(__xludf.DUMMYFUNCTION("""COMPUTED_VALUE"""),"08/07")</f>
        <v>08/07</v>
      </c>
      <c r="O113" s="140" t="str">
        <f>IFERROR(__xludf.DUMMYFUNCTION("""COMPUTED_VALUE"""),"08/07")</f>
        <v>08/07</v>
      </c>
      <c r="P113" s="140" t="str">
        <f>IFERROR(__xludf.DUMMYFUNCTION("""COMPUTED_VALUE"""),"12/08")</f>
        <v>12/08</v>
      </c>
      <c r="Q113" s="140" t="str">
        <f>IFERROR(__xludf.DUMMYFUNCTION("""COMPUTED_VALUE"""),"12/08")</f>
        <v>12/08</v>
      </c>
      <c r="R113" s="140" t="str">
        <f>IFERROR(__xludf.DUMMYFUNCTION("""COMPUTED_VALUE"""),"13/08")</f>
        <v>13/08</v>
      </c>
      <c r="S113" s="140" t="str">
        <f>IFERROR(__xludf.DUMMYFUNCTION("""COMPUTED_VALUE"""),"13/08")</f>
        <v>13/08</v>
      </c>
      <c r="T113" s="140" t="str">
        <f>IFERROR(__xludf.DUMMYFUNCTION("""COMPUTED_VALUE"""),"17/08")</f>
        <v>17/08</v>
      </c>
      <c r="U113" s="140" t="str">
        <f>IFERROR(__xludf.DUMMYFUNCTION("""COMPUTED_VALUE"""),"exchange com SN 47203152")</f>
        <v>exchange com SN 47203152</v>
      </c>
      <c r="V113" s="140"/>
      <c r="W113" s="140"/>
      <c r="X113" s="140"/>
      <c r="Y113" s="140"/>
      <c r="Z113" s="140"/>
    </row>
    <row r="114" hidden="1">
      <c r="A114" s="140" t="str">
        <f>IFERROR(__xludf.DUMMYFUNCTION("""COMPUTED_VALUE"""),"VEE ONE")</f>
        <v>VEE ONE</v>
      </c>
      <c r="B114" s="140" t="str">
        <f>IFERROR(__xludf.DUMMYFUNCTION("""COMPUTED_VALUE"""),"BAMN")</f>
        <v>BAMN</v>
      </c>
      <c r="C114" s="140" t="str">
        <f>IFERROR(__xludf.DUMMYFUNCTION("""COMPUTED_VALUE"""),"011-00916-10")</f>
        <v>011-00916-10</v>
      </c>
      <c r="D114" s="140" t="str">
        <f>IFERROR(__xludf.DUMMYFUNCTION("""COMPUTED_VALUE"""),"UNIDADE DE EXIBIÇÃO DE INFORMAÇÕES DE VOO")</f>
        <v>UNIDADE DE EXIBIÇÃO DE INFORMAÇÕES DE VOO</v>
      </c>
      <c r="E114" s="140" t="str">
        <f>IFERROR(__xludf.DUMMYFUNCTION("""COMPUTED_VALUE"""),"86816588")</f>
        <v>86816588</v>
      </c>
      <c r="F114" s="140" t="str">
        <f>IFERROR(__xludf.DUMMYFUNCTION("""COMPUTED_VALUE"""),"089/2026")</f>
        <v>089/2026</v>
      </c>
      <c r="G114" s="140" t="str">
        <f>IFERROR(__xludf.DUMMYFUNCTION("""COMPUTED_VALUE"""),"07/08")</f>
        <v>07/08</v>
      </c>
      <c r="H114" s="140" t="str">
        <f>IFERROR(__xludf.DUMMYFUNCTION("""COMPUTED_VALUE"""),"07/08")</f>
        <v>07/08</v>
      </c>
      <c r="I114" s="140"/>
      <c r="J114" s="140" t="str">
        <f>IFERROR(__xludf.DUMMYFUNCTION("""COMPUTED_VALUE"""),"10/08, 12/08")</f>
        <v>10/08, 12/08</v>
      </c>
      <c r="K114" s="140" t="str">
        <f>IFERROR(__xludf.DUMMYFUNCTION("""COMPUTED_VALUE"""),"17/08")</f>
        <v>17/08</v>
      </c>
      <c r="L114" s="140" t="str">
        <f>IFERROR(__xludf.DUMMYFUNCTION("""COMPUTED_VALUE"""),"17/08")</f>
        <v>17/08</v>
      </c>
      <c r="M114" s="140" t="str">
        <f>IFERROR(__xludf.DUMMYFUNCTION("""COMPUTED_VALUE"""),"17/08")</f>
        <v>17/08</v>
      </c>
      <c r="N114" s="140" t="str">
        <f>IFERROR(__xludf.DUMMYFUNCTION("""COMPUTED_VALUE"""),"17/08")</f>
        <v>17/08</v>
      </c>
      <c r="O114" s="140" t="str">
        <f>IFERROR(__xludf.DUMMYFUNCTION("""COMPUTED_VALUE"""),"17/08")</f>
        <v>17/08</v>
      </c>
      <c r="P114" s="140" t="str">
        <f>IFERROR(__xludf.DUMMYFUNCTION("""COMPUTED_VALUE"""),"17/08")</f>
        <v>17/08</v>
      </c>
      <c r="Q114" s="140" t="str">
        <f>IFERROR(__xludf.DUMMYFUNCTION("""COMPUTED_VALUE"""),"17/08")</f>
        <v>17/08</v>
      </c>
      <c r="R114" s="140" t="str">
        <f>IFERROR(__xludf.DUMMYFUNCTION("""COMPUTED_VALUE"""),"18/08")</f>
        <v>18/08</v>
      </c>
      <c r="S114" s="140" t="str">
        <f>IFERROR(__xludf.DUMMYFUNCTION("""COMPUTED_VALUE"""),"18/08")</f>
        <v>18/08</v>
      </c>
      <c r="T114" s="140" t="str">
        <f>IFERROR(__xludf.DUMMYFUNCTION("""COMPUTED_VALUE"""),"18/08")</f>
        <v>18/08</v>
      </c>
      <c r="U114" s="140" t="str">
        <f>IFERROR(__xludf.DUMMYFUNCTION("""COMPUTED_VALUE"""),"RECEBIDO POR 3S SARA")</f>
        <v>RECEBIDO POR 3S SARA</v>
      </c>
      <c r="V114" s="140"/>
      <c r="W114" s="140"/>
      <c r="X114" s="140"/>
      <c r="Y114" s="140"/>
      <c r="Z114" s="140"/>
    </row>
    <row r="115" hidden="1">
      <c r="A115" s="140" t="str">
        <f>IFERROR(__xludf.DUMMYFUNCTION("""COMPUTED_VALUE"""),"VEE ONE")</f>
        <v>VEE ONE</v>
      </c>
      <c r="B115" s="140" t="str">
        <f>IFERROR(__xludf.DUMMYFUNCTION("""COMPUTED_VALUE"""),"BABE")</f>
        <v>BABE</v>
      </c>
      <c r="C115" s="140" t="str">
        <f>IFERROR(__xludf.DUMMYFUNCTION("""COMPUTED_VALUE"""),"1H75-21")</f>
        <v>1H75-21</v>
      </c>
      <c r="D115" s="140" t="str">
        <f>IFERROR(__xludf.DUMMYFUNCTION("""COMPUTED_VALUE"""),"PRESSURE REGULATOR")</f>
        <v>PRESSURE REGULATOR</v>
      </c>
      <c r="E115" s="140" t="str">
        <f>IFERROR(__xludf.DUMMYFUNCTION("""COMPUTED_VALUE"""),"11BP82")</f>
        <v>11BP82</v>
      </c>
      <c r="F115" s="140" t="str">
        <f>IFERROR(__xludf.DUMMYFUNCTION("""COMPUTED_VALUE"""),"022/2026")</f>
        <v>022/2026</v>
      </c>
      <c r="G115" s="140" t="str">
        <f>IFERROR(__xludf.DUMMYFUNCTION("""COMPUTED_VALUE"""),"14/07")</f>
        <v>14/07</v>
      </c>
      <c r="H115" s="140" t="str">
        <f>IFERROR(__xludf.DUMMYFUNCTION("""COMPUTED_VALUE"""),"14/07")</f>
        <v>14/07</v>
      </c>
      <c r="I115" s="140" t="str">
        <f>IFERROR(__xludf.DUMMYFUNCTION("""COMPUTED_VALUE"""),"consultado exchange em 26/08")</f>
        <v>consultado exchange em 26/08</v>
      </c>
      <c r="J115" s="140" t="str">
        <f>IFERROR(__xludf.DUMMYFUNCTION("""COMPUTED_VALUE"""),"26/08")</f>
        <v>26/08</v>
      </c>
      <c r="K115" s="140" t="str">
        <f>IFERROR(__xludf.DUMMYFUNCTION("""COMPUTED_VALUE"""),"26/08")</f>
        <v>26/08</v>
      </c>
      <c r="L115" s="140" t="str">
        <f>IFERROR(__xludf.DUMMYFUNCTION("""COMPUTED_VALUE"""),"26/08")</f>
        <v>26/08</v>
      </c>
      <c r="M115" s="140" t="str">
        <f>IFERROR(__xludf.DUMMYFUNCTION("""COMPUTED_VALUE"""),"26/08")</f>
        <v>26/08</v>
      </c>
      <c r="N115" s="140" t="str">
        <f>IFERROR(__xludf.DUMMYFUNCTION("""COMPUTED_VALUE"""),"26/08")</f>
        <v>26/08</v>
      </c>
      <c r="O115" s="140" t="str">
        <f>IFERROR(__xludf.DUMMYFUNCTION("""COMPUTED_VALUE"""),"26/08")</f>
        <v>26/08</v>
      </c>
      <c r="P115" s="140" t="str">
        <f>IFERROR(__xludf.DUMMYFUNCTION("""COMPUTED_VALUE"""),"26/08")</f>
        <v>26/08</v>
      </c>
      <c r="Q115" s="140" t="str">
        <f>IFERROR(__xludf.DUMMYFUNCTION("""COMPUTED_VALUE"""),"26/08")</f>
        <v>26/08</v>
      </c>
      <c r="R115" s="140" t="str">
        <f>IFERROR(__xludf.DUMMYFUNCTION("""COMPUTED_VALUE"""),"26/08")</f>
        <v>26/08</v>
      </c>
      <c r="S115" s="140" t="str">
        <f>IFERROR(__xludf.DUMMYFUNCTION("""COMPUTED_VALUE"""),"26/08")</f>
        <v>26/08</v>
      </c>
      <c r="T115" s="140" t="str">
        <f>IFERROR(__xludf.DUMMYFUNCTION("""COMPUTED_VALUE"""),"28/08")</f>
        <v>28/08</v>
      </c>
      <c r="U115" s="140" t="str">
        <f>IFERROR(__xludf.DUMMYFUNCTION("""COMPUTED_VALUE"""),"exchange com SN 11BG159")</f>
        <v>exchange com SN 11BG159</v>
      </c>
      <c r="V115" s="140"/>
      <c r="W115" s="140"/>
      <c r="X115" s="140"/>
      <c r="Y115" s="140"/>
      <c r="Z115" s="140"/>
    </row>
    <row r="116" hidden="1">
      <c r="A116" s="140" t="str">
        <f>IFERROR(__xludf.DUMMYFUNCTION("""COMPUTED_VALUE"""),"VEE ONE")</f>
        <v>VEE ONE</v>
      </c>
      <c r="B116" s="140" t="str">
        <f>IFERROR(__xludf.DUMMYFUNCTION("""COMPUTED_VALUE"""),"BABE")</f>
        <v>BABE</v>
      </c>
      <c r="C116" s="140" t="str">
        <f>IFERROR(__xludf.DUMMYFUNCTION("""COMPUTED_VALUE"""),"9910592-2")</f>
        <v>9910592-2</v>
      </c>
      <c r="D116" s="140" t="str">
        <f>IFERROR(__xludf.DUMMYFUNCTION("""COMPUTED_VALUE"""),"ALTERNATOR ASSY")</f>
        <v>ALTERNATOR ASSY</v>
      </c>
      <c r="E116" s="140" t="str">
        <f>IFERROR(__xludf.DUMMYFUNCTION("""COMPUTED_VALUE"""),"A-180215")</f>
        <v>A-180215</v>
      </c>
      <c r="F116" s="140" t="str">
        <f>IFERROR(__xludf.DUMMYFUNCTION("""COMPUTED_VALUE"""),"026/2026")</f>
        <v>026/2026</v>
      </c>
      <c r="G116" s="140" t="str">
        <f>IFERROR(__xludf.DUMMYFUNCTION("""COMPUTED_VALUE"""),"24/08")</f>
        <v>24/08</v>
      </c>
      <c r="H116" s="140" t="str">
        <f>IFERROR(__xludf.DUMMYFUNCTION("""COMPUTED_VALUE"""),"24/08")</f>
        <v>24/08</v>
      </c>
      <c r="I116" s="140"/>
      <c r="J116" s="140" t="str">
        <f>IFERROR(__xludf.DUMMYFUNCTION("""COMPUTED_VALUE"""),"25/08")</f>
        <v>25/08</v>
      </c>
      <c r="K116" s="140" t="str">
        <f>IFERROR(__xludf.DUMMYFUNCTION("""COMPUTED_VALUE"""),"25/08")</f>
        <v>25/08</v>
      </c>
      <c r="L116" s="140" t="str">
        <f>IFERROR(__xludf.DUMMYFUNCTION("""COMPUTED_VALUE"""),"26/08")</f>
        <v>26/08</v>
      </c>
      <c r="M116" s="140" t="str">
        <f>IFERROR(__xludf.DUMMYFUNCTION("""COMPUTED_VALUE"""),"26/08")</f>
        <v>26/08</v>
      </c>
      <c r="N116" s="140" t="str">
        <f>IFERROR(__xludf.DUMMYFUNCTION("""COMPUTED_VALUE"""),"26/08")</f>
        <v>26/08</v>
      </c>
      <c r="O116" s="140" t="str">
        <f>IFERROR(__xludf.DUMMYFUNCTION("""COMPUTED_VALUE"""),"26/08")</f>
        <v>26/08</v>
      </c>
      <c r="P116" s="140" t="str">
        <f>IFERROR(__xludf.DUMMYFUNCTION("""COMPUTED_VALUE"""),"26/08")</f>
        <v>26/08</v>
      </c>
      <c r="Q116" s="140" t="str">
        <f>IFERROR(__xludf.DUMMYFUNCTION("""COMPUTED_VALUE"""),"26/08")</f>
        <v>26/08</v>
      </c>
      <c r="R116" s="140" t="str">
        <f>IFERROR(__xludf.DUMMYFUNCTION("""COMPUTED_VALUE"""),"27/08")</f>
        <v>27/08</v>
      </c>
      <c r="S116" s="140" t="str">
        <f>IFERROR(__xludf.DUMMYFUNCTION("""COMPUTED_VALUE"""),"27/08")</f>
        <v>27/08</v>
      </c>
      <c r="T116" s="140" t="str">
        <f>IFERROR(__xludf.DUMMYFUNCTION("""COMPUTED_VALUE"""),"28/08")</f>
        <v>28/08</v>
      </c>
      <c r="U116" s="140"/>
      <c r="V116" s="140"/>
      <c r="W116" s="140"/>
      <c r="X116" s="140"/>
      <c r="Y116" s="140"/>
      <c r="Z116" s="140"/>
    </row>
    <row r="117" hidden="1">
      <c r="A117" s="140" t="str">
        <f>IFERROR(__xludf.DUMMYFUNCTION("""COMPUTED_VALUE"""),"VEE ONE")</f>
        <v>VEE ONE</v>
      </c>
      <c r="B117" s="140" t="str">
        <f>IFERROR(__xludf.DUMMYFUNCTION("""COMPUTED_VALUE"""),"BAMN")</f>
        <v>BAMN</v>
      </c>
      <c r="C117" s="140" t="str">
        <f>IFERROR(__xludf.DUMMYFUNCTION("""COMPUTED_VALUE"""),"1H75-21")</f>
        <v>1H75-21</v>
      </c>
      <c r="D117" s="140" t="str">
        <f>IFERROR(__xludf.DUMMYFUNCTION("""COMPUTED_VALUE"""),"PRESSURE REGULATOR")</f>
        <v>PRESSURE REGULATOR</v>
      </c>
      <c r="E117" s="140" t="str">
        <f>IFERROR(__xludf.DUMMYFUNCTION("""COMPUTED_VALUE"""),"2AY7")</f>
        <v>2AY7</v>
      </c>
      <c r="F117" s="140" t="str">
        <f>IFERROR(__xludf.DUMMYFUNCTION("""COMPUTED_VALUE"""),"068/2026")</f>
        <v>068/2026</v>
      </c>
      <c r="G117" s="140" t="str">
        <f>IFERROR(__xludf.DUMMYFUNCTION("""COMPUTED_VALUE"""),"15/06")</f>
        <v>15/06</v>
      </c>
      <c r="H117" s="140" t="str">
        <f>IFERROR(__xludf.DUMMYFUNCTION("""COMPUTED_VALUE"""),"03/07")</f>
        <v>03/07</v>
      </c>
      <c r="I117" s="140" t="str">
        <f>IFERROR(__xludf.DUMMYFUNCTION("""COMPUTED_VALUE"""),"07/07")</f>
        <v>07/07</v>
      </c>
      <c r="J117" s="140" t="str">
        <f>IFERROR(__xludf.DUMMYFUNCTION("""COMPUTED_VALUE"""),"08/07, 12/08")</f>
        <v>08/07, 12/08</v>
      </c>
      <c r="K117" s="140" t="str">
        <f>IFERROR(__xludf.DUMMYFUNCTION("""COMPUTED_VALUE"""),"17/08")</f>
        <v>17/08</v>
      </c>
      <c r="L117" s="140" t="str">
        <f>IFERROR(__xludf.DUMMYFUNCTION("""COMPUTED_VALUE"""),"17/08")</f>
        <v>17/08</v>
      </c>
      <c r="M117" s="140" t="str">
        <f>IFERROR(__xludf.DUMMYFUNCTION("""COMPUTED_VALUE"""),"17/08")</f>
        <v>17/08</v>
      </c>
      <c r="N117" s="140" t="str">
        <f>IFERROR(__xludf.DUMMYFUNCTION("""COMPUTED_VALUE"""),"17/08")</f>
        <v>17/08</v>
      </c>
      <c r="O117" s="140" t="str">
        <f>IFERROR(__xludf.DUMMYFUNCTION("""COMPUTED_VALUE"""),"17/08")</f>
        <v>17/08</v>
      </c>
      <c r="P117" s="140" t="str">
        <f>IFERROR(__xludf.DUMMYFUNCTION("""COMPUTED_VALUE"""),"17/08")</f>
        <v>17/08</v>
      </c>
      <c r="Q117" s="140" t="str">
        <f>IFERROR(__xludf.DUMMYFUNCTION("""COMPUTED_VALUE"""),"17/08")</f>
        <v>17/08</v>
      </c>
      <c r="R117" s="140" t="str">
        <f>IFERROR(__xludf.DUMMYFUNCTION("""COMPUTED_VALUE"""),"18/08")</f>
        <v>18/08</v>
      </c>
      <c r="S117" s="140" t="str">
        <f>IFERROR(__xludf.DUMMYFUNCTION("""COMPUTED_VALUE"""),"18/08")</f>
        <v>18/08</v>
      </c>
      <c r="T117" s="140" t="str">
        <f>IFERROR(__xludf.DUMMYFUNCTION("""COMPUTED_VALUE"""),"18/08")</f>
        <v>18/08</v>
      </c>
      <c r="U117" s="140" t="str">
        <f>IFERROR(__xludf.DUMMYFUNCTION("""COMPUTED_VALUE"""),"exchange com SN 5BE34 - RECEBIDO POR 3S SARA")</f>
        <v>exchange com SN 5BE34 - RECEBIDO POR 3S SARA</v>
      </c>
      <c r="V117" s="140"/>
      <c r="W117" s="140"/>
      <c r="X117" s="140"/>
      <c r="Y117" s="140"/>
      <c r="Z117" s="140"/>
    </row>
    <row r="118" hidden="1">
      <c r="A118" s="140" t="str">
        <f>IFERROR(__xludf.DUMMYFUNCTION("""COMPUTED_VALUE"""),"VEE ONE")</f>
        <v>VEE ONE</v>
      </c>
      <c r="B118" s="140" t="str">
        <f>IFERROR(__xludf.DUMMYFUNCTION("""COMPUTED_VALUE"""),"CLA")</f>
        <v>CLA</v>
      </c>
      <c r="C118" s="140" t="str">
        <f>IFERROR(__xludf.DUMMYFUNCTION("""COMPUTED_VALUE"""),"324843-2020")</f>
        <v>324843-2020</v>
      </c>
      <c r="D118" s="140" t="str">
        <f>IFERROR(__xludf.DUMMYFUNCTION("""COMPUTED_VALUE"""),"HEADSET-MICROPHONE")</f>
        <v>HEADSET-MICROPHONE</v>
      </c>
      <c r="E118" s="140" t="str">
        <f>IFERROR(__xludf.DUMMYFUNCTION("""COMPUTED_VALUE"""),"070407983320096AE")</f>
        <v>070407983320096AE</v>
      </c>
      <c r="F118" s="140" t="str">
        <f>IFERROR(__xludf.DUMMYFUNCTION("""COMPUTED_VALUE"""),"018/2026")</f>
        <v>018/2026</v>
      </c>
      <c r="G118" s="140" t="str">
        <f>IFERROR(__xludf.DUMMYFUNCTION("""COMPUTED_VALUE"""),"22/06")</f>
        <v>22/06</v>
      </c>
      <c r="H118" s="140" t="str">
        <f>IFERROR(__xludf.DUMMYFUNCTION("""COMPUTED_VALUE"""),"07/08")</f>
        <v>07/08</v>
      </c>
      <c r="I118" s="140"/>
      <c r="J118" s="140" t="str">
        <f>IFERROR(__xludf.DUMMYFUNCTION("""COMPUTED_VALUE"""),"10/08")</f>
        <v>10/08</v>
      </c>
      <c r="K118" s="140" t="str">
        <f>IFERROR(__xludf.DUMMYFUNCTION("""COMPUTED_VALUE"""),"10/08")</f>
        <v>10/08</v>
      </c>
      <c r="L118" s="140" t="str">
        <f>IFERROR(__xludf.DUMMYFUNCTION("""COMPUTED_VALUE"""),"10/08")</f>
        <v>10/08</v>
      </c>
      <c r="M118" s="140" t="str">
        <f>IFERROR(__xludf.DUMMYFUNCTION("""COMPUTED_VALUE"""),"10/08")</f>
        <v>10/08</v>
      </c>
      <c r="N118" s="140" t="str">
        <f>IFERROR(__xludf.DUMMYFUNCTION("""COMPUTED_VALUE"""),"10/08")</f>
        <v>10/08</v>
      </c>
      <c r="O118" s="140" t="str">
        <f>IFERROR(__xludf.DUMMYFUNCTION("""COMPUTED_VALUE"""),"10/08")</f>
        <v>10/08</v>
      </c>
      <c r="P118" s="140" t="str">
        <f>IFERROR(__xludf.DUMMYFUNCTION("""COMPUTED_VALUE"""),"10/08")</f>
        <v>10/08</v>
      </c>
      <c r="Q118" s="140" t="str">
        <f>IFERROR(__xludf.DUMMYFUNCTION("""COMPUTED_VALUE"""),"10/08")</f>
        <v>10/08</v>
      </c>
      <c r="R118" s="140" t="str">
        <f>IFERROR(__xludf.DUMMYFUNCTION("""COMPUTED_VALUE"""),"10/08")</f>
        <v>10/08</v>
      </c>
      <c r="S118" s="140" t="str">
        <f>IFERROR(__xludf.DUMMYFUNCTION("""COMPUTED_VALUE"""),"10/08")</f>
        <v>10/08</v>
      </c>
      <c r="T118" s="140" t="str">
        <f>IFERROR(__xludf.DUMMYFUNCTION("""COMPUTED_VALUE"""),"31/08")</f>
        <v>31/08</v>
      </c>
      <c r="U118" s="140" t="str">
        <f>IFERROR(__xludf.DUMMYFUNCTION("""COMPUTED_VALUE"""),"RECEBIDO POR 3S CIPRIANO")</f>
        <v>RECEBIDO POR 3S CIPRIANO</v>
      </c>
      <c r="V118" s="140"/>
      <c r="W118" s="140"/>
      <c r="X118" s="140"/>
      <c r="Y118" s="140"/>
      <c r="Z118" s="140"/>
    </row>
    <row r="119" hidden="1">
      <c r="A119" s="140" t="str">
        <f>IFERROR(__xludf.DUMMYFUNCTION("""COMPUTED_VALUE"""),"VEE ONE")</f>
        <v>VEE ONE</v>
      </c>
      <c r="B119" s="140" t="str">
        <f>IFERROR(__xludf.DUMMYFUNCTION("""COMPUTED_VALUE"""),"BABE")</f>
        <v>BABE</v>
      </c>
      <c r="C119" s="140" t="str">
        <f>IFERROR(__xludf.DUMMYFUNCTION("""COMPUTED_VALUE"""),"2641011-5")</f>
        <v>2641011-5</v>
      </c>
      <c r="D119" s="140" t="str">
        <f>IFERROR(__xludf.DUMMYFUNCTION("""COMPUTED_VALUE"""),"AXLE-MAIN GEAR")</f>
        <v>AXLE-MAIN GEAR</v>
      </c>
      <c r="E119" s="140" t="str">
        <f>IFERROR(__xludf.DUMMYFUNCTION("""COMPUTED_VALUE"""),"2309-5")</f>
        <v>2309-5</v>
      </c>
      <c r="F119" s="140" t="str">
        <f>IFERROR(__xludf.DUMMYFUNCTION("""COMPUTED_VALUE"""),"028/2026")</f>
        <v>028/2026</v>
      </c>
      <c r="G119" s="140" t="str">
        <f>IFERROR(__xludf.DUMMYFUNCTION("""COMPUTED_VALUE"""),"04/09")</f>
        <v>04/09</v>
      </c>
      <c r="H119" s="140" t="str">
        <f>IFERROR(__xludf.DUMMYFUNCTION("""COMPUTED_VALUE"""),"04/09")</f>
        <v>04/09</v>
      </c>
      <c r="I119" s="140"/>
      <c r="J119" s="140" t="str">
        <f>IFERROR(__xludf.DUMMYFUNCTION("""COMPUTED_VALUE"""),"08/09")</f>
        <v>08/09</v>
      </c>
      <c r="K119" s="140" t="str">
        <f>IFERROR(__xludf.DUMMYFUNCTION("""COMPUTED_VALUE"""),"08/09")</f>
        <v>08/09</v>
      </c>
      <c r="L119" s="140" t="str">
        <f>IFERROR(__xludf.DUMMYFUNCTION("""COMPUTED_VALUE"""),"08/09")</f>
        <v>08/09</v>
      </c>
      <c r="M119" s="140" t="str">
        <f>IFERROR(__xludf.DUMMYFUNCTION("""COMPUTED_VALUE"""),"09/09")</f>
        <v>09/09</v>
      </c>
      <c r="N119" s="140" t="str">
        <f>IFERROR(__xludf.DUMMYFUNCTION("""COMPUTED_VALUE"""),"09/09")</f>
        <v>09/09</v>
      </c>
      <c r="O119" s="140" t="str">
        <f>IFERROR(__xludf.DUMMYFUNCTION("""COMPUTED_VALUE"""),"09/09")</f>
        <v>09/09</v>
      </c>
      <c r="P119" s="140" t="str">
        <f>IFERROR(__xludf.DUMMYFUNCTION("""COMPUTED_VALUE"""),"09/09")</f>
        <v>09/09</v>
      </c>
      <c r="Q119" s="140" t="str">
        <f>IFERROR(__xludf.DUMMYFUNCTION("""COMPUTED_VALUE"""),"09/09")</f>
        <v>09/09</v>
      </c>
      <c r="R119" s="140" t="str">
        <f>IFERROR(__xludf.DUMMYFUNCTION("""COMPUTED_VALUE"""),"09/09")</f>
        <v>09/09</v>
      </c>
      <c r="S119" s="140" t="str">
        <f>IFERROR(__xludf.DUMMYFUNCTION("""COMPUTED_VALUE"""),"09/09")</f>
        <v>09/09</v>
      </c>
      <c r="T119" s="140" t="str">
        <f>IFERROR(__xludf.DUMMYFUNCTION("""COMPUTED_VALUE"""),"10/09")</f>
        <v>10/09</v>
      </c>
      <c r="U119" s="140"/>
      <c r="V119" s="140"/>
      <c r="W119" s="140"/>
      <c r="X119" s="140"/>
      <c r="Y119" s="140"/>
      <c r="Z119" s="140"/>
    </row>
    <row r="120" hidden="1">
      <c r="A120" s="140" t="str">
        <f>IFERROR(__xludf.DUMMYFUNCTION("""COMPUTED_VALUE"""),"VEE ONE")</f>
        <v>VEE ONE</v>
      </c>
      <c r="B120" s="140" t="str">
        <f>IFERROR(__xludf.DUMMYFUNCTION("""COMPUTED_VALUE"""),"BABE")</f>
        <v>BABE</v>
      </c>
      <c r="C120" s="140" t="str">
        <f>IFERROR(__xludf.DUMMYFUNCTION("""COMPUTED_VALUE"""),"030-18200")</f>
        <v>030-18200</v>
      </c>
      <c r="D120" s="140" t="str">
        <f>IFERROR(__xludf.DUMMYFUNCTION("""COMPUTED_VALUE"""),"CONJUNTO DE FREIO")</f>
        <v>CONJUNTO DE FREIO</v>
      </c>
      <c r="E120" s="140" t="str">
        <f>IFERROR(__xludf.DUMMYFUNCTION("""COMPUTED_VALUE"""),"K517")</f>
        <v>K517</v>
      </c>
      <c r="F120" s="140" t="str">
        <f>IFERROR(__xludf.DUMMYFUNCTION("""COMPUTED_VALUE"""),"028/2026")</f>
        <v>028/2026</v>
      </c>
      <c r="G120" s="140" t="str">
        <f>IFERROR(__xludf.DUMMYFUNCTION("""COMPUTED_VALUE"""),"04/09")</f>
        <v>04/09</v>
      </c>
      <c r="H120" s="140" t="str">
        <f>IFERROR(__xludf.DUMMYFUNCTION("""COMPUTED_VALUE"""),"04/09")</f>
        <v>04/09</v>
      </c>
      <c r="I120" s="140"/>
      <c r="J120" s="140" t="str">
        <f>IFERROR(__xludf.DUMMYFUNCTION("""COMPUTED_VALUE"""),"08/09")</f>
        <v>08/09</v>
      </c>
      <c r="K120" s="140" t="str">
        <f>IFERROR(__xludf.DUMMYFUNCTION("""COMPUTED_VALUE"""),"08/09")</f>
        <v>08/09</v>
      </c>
      <c r="L120" s="140" t="str">
        <f>IFERROR(__xludf.DUMMYFUNCTION("""COMPUTED_VALUE"""),"08/09")</f>
        <v>08/09</v>
      </c>
      <c r="M120" s="140" t="str">
        <f>IFERROR(__xludf.DUMMYFUNCTION("""COMPUTED_VALUE"""),"09/09")</f>
        <v>09/09</v>
      </c>
      <c r="N120" s="140" t="str">
        <f>IFERROR(__xludf.DUMMYFUNCTION("""COMPUTED_VALUE"""),"09/09")</f>
        <v>09/09</v>
      </c>
      <c r="O120" s="140" t="str">
        <f>IFERROR(__xludf.DUMMYFUNCTION("""COMPUTED_VALUE"""),"09/09")</f>
        <v>09/09</v>
      </c>
      <c r="P120" s="140" t="str">
        <f>IFERROR(__xludf.DUMMYFUNCTION("""COMPUTED_VALUE"""),"09/09")</f>
        <v>09/09</v>
      </c>
      <c r="Q120" s="140" t="str">
        <f>IFERROR(__xludf.DUMMYFUNCTION("""COMPUTED_VALUE"""),"09/09")</f>
        <v>09/09</v>
      </c>
      <c r="R120" s="140" t="str">
        <f>IFERROR(__xludf.DUMMYFUNCTION("""COMPUTED_VALUE"""),"09/09")</f>
        <v>09/09</v>
      </c>
      <c r="S120" s="140" t="str">
        <f>IFERROR(__xludf.DUMMYFUNCTION("""COMPUTED_VALUE"""),"09/09")</f>
        <v>09/09</v>
      </c>
      <c r="T120" s="140" t="str">
        <f>IFERROR(__xludf.DUMMYFUNCTION("""COMPUTED_VALUE"""),"10/09")</f>
        <v>10/09</v>
      </c>
      <c r="U120" s="140"/>
      <c r="V120" s="140"/>
      <c r="W120" s="140"/>
      <c r="X120" s="140"/>
      <c r="Y120" s="140"/>
      <c r="Z120" s="140"/>
    </row>
    <row r="121" hidden="1">
      <c r="A121" s="140" t="str">
        <f>IFERROR(__xludf.DUMMYFUNCTION("""COMPUTED_VALUE"""),"VEE ONE")</f>
        <v>VEE ONE</v>
      </c>
      <c r="B121" s="140" t="str">
        <f>IFERROR(__xludf.DUMMYFUNCTION("""COMPUTED_VALUE"""),"BABR")</f>
        <v>BABR</v>
      </c>
      <c r="C121" s="140" t="str">
        <f>IFERROR(__xludf.DUMMYFUNCTION("""COMPUTED_VALUE"""),"066-3046-07")</f>
        <v>066-3046-07</v>
      </c>
      <c r="D121" s="140" t="str">
        <f>IFERROR(__xludf.DUMMYFUNCTION("""COMPUTED_VALUE"""),"CONTROL INDICATOR")</f>
        <v>CONTROL INDICATOR</v>
      </c>
      <c r="E121" s="140" t="str">
        <f>IFERROR(__xludf.DUMMYFUNCTION("""COMPUTED_VALUE"""),"KI525A-B100660")</f>
        <v>KI525A-B100660</v>
      </c>
      <c r="F121" s="140" t="str">
        <f>IFERROR(__xludf.DUMMYFUNCTION("""COMPUTED_VALUE"""),"015/2026")</f>
        <v>015/2026</v>
      </c>
      <c r="G121" s="140" t="str">
        <f>IFERROR(__xludf.DUMMYFUNCTION("""COMPUTED_VALUE"""),"22/04")</f>
        <v>22/04</v>
      </c>
      <c r="H121" s="140" t="str">
        <f>IFERROR(__xludf.DUMMYFUNCTION("""COMPUTED_VALUE"""),"04/05")</f>
        <v>04/05</v>
      </c>
      <c r="I121" s="140" t="str">
        <f>IFERROR(__xludf.DUMMYFUNCTION("""COMPUTED_VALUE"""),"gmm assinada do recolhimento entregue em 21/05")</f>
        <v>gmm assinada do recolhimento entregue em 21/05</v>
      </c>
      <c r="J121" s="140" t="str">
        <f>IFERROR(__xludf.DUMMYFUNCTION("""COMPUTED_VALUE"""),"21/05")</f>
        <v>21/05</v>
      </c>
      <c r="K121" s="140" t="str">
        <f>IFERROR(__xludf.DUMMYFUNCTION("""COMPUTED_VALUE"""),"06/08")</f>
        <v>06/08</v>
      </c>
      <c r="L121" s="140" t="str">
        <f>IFERROR(__xludf.DUMMYFUNCTION("""COMPUTED_VALUE"""),"06/08")</f>
        <v>06/08</v>
      </c>
      <c r="M121" s="140" t="str">
        <f>IFERROR(__xludf.DUMMYFUNCTION("""COMPUTED_VALUE"""),"07/08")</f>
        <v>07/08</v>
      </c>
      <c r="N121" s="140" t="str">
        <f>IFERROR(__xludf.DUMMYFUNCTION("""COMPUTED_VALUE"""),"07/08")</f>
        <v>07/08</v>
      </c>
      <c r="O121" s="140" t="str">
        <f>IFERROR(__xludf.DUMMYFUNCTION("""COMPUTED_VALUE"""),"07/08")</f>
        <v>07/08</v>
      </c>
      <c r="P121" s="140" t="str">
        <f>IFERROR(__xludf.DUMMYFUNCTION("""COMPUTED_VALUE"""),"12/08")</f>
        <v>12/08</v>
      </c>
      <c r="Q121" s="140" t="str">
        <f>IFERROR(__xludf.DUMMYFUNCTION("""COMPUTED_VALUE"""),"12/08")</f>
        <v>12/08</v>
      </c>
      <c r="R121" s="140" t="str">
        <f>IFERROR(__xludf.DUMMYFUNCTION("""COMPUTED_VALUE"""),"12/08, 01/09")</f>
        <v>12/08, 01/09</v>
      </c>
      <c r="S121" s="140" t="str">
        <f>IFERROR(__xludf.DUMMYFUNCTION("""COMPUTED_VALUE"""),"01/09")</f>
        <v>01/09</v>
      </c>
      <c r="T121" s="140" t="str">
        <f>IFERROR(__xludf.DUMMYFUNCTION("""COMPUTED_VALUE"""),"09/09")</f>
        <v>09/09</v>
      </c>
      <c r="U121" s="140" t="str">
        <f>IFERROR(__xludf.DUMMYFUNCTION("""COMPUTED_VALUE"""),"RECEBIDO POR 3S KESIA")</f>
        <v>RECEBIDO POR 3S KESIA</v>
      </c>
      <c r="V121" s="140"/>
      <c r="W121" s="140"/>
      <c r="X121" s="140"/>
      <c r="Y121" s="140"/>
      <c r="Z121" s="140"/>
    </row>
    <row r="122" hidden="1">
      <c r="A122" s="140" t="str">
        <f>IFERROR(__xludf.DUMMYFUNCTION("""COMPUTED_VALUE"""),"VEE ONE")</f>
        <v>VEE ONE</v>
      </c>
      <c r="B122" s="140" t="str">
        <f>IFERROR(__xludf.DUMMYFUNCTION("""COMPUTED_VALUE"""),"BABR")</f>
        <v>BABR</v>
      </c>
      <c r="C122" s="140" t="str">
        <f>IFERROR(__xludf.DUMMYFUNCTION("""COMPUTED_VALUE"""),"065-0061-36")</f>
        <v>065-0061-36</v>
      </c>
      <c r="D122" s="140" t="str">
        <f>IFERROR(__xludf.DUMMYFUNCTION("""COMPUTED_VALUE"""),"ACTUATOR TRIM")</f>
        <v>ACTUATOR TRIM</v>
      </c>
      <c r="E122" s="140" t="str">
        <f>IFERROR(__xludf.DUMMYFUNCTION("""COMPUTED_VALUE"""),"42966")</f>
        <v>42966</v>
      </c>
      <c r="F122" s="140" t="str">
        <f>IFERROR(__xludf.DUMMYFUNCTION("""COMPUTED_VALUE"""),"015/2026")</f>
        <v>015/2026</v>
      </c>
      <c r="G122" s="140" t="str">
        <f>IFERROR(__xludf.DUMMYFUNCTION("""COMPUTED_VALUE"""),"22/04")</f>
        <v>22/04</v>
      </c>
      <c r="H122" s="140" t="str">
        <f>IFERROR(__xludf.DUMMYFUNCTION("""COMPUTED_VALUE"""),"04/05")</f>
        <v>04/05</v>
      </c>
      <c r="I122" s="140"/>
      <c r="J122" s="140" t="str">
        <f>IFERROR(__xludf.DUMMYFUNCTION("""COMPUTED_VALUE"""),"21/05")</f>
        <v>21/05</v>
      </c>
      <c r="K122" s="140" t="str">
        <f>IFERROR(__xludf.DUMMYFUNCTION("""COMPUTED_VALUE"""),"06/08")</f>
        <v>06/08</v>
      </c>
      <c r="L122" s="140" t="str">
        <f>IFERROR(__xludf.DUMMYFUNCTION("""COMPUTED_VALUE"""),"06/08")</f>
        <v>06/08</v>
      </c>
      <c r="M122" s="140" t="str">
        <f>IFERROR(__xludf.DUMMYFUNCTION("""COMPUTED_VALUE"""),"07/08")</f>
        <v>07/08</v>
      </c>
      <c r="N122" s="140" t="str">
        <f>IFERROR(__xludf.DUMMYFUNCTION("""COMPUTED_VALUE"""),"07/08")</f>
        <v>07/08</v>
      </c>
      <c r="O122" s="140" t="str">
        <f>IFERROR(__xludf.DUMMYFUNCTION("""COMPUTED_VALUE"""),"07/08")</f>
        <v>07/08</v>
      </c>
      <c r="P122" s="140" t="str">
        <f>IFERROR(__xludf.DUMMYFUNCTION("""COMPUTED_VALUE"""),"12/08")</f>
        <v>12/08</v>
      </c>
      <c r="Q122" s="140" t="str">
        <f>IFERROR(__xludf.DUMMYFUNCTION("""COMPUTED_VALUE"""),"12/08")</f>
        <v>12/08</v>
      </c>
      <c r="R122" s="140" t="str">
        <f>IFERROR(__xludf.DUMMYFUNCTION("""COMPUTED_VALUE"""),"12/08, 01/09")</f>
        <v>12/08, 01/09</v>
      </c>
      <c r="S122" s="140" t="str">
        <f>IFERROR(__xludf.DUMMYFUNCTION("""COMPUTED_VALUE"""),"01/09")</f>
        <v>01/09</v>
      </c>
      <c r="T122" s="140" t="str">
        <f>IFERROR(__xludf.DUMMYFUNCTION("""COMPUTED_VALUE"""),"09/09")</f>
        <v>09/09</v>
      </c>
      <c r="U122" s="140" t="str">
        <f>IFERROR(__xludf.DUMMYFUNCTION("""COMPUTED_VALUE"""),"RECEBIDO POR 3S KESIA")</f>
        <v>RECEBIDO POR 3S KESIA</v>
      </c>
      <c r="V122" s="140"/>
      <c r="W122" s="140"/>
      <c r="X122" s="140"/>
      <c r="Y122" s="140"/>
      <c r="Z122" s="140"/>
    </row>
    <row r="123" hidden="1">
      <c r="A123" s="140" t="str">
        <f>IFERROR(__xludf.DUMMYFUNCTION("""COMPUTED_VALUE"""),"VEE ONE")</f>
        <v>VEE ONE</v>
      </c>
      <c r="B123" s="140" t="str">
        <f>IFERROR(__xludf.DUMMYFUNCTION("""COMPUTED_VALUE"""),"BABR")</f>
        <v>BABR</v>
      </c>
      <c r="C123" s="140" t="str">
        <f>IFERROR(__xludf.DUMMYFUNCTION("""COMPUTED_VALUE"""),"060-0017-00")</f>
        <v>060-0017-00</v>
      </c>
      <c r="D123" s="140" t="str">
        <f>IFERROR(__xludf.DUMMYFUNCTION("""COMPUTED_VALUE"""),"IND DE COMANDO DE VOO")</f>
        <v>IND DE COMANDO DE VOO</v>
      </c>
      <c r="E123" s="140" t="str">
        <f>IFERROR(__xludf.DUMMYFUNCTION("""COMPUTED_VALUE"""),"18685")</f>
        <v>18685</v>
      </c>
      <c r="F123" s="140" t="str">
        <f>IFERROR(__xludf.DUMMYFUNCTION("""COMPUTED_VALUE"""),"022/2026")</f>
        <v>022/2026</v>
      </c>
      <c r="G123" s="140" t="str">
        <f>IFERROR(__xludf.DUMMYFUNCTION("""COMPUTED_VALUE"""),"22/06")</f>
        <v>22/06</v>
      </c>
      <c r="H123" s="140" t="str">
        <f>IFERROR(__xludf.DUMMYFUNCTION("""COMPUTED_VALUE"""),"23/06")</f>
        <v>23/06</v>
      </c>
      <c r="I123" s="140"/>
      <c r="J123" s="140" t="str">
        <f>IFERROR(__xludf.DUMMYFUNCTION("""COMPUTED_VALUE"""),"23/06")</f>
        <v>23/06</v>
      </c>
      <c r="K123" s="140" t="str">
        <f>IFERROR(__xludf.DUMMYFUNCTION("""COMPUTED_VALUE"""),"24/06")</f>
        <v>24/06</v>
      </c>
      <c r="L123" s="140" t="str">
        <f>IFERROR(__xludf.DUMMYFUNCTION("""COMPUTED_VALUE"""),"24/06")</f>
        <v>24/06</v>
      </c>
      <c r="M123" s="140" t="str">
        <f>IFERROR(__xludf.DUMMYFUNCTION("""COMPUTED_VALUE"""),"24/06")</f>
        <v>24/06</v>
      </c>
      <c r="N123" s="140" t="str">
        <f>IFERROR(__xludf.DUMMYFUNCTION("""COMPUTED_VALUE"""),"24/06")</f>
        <v>24/06</v>
      </c>
      <c r="O123" s="140" t="str">
        <f>IFERROR(__xludf.DUMMYFUNCTION("""COMPUTED_VALUE"""),"24/06")</f>
        <v>24/06</v>
      </c>
      <c r="P123" s="140" t="str">
        <f>IFERROR(__xludf.DUMMYFUNCTION("""COMPUTED_VALUE"""),"02/07")</f>
        <v>02/07</v>
      </c>
      <c r="Q123" s="140" t="str">
        <f>IFERROR(__xludf.DUMMYFUNCTION("""COMPUTED_VALUE"""),"02/07")</f>
        <v>02/07</v>
      </c>
      <c r="R123" s="140" t="str">
        <f>IFERROR(__xludf.DUMMYFUNCTION("""COMPUTED_VALUE"""),"02/07")</f>
        <v>02/07</v>
      </c>
      <c r="S123" s="140" t="str">
        <f>IFERROR(__xludf.DUMMYFUNCTION("""COMPUTED_VALUE"""),"02/07, 01/09")</f>
        <v>02/07, 01/09</v>
      </c>
      <c r="T123" s="140" t="str">
        <f>IFERROR(__xludf.DUMMYFUNCTION("""COMPUTED_VALUE"""),"09/09")</f>
        <v>09/09</v>
      </c>
      <c r="U123" s="140" t="str">
        <f>IFERROR(__xludf.DUMMYFUNCTION("""COMPUTED_VALUE"""),"RECEBIDO POR 3S KESIA")</f>
        <v>RECEBIDO POR 3S KESIA</v>
      </c>
      <c r="V123" s="140"/>
      <c r="W123" s="140"/>
      <c r="X123" s="140"/>
      <c r="Y123" s="140"/>
      <c r="Z123" s="140"/>
    </row>
    <row r="124" hidden="1">
      <c r="A124" s="140" t="str">
        <f>IFERROR(__xludf.DUMMYFUNCTION("""COMPUTED_VALUE"""),"VEE ONE")</f>
        <v>VEE ONE</v>
      </c>
      <c r="B124" s="140" t="str">
        <f>IFERROR(__xludf.DUMMYFUNCTION("""COMPUTED_VALUE"""),"BABR")</f>
        <v>BABR</v>
      </c>
      <c r="C124" s="140" t="str">
        <f>IFERROR(__xludf.DUMMYFUNCTION("""COMPUTED_VALUE"""),"9910338-8")</f>
        <v>9910338-8</v>
      </c>
      <c r="D124" s="140" t="str">
        <f>IFERROR(__xludf.DUMMYFUNCTION("""COMPUTED_VALUE"""),"INDICATOR,FUEL FLOW")</f>
        <v>INDICATOR,FUEL FLOW</v>
      </c>
      <c r="E124" s="140" t="str">
        <f>IFERROR(__xludf.DUMMYFUNCTION("""COMPUTED_VALUE"""),"9933-49")</f>
        <v>9933-49</v>
      </c>
      <c r="F124" s="140" t="str">
        <f>IFERROR(__xludf.DUMMYFUNCTION("""COMPUTED_VALUE"""),"022/2026")</f>
        <v>022/2026</v>
      </c>
      <c r="G124" s="140" t="str">
        <f>IFERROR(__xludf.DUMMYFUNCTION("""COMPUTED_VALUE"""),"22/06")</f>
        <v>22/06</v>
      </c>
      <c r="H124" s="140" t="str">
        <f>IFERROR(__xludf.DUMMYFUNCTION("""COMPUTED_VALUE"""),"23/06")</f>
        <v>23/06</v>
      </c>
      <c r="I124" s="140"/>
      <c r="J124" s="140" t="str">
        <f>IFERROR(__xludf.DUMMYFUNCTION("""COMPUTED_VALUE"""),"23/06")</f>
        <v>23/06</v>
      </c>
      <c r="K124" s="140" t="str">
        <f>IFERROR(__xludf.DUMMYFUNCTION("""COMPUTED_VALUE"""),"24/06")</f>
        <v>24/06</v>
      </c>
      <c r="L124" s="140" t="str">
        <f>IFERROR(__xludf.DUMMYFUNCTION("""COMPUTED_VALUE"""),"24/06")</f>
        <v>24/06</v>
      </c>
      <c r="M124" s="140" t="str">
        <f>IFERROR(__xludf.DUMMYFUNCTION("""COMPUTED_VALUE"""),"24/06")</f>
        <v>24/06</v>
      </c>
      <c r="N124" s="140" t="str">
        <f>IFERROR(__xludf.DUMMYFUNCTION("""COMPUTED_VALUE"""),"24/06")</f>
        <v>24/06</v>
      </c>
      <c r="O124" s="140" t="str">
        <f>IFERROR(__xludf.DUMMYFUNCTION("""COMPUTED_VALUE"""),"24/06")</f>
        <v>24/06</v>
      </c>
      <c r="P124" s="140" t="str">
        <f>IFERROR(__xludf.DUMMYFUNCTION("""COMPUTED_VALUE"""),"02/07")</f>
        <v>02/07</v>
      </c>
      <c r="Q124" s="140" t="str">
        <f>IFERROR(__xludf.DUMMYFUNCTION("""COMPUTED_VALUE"""),"02/07")</f>
        <v>02/07</v>
      </c>
      <c r="R124" s="140" t="str">
        <f>IFERROR(__xludf.DUMMYFUNCTION("""COMPUTED_VALUE"""),"02/07")</f>
        <v>02/07</v>
      </c>
      <c r="S124" s="140" t="str">
        <f>IFERROR(__xludf.DUMMYFUNCTION("""COMPUTED_VALUE"""),"02/07, 01/09")</f>
        <v>02/07, 01/09</v>
      </c>
      <c r="T124" s="140" t="str">
        <f>IFERROR(__xludf.DUMMYFUNCTION("""COMPUTED_VALUE"""),"09/09")</f>
        <v>09/09</v>
      </c>
      <c r="U124" s="140" t="str">
        <f>IFERROR(__xludf.DUMMYFUNCTION("""COMPUTED_VALUE"""),"RECEBIDO POR 3S KESIA")</f>
        <v>RECEBIDO POR 3S KESIA</v>
      </c>
      <c r="V124" s="140"/>
      <c r="W124" s="140"/>
      <c r="X124" s="140"/>
      <c r="Y124" s="140"/>
      <c r="Z124" s="140"/>
    </row>
    <row r="125" hidden="1">
      <c r="A125" s="140" t="str">
        <f>IFERROR(__xludf.DUMMYFUNCTION("""COMPUTED_VALUE"""),"VEE ONE")</f>
        <v>VEE ONE</v>
      </c>
      <c r="B125" s="140" t="str">
        <f>IFERROR(__xludf.DUMMYFUNCTION("""COMPUTED_VALUE"""),"BABR")</f>
        <v>BABR</v>
      </c>
      <c r="C125" s="140" t="str">
        <f>IFERROR(__xludf.DUMMYFUNCTION("""COMPUTED_VALUE"""),"066-1072-04")</f>
        <v>066-1072-04</v>
      </c>
      <c r="D125" s="140" t="str">
        <f>IFERROR(__xludf.DUMMYFUNCTION("""COMPUTED_VALUE"""),"RECEIVER RADIO")</f>
        <v>RECEIVER RADIO</v>
      </c>
      <c r="E125" s="140" t="str">
        <f>IFERROR(__xludf.DUMMYFUNCTION("""COMPUTED_VALUE"""),"64318")</f>
        <v>64318</v>
      </c>
      <c r="F125" s="140" t="str">
        <f>IFERROR(__xludf.DUMMYFUNCTION("""COMPUTED_VALUE"""),"024/2026")</f>
        <v>024/2026</v>
      </c>
      <c r="G125" s="140" t="str">
        <f>IFERROR(__xludf.DUMMYFUNCTION("""COMPUTED_VALUE"""),"07/07")</f>
        <v>07/07</v>
      </c>
      <c r="H125" s="140" t="str">
        <f>IFERROR(__xludf.DUMMYFUNCTION("""COMPUTED_VALUE"""),"09/07")</f>
        <v>09/07</v>
      </c>
      <c r="I125" s="140"/>
      <c r="J125" s="140" t="str">
        <f>IFERROR(__xludf.DUMMYFUNCTION("""COMPUTED_VALUE"""),"09/07")</f>
        <v>09/07</v>
      </c>
      <c r="K125" s="140" t="str">
        <f>IFERROR(__xludf.DUMMYFUNCTION("""COMPUTED_VALUE"""),"10/07")</f>
        <v>10/07</v>
      </c>
      <c r="L125" s="140" t="str">
        <f>IFERROR(__xludf.DUMMYFUNCTION("""COMPUTED_VALUE"""),"10/07")</f>
        <v>10/07</v>
      </c>
      <c r="M125" s="140" t="str">
        <f>IFERROR(__xludf.DUMMYFUNCTION("""COMPUTED_VALUE"""),"13/07")</f>
        <v>13/07</v>
      </c>
      <c r="N125" s="140" t="str">
        <f>IFERROR(__xludf.DUMMYFUNCTION("""COMPUTED_VALUE"""),"13/07")</f>
        <v>13/07</v>
      </c>
      <c r="O125" s="140" t="str">
        <f>IFERROR(__xludf.DUMMYFUNCTION("""COMPUTED_VALUE"""),"13/07")</f>
        <v>13/07</v>
      </c>
      <c r="P125" s="140" t="str">
        <f>IFERROR(__xludf.DUMMYFUNCTION("""COMPUTED_VALUE"""),"13/07")</f>
        <v>13/07</v>
      </c>
      <c r="Q125" s="140" t="str">
        <f>IFERROR(__xludf.DUMMYFUNCTION("""COMPUTED_VALUE"""),"13/07")</f>
        <v>13/07</v>
      </c>
      <c r="R125" s="140" t="str">
        <f>IFERROR(__xludf.DUMMYFUNCTION("""COMPUTED_VALUE"""),"13/07")</f>
        <v>13/07</v>
      </c>
      <c r="S125" s="140" t="str">
        <f>IFERROR(__xludf.DUMMYFUNCTION("""COMPUTED_VALUE"""),"13/07, 01/09")</f>
        <v>13/07, 01/09</v>
      </c>
      <c r="T125" s="140" t="str">
        <f>IFERROR(__xludf.DUMMYFUNCTION("""COMPUTED_VALUE"""),"09/09")</f>
        <v>09/09</v>
      </c>
      <c r="U125" s="140" t="str">
        <f>IFERROR(__xludf.DUMMYFUNCTION("""COMPUTED_VALUE"""),"RECEBIDO POR 3S KESIA")</f>
        <v>RECEBIDO POR 3S KESIA</v>
      </c>
      <c r="V125" s="140"/>
      <c r="W125" s="140"/>
      <c r="X125" s="140"/>
      <c r="Y125" s="140"/>
      <c r="Z125" s="140"/>
    </row>
    <row r="126" hidden="1">
      <c r="A126" s="140" t="str">
        <f>IFERROR(__xludf.DUMMYFUNCTION("""COMPUTED_VALUE"""),"VEE ONE")</f>
        <v>VEE ONE</v>
      </c>
      <c r="B126" s="140" t="str">
        <f>IFERROR(__xludf.DUMMYFUNCTION("""COMPUTED_VALUE"""),"BABR")</f>
        <v>BABR</v>
      </c>
      <c r="C126" s="140" t="str">
        <f>IFERROR(__xludf.DUMMYFUNCTION("""COMPUTED_VALUE"""),"060-0017-00")</f>
        <v>060-0017-00</v>
      </c>
      <c r="D126" s="140" t="str">
        <f>IFERROR(__xludf.DUMMYFUNCTION("""COMPUTED_VALUE"""),"IND DE COMANDO DE VOO")</f>
        <v>IND DE COMANDO DE VOO</v>
      </c>
      <c r="E126" s="140" t="str">
        <f>IFERROR(__xludf.DUMMYFUNCTION("""COMPUTED_VALUE"""),"9599")</f>
        <v>9599</v>
      </c>
      <c r="F126" s="140" t="str">
        <f>IFERROR(__xludf.DUMMYFUNCTION("""COMPUTED_VALUE"""),"025/2026")</f>
        <v>025/2026</v>
      </c>
      <c r="G126" s="140" t="str">
        <f>IFERROR(__xludf.DUMMYFUNCTION("""COMPUTED_VALUE"""),"09/07")</f>
        <v>09/07</v>
      </c>
      <c r="H126" s="140" t="str">
        <f>IFERROR(__xludf.DUMMYFUNCTION("""COMPUTED_VALUE"""),"09/07")</f>
        <v>09/07</v>
      </c>
      <c r="I126" s="140"/>
      <c r="J126" s="140" t="str">
        <f>IFERROR(__xludf.DUMMYFUNCTION("""COMPUTED_VALUE"""),"09/07")</f>
        <v>09/07</v>
      </c>
      <c r="K126" s="140" t="str">
        <f>IFERROR(__xludf.DUMMYFUNCTION("""COMPUTED_VALUE"""),"10/07")</f>
        <v>10/07</v>
      </c>
      <c r="L126" s="140" t="str">
        <f>IFERROR(__xludf.DUMMYFUNCTION("""COMPUTED_VALUE"""),"10/07")</f>
        <v>10/07</v>
      </c>
      <c r="M126" s="140" t="str">
        <f>IFERROR(__xludf.DUMMYFUNCTION("""COMPUTED_VALUE"""),"13/07")</f>
        <v>13/07</v>
      </c>
      <c r="N126" s="140" t="str">
        <f>IFERROR(__xludf.DUMMYFUNCTION("""COMPUTED_VALUE"""),"13/07")</f>
        <v>13/07</v>
      </c>
      <c r="O126" s="140" t="str">
        <f>IFERROR(__xludf.DUMMYFUNCTION("""COMPUTED_VALUE"""),"13/07")</f>
        <v>13/07</v>
      </c>
      <c r="P126" s="140" t="str">
        <f>IFERROR(__xludf.DUMMYFUNCTION("""COMPUTED_VALUE"""),"13/07")</f>
        <v>13/07</v>
      </c>
      <c r="Q126" s="140" t="str">
        <f>IFERROR(__xludf.DUMMYFUNCTION("""COMPUTED_VALUE"""),"13/07")</f>
        <v>13/07</v>
      </c>
      <c r="R126" s="140" t="str">
        <f>IFERROR(__xludf.DUMMYFUNCTION("""COMPUTED_VALUE"""),"13/07")</f>
        <v>13/07</v>
      </c>
      <c r="S126" s="140" t="str">
        <f>IFERROR(__xludf.DUMMYFUNCTION("""COMPUTED_VALUE"""),"13/07, 01/09")</f>
        <v>13/07, 01/09</v>
      </c>
      <c r="T126" s="140" t="str">
        <f>IFERROR(__xludf.DUMMYFUNCTION("""COMPUTED_VALUE"""),"09/09")</f>
        <v>09/09</v>
      </c>
      <c r="U126" s="140" t="str">
        <f>IFERROR(__xludf.DUMMYFUNCTION("""COMPUTED_VALUE"""),"RECEBIDO POR 3S KESIA")</f>
        <v>RECEBIDO POR 3S KESIA</v>
      </c>
      <c r="V126" s="140"/>
      <c r="W126" s="140"/>
      <c r="X126" s="140"/>
      <c r="Y126" s="140"/>
      <c r="Z126" s="140"/>
    </row>
    <row r="127" hidden="1">
      <c r="A127" s="140" t="str">
        <f>IFERROR(__xludf.DUMMYFUNCTION("""COMPUTED_VALUE"""),"VEE ONE")</f>
        <v>VEE ONE</v>
      </c>
      <c r="B127" s="140" t="str">
        <f>IFERROR(__xludf.DUMMYFUNCTION("""COMPUTED_VALUE"""),"CLA")</f>
        <v>CLA</v>
      </c>
      <c r="C127" s="140" t="str">
        <f>IFERROR(__xludf.DUMMYFUNCTION("""COMPUTED_VALUE"""),"3034792")</f>
        <v>3034792</v>
      </c>
      <c r="D127" s="140" t="str">
        <f>IFERROR(__xludf.DUMMYFUNCTION("""COMPUTED_VALUE"""),"BOMBA DE COMBUSTÍVEL")</f>
        <v>BOMBA DE COMBUSTÍVEL</v>
      </c>
      <c r="E127" s="140" t="str">
        <f>IFERROR(__xludf.DUMMYFUNCTION("""COMPUTED_VALUE"""),"003665")</f>
        <v>003665</v>
      </c>
      <c r="F127" s="140" t="str">
        <f>IFERROR(__xludf.DUMMYFUNCTION("""COMPUTED_VALUE"""),"019/2026")</f>
        <v>019/2026</v>
      </c>
      <c r="G127" s="140" t="str">
        <f>IFERROR(__xludf.DUMMYFUNCTION("""COMPUTED_VALUE"""),"25/06")</f>
        <v>25/06</v>
      </c>
      <c r="H127" s="140" t="str">
        <f>IFERROR(__xludf.DUMMYFUNCTION("""COMPUTED_VALUE"""),"07/08")</f>
        <v>07/08</v>
      </c>
      <c r="I127" s="140"/>
      <c r="J127" s="140" t="str">
        <f>IFERROR(__xludf.DUMMYFUNCTION("""COMPUTED_VALUE"""),"10/08")</f>
        <v>10/08</v>
      </c>
      <c r="K127" s="140" t="str">
        <f>IFERROR(__xludf.DUMMYFUNCTION("""COMPUTED_VALUE"""),"10/08")</f>
        <v>10/08</v>
      </c>
      <c r="L127" s="140" t="str">
        <f>IFERROR(__xludf.DUMMYFUNCTION("""COMPUTED_VALUE"""),"10/08, 01/09")</f>
        <v>10/08, 01/09</v>
      </c>
      <c r="M127" s="140" t="str">
        <f>IFERROR(__xludf.DUMMYFUNCTION("""COMPUTED_VALUE"""),"01/09")</f>
        <v>01/09</v>
      </c>
      <c r="N127" s="140" t="str">
        <f>IFERROR(__xludf.DUMMYFUNCTION("""COMPUTED_VALUE"""),"01/09")</f>
        <v>01/09</v>
      </c>
      <c r="O127" s="140" t="str">
        <f>IFERROR(__xludf.DUMMYFUNCTION("""COMPUTED_VALUE"""),"01/09")</f>
        <v>01/09</v>
      </c>
      <c r="P127" s="140" t="str">
        <f>IFERROR(__xludf.DUMMYFUNCTION("""COMPUTED_VALUE"""),"01/09")</f>
        <v>01/09</v>
      </c>
      <c r="Q127" s="140" t="str">
        <f>IFERROR(__xludf.DUMMYFUNCTION("""COMPUTED_VALUE"""),"01/09")</f>
        <v>01/09</v>
      </c>
      <c r="R127" s="140" t="str">
        <f>IFERROR(__xludf.DUMMYFUNCTION("""COMPUTED_VALUE"""),"01/09")</f>
        <v>01/09</v>
      </c>
      <c r="S127" s="140" t="str">
        <f>IFERROR(__xludf.DUMMYFUNCTION("""COMPUTED_VALUE"""),"01/09")</f>
        <v>01/09</v>
      </c>
      <c r="T127" s="140" t="str">
        <f>IFERROR(__xludf.DUMMYFUNCTION("""COMPUTED_VALUE"""),"04/09")</f>
        <v>04/09</v>
      </c>
      <c r="U127" s="140" t="str">
        <f>IFERROR(__xludf.DUMMYFUNCTION("""COMPUTED_VALUE"""),"RECEBIDO POR 2S CIPRIANO")</f>
        <v>RECEBIDO POR 2S CIPRIANO</v>
      </c>
      <c r="V127" s="140"/>
      <c r="W127" s="140"/>
      <c r="X127" s="140"/>
      <c r="Y127" s="140"/>
      <c r="Z127" s="140"/>
    </row>
    <row r="128" hidden="1">
      <c r="A128" s="140" t="str">
        <f>IFERROR(__xludf.DUMMYFUNCTION("""COMPUTED_VALUE"""),"VEE ONE")</f>
        <v>VEE ONE</v>
      </c>
      <c r="B128" s="140" t="str">
        <f>IFERROR(__xludf.DUMMYFUNCTION("""COMPUTED_VALUE"""),"BABR")</f>
        <v>BABR</v>
      </c>
      <c r="C128" s="140" t="str">
        <f>IFERROR(__xludf.DUMMYFUNCTION("""COMPUTED_VALUE"""),"066-3046-07")</f>
        <v>066-3046-07</v>
      </c>
      <c r="D128" s="140" t="str">
        <f>IFERROR(__xludf.DUMMYFUNCTION("""COMPUTED_VALUE"""),"CONTROL INDICATOR")</f>
        <v>CONTROL INDICATOR</v>
      </c>
      <c r="E128" s="140" t="str">
        <f>IFERROR(__xludf.DUMMYFUNCTION("""COMPUTED_VALUE"""),"83740")</f>
        <v>83740</v>
      </c>
      <c r="F128" s="140" t="str">
        <f>IFERROR(__xludf.DUMMYFUNCTION("""COMPUTED_VALUE"""),"026/2026")</f>
        <v>026/2026</v>
      </c>
      <c r="G128" s="140" t="str">
        <f>IFERROR(__xludf.DUMMYFUNCTION("""COMPUTED_VALUE"""),"20/07")</f>
        <v>20/07</v>
      </c>
      <c r="H128" s="140" t="str">
        <f>IFERROR(__xludf.DUMMYFUNCTION("""COMPUTED_VALUE"""),"07/08")</f>
        <v>07/08</v>
      </c>
      <c r="I128" s="140"/>
      <c r="J128" s="140" t="str">
        <f>IFERROR(__xludf.DUMMYFUNCTION("""COMPUTED_VALUE"""),"10/08")</f>
        <v>10/08</v>
      </c>
      <c r="K128" s="140" t="str">
        <f>IFERROR(__xludf.DUMMYFUNCTION("""COMPUTED_VALUE"""),"10/08")</f>
        <v>10/08</v>
      </c>
      <c r="L128" s="140" t="str">
        <f>IFERROR(__xludf.DUMMYFUNCTION("""COMPUTED_VALUE"""),"10/08")</f>
        <v>10/08</v>
      </c>
      <c r="M128" s="140" t="str">
        <f>IFERROR(__xludf.DUMMYFUNCTION("""COMPUTED_VALUE"""),"10/08")</f>
        <v>10/08</v>
      </c>
      <c r="N128" s="140" t="str">
        <f>IFERROR(__xludf.DUMMYFUNCTION("""COMPUTED_VALUE"""),"10/08")</f>
        <v>10/08</v>
      </c>
      <c r="O128" s="140" t="str">
        <f>IFERROR(__xludf.DUMMYFUNCTION("""COMPUTED_VALUE"""),"10/08")</f>
        <v>10/08</v>
      </c>
      <c r="P128" s="140" t="str">
        <f>IFERROR(__xludf.DUMMYFUNCTION("""COMPUTED_VALUE"""),"10/08")</f>
        <v>10/08</v>
      </c>
      <c r="Q128" s="140" t="str">
        <f>IFERROR(__xludf.DUMMYFUNCTION("""COMPUTED_VALUE"""),"10/08")</f>
        <v>10/08</v>
      </c>
      <c r="R128" s="140" t="str">
        <f>IFERROR(__xludf.DUMMYFUNCTION("""COMPUTED_VALUE"""),"10/08")</f>
        <v>10/08</v>
      </c>
      <c r="S128" s="140" t="str">
        <f>IFERROR(__xludf.DUMMYFUNCTION("""COMPUTED_VALUE"""),"10/08, 01/09")</f>
        <v>10/08, 01/09</v>
      </c>
      <c r="T128" s="140" t="str">
        <f>IFERROR(__xludf.DUMMYFUNCTION("""COMPUTED_VALUE"""),"09/09")</f>
        <v>09/09</v>
      </c>
      <c r="U128" s="140" t="str">
        <f>IFERROR(__xludf.DUMMYFUNCTION("""COMPUTED_VALUE"""),"RECEBIDO POR 3S KESIA")</f>
        <v>RECEBIDO POR 3S KESIA</v>
      </c>
      <c r="V128" s="140"/>
      <c r="W128" s="140"/>
      <c r="X128" s="140"/>
      <c r="Y128" s="140"/>
      <c r="Z128" s="140"/>
    </row>
    <row r="129" hidden="1">
      <c r="A129" s="140" t="str">
        <f>IFERROR(__xludf.DUMMYFUNCTION("""COMPUTED_VALUE"""),"VEE ONE")</f>
        <v>VEE ONE</v>
      </c>
      <c r="B129" s="140" t="str">
        <f>IFERROR(__xludf.DUMMYFUNCTION("""COMPUTED_VALUE"""),"BACG")</f>
        <v>BACG</v>
      </c>
      <c r="C129" s="140" t="str">
        <f>IFERROR(__xludf.DUMMYFUNCTION("""COMPUTED_VALUE"""),"3244897-4")</f>
        <v>3244897-4</v>
      </c>
      <c r="D129" s="140" t="str">
        <f>IFERROR(__xludf.DUMMYFUNCTION("""COMPUTED_VALUE"""),"FUEL CONTROL UNIT")</f>
        <v>FUEL CONTROL UNIT</v>
      </c>
      <c r="E129" s="140" t="str">
        <f>IFERROR(__xludf.DUMMYFUNCTION("""COMPUTED_VALUE"""),"F66912")</f>
        <v>F66912</v>
      </c>
      <c r="F129" s="140" t="str">
        <f>IFERROR(__xludf.DUMMYFUNCTION("""COMPUTED_VALUE"""),"008/2026")</f>
        <v>008/2026</v>
      </c>
      <c r="G129" s="140" t="str">
        <f>IFERROR(__xludf.DUMMYFUNCTION("""COMPUTED_VALUE"""),"17/08")</f>
        <v>17/08</v>
      </c>
      <c r="H129" s="140" t="str">
        <f>IFERROR(__xludf.DUMMYFUNCTION("""COMPUTED_VALUE"""),"20/08")</f>
        <v>20/08</v>
      </c>
      <c r="I129" s="140"/>
      <c r="J129" s="140" t="str">
        <f>IFERROR(__xludf.DUMMYFUNCTION("""COMPUTED_VALUE"""),"21/08")</f>
        <v>21/08</v>
      </c>
      <c r="K129" s="140" t="str">
        <f>IFERROR(__xludf.DUMMYFUNCTION("""COMPUTED_VALUE"""),"24/08")</f>
        <v>24/08</v>
      </c>
      <c r="L129" s="140" t="str">
        <f>IFERROR(__xludf.DUMMYFUNCTION("""COMPUTED_VALUE"""),"24/08")</f>
        <v>24/08</v>
      </c>
      <c r="M129" s="140" t="str">
        <f>IFERROR(__xludf.DUMMYFUNCTION("""COMPUTED_VALUE"""),"24/08")</f>
        <v>24/08</v>
      </c>
      <c r="N129" s="140" t="str">
        <f>IFERROR(__xludf.DUMMYFUNCTION("""COMPUTED_VALUE"""),"26/08")</f>
        <v>26/08</v>
      </c>
      <c r="O129" s="140" t="str">
        <f>IFERROR(__xludf.DUMMYFUNCTION("""COMPUTED_VALUE"""),"26/08")</f>
        <v>26/08</v>
      </c>
      <c r="P129" s="140" t="str">
        <f>IFERROR(__xludf.DUMMYFUNCTION("""COMPUTED_VALUE"""),"27/08")</f>
        <v>27/08</v>
      </c>
      <c r="Q129" s="140" t="str">
        <f>IFERROR(__xludf.DUMMYFUNCTION("""COMPUTED_VALUE"""),"27/08")</f>
        <v>27/08</v>
      </c>
      <c r="R129" s="140" t="str">
        <f>IFERROR(__xludf.DUMMYFUNCTION("""COMPUTED_VALUE"""),"27/08")</f>
        <v>27/08</v>
      </c>
      <c r="S129" s="140" t="str">
        <f>IFERROR(__xludf.DUMMYFUNCTION("""COMPUTED_VALUE"""),"27/08")</f>
        <v>27/08</v>
      </c>
      <c r="T129" s="140" t="str">
        <f>IFERROR(__xludf.DUMMYFUNCTION("""COMPUTED_VALUE"""),"16/09")</f>
        <v>16/09</v>
      </c>
      <c r="U129" s="140" t="str">
        <f>IFERROR(__xludf.DUMMYFUNCTION("""COMPUTED_VALUE"""),"RECEBIDO POR 3S ANNA AMURIM")</f>
        <v>RECEBIDO POR 3S ANNA AMURIM</v>
      </c>
      <c r="V129" s="140"/>
      <c r="W129" s="140"/>
      <c r="X129" s="140"/>
      <c r="Y129" s="140"/>
      <c r="Z129" s="140"/>
    </row>
    <row r="130">
      <c r="A130" s="140" t="str">
        <f>IFERROR(__xludf.DUMMYFUNCTION("""COMPUTED_VALUE"""),"VEE ONE")</f>
        <v>VEE ONE</v>
      </c>
      <c r="B130" s="140" t="str">
        <f>IFERROR(__xludf.DUMMYFUNCTION("""COMPUTED_VALUE"""),"BABE")</f>
        <v>BABE</v>
      </c>
      <c r="C130" s="140" t="str">
        <f>IFERROR(__xludf.DUMMYFUNCTION("""COMPUTED_VALUE"""),"ASG12000-2")</f>
        <v>ASG12000-2</v>
      </c>
      <c r="D130" s="140" t="str">
        <f>IFERROR(__xludf.DUMMYFUNCTION("""COMPUTED_VALUE"""),"ALTERNADOR")</f>
        <v>ALTERNADOR</v>
      </c>
      <c r="E130" s="140" t="str">
        <f>IFERROR(__xludf.DUMMYFUNCTION("""COMPUTED_VALUE"""),"H-K121983")</f>
        <v>H-K121983</v>
      </c>
      <c r="F130" s="140" t="str">
        <f>IFERROR(__xludf.DUMMYFUNCTION("""COMPUTED_VALUE"""),"029/2026")</f>
        <v>029/2026</v>
      </c>
      <c r="G130" s="140" t="str">
        <f>IFERROR(__xludf.DUMMYFUNCTION("""COMPUTED_VALUE"""),"14/09")</f>
        <v>14/09</v>
      </c>
      <c r="H130" s="140" t="str">
        <f>IFERROR(__xludf.DUMMYFUNCTION("""COMPUTED_VALUE"""),"14/09")</f>
        <v>14/09</v>
      </c>
      <c r="I130" s="140"/>
      <c r="J130" s="140" t="str">
        <f>IFERROR(__xludf.DUMMYFUNCTION("""COMPUTED_VALUE"""),"17/09")</f>
        <v>17/09</v>
      </c>
      <c r="K130" s="140" t="str">
        <f>IFERROR(__xludf.DUMMYFUNCTION("""COMPUTED_VALUE"""),"17/09")</f>
        <v>17/09</v>
      </c>
      <c r="L130" s="140" t="str">
        <f>IFERROR(__xludf.DUMMYFUNCTION("""COMPUTED_VALUE"""),"17/09")</f>
        <v>17/09</v>
      </c>
      <c r="M130" s="140" t="str">
        <f>IFERROR(__xludf.DUMMYFUNCTION("""COMPUTED_VALUE"""),"17/09")</f>
        <v>17/09</v>
      </c>
      <c r="N130" s="140" t="str">
        <f>IFERROR(__xludf.DUMMYFUNCTION("""COMPUTED_VALUE"""),"17/09")</f>
        <v>17/09</v>
      </c>
      <c r="O130" s="140" t="str">
        <f>IFERROR(__xludf.DUMMYFUNCTION("""COMPUTED_VALUE"""),"17/09")</f>
        <v>17/09</v>
      </c>
      <c r="P130" s="140" t="str">
        <f>IFERROR(__xludf.DUMMYFUNCTION("""COMPUTED_VALUE"""),"18/09")</f>
        <v>18/09</v>
      </c>
      <c r="Q130" s="140" t="str">
        <f>IFERROR(__xludf.DUMMYFUNCTION("""COMPUTED_VALUE"""),"18/09")</f>
        <v>18/09</v>
      </c>
      <c r="R130" s="140" t="str">
        <f>IFERROR(__xludf.DUMMYFUNCTION("""COMPUTED_VALUE"""),"23/09")</f>
        <v>23/09</v>
      </c>
      <c r="S130" s="140" t="str">
        <f>IFERROR(__xludf.DUMMYFUNCTION("""COMPUTED_VALUE"""),"23/09")</f>
        <v>23/09</v>
      </c>
      <c r="T130" s="140" t="str">
        <f>IFERROR(__xludf.DUMMYFUNCTION("""COMPUTED_VALUE"""),"23/09")</f>
        <v>23/09</v>
      </c>
      <c r="U130" s="140" t="str">
        <f>IFERROR(__xludf.DUMMYFUNCTION("""COMPUTED_VALUE"""),"RECEBIDO POR 1S JOAO MARCOS")</f>
        <v>RECEBIDO POR 1S JOAO MARCOS</v>
      </c>
      <c r="V130" s="140"/>
      <c r="W130" s="140"/>
      <c r="X130" s="140"/>
      <c r="Y130" s="140"/>
      <c r="Z130" s="140"/>
    </row>
    <row r="131">
      <c r="A131" s="140" t="str">
        <f>IFERROR(__xludf.DUMMYFUNCTION("""COMPUTED_VALUE"""),"VEE ONE")</f>
        <v>VEE ONE</v>
      </c>
      <c r="B131" s="140" t="str">
        <f>IFERROR(__xludf.DUMMYFUNCTION("""COMPUTED_VALUE"""),"BABE")</f>
        <v>BABE</v>
      </c>
      <c r="C131" s="140" t="str">
        <f>IFERROR(__xludf.DUMMYFUNCTION("""COMPUTED_VALUE"""),"C611505-0201")</f>
        <v>C611505-0201</v>
      </c>
      <c r="D131" s="140" t="str">
        <f>IFERROR(__xludf.DUMMYFUNCTION("""COMPUTED_VALUE"""),"ALTERNATOR ASSY")</f>
        <v>ALTERNATOR ASSY</v>
      </c>
      <c r="E131" s="140" t="str">
        <f>IFERROR(__xludf.DUMMYFUNCTION("""COMPUTED_VALUE"""),"A102704")</f>
        <v>A102704</v>
      </c>
      <c r="F131" s="140" t="str">
        <f>IFERROR(__xludf.DUMMYFUNCTION("""COMPUTED_VALUE"""),"030/2026")</f>
        <v>030/2026</v>
      </c>
      <c r="G131" s="140" t="str">
        <f>IFERROR(__xludf.DUMMYFUNCTION("""COMPUTED_VALUE"""),"15/09")</f>
        <v>15/09</v>
      </c>
      <c r="H131" s="140" t="str">
        <f>IFERROR(__xludf.DUMMYFUNCTION("""COMPUTED_VALUE"""),"17/09")</f>
        <v>17/09</v>
      </c>
      <c r="I131" s="140"/>
      <c r="J131" s="140" t="str">
        <f>IFERROR(__xludf.DUMMYFUNCTION("""COMPUTED_VALUE"""),"21/09")</f>
        <v>21/09</v>
      </c>
      <c r="K131" s="140" t="str">
        <f>IFERROR(__xludf.DUMMYFUNCTION("""COMPUTED_VALUE"""),"21/09")</f>
        <v>21/09</v>
      </c>
      <c r="L131" s="140" t="str">
        <f>IFERROR(__xludf.DUMMYFUNCTION("""COMPUTED_VALUE"""),"21/09")</f>
        <v>21/09</v>
      </c>
      <c r="M131" s="140" t="str">
        <f>IFERROR(__xludf.DUMMYFUNCTION("""COMPUTED_VALUE"""),"22/09")</f>
        <v>22/09</v>
      </c>
      <c r="N131" s="140" t="str">
        <f>IFERROR(__xludf.DUMMYFUNCTION("""COMPUTED_VALUE"""),"22/09")</f>
        <v>22/09</v>
      </c>
      <c r="O131" s="140" t="str">
        <f>IFERROR(__xludf.DUMMYFUNCTION("""COMPUTED_VALUE"""),"22/09")</f>
        <v>22/09</v>
      </c>
      <c r="P131" s="140" t="str">
        <f>IFERROR(__xludf.DUMMYFUNCTION("""COMPUTED_VALUE"""),"22/09")</f>
        <v>22/09</v>
      </c>
      <c r="Q131" s="140" t="str">
        <f>IFERROR(__xludf.DUMMYFUNCTION("""COMPUTED_VALUE"""),"22/09")</f>
        <v>22/09</v>
      </c>
      <c r="R131" s="140" t="str">
        <f>IFERROR(__xludf.DUMMYFUNCTION("""COMPUTED_VALUE"""),"23/09")</f>
        <v>23/09</v>
      </c>
      <c r="S131" s="140" t="str">
        <f>IFERROR(__xludf.DUMMYFUNCTION("""COMPUTED_VALUE"""),"23/09")</f>
        <v>23/09</v>
      </c>
      <c r="T131" s="140" t="str">
        <f>IFERROR(__xludf.DUMMYFUNCTION("""COMPUTED_VALUE"""),"23/09")</f>
        <v>23/09</v>
      </c>
      <c r="U131" s="140" t="str">
        <f>IFERROR(__xludf.DUMMYFUNCTION("""COMPUTED_VALUE"""),"RECEBIDO POR 1S JOAO MARCOS")</f>
        <v>RECEBIDO POR 1S JOAO MARCOS</v>
      </c>
      <c r="V131" s="140"/>
      <c r="W131" s="140"/>
      <c r="X131" s="140"/>
      <c r="Y131" s="140"/>
      <c r="Z131" s="140"/>
    </row>
    <row r="132">
      <c r="A132" s="140" t="str">
        <f>IFERROR(__xludf.DUMMYFUNCTION("""COMPUTED_VALUE"""),"VEE ONE")</f>
        <v>VEE ONE</v>
      </c>
      <c r="B132" s="140" t="str">
        <f>IFERROR(__xludf.DUMMYFUNCTION("""COMPUTED_VALUE"""),"BABE")</f>
        <v>BABE</v>
      </c>
      <c r="C132" s="140" t="str">
        <f>IFERROR(__xludf.DUMMYFUNCTION("""COMPUTED_VALUE"""),"030-18200")</f>
        <v>030-18200</v>
      </c>
      <c r="D132" s="140" t="str">
        <f>IFERROR(__xludf.DUMMYFUNCTION("""COMPUTED_VALUE"""),"CONJUNTO DE FREIO")</f>
        <v>CONJUNTO DE FREIO</v>
      </c>
      <c r="E132" s="140" t="str">
        <f>IFERROR(__xludf.DUMMYFUNCTION("""COMPUTED_VALUE"""),"571")</f>
        <v>571</v>
      </c>
      <c r="F132" s="140" t="str">
        <f>IFERROR(__xludf.DUMMYFUNCTION("""COMPUTED_VALUE"""),"032/2026")</f>
        <v>032/2026</v>
      </c>
      <c r="G132" s="140" t="str">
        <f>IFERROR(__xludf.DUMMYFUNCTION("""COMPUTED_VALUE"""),"22/09")</f>
        <v>22/09</v>
      </c>
      <c r="H132" s="140" t="str">
        <f>IFERROR(__xludf.DUMMYFUNCTION("""COMPUTED_VALUE"""),"22/09")</f>
        <v>22/09</v>
      </c>
      <c r="I132" s="140"/>
      <c r="J132" s="140" t="str">
        <f>IFERROR(__xludf.DUMMYFUNCTION("""COMPUTED_VALUE"""),"22/09")</f>
        <v>22/09</v>
      </c>
      <c r="K132" s="140" t="str">
        <f>IFERROR(__xludf.DUMMYFUNCTION("""COMPUTED_VALUE"""),"22/09")</f>
        <v>22/09</v>
      </c>
      <c r="L132" s="140" t="str">
        <f>IFERROR(__xludf.DUMMYFUNCTION("""COMPUTED_VALUE"""),"22/09")</f>
        <v>22/09</v>
      </c>
      <c r="M132" s="140" t="str">
        <f>IFERROR(__xludf.DUMMYFUNCTION("""COMPUTED_VALUE"""),"22/09")</f>
        <v>22/09</v>
      </c>
      <c r="N132" s="140" t="str">
        <f>IFERROR(__xludf.DUMMYFUNCTION("""COMPUTED_VALUE"""),"22/09")</f>
        <v>22/09</v>
      </c>
      <c r="O132" s="140" t="str">
        <f>IFERROR(__xludf.DUMMYFUNCTION("""COMPUTED_VALUE"""),"22/09")</f>
        <v>22/09</v>
      </c>
      <c r="P132" s="140" t="str">
        <f>IFERROR(__xludf.DUMMYFUNCTION("""COMPUTED_VALUE"""),"22/09")</f>
        <v>22/09</v>
      </c>
      <c r="Q132" s="140" t="str">
        <f>IFERROR(__xludf.DUMMYFUNCTION("""COMPUTED_VALUE"""),"22/09")</f>
        <v>22/09</v>
      </c>
      <c r="R132" s="140" t="str">
        <f>IFERROR(__xludf.DUMMYFUNCTION("""COMPUTED_VALUE"""),"29/09")</f>
        <v>29/09</v>
      </c>
      <c r="S132" s="140" t="str">
        <f>IFERROR(__xludf.DUMMYFUNCTION("""COMPUTED_VALUE"""),"29/09")</f>
        <v>29/09</v>
      </c>
      <c r="T132" s="140" t="str">
        <f>IFERROR(__xludf.DUMMYFUNCTION("""COMPUTED_VALUE"""),"29/09")</f>
        <v>29/09</v>
      </c>
      <c r="U132" s="140" t="str">
        <f>IFERROR(__xludf.DUMMYFUNCTION("""COMPUTED_VALUE"""),"RECEBIDO POR 2S BRUNO")</f>
        <v>RECEBIDO POR 2S BRUNO</v>
      </c>
      <c r="V132" s="140"/>
      <c r="W132" s="140"/>
      <c r="X132" s="140"/>
      <c r="Y132" s="140"/>
      <c r="Z132" s="140"/>
    </row>
    <row r="133">
      <c r="A133" s="140" t="str">
        <f>IFERROR(__xludf.DUMMYFUNCTION("""COMPUTED_VALUE"""),"VEE ONE")</f>
        <v>VEE ONE</v>
      </c>
      <c r="B133" s="140" t="str">
        <f>IFERROR(__xludf.DUMMYFUNCTION("""COMPUTED_VALUE"""),"BABR")</f>
        <v>BABR</v>
      </c>
      <c r="C133" s="140" t="str">
        <f>IFERROR(__xludf.DUMMYFUNCTION("""COMPUTED_VALUE"""),"9910592-2")</f>
        <v>9910592-2</v>
      </c>
      <c r="D133" s="140" t="str">
        <f>IFERROR(__xludf.DUMMYFUNCTION("""COMPUTED_VALUE"""),"ALTERNATOR ASSY")</f>
        <v>ALTERNATOR ASSY</v>
      </c>
      <c r="E133" s="140" t="str">
        <f>IFERROR(__xludf.DUMMYFUNCTION("""COMPUTED_VALUE"""),"A-180560")</f>
        <v>A-180560</v>
      </c>
      <c r="F133" s="140" t="str">
        <f>IFERROR(__xludf.DUMMYFUNCTION("""COMPUTED_VALUE"""),"029/2026")</f>
        <v>029/2026</v>
      </c>
      <c r="G133" s="140" t="str">
        <f>IFERROR(__xludf.DUMMYFUNCTION("""COMPUTED_VALUE"""),"23/06")</f>
        <v>23/06</v>
      </c>
      <c r="H133" s="140" t="str">
        <f>IFERROR(__xludf.DUMMYFUNCTION("""COMPUTED_VALUE"""),"05/08")</f>
        <v>05/08</v>
      </c>
      <c r="I133" s="140"/>
      <c r="J133" s="140" t="str">
        <f>IFERROR(__xludf.DUMMYFUNCTION("""COMPUTED_VALUE"""),"05/08")</f>
        <v>05/08</v>
      </c>
      <c r="K133" s="140" t="str">
        <f>IFERROR(__xludf.DUMMYFUNCTION("""COMPUTED_VALUE"""),"17/08")</f>
        <v>17/08</v>
      </c>
      <c r="L133" s="140" t="str">
        <f>IFERROR(__xludf.DUMMYFUNCTION("""COMPUTED_VALUE"""),"01/09")</f>
        <v>01/09</v>
      </c>
      <c r="M133" s="140" t="str">
        <f>IFERROR(__xludf.DUMMYFUNCTION("""COMPUTED_VALUE"""),"01/09")</f>
        <v>01/09</v>
      </c>
      <c r="N133" s="140" t="str">
        <f>IFERROR(__xludf.DUMMYFUNCTION("""COMPUTED_VALUE"""),"01/09")</f>
        <v>01/09</v>
      </c>
      <c r="O133" s="140" t="str">
        <f>IFERROR(__xludf.DUMMYFUNCTION("""COMPUTED_VALUE"""),"01/09")</f>
        <v>01/09</v>
      </c>
      <c r="P133" s="140" t="str">
        <f>IFERROR(__xludf.DUMMYFUNCTION("""COMPUTED_VALUE"""),"01/09")</f>
        <v>01/09</v>
      </c>
      <c r="Q133" s="140" t="str">
        <f>IFERROR(__xludf.DUMMYFUNCTION("""COMPUTED_VALUE"""),"01/09")</f>
        <v>01/09</v>
      </c>
      <c r="R133" s="140" t="str">
        <f>IFERROR(__xludf.DUMMYFUNCTION("""COMPUTED_VALUE"""),"01/09")</f>
        <v>01/09</v>
      </c>
      <c r="S133" s="140" t="str">
        <f>IFERROR(__xludf.DUMMYFUNCTION("""COMPUTED_VALUE"""),"01/09")</f>
        <v>01/09</v>
      </c>
      <c r="T133" s="140" t="str">
        <f>IFERROR(__xludf.DUMMYFUNCTION("""COMPUTED_VALUE"""),"20/10")</f>
        <v>20/10</v>
      </c>
      <c r="U133" s="140" t="str">
        <f>IFERROR(__xludf.DUMMYFUNCTION("""COMPUTED_VALUE"""),"RECEBIDO POR 3S KESIA")</f>
        <v>RECEBIDO POR 3S KESIA</v>
      </c>
      <c r="V133" s="140"/>
      <c r="W133" s="140"/>
      <c r="X133" s="140"/>
      <c r="Y133" s="140"/>
      <c r="Z133" s="140"/>
    </row>
    <row r="134">
      <c r="A134" s="140" t="str">
        <f>IFERROR(__xludf.DUMMYFUNCTION("""COMPUTED_VALUE"""),"VEE ONE")</f>
        <v>VEE ONE</v>
      </c>
      <c r="B134" s="140" t="str">
        <f>IFERROR(__xludf.DUMMYFUNCTION("""COMPUTED_VALUE"""),"BABR")</f>
        <v>BABR</v>
      </c>
      <c r="C134" s="140" t="str">
        <f>IFERROR(__xludf.DUMMYFUNCTION("""COMPUTED_VALUE"""),"9910586-4")</f>
        <v>9910586-4</v>
      </c>
      <c r="D134" s="140" t="str">
        <f>IFERROR(__xludf.DUMMYFUNCTION("""COMPUTED_VALUE"""),"CONJUNTO DE MOTOR E ATUADOR DE FLAP")</f>
        <v>CONJUNTO DE MOTOR E ATUADOR DE FLAP</v>
      </c>
      <c r="E134" s="140" t="str">
        <f>IFERROR(__xludf.DUMMYFUNCTION("""COMPUTED_VALUE"""),"1270")</f>
        <v>1270</v>
      </c>
      <c r="F134" s="140" t="str">
        <f>IFERROR(__xludf.DUMMYFUNCTION("""COMPUTED_VALUE"""),"027/2026")</f>
        <v>027/2026</v>
      </c>
      <c r="G134" s="140" t="str">
        <f>IFERROR(__xludf.DUMMYFUNCTION("""COMPUTED_VALUE"""),"20/06")</f>
        <v>20/06</v>
      </c>
      <c r="H134" s="140" t="str">
        <f>IFERROR(__xludf.DUMMYFUNCTION("""COMPUTED_VALUE"""),"07/08")</f>
        <v>07/08</v>
      </c>
      <c r="I134" s="140"/>
      <c r="J134" s="140" t="str">
        <f>IFERROR(__xludf.DUMMYFUNCTION("""COMPUTED_VALUE"""),"07/08")</f>
        <v>07/08</v>
      </c>
      <c r="K134" s="140" t="str">
        <f>IFERROR(__xludf.DUMMYFUNCTION("""COMPUTED_VALUE"""),"12/08")</f>
        <v>12/08</v>
      </c>
      <c r="L134" s="140" t="str">
        <f>IFERROR(__xludf.DUMMYFUNCTION("""COMPUTED_VALUE"""),"12/08")</f>
        <v>12/08</v>
      </c>
      <c r="M134" s="140" t="str">
        <f>IFERROR(__xludf.DUMMYFUNCTION("""COMPUTED_VALUE"""),"12/08")</f>
        <v>12/08</v>
      </c>
      <c r="N134" s="140" t="str">
        <f>IFERROR(__xludf.DUMMYFUNCTION("""COMPUTED_VALUE"""),"12/08")</f>
        <v>12/08</v>
      </c>
      <c r="O134" s="140" t="str">
        <f>IFERROR(__xludf.DUMMYFUNCTION("""COMPUTED_VALUE"""),"12/08")</f>
        <v>12/08</v>
      </c>
      <c r="P134" s="140" t="str">
        <f>IFERROR(__xludf.DUMMYFUNCTION("""COMPUTED_VALUE"""),"12/08")</f>
        <v>12/08</v>
      </c>
      <c r="Q134" s="140" t="str">
        <f>IFERROR(__xludf.DUMMYFUNCTION("""COMPUTED_VALUE"""),"12/08")</f>
        <v>12/08</v>
      </c>
      <c r="R134" s="140" t="str">
        <f>IFERROR(__xludf.DUMMYFUNCTION("""COMPUTED_VALUE"""),"12/08")</f>
        <v>12/08</v>
      </c>
      <c r="S134" s="140" t="str">
        <f>IFERROR(__xludf.DUMMYFUNCTION("""COMPUTED_VALUE"""),"12/08, 01/09")</f>
        <v>12/08, 01/09</v>
      </c>
      <c r="T134" s="140" t="str">
        <f>IFERROR(__xludf.DUMMYFUNCTION("""COMPUTED_VALUE"""),"20/10")</f>
        <v>20/10</v>
      </c>
      <c r="U134" s="140" t="str">
        <f>IFERROR(__xludf.DUMMYFUNCTION("""COMPUTED_VALUE"""),"RECEBIDO POR 3S KESIA")</f>
        <v>RECEBIDO POR 3S KESIA</v>
      </c>
      <c r="V134" s="140"/>
      <c r="W134" s="140"/>
      <c r="X134" s="140"/>
      <c r="Y134" s="140"/>
      <c r="Z134" s="140"/>
    </row>
    <row r="135">
      <c r="A135" s="140" t="str">
        <f>IFERROR(__xludf.DUMMYFUNCTION("""COMPUTED_VALUE"""),"VEE ONE")</f>
        <v>VEE ONE</v>
      </c>
      <c r="B135" s="140" t="str">
        <f>IFERROR(__xludf.DUMMYFUNCTION("""COMPUTED_VALUE"""),"BANT")</f>
        <v>BANT</v>
      </c>
      <c r="C135" s="140" t="str">
        <f>IFERROR(__xludf.DUMMYFUNCTION("""COMPUTED_VALUE"""),"066-03064-0005")</f>
        <v>066-03064-0005</v>
      </c>
      <c r="D135" s="140" t="str">
        <f>IFERROR(__xludf.DUMMYFUNCTION("""COMPUTED_VALUE"""),"ENCODING ALTIMETER")</f>
        <v>ENCODING ALTIMETER</v>
      </c>
      <c r="E135" s="140" t="str">
        <f>IFERROR(__xludf.DUMMYFUNCTION("""COMPUTED_VALUE"""),"35595")</f>
        <v>35595</v>
      </c>
      <c r="F135" s="140" t="str">
        <f>IFERROR(__xludf.DUMMYFUNCTION("""COMPUTED_VALUE"""),"015/2025")</f>
        <v>015/2025</v>
      </c>
      <c r="G135" s="140" t="str">
        <f>IFERROR(__xludf.DUMMYFUNCTION("""COMPUTED_VALUE"""),"28/07")</f>
        <v>28/07</v>
      </c>
      <c r="H135" s="140" t="str">
        <f>IFERROR(__xludf.DUMMYFUNCTION("""COMPUTED_VALUE"""),"30/01")</f>
        <v>30/01</v>
      </c>
      <c r="I135" s="140" t="str">
        <f>IFERROR(__xludf.DUMMYFUNCTION("""COMPUTED_VALUE"""),"CERTIFICADO ok")</f>
        <v>CERTIFICADO ok</v>
      </c>
      <c r="J135" s="140" t="str">
        <f>IFERROR(__xludf.DUMMYFUNCTION("""COMPUTED_VALUE"""),"21/05")</f>
        <v>21/05</v>
      </c>
      <c r="K135" s="140" t="str">
        <f>IFERROR(__xludf.DUMMYFUNCTION("""COMPUTED_VALUE"""),"*")</f>
        <v>*</v>
      </c>
      <c r="L135" s="140"/>
      <c r="M135" s="140"/>
      <c r="N135" s="140"/>
      <c r="O135" s="140"/>
      <c r="P135" s="140"/>
      <c r="Q135" s="140"/>
      <c r="R135" s="140"/>
      <c r="S135" s="140"/>
      <c r="T135" s="140"/>
      <c r="U135" s="140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35" s="140"/>
      <c r="W135" s="140"/>
      <c r="X135" s="140"/>
      <c r="Y135" s="140"/>
      <c r="Z135" s="140"/>
    </row>
    <row r="136">
      <c r="A136" s="140" t="str">
        <f>IFERROR(__xludf.DUMMYFUNCTION("""COMPUTED_VALUE"""),"VEE ONE")</f>
        <v>VEE ONE</v>
      </c>
      <c r="B136" s="140" t="str">
        <f>IFERROR(__xludf.DUMMYFUNCTION("""COMPUTED_VALUE"""),"BABE")</f>
        <v>BABE</v>
      </c>
      <c r="C136" s="140" t="str">
        <f>IFERROR(__xludf.DUMMYFUNCTION("""COMPUTED_VALUE"""),"066-01141-5101")</f>
        <v>066-01141-5101</v>
      </c>
      <c r="D136" s="140" t="str">
        <f>IFERROR(__xludf.DUMMYFUNCTION("""COMPUTED_VALUE"""),"RECEIVER-TRANSMITTER,RADIO (KT71)")</f>
        <v>RECEIVER-TRANSMITTER,RADIO (KT71)</v>
      </c>
      <c r="E136" s="140" t="str">
        <f>IFERROR(__xludf.DUMMYFUNCTION("""COMPUTED_VALUE"""),"4623")</f>
        <v>4623</v>
      </c>
      <c r="F136" s="140" t="str">
        <f>IFERROR(__xludf.DUMMYFUNCTION("""COMPUTED_VALUE"""),"001/2025")</f>
        <v>001/2025</v>
      </c>
      <c r="G136" s="140" t="str">
        <f>IFERROR(__xludf.DUMMYFUNCTION("""COMPUTED_VALUE"""),"26/02")</f>
        <v>26/02</v>
      </c>
      <c r="H136" s="140" t="str">
        <f>IFERROR(__xludf.DUMMYFUNCTION("""COMPUTED_VALUE"""),"06/03")</f>
        <v>06/03</v>
      </c>
      <c r="I136" s="140" t="str">
        <f>IFERROR(__xludf.DUMMYFUNCTION("""COMPUTED_VALUE"""),"orçamento 10")</f>
        <v>orçamento 10</v>
      </c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</row>
    <row r="137" hidden="1">
      <c r="A137" s="140" t="str">
        <f>IFERROR(__xludf.DUMMYFUNCTION("""COMPUTED_VALUE"""),"VEE ONE")</f>
        <v>VEE ONE</v>
      </c>
      <c r="B137" s="140" t="str">
        <f>IFERROR(__xludf.DUMMYFUNCTION("""COMPUTED_VALUE"""),"BABE")</f>
        <v>BABE</v>
      </c>
      <c r="C137" s="140" t="str">
        <f>IFERROR(__xludf.DUMMYFUNCTION("""COMPUTED_VALUE"""),"066-04035-1101")</f>
        <v>066-04035-1101</v>
      </c>
      <c r="D137" s="140" t="str">
        <f>IFERROR(__xludf.DUMMYFUNCTION("""COMPUTED_VALUE"""),"DISPLAY UNIT,RADAR")</f>
        <v>DISPLAY UNIT,RADAR</v>
      </c>
      <c r="E137" s="140" t="str">
        <f>IFERROR(__xludf.DUMMYFUNCTION("""COMPUTED_VALUE"""),"8706")</f>
        <v>8706</v>
      </c>
      <c r="F137" s="140" t="str">
        <f>IFERROR(__xludf.DUMMYFUNCTION("""COMPUTED_VALUE"""),"001/2025")</f>
        <v>001/2025</v>
      </c>
      <c r="G137" s="140" t="str">
        <f>IFERROR(__xludf.DUMMYFUNCTION("""COMPUTED_VALUE"""),"26/02")</f>
        <v>26/02</v>
      </c>
      <c r="H137" s="140" t="str">
        <f>IFERROR(__xludf.DUMMYFUNCTION("""COMPUTED_VALUE"""),"06/03")</f>
        <v>06/03</v>
      </c>
      <c r="I137" s="140" t="str">
        <f>IFERROR(__xludf.DUMMYFUNCTION("""COMPUTED_VALUE"""),"orçamento 10")</f>
        <v>orçamento 10</v>
      </c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 hidden="1">
      <c r="A138" s="140" t="str">
        <f>IFERROR(__xludf.DUMMYFUNCTION("""COMPUTED_VALUE"""),"VEE ONE")</f>
        <v>VEE ONE</v>
      </c>
      <c r="B138" s="140" t="str">
        <f>IFERROR(__xludf.DUMMYFUNCTION("""COMPUTED_VALUE"""),"BABE")</f>
        <v>BABE</v>
      </c>
      <c r="C138" s="140" t="str">
        <f>IFERROR(__xludf.DUMMYFUNCTION("""COMPUTED_VALUE"""),"1H101-4")</f>
        <v>1H101-4</v>
      </c>
      <c r="D138" s="140" t="str">
        <f>IFERROR(__xludf.DUMMYFUNCTION("""COMPUTED_VALUE"""),"FLOW CONTROL VALVE")</f>
        <v>FLOW CONTROL VALVE</v>
      </c>
      <c r="E138" s="140" t="str">
        <f>IFERROR(__xludf.DUMMYFUNCTION("""COMPUTED_VALUE"""),"9BT12")</f>
        <v>9BT12</v>
      </c>
      <c r="F138" s="140" t="str">
        <f>IFERROR(__xludf.DUMMYFUNCTION("""COMPUTED_VALUE"""),"001/2025")</f>
        <v>001/2025</v>
      </c>
      <c r="G138" s="140" t="str">
        <f>IFERROR(__xludf.DUMMYFUNCTION("""COMPUTED_VALUE"""),"26/02")</f>
        <v>26/02</v>
      </c>
      <c r="H138" s="140" t="str">
        <f>IFERROR(__xludf.DUMMYFUNCTION("""COMPUTED_VALUE"""),"06/03")</f>
        <v>06/03</v>
      </c>
      <c r="I138" s="140" t="str">
        <f>IFERROR(__xludf.DUMMYFUNCTION("""COMPUTED_VALUE"""),"orçamento 10")</f>
        <v>orçamento 10</v>
      </c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 hidden="1">
      <c r="A139" s="140" t="str">
        <f>IFERROR(__xludf.DUMMYFUNCTION("""COMPUTED_VALUE"""),"VEE ONE")</f>
        <v>VEE ONE</v>
      </c>
      <c r="B139" s="140" t="str">
        <f>IFERROR(__xludf.DUMMYFUNCTION("""COMPUTED_VALUE"""),"BABE")</f>
        <v>BABE</v>
      </c>
      <c r="C139" s="140" t="str">
        <f>IFERROR(__xludf.DUMMYFUNCTION("""COMPUTED_VALUE"""),"C661064-0237")</f>
        <v>C661064-0237</v>
      </c>
      <c r="D139" s="140" t="str">
        <f>IFERROR(__xludf.DUMMYFUNCTION("""COMPUTED_VALUE"""),"AIRSPEED INDICATOR")</f>
        <v>AIRSPEED INDICATOR</v>
      </c>
      <c r="E139" s="140" t="str">
        <f>IFERROR(__xludf.DUMMYFUNCTION("""COMPUTED_VALUE"""),"T25090")</f>
        <v>T25090</v>
      </c>
      <c r="F139" s="140" t="str">
        <f>IFERROR(__xludf.DUMMYFUNCTION("""COMPUTED_VALUE"""),"001/2025")</f>
        <v>001/2025</v>
      </c>
      <c r="G139" s="140" t="str">
        <f>IFERROR(__xludf.DUMMYFUNCTION("""COMPUTED_VALUE"""),"26/02")</f>
        <v>26/02</v>
      </c>
      <c r="H139" s="140" t="str">
        <f>IFERROR(__xludf.DUMMYFUNCTION("""COMPUTED_VALUE"""),"06/03")</f>
        <v>06/03</v>
      </c>
      <c r="I139" s="140" t="str">
        <f>IFERROR(__xludf.DUMMYFUNCTION("""COMPUTED_VALUE"""),"orçamento 10")</f>
        <v>orçamento 10</v>
      </c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 hidden="1">
      <c r="A140" s="140" t="str">
        <f>IFERROR(__xludf.DUMMYFUNCTION("""COMPUTED_VALUE"""),"VEE ONE")</f>
        <v>VEE ONE</v>
      </c>
      <c r="B140" s="140" t="str">
        <f>IFERROR(__xludf.DUMMYFUNCTION("""COMPUTED_VALUE"""),"BAPV")</f>
        <v>BAPV</v>
      </c>
      <c r="C140" s="140" t="str">
        <f>IFERROR(__xludf.DUMMYFUNCTION("""COMPUTED_VALUE"""),"161-12800")</f>
        <v>161-12800</v>
      </c>
      <c r="D140" s="140" t="str">
        <f>IFERROR(__xludf.DUMMYFUNCTION("""COMPUTED_VALUE"""),"WHEEL HALF ASSY")</f>
        <v>WHEEL HALF ASSY</v>
      </c>
      <c r="E140" s="140" t="str">
        <f>IFERROR(__xludf.DUMMYFUNCTION("""COMPUTED_VALUE"""),"13")</f>
        <v>13</v>
      </c>
      <c r="F140" s="140" t="str">
        <f>IFERROR(__xludf.DUMMYFUNCTION("""COMPUTED_VALUE"""),"007/2025")</f>
        <v>007/2025</v>
      </c>
      <c r="G140" s="140" t="str">
        <f>IFERROR(__xludf.DUMMYFUNCTION("""COMPUTED_VALUE"""),"08/09")</f>
        <v>08/09</v>
      </c>
      <c r="H140" s="140" t="str">
        <f>IFERROR(__xludf.DUMMYFUNCTION("""COMPUTED_VALUE"""),"09/09")</f>
        <v>09/09</v>
      </c>
      <c r="I140" s="140" t="str">
        <f>IFERROR(__xludf.DUMMYFUNCTION("""COMPUTED_VALUE"""),"15/10")</f>
        <v>15/10</v>
      </c>
      <c r="J140" s="140" t="str">
        <f>IFERROR(__xludf.DUMMYFUNCTION("""COMPUTED_VALUE"""),"12/12")</f>
        <v>12/12</v>
      </c>
      <c r="K140" s="140" t="str">
        <f>IFERROR(__xludf.DUMMYFUNCTION("""COMPUTED_VALUE"""),"16/12")</f>
        <v>16/12</v>
      </c>
      <c r="L140" s="140" t="str">
        <f>IFERROR(__xludf.DUMMYFUNCTION("""COMPUTED_VALUE"""),"16/12")</f>
        <v>16/12</v>
      </c>
      <c r="M140" s="140" t="str">
        <f>IFERROR(__xludf.DUMMYFUNCTION("""COMPUTED_VALUE"""),"16/12")</f>
        <v>16/12</v>
      </c>
      <c r="N140" s="140" t="str">
        <f>IFERROR(__xludf.DUMMYFUNCTION("""COMPUTED_VALUE"""),"16/12")</f>
        <v>16/12</v>
      </c>
      <c r="O140" s="140" t="str">
        <f>IFERROR(__xludf.DUMMYFUNCTION("""COMPUTED_VALUE"""),"16/12")</f>
        <v>16/12</v>
      </c>
      <c r="P140" s="140"/>
      <c r="Q140" s="140"/>
      <c r="R140" s="140"/>
      <c r="S140" s="140"/>
      <c r="T140" s="139"/>
      <c r="U140" s="140" t="str">
        <f>IFERROR(__xludf.DUMMYFUNCTION("""COMPUTED_VALUE"""),"OS estava atrelada")</f>
        <v>OS estava atrelada</v>
      </c>
      <c r="V140" s="140"/>
      <c r="W140" s="140"/>
      <c r="X140" s="140"/>
      <c r="Y140" s="140"/>
      <c r="Z140" s="140"/>
    </row>
    <row r="141" hidden="1">
      <c r="A141" s="140" t="str">
        <f>IFERROR(__xludf.DUMMYFUNCTION("""COMPUTED_VALUE"""),"VEE ONE")</f>
        <v>VEE ONE</v>
      </c>
      <c r="B141" s="140" t="str">
        <f>IFERROR(__xludf.DUMMYFUNCTION("""COMPUTED_VALUE"""),"BAPV")</f>
        <v>BAPV</v>
      </c>
      <c r="C141" s="140" t="str">
        <f>IFERROR(__xludf.DUMMYFUNCTION("""COMPUTED_VALUE"""),"162-11800")</f>
        <v>162-11800</v>
      </c>
      <c r="D141" s="140" t="str">
        <f>IFERROR(__xludf.DUMMYFUNCTION("""COMPUTED_VALUE"""),"WHEEL HALF ASSY")</f>
        <v>WHEEL HALF ASSY</v>
      </c>
      <c r="E141" s="140" t="str">
        <f>IFERROR(__xludf.DUMMYFUNCTION("""COMPUTED_VALUE"""),"A4H-024-03")</f>
        <v>A4H-024-03</v>
      </c>
      <c r="F141" s="140" t="str">
        <f>IFERROR(__xludf.DUMMYFUNCTION("""COMPUTED_VALUE"""),"007/2025")</f>
        <v>007/2025</v>
      </c>
      <c r="G141" s="140" t="str">
        <f>IFERROR(__xludf.DUMMYFUNCTION("""COMPUTED_VALUE"""),"08/09")</f>
        <v>08/09</v>
      </c>
      <c r="H141" s="140" t="str">
        <f>IFERROR(__xludf.DUMMYFUNCTION("""COMPUTED_VALUE"""),"09/09")</f>
        <v>09/09</v>
      </c>
      <c r="I141" s="140" t="str">
        <f>IFERROR(__xludf.DUMMYFUNCTION("""COMPUTED_VALUE"""),"15/10")</f>
        <v>15/10</v>
      </c>
      <c r="J141" s="140" t="str">
        <f>IFERROR(__xludf.DUMMYFUNCTION("""COMPUTED_VALUE"""),"12/12")</f>
        <v>12/12</v>
      </c>
      <c r="K141" s="140" t="str">
        <f>IFERROR(__xludf.DUMMYFUNCTION("""COMPUTED_VALUE"""),"16/12")</f>
        <v>16/12</v>
      </c>
      <c r="L141" s="140" t="str">
        <f>IFERROR(__xludf.DUMMYFUNCTION("""COMPUTED_VALUE"""),"16/12")</f>
        <v>16/12</v>
      </c>
      <c r="M141" s="140" t="str">
        <f>IFERROR(__xludf.DUMMYFUNCTION("""COMPUTED_VALUE"""),"16/12")</f>
        <v>16/12</v>
      </c>
      <c r="N141" s="140" t="str">
        <f>IFERROR(__xludf.DUMMYFUNCTION("""COMPUTED_VALUE"""),"16/12")</f>
        <v>16/12</v>
      </c>
      <c r="O141" s="140" t="str">
        <f>IFERROR(__xludf.DUMMYFUNCTION("""COMPUTED_VALUE"""),"16/12")</f>
        <v>16/12</v>
      </c>
      <c r="P141" s="140"/>
      <c r="Q141" s="140"/>
      <c r="R141" s="140"/>
      <c r="S141" s="140"/>
      <c r="T141" s="140"/>
      <c r="U141" s="140" t="str">
        <f>IFERROR(__xludf.DUMMYFUNCTION("""COMPUTED_VALUE"""),"Agd certificado corrigido da Vee One")</f>
        <v>Agd certificado corrigido da Vee One</v>
      </c>
      <c r="V141" s="140"/>
      <c r="W141" s="140"/>
      <c r="X141" s="140"/>
      <c r="Y141" s="140"/>
      <c r="Z141" s="140"/>
    </row>
    <row r="142" hidden="1">
      <c r="A142" s="140" t="str">
        <f>IFERROR(__xludf.DUMMYFUNCTION("""COMPUTED_VALUE"""),"VEE ONE")</f>
        <v>VEE ONE</v>
      </c>
      <c r="B142" s="140" t="str">
        <f>IFERROR(__xludf.DUMMYFUNCTION("""COMPUTED_VALUE"""),"BAMN")</f>
        <v>BAMN</v>
      </c>
      <c r="C142" s="140" t="str">
        <f>IFERROR(__xludf.DUMMYFUNCTION("""COMPUTED_VALUE"""),"76-207-12")</f>
        <v>76-207-12</v>
      </c>
      <c r="D142" s="140" t="str">
        <f>IFERROR(__xludf.DUMMYFUNCTION("""COMPUTED_VALUE"""),"SENSOR, FUEL LEVEL SHORT")</f>
        <v>SENSOR, FUEL LEVEL SHORT</v>
      </c>
      <c r="E142" s="140" t="str">
        <f>IFERROR(__xludf.DUMMYFUNCTION("""COMPUTED_VALUE"""),"VCF01030")</f>
        <v>VCF01030</v>
      </c>
      <c r="F142" s="140" t="str">
        <f>IFERROR(__xludf.DUMMYFUNCTION("""COMPUTED_VALUE"""),"026/2025")</f>
        <v>026/2025</v>
      </c>
      <c r="G142" s="140" t="str">
        <f>IFERROR(__xludf.DUMMYFUNCTION("""COMPUTED_VALUE"""),"25/09")</f>
        <v>25/09</v>
      </c>
      <c r="H142" s="140" t="str">
        <f>IFERROR(__xludf.DUMMYFUNCTION("""COMPUTED_VALUE"""),"13/10")</f>
        <v>13/10</v>
      </c>
      <c r="I142" s="140" t="str">
        <f>IFERROR(__xludf.DUMMYFUNCTION("""COMPUTED_VALUE"""),"Requisição")</f>
        <v>Requisição</v>
      </c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</row>
    <row r="143" hidden="1">
      <c r="A143" s="140" t="str">
        <f>IFERROR(__xludf.DUMMYFUNCTION("""COMPUTED_VALUE"""),"VEE ONE")</f>
        <v>VEE ONE</v>
      </c>
      <c r="B143" s="140" t="str">
        <f>IFERROR(__xludf.DUMMYFUNCTION("""COMPUTED_VALUE"""),"BABE")</f>
        <v>BABE</v>
      </c>
      <c r="C143" s="140" t="str">
        <f>IFERROR(__xludf.DUMMYFUNCTION("""COMPUTED_VALUE"""),"011-00878-10")</f>
        <v>011-00878-10</v>
      </c>
      <c r="D143" s="140" t="str">
        <f>IFERROR(__xludf.DUMMYFUNCTION("""COMPUTED_VALUE"""),"TORQUE SERVO GSA-81")</f>
        <v>TORQUE SERVO GSA-81</v>
      </c>
      <c r="E143" s="140" t="str">
        <f>IFERROR(__xludf.DUMMYFUNCTION("""COMPUTED_VALUE"""),"71306971")</f>
        <v>71306971</v>
      </c>
      <c r="F143" s="140" t="str">
        <f>IFERROR(__xludf.DUMMYFUNCTION("""COMPUTED_VALUE"""),"014/2025")</f>
        <v>014/2025</v>
      </c>
      <c r="G143" s="140" t="str">
        <f>IFERROR(__xludf.DUMMYFUNCTION("""COMPUTED_VALUE"""),"19/09")</f>
        <v>19/09</v>
      </c>
      <c r="H143" s="140" t="str">
        <f>IFERROR(__xludf.DUMMYFUNCTION("""COMPUTED_VALUE"""),"09/10")</f>
        <v>09/10</v>
      </c>
      <c r="I143" s="140" t="str">
        <f>IFERROR(__xludf.DUMMYFUNCTION("""COMPUTED_VALUE"""),"15/10, 09/12 e 26/03")</f>
        <v>15/10, 09/12 e 26/03</v>
      </c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 t="str">
        <f>IFERROR(__xludf.DUMMYFUNCTION("""COMPUTED_VALUE"""),"Item não cadastrado no SILOMS")</f>
        <v>Item não cadastrado no SILOMS</v>
      </c>
      <c r="V143" s="140"/>
      <c r="W143" s="140"/>
      <c r="X143" s="140"/>
      <c r="Y143" s="140"/>
      <c r="Z143" s="140"/>
    </row>
    <row r="144" hidden="1">
      <c r="A144" s="140" t="str">
        <f>IFERROR(__xludf.DUMMYFUNCTION("""COMPUTED_VALUE"""),"VEE ONE")</f>
        <v>VEE ONE</v>
      </c>
      <c r="B144" s="140" t="str">
        <f>IFERROR(__xludf.DUMMYFUNCTION("""COMPUTED_VALUE"""),"BAMN")</f>
        <v>BAMN</v>
      </c>
      <c r="C144" s="140" t="str">
        <f>IFERROR(__xludf.DUMMYFUNCTION("""COMPUTED_VALUE"""),"011-00883-20")</f>
        <v>011-00883-20</v>
      </c>
      <c r="D144" s="140" t="str">
        <f>IFERROR(__xludf.DUMMYFUNCTION("""COMPUTED_VALUE"""),"RADAR GWX 68 WEATHER")</f>
        <v>RADAR GWX 68 WEATHER</v>
      </c>
      <c r="E144" s="140" t="str">
        <f>IFERROR(__xludf.DUMMYFUNCTION("""COMPUTED_VALUE"""),"47203648")</f>
        <v>47203648</v>
      </c>
      <c r="F144" s="140" t="str">
        <f>IFERROR(__xludf.DUMMYFUNCTION("""COMPUTED_VALUE"""),"018/2025")</f>
        <v>018/2025</v>
      </c>
      <c r="G144" s="140" t="str">
        <f>IFERROR(__xludf.DUMMYFUNCTION("""COMPUTED_VALUE"""),"01/10")</f>
        <v>01/10</v>
      </c>
      <c r="H144" s="140" t="str">
        <f>IFERROR(__xludf.DUMMYFUNCTION("""COMPUTED_VALUE"""),"09/10")</f>
        <v>09/10</v>
      </c>
      <c r="I144" s="140" t="str">
        <f>IFERROR(__xludf.DUMMYFUNCTION("""COMPUTED_VALUE"""),"15/10, 09/12 e 26/03")</f>
        <v>15/10, 09/12 e 26/03</v>
      </c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 t="str">
        <f>IFERROR(__xludf.DUMMYFUNCTION("""COMPUTED_VALUE"""),"Agd termo corrigido da BAMN")</f>
        <v>Agd termo corrigido da BAMN</v>
      </c>
      <c r="V144" s="140"/>
      <c r="W144" s="140"/>
      <c r="X144" s="140"/>
      <c r="Y144" s="140"/>
      <c r="Z144" s="140"/>
    </row>
    <row r="145" hidden="1">
      <c r="A145" s="140" t="str">
        <f>IFERROR(__xludf.DUMMYFUNCTION("""COMPUTED_VALUE"""),"VEE ONE")</f>
        <v>VEE ONE</v>
      </c>
      <c r="B145" s="140" t="str">
        <f>IFERROR(__xludf.DUMMYFUNCTION("""COMPUTED_VALUE"""),"BAMN")</f>
        <v>BAMN</v>
      </c>
      <c r="C145" s="140" t="str">
        <f>IFERROR(__xludf.DUMMYFUNCTION("""COMPUTED_VALUE"""),"011-00883-20")</f>
        <v>011-00883-20</v>
      </c>
      <c r="D145" s="140" t="str">
        <f>IFERROR(__xludf.DUMMYFUNCTION("""COMPUTED_VALUE"""),"RADAR GWX 68 WEATHER")</f>
        <v>RADAR GWX 68 WEATHER</v>
      </c>
      <c r="E145" s="140" t="str">
        <f>IFERROR(__xludf.DUMMYFUNCTION("""COMPUTED_VALUE"""),"47202466")</f>
        <v>47202466</v>
      </c>
      <c r="F145" s="140" t="str">
        <f>IFERROR(__xludf.DUMMYFUNCTION("""COMPUTED_VALUE"""),"018/2025")</f>
        <v>018/2025</v>
      </c>
      <c r="G145" s="140" t="str">
        <f>IFERROR(__xludf.DUMMYFUNCTION("""COMPUTED_VALUE"""),"01/10")</f>
        <v>01/10</v>
      </c>
      <c r="H145" s="140" t="str">
        <f>IFERROR(__xludf.DUMMYFUNCTION("""COMPUTED_VALUE"""),"09/10")</f>
        <v>09/10</v>
      </c>
      <c r="I145" s="140" t="str">
        <f>IFERROR(__xludf.DUMMYFUNCTION("""COMPUTED_VALUE"""),"15/10, 09/12 e 26/03")</f>
        <v>15/10, 09/12 e 26/03</v>
      </c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 t="str">
        <f>IFERROR(__xludf.DUMMYFUNCTION("""COMPUTED_VALUE"""),"Agd termo corrigido da BAMN")</f>
        <v>Agd termo corrigido da BAMN</v>
      </c>
      <c r="V145" s="140"/>
      <c r="W145" s="140"/>
      <c r="X145" s="140"/>
      <c r="Y145" s="140"/>
      <c r="Z145" s="140"/>
    </row>
    <row r="146" hidden="1">
      <c r="A146" s="140" t="str">
        <f>IFERROR(__xludf.DUMMYFUNCTION("""COMPUTED_VALUE"""),"VEE ONE")</f>
        <v>VEE ONE</v>
      </c>
      <c r="B146" s="140" t="str">
        <f>IFERROR(__xludf.DUMMYFUNCTION("""COMPUTED_VALUE"""),"BAMN")</f>
        <v>BAMN</v>
      </c>
      <c r="C146" s="140" t="str">
        <f>IFERROR(__xludf.DUMMYFUNCTION("""COMPUTED_VALUE"""),"011-01105-01")</f>
        <v>011-01105-01</v>
      </c>
      <c r="D146" s="140" t="str">
        <f>IFERROR(__xludf.DUMMYFUNCTION("""COMPUTED_VALUE"""),"INTEGRATED AVIONICS  UNIT")</f>
        <v>INTEGRATED AVIONICS  UNIT</v>
      </c>
      <c r="E146" s="140" t="str">
        <f>IFERROR(__xludf.DUMMYFUNCTION("""COMPUTED_VALUE"""),"15W005529")</f>
        <v>15W005529</v>
      </c>
      <c r="F146" s="140" t="str">
        <f>IFERROR(__xludf.DUMMYFUNCTION("""COMPUTED_VALUE"""),"033/2025")</f>
        <v>033/2025</v>
      </c>
      <c r="G146" s="140" t="str">
        <f>IFERROR(__xludf.DUMMYFUNCTION("""COMPUTED_VALUE"""),"30/10")</f>
        <v>30/10</v>
      </c>
      <c r="H146" s="140" t="str">
        <f>IFERROR(__xludf.DUMMYFUNCTION("""COMPUTED_VALUE"""),"16/11")</f>
        <v>16/11</v>
      </c>
      <c r="I146" s="140" t="str">
        <f>IFERROR(__xludf.DUMMYFUNCTION("""COMPUTED_VALUE"""),"12/12 e 26/03")</f>
        <v>12/12 e 26/03</v>
      </c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 t="str">
        <f>IFERROR(__xludf.DUMMYFUNCTION("""COMPUTED_VALUE"""),"Exchange??? Foi proposto requisição pelo SO Rezende.")</f>
        <v>Exchange??? Foi proposto requisição pelo SO Rezende.</v>
      </c>
      <c r="V146" s="140"/>
      <c r="W146" s="140"/>
      <c r="X146" s="140"/>
      <c r="Y146" s="140"/>
      <c r="Z146" s="140"/>
    </row>
    <row r="147" hidden="1">
      <c r="A147" s="140" t="str">
        <f>IFERROR(__xludf.DUMMYFUNCTION("""COMPUTED_VALUE"""),"VEE ONE")</f>
        <v>VEE ONE</v>
      </c>
      <c r="B147" s="140" t="str">
        <f>IFERROR(__xludf.DUMMYFUNCTION("""COMPUTED_VALUE"""),"BABR")</f>
        <v>BABR</v>
      </c>
      <c r="C147" s="140" t="str">
        <f>IFERROR(__xludf.DUMMYFUNCTION("""COMPUTED_VALUE"""),"069-01033-0101")</f>
        <v>069-01033-0101</v>
      </c>
      <c r="D147" s="140" t="str">
        <f>IFERROR(__xludf.DUMMYFUNCTION("""COMPUTED_VALUE"""),"TRANSCEIVER")</f>
        <v>TRANSCEIVER</v>
      </c>
      <c r="E147" s="140" t="str">
        <f>IFERROR(__xludf.DUMMYFUNCTION("""COMPUTED_VALUE"""),"4288")</f>
        <v>4288</v>
      </c>
      <c r="F147" s="140" t="str">
        <f>IFERROR(__xludf.DUMMYFUNCTION("""COMPUTED_VALUE"""),"005/2025")</f>
        <v>005/2025</v>
      </c>
      <c r="G147" s="140" t="str">
        <f>IFERROR(__xludf.DUMMYFUNCTION("""COMPUTED_VALUE"""),"24/11")</f>
        <v>24/11</v>
      </c>
      <c r="H147" s="140" t="str">
        <f>IFERROR(__xludf.DUMMYFUNCTION("""COMPUTED_VALUE"""),"15/01")</f>
        <v>15/01</v>
      </c>
      <c r="I147" s="140" t="str">
        <f>IFERROR(__xludf.DUMMYFUNCTION("""COMPUTED_VALUE"""),"20/02 e 26/03")</f>
        <v>20/02 e 26/03</v>
      </c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</row>
    <row r="148">
      <c r="A148" s="140" t="str">
        <f>IFERROR(__xludf.DUMMYFUNCTION("""COMPUTED_VALUE"""),"VEE ONE")</f>
        <v>VEE ONE</v>
      </c>
      <c r="B148" s="140" t="str">
        <f>IFERROR(__xludf.DUMMYFUNCTION("""COMPUTED_VALUE"""),"BABR")</f>
        <v>BABR</v>
      </c>
      <c r="C148" s="140" t="str">
        <f>IFERROR(__xludf.DUMMYFUNCTION("""COMPUTED_VALUE"""),"C611008-0101")</f>
        <v>C611008-0101</v>
      </c>
      <c r="D148" s="140" t="str">
        <f>IFERROR(__xludf.DUMMYFUNCTION("""COMPUTED_VALUE"""),"ALTERNADOR CONTROL UNIT")</f>
        <v>ALTERNADOR CONTROL UNIT</v>
      </c>
      <c r="E148" s="140" t="str">
        <f>IFERROR(__xludf.DUMMYFUNCTION("""COMPUTED_VALUE"""),"LS0414")</f>
        <v>LS0414</v>
      </c>
      <c r="F148" s="140" t="str">
        <f>IFERROR(__xludf.DUMMYFUNCTION("""COMPUTED_VALUE"""),"006/2025")</f>
        <v>006/2025</v>
      </c>
      <c r="G148" s="140" t="str">
        <f>IFERROR(__xludf.DUMMYFUNCTION("""COMPUTED_VALUE"""),"28/11")</f>
        <v>28/11</v>
      </c>
      <c r="H148" s="140" t="str">
        <f>IFERROR(__xludf.DUMMYFUNCTION("""COMPUTED_VALUE"""),"15/01")</f>
        <v>15/01</v>
      </c>
      <c r="I148" s="140" t="str">
        <f>IFERROR(__xludf.DUMMYFUNCTION("""COMPUTED_VALUE"""),"20/02 e 26/03")</f>
        <v>20/02 e 26/03</v>
      </c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>
      <c r="A149" s="140" t="str">
        <f>IFERROR(__xludf.DUMMYFUNCTION("""COMPUTED_VALUE"""),"VEE ONE")</f>
        <v>VEE ONE</v>
      </c>
      <c r="B149" s="140" t="str">
        <f>IFERROR(__xludf.DUMMYFUNCTION("""COMPUTED_VALUE"""),"BABR")</f>
        <v>BABR</v>
      </c>
      <c r="C149" s="140" t="str">
        <f>IFERROR(__xludf.DUMMYFUNCTION("""COMPUTED_VALUE"""),"066-01141-5101")</f>
        <v>066-01141-5101</v>
      </c>
      <c r="D149" s="140" t="str">
        <f>IFERROR(__xludf.DUMMYFUNCTION("""COMPUTED_VALUE"""),"RECEIVER-TRANSMITTER,RADIO (KT71)")</f>
        <v>RECEIVER-TRANSMITTER,RADIO (KT71)</v>
      </c>
      <c r="E149" s="140" t="str">
        <f>IFERROR(__xludf.DUMMYFUNCTION("""COMPUTED_VALUE"""),"3861")</f>
        <v>3861</v>
      </c>
      <c r="F149" s="140" t="str">
        <f>IFERROR(__xludf.DUMMYFUNCTION("""COMPUTED_VALUE"""),"007/2025")</f>
        <v>007/2025</v>
      </c>
      <c r="G149" s="140" t="str">
        <f>IFERROR(__xludf.DUMMYFUNCTION("""COMPUTED_VALUE"""),"19/11")</f>
        <v>19/11</v>
      </c>
      <c r="H149" s="140" t="str">
        <f>IFERROR(__xludf.DUMMYFUNCTION("""COMPUTED_VALUE"""),"02/02")</f>
        <v>02/02</v>
      </c>
      <c r="I149" s="140" t="str">
        <f>IFERROR(__xludf.DUMMYFUNCTION("""COMPUTED_VALUE"""),"20/02 e 26/03")</f>
        <v>20/02 e 26/03</v>
      </c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>
      <c r="A150" s="140" t="str">
        <f>IFERROR(__xludf.DUMMYFUNCTION("""COMPUTED_VALUE"""),"VEE ONE")</f>
        <v>VEE ONE</v>
      </c>
      <c r="B150" s="140" t="str">
        <f>IFERROR(__xludf.DUMMYFUNCTION("""COMPUTED_VALUE"""),"BABE")</f>
        <v>BABE</v>
      </c>
      <c r="C150" s="140" t="str">
        <f>IFERROR(__xludf.DUMMYFUNCTION("""COMPUTED_VALUE"""),"453-5060")</f>
        <v>453-5060</v>
      </c>
      <c r="D150" s="140" t="str">
        <f>IFERROR(__xludf.DUMMYFUNCTION("""COMPUTED_VALUE"""),"TRANSMISSOR LOCALIZADOR DE EMERGÊNCIA")</f>
        <v>TRANSMISSOR LOCALIZADOR DE EMERGÊNCIA</v>
      </c>
      <c r="E150" s="140" t="str">
        <f>IFERROR(__xludf.DUMMYFUNCTION("""COMPUTED_VALUE"""),"06457")</f>
        <v>06457</v>
      </c>
      <c r="F150" s="140" t="str">
        <f>IFERROR(__xludf.DUMMYFUNCTION("""COMPUTED_VALUE"""),"006/2026")</f>
        <v>006/2026</v>
      </c>
      <c r="G150" s="140" t="str">
        <f>IFERROR(__xludf.DUMMYFUNCTION("""COMPUTED_VALUE"""),"04/03")</f>
        <v>04/03</v>
      </c>
      <c r="H150" s="140" t="str">
        <f>IFERROR(__xludf.DUMMYFUNCTION("""COMPUTED_VALUE"""),"04/03")</f>
        <v>04/03</v>
      </c>
      <c r="I150" s="140" t="str">
        <f>IFERROR(__xludf.DUMMYFUNCTION("""COMPUTED_VALUE"""),"05/03 e 26/03")</f>
        <v>05/03 e 26/03</v>
      </c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>
      <c r="A151" s="140" t="str">
        <f>IFERROR(__xludf.DUMMYFUNCTION("""COMPUTED_VALUE"""),"VEE ONE")</f>
        <v>VEE ONE</v>
      </c>
      <c r="B151" s="140" t="str">
        <f>IFERROR(__xludf.DUMMYFUNCTION("""COMPUTED_VALUE"""),"BABE")</f>
        <v>BABE</v>
      </c>
      <c r="C151" s="140" t="str">
        <f>IFERROR(__xludf.DUMMYFUNCTION("""COMPUTED_VALUE"""),"5934PAD-3")</f>
        <v>5934PAD-3</v>
      </c>
      <c r="D151" s="140" t="str">
        <f>IFERROR(__xludf.DUMMYFUNCTION("""COMPUTED_VALUE"""),"ALTIMETER")</f>
        <v>ALTIMETER</v>
      </c>
      <c r="E151" s="140" t="str">
        <f>IFERROR(__xludf.DUMMYFUNCTION("""COMPUTED_VALUE"""),"471591")</f>
        <v>471591</v>
      </c>
      <c r="F151" s="140" t="str">
        <f>IFERROR(__xludf.DUMMYFUNCTION("""COMPUTED_VALUE"""),"006/2026")</f>
        <v>006/2026</v>
      </c>
      <c r="G151" s="140" t="str">
        <f>IFERROR(__xludf.DUMMYFUNCTION("""COMPUTED_VALUE"""),"04/03")</f>
        <v>04/03</v>
      </c>
      <c r="H151" s="140" t="str">
        <f>IFERROR(__xludf.DUMMYFUNCTION("""COMPUTED_VALUE"""),"04/03")</f>
        <v>04/03</v>
      </c>
      <c r="I151" s="140" t="str">
        <f>IFERROR(__xludf.DUMMYFUNCTION("""COMPUTED_VALUE"""),"05/03 e 26/03")</f>
        <v>05/03 e 26/03</v>
      </c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 t="str">
        <f>IFERROR(__xludf.DUMMYFUNCTION("""COMPUTED_VALUE"""),"Segundo a empresa o PN correto é S3828-1.")</f>
        <v>Segundo a empresa o PN correto é S3828-1.</v>
      </c>
      <c r="V151" s="140"/>
      <c r="W151" s="140"/>
      <c r="X151" s="140"/>
      <c r="Y151" s="140"/>
      <c r="Z151" s="140"/>
    </row>
    <row r="152">
      <c r="A152" s="140" t="str">
        <f>IFERROR(__xludf.DUMMYFUNCTION("""COMPUTED_VALUE"""),"VEE ONE")</f>
        <v>VEE ONE</v>
      </c>
      <c r="B152" s="140" t="str">
        <f>IFERROR(__xludf.DUMMYFUNCTION("""COMPUTED_VALUE"""),"BAMN")</f>
        <v>BAMN</v>
      </c>
      <c r="C152" s="140" t="str">
        <f>IFERROR(__xludf.DUMMYFUNCTION("""COMPUTED_VALUE"""),"C163030-1001")</f>
        <v>C163030-1001</v>
      </c>
      <c r="D152" s="140" t="str">
        <f>IFERROR(__xludf.DUMMYFUNCTION("""COMPUTED_VALUE"""),"MAIN WHEEL BRAKE")</f>
        <v>MAIN WHEEL BRAKE</v>
      </c>
      <c r="E152" s="140" t="str">
        <f>IFERROR(__xludf.DUMMYFUNCTION("""COMPUTED_VALUE"""),"1882C")</f>
        <v>1882C</v>
      </c>
      <c r="F152" s="140" t="str">
        <f>IFERROR(__xludf.DUMMYFUNCTION("""COMPUTED_VALUE"""),"045/2026")</f>
        <v>045/2026</v>
      </c>
      <c r="G152" s="140" t="str">
        <f>IFERROR(__xludf.DUMMYFUNCTION("""COMPUTED_VALUE"""),"17/03")</f>
        <v>17/03</v>
      </c>
      <c r="H152" s="140" t="str">
        <f>IFERROR(__xludf.DUMMYFUNCTION("""COMPUTED_VALUE"""),"18/03")</f>
        <v>18/03</v>
      </c>
      <c r="I152" s="140" t="str">
        <f>IFERROR(__xludf.DUMMYFUNCTION("""COMPUTED_VALUE"""),"23/03")</f>
        <v>23/03</v>
      </c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</row>
    <row r="153">
      <c r="A153" s="140" t="str">
        <f>IFERROR(__xludf.DUMMYFUNCTION("""COMPUTED_VALUE"""),"VEE ONE")</f>
        <v>VEE ONE</v>
      </c>
      <c r="B153" s="140" t="str">
        <f>IFERROR(__xludf.DUMMYFUNCTION("""COMPUTED_VALUE"""),"BAMN")</f>
        <v>BAMN</v>
      </c>
      <c r="C153" s="140" t="str">
        <f>IFERROR(__xludf.DUMMYFUNCTION("""COMPUTED_VALUE"""),"030-18200")</f>
        <v>030-18200</v>
      </c>
      <c r="D153" s="140" t="str">
        <f>IFERROR(__xludf.DUMMYFUNCTION("""COMPUTED_VALUE"""),"CONJUNTO DE FREIO")</f>
        <v>CONJUNTO DE FREIO</v>
      </c>
      <c r="E153" s="140" t="str">
        <f>IFERROR(__xludf.DUMMYFUNCTION("""COMPUTED_VALUE"""),"016B")</f>
        <v>016B</v>
      </c>
      <c r="F153" s="140" t="str">
        <f>IFERROR(__xludf.DUMMYFUNCTION("""COMPUTED_VALUE"""),"045/2026")</f>
        <v>045/2026</v>
      </c>
      <c r="G153" s="140" t="str">
        <f>IFERROR(__xludf.DUMMYFUNCTION("""COMPUTED_VALUE"""),"17/03")</f>
        <v>17/03</v>
      </c>
      <c r="H153" s="140" t="str">
        <f>IFERROR(__xludf.DUMMYFUNCTION("""COMPUTED_VALUE"""),"18/03")</f>
        <v>18/03</v>
      </c>
      <c r="I153" s="140" t="str">
        <f>IFERROR(__xludf.DUMMYFUNCTION("""COMPUTED_VALUE"""),"23/03")</f>
        <v>23/03</v>
      </c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>
      <c r="A154" s="140" t="str">
        <f>IFERROR(__xludf.DUMMYFUNCTION("""COMPUTED_VALUE"""),"VEE ONE")</f>
        <v>VEE ONE</v>
      </c>
      <c r="B154" s="140" t="str">
        <f>IFERROR(__xludf.DUMMYFUNCTION("""COMPUTED_VALUE"""),"BABE")</f>
        <v>BABE</v>
      </c>
      <c r="C154" s="140" t="str">
        <f>IFERROR(__xludf.DUMMYFUNCTION("""COMPUTED_VALUE"""),"324843-W020")</f>
        <v>324843-W020</v>
      </c>
      <c r="D154" s="140" t="str">
        <f>IFERROR(__xludf.DUMMYFUNCTION("""COMPUTED_VALUE"""),"HEADSET-MICROPHONE")</f>
        <v>HEADSET-MICROPHONE</v>
      </c>
      <c r="E154" s="140" t="str">
        <f>IFERROR(__xludf.DUMMYFUNCTION("""COMPUTED_VALUE"""),"073200G90080045AE")</f>
        <v>073200G90080045AE</v>
      </c>
      <c r="F154" s="140" t="str">
        <f>IFERROR(__xludf.DUMMYFUNCTION("""COMPUTED_VALUE"""),"007/2026")</f>
        <v>007/2026</v>
      </c>
      <c r="G154" s="140" t="str">
        <f>IFERROR(__xludf.DUMMYFUNCTION("""COMPUTED_VALUE"""),"19/03")</f>
        <v>19/03</v>
      </c>
      <c r="H154" s="140" t="str">
        <f>IFERROR(__xludf.DUMMYFUNCTION("""COMPUTED_VALUE"""),"23/03")</f>
        <v>23/03</v>
      </c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>
      <c r="A155" s="140" t="str">
        <f>IFERROR(__xludf.DUMMYFUNCTION("""COMPUTED_VALUE"""),"VEE ONE")</f>
        <v>VEE ONE</v>
      </c>
      <c r="B155" s="140" t="str">
        <f>IFERROR(__xludf.DUMMYFUNCTION("""COMPUTED_VALUE"""),"BABE")</f>
        <v>BABE</v>
      </c>
      <c r="C155" s="140" t="str">
        <f>IFERROR(__xludf.DUMMYFUNCTION("""COMPUTED_VALUE"""),"324843-W020")</f>
        <v>324843-W020</v>
      </c>
      <c r="D155" s="140" t="str">
        <f>IFERROR(__xludf.DUMMYFUNCTION("""COMPUTED_VALUE"""),"HEADSET-MICROPHONE")</f>
        <v>HEADSET-MICROPHONE</v>
      </c>
      <c r="E155" s="140" t="str">
        <f>IFERROR(__xludf.DUMMYFUNCTION("""COMPUTED_VALUE"""),"073200G2170087AE")</f>
        <v>073200G2170087AE</v>
      </c>
      <c r="F155" s="140" t="str">
        <f>IFERROR(__xludf.DUMMYFUNCTION("""COMPUTED_VALUE"""),"007/2026")</f>
        <v>007/2026</v>
      </c>
      <c r="G155" s="140" t="str">
        <f>IFERROR(__xludf.DUMMYFUNCTION("""COMPUTED_VALUE"""),"19/03")</f>
        <v>19/03</v>
      </c>
      <c r="H155" s="140" t="str">
        <f>IFERROR(__xludf.DUMMYFUNCTION("""COMPUTED_VALUE"""),"23/03")</f>
        <v>23/03</v>
      </c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 t="str">
        <f>IFERROR(__xludf.DUMMYFUNCTION("""COMPUTED_VALUE"""),"SN correto 073200G02170087AE")</f>
        <v>SN correto 073200G02170087AE</v>
      </c>
      <c r="V155" s="140"/>
      <c r="W155" s="140"/>
      <c r="X155" s="140"/>
      <c r="Y155" s="140"/>
      <c r="Z155" s="140"/>
    </row>
    <row r="156">
      <c r="A156" s="140" t="str">
        <f>IFERROR(__xludf.DUMMYFUNCTION("""COMPUTED_VALUE"""),"VEE ONE")</f>
        <v>VEE ONE</v>
      </c>
      <c r="B156" s="140" t="str">
        <f>IFERROR(__xludf.DUMMYFUNCTION("""COMPUTED_VALUE"""),"BABE")</f>
        <v>BABE</v>
      </c>
      <c r="C156" s="140" t="str">
        <f>IFERROR(__xludf.DUMMYFUNCTION("""COMPUTED_VALUE"""),"324843-W020")</f>
        <v>324843-W020</v>
      </c>
      <c r="D156" s="140" t="str">
        <f>IFERROR(__xludf.DUMMYFUNCTION("""COMPUTED_VALUE"""),"HEADSET-MICROPHONE")</f>
        <v>HEADSET-MICROPHONE</v>
      </c>
      <c r="E156" s="140" t="str">
        <f>IFERROR(__xludf.DUMMYFUNCTION("""COMPUTED_VALUE"""),"073200G02170034AE")</f>
        <v>073200G02170034AE</v>
      </c>
      <c r="F156" s="140" t="str">
        <f>IFERROR(__xludf.DUMMYFUNCTION("""COMPUTED_VALUE"""),"007/2026")</f>
        <v>007/2026</v>
      </c>
      <c r="G156" s="140" t="str">
        <f>IFERROR(__xludf.DUMMYFUNCTION("""COMPUTED_VALUE"""),"19/03")</f>
        <v>19/03</v>
      </c>
      <c r="H156" s="140" t="str">
        <f>IFERROR(__xludf.DUMMYFUNCTION("""COMPUTED_VALUE"""),"23/03")</f>
        <v>23/03</v>
      </c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</row>
    <row r="157">
      <c r="A157" s="140" t="str">
        <f>IFERROR(__xludf.DUMMYFUNCTION("""COMPUTED_VALUE"""),"VEE ONE")</f>
        <v>VEE ONE</v>
      </c>
      <c r="B157" s="140" t="str">
        <f>IFERROR(__xludf.DUMMYFUNCTION("""COMPUTED_VALUE"""),"BAMN")</f>
        <v>BAMN</v>
      </c>
      <c r="C157" s="140" t="str">
        <f>IFERROR(__xludf.DUMMYFUNCTION("""COMPUTED_VALUE"""),"011-00916-10")</f>
        <v>011-00916-10</v>
      </c>
      <c r="D157" s="140" t="str">
        <f>IFERROR(__xludf.DUMMYFUNCTION("""COMPUTED_VALUE"""),"UNIDADE DE EXIBIÇÃO DE INFORMAÇÕES DE VOO")</f>
        <v>UNIDADE DE EXIBIÇÃO DE INFORMAÇÕES DE VOO</v>
      </c>
      <c r="E157" s="140" t="str">
        <f>IFERROR(__xludf.DUMMYFUNCTION("""COMPUTED_VALUE"""),"86818658")</f>
        <v>86818658</v>
      </c>
      <c r="F157" s="140" t="str">
        <f>IFERROR(__xludf.DUMMYFUNCTION("""COMPUTED_VALUE"""),"047/2026")</f>
        <v>047/2026</v>
      </c>
      <c r="G157" s="140" t="str">
        <f>IFERROR(__xludf.DUMMYFUNCTION("""COMPUTED_VALUE"""),"26/03")</f>
        <v>26/03</v>
      </c>
      <c r="H157" s="140" t="str">
        <f>IFERROR(__xludf.DUMMYFUNCTION("""COMPUTED_VALUE"""),"26/03")</f>
        <v>26/03</v>
      </c>
      <c r="I157" s="140" t="str">
        <f>IFERROR(__xludf.DUMMYFUNCTION("""COMPUTED_VALUE"""),"26/03")</f>
        <v>26/03</v>
      </c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>
      <c r="A158" s="140" t="str">
        <f>IFERROR(__xludf.DUMMYFUNCTION("""COMPUTED_VALUE"""),"VEE ONE")</f>
        <v>VEE ONE</v>
      </c>
      <c r="B158" s="140" t="str">
        <f>IFERROR(__xludf.DUMMYFUNCTION("""COMPUTED_VALUE"""),"BAMN")</f>
        <v>BAMN</v>
      </c>
      <c r="C158" s="140" t="str">
        <f>IFERROR(__xludf.DUMMYFUNCTION("""COMPUTED_VALUE"""),"011-00916-10")</f>
        <v>011-00916-10</v>
      </c>
      <c r="D158" s="140" t="str">
        <f>IFERROR(__xludf.DUMMYFUNCTION("""COMPUTED_VALUE"""),"UNIDADE DE EXIBIÇÃO DE INFORMAÇÕES DE VOO")</f>
        <v>UNIDADE DE EXIBIÇÃO DE INFORMAÇÕES DE VOO</v>
      </c>
      <c r="E158" s="140" t="str">
        <f>IFERROR(__xludf.DUMMYFUNCTION("""COMPUTED_VALUE"""),"86816488")</f>
        <v>86816488</v>
      </c>
      <c r="F158" s="140" t="str">
        <f>IFERROR(__xludf.DUMMYFUNCTION("""COMPUTED_VALUE"""),"047/2026")</f>
        <v>047/2026</v>
      </c>
      <c r="G158" s="140" t="str">
        <f>IFERROR(__xludf.DUMMYFUNCTION("""COMPUTED_VALUE"""),"26/03")</f>
        <v>26/03</v>
      </c>
      <c r="H158" s="140" t="str">
        <f>IFERROR(__xludf.DUMMYFUNCTION("""COMPUTED_VALUE"""),"26/03")</f>
        <v>26/03</v>
      </c>
      <c r="I158" s="140" t="str">
        <f>IFERROR(__xludf.DUMMYFUNCTION("""COMPUTED_VALUE"""),"26/03")</f>
        <v>26/03</v>
      </c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>
      <c r="A159" s="140" t="str">
        <f>IFERROR(__xludf.DUMMYFUNCTION("""COMPUTED_VALUE"""),"VEE ONE")</f>
        <v>VEE ONE</v>
      </c>
      <c r="B159" s="140" t="str">
        <f>IFERROR(__xludf.DUMMYFUNCTION("""COMPUTED_VALUE"""),"BABE")</f>
        <v>BABE</v>
      </c>
      <c r="C159" s="140" t="str">
        <f>IFERROR(__xludf.DUMMYFUNCTION("""COMPUTED_VALUE"""),"AD-4078-19")</f>
        <v>AD-4078-19</v>
      </c>
      <c r="D159" s="140" t="str">
        <f>IFERROR(__xludf.DUMMYFUNCTION("""COMPUTED_VALUE"""),"NICKEL CADMIUM BATTERY")</f>
        <v>NICKEL CADMIUM BATTERY</v>
      </c>
      <c r="E159" s="140" t="str">
        <f>IFERROR(__xludf.DUMMYFUNCTION("""COMPUTED_VALUE"""),"510087")</f>
        <v>510087</v>
      </c>
      <c r="F159" s="140" t="str">
        <f>IFERROR(__xludf.DUMMYFUNCTION("""COMPUTED_VALUE"""),"009/2026")</f>
        <v>009/2026</v>
      </c>
      <c r="G159" s="140" t="str">
        <f>IFERROR(__xludf.DUMMYFUNCTION("""COMPUTED_VALUE"""),"31/03")</f>
        <v>31/03</v>
      </c>
      <c r="H159" s="140" t="str">
        <f>IFERROR(__xludf.DUMMYFUNCTION("""COMPUTED_VALUE"""),"31/03")</f>
        <v>31/03</v>
      </c>
      <c r="I159" s="140" t="str">
        <f>IFERROR(__xludf.DUMMYFUNCTION("""COMPUTED_VALUE"""),"Requisição??")</f>
        <v>Requisição??</v>
      </c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>
      <c r="A160" s="140" t="str">
        <f>IFERROR(__xludf.DUMMYFUNCTION("""COMPUTED_VALUE"""),"VEE ONE")</f>
        <v>VEE ONE</v>
      </c>
      <c r="B160" s="140" t="str">
        <f>IFERROR(__xludf.DUMMYFUNCTION("""COMPUTED_VALUE"""),"BABE")</f>
        <v>BABE</v>
      </c>
      <c r="C160" s="140" t="str">
        <f>IFERROR(__xludf.DUMMYFUNCTION("""COMPUTED_VALUE"""),"011-01020-10")</f>
        <v>011-01020-10</v>
      </c>
      <c r="D160" s="140" t="str">
        <f>IFERROR(__xludf.DUMMYFUNCTION("""COMPUTED_VALUE"""),"AFCS MODE CONTROLLER GMC 710")</f>
        <v>AFCS MODE CONTROLLER GMC 710</v>
      </c>
      <c r="E160" s="140" t="str">
        <f>IFERROR(__xludf.DUMMYFUNCTION("""COMPUTED_VALUE"""),"22007425")</f>
        <v>22007425</v>
      </c>
      <c r="F160" s="140" t="str">
        <f>IFERROR(__xludf.DUMMYFUNCTION("""COMPUTED_VALUE"""),"010/2026")</f>
        <v>010/2026</v>
      </c>
      <c r="G160" s="140" t="str">
        <f>IFERROR(__xludf.DUMMYFUNCTION("""COMPUTED_VALUE"""),"06/04")</f>
        <v>06/04</v>
      </c>
      <c r="H160" s="140" t="str">
        <f>IFERROR(__xludf.DUMMYFUNCTION("""COMPUTED_VALUE"""),"06/04")</f>
        <v>06/04</v>
      </c>
      <c r="I160" s="140" t="str">
        <f>IFERROR(__xludf.DUMMYFUNCTION("""COMPUTED_VALUE"""),"06/04")</f>
        <v>06/04</v>
      </c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>
      <c r="A161" s="140" t="str">
        <f>IFERROR(__xludf.DUMMYFUNCTION("""COMPUTED_VALUE"""),"VEE ONE")</f>
        <v>VEE ONE</v>
      </c>
      <c r="B161" s="140" t="str">
        <f>IFERROR(__xludf.DUMMYFUNCTION("""COMPUTED_VALUE"""),"BABE")</f>
        <v>BABE</v>
      </c>
      <c r="C161" s="140" t="str">
        <f>IFERROR(__xludf.DUMMYFUNCTION("""COMPUTED_VALUE"""),"065-0042-03")</f>
        <v>065-0042-03</v>
      </c>
      <c r="D161" s="140" t="str">
        <f>IFERROR(__xludf.DUMMYFUNCTION("""COMPUTED_VALUE"""),"AUTOPILOT COMPUTER/FLIGHT DIRECTOT")</f>
        <v>AUTOPILOT COMPUTER/FLIGHT DIRECTOT</v>
      </c>
      <c r="E161" s="140" t="str">
        <f>IFERROR(__xludf.DUMMYFUNCTION("""COMPUTED_VALUE"""),"53450")</f>
        <v>53450</v>
      </c>
      <c r="F161" s="140" t="str">
        <f>IFERROR(__xludf.DUMMYFUNCTION("""COMPUTED_VALUE"""),"010/2026")</f>
        <v>010/2026</v>
      </c>
      <c r="G161" s="140" t="str">
        <f>IFERROR(__xludf.DUMMYFUNCTION("""COMPUTED_VALUE"""),"06/04")</f>
        <v>06/04</v>
      </c>
      <c r="H161" s="140" t="str">
        <f>IFERROR(__xludf.DUMMYFUNCTION("""COMPUTED_VALUE"""),"06/04")</f>
        <v>06/04</v>
      </c>
      <c r="I161" s="140" t="str">
        <f>IFERROR(__xludf.DUMMYFUNCTION("""COMPUTED_VALUE"""),"06/04")</f>
        <v>06/04</v>
      </c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>
      <c r="A162" s="140" t="str">
        <f>IFERROR(__xludf.DUMMYFUNCTION("""COMPUTED_VALUE"""),"VEE ONE")</f>
        <v>VEE ONE</v>
      </c>
      <c r="B162" s="140" t="str">
        <f>IFERROR(__xludf.DUMMYFUNCTION("""COMPUTED_VALUE"""),"BAMN")</f>
        <v>BAMN</v>
      </c>
      <c r="C162" s="140" t="str">
        <f>IFERROR(__xludf.DUMMYFUNCTION("""COMPUTED_VALUE"""),"161-12800")</f>
        <v>161-12800</v>
      </c>
      <c r="D162" s="140" t="str">
        <f>IFERROR(__xludf.DUMMYFUNCTION("""COMPUTED_VALUE"""),"WHEEL HALF ASSY")</f>
        <v>WHEEL HALF ASSY</v>
      </c>
      <c r="E162" s="140" t="str">
        <f>IFERROR(__xludf.DUMMYFUNCTION("""COMPUTED_VALUE"""),"4793")</f>
        <v>4793</v>
      </c>
      <c r="F162" s="140" t="str">
        <f>IFERROR(__xludf.DUMMYFUNCTION("""COMPUTED_VALUE"""),"061/2026")</f>
        <v>061/2026</v>
      </c>
      <c r="G162" s="140" t="str">
        <f>IFERROR(__xludf.DUMMYFUNCTION("""COMPUTED_VALUE"""),"07/05")</f>
        <v>07/05</v>
      </c>
      <c r="H162" s="140" t="str">
        <f>IFERROR(__xludf.DUMMYFUNCTION("""COMPUTED_VALUE"""),"08/05")</f>
        <v>08/05</v>
      </c>
      <c r="I162" s="140" t="str">
        <f>IFERROR(__xludf.DUMMYFUNCTION("""COMPUTED_VALUE"""),"SN diferente")</f>
        <v>SN diferente</v>
      </c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>
      <c r="A163" s="140" t="str">
        <f>IFERROR(__xludf.DUMMYFUNCTION("""COMPUTED_VALUE"""),"VEE ONE")</f>
        <v>VEE ONE</v>
      </c>
      <c r="B163" s="140" t="str">
        <f>IFERROR(__xludf.DUMMYFUNCTION("""COMPUTED_VALUE"""),"BAMN")</f>
        <v>BAMN</v>
      </c>
      <c r="C163" s="140" t="str">
        <f>IFERROR(__xludf.DUMMYFUNCTION("""COMPUTED_VALUE"""),"030-18200")</f>
        <v>030-18200</v>
      </c>
      <c r="D163" s="140" t="str">
        <f>IFERROR(__xludf.DUMMYFUNCTION("""COMPUTED_VALUE"""),"CONJUNTO DE FREIO")</f>
        <v>CONJUNTO DE FREIO</v>
      </c>
      <c r="E163" s="140" t="str">
        <f>IFERROR(__xludf.DUMMYFUNCTION("""COMPUTED_VALUE"""),"015A")</f>
        <v>015A</v>
      </c>
      <c r="F163" s="140" t="str">
        <f>IFERROR(__xludf.DUMMYFUNCTION("""COMPUTED_VALUE"""),"062/2026")</f>
        <v>062/2026</v>
      </c>
      <c r="G163" s="140" t="str">
        <f>IFERROR(__xludf.DUMMYFUNCTION("""COMPUTED_VALUE"""),"07/05")</f>
        <v>07/05</v>
      </c>
      <c r="H163" s="140" t="str">
        <f>IFERROR(__xludf.DUMMYFUNCTION("""COMPUTED_VALUE"""),"08/05")</f>
        <v>08/05</v>
      </c>
      <c r="I163" s="140" t="str">
        <f>IFERROR(__xludf.DUMMYFUNCTION("""COMPUTED_VALUE"""),"corrigir PN do certificado")</f>
        <v>corrigir PN do certificado</v>
      </c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>
      <c r="A164" s="140" t="str">
        <f>IFERROR(__xludf.DUMMYFUNCTION("""COMPUTED_VALUE"""),"VEE ONE")</f>
        <v>VEE ONE</v>
      </c>
      <c r="B164" s="140" t="str">
        <f>IFERROR(__xludf.DUMMYFUNCTION("""COMPUTED_VALUE"""),"BAMN")</f>
        <v>BAMN</v>
      </c>
      <c r="C164" s="140" t="str">
        <f>IFERROR(__xludf.DUMMYFUNCTION("""COMPUTED_VALUE"""),"030-18200")</f>
        <v>030-18200</v>
      </c>
      <c r="D164" s="140" t="str">
        <f>IFERROR(__xludf.DUMMYFUNCTION("""COMPUTED_VALUE"""),"CONJUNTO DE FREIO")</f>
        <v>CONJUNTO DE FREIO</v>
      </c>
      <c r="E164" s="140" t="str">
        <f>IFERROR(__xludf.DUMMYFUNCTION("""COMPUTED_VALUE"""),"327")</f>
        <v>327</v>
      </c>
      <c r="F164" s="140" t="str">
        <f>IFERROR(__xludf.DUMMYFUNCTION("""COMPUTED_VALUE"""),"062/2026")</f>
        <v>062/2026</v>
      </c>
      <c r="G164" s="140" t="str">
        <f>IFERROR(__xludf.DUMMYFUNCTION("""COMPUTED_VALUE"""),"07/05")</f>
        <v>07/05</v>
      </c>
      <c r="H164" s="140" t="str">
        <f>IFERROR(__xludf.DUMMYFUNCTION("""COMPUTED_VALUE"""),"08/05")</f>
        <v>08/05</v>
      </c>
      <c r="I164" s="140" t="str">
        <f>IFERROR(__xludf.DUMMYFUNCTION("""COMPUTED_VALUE"""),"corrigir PN do certificado")</f>
        <v>corrigir PN do certificado</v>
      </c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>
      <c r="A165" s="140" t="str">
        <f>IFERROR(__xludf.DUMMYFUNCTION("""COMPUTED_VALUE"""),"VEE ONE")</f>
        <v>VEE ONE</v>
      </c>
      <c r="B165" s="140" t="str">
        <f>IFERROR(__xludf.DUMMYFUNCTION("""COMPUTED_VALUE"""),"BAMN")</f>
        <v>BAMN</v>
      </c>
      <c r="C165" s="140" t="str">
        <f>IFERROR(__xludf.DUMMYFUNCTION("""COMPUTED_VALUE"""),"2682001-1")</f>
        <v>2682001-1</v>
      </c>
      <c r="D165" s="140" t="str">
        <f>IFERROR(__xludf.DUMMYFUNCTION("""COMPUTED_VALUE"""),"CILINDRO DE FREIO")</f>
        <v>CILINDRO DE FREIO</v>
      </c>
      <c r="E165" s="140" t="str">
        <f>IFERROR(__xludf.DUMMYFUNCTION("""COMPUTED_VALUE"""),"ATE3715")</f>
        <v>ATE3715</v>
      </c>
      <c r="F165" s="140" t="str">
        <f>IFERROR(__xludf.DUMMYFUNCTION("""COMPUTED_VALUE"""),"062/2026")</f>
        <v>062/2026</v>
      </c>
      <c r="G165" s="140" t="str">
        <f>IFERROR(__xludf.DUMMYFUNCTION("""COMPUTED_VALUE"""),"07/05")</f>
        <v>07/05</v>
      </c>
      <c r="H165" s="140" t="str">
        <f>IFERROR(__xludf.DUMMYFUNCTION("""COMPUTED_VALUE"""),"08/05")</f>
        <v>08/05</v>
      </c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>
      <c r="A166" s="140" t="str">
        <f>IFERROR(__xludf.DUMMYFUNCTION("""COMPUTED_VALUE"""),"VEE ONE")</f>
        <v>VEE ONE</v>
      </c>
      <c r="B166" s="140" t="str">
        <f>IFERROR(__xludf.DUMMYFUNCTION("""COMPUTED_VALUE"""),"BANT")</f>
        <v>BANT</v>
      </c>
      <c r="C166" s="140" t="str">
        <f>IFERROR(__xludf.DUMMYFUNCTION("""COMPUTED_VALUE"""),"066-3084-32")</f>
        <v>066-3084-32</v>
      </c>
      <c r="D166" s="140" t="str">
        <f>IFERROR(__xludf.DUMMYFUNCTION("""COMPUTED_VALUE"""),"IND RDR 200 IN")</f>
        <v>IND RDR 200 IN</v>
      </c>
      <c r="E166" s="140" t="str">
        <f>IFERROR(__xludf.DUMMYFUNCTION("""COMPUTED_VALUE"""),"20126")</f>
        <v>20126</v>
      </c>
      <c r="F166" s="140" t="str">
        <f>IFERROR(__xludf.DUMMYFUNCTION("""COMPUTED_VALUE"""),"020/2025")</f>
        <v>020/2025</v>
      </c>
      <c r="G166" s="140" t="str">
        <f>IFERROR(__xludf.DUMMYFUNCTION("""COMPUTED_VALUE"""),"06/08")</f>
        <v>06/08</v>
      </c>
      <c r="H166" s="140" t="str">
        <f>IFERROR(__xludf.DUMMYFUNCTION("""COMPUTED_VALUE"""),"30/01")</f>
        <v>30/01</v>
      </c>
      <c r="I166" s="140" t="str">
        <f>IFERROR(__xludf.DUMMYFUNCTION("""COMPUTED_VALUE"""),"CERTIFICADO")</f>
        <v>CERTIFICADO</v>
      </c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>
      <c r="A167" s="140" t="str">
        <f>IFERROR(__xludf.DUMMYFUNCTION("""COMPUTED_VALUE"""),"VEE ONE")</f>
        <v>VEE ONE</v>
      </c>
      <c r="B167" s="140" t="str">
        <f>IFERROR(__xludf.DUMMYFUNCTION("""COMPUTED_VALUE"""),"BANT")</f>
        <v>BANT</v>
      </c>
      <c r="C167" s="140" t="str">
        <f>IFERROR(__xludf.DUMMYFUNCTION("""COMPUTED_VALUE"""),"C661064-0237")</f>
        <v>C661064-0237</v>
      </c>
      <c r="D167" s="140" t="str">
        <f>IFERROR(__xludf.DUMMYFUNCTION("""COMPUTED_VALUE"""),"AIRSPEED INDICATOR")</f>
        <v>AIRSPEED INDICATOR</v>
      </c>
      <c r="E167" s="140" t="str">
        <f>IFERROR(__xludf.DUMMYFUNCTION("""COMPUTED_VALUE"""),"T23157")</f>
        <v>T23157</v>
      </c>
      <c r="F167" s="140" t="str">
        <f>IFERROR(__xludf.DUMMYFUNCTION("""COMPUTED_VALUE"""),"022/2025")</f>
        <v>022/2025</v>
      </c>
      <c r="G167" s="140" t="str">
        <f>IFERROR(__xludf.DUMMYFUNCTION("""COMPUTED_VALUE"""),"13/08")</f>
        <v>13/08</v>
      </c>
      <c r="H167" s="140" t="str">
        <f>IFERROR(__xludf.DUMMYFUNCTION("""COMPUTED_VALUE"""),"30/01")</f>
        <v>30/01</v>
      </c>
      <c r="I167" s="140" t="str">
        <f>IFERROR(__xludf.DUMMYFUNCTION("""COMPUTED_VALUE"""),"CERTIFICADO")</f>
        <v>CERTIFICADO</v>
      </c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>
      <c r="A168" s="140" t="str">
        <f>IFERROR(__xludf.DUMMYFUNCTION("""COMPUTED_VALUE"""),"VEE ONE")</f>
        <v>VEE ONE</v>
      </c>
      <c r="B168" s="140" t="str">
        <f>IFERROR(__xludf.DUMMYFUNCTION("""COMPUTED_VALUE"""),"BANT")</f>
        <v>BANT</v>
      </c>
      <c r="C168" s="140" t="str">
        <f>IFERROR(__xludf.DUMMYFUNCTION("""COMPUTED_VALUE"""),"2606013-1RX")</f>
        <v>2606013-1RX</v>
      </c>
      <c r="D168" s="140" t="str">
        <f>IFERROR(__xludf.DUMMYFUNCTION("""COMPUTED_VALUE"""),"INDICATOR-PERCENT RPM")</f>
        <v>INDICATOR-PERCENT RPM</v>
      </c>
      <c r="E168" s="140" t="str">
        <f>IFERROR(__xludf.DUMMYFUNCTION("""COMPUTED_VALUE"""),"203103")</f>
        <v>203103</v>
      </c>
      <c r="F168" s="140" t="str">
        <f>IFERROR(__xludf.DUMMYFUNCTION("""COMPUTED_VALUE"""),"026/2025")</f>
        <v>026/2025</v>
      </c>
      <c r="G168" s="140" t="str">
        <f>IFERROR(__xludf.DUMMYFUNCTION("""COMPUTED_VALUE"""),"02/08")</f>
        <v>02/08</v>
      </c>
      <c r="H168" s="140" t="str">
        <f>IFERROR(__xludf.DUMMYFUNCTION("""COMPUTED_VALUE"""),"30/01")</f>
        <v>30/01</v>
      </c>
      <c r="I168" s="140" t="str">
        <f>IFERROR(__xludf.DUMMYFUNCTION("""COMPUTED_VALUE"""),"CERTIFICADO e colocar SN no termo")</f>
        <v>CERTIFICADO e colocar SN no termo</v>
      </c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>
      <c r="A169" s="140" t="str">
        <f>IFERROR(__xludf.DUMMYFUNCTION("""COMPUTED_VALUE"""),"VEE ONE")</f>
        <v>VEE ONE</v>
      </c>
      <c r="B169" s="140" t="str">
        <f>IFERROR(__xludf.DUMMYFUNCTION("""COMPUTED_VALUE"""),"BANT")</f>
        <v>BANT</v>
      </c>
      <c r="C169" s="140" t="str">
        <f>IFERROR(__xludf.DUMMYFUNCTION("""COMPUTED_VALUE"""),"066-04035-1101")</f>
        <v>066-04035-1101</v>
      </c>
      <c r="D169" s="140" t="str">
        <f>IFERROR(__xludf.DUMMYFUNCTION("""COMPUTED_VALUE"""),"DISPLAY UNIT,RADAR")</f>
        <v>DISPLAY UNIT,RADAR</v>
      </c>
      <c r="E169" s="140" t="str">
        <f>IFERROR(__xludf.DUMMYFUNCTION("""COMPUTED_VALUE"""),"KMD540-10071")</f>
        <v>KMD540-10071</v>
      </c>
      <c r="F169" s="140" t="str">
        <f>IFERROR(__xludf.DUMMYFUNCTION("""COMPUTED_VALUE"""),"026/2025")</f>
        <v>026/2025</v>
      </c>
      <c r="G169" s="140" t="str">
        <f>IFERROR(__xludf.DUMMYFUNCTION("""COMPUTED_VALUE"""),"02/08")</f>
        <v>02/08</v>
      </c>
      <c r="H169" s="140" t="str">
        <f>IFERROR(__xludf.DUMMYFUNCTION("""COMPUTED_VALUE"""),"30/01")</f>
        <v>30/01</v>
      </c>
      <c r="I169" s="140" t="str">
        <f>IFERROR(__xludf.DUMMYFUNCTION("""COMPUTED_VALUE"""),"CERTIFICADO e colocar SN no termo")</f>
        <v>CERTIFICADO e colocar SN no termo</v>
      </c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>
      <c r="A170" s="140" t="str">
        <f>IFERROR(__xludf.DUMMYFUNCTION("""COMPUTED_VALUE"""),"VEE ONE")</f>
        <v>VEE ONE</v>
      </c>
      <c r="B170" s="140" t="str">
        <f>IFERROR(__xludf.DUMMYFUNCTION("""COMPUTED_VALUE"""),"BANT")</f>
        <v>BANT</v>
      </c>
      <c r="C170" s="140" t="str">
        <f>IFERROR(__xludf.DUMMYFUNCTION("""COMPUTED_VALUE"""),"540-1407-4")</f>
        <v>540-1407-4</v>
      </c>
      <c r="D170" s="140" t="str">
        <f>IFERROR(__xludf.DUMMYFUNCTION("""COMPUTED_VALUE""")," VALVE,BLEED,TURBINEENGINE")</f>
        <v> VALVE,BLEED,TURBINEENGINE</v>
      </c>
      <c r="E170" s="140" t="str">
        <f>IFERROR(__xludf.DUMMYFUNCTION("""COMPUTED_VALUE"""),"5385")</f>
        <v>5385</v>
      </c>
      <c r="F170" s="140" t="str">
        <f>IFERROR(__xludf.DUMMYFUNCTION("""COMPUTED_VALUE"""),"027/2025")</f>
        <v>027/2025</v>
      </c>
      <c r="G170" s="140" t="str">
        <f>IFERROR(__xludf.DUMMYFUNCTION("""COMPUTED_VALUE"""),"10/09")</f>
        <v>10/09</v>
      </c>
      <c r="H170" s="140" t="str">
        <f>IFERROR(__xludf.DUMMYFUNCTION("""COMPUTED_VALUE"""),"30/01")</f>
        <v>30/01</v>
      </c>
      <c r="I170" s="140" t="str">
        <f>IFERROR(__xludf.DUMMYFUNCTION("""COMPUTED_VALUE"""),"CERTIFICADO ok")</f>
        <v>CERTIFICADO ok</v>
      </c>
      <c r="J170" s="140" t="str">
        <f>IFERROR(__xludf.DUMMYFUNCTION("""COMPUTED_VALUE"""),"21/05")</f>
        <v>21/05</v>
      </c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>
      <c r="A171" s="140" t="str">
        <f>IFERROR(__xludf.DUMMYFUNCTION("""COMPUTED_VALUE"""),"VEE ONE")</f>
        <v>VEE ONE</v>
      </c>
      <c r="B171" s="140" t="str">
        <f>IFERROR(__xludf.DUMMYFUNCTION("""COMPUTED_VALUE"""),"BANT")</f>
        <v>BANT</v>
      </c>
      <c r="C171" s="140" t="str">
        <f>IFERROR(__xludf.DUMMYFUNCTION("""COMPUTED_VALUE"""),"EA-5175-52-CES")</f>
        <v>EA-5175-52-CES</v>
      </c>
      <c r="D171" s="140" t="str">
        <f>IFERROR(__xludf.DUMMYFUNCTION("""COMPUTED_VALUE"""),"AIRSPEED INDICATOR")</f>
        <v>AIRSPEED INDICATOR</v>
      </c>
      <c r="E171" s="140" t="str">
        <f>IFERROR(__xludf.DUMMYFUNCTION("""COMPUTED_VALUE"""),"T35197")</f>
        <v>T35197</v>
      </c>
      <c r="F171" s="140" t="str">
        <f>IFERROR(__xludf.DUMMYFUNCTION("""COMPUTED_VALUE"""),"033/2025")</f>
        <v>033/2025</v>
      </c>
      <c r="G171" s="140" t="str">
        <f>IFERROR(__xludf.DUMMYFUNCTION("""COMPUTED_VALUE"""),"14/10")</f>
        <v>14/10</v>
      </c>
      <c r="H171" s="140" t="str">
        <f>IFERROR(__xludf.DUMMYFUNCTION("""COMPUTED_VALUE"""),"30/01")</f>
        <v>30/01</v>
      </c>
      <c r="I171" s="140" t="str">
        <f>IFERROR(__xludf.DUMMYFUNCTION("""COMPUTED_VALUE"""),"CERTIFICADO")</f>
        <v>CERTIFICADO</v>
      </c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>
      <c r="A172" s="140" t="str">
        <f>IFERROR(__xludf.DUMMYFUNCTION("""COMPUTED_VALUE"""),"VEE ONE")</f>
        <v>VEE ONE</v>
      </c>
      <c r="B172" s="140" t="str">
        <f>IFERROR(__xludf.DUMMYFUNCTION("""COMPUTED_VALUE"""),"BANT")</f>
        <v>BANT</v>
      </c>
      <c r="C172" s="140" t="str">
        <f>IFERROR(__xludf.DUMMYFUNCTION("""COMPUTED_VALUE"""),"069-01034-0102")</f>
        <v>069-01034-0102</v>
      </c>
      <c r="D172" s="140" t="str">
        <f>IFERROR(__xludf.DUMMYFUNCTION("""COMPUTED_VALUE"""),"NAVIGATION SET,SATELLITE SIGNALS KLN-94")</f>
        <v>NAVIGATION SET,SATELLITE SIGNALS KLN-94</v>
      </c>
      <c r="E172" s="140" t="str">
        <f>IFERROR(__xludf.DUMMYFUNCTION("""COMPUTED_VALUE"""),"21107")</f>
        <v>21107</v>
      </c>
      <c r="F172" s="140" t="str">
        <f>IFERROR(__xludf.DUMMYFUNCTION("""COMPUTED_VALUE"""),"037/2025")</f>
        <v>037/2025</v>
      </c>
      <c r="G172" s="140" t="str">
        <f>IFERROR(__xludf.DUMMYFUNCTION("""COMPUTED_VALUE"""),"04/12")</f>
        <v>04/12</v>
      </c>
      <c r="H172" s="140" t="str">
        <f>IFERROR(__xludf.DUMMYFUNCTION("""COMPUTED_VALUE"""),"06/02")</f>
        <v>06/02</v>
      </c>
      <c r="I172" s="140" t="str">
        <f>IFERROR(__xludf.DUMMYFUNCTION("""COMPUTED_VALUE"""),"CERTIFICADO")</f>
        <v>CERTIFICADO</v>
      </c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>
      <c r="A173" s="140" t="str">
        <f>IFERROR(__xludf.DUMMYFUNCTION("""COMPUTED_VALUE"""),"VEE ONE")</f>
        <v>VEE ONE</v>
      </c>
      <c r="B173" s="140" t="str">
        <f>IFERROR(__xludf.DUMMYFUNCTION("""COMPUTED_VALUE"""),"BACG")</f>
        <v>BACG</v>
      </c>
      <c r="C173" s="140" t="str">
        <f>IFERROR(__xludf.DUMMYFUNCTION("""COMPUTED_VALUE"""),"2682001-1")</f>
        <v>2682001-1</v>
      </c>
      <c r="D173" s="140" t="str">
        <f>IFERROR(__xludf.DUMMYFUNCTION("""COMPUTED_VALUE"""),"CILINDRO DE FREIO")</f>
        <v>CILINDRO DE FREIO</v>
      </c>
      <c r="E173" s="140" t="str">
        <f>IFERROR(__xludf.DUMMYFUNCTION("""COMPUTED_VALUE"""),"*")</f>
        <v>*</v>
      </c>
      <c r="F173" s="140" t="str">
        <f>IFERROR(__xludf.DUMMYFUNCTION("""COMPUTED_VALUE"""),"005/2026")</f>
        <v>005/2026</v>
      </c>
      <c r="G173" s="140" t="str">
        <f>IFERROR(__xludf.DUMMYFUNCTION("""COMPUTED_VALUE"""),"27/05")</f>
        <v>27/05</v>
      </c>
      <c r="H173" s="140" t="str">
        <f>IFERROR(__xludf.DUMMYFUNCTION("""COMPUTED_VALUE"""),"03/06")</f>
        <v>03/06</v>
      </c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 t="str">
        <f>IFERROR(__xludf.DUMMYFUNCTION("""COMPUTED_VALUE"""),"Solicitado SN")</f>
        <v>Solicitado SN</v>
      </c>
      <c r="V173" s="140"/>
      <c r="W173" s="140"/>
      <c r="X173" s="140"/>
      <c r="Y173" s="140"/>
      <c r="Z173" s="140"/>
    </row>
    <row r="174">
      <c r="A174" s="140" t="str">
        <f>IFERROR(__xludf.DUMMYFUNCTION("""COMPUTED_VALUE"""),"VEE ONE")</f>
        <v>VEE ONE</v>
      </c>
      <c r="B174" s="140" t="str">
        <f>IFERROR(__xludf.DUMMYFUNCTION("""COMPUTED_VALUE"""),"BABR")</f>
        <v>BABR</v>
      </c>
      <c r="C174" s="140" t="str">
        <f>IFERROR(__xludf.DUMMYFUNCTION("""COMPUTED_VALUE"""),"2618510-10")</f>
        <v>2618510-10</v>
      </c>
      <c r="D174" s="140" t="str">
        <f>IFERROR(__xludf.DUMMYFUNCTION("""COMPUTED_VALUE"""),"ALTERNATOR CONTROL UNIT ASSY")</f>
        <v>ALTERNATOR CONTROL UNIT ASSY</v>
      </c>
      <c r="E174" s="140" t="str">
        <f>IFERROR(__xludf.DUMMYFUNCTION("""COMPUTED_VALUE"""),"3174")</f>
        <v>3174</v>
      </c>
      <c r="F174" s="140" t="str">
        <f>IFERROR(__xludf.DUMMYFUNCTION("""COMPUTED_VALUE"""),"021/2026")</f>
        <v>021/2026</v>
      </c>
      <c r="G174" s="140" t="str">
        <f>IFERROR(__xludf.DUMMYFUNCTION("""COMPUTED_VALUE"""),"27/05")</f>
        <v>27/05</v>
      </c>
      <c r="H174" s="140" t="str">
        <f>IFERROR(__xludf.DUMMYFUNCTION("""COMPUTED_VALUE"""),"08/06")</f>
        <v>08/06</v>
      </c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 t="str">
        <f>IFERROR(__xludf.DUMMYFUNCTION("""COMPUTED_VALUE"""),"AGD RESPOSTA DO E-MAIL ENVIADO P/ V1  NO DIA 16/06/2026 PELO TEN WALLACE ")</f>
        <v>AGD RESPOSTA DO E-MAIL ENVIADO P/ V1  NO DIA 16/06/2026 PELO TEN WALLACE </v>
      </c>
      <c r="V174" s="140"/>
      <c r="W174" s="140"/>
      <c r="X174" s="140"/>
      <c r="Y174" s="140"/>
      <c r="Z174" s="140"/>
    </row>
    <row r="175">
      <c r="A175" s="140" t="str">
        <f>IFERROR(__xludf.DUMMYFUNCTION("""COMPUTED_VALUE"""),"VEE ONE")</f>
        <v>VEE ONE</v>
      </c>
      <c r="B175" s="140" t="str">
        <f>IFERROR(__xludf.DUMMYFUNCTION("""COMPUTED_VALUE"""),"BAMN")</f>
        <v>BAMN</v>
      </c>
      <c r="C175" s="140" t="str">
        <f>IFERROR(__xludf.DUMMYFUNCTION("""COMPUTED_VALUE"""),"ASG12000-2")</f>
        <v>ASG12000-2</v>
      </c>
      <c r="D175" s="140" t="str">
        <f>IFERROR(__xludf.DUMMYFUNCTION("""COMPUTED_VALUE"""),"ALTERNADOR")</f>
        <v>ALTERNADOR</v>
      </c>
      <c r="E175" s="140" t="str">
        <f>IFERROR(__xludf.DUMMYFUNCTION("""COMPUTED_VALUE"""),"K010158A")</f>
        <v>K010158A</v>
      </c>
      <c r="F175" s="140" t="str">
        <f>IFERROR(__xludf.DUMMYFUNCTION("""COMPUTED_VALUE"""),"084/2026")</f>
        <v>084/2026</v>
      </c>
      <c r="G175" s="140" t="str">
        <f>IFERROR(__xludf.DUMMYFUNCTION("""COMPUTED_VALUE"""),"30/07")</f>
        <v>30/07</v>
      </c>
      <c r="H175" s="140" t="str">
        <f>IFERROR(__xludf.DUMMYFUNCTION("""COMPUTED_VALUE"""),"30/07")</f>
        <v>30/07</v>
      </c>
      <c r="I175" s="140" t="str">
        <f>IFERROR(__xludf.DUMMYFUNCTION("""COMPUTED_VALUE"""),"consultado exchange em 03/08")</f>
        <v>consultado exchange em 03/08</v>
      </c>
      <c r="J175" s="140" t="str">
        <f>IFERROR(__xludf.DUMMYFUNCTION("""COMPUTED_VALUE"""),"03/08")</f>
        <v>03/08</v>
      </c>
      <c r="K175" s="140" t="str">
        <f>IFERROR(__xludf.DUMMYFUNCTION("""COMPUTED_VALUE"""),"02/09")</f>
        <v>02/09</v>
      </c>
      <c r="L175" s="140" t="str">
        <f>IFERROR(__xludf.DUMMYFUNCTION("""COMPUTED_VALUE"""),"02/09")</f>
        <v>02/09</v>
      </c>
      <c r="M175" s="140" t="str">
        <f>IFERROR(__xludf.DUMMYFUNCTION("""COMPUTED_VALUE"""),"05/10")</f>
        <v>05/10</v>
      </c>
      <c r="N175" s="140" t="str">
        <f>IFERROR(__xludf.DUMMYFUNCTION("""COMPUTED_VALUE"""),"05/10")</f>
        <v>05/10</v>
      </c>
      <c r="O175" s="140" t="str">
        <f>IFERROR(__xludf.DUMMYFUNCTION("""COMPUTED_VALUE"""),"05/10")</f>
        <v>05/10</v>
      </c>
      <c r="P175" s="140" t="str">
        <f>IFERROR(__xludf.DUMMYFUNCTION("""COMPUTED_VALUE"""),"05/10")</f>
        <v>05/10</v>
      </c>
      <c r="Q175" s="140" t="str">
        <f>IFERROR(__xludf.DUMMYFUNCTION("""COMPUTED_VALUE"""),"05/10")</f>
        <v>05/10</v>
      </c>
      <c r="R175" s="140" t="str">
        <f>IFERROR(__xludf.DUMMYFUNCTION("""COMPUTED_VALUE"""),"05/10")</f>
        <v>05/10</v>
      </c>
      <c r="S175" s="140" t="str">
        <f>IFERROR(__xludf.DUMMYFUNCTION("""COMPUTED_VALUE"""),"05/10")</f>
        <v>05/10</v>
      </c>
      <c r="T175" s="140"/>
      <c r="U175" s="140"/>
      <c r="V175" s="140"/>
      <c r="W175" s="140"/>
      <c r="X175" s="140"/>
      <c r="Y175" s="140"/>
      <c r="Z175" s="140"/>
    </row>
    <row r="176">
      <c r="A176" s="140" t="str">
        <f>IFERROR(__xludf.DUMMYFUNCTION("""COMPUTED_VALUE"""),"VEE ONE")</f>
        <v>VEE ONE</v>
      </c>
      <c r="B176" s="140" t="str">
        <f>IFERROR(__xludf.DUMMYFUNCTION("""COMPUTED_VALUE"""),"BAMN")</f>
        <v>BAMN</v>
      </c>
      <c r="C176" s="140" t="str">
        <f>IFERROR(__xludf.DUMMYFUNCTION("""COMPUTED_VALUE"""),"011-00883-20")</f>
        <v>011-00883-20</v>
      </c>
      <c r="D176" s="140" t="str">
        <f>IFERROR(__xludf.DUMMYFUNCTION("""COMPUTED_VALUE"""),"RADAR GWX 68 WEATHER")</f>
        <v>RADAR GWX 68 WEATHER</v>
      </c>
      <c r="E176" s="140" t="str">
        <f>IFERROR(__xludf.DUMMYFUNCTION("""COMPUTED_VALUE"""),"47203246")</f>
        <v>47203246</v>
      </c>
      <c r="F176" s="140" t="str">
        <f>IFERROR(__xludf.DUMMYFUNCTION("""COMPUTED_VALUE"""),"082/2026")</f>
        <v>082/2026</v>
      </c>
      <c r="G176" s="140" t="str">
        <f>IFERROR(__xludf.DUMMYFUNCTION("""COMPUTED_VALUE"""),"14/07")</f>
        <v>14/07</v>
      </c>
      <c r="H176" s="140" t="str">
        <f>IFERROR(__xludf.DUMMYFUNCTION("""COMPUTED_VALUE"""),"29/07")</f>
        <v>29/07</v>
      </c>
      <c r="I176" s="140" t="str">
        <f>IFERROR(__xludf.DUMMYFUNCTION("""COMPUTED_VALUE"""),"consultado exchange em 03/08")</f>
        <v>consultado exchange em 03/08</v>
      </c>
      <c r="J176" s="140" t="str">
        <f>IFERROR(__xludf.DUMMYFUNCTION("""COMPUTED_VALUE"""),"03/08, 01/09")</f>
        <v>03/08, 01/09</v>
      </c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 t="str">
        <f>IFERROR(__xludf.DUMMYFUNCTION("""COMPUTED_VALUE"""),"exchange com SN 47202512")</f>
        <v>exchange com SN 47202512</v>
      </c>
      <c r="V176" s="140"/>
      <c r="W176" s="140"/>
      <c r="X176" s="140"/>
      <c r="Y176" s="140"/>
      <c r="Z176" s="140"/>
    </row>
    <row r="177">
      <c r="A177" s="140" t="str">
        <f>IFERROR(__xludf.DUMMYFUNCTION("""COMPUTED_VALUE"""),"VEE ONE")</f>
        <v>VEE ONE</v>
      </c>
      <c r="B177" s="140" t="str">
        <f>IFERROR(__xludf.DUMMYFUNCTION("""COMPUTED_VALUE"""),"BAMN")</f>
        <v>BAMN</v>
      </c>
      <c r="C177" s="140" t="str">
        <f>IFERROR(__xludf.DUMMYFUNCTION("""COMPUTED_VALUE"""),"011-01105-01")</f>
        <v>011-01105-01</v>
      </c>
      <c r="D177" s="140" t="str">
        <f>IFERROR(__xludf.DUMMYFUNCTION("""COMPUTED_VALUE"""),"INTEGRATED AVIONICS  UNIT")</f>
        <v>INTEGRATED AVIONICS  UNIT</v>
      </c>
      <c r="E177" s="140" t="str">
        <f>IFERROR(__xludf.DUMMYFUNCTION("""COMPUTED_VALUE"""),"15W011943")</f>
        <v>15W011943</v>
      </c>
      <c r="F177" s="140" t="str">
        <f>IFERROR(__xludf.DUMMYFUNCTION("""COMPUTED_VALUE"""),"081/2026")</f>
        <v>081/2026</v>
      </c>
      <c r="G177" s="140" t="str">
        <f>IFERROR(__xludf.DUMMYFUNCTION("""COMPUTED_VALUE"""),"14/07")</f>
        <v>14/07</v>
      </c>
      <c r="H177" s="140" t="str">
        <f>IFERROR(__xludf.DUMMYFUNCTION("""COMPUTED_VALUE"""),"29/07")</f>
        <v>29/07</v>
      </c>
      <c r="I177" s="140" t="str">
        <f>IFERROR(__xludf.DUMMYFUNCTION("""COMPUTED_VALUE"""),"consultado exchange em 03/08")</f>
        <v>consultado exchange em 03/08</v>
      </c>
      <c r="J177" s="140" t="str">
        <f>IFERROR(__xludf.DUMMYFUNCTION("""COMPUTED_VALUE"""),"03/08, 01/09")</f>
        <v>03/08, 01/09</v>
      </c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 t="str">
        <f>IFERROR(__xludf.DUMMYFUNCTION("""COMPUTED_VALUE"""),"exchange com SN 15W013724")</f>
        <v>exchange com SN 15W013724</v>
      </c>
      <c r="V177" s="140"/>
      <c r="W177" s="140"/>
      <c r="X177" s="140"/>
      <c r="Y177" s="140"/>
      <c r="Z177" s="140"/>
    </row>
    <row r="178">
      <c r="A178" s="140" t="str">
        <f>IFERROR(__xludf.DUMMYFUNCTION("""COMPUTED_VALUE"""),"VEE ONE")</f>
        <v>VEE ONE</v>
      </c>
      <c r="B178" s="140" t="str">
        <f>IFERROR(__xludf.DUMMYFUNCTION("""COMPUTED_VALUE"""),"BAMN")</f>
        <v>BAMN</v>
      </c>
      <c r="C178" s="140" t="str">
        <f>IFERROR(__xludf.DUMMYFUNCTION("""COMPUTED_VALUE"""),"324843-2020")</f>
        <v>324843-2020</v>
      </c>
      <c r="D178" s="140" t="str">
        <f>IFERROR(__xludf.DUMMYFUNCTION("""COMPUTED_VALUE"""),"HEADSET-MICROPHONE")</f>
        <v>HEADSET-MICROPHONE</v>
      </c>
      <c r="E178" s="140" t="str">
        <f>IFERROR(__xludf.DUMMYFUNCTION("""COMPUTED_VALUE"""),"070407910680166AE")</f>
        <v>070407910680166AE</v>
      </c>
      <c r="F178" s="140" t="str">
        <f>IFERROR(__xludf.DUMMYFUNCTION("""COMPUTED_VALUE"""),"093/2026")</f>
        <v>093/2026</v>
      </c>
      <c r="G178" s="140" t="str">
        <f>IFERROR(__xludf.DUMMYFUNCTION("""COMPUTED_VALUE"""),"18/08")</f>
        <v>18/08</v>
      </c>
      <c r="H178" s="140" t="str">
        <f>IFERROR(__xludf.DUMMYFUNCTION("""COMPUTED_VALUE"""),"19/08")</f>
        <v>19/08</v>
      </c>
      <c r="I178" s="140"/>
      <c r="J178" s="140" t="str">
        <f>IFERROR(__xludf.DUMMYFUNCTION("""COMPUTED_VALUE"""),"19/08")</f>
        <v>19/08</v>
      </c>
      <c r="K178" s="140" t="str">
        <f>IFERROR(__xludf.DUMMYFUNCTION("""COMPUTED_VALUE"""),"19/08")</f>
        <v>19/08</v>
      </c>
      <c r="L178" s="140" t="str">
        <f>IFERROR(__xludf.DUMMYFUNCTION("""COMPUTED_VALUE"""),"20/08")</f>
        <v>20/08</v>
      </c>
      <c r="M178" s="140" t="str">
        <f>IFERROR(__xludf.DUMMYFUNCTION("""COMPUTED_VALUE"""),"20/08")</f>
        <v>20/08</v>
      </c>
      <c r="N178" s="140" t="str">
        <f>IFERROR(__xludf.DUMMYFUNCTION("""COMPUTED_VALUE"""),"20/08, 01/09")</f>
        <v>20/08, 01/09</v>
      </c>
      <c r="O178" s="140" t="str">
        <f>IFERROR(__xludf.DUMMYFUNCTION("""COMPUTED_VALUE"""),"01/09")</f>
        <v>01/09</v>
      </c>
      <c r="P178" s="140" t="str">
        <f>IFERROR(__xludf.DUMMYFUNCTION("""COMPUTED_VALUE"""),"01/09")</f>
        <v>01/09</v>
      </c>
      <c r="Q178" s="140" t="str">
        <f>IFERROR(__xludf.DUMMYFUNCTION("""COMPUTED_VALUE"""),"01/09")</f>
        <v>01/09</v>
      </c>
      <c r="R178" s="140" t="str">
        <f>IFERROR(__xludf.DUMMYFUNCTION("""COMPUTED_VALUE"""),"01/09")</f>
        <v>01/09</v>
      </c>
      <c r="S178" s="140" t="str">
        <f>IFERROR(__xludf.DUMMYFUNCTION("""COMPUTED_VALUE"""),"01/09")</f>
        <v>01/09</v>
      </c>
      <c r="T178" s="140"/>
      <c r="U178" s="140" t="str">
        <f>IFERROR(__xludf.DUMMYFUNCTION("""COMPUTED_VALUE"""),"RECEBIMENTO PENDENTE - ENTRADA EM ABERTO - GODOY 05/10/2026")</f>
        <v>RECEBIMENTO PENDENTE - ENTRADA EM ABERTO - GODOY 05/10/2026</v>
      </c>
      <c r="V178" s="140"/>
      <c r="W178" s="140"/>
      <c r="X178" s="140"/>
      <c r="Y178" s="140"/>
      <c r="Z178" s="140"/>
    </row>
    <row r="179">
      <c r="A179" s="140" t="str">
        <f>IFERROR(__xludf.DUMMYFUNCTION("""COMPUTED_VALUE"""),"VEE ONE")</f>
        <v>VEE ONE</v>
      </c>
      <c r="B179" s="140" t="str">
        <f>IFERROR(__xludf.DUMMYFUNCTION("""COMPUTED_VALUE"""),"BAMN")</f>
        <v>BAMN</v>
      </c>
      <c r="C179" s="140" t="str">
        <f>IFERROR(__xludf.DUMMYFUNCTION("""COMPUTED_VALUE"""),"324843-2020")</f>
        <v>324843-2020</v>
      </c>
      <c r="D179" s="140" t="str">
        <f>IFERROR(__xludf.DUMMYFUNCTION("""COMPUTED_VALUE"""),"HEADSET-MICROPHONE")</f>
        <v>HEADSET-MICROPHONE</v>
      </c>
      <c r="E179" s="140" t="str">
        <f>IFERROR(__xludf.DUMMYFUNCTION("""COMPUTED_VALUE"""),"070407983320111AE")</f>
        <v>070407983320111AE</v>
      </c>
      <c r="F179" s="140" t="str">
        <f>IFERROR(__xludf.DUMMYFUNCTION("""COMPUTED_VALUE"""),"093/2026")</f>
        <v>093/2026</v>
      </c>
      <c r="G179" s="140" t="str">
        <f>IFERROR(__xludf.DUMMYFUNCTION("""COMPUTED_VALUE"""),"18/08")</f>
        <v>18/08</v>
      </c>
      <c r="H179" s="140" t="str">
        <f>IFERROR(__xludf.DUMMYFUNCTION("""COMPUTED_VALUE"""),"19/08")</f>
        <v>19/08</v>
      </c>
      <c r="I179" s="140"/>
      <c r="J179" s="140" t="str">
        <f>IFERROR(__xludf.DUMMYFUNCTION("""COMPUTED_VALUE"""),"19/08")</f>
        <v>19/08</v>
      </c>
      <c r="K179" s="140" t="str">
        <f>IFERROR(__xludf.DUMMYFUNCTION("""COMPUTED_VALUE"""),"19/08")</f>
        <v>19/08</v>
      </c>
      <c r="L179" s="140" t="str">
        <f>IFERROR(__xludf.DUMMYFUNCTION("""COMPUTED_VALUE"""),"20/08")</f>
        <v>20/08</v>
      </c>
      <c r="M179" s="140" t="str">
        <f>IFERROR(__xludf.DUMMYFUNCTION("""COMPUTED_VALUE"""),"20/08")</f>
        <v>20/08</v>
      </c>
      <c r="N179" s="140" t="str">
        <f>IFERROR(__xludf.DUMMYFUNCTION("""COMPUTED_VALUE"""),"20/08, 01/09")</f>
        <v>20/08, 01/09</v>
      </c>
      <c r="O179" s="140" t="str">
        <f>IFERROR(__xludf.DUMMYFUNCTION("""COMPUTED_VALUE"""),"01/09")</f>
        <v>01/09</v>
      </c>
      <c r="P179" s="140" t="str">
        <f>IFERROR(__xludf.DUMMYFUNCTION("""COMPUTED_VALUE"""),"01/09")</f>
        <v>01/09</v>
      </c>
      <c r="Q179" s="140" t="str">
        <f>IFERROR(__xludf.DUMMYFUNCTION("""COMPUTED_VALUE"""),"01/09")</f>
        <v>01/09</v>
      </c>
      <c r="R179" s="140" t="str">
        <f>IFERROR(__xludf.DUMMYFUNCTION("""COMPUTED_VALUE"""),"01/09")</f>
        <v>01/09</v>
      </c>
      <c r="S179" s="140" t="str">
        <f>IFERROR(__xludf.DUMMYFUNCTION("""COMPUTED_VALUE"""),"01/09")</f>
        <v>01/09</v>
      </c>
      <c r="T179" s="140"/>
      <c r="U179" s="140" t="str">
        <f>IFERROR(__xludf.DUMMYFUNCTION("""COMPUTED_VALUE"""),"RECEBIMENTO PENDENTE - ENTRADA EM ABERTO - GODOY 05/10/2026")</f>
        <v>RECEBIMENTO PENDENTE - ENTRADA EM ABERTO - GODOY 05/10/2026</v>
      </c>
      <c r="V179" s="140"/>
      <c r="W179" s="140"/>
      <c r="X179" s="140"/>
      <c r="Y179" s="140"/>
      <c r="Z179" s="140"/>
    </row>
    <row r="180">
      <c r="A180" s="140" t="str">
        <f>IFERROR(__xludf.DUMMYFUNCTION("""COMPUTED_VALUE"""),"VEE ONE")</f>
        <v>VEE ONE</v>
      </c>
      <c r="B180" s="140" t="str">
        <f>IFERROR(__xludf.DUMMYFUNCTION("""COMPUTED_VALUE"""),"BAMN")</f>
        <v>BAMN</v>
      </c>
      <c r="C180" s="140" t="str">
        <f>IFERROR(__xludf.DUMMYFUNCTION("""COMPUTED_VALUE"""),"324843-0020")</f>
        <v>324843-0020</v>
      </c>
      <c r="D180" s="140" t="str">
        <f>IFERROR(__xludf.DUMMYFUNCTION("""COMPUTED_VALUE"""),"HEADSET-MICROPHONE")</f>
        <v>HEADSET-MICROPHONE</v>
      </c>
      <c r="E180" s="140" t="str">
        <f>IFERROR(__xludf.DUMMYFUNCTION("""COMPUTED_VALUE"""),"053851C30040004AE")</f>
        <v>053851C30040004AE</v>
      </c>
      <c r="F180" s="140" t="str">
        <f>IFERROR(__xludf.DUMMYFUNCTION("""COMPUTED_VALUE"""),"093/2026")</f>
        <v>093/2026</v>
      </c>
      <c r="G180" s="140" t="str">
        <f>IFERROR(__xludf.DUMMYFUNCTION("""COMPUTED_VALUE"""),"18/08")</f>
        <v>18/08</v>
      </c>
      <c r="H180" s="140" t="str">
        <f>IFERROR(__xludf.DUMMYFUNCTION("""COMPUTED_VALUE"""),"19/08")</f>
        <v>19/08</v>
      </c>
      <c r="I180" s="140"/>
      <c r="J180" s="140" t="str">
        <f>IFERROR(__xludf.DUMMYFUNCTION("""COMPUTED_VALUE"""),"19/08")</f>
        <v>19/08</v>
      </c>
      <c r="K180" s="140" t="str">
        <f>IFERROR(__xludf.DUMMYFUNCTION("""COMPUTED_VALUE"""),"19/08")</f>
        <v>19/08</v>
      </c>
      <c r="L180" s="140" t="str">
        <f>IFERROR(__xludf.DUMMYFUNCTION("""COMPUTED_VALUE"""),"20/08")</f>
        <v>20/08</v>
      </c>
      <c r="M180" s="140" t="str">
        <f>IFERROR(__xludf.DUMMYFUNCTION("""COMPUTED_VALUE"""),"20/08")</f>
        <v>20/08</v>
      </c>
      <c r="N180" s="140" t="str">
        <f>IFERROR(__xludf.DUMMYFUNCTION("""COMPUTED_VALUE"""),"20/08, 01/09")</f>
        <v>20/08, 01/09</v>
      </c>
      <c r="O180" s="140" t="str">
        <f>IFERROR(__xludf.DUMMYFUNCTION("""COMPUTED_VALUE"""),"01/09")</f>
        <v>01/09</v>
      </c>
      <c r="P180" s="140" t="str">
        <f>IFERROR(__xludf.DUMMYFUNCTION("""COMPUTED_VALUE"""),"01/09")</f>
        <v>01/09</v>
      </c>
      <c r="Q180" s="140" t="str">
        <f>IFERROR(__xludf.DUMMYFUNCTION("""COMPUTED_VALUE"""),"01/09")</f>
        <v>01/09</v>
      </c>
      <c r="R180" s="140" t="str">
        <f>IFERROR(__xludf.DUMMYFUNCTION("""COMPUTED_VALUE"""),"01/09")</f>
        <v>01/09</v>
      </c>
      <c r="S180" s="140" t="str">
        <f>IFERROR(__xludf.DUMMYFUNCTION("""COMPUTED_VALUE"""),"01/09")</f>
        <v>01/09</v>
      </c>
      <c r="T180" s="140"/>
      <c r="U180" s="140" t="str">
        <f>IFERROR(__xludf.DUMMYFUNCTION("""COMPUTED_VALUE"""),"RECEBIMENTO PENDENTE - ENTRADA EM ABERTO - GODOY 05/10/2026")</f>
        <v>RECEBIMENTO PENDENTE - ENTRADA EM ABERTO - GODOY 05/10/2026</v>
      </c>
      <c r="V180" s="140"/>
      <c r="W180" s="140"/>
      <c r="X180" s="140"/>
      <c r="Y180" s="140"/>
      <c r="Z180" s="140"/>
    </row>
    <row r="181">
      <c r="A181" s="140" t="str">
        <f>IFERROR(__xludf.DUMMYFUNCTION("""COMPUTED_VALUE"""),"VEE ONE")</f>
        <v>VEE ONE</v>
      </c>
      <c r="B181" s="140" t="str">
        <f>IFERROR(__xludf.DUMMYFUNCTION("""COMPUTED_VALUE"""),"BABR")</f>
        <v>BABR</v>
      </c>
      <c r="C181" s="140" t="str">
        <f>IFERROR(__xludf.DUMMYFUNCTION("""COMPUTED_VALUE"""),"9910592-2")</f>
        <v>9910592-2</v>
      </c>
      <c r="D181" s="140" t="str">
        <f>IFERROR(__xludf.DUMMYFUNCTION("""COMPUTED_VALUE"""),"ALTERNATOR ASSY")</f>
        <v>ALTERNATOR ASSY</v>
      </c>
      <c r="E181" s="140" t="str">
        <f>IFERROR(__xludf.DUMMYFUNCTION("""COMPUTED_VALUE"""),"A-183643")</f>
        <v>A-183643</v>
      </c>
      <c r="F181" s="140" t="str">
        <f>IFERROR(__xludf.DUMMYFUNCTION("""COMPUTED_VALUE"""),"028/2026")</f>
        <v>028/2026</v>
      </c>
      <c r="G181" s="140" t="str">
        <f>IFERROR(__xludf.DUMMYFUNCTION("""COMPUTED_VALUE"""),"14/08")</f>
        <v>14/08</v>
      </c>
      <c r="H181" s="140" t="str">
        <f>IFERROR(__xludf.DUMMYFUNCTION("""COMPUTED_VALUE"""),"31/08")</f>
        <v>31/08</v>
      </c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 t="str">
        <f>IFERROR(__xludf.DUMMYFUNCTION("""COMPUTED_VALUE"""),"AGD RESPOSTA DO OPERADOR - E-MAIL ENVIADO NO DIA 01/09/206")</f>
        <v>AGD RESPOSTA DO OPERADOR - E-MAIL ENVIADO NO DIA 01/09/206</v>
      </c>
      <c r="V181" s="140"/>
      <c r="W181" s="140"/>
      <c r="X181" s="140"/>
      <c r="Y181" s="140"/>
      <c r="Z181" s="140"/>
    </row>
    <row r="182">
      <c r="A182" s="140" t="str">
        <f>IFERROR(__xludf.DUMMYFUNCTION("""COMPUTED_VALUE"""),"VEE ONE")</f>
        <v>VEE ONE</v>
      </c>
      <c r="B182" s="140" t="str">
        <f>IFERROR(__xludf.DUMMYFUNCTION("""COMPUTED_VALUE"""),"BANT")</f>
        <v>BANT</v>
      </c>
      <c r="C182" s="140" t="str">
        <f>IFERROR(__xludf.DUMMYFUNCTION("""COMPUTED_VALUE"""),"065-00183-0501")</f>
        <v>065-00183-0501</v>
      </c>
      <c r="D182" s="140" t="str">
        <f>IFERROR(__xludf.DUMMYFUNCTION("""COMPUTED_VALUE"""),"AUTOPILOT COMPUTER KFC225")</f>
        <v>AUTOPILOT COMPUTER KFC225</v>
      </c>
      <c r="E182" s="140" t="str">
        <f>IFERROR(__xludf.DUMMYFUNCTION("""COMPUTED_VALUE"""),"2953")</f>
        <v>2953</v>
      </c>
      <c r="F182" s="140" t="str">
        <f>IFERROR(__xludf.DUMMYFUNCTION("""COMPUTED_VALUE"""),"038/2025")</f>
        <v>038/2025</v>
      </c>
      <c r="G182" s="140" t="str">
        <f>IFERROR(__xludf.DUMMYFUNCTION("""COMPUTED_VALUE"""),"14/10/25")</f>
        <v>14/10/25</v>
      </c>
      <c r="H182" s="140" t="str">
        <f>IFERROR(__xludf.DUMMYFUNCTION("""COMPUTED_VALUE"""),"17/09")</f>
        <v>17/09</v>
      </c>
      <c r="I182" s="140"/>
      <c r="J182" s="140" t="str">
        <f>IFERROR(__xludf.DUMMYFUNCTION("""COMPUTED_VALUE"""),"28/09")</f>
        <v>28/09</v>
      </c>
      <c r="K182" s="140" t="str">
        <f>IFERROR(__xludf.DUMMYFUNCTION("""COMPUTED_VALUE"""),"28/09")</f>
        <v>28/09</v>
      </c>
      <c r="L182" s="140" t="str">
        <f>IFERROR(__xludf.DUMMYFUNCTION("""COMPUTED_VALUE"""),"28/09")</f>
        <v>28/09</v>
      </c>
      <c r="M182" s="140" t="str">
        <f>IFERROR(__xludf.DUMMYFUNCTION("""COMPUTED_VALUE"""),"28/09")</f>
        <v>28/09</v>
      </c>
      <c r="N182" s="140" t="str">
        <f>IFERROR(__xludf.DUMMYFUNCTION("""COMPUTED_VALUE"""),"28/09")</f>
        <v>28/09</v>
      </c>
      <c r="O182" s="140" t="str">
        <f>IFERROR(__xludf.DUMMYFUNCTION("""COMPUTED_VALUE"""),"28/09")</f>
        <v>28/09</v>
      </c>
      <c r="P182" s="140" t="str">
        <f>IFERROR(__xludf.DUMMYFUNCTION("""COMPUTED_VALUE"""),"28/09")</f>
        <v>28/09</v>
      </c>
      <c r="Q182" s="140" t="str">
        <f>IFERROR(__xludf.DUMMYFUNCTION("""COMPUTED_VALUE"""),"28/09")</f>
        <v>28/09</v>
      </c>
      <c r="R182" s="140" t="str">
        <f>IFERROR(__xludf.DUMMYFUNCTION("""COMPUTED_VALUE"""),"28/09")</f>
        <v>28/09</v>
      </c>
      <c r="S182" s="140" t="str">
        <f>IFERROR(__xludf.DUMMYFUNCTION("""COMPUTED_VALUE"""),"28/09")</f>
        <v>28/09</v>
      </c>
      <c r="T182" s="140"/>
      <c r="U182" s="140" t="str">
        <f>IFERROR(__xludf.DUMMYFUNCTION("""COMPUTED_VALUE"""),"RECEBIMENTO PENDENTE - ENTRADA EM ABERTO - GODOY 05/10/2026")</f>
        <v>RECEBIMENTO PENDENTE - ENTRADA EM ABERTO - GODOY 05/10/2026</v>
      </c>
      <c r="V182" s="140"/>
      <c r="W182" s="140"/>
      <c r="X182" s="140"/>
      <c r="Y182" s="140"/>
      <c r="Z182" s="140"/>
    </row>
    <row r="183">
      <c r="A183" s="140" t="str">
        <f>IFERROR(__xludf.DUMMYFUNCTION("""COMPUTED_VALUE"""),"VEE ONE")</f>
        <v>VEE ONE</v>
      </c>
      <c r="B183" s="140" t="str">
        <f>IFERROR(__xludf.DUMMYFUNCTION("""COMPUTED_VALUE"""),"BANT")</f>
        <v>BANT</v>
      </c>
      <c r="C183" s="140" t="str">
        <f>IFERROR(__xludf.DUMMYFUNCTION("""COMPUTED_VALUE"""),"065-00183-0501")</f>
        <v>065-00183-0501</v>
      </c>
      <c r="D183" s="140" t="str">
        <f>IFERROR(__xludf.DUMMYFUNCTION("""COMPUTED_VALUE"""),"AUTOPILOT COMPUTER KFC225")</f>
        <v>AUTOPILOT COMPUTER KFC225</v>
      </c>
      <c r="E183" s="140" t="str">
        <f>IFERROR(__xludf.DUMMYFUNCTION("""COMPUTED_VALUE"""),"2982")</f>
        <v>2982</v>
      </c>
      <c r="F183" s="140" t="str">
        <f>IFERROR(__xludf.DUMMYFUNCTION("""COMPUTED_VALUE"""),"038/2025")</f>
        <v>038/2025</v>
      </c>
      <c r="G183" s="140" t="str">
        <f>IFERROR(__xludf.DUMMYFUNCTION("""COMPUTED_VALUE"""),"14/10/25")</f>
        <v>14/10/25</v>
      </c>
      <c r="H183" s="140" t="str">
        <f>IFERROR(__xludf.DUMMYFUNCTION("""COMPUTED_VALUE"""),"17/09")</f>
        <v>17/09</v>
      </c>
      <c r="I183" s="140"/>
      <c r="J183" s="140" t="str">
        <f>IFERROR(__xludf.DUMMYFUNCTION("""COMPUTED_VALUE"""),"28/09")</f>
        <v>28/09</v>
      </c>
      <c r="K183" s="140" t="str">
        <f>IFERROR(__xludf.DUMMYFUNCTION("""COMPUTED_VALUE"""),"28/09")</f>
        <v>28/09</v>
      </c>
      <c r="L183" s="140" t="str">
        <f>IFERROR(__xludf.DUMMYFUNCTION("""COMPUTED_VALUE"""),"28/09")</f>
        <v>28/09</v>
      </c>
      <c r="M183" s="140" t="str">
        <f>IFERROR(__xludf.DUMMYFUNCTION("""COMPUTED_VALUE"""),"28/09")</f>
        <v>28/09</v>
      </c>
      <c r="N183" s="140" t="str">
        <f>IFERROR(__xludf.DUMMYFUNCTION("""COMPUTED_VALUE"""),"28/09")</f>
        <v>28/09</v>
      </c>
      <c r="O183" s="140" t="str">
        <f>IFERROR(__xludf.DUMMYFUNCTION("""COMPUTED_VALUE"""),"28/09")</f>
        <v>28/09</v>
      </c>
      <c r="P183" s="140" t="str">
        <f>IFERROR(__xludf.DUMMYFUNCTION("""COMPUTED_VALUE"""),"28/09")</f>
        <v>28/09</v>
      </c>
      <c r="Q183" s="140" t="str">
        <f>IFERROR(__xludf.DUMMYFUNCTION("""COMPUTED_VALUE"""),"28/09")</f>
        <v>28/09</v>
      </c>
      <c r="R183" s="140" t="str">
        <f>IFERROR(__xludf.DUMMYFUNCTION("""COMPUTED_VALUE"""),"28/09")</f>
        <v>28/09</v>
      </c>
      <c r="S183" s="140" t="str">
        <f>IFERROR(__xludf.DUMMYFUNCTION("""COMPUTED_VALUE"""),"28/09")</f>
        <v>28/09</v>
      </c>
      <c r="T183" s="140"/>
      <c r="U183" s="140" t="str">
        <f>IFERROR(__xludf.DUMMYFUNCTION("""COMPUTED_VALUE"""),"RECEBIMENTO PENDENTE - ENTRADA EM ABERTO - GODOY 05/10/2026")</f>
        <v>RECEBIMENTO PENDENTE - ENTRADA EM ABERTO - GODOY 05/10/2026</v>
      </c>
      <c r="V183" s="140"/>
      <c r="W183" s="140"/>
      <c r="X183" s="140"/>
      <c r="Y183" s="140"/>
      <c r="Z183" s="140"/>
    </row>
    <row r="184">
      <c r="A184" s="140" t="str">
        <f>IFERROR(__xludf.DUMMYFUNCTION("""COMPUTED_VALUE"""),"VEE ONE")</f>
        <v>VEE ONE</v>
      </c>
      <c r="B184" s="140" t="str">
        <f>IFERROR(__xludf.DUMMYFUNCTION("""COMPUTED_VALUE"""),"BANT")</f>
        <v>BANT</v>
      </c>
      <c r="C184" s="140" t="str">
        <f>IFERROR(__xludf.DUMMYFUNCTION("""COMPUTED_VALUE"""),"060-0017-00")</f>
        <v>060-0017-00</v>
      </c>
      <c r="D184" s="140" t="str">
        <f>IFERROR(__xludf.DUMMYFUNCTION("""COMPUTED_VALUE"""),"IND DE COMANDO DE VOO")</f>
        <v>IND DE COMANDO DE VOO</v>
      </c>
      <c r="E184" s="140" t="str">
        <f>IFERROR(__xludf.DUMMYFUNCTION("""COMPUTED_VALUE"""),"16784")</f>
        <v>16784</v>
      </c>
      <c r="F184" s="140" t="str">
        <f>IFERROR(__xludf.DUMMYFUNCTION("""COMPUTED_VALUE"""),"001/2026")</f>
        <v>001/2026</v>
      </c>
      <c r="G184" s="140" t="str">
        <f>IFERROR(__xludf.DUMMYFUNCTION("""COMPUTED_VALUE"""),"04/08")</f>
        <v>04/08</v>
      </c>
      <c r="H184" s="140" t="str">
        <f>IFERROR(__xludf.DUMMYFUNCTION("""COMPUTED_VALUE"""),"17/09")</f>
        <v>17/09</v>
      </c>
      <c r="I184" s="140"/>
      <c r="J184" s="140" t="str">
        <f>IFERROR(__xludf.DUMMYFUNCTION("""COMPUTED_VALUE"""),"28/09")</f>
        <v>28/09</v>
      </c>
      <c r="K184" s="140" t="str">
        <f>IFERROR(__xludf.DUMMYFUNCTION("""COMPUTED_VALUE"""),"28/09")</f>
        <v>28/09</v>
      </c>
      <c r="L184" s="140" t="str">
        <f>IFERROR(__xludf.DUMMYFUNCTION("""COMPUTED_VALUE"""),"28/09")</f>
        <v>28/09</v>
      </c>
      <c r="M184" s="140" t="str">
        <f>IFERROR(__xludf.DUMMYFUNCTION("""COMPUTED_VALUE"""),"28/09")</f>
        <v>28/09</v>
      </c>
      <c r="N184" s="140" t="str">
        <f>IFERROR(__xludf.DUMMYFUNCTION("""COMPUTED_VALUE"""),"28/09")</f>
        <v>28/09</v>
      </c>
      <c r="O184" s="140" t="str">
        <f>IFERROR(__xludf.DUMMYFUNCTION("""COMPUTED_VALUE"""),"28/09")</f>
        <v>28/09</v>
      </c>
      <c r="P184" s="140" t="str">
        <f>IFERROR(__xludf.DUMMYFUNCTION("""COMPUTED_VALUE"""),"28/09")</f>
        <v>28/09</v>
      </c>
      <c r="Q184" s="140" t="str">
        <f>IFERROR(__xludf.DUMMYFUNCTION("""COMPUTED_VALUE"""),"28/09")</f>
        <v>28/09</v>
      </c>
      <c r="R184" s="140" t="str">
        <f>IFERROR(__xludf.DUMMYFUNCTION("""COMPUTED_VALUE"""),"28/09")</f>
        <v>28/09</v>
      </c>
      <c r="S184" s="140" t="str">
        <f>IFERROR(__xludf.DUMMYFUNCTION("""COMPUTED_VALUE"""),"28/09")</f>
        <v>28/09</v>
      </c>
      <c r="T184" s="140"/>
      <c r="U184" s="140" t="str">
        <f>IFERROR(__xludf.DUMMYFUNCTION("""COMPUTED_VALUE"""),"RECEBIMENTO PENDENTE - ENTRADA EM ABERTO - GODOY 05/10/2026")</f>
        <v>RECEBIMENTO PENDENTE - ENTRADA EM ABERTO - GODOY 05/10/2026</v>
      </c>
      <c r="V184" s="140"/>
      <c r="W184" s="140"/>
      <c r="X184" s="140"/>
      <c r="Y184" s="140"/>
      <c r="Z184" s="140"/>
    </row>
    <row r="185">
      <c r="A185" s="140" t="str">
        <f>IFERROR(__xludf.DUMMYFUNCTION("""COMPUTED_VALUE"""),"VEE ONE")</f>
        <v>VEE ONE</v>
      </c>
      <c r="B185" s="140" t="str">
        <f>IFERROR(__xludf.DUMMYFUNCTION("""COMPUTED_VALUE"""),"CLA")</f>
        <v>CLA</v>
      </c>
      <c r="C185" s="140" t="str">
        <f>IFERROR(__xludf.DUMMYFUNCTION("""COMPUTED_VALUE"""),"162-11800")</f>
        <v>162-11800</v>
      </c>
      <c r="D185" s="140" t="str">
        <f>IFERROR(__xludf.DUMMYFUNCTION("""COMPUTED_VALUE"""),"WHEEL HALF ASSY")</f>
        <v>WHEEL HALF ASSY</v>
      </c>
      <c r="E185" s="140" t="str">
        <f>IFERROR(__xludf.DUMMYFUNCTION("""COMPUTED_VALUE"""),"688")</f>
        <v>688</v>
      </c>
      <c r="F185" s="140" t="str">
        <f>IFERROR(__xludf.DUMMYFUNCTION("""COMPUTED_VALUE"""),"023/2026")</f>
        <v>023/2026</v>
      </c>
      <c r="G185" s="140" t="str">
        <f>IFERROR(__xludf.DUMMYFUNCTION("""COMPUTED_VALUE"""),"31/08")</f>
        <v>31/08</v>
      </c>
      <c r="H185" s="140" t="str">
        <f>IFERROR(__xludf.DUMMYFUNCTION("""COMPUTED_VALUE"""),"18/08")</f>
        <v>18/08</v>
      </c>
      <c r="I185" s="140"/>
      <c r="J185" s="140" t="str">
        <f>IFERROR(__xludf.DUMMYFUNCTION("""COMPUTED_VALUE"""),"28/09")</f>
        <v>28/09</v>
      </c>
      <c r="K185" s="140" t="str">
        <f>IFERROR(__xludf.DUMMYFUNCTION("""COMPUTED_VALUE"""),"28/09")</f>
        <v>28/09</v>
      </c>
      <c r="L185" s="140" t="str">
        <f>IFERROR(__xludf.DUMMYFUNCTION("""COMPUTED_VALUE"""),"28/09")</f>
        <v>28/09</v>
      </c>
      <c r="M185" s="140" t="str">
        <f>IFERROR(__xludf.DUMMYFUNCTION("""COMPUTED_VALUE"""),"28/09")</f>
        <v>28/09</v>
      </c>
      <c r="N185" s="140" t="str">
        <f>IFERROR(__xludf.DUMMYFUNCTION("""COMPUTED_VALUE"""),"28/09")</f>
        <v>28/09</v>
      </c>
      <c r="O185" s="140" t="str">
        <f>IFERROR(__xludf.DUMMYFUNCTION("""COMPUTED_VALUE"""),"28/09")</f>
        <v>28/09</v>
      </c>
      <c r="P185" s="140" t="str">
        <f>IFERROR(__xludf.DUMMYFUNCTION("""COMPUTED_VALUE"""),"28/09")</f>
        <v>28/09</v>
      </c>
      <c r="Q185" s="140" t="str">
        <f>IFERROR(__xludf.DUMMYFUNCTION("""COMPUTED_VALUE"""),"28/09")</f>
        <v>28/09</v>
      </c>
      <c r="R185" s="140" t="str">
        <f>IFERROR(__xludf.DUMMYFUNCTION("""COMPUTED_VALUE"""),"29/09")</f>
        <v>29/09</v>
      </c>
      <c r="S185" s="140" t="str">
        <f>IFERROR(__xludf.DUMMYFUNCTION("""COMPUTED_VALUE"""),"29/09")</f>
        <v>29/09</v>
      </c>
      <c r="T185" s="140"/>
      <c r="U185" s="140" t="str">
        <f>IFERROR(__xludf.DUMMYFUNCTION("""COMPUTED_VALUE"""),"RECEBIMENTO PENDENTE - ENTRADA EM ABERTO - GODOY 05/10/2026")</f>
        <v>RECEBIMENTO PENDENTE - ENTRADA EM ABERTO - GODOY 05/10/2026</v>
      </c>
      <c r="V185" s="140"/>
      <c r="W185" s="140"/>
      <c r="X185" s="140"/>
      <c r="Y185" s="140"/>
      <c r="Z185" s="140"/>
    </row>
    <row r="186">
      <c r="A186" s="140" t="str">
        <f>IFERROR(__xludf.DUMMYFUNCTION("""COMPUTED_VALUE"""),"VEE ONE")</f>
        <v>VEE ONE</v>
      </c>
      <c r="B186" s="140" t="str">
        <f>IFERROR(__xludf.DUMMYFUNCTION("""COMPUTED_VALUE"""),"CLA")</f>
        <v>CLA</v>
      </c>
      <c r="C186" s="140" t="str">
        <f>IFERROR(__xludf.DUMMYFUNCTION("""COMPUTED_VALUE"""),"161-12800")</f>
        <v>161-12800</v>
      </c>
      <c r="D186" s="140" t="str">
        <f>IFERROR(__xludf.DUMMYFUNCTION("""COMPUTED_VALUE"""),"WHEEL HALF ASSY")</f>
        <v>WHEEL HALF ASSY</v>
      </c>
      <c r="E186" s="140" t="str">
        <f>IFERROR(__xludf.DUMMYFUNCTION("""COMPUTED_VALUE"""),"13")</f>
        <v>13</v>
      </c>
      <c r="F186" s="140" t="str">
        <f>IFERROR(__xludf.DUMMYFUNCTION("""COMPUTED_VALUE"""),"023/2026")</f>
        <v>023/2026</v>
      </c>
      <c r="G186" s="140" t="str">
        <f>IFERROR(__xludf.DUMMYFUNCTION("""COMPUTED_VALUE"""),"31/08")</f>
        <v>31/08</v>
      </c>
      <c r="H186" s="140" t="str">
        <f>IFERROR(__xludf.DUMMYFUNCTION("""COMPUTED_VALUE"""),"18/08")</f>
        <v>18/08</v>
      </c>
      <c r="I186" s="140"/>
      <c r="J186" s="140" t="str">
        <f>IFERROR(__xludf.DUMMYFUNCTION("""COMPUTED_VALUE"""),"12/12")</f>
        <v>12/12</v>
      </c>
      <c r="K186" s="140" t="str">
        <f>IFERROR(__xludf.DUMMYFUNCTION("""COMPUTED_VALUE"""),"16/12")</f>
        <v>16/12</v>
      </c>
      <c r="L186" s="140" t="str">
        <f>IFERROR(__xludf.DUMMYFUNCTION("""COMPUTED_VALUE"""),"16/12")</f>
        <v>16/12</v>
      </c>
      <c r="M186" s="140" t="str">
        <f>IFERROR(__xludf.DUMMYFUNCTION("""COMPUTED_VALUE"""),"16/12")</f>
        <v>16/12</v>
      </c>
      <c r="N186" s="140" t="str">
        <f>IFERROR(__xludf.DUMMYFUNCTION("""COMPUTED_VALUE"""),"16/12")</f>
        <v>16/12</v>
      </c>
      <c r="O186" s="140" t="str">
        <f>IFERROR(__xludf.DUMMYFUNCTION("""COMPUTED_VALUE"""),"16/12")</f>
        <v>16/12</v>
      </c>
      <c r="P186" s="140" t="str">
        <f>IFERROR(__xludf.DUMMYFUNCTION("""COMPUTED_VALUE"""),"29/09")</f>
        <v>29/09</v>
      </c>
      <c r="Q186" s="140" t="str">
        <f>IFERROR(__xludf.DUMMYFUNCTION("""COMPUTED_VALUE"""),"29/09")</f>
        <v>29/09</v>
      </c>
      <c r="R186" s="140" t="str">
        <f>IFERROR(__xludf.DUMMYFUNCTION("""COMPUTED_VALUE"""),"29/09")</f>
        <v>29/09</v>
      </c>
      <c r="S186" s="140" t="str">
        <f>IFERROR(__xludf.DUMMYFUNCTION("""COMPUTED_VALUE"""),"29/09")</f>
        <v>29/09</v>
      </c>
      <c r="T186" s="140"/>
      <c r="U186" s="140" t="str">
        <f>IFERROR(__xludf.DUMMYFUNCTION("""COMPUTED_VALUE"""),"RECEBIMENTO PENDENTE - ENTRADA EM ABERTO - GODOY 05/10/2026")</f>
        <v>RECEBIMENTO PENDENTE - ENTRADA EM ABERTO - GODOY 05/10/2026</v>
      </c>
      <c r="V186" s="140"/>
      <c r="W186" s="140"/>
      <c r="X186" s="140"/>
      <c r="Y186" s="140"/>
      <c r="Z186" s="140"/>
    </row>
    <row r="187">
      <c r="A187" s="140" t="str">
        <f>IFERROR(__xludf.DUMMYFUNCTION("""COMPUTED_VALUE"""),"VEE ONE")</f>
        <v>VEE ONE</v>
      </c>
      <c r="B187" s="140" t="str">
        <f>IFERROR(__xludf.DUMMYFUNCTION("""COMPUTED_VALUE"""),"BABR")</f>
        <v>BABR</v>
      </c>
      <c r="C187" s="140" t="str">
        <f>IFERROR(__xludf.DUMMYFUNCTION("""COMPUTED_VALUE"""),"C662041-0102")</f>
        <v>C662041-0102</v>
      </c>
      <c r="D187" s="140" t="str">
        <f>IFERROR(__xludf.DUMMYFUNCTION("""COMPUTED_VALUE"""),"INDICATOR FUEL")</f>
        <v>INDICATOR FUEL</v>
      </c>
      <c r="E187" s="140" t="str">
        <f>IFERROR(__xludf.DUMMYFUNCTION("""COMPUTED_VALUE"""),"384")</f>
        <v>384</v>
      </c>
      <c r="F187" s="140" t="str">
        <f>IFERROR(__xludf.DUMMYFUNCTION("""COMPUTED_VALUE"""),"033/2026")</f>
        <v>033/2026</v>
      </c>
      <c r="G187" s="140" t="str">
        <f>IFERROR(__xludf.DUMMYFUNCTION("""COMPUTED_VALUE"""),"21/09")</f>
        <v>21/09</v>
      </c>
      <c r="H187" s="140" t="str">
        <f>IFERROR(__xludf.DUMMYFUNCTION("""COMPUTED_VALUE"""),"28/09")</f>
        <v>28/09</v>
      </c>
      <c r="I187" s="140"/>
      <c r="J187" s="140" t="str">
        <f>IFERROR(__xludf.DUMMYFUNCTION("""COMPUTED_VALUE"""),"28/09")</f>
        <v>28/09</v>
      </c>
      <c r="K187" s="140" t="str">
        <f>IFERROR(__xludf.DUMMYFUNCTION("""COMPUTED_VALUE"""),"28/09")</f>
        <v>28/09</v>
      </c>
      <c r="L187" s="140" t="str">
        <f>IFERROR(__xludf.DUMMYFUNCTION("""COMPUTED_VALUE"""),"28/09")</f>
        <v>28/09</v>
      </c>
      <c r="M187" s="140" t="str">
        <f>IFERROR(__xludf.DUMMYFUNCTION("""COMPUTED_VALUE"""),"28/09")</f>
        <v>28/09</v>
      </c>
      <c r="N187" s="140" t="str">
        <f>IFERROR(__xludf.DUMMYFUNCTION("""COMPUTED_VALUE"""),"28/09")</f>
        <v>28/09</v>
      </c>
      <c r="O187" s="140" t="str">
        <f>IFERROR(__xludf.DUMMYFUNCTION("""COMPUTED_VALUE"""),"28/09")</f>
        <v>28/09</v>
      </c>
      <c r="P187" s="140" t="str">
        <f>IFERROR(__xludf.DUMMYFUNCTION("""COMPUTED_VALUE"""),"28/09")</f>
        <v>28/09</v>
      </c>
      <c r="Q187" s="140" t="str">
        <f>IFERROR(__xludf.DUMMYFUNCTION("""COMPUTED_VALUE"""),"28/09")</f>
        <v>28/09</v>
      </c>
      <c r="R187" s="140" t="str">
        <f>IFERROR(__xludf.DUMMYFUNCTION("""COMPUTED_VALUE"""),"28/09")</f>
        <v>28/09</v>
      </c>
      <c r="S187" s="140" t="str">
        <f>IFERROR(__xludf.DUMMYFUNCTION("""COMPUTED_VALUE"""),"28/09")</f>
        <v>28/09</v>
      </c>
      <c r="T187" s="140"/>
      <c r="U187" s="140" t="str">
        <f>IFERROR(__xludf.DUMMYFUNCTION("""COMPUTED_VALUE"""),"RECEBIMENTO PENDENTE - ENTRADA EM ABERTO - GODOY 05/10/2026")</f>
        <v>RECEBIMENTO PENDENTE - ENTRADA EM ABERTO - GODOY 05/10/2026</v>
      </c>
      <c r="V187" s="140"/>
      <c r="W187" s="140"/>
      <c r="X187" s="140"/>
      <c r="Y187" s="140"/>
      <c r="Z187" s="140"/>
    </row>
    <row r="188">
      <c r="A188" s="140" t="str">
        <f>IFERROR(__xludf.DUMMYFUNCTION("""COMPUTED_VALUE"""),"VEE ONE")</f>
        <v>VEE ONE</v>
      </c>
      <c r="B188" s="140" t="str">
        <f>IFERROR(__xludf.DUMMYFUNCTION("""COMPUTED_VALUE"""),"CLA")</f>
        <v>CLA</v>
      </c>
      <c r="C188" s="140" t="str">
        <f>IFERROR(__xludf.DUMMYFUNCTION("""COMPUTED_VALUE"""),"065-0042-03")</f>
        <v>065-0042-03</v>
      </c>
      <c r="D188" s="140" t="str">
        <f>IFERROR(__xludf.DUMMYFUNCTION("""COMPUTED_VALUE"""),"AUTOPILOT COMPUTER/FLIGHT DIRECTOT")</f>
        <v>AUTOPILOT COMPUTER/FLIGHT DIRECTOT</v>
      </c>
      <c r="E188" s="140" t="str">
        <f>IFERROR(__xludf.DUMMYFUNCTION("""COMPUTED_VALUE"""),"R50653")</f>
        <v>R50653</v>
      </c>
      <c r="F188" s="140" t="str">
        <f>IFERROR(__xludf.DUMMYFUNCTION("""COMPUTED_VALUE"""),"026/2026")</f>
        <v>026/2026</v>
      </c>
      <c r="G188" s="140" t="str">
        <f>IFERROR(__xludf.DUMMYFUNCTION("""COMPUTED_VALUE"""),"06/10")</f>
        <v>06/10</v>
      </c>
      <c r="H188" s="140" t="str">
        <f>IFERROR(__xludf.DUMMYFUNCTION("""COMPUTED_VALUE"""),"06/10")</f>
        <v>06/10</v>
      </c>
      <c r="I188" s="140"/>
      <c r="J188" s="140" t="str">
        <f>IFERROR(__xludf.DUMMYFUNCTION("""COMPUTED_VALUE"""),"06/10")</f>
        <v>06/10</v>
      </c>
      <c r="K188" s="140" t="str">
        <f>IFERROR(__xludf.DUMMYFUNCTION("""COMPUTED_VALUE"""),"07/10")</f>
        <v>07/10</v>
      </c>
      <c r="L188" s="140" t="str">
        <f>IFERROR(__xludf.DUMMYFUNCTION("""COMPUTED_VALUE"""),"07/10")</f>
        <v>07/10</v>
      </c>
      <c r="M188" s="140" t="str">
        <f>IFERROR(__xludf.DUMMYFUNCTION("""COMPUTED_VALUE"""),"07/10")</f>
        <v>07/10</v>
      </c>
      <c r="N188" s="140" t="str">
        <f>IFERROR(__xludf.DUMMYFUNCTION("""COMPUTED_VALUE"""),"07/10")</f>
        <v>07/10</v>
      </c>
      <c r="O188" s="140" t="str">
        <f>IFERROR(__xludf.DUMMYFUNCTION("""COMPUTED_VALUE"""),"07/10")</f>
        <v>07/10</v>
      </c>
      <c r="P188" s="140" t="str">
        <f>IFERROR(__xludf.DUMMYFUNCTION("""COMPUTED_VALUE"""),"08/10")</f>
        <v>08/10</v>
      </c>
      <c r="Q188" s="140" t="str">
        <f>IFERROR(__xludf.DUMMYFUNCTION("""COMPUTED_VALUE"""),"08/10")</f>
        <v>08/10</v>
      </c>
      <c r="R188" s="140" t="str">
        <f>IFERROR(__xludf.DUMMYFUNCTION("""COMPUTED_VALUE"""),"08/10")</f>
        <v>08/10</v>
      </c>
      <c r="S188" s="140" t="str">
        <f>IFERROR(__xludf.DUMMYFUNCTION("""COMPUTED_VALUE"""),"08/10")</f>
        <v>08/10</v>
      </c>
      <c r="T188" s="140"/>
      <c r="U188" s="140"/>
      <c r="V188" s="140"/>
      <c r="W188" s="140"/>
      <c r="X188" s="140"/>
      <c r="Y188" s="140"/>
      <c r="Z188" s="140"/>
    </row>
    <row r="189">
      <c r="A189" s="140" t="str">
        <f>IFERROR(__xludf.DUMMYFUNCTION("""COMPUTED_VALUE"""),"VEE ONE")</f>
        <v>VEE ONE</v>
      </c>
      <c r="B189" s="140" t="str">
        <f>IFERROR(__xludf.DUMMYFUNCTION("""COMPUTED_VALUE"""),"BABE")</f>
        <v>BABE</v>
      </c>
      <c r="C189" s="140" t="str">
        <f>IFERROR(__xludf.DUMMYFUNCTION("""COMPUTED_VALUE"""),"2643100-206")</f>
        <v>2643100-206</v>
      </c>
      <c r="D189" s="140" t="str">
        <f>IFERROR(__xludf.DUMMYFUNCTION("""COMPUTED_VALUE"""),"NOSE GEAR STRUT ASSY - TALL FORK")</f>
        <v>NOSE GEAR STRUT ASSY - TALL FORK</v>
      </c>
      <c r="E189" s="140" t="str">
        <f>IFERROR(__xludf.DUMMYFUNCTION("""COMPUTED_VALUE"""),"445")</f>
        <v>445</v>
      </c>
      <c r="F189" s="140" t="str">
        <f>IFERROR(__xludf.DUMMYFUNCTION("""COMPUTED_VALUE"""),"033/2026")</f>
        <v>033/2026</v>
      </c>
      <c r="G189" s="140" t="str">
        <f>IFERROR(__xludf.DUMMYFUNCTION("""COMPUTED_VALUE"""),"07/10")</f>
        <v>07/10</v>
      </c>
      <c r="H189" s="140" t="str">
        <f>IFERROR(__xludf.DUMMYFUNCTION("""COMPUTED_VALUE"""),"07/10")</f>
        <v>07/10</v>
      </c>
      <c r="I189" s="140"/>
      <c r="J189" s="140" t="str">
        <f>IFERROR(__xludf.DUMMYFUNCTION("""COMPUTED_VALUE"""),"08/10")</f>
        <v>08/10</v>
      </c>
      <c r="K189" s="140" t="str">
        <f>IFERROR(__xludf.DUMMYFUNCTION("""COMPUTED_VALUE"""),"08/10")</f>
        <v>08/10</v>
      </c>
      <c r="L189" s="140" t="str">
        <f>IFERROR(__xludf.DUMMYFUNCTION("""COMPUTED_VALUE"""),"08/10")</f>
        <v>08/10</v>
      </c>
      <c r="M189" s="140" t="str">
        <f>IFERROR(__xludf.DUMMYFUNCTION("""COMPUTED_VALUE"""),"20/10")</f>
        <v>20/10</v>
      </c>
      <c r="N189" s="140" t="str">
        <f>IFERROR(__xludf.DUMMYFUNCTION("""COMPUTED_VALUE"""),"20/10")</f>
        <v>20/10</v>
      </c>
      <c r="O189" s="140" t="str">
        <f>IFERROR(__xludf.DUMMYFUNCTION("""COMPUTED_VALUE"""),"*")</f>
        <v>*</v>
      </c>
      <c r="P189" s="140" t="str">
        <f>IFERROR(__xludf.DUMMYFUNCTION("""COMPUTED_VALUE"""),"28/10")</f>
        <v>28/10</v>
      </c>
      <c r="Q189" s="140" t="str">
        <f>IFERROR(__xludf.DUMMYFUNCTION("""COMPUTED_VALUE"""),"28/10")</f>
        <v>28/10</v>
      </c>
      <c r="R189" s="140" t="str">
        <f>IFERROR(__xludf.DUMMYFUNCTION("""COMPUTED_VALUE"""),"28/10")</f>
        <v>28/10</v>
      </c>
      <c r="S189" s="140" t="str">
        <f>IFERROR(__xludf.DUMMYFUNCTION("""COMPUTED_VALUE"""),"28/10")</f>
        <v>28/10</v>
      </c>
      <c r="T189" s="140"/>
      <c r="U189" s="140"/>
      <c r="V189" s="140"/>
      <c r="W189" s="140"/>
      <c r="X189" s="140"/>
      <c r="Y189" s="140"/>
      <c r="Z189" s="140"/>
    </row>
    <row r="190">
      <c r="A190" s="140" t="str">
        <f>IFERROR(__xludf.DUMMYFUNCTION("""COMPUTED_VALUE"""),"VEE ONE")</f>
        <v>VEE ONE</v>
      </c>
      <c r="B190" s="140" t="str">
        <f>IFERROR(__xludf.DUMMYFUNCTION("""COMPUTED_VALUE"""),"BABR")</f>
        <v>BABR</v>
      </c>
      <c r="C190" s="140" t="str">
        <f>IFERROR(__xludf.DUMMYFUNCTION("""COMPUTED_VALUE"""),"3122678-04")</f>
        <v>3122678-04</v>
      </c>
      <c r="D190" s="140" t="str">
        <f>IFERROR(__xludf.DUMMYFUNCTION("""COMPUTED_VALUE"""),"FUEL CONTROL UNIT")</f>
        <v>FUEL CONTROL UNIT</v>
      </c>
      <c r="E190" s="140" t="str">
        <f>IFERROR(__xludf.DUMMYFUNCTION("""COMPUTED_VALUE"""),"C66221")</f>
        <v>C66221</v>
      </c>
      <c r="F190" s="140" t="str">
        <f>IFERROR(__xludf.DUMMYFUNCTION("""COMPUTED_VALUE"""),"034/2026")</f>
        <v>034/2026</v>
      </c>
      <c r="G190" s="140" t="str">
        <f>IFERROR(__xludf.DUMMYFUNCTION("""COMPUTED_VALUE"""),"01/10")</f>
        <v>01/10</v>
      </c>
      <c r="H190" s="140" t="str">
        <f>IFERROR(__xludf.DUMMYFUNCTION("""COMPUTED_VALUE"""),"08/10")</f>
        <v>08/10</v>
      </c>
      <c r="I190" s="140"/>
      <c r="J190" s="140" t="str">
        <f>IFERROR(__xludf.DUMMYFUNCTION("""COMPUTED_VALUE"""),"21/10 e 28/10")</f>
        <v>21/10 e 28/10</v>
      </c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>
      <c r="A191" s="140" t="str">
        <f>IFERROR(__xludf.DUMMYFUNCTION("""COMPUTED_VALUE"""),"VEE ONE")</f>
        <v>VEE ONE</v>
      </c>
      <c r="B191" s="140" t="str">
        <f>IFERROR(__xludf.DUMMYFUNCTION("""COMPUTED_VALUE"""),"BAMN")</f>
        <v>BAMN</v>
      </c>
      <c r="C191" s="140" t="str">
        <f>IFERROR(__xludf.DUMMYFUNCTION("""COMPUTED_VALUE"""),"9910592-2")</f>
        <v>9910592-2</v>
      </c>
      <c r="D191" s="140" t="str">
        <f>IFERROR(__xludf.DUMMYFUNCTION("""COMPUTED_VALUE"""),"ALTERNATOR ASSY")</f>
        <v>ALTERNATOR ASSY</v>
      </c>
      <c r="E191" s="140" t="str">
        <f>IFERROR(__xludf.DUMMYFUNCTION("""COMPUTED_VALUE"""),"H-S111135")</f>
        <v>H-S111135</v>
      </c>
      <c r="F191" s="140" t="str">
        <f>IFERROR(__xludf.DUMMYFUNCTION("""COMPUTED_VALUE"""),"098/2026")</f>
        <v>098/2026</v>
      </c>
      <c r="G191" s="140" t="str">
        <f>IFERROR(__xludf.DUMMYFUNCTION("""COMPUTED_VALUE"""),"06/10")</f>
        <v>06/10</v>
      </c>
      <c r="H191" s="140" t="str">
        <f>IFERROR(__xludf.DUMMYFUNCTION("""COMPUTED_VALUE"""),"08/10")</f>
        <v>08/10</v>
      </c>
      <c r="I191" s="140"/>
      <c r="J191" s="140" t="str">
        <f>IFERROR(__xludf.DUMMYFUNCTION("""COMPUTED_VALUE"""),"08/10")</f>
        <v>08/10</v>
      </c>
      <c r="K191" s="140" t="str">
        <f>IFERROR(__xludf.DUMMYFUNCTION("""COMPUTED_VALUE"""),"09/10")</f>
        <v>09/10</v>
      </c>
      <c r="L191" s="140" t="str">
        <f>IFERROR(__xludf.DUMMYFUNCTION("""COMPUTED_VALUE"""),"09/10")</f>
        <v>09/10</v>
      </c>
      <c r="M191" s="140" t="str">
        <f>IFERROR(__xludf.DUMMYFUNCTION("""COMPUTED_VALUE"""),"09/10")</f>
        <v>09/10</v>
      </c>
      <c r="N191" s="140" t="str">
        <f>IFERROR(__xludf.DUMMYFUNCTION("""COMPUTED_VALUE"""),"09/10")</f>
        <v>09/10</v>
      </c>
      <c r="O191" s="140" t="str">
        <f>IFERROR(__xludf.DUMMYFUNCTION("""COMPUTED_VALUE"""),"09/10")</f>
        <v>09/10</v>
      </c>
      <c r="P191" s="140" t="str">
        <f>IFERROR(__xludf.DUMMYFUNCTION("""COMPUTED_VALUE"""),"28/10")</f>
        <v>28/10</v>
      </c>
      <c r="Q191" s="140" t="str">
        <f>IFERROR(__xludf.DUMMYFUNCTION("""COMPUTED_VALUE"""),"28/10")</f>
        <v>28/10</v>
      </c>
      <c r="R191" s="140" t="str">
        <f>IFERROR(__xludf.DUMMYFUNCTION("""COMPUTED_VALUE"""),"28/10")</f>
        <v>28/10</v>
      </c>
      <c r="S191" s="140" t="str">
        <f>IFERROR(__xludf.DUMMYFUNCTION("""COMPUTED_VALUE"""),"28/10")</f>
        <v>28/10</v>
      </c>
      <c r="T191" s="140"/>
      <c r="U191" s="140"/>
      <c r="V191" s="140"/>
      <c r="W191" s="140"/>
      <c r="X191" s="140"/>
      <c r="Y191" s="140"/>
      <c r="Z191" s="140"/>
    </row>
    <row r="192">
      <c r="A192" s="140" t="str">
        <f>IFERROR(__xludf.DUMMYFUNCTION("""COMPUTED_VALUE"""),"VEE ONE")</f>
        <v>VEE ONE</v>
      </c>
      <c r="B192" s="140" t="str">
        <f>IFERROR(__xludf.DUMMYFUNCTION("""COMPUTED_VALUE"""),"BAMN")</f>
        <v>BAMN</v>
      </c>
      <c r="C192" s="140" t="str">
        <f>IFERROR(__xludf.DUMMYFUNCTION("""COMPUTED_VALUE"""),"C611008-0101")</f>
        <v>C611008-0101</v>
      </c>
      <c r="D192" s="140" t="str">
        <f>IFERROR(__xludf.DUMMYFUNCTION("""COMPUTED_VALUE"""),"ALTERNADOR CONTROL UNIT")</f>
        <v>ALTERNADOR CONTROL UNIT</v>
      </c>
      <c r="E192" s="140" t="str">
        <f>IFERROR(__xludf.DUMMYFUNCTION("""COMPUTED_VALUE"""),"D051688")</f>
        <v>D051688</v>
      </c>
      <c r="F192" s="140" t="str">
        <f>IFERROR(__xludf.DUMMYFUNCTION("""COMPUTED_VALUE"""),"098/2026")</f>
        <v>098/2026</v>
      </c>
      <c r="G192" s="140" t="str">
        <f>IFERROR(__xludf.DUMMYFUNCTION("""COMPUTED_VALUE"""),"06/10")</f>
        <v>06/10</v>
      </c>
      <c r="H192" s="140" t="str">
        <f>IFERROR(__xludf.DUMMYFUNCTION("""COMPUTED_VALUE"""),"08/10")</f>
        <v>08/10</v>
      </c>
      <c r="I192" s="140"/>
      <c r="J192" s="140" t="str">
        <f>IFERROR(__xludf.DUMMYFUNCTION("""COMPUTED_VALUE"""),"08/10")</f>
        <v>08/10</v>
      </c>
      <c r="K192" s="140" t="str">
        <f>IFERROR(__xludf.DUMMYFUNCTION("""COMPUTED_VALUE"""),"09/10")</f>
        <v>09/10</v>
      </c>
      <c r="L192" s="140" t="str">
        <f>IFERROR(__xludf.DUMMYFUNCTION("""COMPUTED_VALUE"""),"09/10")</f>
        <v>09/10</v>
      </c>
      <c r="M192" s="140" t="str">
        <f>IFERROR(__xludf.DUMMYFUNCTION("""COMPUTED_VALUE"""),"09/10")</f>
        <v>09/10</v>
      </c>
      <c r="N192" s="140" t="str">
        <f>IFERROR(__xludf.DUMMYFUNCTION("""COMPUTED_VALUE"""),"09/10")</f>
        <v>09/10</v>
      </c>
      <c r="O192" s="140" t="str">
        <f>IFERROR(__xludf.DUMMYFUNCTION("""COMPUTED_VALUE"""),"09/10")</f>
        <v>09/10</v>
      </c>
      <c r="P192" s="140" t="str">
        <f>IFERROR(__xludf.DUMMYFUNCTION("""COMPUTED_VALUE"""),"28/10")</f>
        <v>28/10</v>
      </c>
      <c r="Q192" s="140" t="str">
        <f>IFERROR(__xludf.DUMMYFUNCTION("""COMPUTED_VALUE"""),"28/10")</f>
        <v>28/10</v>
      </c>
      <c r="R192" s="140" t="str">
        <f>IFERROR(__xludf.DUMMYFUNCTION("""COMPUTED_VALUE"""),"28/10")</f>
        <v>28/10</v>
      </c>
      <c r="S192" s="140" t="str">
        <f>IFERROR(__xludf.DUMMYFUNCTION("""COMPUTED_VALUE"""),"28/10")</f>
        <v>28/10</v>
      </c>
      <c r="T192" s="140"/>
      <c r="U192" s="140"/>
      <c r="V192" s="140"/>
      <c r="W192" s="140"/>
      <c r="X192" s="140"/>
      <c r="Y192" s="140"/>
      <c r="Z192" s="140"/>
    </row>
    <row r="193">
      <c r="A193" s="140" t="str">
        <f>IFERROR(__xludf.DUMMYFUNCTION("""COMPUTED_VALUE"""),"VEE ONE")</f>
        <v>VEE ONE</v>
      </c>
      <c r="B193" s="140" t="str">
        <f>IFERROR(__xludf.DUMMYFUNCTION("""COMPUTED_VALUE"""),"BAMN")</f>
        <v>BAMN</v>
      </c>
      <c r="C193" s="140" t="str">
        <f>IFERROR(__xludf.DUMMYFUNCTION("""COMPUTED_VALUE"""),"3244809-4")</f>
        <v>3244809-4</v>
      </c>
      <c r="D193" s="140" t="str">
        <f>IFERROR(__xludf.DUMMYFUNCTION("""COMPUTED_VALUE"""),"FUEL CONTROL UNIT")</f>
        <v>FUEL CONTROL UNIT</v>
      </c>
      <c r="E193" s="140" t="str">
        <f>IFERROR(__xludf.DUMMYFUNCTION("""COMPUTED_VALUE"""),"C25208")</f>
        <v>C25208</v>
      </c>
      <c r="F193" s="140" t="str">
        <f>IFERROR(__xludf.DUMMYFUNCTION("""COMPUTED_VALUE"""),"097/2026")</f>
        <v>097/2026</v>
      </c>
      <c r="G193" s="140" t="str">
        <f>IFERROR(__xludf.DUMMYFUNCTION("""COMPUTED_VALUE"""),"24/09")</f>
        <v>24/09</v>
      </c>
      <c r="H193" s="140" t="str">
        <f>IFERROR(__xludf.DUMMYFUNCTION("""COMPUTED_VALUE"""),"06/10")</f>
        <v>06/10</v>
      </c>
      <c r="I193" s="140" t="str">
        <f>IFERROR(__xludf.DUMMYFUNCTION("""COMPUTED_VALUE"""),"acerto recolhimento")</f>
        <v>acerto recolhimento</v>
      </c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>
      <c r="A194" s="140" t="str">
        <f>IFERROR(__xludf.DUMMYFUNCTION("""COMPUTED_VALUE"""),"VEE ONE")</f>
        <v>VEE ONE</v>
      </c>
      <c r="B194" s="140" t="str">
        <f>IFERROR(__xludf.DUMMYFUNCTION("""COMPUTED_VALUE"""),"BABR")</f>
        <v>BABR</v>
      </c>
      <c r="C194" s="140" t="str">
        <f>IFERROR(__xludf.DUMMYFUNCTION("""COMPUTED_VALUE"""),"069-01033-0101")</f>
        <v>069-01033-0101</v>
      </c>
      <c r="D194" s="140" t="str">
        <f>IFERROR(__xludf.DUMMYFUNCTION("""COMPUTED_VALUE"""),"TRANSCEIVER")</f>
        <v>TRANSCEIVER</v>
      </c>
      <c r="E194" s="140" t="str">
        <f>IFERROR(__xludf.DUMMYFUNCTION("""COMPUTED_VALUE"""),"4078")</f>
        <v>4078</v>
      </c>
      <c r="F194" s="140" t="str">
        <f>IFERROR(__xludf.DUMMYFUNCTION("""COMPUTED_VALUE"""),"035/2026")</f>
        <v>035/2026</v>
      </c>
      <c r="G194" s="140" t="str">
        <f>IFERROR(__xludf.DUMMYFUNCTION("""COMPUTED_VALUE"""),"19/10")</f>
        <v>19/10</v>
      </c>
      <c r="H194" s="140" t="str">
        <f>IFERROR(__xludf.DUMMYFUNCTION("""COMPUTED_VALUE"""),"20/10")</f>
        <v>20/10</v>
      </c>
      <c r="I194" s="140"/>
      <c r="J194" s="140" t="str">
        <f>IFERROR(__xludf.DUMMYFUNCTION("""COMPUTED_VALUE"""),"27/10")</f>
        <v>27/10</v>
      </c>
      <c r="K194" s="140" t="str">
        <f>IFERROR(__xludf.DUMMYFUNCTION("""COMPUTED_VALUE"""),"27/10")</f>
        <v>27/10</v>
      </c>
      <c r="L194" s="140" t="str">
        <f>IFERROR(__xludf.DUMMYFUNCTION("""COMPUTED_VALUE"""),"27/10")</f>
        <v>27/10</v>
      </c>
      <c r="M194" s="140" t="str">
        <f>IFERROR(__xludf.DUMMYFUNCTION("""COMPUTED_VALUE"""),"27/10")</f>
        <v>27/10</v>
      </c>
      <c r="N194" s="140" t="str">
        <f>IFERROR(__xludf.DUMMYFUNCTION("""COMPUTED_VALUE"""),"27/10")</f>
        <v>27/10</v>
      </c>
      <c r="O194" s="140" t="str">
        <f>IFERROR(__xludf.DUMMYFUNCTION("""COMPUTED_VALUE"""),"27/10")</f>
        <v>27/10</v>
      </c>
      <c r="P194" s="140" t="str">
        <f>IFERROR(__xludf.DUMMYFUNCTION("""COMPUTED_VALUE"""),"27/10")</f>
        <v>27/10</v>
      </c>
      <c r="Q194" s="140" t="str">
        <f>IFERROR(__xludf.DUMMYFUNCTION("""COMPUTED_VALUE"""),"27/10")</f>
        <v>27/10</v>
      </c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>
      <c r="A195" s="140" t="str">
        <f>IFERROR(__xludf.DUMMYFUNCTION("""COMPUTED_VALUE"""),"VEE ONE")</f>
        <v>VEE ONE</v>
      </c>
      <c r="B195" s="140" t="str">
        <f>IFERROR(__xludf.DUMMYFUNCTION("""COMPUTED_VALUE"""),"BABR")</f>
        <v>BABR</v>
      </c>
      <c r="C195" s="140" t="str">
        <f>IFERROR(__xludf.DUMMYFUNCTION("""COMPUTED_VALUE"""),"C662504-0101")</f>
        <v>C662504-0101</v>
      </c>
      <c r="D195" s="140" t="str">
        <f>IFERROR(__xludf.DUMMYFUNCTION("""COMPUTED_VALUE"""),"GAGE VOLT AMME")</f>
        <v>GAGE VOLT AMME</v>
      </c>
      <c r="E195" s="140" t="str">
        <f>IFERROR(__xludf.DUMMYFUNCTION("""COMPUTED_VALUE"""),"918598-L112807")</f>
        <v>918598-L112807</v>
      </c>
      <c r="F195" s="140" t="str">
        <f>IFERROR(__xludf.DUMMYFUNCTION("""COMPUTED_VALUE"""),"036/2026")</f>
        <v>036/2026</v>
      </c>
      <c r="G195" s="140" t="str">
        <f>IFERROR(__xludf.DUMMYFUNCTION("""COMPUTED_VALUE"""),"22/10")</f>
        <v>22/10</v>
      </c>
      <c r="H195" s="140" t="str">
        <f>IFERROR(__xludf.DUMMYFUNCTION("""COMPUTED_VALUE"""),"27/10")</f>
        <v>27/10</v>
      </c>
      <c r="I195" s="140"/>
      <c r="J195" s="140" t="str">
        <f>IFERROR(__xludf.DUMMYFUNCTION("""COMPUTED_VALUE"""),"27/10")</f>
        <v>27/10</v>
      </c>
      <c r="K195" s="140" t="str">
        <f>IFERROR(__xludf.DUMMYFUNCTION("""COMPUTED_VALUE"""),"27/10")</f>
        <v>27/10</v>
      </c>
      <c r="L195" s="140" t="str">
        <f>IFERROR(__xludf.DUMMYFUNCTION("""COMPUTED_VALUE"""),"27/10")</f>
        <v>27/10</v>
      </c>
      <c r="M195" s="140" t="str">
        <f>IFERROR(__xludf.DUMMYFUNCTION("""COMPUTED_VALUE"""),"27/10")</f>
        <v>27/10</v>
      </c>
      <c r="N195" s="140" t="str">
        <f>IFERROR(__xludf.DUMMYFUNCTION("""COMPUTED_VALUE"""),"27/10")</f>
        <v>27/10</v>
      </c>
      <c r="O195" s="140" t="str">
        <f>IFERROR(__xludf.DUMMYFUNCTION("""COMPUTED_VALUE"""),"27/10")</f>
        <v>27/10</v>
      </c>
      <c r="P195" s="140" t="str">
        <f>IFERROR(__xludf.DUMMYFUNCTION("""COMPUTED_VALUE"""),"27/10")</f>
        <v>27/10</v>
      </c>
      <c r="Q195" s="140" t="str">
        <f>IFERROR(__xludf.DUMMYFUNCTION("""COMPUTED_VALUE"""),"27/10")</f>
        <v>27/10</v>
      </c>
      <c r="R195" s="140" t="str">
        <f>IFERROR(__xludf.DUMMYFUNCTION("""COMPUTED_VALUE"""),"28/10")</f>
        <v>28/10</v>
      </c>
      <c r="S195" s="140"/>
      <c r="T195" s="140"/>
      <c r="U195" s="140"/>
      <c r="V195" s="140"/>
      <c r="W195" s="140"/>
      <c r="X195" s="140"/>
      <c r="Y195" s="140"/>
      <c r="Z195" s="140"/>
    </row>
    <row r="196">
      <c r="A196" s="140" t="str">
        <f>IFERROR(__xludf.DUMMYFUNCTION("""COMPUTED_VALUE"""),"VEE ONE")</f>
        <v>VEE ONE</v>
      </c>
      <c r="B196" s="140" t="str">
        <f>IFERROR(__xludf.DUMMYFUNCTION("""COMPUTED_VALUE"""),"BABE")</f>
        <v>BABE</v>
      </c>
      <c r="C196" s="140" t="str">
        <f>IFERROR(__xludf.DUMMYFUNCTION("""COMPUTED_VALUE"""),"200SGL119Q")</f>
        <v>200SGL119Q</v>
      </c>
      <c r="D196" s="140" t="str">
        <f>IFERROR(__xludf.DUMMYFUNCTION("""COMPUTED_VALUE"""),"STARTER GENERATOR")</f>
        <v>STARTER GENERATOR</v>
      </c>
      <c r="E196" s="140" t="str">
        <f>IFERROR(__xludf.DUMMYFUNCTION("""COMPUTED_VALUE"""),"2325XL")</f>
        <v>2325XL</v>
      </c>
      <c r="F196" s="140" t="str">
        <f>IFERROR(__xludf.DUMMYFUNCTION("""COMPUTED_VALUE"""),"036/2026")</f>
        <v>036/2026</v>
      </c>
      <c r="G196" s="140" t="str">
        <f>IFERROR(__xludf.DUMMYFUNCTION("""COMPUTED_VALUE"""),"21/10")</f>
        <v>21/10</v>
      </c>
      <c r="H196" s="140" t="str">
        <f>IFERROR(__xludf.DUMMYFUNCTION("""COMPUTED_VALUE"""),"28/10")</f>
        <v>28/10</v>
      </c>
      <c r="I196" s="140"/>
      <c r="J196" s="140" t="str">
        <f>IFERROR(__xludf.DUMMYFUNCTION("""COMPUTED_VALUE"""),"28/10")</f>
        <v>28/10</v>
      </c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>
      <c r="A197" s="140" t="str">
        <f>IFERROR(__xludf.DUMMYFUNCTION("""COMPUTED_VALUE"""),"VEE ONE")</f>
        <v>VEE ONE</v>
      </c>
      <c r="B197" s="140" t="str">
        <f>IFERROR(__xludf.DUMMYFUNCTION("""COMPUTED_VALUE"""),"BACG")</f>
        <v>BACG</v>
      </c>
      <c r="C197" s="140" t="str">
        <f>IFERROR(__xludf.DUMMYFUNCTION("""COMPUTED_VALUE"""),"3244897-4")</f>
        <v>3244897-4</v>
      </c>
      <c r="D197" s="140" t="str">
        <f>IFERROR(__xludf.DUMMYFUNCTION("""COMPUTED_VALUE"""),"FUEL CONTROL UNIT")</f>
        <v>FUEL CONTROL UNIT</v>
      </c>
      <c r="E197" s="140" t="str">
        <f>IFERROR(__xludf.DUMMYFUNCTION("""COMPUTED_VALUE"""),"C66691")</f>
        <v>C66691</v>
      </c>
      <c r="F197" s="140" t="str">
        <f>IFERROR(__xludf.DUMMYFUNCTION("""COMPUTED_VALUE"""),"010/2026")</f>
        <v>010/2026</v>
      </c>
      <c r="G197" s="140" t="str">
        <f>IFERROR(__xludf.DUMMYFUNCTION("""COMPUTED_VALUE"""),"18/10")</f>
        <v>18/10</v>
      </c>
      <c r="H197" s="140" t="str">
        <f>IFERROR(__xludf.DUMMYFUNCTION("""COMPUTED_VALUE"""),"23/10")</f>
        <v>23/10</v>
      </c>
      <c r="I197" s="140"/>
      <c r="J197" s="140" t="str">
        <f>IFERROR(__xludf.DUMMYFUNCTION("""COMPUTED_VALUE"""),"28/10")</f>
        <v>28/10</v>
      </c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>
      <c r="A198" s="140"/>
      <c r="B198" s="140"/>
      <c r="C198" s="140"/>
      <c r="D198" s="140" t="str">
        <f>IFERROR(__xludf.DUMMYFUNCTION("""COMPUTED_VALUE"""),"")</f>
        <v/>
      </c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>
      <c r="A199" s="140"/>
      <c r="B199" s="140"/>
      <c r="C199" s="140"/>
      <c r="D199" s="140" t="str">
        <f>IFERROR(__xludf.DUMMYFUNCTION("""COMPUTED_VALUE"""),"")</f>
        <v/>
      </c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>
      <c r="A200" s="140"/>
      <c r="B200" s="140"/>
      <c r="C200" s="140"/>
      <c r="D200" s="140" t="str">
        <f>IFERROR(__xludf.DUMMYFUNCTION("""COMPUTED_VALUE"""),"")</f>
        <v/>
      </c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>
      <c r="A201" s="140"/>
      <c r="B201" s="140"/>
      <c r="C201" s="140"/>
      <c r="D201" s="140" t="str">
        <f>IFERROR(__xludf.DUMMYFUNCTION("""COMPUTED_VALUE"""),"")</f>
        <v/>
      </c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>
      <c r="A202" s="140"/>
      <c r="B202" s="140"/>
      <c r="C202" s="140"/>
      <c r="D202" s="140" t="str">
        <f>IFERROR(__xludf.DUMMYFUNCTION("""COMPUTED_VALUE"""),"")</f>
        <v/>
      </c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>
      <c r="A203" s="140"/>
      <c r="B203" s="140"/>
      <c r="C203" s="140"/>
      <c r="D203" s="140" t="str">
        <f>IFERROR(__xludf.DUMMYFUNCTION("""COMPUTED_VALUE"""),"")</f>
        <v/>
      </c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>
      <c r="A204" s="140"/>
      <c r="B204" s="140"/>
      <c r="C204" s="140"/>
      <c r="D204" s="140" t="str">
        <f>IFERROR(__xludf.DUMMYFUNCTION("""COMPUTED_VALUE"""),"")</f>
        <v/>
      </c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>
      <c r="A205" s="140"/>
      <c r="B205" s="140"/>
      <c r="C205" s="140"/>
      <c r="D205" s="140" t="str">
        <f>IFERROR(__xludf.DUMMYFUNCTION("""COMPUTED_VALUE"""),"")</f>
        <v/>
      </c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>
      <c r="A206" s="140"/>
      <c r="B206" s="140"/>
      <c r="C206" s="140"/>
      <c r="D206" s="140" t="str">
        <f>IFERROR(__xludf.DUMMYFUNCTION("""COMPUTED_VALUE"""),"")</f>
        <v/>
      </c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>
      <c r="A207" s="140"/>
      <c r="B207" s="140"/>
      <c r="C207" s="140"/>
      <c r="D207" s="140" t="str">
        <f>IFERROR(__xludf.DUMMYFUNCTION("""COMPUTED_VALUE"""),"")</f>
        <v/>
      </c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>
      <c r="A208" s="140"/>
      <c r="B208" s="140"/>
      <c r="C208" s="140"/>
      <c r="D208" s="140" t="str">
        <f>IFERROR(__xludf.DUMMYFUNCTION("""COMPUTED_VALUE"""),"")</f>
        <v/>
      </c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>
      <c r="A209" s="140"/>
      <c r="B209" s="140"/>
      <c r="C209" s="140"/>
      <c r="D209" s="140" t="str">
        <f>IFERROR(__xludf.DUMMYFUNCTION("""COMPUTED_VALUE"""),"")</f>
        <v/>
      </c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>
      <c r="A210" s="140"/>
      <c r="B210" s="140"/>
      <c r="C210" s="140"/>
      <c r="D210" s="140" t="str">
        <f>IFERROR(__xludf.DUMMYFUNCTION("""COMPUTED_VALUE"""),"")</f>
        <v/>
      </c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>
      <c r="A211" s="140"/>
      <c r="B211" s="140"/>
      <c r="C211" s="140"/>
      <c r="D211" s="140" t="str">
        <f>IFERROR(__xludf.DUMMYFUNCTION("""COMPUTED_VALUE"""),"")</f>
        <v/>
      </c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>
      <c r="A212" s="140"/>
      <c r="B212" s="140"/>
      <c r="C212" s="140"/>
      <c r="D212" s="140" t="str">
        <f>IFERROR(__xludf.DUMMYFUNCTION("""COMPUTED_VALUE"""),"")</f>
        <v/>
      </c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>
      <c r="A213" s="140"/>
      <c r="B213" s="140"/>
      <c r="C213" s="140"/>
      <c r="D213" s="140" t="str">
        <f>IFERROR(__xludf.DUMMYFUNCTION("""COMPUTED_VALUE"""),"")</f>
        <v/>
      </c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>
      <c r="A214" s="140"/>
      <c r="B214" s="140"/>
      <c r="C214" s="140"/>
      <c r="D214" s="140" t="str">
        <f>IFERROR(__xludf.DUMMYFUNCTION("""COMPUTED_VALUE"""),"")</f>
        <v/>
      </c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>
      <c r="A215" s="140"/>
      <c r="B215" s="140"/>
      <c r="C215" s="140"/>
      <c r="D215" s="140" t="str">
        <f>IFERROR(__xludf.DUMMYFUNCTION("""COMPUTED_VALUE"""),"")</f>
        <v/>
      </c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>
      <c r="A216" s="140"/>
      <c r="B216" s="140"/>
      <c r="C216" s="140"/>
      <c r="D216" s="140" t="str">
        <f>IFERROR(__xludf.DUMMYFUNCTION("""COMPUTED_VALUE"""),"")</f>
        <v/>
      </c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>
      <c r="A217" s="140"/>
      <c r="B217" s="140"/>
      <c r="C217" s="140"/>
      <c r="D217" s="140" t="str">
        <f>IFERROR(__xludf.DUMMYFUNCTION("""COMPUTED_VALUE"""),"")</f>
        <v/>
      </c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>
      <c r="A218" s="140"/>
      <c r="B218" s="140"/>
      <c r="C218" s="140"/>
      <c r="D218" s="140" t="str">
        <f>IFERROR(__xludf.DUMMYFUNCTION("""COMPUTED_VALUE"""),"")</f>
        <v/>
      </c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>
      <c r="A219" s="140"/>
      <c r="B219" s="140"/>
      <c r="C219" s="140"/>
      <c r="D219" s="140" t="str">
        <f>IFERROR(__xludf.DUMMYFUNCTION("""COMPUTED_VALUE"""),"")</f>
        <v/>
      </c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>
      <c r="A220" s="140"/>
      <c r="B220" s="140"/>
      <c r="C220" s="140"/>
      <c r="D220" s="140" t="str">
        <f>IFERROR(__xludf.DUMMYFUNCTION("""COMPUTED_VALUE"""),"")</f>
        <v/>
      </c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>
      <c r="A221" s="140"/>
      <c r="B221" s="140"/>
      <c r="C221" s="140"/>
      <c r="D221" s="140" t="str">
        <f>IFERROR(__xludf.DUMMYFUNCTION("""COMPUTED_VALUE"""),"")</f>
        <v/>
      </c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>
      <c r="A222" s="140"/>
      <c r="B222" s="140"/>
      <c r="C222" s="140"/>
      <c r="D222" s="140" t="str">
        <f>IFERROR(__xludf.DUMMYFUNCTION("""COMPUTED_VALUE"""),"")</f>
        <v/>
      </c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>
      <c r="A223" s="140"/>
      <c r="B223" s="140"/>
      <c r="C223" s="140"/>
      <c r="D223" s="140" t="str">
        <f>IFERROR(__xludf.DUMMYFUNCTION("""COMPUTED_VALUE"""),"")</f>
        <v/>
      </c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>
      <c r="A224" s="140"/>
      <c r="B224" s="140"/>
      <c r="C224" s="140"/>
      <c r="D224" s="140" t="str">
        <f>IFERROR(__xludf.DUMMYFUNCTION("""COMPUTED_VALUE"""),"")</f>
        <v/>
      </c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>
      <c r="A225" s="140"/>
      <c r="B225" s="140"/>
      <c r="C225" s="140"/>
      <c r="D225" s="140" t="str">
        <f>IFERROR(__xludf.DUMMYFUNCTION("""COMPUTED_VALUE"""),"")</f>
        <v/>
      </c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>
      <c r="A226" s="140"/>
      <c r="B226" s="140"/>
      <c r="C226" s="140"/>
      <c r="D226" s="140" t="str">
        <f>IFERROR(__xludf.DUMMYFUNCTION("""COMPUTED_VALUE"""),"")</f>
        <v/>
      </c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>
      <c r="A227" s="140"/>
      <c r="B227" s="140"/>
      <c r="C227" s="140"/>
      <c r="D227" s="140" t="str">
        <f>IFERROR(__xludf.DUMMYFUNCTION("""COMPUTED_VALUE"""),"")</f>
        <v/>
      </c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>
      <c r="A228" s="140"/>
      <c r="B228" s="140"/>
      <c r="C228" s="140"/>
      <c r="D228" s="140" t="str">
        <f>IFERROR(__xludf.DUMMYFUNCTION("""COMPUTED_VALUE"""),"")</f>
        <v/>
      </c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>
      <c r="A229" s="140"/>
      <c r="B229" s="140"/>
      <c r="C229" s="140"/>
      <c r="D229" s="140" t="str">
        <f>IFERROR(__xludf.DUMMYFUNCTION("""COMPUTED_VALUE"""),"")</f>
        <v/>
      </c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>
      <c r="A230" s="140"/>
      <c r="B230" s="140"/>
      <c r="C230" s="140"/>
      <c r="D230" s="140" t="str">
        <f>IFERROR(__xludf.DUMMYFUNCTION("""COMPUTED_VALUE"""),"")</f>
        <v/>
      </c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>
      <c r="A231" s="140"/>
      <c r="B231" s="140"/>
      <c r="C231" s="140"/>
      <c r="D231" s="140" t="str">
        <f>IFERROR(__xludf.DUMMYFUNCTION("""COMPUTED_VALUE"""),"")</f>
        <v/>
      </c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>
      <c r="A232" s="140"/>
      <c r="B232" s="140"/>
      <c r="C232" s="140"/>
      <c r="D232" s="140" t="str">
        <f>IFERROR(__xludf.DUMMYFUNCTION("""COMPUTED_VALUE"""),"")</f>
        <v/>
      </c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>
      <c r="A233" s="140"/>
      <c r="B233" s="140"/>
      <c r="C233" s="140"/>
      <c r="D233" s="140" t="str">
        <f>IFERROR(__xludf.DUMMYFUNCTION("""COMPUTED_VALUE"""),"")</f>
        <v/>
      </c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>
      <c r="A234" s="140"/>
      <c r="B234" s="140"/>
      <c r="C234" s="140"/>
      <c r="D234" s="140" t="str">
        <f>IFERROR(__xludf.DUMMYFUNCTION("""COMPUTED_VALUE"""),"")</f>
        <v/>
      </c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>
      <c r="A235" s="140"/>
      <c r="B235" s="140"/>
      <c r="C235" s="140"/>
      <c r="D235" s="140" t="str">
        <f>IFERROR(__xludf.DUMMYFUNCTION("""COMPUTED_VALUE"""),"")</f>
        <v/>
      </c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>
      <c r="A236" s="140"/>
      <c r="B236" s="140"/>
      <c r="C236" s="140"/>
      <c r="D236" s="140" t="str">
        <f>IFERROR(__xludf.DUMMYFUNCTION("""COMPUTED_VALUE"""),"")</f>
        <v/>
      </c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>
      <c r="A237" s="140"/>
      <c r="B237" s="140"/>
      <c r="C237" s="140"/>
      <c r="D237" s="140" t="str">
        <f>IFERROR(__xludf.DUMMYFUNCTION("""COMPUTED_VALUE"""),"")</f>
        <v/>
      </c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>
      <c r="A238" s="140"/>
      <c r="B238" s="140"/>
      <c r="C238" s="140"/>
      <c r="D238" s="140" t="str">
        <f>IFERROR(__xludf.DUMMYFUNCTION("""COMPUTED_VALUE"""),"")</f>
        <v/>
      </c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>
      <c r="A239" s="140"/>
      <c r="B239" s="140"/>
      <c r="C239" s="140"/>
      <c r="D239" s="140" t="str">
        <f>IFERROR(__xludf.DUMMYFUNCTION("""COMPUTED_VALUE"""),"")</f>
        <v/>
      </c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>
      <c r="A240" s="140"/>
      <c r="B240" s="140"/>
      <c r="C240" s="140"/>
      <c r="D240" s="140" t="str">
        <f>IFERROR(__xludf.DUMMYFUNCTION("""COMPUTED_VALUE"""),"")</f>
        <v/>
      </c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>
      <c r="A241" s="140"/>
      <c r="B241" s="140"/>
      <c r="C241" s="140"/>
      <c r="D241" s="140" t="str">
        <f>IFERROR(__xludf.DUMMYFUNCTION("""COMPUTED_VALUE"""),"")</f>
        <v/>
      </c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>
      <c r="A242" s="140"/>
      <c r="B242" s="140"/>
      <c r="C242" s="140"/>
      <c r="D242" s="140" t="str">
        <f>IFERROR(__xludf.DUMMYFUNCTION("""COMPUTED_VALUE"""),"")</f>
        <v/>
      </c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>
      <c r="A243" s="140"/>
      <c r="B243" s="140"/>
      <c r="C243" s="140"/>
      <c r="D243" s="140" t="str">
        <f>IFERROR(__xludf.DUMMYFUNCTION("""COMPUTED_VALUE"""),"")</f>
        <v/>
      </c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>
      <c r="A244" s="140"/>
      <c r="B244" s="140"/>
      <c r="C244" s="140"/>
      <c r="D244" s="140" t="str">
        <f>IFERROR(__xludf.DUMMYFUNCTION("""COMPUTED_VALUE"""),"")</f>
        <v/>
      </c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>
      <c r="A245" s="140"/>
      <c r="B245" s="140"/>
      <c r="C245" s="140"/>
      <c r="D245" s="140" t="str">
        <f>IFERROR(__xludf.DUMMYFUNCTION("""COMPUTED_VALUE"""),"")</f>
        <v/>
      </c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>
      <c r="A246" s="140"/>
      <c r="B246" s="140"/>
      <c r="C246" s="140"/>
      <c r="D246" s="140" t="str">
        <f>IFERROR(__xludf.DUMMYFUNCTION("""COMPUTED_VALUE"""),"")</f>
        <v/>
      </c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>
      <c r="A247" s="140"/>
      <c r="B247" s="140"/>
      <c r="C247" s="140"/>
      <c r="D247" s="140" t="str">
        <f>IFERROR(__xludf.DUMMYFUNCTION("""COMPUTED_VALUE"""),"")</f>
        <v/>
      </c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>
      <c r="A248" s="140"/>
      <c r="B248" s="140"/>
      <c r="C248" s="140"/>
      <c r="D248" s="140" t="str">
        <f>IFERROR(__xludf.DUMMYFUNCTION("""COMPUTED_VALUE"""),"")</f>
        <v/>
      </c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>
      <c r="A249" s="140"/>
      <c r="B249" s="140"/>
      <c r="C249" s="140"/>
      <c r="D249" s="140" t="str">
        <f>IFERROR(__xludf.DUMMYFUNCTION("""COMPUTED_VALUE"""),"")</f>
        <v/>
      </c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>
      <c r="A250" s="140"/>
      <c r="B250" s="140"/>
      <c r="C250" s="140"/>
      <c r="D250" s="140" t="str">
        <f>IFERROR(__xludf.DUMMYFUNCTION("""COMPUTED_VALUE"""),"")</f>
        <v/>
      </c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>
      <c r="A251" s="140"/>
      <c r="B251" s="140"/>
      <c r="C251" s="140"/>
      <c r="D251" s="140" t="str">
        <f>IFERROR(__xludf.DUMMYFUNCTION("""COMPUTED_VALUE"""),"")</f>
        <v/>
      </c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>
      <c r="A252" s="140"/>
      <c r="B252" s="140"/>
      <c r="C252" s="140"/>
      <c r="D252" s="140" t="str">
        <f>IFERROR(__xludf.DUMMYFUNCTION("""COMPUTED_VALUE"""),"")</f>
        <v/>
      </c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>
      <c r="A253" s="140"/>
      <c r="B253" s="140"/>
      <c r="C253" s="140"/>
      <c r="D253" s="140" t="str">
        <f>IFERROR(__xludf.DUMMYFUNCTION("""COMPUTED_VALUE"""),"")</f>
        <v/>
      </c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>
      <c r="A254" s="140"/>
      <c r="B254" s="140"/>
      <c r="C254" s="140"/>
      <c r="D254" s="140" t="str">
        <f>IFERROR(__xludf.DUMMYFUNCTION("""COMPUTED_VALUE"""),"")</f>
        <v/>
      </c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>
      <c r="A255" s="140"/>
      <c r="B255" s="140"/>
      <c r="C255" s="140"/>
      <c r="D255" s="140" t="str">
        <f>IFERROR(__xludf.DUMMYFUNCTION("""COMPUTED_VALUE"""),"")</f>
        <v/>
      </c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>
      <c r="A256" s="140"/>
      <c r="B256" s="140"/>
      <c r="C256" s="140"/>
      <c r="D256" s="140" t="str">
        <f>IFERROR(__xludf.DUMMYFUNCTION("""COMPUTED_VALUE"""),"")</f>
        <v/>
      </c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>
      <c r="A257" s="140"/>
      <c r="B257" s="140"/>
      <c r="C257" s="140"/>
      <c r="D257" s="140" t="str">
        <f>IFERROR(__xludf.DUMMYFUNCTION("""COMPUTED_VALUE"""),"")</f>
        <v/>
      </c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>
      <c r="A258" s="140"/>
      <c r="B258" s="140"/>
      <c r="C258" s="140"/>
      <c r="D258" s="140" t="str">
        <f>IFERROR(__xludf.DUMMYFUNCTION("""COMPUTED_VALUE"""),"")</f>
        <v/>
      </c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>
      <c r="A259" s="140"/>
      <c r="B259" s="140"/>
      <c r="C259" s="140"/>
      <c r="D259" s="140" t="str">
        <f>IFERROR(__xludf.DUMMYFUNCTION("""COMPUTED_VALUE"""),"")</f>
        <v/>
      </c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>
      <c r="A260" s="140"/>
      <c r="B260" s="140"/>
      <c r="C260" s="140"/>
      <c r="D260" s="140" t="str">
        <f>IFERROR(__xludf.DUMMYFUNCTION("""COMPUTED_VALUE"""),"")</f>
        <v/>
      </c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>
      <c r="A261" s="140"/>
      <c r="B261" s="140"/>
      <c r="C261" s="140"/>
      <c r="D261" s="140" t="str">
        <f>IFERROR(__xludf.DUMMYFUNCTION("""COMPUTED_VALUE"""),"")</f>
        <v/>
      </c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>
      <c r="A262" s="140"/>
      <c r="B262" s="140"/>
      <c r="C262" s="140"/>
      <c r="D262" s="140" t="str">
        <f>IFERROR(__xludf.DUMMYFUNCTION("""COMPUTED_VALUE"""),"")</f>
        <v/>
      </c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>
      <c r="A263" s="140"/>
      <c r="B263" s="140"/>
      <c r="C263" s="140"/>
      <c r="D263" s="140" t="str">
        <f>IFERROR(__xludf.DUMMYFUNCTION("""COMPUTED_VALUE"""),"")</f>
        <v/>
      </c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>
      <c r="A264" s="140"/>
      <c r="B264" s="140"/>
      <c r="C264" s="140"/>
      <c r="D264" s="140" t="str">
        <f>IFERROR(__xludf.DUMMYFUNCTION("""COMPUTED_VALUE"""),"")</f>
        <v/>
      </c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>
      <c r="A265" s="140"/>
      <c r="B265" s="140"/>
      <c r="C265" s="140"/>
      <c r="D265" s="140" t="str">
        <f>IFERROR(__xludf.DUMMYFUNCTION("""COMPUTED_VALUE"""),"")</f>
        <v/>
      </c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>
      <c r="A266" s="140"/>
      <c r="B266" s="140"/>
      <c r="C266" s="140"/>
      <c r="D266" s="140" t="str">
        <f>IFERROR(__xludf.DUMMYFUNCTION("""COMPUTED_VALUE"""),"")</f>
        <v/>
      </c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>
      <c r="A267" s="140"/>
      <c r="B267" s="140"/>
      <c r="C267" s="140"/>
      <c r="D267" s="140" t="str">
        <f>IFERROR(__xludf.DUMMYFUNCTION("""COMPUTED_VALUE"""),"")</f>
        <v/>
      </c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>
      <c r="A268" s="140"/>
      <c r="B268" s="140"/>
      <c r="C268" s="140"/>
      <c r="D268" s="140" t="str">
        <f>IFERROR(__xludf.DUMMYFUNCTION("""COMPUTED_VALUE"""),"")</f>
        <v/>
      </c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>
      <c r="A269" s="140"/>
      <c r="B269" s="140"/>
      <c r="C269" s="140"/>
      <c r="D269" s="140" t="str">
        <f>IFERROR(__xludf.DUMMYFUNCTION("""COMPUTED_VALUE"""),"")</f>
        <v/>
      </c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>
      <c r="A270" s="140"/>
      <c r="B270" s="140"/>
      <c r="C270" s="140"/>
      <c r="D270" s="140" t="str">
        <f>IFERROR(__xludf.DUMMYFUNCTION("""COMPUTED_VALUE"""),"")</f>
        <v/>
      </c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>
      <c r="A271" s="140"/>
      <c r="B271" s="140"/>
      <c r="C271" s="140"/>
      <c r="D271" s="140" t="str">
        <f>IFERROR(__xludf.DUMMYFUNCTION("""COMPUTED_VALUE"""),"")</f>
        <v/>
      </c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>
      <c r="A272" s="140"/>
      <c r="B272" s="140"/>
      <c r="C272" s="140"/>
      <c r="D272" s="140" t="str">
        <f>IFERROR(__xludf.DUMMYFUNCTION("""COMPUTED_VALUE"""),"")</f>
        <v/>
      </c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>
      <c r="A273" s="140"/>
      <c r="B273" s="140"/>
      <c r="C273" s="140"/>
      <c r="D273" s="140" t="str">
        <f>IFERROR(__xludf.DUMMYFUNCTION("""COMPUTED_VALUE"""),"")</f>
        <v/>
      </c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>
      <c r="A274" s="140"/>
      <c r="B274" s="140"/>
      <c r="C274" s="140"/>
      <c r="D274" s="140" t="str">
        <f>IFERROR(__xludf.DUMMYFUNCTION("""COMPUTED_VALUE"""),"")</f>
        <v/>
      </c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>
      <c r="A275" s="140"/>
      <c r="B275" s="140"/>
      <c r="C275" s="140"/>
      <c r="D275" s="140" t="str">
        <f>IFERROR(__xludf.DUMMYFUNCTION("""COMPUTED_VALUE"""),"")</f>
        <v/>
      </c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>
      <c r="A276" s="140"/>
      <c r="B276" s="140"/>
      <c r="C276" s="140"/>
      <c r="D276" s="140" t="str">
        <f>IFERROR(__xludf.DUMMYFUNCTION("""COMPUTED_VALUE"""),"")</f>
        <v/>
      </c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>
      <c r="A277" s="140"/>
      <c r="B277" s="140"/>
      <c r="C277" s="140"/>
      <c r="D277" s="140" t="str">
        <f>IFERROR(__xludf.DUMMYFUNCTION("""COMPUTED_VALUE"""),"")</f>
        <v/>
      </c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>
      <c r="A278" s="140"/>
      <c r="B278" s="140"/>
      <c r="C278" s="140"/>
      <c r="D278" s="140" t="str">
        <f>IFERROR(__xludf.DUMMYFUNCTION("""COMPUTED_VALUE"""),"")</f>
        <v/>
      </c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>
      <c r="A279" s="140"/>
      <c r="B279" s="140"/>
      <c r="C279" s="140"/>
      <c r="D279" s="140" t="str">
        <f>IFERROR(__xludf.DUMMYFUNCTION("""COMPUTED_VALUE"""),"")</f>
        <v/>
      </c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>
      <c r="A280" s="140"/>
      <c r="B280" s="140"/>
      <c r="C280" s="140"/>
      <c r="D280" s="140" t="str">
        <f>IFERROR(__xludf.DUMMYFUNCTION("""COMPUTED_VALUE"""),"")</f>
        <v/>
      </c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>
      <c r="A281" s="140"/>
      <c r="B281" s="140"/>
      <c r="C281" s="140"/>
      <c r="D281" s="140" t="str">
        <f>IFERROR(__xludf.DUMMYFUNCTION("""COMPUTED_VALUE"""),"")</f>
        <v/>
      </c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>
      <c r="A282" s="140"/>
      <c r="B282" s="140"/>
      <c r="C282" s="140"/>
      <c r="D282" s="140" t="str">
        <f>IFERROR(__xludf.DUMMYFUNCTION("""COMPUTED_VALUE"""),"")</f>
        <v/>
      </c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>
      <c r="A283" s="140"/>
      <c r="B283" s="140"/>
      <c r="C283" s="140"/>
      <c r="D283" s="140" t="str">
        <f>IFERROR(__xludf.DUMMYFUNCTION("""COMPUTED_VALUE"""),"")</f>
        <v/>
      </c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>
      <c r="A284" s="140"/>
      <c r="B284" s="140"/>
      <c r="C284" s="140"/>
      <c r="D284" s="140" t="str">
        <f>IFERROR(__xludf.DUMMYFUNCTION("""COMPUTED_VALUE"""),"")</f>
        <v/>
      </c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>
      <c r="A285" s="140"/>
      <c r="B285" s="140"/>
      <c r="C285" s="140"/>
      <c r="D285" s="140" t="str">
        <f>IFERROR(__xludf.DUMMYFUNCTION("""COMPUTED_VALUE"""),"")</f>
        <v/>
      </c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>
      <c r="A286" s="140"/>
      <c r="B286" s="140"/>
      <c r="C286" s="140"/>
      <c r="D286" s="140" t="str">
        <f>IFERROR(__xludf.DUMMYFUNCTION("""COMPUTED_VALUE"""),"")</f>
        <v/>
      </c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>
      <c r="A287" s="140"/>
      <c r="B287" s="140"/>
      <c r="C287" s="140"/>
      <c r="D287" s="140" t="str">
        <f>IFERROR(__xludf.DUMMYFUNCTION("""COMPUTED_VALUE"""),"")</f>
        <v/>
      </c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>
      <c r="A288" s="140"/>
      <c r="B288" s="140"/>
      <c r="C288" s="140"/>
      <c r="D288" s="140" t="str">
        <f>IFERROR(__xludf.DUMMYFUNCTION("""COMPUTED_VALUE"""),"")</f>
        <v/>
      </c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>
      <c r="A289" s="140"/>
      <c r="B289" s="140"/>
      <c r="C289" s="140"/>
      <c r="D289" s="140" t="str">
        <f>IFERROR(__xludf.DUMMYFUNCTION("""COMPUTED_VALUE"""),"")</f>
        <v/>
      </c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>
      <c r="A290" s="140"/>
      <c r="B290" s="140"/>
      <c r="C290" s="140"/>
      <c r="D290" s="140" t="str">
        <f>IFERROR(__xludf.DUMMYFUNCTION("""COMPUTED_VALUE"""),"")</f>
        <v/>
      </c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>
      <c r="A291" s="140"/>
      <c r="B291" s="140"/>
      <c r="C291" s="140"/>
      <c r="D291" s="140" t="str">
        <f>IFERROR(__xludf.DUMMYFUNCTION("""COMPUTED_VALUE"""),"")</f>
        <v/>
      </c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>
      <c r="A292" s="140"/>
      <c r="B292" s="140"/>
      <c r="C292" s="140"/>
      <c r="D292" s="140" t="str">
        <f>IFERROR(__xludf.DUMMYFUNCTION("""COMPUTED_VALUE"""),"")</f>
        <v/>
      </c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>
      <c r="A293" s="140"/>
      <c r="B293" s="140"/>
      <c r="C293" s="140"/>
      <c r="D293" s="140" t="str">
        <f>IFERROR(__xludf.DUMMYFUNCTION("""COMPUTED_VALUE"""),"")</f>
        <v/>
      </c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>
      <c r="A294" s="140"/>
      <c r="B294" s="140"/>
      <c r="C294" s="140"/>
      <c r="D294" s="140" t="str">
        <f>IFERROR(__xludf.DUMMYFUNCTION("""COMPUTED_VALUE"""),"")</f>
        <v/>
      </c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>
      <c r="A295" s="140"/>
      <c r="B295" s="140"/>
      <c r="C295" s="140"/>
      <c r="D295" s="140" t="str">
        <f>IFERROR(__xludf.DUMMYFUNCTION("""COMPUTED_VALUE"""),"")</f>
        <v/>
      </c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>
      <c r="A296" s="140"/>
      <c r="B296" s="140"/>
      <c r="C296" s="140"/>
      <c r="D296" s="140" t="str">
        <f>IFERROR(__xludf.DUMMYFUNCTION("""COMPUTED_VALUE"""),"")</f>
        <v/>
      </c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>
      <c r="A297" s="140"/>
      <c r="B297" s="140"/>
      <c r="C297" s="140"/>
      <c r="D297" s="140" t="str">
        <f>IFERROR(__xludf.DUMMYFUNCTION("""COMPUTED_VALUE"""),"")</f>
        <v/>
      </c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>
      <c r="A298" s="140"/>
      <c r="B298" s="140"/>
      <c r="C298" s="140"/>
      <c r="D298" s="140" t="str">
        <f>IFERROR(__xludf.DUMMYFUNCTION("""COMPUTED_VALUE"""),"")</f>
        <v/>
      </c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>
      <c r="A299" s="140"/>
      <c r="B299" s="140"/>
      <c r="C299" s="140"/>
      <c r="D299" s="140" t="str">
        <f>IFERROR(__xludf.DUMMYFUNCTION("""COMPUTED_VALUE"""),"")</f>
        <v/>
      </c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>
      <c r="A300" s="140"/>
      <c r="B300" s="140"/>
      <c r="C300" s="140"/>
      <c r="D300" s="140" t="str">
        <f>IFERROR(__xludf.DUMMYFUNCTION("""COMPUTED_VALUE"""),"")</f>
        <v/>
      </c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>
      <c r="A301" s="140"/>
      <c r="B301" s="140"/>
      <c r="C301" s="140"/>
      <c r="D301" s="140" t="str">
        <f>IFERROR(__xludf.DUMMYFUNCTION("""COMPUTED_VALUE"""),"")</f>
        <v/>
      </c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>
      <c r="A302" s="140"/>
      <c r="B302" s="140"/>
      <c r="C302" s="140"/>
      <c r="D302" s="140" t="str">
        <f>IFERROR(__xludf.DUMMYFUNCTION("""COMPUTED_VALUE"""),"")</f>
        <v/>
      </c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>
      <c r="A303" s="140"/>
      <c r="B303" s="140"/>
      <c r="C303" s="140"/>
      <c r="D303" s="140" t="str">
        <f>IFERROR(__xludf.DUMMYFUNCTION("""COMPUTED_VALUE"""),"")</f>
        <v/>
      </c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>
      <c r="A304" s="140"/>
      <c r="B304" s="140"/>
      <c r="C304" s="140"/>
      <c r="D304" s="140" t="str">
        <f>IFERROR(__xludf.DUMMYFUNCTION("""COMPUTED_VALUE"""),"")</f>
        <v/>
      </c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>
      <c r="A305" s="140"/>
      <c r="B305" s="140"/>
      <c r="C305" s="140"/>
      <c r="D305" s="140" t="str">
        <f>IFERROR(__xludf.DUMMYFUNCTION("""COMPUTED_VALUE"""),"")</f>
        <v/>
      </c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>
      <c r="A306" s="140"/>
      <c r="B306" s="140"/>
      <c r="C306" s="140"/>
      <c r="D306" s="140" t="str">
        <f>IFERROR(__xludf.DUMMYFUNCTION("""COMPUTED_VALUE"""),"")</f>
        <v/>
      </c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>
      <c r="A307" s="140"/>
      <c r="B307" s="140"/>
      <c r="C307" s="140"/>
      <c r="D307" s="140" t="str">
        <f>IFERROR(__xludf.DUMMYFUNCTION("""COMPUTED_VALUE"""),"")</f>
        <v/>
      </c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>
      <c r="A308" s="140"/>
      <c r="B308" s="140"/>
      <c r="C308" s="140"/>
      <c r="D308" s="140" t="str">
        <f>IFERROR(__xludf.DUMMYFUNCTION("""COMPUTED_VALUE"""),"")</f>
        <v/>
      </c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>
      <c r="A309" s="140"/>
      <c r="B309" s="140"/>
      <c r="C309" s="140"/>
      <c r="D309" s="140" t="str">
        <f>IFERROR(__xludf.DUMMYFUNCTION("""COMPUTED_VALUE"""),"")</f>
        <v/>
      </c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>
      <c r="A310" s="140"/>
      <c r="B310" s="140"/>
      <c r="C310" s="140"/>
      <c r="D310" s="140" t="str">
        <f>IFERROR(__xludf.DUMMYFUNCTION("""COMPUTED_VALUE"""),"")</f>
        <v/>
      </c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>
      <c r="A311" s="140"/>
      <c r="B311" s="140"/>
      <c r="C311" s="140"/>
      <c r="D311" s="140" t="str">
        <f>IFERROR(__xludf.DUMMYFUNCTION("""COMPUTED_VALUE"""),"")</f>
        <v/>
      </c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>
      <c r="A312" s="140"/>
      <c r="B312" s="140"/>
      <c r="C312" s="140"/>
      <c r="D312" s="140" t="str">
        <f>IFERROR(__xludf.DUMMYFUNCTION("""COMPUTED_VALUE"""),"")</f>
        <v/>
      </c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>
      <c r="A313" s="140"/>
      <c r="B313" s="140"/>
      <c r="C313" s="140"/>
      <c r="D313" s="140" t="str">
        <f>IFERROR(__xludf.DUMMYFUNCTION("""COMPUTED_VALUE"""),"")</f>
        <v/>
      </c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>
      <c r="A314" s="140"/>
      <c r="B314" s="140"/>
      <c r="C314" s="140"/>
      <c r="D314" s="140" t="str">
        <f>IFERROR(__xludf.DUMMYFUNCTION("""COMPUTED_VALUE"""),"")</f>
        <v/>
      </c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>
      <c r="A315" s="140"/>
      <c r="B315" s="140"/>
      <c r="C315" s="140"/>
      <c r="D315" s="140" t="str">
        <f>IFERROR(__xludf.DUMMYFUNCTION("""COMPUTED_VALUE"""),"")</f>
        <v/>
      </c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>
      <c r="A316" s="140"/>
      <c r="B316" s="140"/>
      <c r="C316" s="140"/>
      <c r="D316" s="140" t="str">
        <f>IFERROR(__xludf.DUMMYFUNCTION("""COMPUTED_VALUE"""),"")</f>
        <v/>
      </c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>
      <c r="A317" s="140"/>
      <c r="B317" s="140"/>
      <c r="C317" s="140"/>
      <c r="D317" s="140" t="str">
        <f>IFERROR(__xludf.DUMMYFUNCTION("""COMPUTED_VALUE"""),"")</f>
        <v/>
      </c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>
      <c r="A318" s="140"/>
      <c r="B318" s="140"/>
      <c r="C318" s="140"/>
      <c r="D318" s="140" t="str">
        <f>IFERROR(__xludf.DUMMYFUNCTION("""COMPUTED_VALUE"""),"")</f>
        <v/>
      </c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>
      <c r="A319" s="140"/>
      <c r="B319" s="140"/>
      <c r="C319" s="140"/>
      <c r="D319" s="140" t="str">
        <f>IFERROR(__xludf.DUMMYFUNCTION("""COMPUTED_VALUE"""),"")</f>
        <v/>
      </c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>
      <c r="A320" s="140"/>
      <c r="B320" s="140"/>
      <c r="C320" s="140"/>
      <c r="D320" s="140" t="str">
        <f>IFERROR(__xludf.DUMMYFUNCTION("""COMPUTED_VALUE"""),"")</f>
        <v/>
      </c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>
      <c r="A321" s="140"/>
      <c r="B321" s="140"/>
      <c r="C321" s="140"/>
      <c r="D321" s="140" t="str">
        <f>IFERROR(__xludf.DUMMYFUNCTION("""COMPUTED_VALUE"""),"")</f>
        <v/>
      </c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>
      <c r="A322" s="140"/>
      <c r="B322" s="140"/>
      <c r="C322" s="140"/>
      <c r="D322" s="140" t="str">
        <f>IFERROR(__xludf.DUMMYFUNCTION("""COMPUTED_VALUE"""),"")</f>
        <v/>
      </c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>
      <c r="A323" s="140"/>
      <c r="B323" s="140"/>
      <c r="C323" s="140"/>
      <c r="D323" s="140" t="str">
        <f>IFERROR(__xludf.DUMMYFUNCTION("""COMPUTED_VALUE"""),"")</f>
        <v/>
      </c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>
      <c r="A324" s="140"/>
      <c r="B324" s="140"/>
      <c r="C324" s="140"/>
      <c r="D324" s="140" t="str">
        <f>IFERROR(__xludf.DUMMYFUNCTION("""COMPUTED_VALUE"""),"")</f>
        <v/>
      </c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>
      <c r="A325" s="140"/>
      <c r="B325" s="140"/>
      <c r="C325" s="140"/>
      <c r="D325" s="140" t="str">
        <f>IFERROR(__xludf.DUMMYFUNCTION("""COMPUTED_VALUE"""),"")</f>
        <v/>
      </c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>
      <c r="A326" s="140"/>
      <c r="B326" s="140"/>
      <c r="C326" s="140"/>
      <c r="D326" s="140" t="str">
        <f>IFERROR(__xludf.DUMMYFUNCTION("""COMPUTED_VALUE"""),"")</f>
        <v/>
      </c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>
      <c r="A327" s="140"/>
      <c r="B327" s="140"/>
      <c r="C327" s="140"/>
      <c r="D327" s="140" t="str">
        <f>IFERROR(__xludf.DUMMYFUNCTION("""COMPUTED_VALUE"""),"")</f>
        <v/>
      </c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>
      <c r="A328" s="140"/>
      <c r="B328" s="140"/>
      <c r="C328" s="140"/>
      <c r="D328" s="140" t="str">
        <f>IFERROR(__xludf.DUMMYFUNCTION("""COMPUTED_VALUE"""),"")</f>
        <v/>
      </c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>
      <c r="A329" s="140"/>
      <c r="B329" s="140"/>
      <c r="C329" s="140"/>
      <c r="D329" s="140" t="str">
        <f>IFERROR(__xludf.DUMMYFUNCTION("""COMPUTED_VALUE"""),"")</f>
        <v/>
      </c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>
      <c r="A330" s="140"/>
      <c r="B330" s="140"/>
      <c r="C330" s="140"/>
      <c r="D330" s="140" t="str">
        <f>IFERROR(__xludf.DUMMYFUNCTION("""COMPUTED_VALUE"""),"")</f>
        <v/>
      </c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>
      <c r="A331" s="140"/>
      <c r="B331" s="140"/>
      <c r="C331" s="140"/>
      <c r="D331" s="140" t="str">
        <f>IFERROR(__xludf.DUMMYFUNCTION("""COMPUTED_VALUE"""),"")</f>
        <v/>
      </c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>
      <c r="A332" s="140"/>
      <c r="B332" s="140"/>
      <c r="C332" s="140"/>
      <c r="D332" s="140" t="str">
        <f>IFERROR(__xludf.DUMMYFUNCTION("""COMPUTED_VALUE"""),"")</f>
        <v/>
      </c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>
      <c r="A333" s="140"/>
      <c r="B333" s="140"/>
      <c r="C333" s="140"/>
      <c r="D333" s="140" t="str">
        <f>IFERROR(__xludf.DUMMYFUNCTION("""COMPUTED_VALUE"""),"")</f>
        <v/>
      </c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>
      <c r="A334" s="140"/>
      <c r="B334" s="140"/>
      <c r="C334" s="140"/>
      <c r="D334" s="140" t="str">
        <f>IFERROR(__xludf.DUMMYFUNCTION("""COMPUTED_VALUE"""),"")</f>
        <v/>
      </c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>
      <c r="A335" s="140"/>
      <c r="B335" s="140"/>
      <c r="C335" s="140"/>
      <c r="D335" s="140" t="str">
        <f>IFERROR(__xludf.DUMMYFUNCTION("""COMPUTED_VALUE"""),"")</f>
        <v/>
      </c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>
      <c r="A336" s="140"/>
      <c r="B336" s="140"/>
      <c r="C336" s="140"/>
      <c r="D336" s="140" t="str">
        <f>IFERROR(__xludf.DUMMYFUNCTION("""COMPUTED_VALUE"""),"")</f>
        <v/>
      </c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>
      <c r="A337" s="140"/>
      <c r="B337" s="140"/>
      <c r="C337" s="140"/>
      <c r="D337" s="140" t="str">
        <f>IFERROR(__xludf.DUMMYFUNCTION("""COMPUTED_VALUE"""),"")</f>
        <v/>
      </c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>
      <c r="A338" s="140"/>
      <c r="B338" s="140"/>
      <c r="C338" s="140"/>
      <c r="D338" s="140" t="str">
        <f>IFERROR(__xludf.DUMMYFUNCTION("""COMPUTED_VALUE"""),"")</f>
        <v/>
      </c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>
      <c r="A339" s="140"/>
      <c r="B339" s="140"/>
      <c r="C339" s="140"/>
      <c r="D339" s="140" t="str">
        <f>IFERROR(__xludf.DUMMYFUNCTION("""COMPUTED_VALUE"""),"")</f>
        <v/>
      </c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>
      <c r="A340" s="140"/>
      <c r="B340" s="140"/>
      <c r="C340" s="140"/>
      <c r="D340" s="140" t="str">
        <f>IFERROR(__xludf.DUMMYFUNCTION("""COMPUTED_VALUE"""),"")</f>
        <v/>
      </c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>
      <c r="A341" s="140"/>
      <c r="B341" s="140"/>
      <c r="C341" s="140"/>
      <c r="D341" s="140" t="str">
        <f>IFERROR(__xludf.DUMMYFUNCTION("""COMPUTED_VALUE"""),"")</f>
        <v/>
      </c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>
      <c r="A342" s="140"/>
      <c r="B342" s="140"/>
      <c r="C342" s="140"/>
      <c r="D342" s="140" t="str">
        <f>IFERROR(__xludf.DUMMYFUNCTION("""COMPUTED_VALUE"""),"")</f>
        <v/>
      </c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>
      <c r="A343" s="140"/>
      <c r="B343" s="140"/>
      <c r="C343" s="140"/>
      <c r="D343" s="140" t="str">
        <f>IFERROR(__xludf.DUMMYFUNCTION("""COMPUTED_VALUE"""),"")</f>
        <v/>
      </c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>
      <c r="A344" s="140"/>
      <c r="B344" s="140"/>
      <c r="C344" s="140"/>
      <c r="D344" s="140" t="str">
        <f>IFERROR(__xludf.DUMMYFUNCTION("""COMPUTED_VALUE"""),"")</f>
        <v/>
      </c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>
      <c r="A345" s="140"/>
      <c r="B345" s="140"/>
      <c r="C345" s="140"/>
      <c r="D345" s="140" t="str">
        <f>IFERROR(__xludf.DUMMYFUNCTION("""COMPUTED_VALUE"""),"")</f>
        <v/>
      </c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>
      <c r="A346" s="140"/>
      <c r="B346" s="140"/>
      <c r="C346" s="140"/>
      <c r="D346" s="140" t="str">
        <f>IFERROR(__xludf.DUMMYFUNCTION("""COMPUTED_VALUE"""),"")</f>
        <v/>
      </c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>
      <c r="A347" s="140"/>
      <c r="B347" s="140"/>
      <c r="C347" s="140"/>
      <c r="D347" s="140" t="str">
        <f>IFERROR(__xludf.DUMMYFUNCTION("""COMPUTED_VALUE"""),"")</f>
        <v/>
      </c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>
      <c r="A348" s="140"/>
      <c r="B348" s="140"/>
      <c r="C348" s="140"/>
      <c r="D348" s="140" t="str">
        <f>IFERROR(__xludf.DUMMYFUNCTION("""COMPUTED_VALUE"""),"")</f>
        <v/>
      </c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>
      <c r="A349" s="140"/>
      <c r="B349" s="140"/>
      <c r="C349" s="140"/>
      <c r="D349" s="140" t="str">
        <f>IFERROR(__xludf.DUMMYFUNCTION("""COMPUTED_VALUE"""),"")</f>
        <v/>
      </c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>
      <c r="A350" s="140"/>
      <c r="B350" s="140"/>
      <c r="C350" s="140"/>
      <c r="D350" s="140" t="str">
        <f>IFERROR(__xludf.DUMMYFUNCTION("""COMPUTED_VALUE"""),"")</f>
        <v/>
      </c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>
      <c r="A351" s="140"/>
      <c r="B351" s="140"/>
      <c r="C351" s="140"/>
      <c r="D351" s="140" t="str">
        <f>IFERROR(__xludf.DUMMYFUNCTION("""COMPUTED_VALUE"""),"")</f>
        <v/>
      </c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>
      <c r="A352" s="140"/>
      <c r="B352" s="140"/>
      <c r="C352" s="140"/>
      <c r="D352" s="140" t="str">
        <f>IFERROR(__xludf.DUMMYFUNCTION("""COMPUTED_VALUE"""),"")</f>
        <v/>
      </c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>
      <c r="A353" s="140"/>
      <c r="B353" s="140"/>
      <c r="C353" s="140"/>
      <c r="D353" s="140" t="str">
        <f>IFERROR(__xludf.DUMMYFUNCTION("""COMPUTED_VALUE"""),"")</f>
        <v/>
      </c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>
      <c r="A354" s="140"/>
      <c r="B354" s="140"/>
      <c r="C354" s="140"/>
      <c r="D354" s="140" t="str">
        <f>IFERROR(__xludf.DUMMYFUNCTION("""COMPUTED_VALUE"""),"")</f>
        <v/>
      </c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>
      <c r="A355" s="140"/>
      <c r="B355" s="140"/>
      <c r="C355" s="140"/>
      <c r="D355" s="140" t="str">
        <f>IFERROR(__xludf.DUMMYFUNCTION("""COMPUTED_VALUE"""),"")</f>
        <v/>
      </c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>
      <c r="A356" s="140"/>
      <c r="B356" s="140"/>
      <c r="C356" s="140"/>
      <c r="D356" s="140" t="str">
        <f>IFERROR(__xludf.DUMMYFUNCTION("""COMPUTED_VALUE"""),"")</f>
        <v/>
      </c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>
      <c r="A357" s="140"/>
      <c r="B357" s="140"/>
      <c r="C357" s="140"/>
      <c r="D357" s="140" t="str">
        <f>IFERROR(__xludf.DUMMYFUNCTION("""COMPUTED_VALUE"""),"")</f>
        <v/>
      </c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>
      <c r="A358" s="140"/>
      <c r="B358" s="140"/>
      <c r="C358" s="140"/>
      <c r="D358" s="140" t="str">
        <f>IFERROR(__xludf.DUMMYFUNCTION("""COMPUTED_VALUE"""),"")</f>
        <v/>
      </c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>
      <c r="A359" s="140"/>
      <c r="B359" s="140"/>
      <c r="C359" s="140"/>
      <c r="D359" s="140" t="str">
        <f>IFERROR(__xludf.DUMMYFUNCTION("""COMPUTED_VALUE"""),"")</f>
        <v/>
      </c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>
      <c r="A360" s="140"/>
      <c r="B360" s="140"/>
      <c r="C360" s="140"/>
      <c r="D360" s="140" t="str">
        <f>IFERROR(__xludf.DUMMYFUNCTION("""COMPUTED_VALUE"""),"")</f>
        <v/>
      </c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>
      <c r="A361" s="140"/>
      <c r="B361" s="140"/>
      <c r="C361" s="140"/>
      <c r="D361" s="140" t="str">
        <f>IFERROR(__xludf.DUMMYFUNCTION("""COMPUTED_VALUE"""),"")</f>
        <v/>
      </c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>
      <c r="A362" s="140"/>
      <c r="B362" s="140"/>
      <c r="C362" s="140"/>
      <c r="D362" s="140" t="str">
        <f>IFERROR(__xludf.DUMMYFUNCTION("""COMPUTED_VALUE"""),"")</f>
        <v/>
      </c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>
      <c r="A363" s="140"/>
      <c r="B363" s="140"/>
      <c r="C363" s="140"/>
      <c r="D363" s="140" t="str">
        <f>IFERROR(__xludf.DUMMYFUNCTION("""COMPUTED_VALUE"""),"")</f>
        <v/>
      </c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>
      <c r="A364" s="140"/>
      <c r="B364" s="140"/>
      <c r="C364" s="140"/>
      <c r="D364" s="140" t="str">
        <f>IFERROR(__xludf.DUMMYFUNCTION("""COMPUTED_VALUE"""),"")</f>
        <v/>
      </c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>
      <c r="A365" s="140"/>
      <c r="B365" s="140"/>
      <c r="C365" s="140"/>
      <c r="D365" s="140" t="str">
        <f>IFERROR(__xludf.DUMMYFUNCTION("""COMPUTED_VALUE"""),"")</f>
        <v/>
      </c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>
      <c r="A366" s="140"/>
      <c r="B366" s="140"/>
      <c r="C366" s="140"/>
      <c r="D366" s="140" t="str">
        <f>IFERROR(__xludf.DUMMYFUNCTION("""COMPUTED_VALUE"""),"")</f>
        <v/>
      </c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>
      <c r="A367" s="140"/>
      <c r="B367" s="140"/>
      <c r="C367" s="140"/>
      <c r="D367" s="140" t="str">
        <f>IFERROR(__xludf.DUMMYFUNCTION("""COMPUTED_VALUE"""),"")</f>
        <v/>
      </c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>
      <c r="A368" s="140"/>
      <c r="B368" s="140"/>
      <c r="C368" s="140"/>
      <c r="D368" s="140" t="str">
        <f>IFERROR(__xludf.DUMMYFUNCTION("""COMPUTED_VALUE"""),"")</f>
        <v/>
      </c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>
      <c r="A369" s="140"/>
      <c r="B369" s="140"/>
      <c r="C369" s="140"/>
      <c r="D369" s="140" t="str">
        <f>IFERROR(__xludf.DUMMYFUNCTION("""COMPUTED_VALUE"""),"")</f>
        <v/>
      </c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>
      <c r="A370" s="140"/>
      <c r="B370" s="140"/>
      <c r="C370" s="140"/>
      <c r="D370" s="140" t="str">
        <f>IFERROR(__xludf.DUMMYFUNCTION("""COMPUTED_VALUE"""),"")</f>
        <v/>
      </c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>
      <c r="A371" s="140"/>
      <c r="B371" s="140"/>
      <c r="C371" s="140"/>
      <c r="D371" s="140" t="str">
        <f>IFERROR(__xludf.DUMMYFUNCTION("""COMPUTED_VALUE"""),"")</f>
        <v/>
      </c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>
      <c r="A372" s="140"/>
      <c r="B372" s="140"/>
      <c r="C372" s="140"/>
      <c r="D372" s="140" t="str">
        <f>IFERROR(__xludf.DUMMYFUNCTION("""COMPUTED_VALUE"""),"")</f>
        <v/>
      </c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>
      <c r="A373" s="140"/>
      <c r="B373" s="140"/>
      <c r="C373" s="140"/>
      <c r="D373" s="140" t="str">
        <f>IFERROR(__xludf.DUMMYFUNCTION("""COMPUTED_VALUE"""),"")</f>
        <v/>
      </c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>
      <c r="A374" s="140"/>
      <c r="B374" s="140"/>
      <c r="C374" s="140"/>
      <c r="D374" s="140" t="str">
        <f>IFERROR(__xludf.DUMMYFUNCTION("""COMPUTED_VALUE"""),"")</f>
        <v/>
      </c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>
      <c r="A375" s="140"/>
      <c r="B375" s="140"/>
      <c r="C375" s="140"/>
      <c r="D375" s="140" t="str">
        <f>IFERROR(__xludf.DUMMYFUNCTION("""COMPUTED_VALUE"""),"")</f>
        <v/>
      </c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>
      <c r="A376" s="140"/>
      <c r="B376" s="140"/>
      <c r="C376" s="140"/>
      <c r="D376" s="140" t="str">
        <f>IFERROR(__xludf.DUMMYFUNCTION("""COMPUTED_VALUE"""),"")</f>
        <v/>
      </c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>
      <c r="A377" s="140"/>
      <c r="B377" s="140"/>
      <c r="C377" s="140"/>
      <c r="D377" s="140" t="str">
        <f>IFERROR(__xludf.DUMMYFUNCTION("""COMPUTED_VALUE"""),"")</f>
        <v/>
      </c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>
      <c r="A378" s="140"/>
      <c r="B378" s="140"/>
      <c r="C378" s="140"/>
      <c r="D378" s="140" t="str">
        <f>IFERROR(__xludf.DUMMYFUNCTION("""COMPUTED_VALUE"""),"")</f>
        <v/>
      </c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>
      <c r="A379" s="140"/>
      <c r="B379" s="140"/>
      <c r="C379" s="140"/>
      <c r="D379" s="140" t="str">
        <f>IFERROR(__xludf.DUMMYFUNCTION("""COMPUTED_VALUE"""),"")</f>
        <v/>
      </c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>
      <c r="A380" s="140"/>
      <c r="B380" s="140"/>
      <c r="C380" s="140"/>
      <c r="D380" s="140" t="str">
        <f>IFERROR(__xludf.DUMMYFUNCTION("""COMPUTED_VALUE"""),"")</f>
        <v/>
      </c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>
      <c r="A381" s="140"/>
      <c r="B381" s="140"/>
      <c r="C381" s="140"/>
      <c r="D381" s="140" t="str">
        <f>IFERROR(__xludf.DUMMYFUNCTION("""COMPUTED_VALUE"""),"")</f>
        <v/>
      </c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>
      <c r="A382" s="140"/>
      <c r="B382" s="140"/>
      <c r="C382" s="140"/>
      <c r="D382" s="140" t="str">
        <f>IFERROR(__xludf.DUMMYFUNCTION("""COMPUTED_VALUE"""),"")</f>
        <v/>
      </c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>
      <c r="A383" s="140"/>
      <c r="B383" s="140"/>
      <c r="C383" s="140"/>
      <c r="D383" s="140" t="str">
        <f>IFERROR(__xludf.DUMMYFUNCTION("""COMPUTED_VALUE"""),"")</f>
        <v/>
      </c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>
      <c r="A384" s="140"/>
      <c r="B384" s="140"/>
      <c r="C384" s="140"/>
      <c r="D384" s="140" t="str">
        <f>IFERROR(__xludf.DUMMYFUNCTION("""COMPUTED_VALUE"""),"")</f>
        <v/>
      </c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>
      <c r="A385" s="140"/>
      <c r="B385" s="140"/>
      <c r="C385" s="140"/>
      <c r="D385" s="140" t="str">
        <f>IFERROR(__xludf.DUMMYFUNCTION("""COMPUTED_VALUE"""),"")</f>
        <v/>
      </c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>
      <c r="A386" s="140"/>
      <c r="B386" s="140"/>
      <c r="C386" s="140"/>
      <c r="D386" s="140" t="str">
        <f>IFERROR(__xludf.DUMMYFUNCTION("""COMPUTED_VALUE"""),"")</f>
        <v/>
      </c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>
      <c r="A387" s="140"/>
      <c r="B387" s="140"/>
      <c r="C387" s="140"/>
      <c r="D387" s="140" t="str">
        <f>IFERROR(__xludf.DUMMYFUNCTION("""COMPUTED_VALUE"""),"")</f>
        <v/>
      </c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>
      <c r="A388" s="140"/>
      <c r="B388" s="140"/>
      <c r="C388" s="140"/>
      <c r="D388" s="140" t="str">
        <f>IFERROR(__xludf.DUMMYFUNCTION("""COMPUTED_VALUE"""),"")</f>
        <v/>
      </c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>
      <c r="A389" s="140"/>
      <c r="B389" s="140"/>
      <c r="C389" s="140"/>
      <c r="D389" s="140" t="str">
        <f>IFERROR(__xludf.DUMMYFUNCTION("""COMPUTED_VALUE"""),"")</f>
        <v/>
      </c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>
      <c r="A390" s="140"/>
      <c r="B390" s="140"/>
      <c r="C390" s="140"/>
      <c r="D390" s="140" t="str">
        <f>IFERROR(__xludf.DUMMYFUNCTION("""COMPUTED_VALUE"""),"")</f>
        <v/>
      </c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>
      <c r="A391" s="140"/>
      <c r="B391" s="140"/>
      <c r="C391" s="140"/>
      <c r="D391" s="140" t="str">
        <f>IFERROR(__xludf.DUMMYFUNCTION("""COMPUTED_VALUE"""),"")</f>
        <v/>
      </c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>
      <c r="A392" s="140"/>
      <c r="B392" s="140"/>
      <c r="C392" s="140"/>
      <c r="D392" s="140" t="str">
        <f>IFERROR(__xludf.DUMMYFUNCTION("""COMPUTED_VALUE"""),"")</f>
        <v/>
      </c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>
      <c r="A393" s="140"/>
      <c r="B393" s="140"/>
      <c r="C393" s="140"/>
      <c r="D393" s="140" t="str">
        <f>IFERROR(__xludf.DUMMYFUNCTION("""COMPUTED_VALUE"""),"")</f>
        <v/>
      </c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>
      <c r="A394" s="140"/>
      <c r="B394" s="140"/>
      <c r="C394" s="140"/>
      <c r="D394" s="140" t="str">
        <f>IFERROR(__xludf.DUMMYFUNCTION("""COMPUTED_VALUE"""),"")</f>
        <v/>
      </c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>
      <c r="A395" s="140"/>
      <c r="B395" s="140"/>
      <c r="C395" s="140"/>
      <c r="D395" s="140" t="str">
        <f>IFERROR(__xludf.DUMMYFUNCTION("""COMPUTED_VALUE"""),"")</f>
        <v/>
      </c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>
      <c r="A396" s="140"/>
      <c r="B396" s="140"/>
      <c r="C396" s="140"/>
      <c r="D396" s="140" t="str">
        <f>IFERROR(__xludf.DUMMYFUNCTION("""COMPUTED_VALUE"""),"")</f>
        <v/>
      </c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>
      <c r="A397" s="140"/>
      <c r="B397" s="140"/>
      <c r="C397" s="140"/>
      <c r="D397" s="140" t="str">
        <f>IFERROR(__xludf.DUMMYFUNCTION("""COMPUTED_VALUE"""),"")</f>
        <v/>
      </c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>
      <c r="A398" s="140"/>
      <c r="B398" s="140"/>
      <c r="C398" s="140"/>
      <c r="D398" s="140" t="str">
        <f>IFERROR(__xludf.DUMMYFUNCTION("""COMPUTED_VALUE"""),"")</f>
        <v/>
      </c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>
      <c r="A399" s="140"/>
      <c r="B399" s="140"/>
      <c r="C399" s="140"/>
      <c r="D399" s="140" t="str">
        <f>IFERROR(__xludf.DUMMYFUNCTION("""COMPUTED_VALUE"""),"")</f>
        <v/>
      </c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>
      <c r="A400" s="140"/>
      <c r="B400" s="140"/>
      <c r="C400" s="140"/>
      <c r="D400" s="140" t="str">
        <f>IFERROR(__xludf.DUMMYFUNCTION("""COMPUTED_VALUE"""),"")</f>
        <v/>
      </c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>
      <c r="A401" s="140"/>
      <c r="B401" s="140"/>
      <c r="C401" s="140"/>
      <c r="D401" s="140" t="str">
        <f>IFERROR(__xludf.DUMMYFUNCTION("""COMPUTED_VALUE"""),"")</f>
        <v/>
      </c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>
      <c r="A402" s="140"/>
      <c r="B402" s="140"/>
      <c r="C402" s="140"/>
      <c r="D402" s="140" t="str">
        <f>IFERROR(__xludf.DUMMYFUNCTION("""COMPUTED_VALUE"""),"")</f>
        <v/>
      </c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>
      <c r="A403" s="140"/>
      <c r="B403" s="140"/>
      <c r="C403" s="140"/>
      <c r="D403" s="140" t="str">
        <f>IFERROR(__xludf.DUMMYFUNCTION("""COMPUTED_VALUE"""),"")</f>
        <v/>
      </c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>
      <c r="A404" s="140"/>
      <c r="B404" s="140"/>
      <c r="C404" s="140"/>
      <c r="D404" s="140" t="str">
        <f>IFERROR(__xludf.DUMMYFUNCTION("""COMPUTED_VALUE"""),"")</f>
        <v/>
      </c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>
      <c r="A405" s="140"/>
      <c r="B405" s="140"/>
      <c r="C405" s="140"/>
      <c r="D405" s="140" t="str">
        <f>IFERROR(__xludf.DUMMYFUNCTION("""COMPUTED_VALUE"""),"")</f>
        <v/>
      </c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>
      <c r="A406" s="140"/>
      <c r="B406" s="140"/>
      <c r="C406" s="140"/>
      <c r="D406" s="140" t="str">
        <f>IFERROR(__xludf.DUMMYFUNCTION("""COMPUTED_VALUE"""),"")</f>
        <v/>
      </c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>
      <c r="A407" s="140"/>
      <c r="B407" s="140"/>
      <c r="C407" s="140"/>
      <c r="D407" s="140" t="str">
        <f>IFERROR(__xludf.DUMMYFUNCTION("""COMPUTED_VALUE"""),"")</f>
        <v/>
      </c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>
      <c r="A408" s="140"/>
      <c r="B408" s="140"/>
      <c r="C408" s="140"/>
      <c r="D408" s="140" t="str">
        <f>IFERROR(__xludf.DUMMYFUNCTION("""COMPUTED_VALUE"""),"")</f>
        <v/>
      </c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>
      <c r="A409" s="140"/>
      <c r="B409" s="140"/>
      <c r="C409" s="140"/>
      <c r="D409" s="140" t="str">
        <f>IFERROR(__xludf.DUMMYFUNCTION("""COMPUTED_VALUE"""),"")</f>
        <v/>
      </c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>
      <c r="A410" s="140"/>
      <c r="B410" s="140"/>
      <c r="C410" s="140"/>
      <c r="D410" s="140" t="str">
        <f>IFERROR(__xludf.DUMMYFUNCTION("""COMPUTED_VALUE"""),"")</f>
        <v/>
      </c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>
      <c r="A411" s="140"/>
      <c r="B411" s="140"/>
      <c r="C411" s="140"/>
      <c r="D411" s="140" t="str">
        <f>IFERROR(__xludf.DUMMYFUNCTION("""COMPUTED_VALUE"""),"")</f>
        <v/>
      </c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>
      <c r="A412" s="140"/>
      <c r="B412" s="140"/>
      <c r="C412" s="140"/>
      <c r="D412" s="140" t="str">
        <f>IFERROR(__xludf.DUMMYFUNCTION("""COMPUTED_VALUE"""),"")</f>
        <v/>
      </c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>
      <c r="A413" s="140"/>
      <c r="B413" s="140"/>
      <c r="C413" s="140"/>
      <c r="D413" s="140" t="str">
        <f>IFERROR(__xludf.DUMMYFUNCTION("""COMPUTED_VALUE"""),"")</f>
        <v/>
      </c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>
      <c r="A414" s="140"/>
      <c r="B414" s="140"/>
      <c r="C414" s="140"/>
      <c r="D414" s="140" t="str">
        <f>IFERROR(__xludf.DUMMYFUNCTION("""COMPUTED_VALUE"""),"")</f>
        <v/>
      </c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>
      <c r="A415" s="140"/>
      <c r="B415" s="140"/>
      <c r="C415" s="140"/>
      <c r="D415" s="140" t="str">
        <f>IFERROR(__xludf.DUMMYFUNCTION("""COMPUTED_VALUE"""),"")</f>
        <v/>
      </c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>
      <c r="A416" s="140"/>
      <c r="B416" s="140"/>
      <c r="C416" s="140"/>
      <c r="D416" s="140" t="str">
        <f>IFERROR(__xludf.DUMMYFUNCTION("""COMPUTED_VALUE"""),"")</f>
        <v/>
      </c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>
      <c r="A417" s="140"/>
      <c r="B417" s="140"/>
      <c r="C417" s="140"/>
      <c r="D417" s="140" t="str">
        <f>IFERROR(__xludf.DUMMYFUNCTION("""COMPUTED_VALUE"""),"")</f>
        <v/>
      </c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>
      <c r="A418" s="140"/>
      <c r="B418" s="140"/>
      <c r="C418" s="140"/>
      <c r="D418" s="140" t="str">
        <f>IFERROR(__xludf.DUMMYFUNCTION("""COMPUTED_VALUE"""),"")</f>
        <v/>
      </c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>
      <c r="A419" s="140"/>
      <c r="B419" s="140"/>
      <c r="C419" s="140"/>
      <c r="D419" s="140" t="str">
        <f>IFERROR(__xludf.DUMMYFUNCTION("""COMPUTED_VALUE"""),"")</f>
        <v/>
      </c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>
      <c r="A420" s="140"/>
      <c r="B420" s="140"/>
      <c r="C420" s="140"/>
      <c r="D420" s="140" t="str">
        <f>IFERROR(__xludf.DUMMYFUNCTION("""COMPUTED_VALUE"""),"")</f>
        <v/>
      </c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>
      <c r="A421" s="140"/>
      <c r="B421" s="140"/>
      <c r="C421" s="140"/>
      <c r="D421" s="140" t="str">
        <f>IFERROR(__xludf.DUMMYFUNCTION("""COMPUTED_VALUE"""),"")</f>
        <v/>
      </c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>
      <c r="A422" s="140"/>
      <c r="B422" s="140"/>
      <c r="C422" s="140"/>
      <c r="D422" s="140" t="str">
        <f>IFERROR(__xludf.DUMMYFUNCTION("""COMPUTED_VALUE"""),"")</f>
        <v/>
      </c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>
      <c r="A423" s="140"/>
      <c r="B423" s="140"/>
      <c r="C423" s="140"/>
      <c r="D423" s="140" t="str">
        <f>IFERROR(__xludf.DUMMYFUNCTION("""COMPUTED_VALUE"""),"")</f>
        <v/>
      </c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>
      <c r="A424" s="140"/>
      <c r="B424" s="140"/>
      <c r="C424" s="140"/>
      <c r="D424" s="140" t="str">
        <f>IFERROR(__xludf.DUMMYFUNCTION("""COMPUTED_VALUE"""),"")</f>
        <v/>
      </c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>
      <c r="A425" s="140"/>
      <c r="B425" s="140"/>
      <c r="C425" s="140"/>
      <c r="D425" s="140" t="str">
        <f>IFERROR(__xludf.DUMMYFUNCTION("""COMPUTED_VALUE"""),"")</f>
        <v/>
      </c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>
      <c r="A426" s="140"/>
      <c r="B426" s="140"/>
      <c r="C426" s="140"/>
      <c r="D426" s="140" t="str">
        <f>IFERROR(__xludf.DUMMYFUNCTION("""COMPUTED_VALUE"""),"")</f>
        <v/>
      </c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>
      <c r="A427" s="140"/>
      <c r="B427" s="140"/>
      <c r="C427" s="140"/>
      <c r="D427" s="140" t="str">
        <f>IFERROR(__xludf.DUMMYFUNCTION("""COMPUTED_VALUE"""),"")</f>
        <v/>
      </c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>
      <c r="A428" s="140"/>
      <c r="B428" s="140"/>
      <c r="C428" s="140"/>
      <c r="D428" s="140" t="str">
        <f>IFERROR(__xludf.DUMMYFUNCTION("""COMPUTED_VALUE"""),"")</f>
        <v/>
      </c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>
      <c r="A429" s="140"/>
      <c r="B429" s="140"/>
      <c r="C429" s="140"/>
      <c r="D429" s="140" t="str">
        <f>IFERROR(__xludf.DUMMYFUNCTION("""COMPUTED_VALUE"""),"")</f>
        <v/>
      </c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>
      <c r="A430" s="140"/>
      <c r="B430" s="140"/>
      <c r="C430" s="140"/>
      <c r="D430" s="140" t="str">
        <f>IFERROR(__xludf.DUMMYFUNCTION("""COMPUTED_VALUE"""),"")</f>
        <v/>
      </c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>
      <c r="A431" s="140"/>
      <c r="B431" s="140"/>
      <c r="C431" s="140"/>
      <c r="D431" s="140" t="str">
        <f>IFERROR(__xludf.DUMMYFUNCTION("""COMPUTED_VALUE"""),"")</f>
        <v/>
      </c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>
      <c r="A432" s="140"/>
      <c r="B432" s="140"/>
      <c r="C432" s="140"/>
      <c r="D432" s="140" t="str">
        <f>IFERROR(__xludf.DUMMYFUNCTION("""COMPUTED_VALUE"""),"")</f>
        <v/>
      </c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>
      <c r="A433" s="140"/>
      <c r="B433" s="140"/>
      <c r="C433" s="140"/>
      <c r="D433" s="140" t="str">
        <f>IFERROR(__xludf.DUMMYFUNCTION("""COMPUTED_VALUE"""),"")</f>
        <v/>
      </c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>
      <c r="A434" s="140"/>
      <c r="B434" s="140"/>
      <c r="C434" s="140"/>
      <c r="D434" s="140" t="str">
        <f>IFERROR(__xludf.DUMMYFUNCTION("""COMPUTED_VALUE"""),"")</f>
        <v/>
      </c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>
      <c r="A435" s="140"/>
      <c r="B435" s="140"/>
      <c r="C435" s="140"/>
      <c r="D435" s="140" t="str">
        <f>IFERROR(__xludf.DUMMYFUNCTION("""COMPUTED_VALUE"""),"")</f>
        <v/>
      </c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>
      <c r="A436" s="140"/>
      <c r="B436" s="140"/>
      <c r="C436" s="140"/>
      <c r="D436" s="140" t="str">
        <f>IFERROR(__xludf.DUMMYFUNCTION("""COMPUTED_VALUE"""),"")</f>
        <v/>
      </c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>
      <c r="A437" s="140"/>
      <c r="B437" s="140"/>
      <c r="C437" s="140"/>
      <c r="D437" s="140" t="str">
        <f>IFERROR(__xludf.DUMMYFUNCTION("""COMPUTED_VALUE"""),"")</f>
        <v/>
      </c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>
      <c r="A438" s="140"/>
      <c r="B438" s="140"/>
      <c r="C438" s="140"/>
      <c r="D438" s="140" t="str">
        <f>IFERROR(__xludf.DUMMYFUNCTION("""COMPUTED_VALUE"""),"")</f>
        <v/>
      </c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>
      <c r="A439" s="140"/>
      <c r="B439" s="140"/>
      <c r="C439" s="140"/>
      <c r="D439" s="140" t="str">
        <f>IFERROR(__xludf.DUMMYFUNCTION("""COMPUTED_VALUE"""),"")</f>
        <v/>
      </c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>
      <c r="A440" s="140"/>
      <c r="B440" s="140"/>
      <c r="C440" s="140"/>
      <c r="D440" s="140" t="str">
        <f>IFERROR(__xludf.DUMMYFUNCTION("""COMPUTED_VALUE"""),"")</f>
        <v/>
      </c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>
      <c r="A441" s="140"/>
      <c r="B441" s="140"/>
      <c r="C441" s="140"/>
      <c r="D441" s="140" t="str">
        <f>IFERROR(__xludf.DUMMYFUNCTION("""COMPUTED_VALUE"""),"")</f>
        <v/>
      </c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>
      <c r="A442" s="140"/>
      <c r="B442" s="140"/>
      <c r="C442" s="140"/>
      <c r="D442" s="140" t="str">
        <f>IFERROR(__xludf.DUMMYFUNCTION("""COMPUTED_VALUE"""),"")</f>
        <v/>
      </c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>
      <c r="A443" s="140"/>
      <c r="B443" s="140"/>
      <c r="C443" s="140"/>
      <c r="D443" s="140" t="str">
        <f>IFERROR(__xludf.DUMMYFUNCTION("""COMPUTED_VALUE"""),"")</f>
        <v/>
      </c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>
      <c r="A444" s="140"/>
      <c r="B444" s="140"/>
      <c r="C444" s="140"/>
      <c r="D444" s="140" t="str">
        <f>IFERROR(__xludf.DUMMYFUNCTION("""COMPUTED_VALUE"""),"")</f>
        <v/>
      </c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>
      <c r="A445" s="140"/>
      <c r="B445" s="140"/>
      <c r="C445" s="140"/>
      <c r="D445" s="140" t="str">
        <f>IFERROR(__xludf.DUMMYFUNCTION("""COMPUTED_VALUE"""),"")</f>
        <v/>
      </c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>
      <c r="A446" s="140"/>
      <c r="B446" s="140"/>
      <c r="C446" s="140"/>
      <c r="D446" s="140" t="str">
        <f>IFERROR(__xludf.DUMMYFUNCTION("""COMPUTED_VALUE"""),"")</f>
        <v/>
      </c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>
      <c r="A447" s="140"/>
      <c r="B447" s="140"/>
      <c r="C447" s="140"/>
      <c r="D447" s="140" t="str">
        <f>IFERROR(__xludf.DUMMYFUNCTION("""COMPUTED_VALUE"""),"")</f>
        <v/>
      </c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>
      <c r="A448" s="140"/>
      <c r="B448" s="140"/>
      <c r="C448" s="140"/>
      <c r="D448" s="140" t="str">
        <f>IFERROR(__xludf.DUMMYFUNCTION("""COMPUTED_VALUE"""),"")</f>
        <v/>
      </c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>
      <c r="A449" s="140"/>
      <c r="B449" s="140"/>
      <c r="C449" s="140"/>
      <c r="D449" s="140" t="str">
        <f>IFERROR(__xludf.DUMMYFUNCTION("""COMPUTED_VALUE"""),"")</f>
        <v/>
      </c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>
      <c r="A450" s="140"/>
      <c r="B450" s="140"/>
      <c r="C450" s="140"/>
      <c r="D450" s="140" t="str">
        <f>IFERROR(__xludf.DUMMYFUNCTION("""COMPUTED_VALUE"""),"")</f>
        <v/>
      </c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>
      <c r="A451" s="140"/>
      <c r="B451" s="140"/>
      <c r="C451" s="140"/>
      <c r="D451" s="140" t="str">
        <f>IFERROR(__xludf.DUMMYFUNCTION("""COMPUTED_VALUE"""),"")</f>
        <v/>
      </c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>
      <c r="A452" s="140"/>
      <c r="B452" s="140"/>
      <c r="C452" s="140"/>
      <c r="D452" s="140" t="str">
        <f>IFERROR(__xludf.DUMMYFUNCTION("""COMPUTED_VALUE"""),"")</f>
        <v/>
      </c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>
      <c r="A453" s="140"/>
      <c r="B453" s="140"/>
      <c r="C453" s="140"/>
      <c r="D453" s="140" t="str">
        <f>IFERROR(__xludf.DUMMYFUNCTION("""COMPUTED_VALUE"""),"")</f>
        <v/>
      </c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>
      <c r="A454" s="140"/>
      <c r="B454" s="140"/>
      <c r="C454" s="140"/>
      <c r="D454" s="140" t="str">
        <f>IFERROR(__xludf.DUMMYFUNCTION("""COMPUTED_VALUE"""),"")</f>
        <v/>
      </c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>
      <c r="A455" s="140"/>
      <c r="B455" s="140"/>
      <c r="C455" s="140"/>
      <c r="D455" s="140" t="str">
        <f>IFERROR(__xludf.DUMMYFUNCTION("""COMPUTED_VALUE"""),"")</f>
        <v/>
      </c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>
      <c r="A456" s="140"/>
      <c r="B456" s="140"/>
      <c r="C456" s="140"/>
      <c r="D456" s="140" t="str">
        <f>IFERROR(__xludf.DUMMYFUNCTION("""COMPUTED_VALUE"""),"")</f>
        <v/>
      </c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>
      <c r="A457" s="140"/>
      <c r="B457" s="140"/>
      <c r="C457" s="140"/>
      <c r="D457" s="140" t="str">
        <f>IFERROR(__xludf.DUMMYFUNCTION("""COMPUTED_VALUE"""),"")</f>
        <v/>
      </c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>
      <c r="A458" s="140"/>
      <c r="B458" s="140"/>
      <c r="C458" s="140"/>
      <c r="D458" s="140" t="str">
        <f>IFERROR(__xludf.DUMMYFUNCTION("""COMPUTED_VALUE"""),"")</f>
        <v/>
      </c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>
      <c r="A459" s="140"/>
      <c r="B459" s="140"/>
      <c r="C459" s="140"/>
      <c r="D459" s="140" t="str">
        <f>IFERROR(__xludf.DUMMYFUNCTION("""COMPUTED_VALUE"""),"")</f>
        <v/>
      </c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>
      <c r="A460" s="140"/>
      <c r="B460" s="140"/>
      <c r="C460" s="140"/>
      <c r="D460" s="140" t="str">
        <f>IFERROR(__xludf.DUMMYFUNCTION("""COMPUTED_VALUE"""),"")</f>
        <v/>
      </c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>
      <c r="A461" s="140"/>
      <c r="B461" s="140"/>
      <c r="C461" s="140"/>
      <c r="D461" s="140" t="str">
        <f>IFERROR(__xludf.DUMMYFUNCTION("""COMPUTED_VALUE"""),"")</f>
        <v/>
      </c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>
      <c r="A462" s="140"/>
      <c r="B462" s="140"/>
      <c r="C462" s="140"/>
      <c r="D462" s="140" t="str">
        <f>IFERROR(__xludf.DUMMYFUNCTION("""COMPUTED_VALUE"""),"")</f>
        <v/>
      </c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>
      <c r="A463" s="140"/>
      <c r="B463" s="140"/>
      <c r="C463" s="140"/>
      <c r="D463" s="140" t="str">
        <f>IFERROR(__xludf.DUMMYFUNCTION("""COMPUTED_VALUE"""),"")</f>
        <v/>
      </c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>
      <c r="A464" s="140"/>
      <c r="B464" s="140"/>
      <c r="C464" s="140"/>
      <c r="D464" s="140" t="str">
        <f>IFERROR(__xludf.DUMMYFUNCTION("""COMPUTED_VALUE"""),"")</f>
        <v/>
      </c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>
      <c r="A465" s="140"/>
      <c r="B465" s="140"/>
      <c r="C465" s="140"/>
      <c r="D465" s="140" t="str">
        <f>IFERROR(__xludf.DUMMYFUNCTION("""COMPUTED_VALUE"""),"")</f>
        <v/>
      </c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>
      <c r="A466" s="140"/>
      <c r="B466" s="140"/>
      <c r="C466" s="140"/>
      <c r="D466" s="140" t="str">
        <f>IFERROR(__xludf.DUMMYFUNCTION("""COMPUTED_VALUE"""),"")</f>
        <v/>
      </c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>
      <c r="A467" s="140"/>
      <c r="B467" s="140"/>
      <c r="C467" s="140"/>
      <c r="D467" s="140" t="str">
        <f>IFERROR(__xludf.DUMMYFUNCTION("""COMPUTED_VALUE"""),"")</f>
        <v/>
      </c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>
      <c r="A468" s="140"/>
      <c r="B468" s="140"/>
      <c r="C468" s="140"/>
      <c r="D468" s="140" t="str">
        <f>IFERROR(__xludf.DUMMYFUNCTION("""COMPUTED_VALUE"""),"")</f>
        <v/>
      </c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>
      <c r="A469" s="140"/>
      <c r="B469" s="140"/>
      <c r="C469" s="140"/>
      <c r="D469" s="140" t="str">
        <f>IFERROR(__xludf.DUMMYFUNCTION("""COMPUTED_VALUE"""),"")</f>
        <v/>
      </c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>
      <c r="A470" s="140"/>
      <c r="B470" s="140"/>
      <c r="C470" s="140"/>
      <c r="D470" s="140" t="str">
        <f>IFERROR(__xludf.DUMMYFUNCTION("""COMPUTED_VALUE"""),"")</f>
        <v/>
      </c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>
      <c r="A471" s="140"/>
      <c r="B471" s="140"/>
      <c r="C471" s="140"/>
      <c r="D471" s="140" t="str">
        <f>IFERROR(__xludf.DUMMYFUNCTION("""COMPUTED_VALUE"""),"")</f>
        <v/>
      </c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>
      <c r="A472" s="140"/>
      <c r="B472" s="140"/>
      <c r="C472" s="140"/>
      <c r="D472" s="140" t="str">
        <f>IFERROR(__xludf.DUMMYFUNCTION("""COMPUTED_VALUE"""),"")</f>
        <v/>
      </c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>
      <c r="A473" s="140"/>
      <c r="B473" s="140"/>
      <c r="C473" s="140"/>
      <c r="D473" s="140" t="str">
        <f>IFERROR(__xludf.DUMMYFUNCTION("""COMPUTED_VALUE"""),"")</f>
        <v/>
      </c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>
      <c r="A474" s="140"/>
      <c r="B474" s="140"/>
      <c r="C474" s="140"/>
      <c r="D474" s="140" t="str">
        <f>IFERROR(__xludf.DUMMYFUNCTION("""COMPUTED_VALUE"""),"")</f>
        <v/>
      </c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>
      <c r="A475" s="140"/>
      <c r="B475" s="140"/>
      <c r="C475" s="140"/>
      <c r="D475" s="140" t="str">
        <f>IFERROR(__xludf.DUMMYFUNCTION("""COMPUTED_VALUE"""),"")</f>
        <v/>
      </c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>
      <c r="A476" s="140"/>
      <c r="B476" s="140"/>
      <c r="C476" s="140"/>
      <c r="D476" s="140" t="str">
        <f>IFERROR(__xludf.DUMMYFUNCTION("""COMPUTED_VALUE"""),"")</f>
        <v/>
      </c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>
      <c r="A477" s="140"/>
      <c r="B477" s="140"/>
      <c r="C477" s="140"/>
      <c r="D477" s="140" t="str">
        <f>IFERROR(__xludf.DUMMYFUNCTION("""COMPUTED_VALUE"""),"")</f>
        <v/>
      </c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>
      <c r="A478" s="140"/>
      <c r="B478" s="140"/>
      <c r="C478" s="140"/>
      <c r="D478" s="140" t="str">
        <f>IFERROR(__xludf.DUMMYFUNCTION("""COMPUTED_VALUE"""),"")</f>
        <v/>
      </c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>
      <c r="A479" s="140"/>
      <c r="B479" s="140"/>
      <c r="C479" s="140"/>
      <c r="D479" s="140" t="str">
        <f>IFERROR(__xludf.DUMMYFUNCTION("""COMPUTED_VALUE"""),"")</f>
        <v/>
      </c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>
      <c r="A480" s="140"/>
      <c r="B480" s="140"/>
      <c r="C480" s="140"/>
      <c r="D480" s="140" t="str">
        <f>IFERROR(__xludf.DUMMYFUNCTION("""COMPUTED_VALUE"""),"")</f>
        <v/>
      </c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>
      <c r="A481" s="140"/>
      <c r="B481" s="140"/>
      <c r="C481" s="140"/>
      <c r="D481" s="140" t="str">
        <f>IFERROR(__xludf.DUMMYFUNCTION("""COMPUTED_VALUE"""),"")</f>
        <v/>
      </c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>
      <c r="A482" s="140"/>
      <c r="B482" s="140"/>
      <c r="C482" s="140"/>
      <c r="D482" s="140" t="str">
        <f>IFERROR(__xludf.DUMMYFUNCTION("""COMPUTED_VALUE"""),"")</f>
        <v/>
      </c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>
      <c r="A483" s="140"/>
      <c r="B483" s="140"/>
      <c r="C483" s="140"/>
      <c r="D483" s="140" t="str">
        <f>IFERROR(__xludf.DUMMYFUNCTION("""COMPUTED_VALUE"""),"")</f>
        <v/>
      </c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>
      <c r="A484" s="140"/>
      <c r="B484" s="140"/>
      <c r="C484" s="140"/>
      <c r="D484" s="140" t="str">
        <f>IFERROR(__xludf.DUMMYFUNCTION("""COMPUTED_VALUE"""),"")</f>
        <v/>
      </c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>
      <c r="A485" s="140"/>
      <c r="B485" s="140"/>
      <c r="C485" s="140"/>
      <c r="D485" s="140" t="str">
        <f>IFERROR(__xludf.DUMMYFUNCTION("""COMPUTED_VALUE"""),"")</f>
        <v/>
      </c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>
      <c r="A486" s="140"/>
      <c r="B486" s="140"/>
      <c r="C486" s="140"/>
      <c r="D486" s="140" t="str">
        <f>IFERROR(__xludf.DUMMYFUNCTION("""COMPUTED_VALUE"""),"")</f>
        <v/>
      </c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>
      <c r="A487" s="140"/>
      <c r="B487" s="140"/>
      <c r="C487" s="140"/>
      <c r="D487" s="140" t="str">
        <f>IFERROR(__xludf.DUMMYFUNCTION("""COMPUTED_VALUE"""),"")</f>
        <v/>
      </c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>
      <c r="A488" s="140"/>
      <c r="B488" s="140"/>
      <c r="C488" s="140"/>
      <c r="D488" s="140" t="str">
        <f>IFERROR(__xludf.DUMMYFUNCTION("""COMPUTED_VALUE"""),"")</f>
        <v/>
      </c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>
      <c r="A489" s="140"/>
      <c r="B489" s="140"/>
      <c r="C489" s="140"/>
      <c r="D489" s="140" t="str">
        <f>IFERROR(__xludf.DUMMYFUNCTION("""COMPUTED_VALUE"""),"")</f>
        <v/>
      </c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>
      <c r="A490" s="140"/>
      <c r="B490" s="140"/>
      <c r="C490" s="140"/>
      <c r="D490" s="140" t="str">
        <f>IFERROR(__xludf.DUMMYFUNCTION("""COMPUTED_VALUE"""),"")</f>
        <v/>
      </c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>
      <c r="A491" s="140"/>
      <c r="B491" s="140"/>
      <c r="C491" s="140"/>
      <c r="D491" s="140" t="str">
        <f>IFERROR(__xludf.DUMMYFUNCTION("""COMPUTED_VALUE"""),"")</f>
        <v/>
      </c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>
      <c r="A492" s="140"/>
      <c r="B492" s="140"/>
      <c r="C492" s="140"/>
      <c r="D492" s="140" t="str">
        <f>IFERROR(__xludf.DUMMYFUNCTION("""COMPUTED_VALUE"""),"")</f>
        <v/>
      </c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>
      <c r="A493" s="140"/>
      <c r="B493" s="140"/>
      <c r="C493" s="140"/>
      <c r="D493" s="140" t="str">
        <f>IFERROR(__xludf.DUMMYFUNCTION("""COMPUTED_VALUE"""),"")</f>
        <v/>
      </c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>
      <c r="A494" s="140"/>
      <c r="B494" s="140"/>
      <c r="C494" s="140"/>
      <c r="D494" s="140" t="str">
        <f>IFERROR(__xludf.DUMMYFUNCTION("""COMPUTED_VALUE"""),"")</f>
        <v/>
      </c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>
      <c r="A495" s="140"/>
      <c r="B495" s="140"/>
      <c r="C495" s="140"/>
      <c r="D495" s="140" t="str">
        <f>IFERROR(__xludf.DUMMYFUNCTION("""COMPUTED_VALUE"""),"")</f>
        <v/>
      </c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>
      <c r="A496" s="140"/>
      <c r="B496" s="140"/>
      <c r="C496" s="140"/>
      <c r="D496" s="140" t="str">
        <f>IFERROR(__xludf.DUMMYFUNCTION("""COMPUTED_VALUE"""),"")</f>
        <v/>
      </c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>
      <c r="A497" s="140"/>
      <c r="B497" s="140"/>
      <c r="C497" s="140"/>
      <c r="D497" s="140" t="str">
        <f>IFERROR(__xludf.DUMMYFUNCTION("""COMPUTED_VALUE"""),"")</f>
        <v/>
      </c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>
      <c r="A498" s="140"/>
      <c r="B498" s="140"/>
      <c r="C498" s="140"/>
      <c r="D498" s="140" t="str">
        <f>IFERROR(__xludf.DUMMYFUNCTION("""COMPUTED_VALUE"""),"")</f>
        <v/>
      </c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>
      <c r="A499" s="140"/>
      <c r="B499" s="140"/>
      <c r="C499" s="140"/>
      <c r="D499" s="140" t="str">
        <f>IFERROR(__xludf.DUMMYFUNCTION("""COMPUTED_VALUE"""),"")</f>
        <v/>
      </c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>
      <c r="A500" s="140"/>
      <c r="B500" s="140"/>
      <c r="C500" s="140"/>
      <c r="D500" s="140" t="str">
        <f>IFERROR(__xludf.DUMMYFUNCTION("""COMPUTED_VALUE"""),"")</f>
        <v/>
      </c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</sheetData>
  <autoFilter ref="$A$4:$Z$147">
    <filterColumn colId="1">
      <filters>
        <filter val="BANT"/>
      </filters>
    </filterColumn>
  </autoFilter>
  <drawing r:id="rId1"/>
</worksheet>
</file>